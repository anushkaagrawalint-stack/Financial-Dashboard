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f68b6d7c7ba0d41/RASA/RASA Financials/Financials for Dashboard/"/>
    </mc:Choice>
  </mc:AlternateContent>
  <xr:revisionPtr revIDLastSave="0" documentId="8_{DFB05E3C-44EA-4ABF-914D-76DF218B71FF}" xr6:coauthVersionLast="47" xr6:coauthVersionMax="47" xr10:uidLastSave="{00000000-0000-0000-0000-000000000000}"/>
  <bookViews>
    <workbookView xWindow="-28920" yWindow="7080" windowWidth="29040" windowHeight="15720" xr2:uid="{00000000-000D-0000-FFFF-FFFF00000000}"/>
  </bookViews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  <definedName name="_xlnm.Print_Titles" localSheetId="0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44" i="7" l="1"/>
  <c r="W444" i="7"/>
  <c r="N444" i="7"/>
  <c r="H444" i="7"/>
  <c r="Z442" i="7"/>
  <c r="AA442" i="7" s="1"/>
  <c r="T442" i="7"/>
  <c r="Q442" i="7"/>
  <c r="R442" i="7" s="1"/>
  <c r="K442" i="7"/>
  <c r="L442" i="7" s="1"/>
  <c r="H442" i="7"/>
  <c r="I442" i="7" s="1"/>
  <c r="E442" i="7"/>
  <c r="F442" i="7" s="1"/>
  <c r="B442" i="7"/>
  <c r="C442" i="7" s="1"/>
  <c r="Z441" i="7"/>
  <c r="AA441" i="7" s="1"/>
  <c r="T441" i="7"/>
  <c r="U441" i="7" s="1"/>
  <c r="Q441" i="7"/>
  <c r="W441" i="7" s="1"/>
  <c r="X441" i="7" s="1"/>
  <c r="K441" i="7"/>
  <c r="L441" i="7" s="1"/>
  <c r="E441" i="7"/>
  <c r="F441" i="7" s="1"/>
  <c r="B441" i="7"/>
  <c r="AC440" i="7"/>
  <c r="AD440" i="7" s="1"/>
  <c r="AA440" i="7"/>
  <c r="X440" i="7"/>
  <c r="W440" i="7"/>
  <c r="U440" i="7"/>
  <c r="R440" i="7"/>
  <c r="O440" i="7"/>
  <c r="N440" i="7"/>
  <c r="L440" i="7"/>
  <c r="H440" i="7"/>
  <c r="I440" i="7" s="1"/>
  <c r="F440" i="7"/>
  <c r="C440" i="7"/>
  <c r="AC439" i="7"/>
  <c r="AD439" i="7" s="1"/>
  <c r="AA439" i="7"/>
  <c r="W439" i="7"/>
  <c r="X439" i="7" s="1"/>
  <c r="U439" i="7"/>
  <c r="R439" i="7"/>
  <c r="O439" i="7"/>
  <c r="N439" i="7"/>
  <c r="L439" i="7"/>
  <c r="H439" i="7"/>
  <c r="I439" i="7" s="1"/>
  <c r="F439" i="7"/>
  <c r="C439" i="7"/>
  <c r="AC438" i="7"/>
  <c r="AD438" i="7" s="1"/>
  <c r="AA438" i="7"/>
  <c r="X438" i="7"/>
  <c r="W438" i="7"/>
  <c r="U438" i="7"/>
  <c r="R438" i="7"/>
  <c r="O438" i="7"/>
  <c r="N438" i="7"/>
  <c r="L438" i="7"/>
  <c r="H438" i="7"/>
  <c r="I438" i="7" s="1"/>
  <c r="F438" i="7"/>
  <c r="C438" i="7"/>
  <c r="AC437" i="7"/>
  <c r="AD437" i="7" s="1"/>
  <c r="AA437" i="7"/>
  <c r="X437" i="7"/>
  <c r="W437" i="7"/>
  <c r="U437" i="7"/>
  <c r="R437" i="7"/>
  <c r="N437" i="7"/>
  <c r="O437" i="7" s="1"/>
  <c r="L437" i="7"/>
  <c r="H437" i="7"/>
  <c r="I437" i="7" s="1"/>
  <c r="F437" i="7"/>
  <c r="C437" i="7"/>
  <c r="AC436" i="7"/>
  <c r="AD436" i="7" s="1"/>
  <c r="AA436" i="7"/>
  <c r="X436" i="7"/>
  <c r="W436" i="7"/>
  <c r="U436" i="7"/>
  <c r="R436" i="7"/>
  <c r="O436" i="7"/>
  <c r="N436" i="7"/>
  <c r="L436" i="7"/>
  <c r="H436" i="7"/>
  <c r="I436" i="7" s="1"/>
  <c r="F436" i="7"/>
  <c r="C436" i="7"/>
  <c r="AC435" i="7"/>
  <c r="AD435" i="7" s="1"/>
  <c r="AA435" i="7"/>
  <c r="W435" i="7"/>
  <c r="X435" i="7" s="1"/>
  <c r="U435" i="7"/>
  <c r="R435" i="7"/>
  <c r="O435" i="7"/>
  <c r="N435" i="7"/>
  <c r="L435" i="7"/>
  <c r="H435" i="7"/>
  <c r="I435" i="7" s="1"/>
  <c r="F435" i="7"/>
  <c r="C435" i="7"/>
  <c r="AC434" i="7"/>
  <c r="AD434" i="7" s="1"/>
  <c r="AA434" i="7"/>
  <c r="X434" i="7"/>
  <c r="W434" i="7"/>
  <c r="U434" i="7"/>
  <c r="R434" i="7"/>
  <c r="O434" i="7"/>
  <c r="N434" i="7"/>
  <c r="L434" i="7"/>
  <c r="H434" i="7"/>
  <c r="I434" i="7" s="1"/>
  <c r="F434" i="7"/>
  <c r="C434" i="7"/>
  <c r="AC433" i="7"/>
  <c r="AD433" i="7" s="1"/>
  <c r="AA433" i="7"/>
  <c r="X433" i="7"/>
  <c r="W433" i="7"/>
  <c r="U433" i="7"/>
  <c r="R433" i="7"/>
  <c r="N433" i="7"/>
  <c r="O433" i="7" s="1"/>
  <c r="L433" i="7"/>
  <c r="H433" i="7"/>
  <c r="I433" i="7" s="1"/>
  <c r="F433" i="7"/>
  <c r="C433" i="7"/>
  <c r="AC432" i="7"/>
  <c r="AD432" i="7" s="1"/>
  <c r="AA432" i="7"/>
  <c r="X432" i="7"/>
  <c r="W432" i="7"/>
  <c r="U432" i="7"/>
  <c r="R432" i="7"/>
  <c r="O432" i="7"/>
  <c r="N432" i="7"/>
  <c r="L432" i="7"/>
  <c r="H432" i="7"/>
  <c r="I432" i="7" s="1"/>
  <c r="F432" i="7"/>
  <c r="C432" i="7"/>
  <c r="AC429" i="7"/>
  <c r="AD429" i="7" s="1"/>
  <c r="Z429" i="7"/>
  <c r="AA429" i="7" s="1"/>
  <c r="T429" i="7"/>
  <c r="U429" i="7" s="1"/>
  <c r="Q429" i="7"/>
  <c r="K429" i="7"/>
  <c r="L429" i="7" s="1"/>
  <c r="E429" i="7"/>
  <c r="B429" i="7"/>
  <c r="C429" i="7" s="1"/>
  <c r="Z428" i="7"/>
  <c r="AA428" i="7" s="1"/>
  <c r="W428" i="7"/>
  <c r="X428" i="7" s="1"/>
  <c r="T428" i="7"/>
  <c r="U428" i="7" s="1"/>
  <c r="Q428" i="7"/>
  <c r="R428" i="7" s="1"/>
  <c r="K428" i="7"/>
  <c r="L428" i="7" s="1"/>
  <c r="E428" i="7"/>
  <c r="F428" i="7" s="1"/>
  <c r="B428" i="7"/>
  <c r="H428" i="7" s="1"/>
  <c r="I428" i="7" s="1"/>
  <c r="AC427" i="7"/>
  <c r="AD427" i="7" s="1"/>
  <c r="AA427" i="7"/>
  <c r="W427" i="7"/>
  <c r="X427" i="7" s="1"/>
  <c r="U427" i="7"/>
  <c r="R427" i="7"/>
  <c r="O427" i="7"/>
  <c r="N427" i="7"/>
  <c r="L427" i="7"/>
  <c r="H427" i="7"/>
  <c r="I427" i="7" s="1"/>
  <c r="F427" i="7"/>
  <c r="C427" i="7"/>
  <c r="AC426" i="7"/>
  <c r="AD426" i="7" s="1"/>
  <c r="AA426" i="7"/>
  <c r="X426" i="7"/>
  <c r="W426" i="7"/>
  <c r="U426" i="7"/>
  <c r="R426" i="7"/>
  <c r="O426" i="7"/>
  <c r="N426" i="7"/>
  <c r="L426" i="7"/>
  <c r="H426" i="7"/>
  <c r="I426" i="7" s="1"/>
  <c r="F426" i="7"/>
  <c r="C426" i="7"/>
  <c r="AC425" i="7"/>
  <c r="AD425" i="7" s="1"/>
  <c r="AA425" i="7"/>
  <c r="X425" i="7"/>
  <c r="W425" i="7"/>
  <c r="U425" i="7"/>
  <c r="R425" i="7"/>
  <c r="N425" i="7"/>
  <c r="O425" i="7" s="1"/>
  <c r="L425" i="7"/>
  <c r="H425" i="7"/>
  <c r="I425" i="7" s="1"/>
  <c r="F425" i="7"/>
  <c r="C425" i="7"/>
  <c r="AC424" i="7"/>
  <c r="AD424" i="7" s="1"/>
  <c r="AA424" i="7"/>
  <c r="X424" i="7"/>
  <c r="W424" i="7"/>
  <c r="U424" i="7"/>
  <c r="R424" i="7"/>
  <c r="O424" i="7"/>
  <c r="N424" i="7"/>
  <c r="L424" i="7"/>
  <c r="H424" i="7"/>
  <c r="I424" i="7" s="1"/>
  <c r="F424" i="7"/>
  <c r="C424" i="7"/>
  <c r="AC423" i="7"/>
  <c r="AD423" i="7" s="1"/>
  <c r="AA423" i="7"/>
  <c r="W423" i="7"/>
  <c r="X423" i="7" s="1"/>
  <c r="U423" i="7"/>
  <c r="R423" i="7"/>
  <c r="O423" i="7"/>
  <c r="N423" i="7"/>
  <c r="L423" i="7"/>
  <c r="H423" i="7"/>
  <c r="I423" i="7" s="1"/>
  <c r="F423" i="7"/>
  <c r="C423" i="7"/>
  <c r="AC422" i="7"/>
  <c r="AD422" i="7" s="1"/>
  <c r="AA422" i="7"/>
  <c r="X422" i="7"/>
  <c r="W422" i="7"/>
  <c r="U422" i="7"/>
  <c r="R422" i="7"/>
  <c r="O422" i="7"/>
  <c r="N422" i="7"/>
  <c r="L422" i="7"/>
  <c r="H422" i="7"/>
  <c r="I422" i="7" s="1"/>
  <c r="F422" i="7"/>
  <c r="C422" i="7"/>
  <c r="AC421" i="7"/>
  <c r="AD421" i="7" s="1"/>
  <c r="AA421" i="7"/>
  <c r="X421" i="7"/>
  <c r="W421" i="7"/>
  <c r="U421" i="7"/>
  <c r="R421" i="7"/>
  <c r="N421" i="7"/>
  <c r="O421" i="7" s="1"/>
  <c r="L421" i="7"/>
  <c r="H421" i="7"/>
  <c r="I421" i="7" s="1"/>
  <c r="F421" i="7"/>
  <c r="C421" i="7"/>
  <c r="AC420" i="7"/>
  <c r="AD420" i="7" s="1"/>
  <c r="AA420" i="7"/>
  <c r="X420" i="7"/>
  <c r="W420" i="7"/>
  <c r="U420" i="7"/>
  <c r="R420" i="7"/>
  <c r="O420" i="7"/>
  <c r="N420" i="7"/>
  <c r="L420" i="7"/>
  <c r="H420" i="7"/>
  <c r="I420" i="7" s="1"/>
  <c r="F420" i="7"/>
  <c r="C420" i="7"/>
  <c r="AC419" i="7"/>
  <c r="AD419" i="7" s="1"/>
  <c r="AA419" i="7"/>
  <c r="W419" i="7"/>
  <c r="X419" i="7" s="1"/>
  <c r="U419" i="7"/>
  <c r="R419" i="7"/>
  <c r="O419" i="7"/>
  <c r="N419" i="7"/>
  <c r="L419" i="7"/>
  <c r="H419" i="7"/>
  <c r="I419" i="7" s="1"/>
  <c r="F419" i="7"/>
  <c r="C419" i="7"/>
  <c r="AC418" i="7"/>
  <c r="AD418" i="7" s="1"/>
  <c r="AA418" i="7"/>
  <c r="X418" i="7"/>
  <c r="W418" i="7"/>
  <c r="U418" i="7"/>
  <c r="R418" i="7"/>
  <c r="O418" i="7"/>
  <c r="N418" i="7"/>
  <c r="L418" i="7"/>
  <c r="H418" i="7"/>
  <c r="I418" i="7" s="1"/>
  <c r="F418" i="7"/>
  <c r="C418" i="7"/>
  <c r="AC417" i="7"/>
  <c r="AD417" i="7" s="1"/>
  <c r="AA417" i="7"/>
  <c r="X417" i="7"/>
  <c r="W417" i="7"/>
  <c r="U417" i="7"/>
  <c r="R417" i="7"/>
  <c r="N417" i="7"/>
  <c r="O417" i="7" s="1"/>
  <c r="L417" i="7"/>
  <c r="H417" i="7"/>
  <c r="I417" i="7" s="1"/>
  <c r="F417" i="7"/>
  <c r="C417" i="7"/>
  <c r="AC416" i="7"/>
  <c r="AD416" i="7" s="1"/>
  <c r="AA416" i="7"/>
  <c r="X416" i="7"/>
  <c r="W416" i="7"/>
  <c r="U416" i="7"/>
  <c r="R416" i="7"/>
  <c r="O416" i="7"/>
  <c r="N416" i="7"/>
  <c r="L416" i="7"/>
  <c r="H416" i="7"/>
  <c r="I416" i="7" s="1"/>
  <c r="F416" i="7"/>
  <c r="C416" i="7"/>
  <c r="AC415" i="7"/>
  <c r="AD415" i="7" s="1"/>
  <c r="AA415" i="7"/>
  <c r="W415" i="7"/>
  <c r="X415" i="7" s="1"/>
  <c r="U415" i="7"/>
  <c r="R415" i="7"/>
  <c r="O415" i="7"/>
  <c r="N415" i="7"/>
  <c r="L415" i="7"/>
  <c r="H415" i="7"/>
  <c r="I415" i="7" s="1"/>
  <c r="F415" i="7"/>
  <c r="C415" i="7"/>
  <c r="AC414" i="7"/>
  <c r="AD414" i="7" s="1"/>
  <c r="AA414" i="7"/>
  <c r="X414" i="7"/>
  <c r="W414" i="7"/>
  <c r="U414" i="7"/>
  <c r="R414" i="7"/>
  <c r="O414" i="7"/>
  <c r="N414" i="7"/>
  <c r="L414" i="7"/>
  <c r="H414" i="7"/>
  <c r="I414" i="7" s="1"/>
  <c r="F414" i="7"/>
  <c r="C414" i="7"/>
  <c r="AC413" i="7"/>
  <c r="AD413" i="7" s="1"/>
  <c r="AA413" i="7"/>
  <c r="X413" i="7"/>
  <c r="W413" i="7"/>
  <c r="U413" i="7"/>
  <c r="R413" i="7"/>
  <c r="N413" i="7"/>
  <c r="O413" i="7" s="1"/>
  <c r="L413" i="7"/>
  <c r="H413" i="7"/>
  <c r="I413" i="7" s="1"/>
  <c r="F413" i="7"/>
  <c r="C413" i="7"/>
  <c r="AC412" i="7"/>
  <c r="AD412" i="7" s="1"/>
  <c r="AA412" i="7"/>
  <c r="X412" i="7"/>
  <c r="W412" i="7"/>
  <c r="U412" i="7"/>
  <c r="R412" i="7"/>
  <c r="O412" i="7"/>
  <c r="N412" i="7"/>
  <c r="L412" i="7"/>
  <c r="H412" i="7"/>
  <c r="I412" i="7" s="1"/>
  <c r="F412" i="7"/>
  <c r="C412" i="7"/>
  <c r="AC411" i="7"/>
  <c r="AD411" i="7" s="1"/>
  <c r="AA411" i="7"/>
  <c r="W411" i="7"/>
  <c r="X411" i="7" s="1"/>
  <c r="U411" i="7"/>
  <c r="R411" i="7"/>
  <c r="O411" i="7"/>
  <c r="N411" i="7"/>
  <c r="L411" i="7"/>
  <c r="H411" i="7"/>
  <c r="I411" i="7" s="1"/>
  <c r="F411" i="7"/>
  <c r="C411" i="7"/>
  <c r="AC410" i="7"/>
  <c r="AD410" i="7" s="1"/>
  <c r="AA410" i="7"/>
  <c r="X410" i="7"/>
  <c r="W410" i="7"/>
  <c r="U410" i="7"/>
  <c r="R410" i="7"/>
  <c r="O410" i="7"/>
  <c r="N410" i="7"/>
  <c r="L410" i="7"/>
  <c r="H410" i="7"/>
  <c r="I410" i="7" s="1"/>
  <c r="F410" i="7"/>
  <c r="C410" i="7"/>
  <c r="AC409" i="7"/>
  <c r="AD409" i="7" s="1"/>
  <c r="AA409" i="7"/>
  <c r="X409" i="7"/>
  <c r="W409" i="7"/>
  <c r="U409" i="7"/>
  <c r="R409" i="7"/>
  <c r="N409" i="7"/>
  <c r="O409" i="7" s="1"/>
  <c r="L409" i="7"/>
  <c r="H409" i="7"/>
  <c r="I409" i="7" s="1"/>
  <c r="F409" i="7"/>
  <c r="C409" i="7"/>
  <c r="AC408" i="7"/>
  <c r="AD408" i="7" s="1"/>
  <c r="AA408" i="7"/>
  <c r="X408" i="7"/>
  <c r="W408" i="7"/>
  <c r="U408" i="7"/>
  <c r="R408" i="7"/>
  <c r="O408" i="7"/>
  <c r="N408" i="7"/>
  <c r="L408" i="7"/>
  <c r="H408" i="7"/>
  <c r="I408" i="7" s="1"/>
  <c r="F408" i="7"/>
  <c r="C408" i="7"/>
  <c r="AC407" i="7"/>
  <c r="AD407" i="7" s="1"/>
  <c r="AA407" i="7"/>
  <c r="W407" i="7"/>
  <c r="X407" i="7" s="1"/>
  <c r="U407" i="7"/>
  <c r="R407" i="7"/>
  <c r="O407" i="7"/>
  <c r="N407" i="7"/>
  <c r="L407" i="7"/>
  <c r="H407" i="7"/>
  <c r="I407" i="7" s="1"/>
  <c r="F407" i="7"/>
  <c r="C407" i="7"/>
  <c r="Z403" i="7"/>
  <c r="AA403" i="7" s="1"/>
  <c r="T403" i="7"/>
  <c r="Q403" i="7"/>
  <c r="R403" i="7" s="1"/>
  <c r="K403" i="7"/>
  <c r="L403" i="7" s="1"/>
  <c r="H403" i="7"/>
  <c r="I403" i="7" s="1"/>
  <c r="E403" i="7"/>
  <c r="F403" i="7" s="1"/>
  <c r="B403" i="7"/>
  <c r="C403" i="7" s="1"/>
  <c r="AC402" i="7"/>
  <c r="AD402" i="7" s="1"/>
  <c r="AA402" i="7"/>
  <c r="X402" i="7"/>
  <c r="W402" i="7"/>
  <c r="U402" i="7"/>
  <c r="R402" i="7"/>
  <c r="O402" i="7"/>
  <c r="N402" i="7"/>
  <c r="L402" i="7"/>
  <c r="H402" i="7"/>
  <c r="I402" i="7" s="1"/>
  <c r="F402" i="7"/>
  <c r="C402" i="7"/>
  <c r="AC401" i="7"/>
  <c r="AD401" i="7" s="1"/>
  <c r="AA401" i="7"/>
  <c r="X401" i="7"/>
  <c r="W401" i="7"/>
  <c r="U401" i="7"/>
  <c r="R401" i="7"/>
  <c r="N401" i="7"/>
  <c r="O401" i="7" s="1"/>
  <c r="L401" i="7"/>
  <c r="H401" i="7"/>
  <c r="I401" i="7" s="1"/>
  <c r="F401" i="7"/>
  <c r="C401" i="7"/>
  <c r="AC400" i="7"/>
  <c r="AD400" i="7" s="1"/>
  <c r="AA400" i="7"/>
  <c r="X400" i="7"/>
  <c r="W400" i="7"/>
  <c r="U400" i="7"/>
  <c r="R400" i="7"/>
  <c r="O400" i="7"/>
  <c r="N400" i="7"/>
  <c r="L400" i="7"/>
  <c r="H400" i="7"/>
  <c r="I400" i="7" s="1"/>
  <c r="F400" i="7"/>
  <c r="C400" i="7"/>
  <c r="AC399" i="7"/>
  <c r="AD399" i="7" s="1"/>
  <c r="AA399" i="7"/>
  <c r="W399" i="7"/>
  <c r="X399" i="7" s="1"/>
  <c r="U399" i="7"/>
  <c r="R399" i="7"/>
  <c r="O399" i="7"/>
  <c r="N399" i="7"/>
  <c r="L399" i="7"/>
  <c r="H399" i="7"/>
  <c r="I399" i="7" s="1"/>
  <c r="F399" i="7"/>
  <c r="C399" i="7"/>
  <c r="AC398" i="7"/>
  <c r="AD398" i="7" s="1"/>
  <c r="AA398" i="7"/>
  <c r="X398" i="7"/>
  <c r="W398" i="7"/>
  <c r="U398" i="7"/>
  <c r="R398" i="7"/>
  <c r="O398" i="7"/>
  <c r="N398" i="7"/>
  <c r="L398" i="7"/>
  <c r="H398" i="7"/>
  <c r="I398" i="7" s="1"/>
  <c r="F398" i="7"/>
  <c r="C398" i="7"/>
  <c r="AC397" i="7"/>
  <c r="AD397" i="7" s="1"/>
  <c r="AA397" i="7"/>
  <c r="X397" i="7"/>
  <c r="W397" i="7"/>
  <c r="U397" i="7"/>
  <c r="R397" i="7"/>
  <c r="N397" i="7"/>
  <c r="O397" i="7" s="1"/>
  <c r="L397" i="7"/>
  <c r="H397" i="7"/>
  <c r="I397" i="7" s="1"/>
  <c r="F397" i="7"/>
  <c r="C397" i="7"/>
  <c r="Z396" i="7"/>
  <c r="AA396" i="7" s="1"/>
  <c r="W396" i="7"/>
  <c r="X396" i="7" s="1"/>
  <c r="T396" i="7"/>
  <c r="U396" i="7" s="1"/>
  <c r="Q396" i="7"/>
  <c r="R396" i="7" s="1"/>
  <c r="K396" i="7"/>
  <c r="L396" i="7" s="1"/>
  <c r="E396" i="7"/>
  <c r="F396" i="7" s="1"/>
  <c r="B396" i="7"/>
  <c r="C396" i="7" s="1"/>
  <c r="AC395" i="7"/>
  <c r="AD395" i="7" s="1"/>
  <c r="AA395" i="7"/>
  <c r="X395" i="7"/>
  <c r="W395" i="7"/>
  <c r="U395" i="7"/>
  <c r="R395" i="7"/>
  <c r="O395" i="7"/>
  <c r="N395" i="7"/>
  <c r="L395" i="7"/>
  <c r="H395" i="7"/>
  <c r="I395" i="7" s="1"/>
  <c r="F395" i="7"/>
  <c r="C395" i="7"/>
  <c r="AC394" i="7"/>
  <c r="AD394" i="7" s="1"/>
  <c r="AA394" i="7"/>
  <c r="X394" i="7"/>
  <c r="W394" i="7"/>
  <c r="U394" i="7"/>
  <c r="R394" i="7"/>
  <c r="N394" i="7"/>
  <c r="O394" i="7" s="1"/>
  <c r="L394" i="7"/>
  <c r="H394" i="7"/>
  <c r="I394" i="7" s="1"/>
  <c r="F394" i="7"/>
  <c r="C394" i="7"/>
  <c r="Z393" i="7"/>
  <c r="AA393" i="7" s="1"/>
  <c r="W393" i="7"/>
  <c r="X393" i="7" s="1"/>
  <c r="T393" i="7"/>
  <c r="U393" i="7" s="1"/>
  <c r="Q393" i="7"/>
  <c r="R393" i="7" s="1"/>
  <c r="K393" i="7"/>
  <c r="L393" i="7" s="1"/>
  <c r="E393" i="7"/>
  <c r="F393" i="7" s="1"/>
  <c r="B393" i="7"/>
  <c r="C393" i="7" s="1"/>
  <c r="AC392" i="7"/>
  <c r="AD392" i="7" s="1"/>
  <c r="AA392" i="7"/>
  <c r="X392" i="7"/>
  <c r="W392" i="7"/>
  <c r="U392" i="7"/>
  <c r="R392" i="7"/>
  <c r="O392" i="7"/>
  <c r="N392" i="7"/>
  <c r="L392" i="7"/>
  <c r="H392" i="7"/>
  <c r="I392" i="7" s="1"/>
  <c r="F392" i="7"/>
  <c r="C392" i="7"/>
  <c r="AC391" i="7"/>
  <c r="AD391" i="7" s="1"/>
  <c r="AA391" i="7"/>
  <c r="X391" i="7"/>
  <c r="W391" i="7"/>
  <c r="U391" i="7"/>
  <c r="R391" i="7"/>
  <c r="N391" i="7"/>
  <c r="O391" i="7" s="1"/>
  <c r="L391" i="7"/>
  <c r="H391" i="7"/>
  <c r="I391" i="7" s="1"/>
  <c r="F391" i="7"/>
  <c r="C391" i="7"/>
  <c r="AC390" i="7"/>
  <c r="AD390" i="7" s="1"/>
  <c r="AA390" i="7"/>
  <c r="X390" i="7"/>
  <c r="W390" i="7"/>
  <c r="U390" i="7"/>
  <c r="R390" i="7"/>
  <c r="O390" i="7"/>
  <c r="N390" i="7"/>
  <c r="L390" i="7"/>
  <c r="H390" i="7"/>
  <c r="I390" i="7" s="1"/>
  <c r="F390" i="7"/>
  <c r="C390" i="7"/>
  <c r="AC389" i="7"/>
  <c r="AD389" i="7" s="1"/>
  <c r="AA389" i="7"/>
  <c r="W389" i="7"/>
  <c r="X389" i="7" s="1"/>
  <c r="U389" i="7"/>
  <c r="R389" i="7"/>
  <c r="O389" i="7"/>
  <c r="N389" i="7"/>
  <c r="L389" i="7"/>
  <c r="H389" i="7"/>
  <c r="I389" i="7" s="1"/>
  <c r="F389" i="7"/>
  <c r="C389" i="7"/>
  <c r="AC388" i="7"/>
  <c r="AD388" i="7" s="1"/>
  <c r="AA388" i="7"/>
  <c r="X388" i="7"/>
  <c r="W388" i="7"/>
  <c r="U388" i="7"/>
  <c r="R388" i="7"/>
  <c r="O388" i="7"/>
  <c r="N388" i="7"/>
  <c r="L388" i="7"/>
  <c r="H388" i="7"/>
  <c r="I388" i="7" s="1"/>
  <c r="F388" i="7"/>
  <c r="C388" i="7"/>
  <c r="AC386" i="7"/>
  <c r="AD386" i="7" s="1"/>
  <c r="AA386" i="7"/>
  <c r="X386" i="7"/>
  <c r="W386" i="7"/>
  <c r="U386" i="7"/>
  <c r="R386" i="7"/>
  <c r="N386" i="7"/>
  <c r="O386" i="7" s="1"/>
  <c r="L386" i="7"/>
  <c r="H386" i="7"/>
  <c r="I386" i="7" s="1"/>
  <c r="F386" i="7"/>
  <c r="C386" i="7"/>
  <c r="AC385" i="7"/>
  <c r="AD385" i="7" s="1"/>
  <c r="AA385" i="7"/>
  <c r="X385" i="7"/>
  <c r="W385" i="7"/>
  <c r="U385" i="7"/>
  <c r="R385" i="7"/>
  <c r="O385" i="7"/>
  <c r="N385" i="7"/>
  <c r="L385" i="7"/>
  <c r="H385" i="7"/>
  <c r="I385" i="7" s="1"/>
  <c r="F385" i="7"/>
  <c r="C385" i="7"/>
  <c r="AC383" i="7"/>
  <c r="AD383" i="7" s="1"/>
  <c r="AA383" i="7"/>
  <c r="W383" i="7"/>
  <c r="X383" i="7" s="1"/>
  <c r="U383" i="7"/>
  <c r="R383" i="7"/>
  <c r="O383" i="7"/>
  <c r="N383" i="7"/>
  <c r="L383" i="7"/>
  <c r="H383" i="7"/>
  <c r="I383" i="7" s="1"/>
  <c r="F383" i="7"/>
  <c r="C383" i="7"/>
  <c r="AD382" i="7"/>
  <c r="AC382" i="7"/>
  <c r="AA382" i="7"/>
  <c r="X382" i="7"/>
  <c r="W382" i="7"/>
  <c r="U382" i="7"/>
  <c r="R382" i="7"/>
  <c r="O382" i="7"/>
  <c r="N382" i="7"/>
  <c r="L382" i="7"/>
  <c r="H382" i="7"/>
  <c r="I382" i="7" s="1"/>
  <c r="F382" i="7"/>
  <c r="C382" i="7"/>
  <c r="AC381" i="7"/>
  <c r="AD381" i="7" s="1"/>
  <c r="AA381" i="7"/>
  <c r="X381" i="7"/>
  <c r="W381" i="7"/>
  <c r="U381" i="7"/>
  <c r="R381" i="7"/>
  <c r="N381" i="7"/>
  <c r="O381" i="7" s="1"/>
  <c r="L381" i="7"/>
  <c r="I381" i="7"/>
  <c r="H381" i="7"/>
  <c r="F381" i="7"/>
  <c r="C381" i="7"/>
  <c r="AC380" i="7"/>
  <c r="AD380" i="7" s="1"/>
  <c r="AA380" i="7"/>
  <c r="W380" i="7"/>
  <c r="X380" i="7" s="1"/>
  <c r="U380" i="7"/>
  <c r="R380" i="7"/>
  <c r="O380" i="7"/>
  <c r="N380" i="7"/>
  <c r="L380" i="7"/>
  <c r="H380" i="7"/>
  <c r="I380" i="7" s="1"/>
  <c r="F380" i="7"/>
  <c r="C380" i="7"/>
  <c r="AC379" i="7"/>
  <c r="AD379" i="7" s="1"/>
  <c r="AA379" i="7"/>
  <c r="W379" i="7"/>
  <c r="X379" i="7" s="1"/>
  <c r="U379" i="7"/>
  <c r="R379" i="7"/>
  <c r="O379" i="7"/>
  <c r="N379" i="7"/>
  <c r="L379" i="7"/>
  <c r="H379" i="7"/>
  <c r="I379" i="7" s="1"/>
  <c r="F379" i="7"/>
  <c r="C379" i="7"/>
  <c r="AC378" i="7"/>
  <c r="AD378" i="7" s="1"/>
  <c r="AA378" i="7"/>
  <c r="X378" i="7"/>
  <c r="W378" i="7"/>
  <c r="U378" i="7"/>
  <c r="R378" i="7"/>
  <c r="N378" i="7"/>
  <c r="O378" i="7" s="1"/>
  <c r="L378" i="7"/>
  <c r="H378" i="7"/>
  <c r="I378" i="7" s="1"/>
  <c r="F378" i="7"/>
  <c r="C378" i="7"/>
  <c r="AD377" i="7"/>
  <c r="AC377" i="7"/>
  <c r="AA377" i="7"/>
  <c r="X377" i="7"/>
  <c r="W377" i="7"/>
  <c r="U377" i="7"/>
  <c r="R377" i="7"/>
  <c r="N377" i="7"/>
  <c r="O377" i="7" s="1"/>
  <c r="L377" i="7"/>
  <c r="I377" i="7"/>
  <c r="H377" i="7"/>
  <c r="F377" i="7"/>
  <c r="C377" i="7"/>
  <c r="AC376" i="7"/>
  <c r="AD376" i="7" s="1"/>
  <c r="AA376" i="7"/>
  <c r="X376" i="7"/>
  <c r="W376" i="7"/>
  <c r="U376" i="7"/>
  <c r="R376" i="7"/>
  <c r="O376" i="7"/>
  <c r="N376" i="7"/>
  <c r="L376" i="7"/>
  <c r="H376" i="7"/>
  <c r="I376" i="7" s="1"/>
  <c r="F376" i="7"/>
  <c r="C376" i="7"/>
  <c r="AC375" i="7"/>
  <c r="AD375" i="7" s="1"/>
  <c r="AA375" i="7"/>
  <c r="W375" i="7"/>
  <c r="X375" i="7" s="1"/>
  <c r="U375" i="7"/>
  <c r="R375" i="7"/>
  <c r="O375" i="7"/>
  <c r="N375" i="7"/>
  <c r="L375" i="7"/>
  <c r="H375" i="7"/>
  <c r="I375" i="7" s="1"/>
  <c r="F375" i="7"/>
  <c r="C375" i="7"/>
  <c r="AC374" i="7"/>
  <c r="AD374" i="7" s="1"/>
  <c r="AA374" i="7"/>
  <c r="X374" i="7"/>
  <c r="W374" i="7"/>
  <c r="U374" i="7"/>
  <c r="R374" i="7"/>
  <c r="N374" i="7"/>
  <c r="O374" i="7" s="1"/>
  <c r="L374" i="7"/>
  <c r="H374" i="7"/>
  <c r="I374" i="7" s="1"/>
  <c r="F374" i="7"/>
  <c r="C374" i="7"/>
  <c r="AC373" i="7"/>
  <c r="AD373" i="7" s="1"/>
  <c r="AA373" i="7"/>
  <c r="X373" i="7"/>
  <c r="W373" i="7"/>
  <c r="U373" i="7"/>
  <c r="R373" i="7"/>
  <c r="N373" i="7"/>
  <c r="O373" i="7" s="1"/>
  <c r="L373" i="7"/>
  <c r="H373" i="7"/>
  <c r="I373" i="7" s="1"/>
  <c r="F373" i="7"/>
  <c r="C373" i="7"/>
  <c r="AC372" i="7"/>
  <c r="AD372" i="7" s="1"/>
  <c r="AA372" i="7"/>
  <c r="X372" i="7"/>
  <c r="W372" i="7"/>
  <c r="U372" i="7"/>
  <c r="R372" i="7"/>
  <c r="O372" i="7"/>
  <c r="N372" i="7"/>
  <c r="L372" i="7"/>
  <c r="I372" i="7"/>
  <c r="H372" i="7"/>
  <c r="F372" i="7"/>
  <c r="C372" i="7"/>
  <c r="AC371" i="7"/>
  <c r="AD371" i="7" s="1"/>
  <c r="AA371" i="7"/>
  <c r="W371" i="7"/>
  <c r="X371" i="7" s="1"/>
  <c r="U371" i="7"/>
  <c r="R371" i="7"/>
  <c r="O371" i="7"/>
  <c r="N371" i="7"/>
  <c r="L371" i="7"/>
  <c r="H371" i="7"/>
  <c r="I371" i="7" s="1"/>
  <c r="F371" i="7"/>
  <c r="C371" i="7"/>
  <c r="AD370" i="7"/>
  <c r="AC370" i="7"/>
  <c r="AA370" i="7"/>
  <c r="X370" i="7"/>
  <c r="W370" i="7"/>
  <c r="U370" i="7"/>
  <c r="R370" i="7"/>
  <c r="O370" i="7"/>
  <c r="N370" i="7"/>
  <c r="L370" i="7"/>
  <c r="H370" i="7"/>
  <c r="I370" i="7" s="1"/>
  <c r="F370" i="7"/>
  <c r="C370" i="7"/>
  <c r="AC369" i="7"/>
  <c r="AD369" i="7" s="1"/>
  <c r="AA369" i="7"/>
  <c r="X369" i="7"/>
  <c r="W369" i="7"/>
  <c r="U369" i="7"/>
  <c r="R369" i="7"/>
  <c r="N369" i="7"/>
  <c r="O369" i="7" s="1"/>
  <c r="L369" i="7"/>
  <c r="H369" i="7"/>
  <c r="I369" i="7" s="1"/>
  <c r="F369" i="7"/>
  <c r="C369" i="7"/>
  <c r="AA368" i="7"/>
  <c r="Z368" i="7"/>
  <c r="T368" i="7"/>
  <c r="U368" i="7" s="1"/>
  <c r="Q368" i="7"/>
  <c r="R368" i="7" s="1"/>
  <c r="L368" i="7"/>
  <c r="K368" i="7"/>
  <c r="E368" i="7"/>
  <c r="F368" i="7" s="1"/>
  <c r="B368" i="7"/>
  <c r="AD367" i="7"/>
  <c r="AC367" i="7"/>
  <c r="AA367" i="7"/>
  <c r="X367" i="7"/>
  <c r="W367" i="7"/>
  <c r="U367" i="7"/>
  <c r="R367" i="7"/>
  <c r="O367" i="7"/>
  <c r="N367" i="7"/>
  <c r="L367" i="7"/>
  <c r="H367" i="7"/>
  <c r="I367" i="7" s="1"/>
  <c r="F367" i="7"/>
  <c r="C367" i="7"/>
  <c r="AC366" i="7"/>
  <c r="AD366" i="7" s="1"/>
  <c r="AA366" i="7"/>
  <c r="X366" i="7"/>
  <c r="W366" i="7"/>
  <c r="U366" i="7"/>
  <c r="R366" i="7"/>
  <c r="N366" i="7"/>
  <c r="O366" i="7" s="1"/>
  <c r="L366" i="7"/>
  <c r="H366" i="7"/>
  <c r="I366" i="7" s="1"/>
  <c r="F366" i="7"/>
  <c r="C366" i="7"/>
  <c r="AC365" i="7"/>
  <c r="AD365" i="7" s="1"/>
  <c r="AA365" i="7"/>
  <c r="W365" i="7"/>
  <c r="X365" i="7" s="1"/>
  <c r="U365" i="7"/>
  <c r="R365" i="7"/>
  <c r="O365" i="7"/>
  <c r="N365" i="7"/>
  <c r="L365" i="7"/>
  <c r="H365" i="7"/>
  <c r="I365" i="7" s="1"/>
  <c r="F365" i="7"/>
  <c r="C365" i="7"/>
  <c r="AC364" i="7"/>
  <c r="AD364" i="7" s="1"/>
  <c r="AA364" i="7"/>
  <c r="W364" i="7"/>
  <c r="X364" i="7" s="1"/>
  <c r="U364" i="7"/>
  <c r="R364" i="7"/>
  <c r="O364" i="7"/>
  <c r="N364" i="7"/>
  <c r="L364" i="7"/>
  <c r="H364" i="7"/>
  <c r="I364" i="7" s="1"/>
  <c r="F364" i="7"/>
  <c r="C364" i="7"/>
  <c r="AD363" i="7"/>
  <c r="AC363" i="7"/>
  <c r="AA363" i="7"/>
  <c r="X363" i="7"/>
  <c r="W363" i="7"/>
  <c r="U363" i="7"/>
  <c r="R363" i="7"/>
  <c r="O363" i="7"/>
  <c r="N363" i="7"/>
  <c r="L363" i="7"/>
  <c r="H363" i="7"/>
  <c r="I363" i="7" s="1"/>
  <c r="F363" i="7"/>
  <c r="C363" i="7"/>
  <c r="AD362" i="7"/>
  <c r="AC362" i="7"/>
  <c r="AA362" i="7"/>
  <c r="X362" i="7"/>
  <c r="W362" i="7"/>
  <c r="U362" i="7"/>
  <c r="R362" i="7"/>
  <c r="N362" i="7"/>
  <c r="O362" i="7" s="1"/>
  <c r="L362" i="7"/>
  <c r="I362" i="7"/>
  <c r="H362" i="7"/>
  <c r="F362" i="7"/>
  <c r="C362" i="7"/>
  <c r="AC361" i="7"/>
  <c r="AD361" i="7" s="1"/>
  <c r="AA361" i="7"/>
  <c r="W361" i="7"/>
  <c r="X361" i="7" s="1"/>
  <c r="U361" i="7"/>
  <c r="R361" i="7"/>
  <c r="O361" i="7"/>
  <c r="N361" i="7"/>
  <c r="L361" i="7"/>
  <c r="H361" i="7"/>
  <c r="I361" i="7" s="1"/>
  <c r="F361" i="7"/>
  <c r="C361" i="7"/>
  <c r="AC360" i="7"/>
  <c r="AD360" i="7" s="1"/>
  <c r="AA360" i="7"/>
  <c r="W360" i="7"/>
  <c r="X360" i="7" s="1"/>
  <c r="U360" i="7"/>
  <c r="R360" i="7"/>
  <c r="O360" i="7"/>
  <c r="N360" i="7"/>
  <c r="L360" i="7"/>
  <c r="H360" i="7"/>
  <c r="I360" i="7" s="1"/>
  <c r="F360" i="7"/>
  <c r="C360" i="7"/>
  <c r="Z358" i="7"/>
  <c r="AA358" i="7" s="1"/>
  <c r="U358" i="7"/>
  <c r="T358" i="7"/>
  <c r="R358" i="7"/>
  <c r="Q358" i="7"/>
  <c r="K358" i="7"/>
  <c r="L358" i="7" s="1"/>
  <c r="E358" i="7"/>
  <c r="H358" i="7" s="1"/>
  <c r="I358" i="7" s="1"/>
  <c r="B358" i="7"/>
  <c r="C358" i="7" s="1"/>
  <c r="AC357" i="7"/>
  <c r="AD357" i="7" s="1"/>
  <c r="AA357" i="7"/>
  <c r="W357" i="7"/>
  <c r="X357" i="7" s="1"/>
  <c r="U357" i="7"/>
  <c r="R357" i="7"/>
  <c r="O357" i="7"/>
  <c r="N357" i="7"/>
  <c r="L357" i="7"/>
  <c r="H357" i="7"/>
  <c r="I357" i="7" s="1"/>
  <c r="F357" i="7"/>
  <c r="C357" i="7"/>
  <c r="AC356" i="7"/>
  <c r="AD356" i="7" s="1"/>
  <c r="AA356" i="7"/>
  <c r="W356" i="7"/>
  <c r="X356" i="7" s="1"/>
  <c r="U356" i="7"/>
  <c r="R356" i="7"/>
  <c r="O356" i="7"/>
  <c r="N356" i="7"/>
  <c r="L356" i="7"/>
  <c r="H356" i="7"/>
  <c r="I356" i="7" s="1"/>
  <c r="F356" i="7"/>
  <c r="C356" i="7"/>
  <c r="AD355" i="7"/>
  <c r="AC355" i="7"/>
  <c r="AA355" i="7"/>
  <c r="X355" i="7"/>
  <c r="W355" i="7"/>
  <c r="U355" i="7"/>
  <c r="R355" i="7"/>
  <c r="O355" i="7"/>
  <c r="N355" i="7"/>
  <c r="L355" i="7"/>
  <c r="H355" i="7"/>
  <c r="I355" i="7" s="1"/>
  <c r="F355" i="7"/>
  <c r="C355" i="7"/>
  <c r="AD354" i="7"/>
  <c r="AC354" i="7"/>
  <c r="AA354" i="7"/>
  <c r="X354" i="7"/>
  <c r="W354" i="7"/>
  <c r="U354" i="7"/>
  <c r="R354" i="7"/>
  <c r="N354" i="7"/>
  <c r="O354" i="7" s="1"/>
  <c r="L354" i="7"/>
  <c r="I354" i="7"/>
  <c r="H354" i="7"/>
  <c r="F354" i="7"/>
  <c r="C354" i="7"/>
  <c r="AC353" i="7"/>
  <c r="AD353" i="7" s="1"/>
  <c r="AA353" i="7"/>
  <c r="X353" i="7"/>
  <c r="W353" i="7"/>
  <c r="U353" i="7"/>
  <c r="R353" i="7"/>
  <c r="O353" i="7"/>
  <c r="N353" i="7"/>
  <c r="L353" i="7"/>
  <c r="H353" i="7"/>
  <c r="I353" i="7" s="1"/>
  <c r="F353" i="7"/>
  <c r="C353" i="7"/>
  <c r="AC352" i="7"/>
  <c r="AD352" i="7" s="1"/>
  <c r="AA352" i="7"/>
  <c r="W352" i="7"/>
  <c r="X352" i="7" s="1"/>
  <c r="U352" i="7"/>
  <c r="R352" i="7"/>
  <c r="O352" i="7"/>
  <c r="N352" i="7"/>
  <c r="L352" i="7"/>
  <c r="H352" i="7"/>
  <c r="I352" i="7" s="1"/>
  <c r="F352" i="7"/>
  <c r="C352" i="7"/>
  <c r="AD351" i="7"/>
  <c r="AC351" i="7"/>
  <c r="AA351" i="7"/>
  <c r="X351" i="7"/>
  <c r="W351" i="7"/>
  <c r="U351" i="7"/>
  <c r="R351" i="7"/>
  <c r="N351" i="7"/>
  <c r="O351" i="7" s="1"/>
  <c r="L351" i="7"/>
  <c r="H351" i="7"/>
  <c r="I351" i="7" s="1"/>
  <c r="F351" i="7"/>
  <c r="C351" i="7"/>
  <c r="AD350" i="7"/>
  <c r="AC350" i="7"/>
  <c r="AA350" i="7"/>
  <c r="X350" i="7"/>
  <c r="W350" i="7"/>
  <c r="U350" i="7"/>
  <c r="R350" i="7"/>
  <c r="O350" i="7"/>
  <c r="N350" i="7"/>
  <c r="L350" i="7"/>
  <c r="H350" i="7"/>
  <c r="I350" i="7" s="1"/>
  <c r="F350" i="7"/>
  <c r="C350" i="7"/>
  <c r="AC349" i="7"/>
  <c r="AD349" i="7" s="1"/>
  <c r="AA349" i="7"/>
  <c r="X349" i="7"/>
  <c r="W349" i="7"/>
  <c r="U349" i="7"/>
  <c r="R349" i="7"/>
  <c r="O349" i="7"/>
  <c r="N349" i="7"/>
  <c r="L349" i="7"/>
  <c r="I349" i="7"/>
  <c r="H349" i="7"/>
  <c r="F349" i="7"/>
  <c r="C349" i="7"/>
  <c r="AC347" i="7"/>
  <c r="AD347" i="7" s="1"/>
  <c r="AA347" i="7"/>
  <c r="X347" i="7"/>
  <c r="W347" i="7"/>
  <c r="U347" i="7"/>
  <c r="R347" i="7"/>
  <c r="O347" i="7"/>
  <c r="N347" i="7"/>
  <c r="L347" i="7"/>
  <c r="H347" i="7"/>
  <c r="I347" i="7" s="1"/>
  <c r="F347" i="7"/>
  <c r="C347" i="7"/>
  <c r="AA344" i="7"/>
  <c r="Z344" i="7"/>
  <c r="T344" i="7"/>
  <c r="U344" i="7" s="1"/>
  <c r="Q344" i="7"/>
  <c r="AC344" i="7" s="1"/>
  <c r="AD344" i="7" s="1"/>
  <c r="O344" i="7"/>
  <c r="N344" i="7"/>
  <c r="L344" i="7"/>
  <c r="K344" i="7"/>
  <c r="E344" i="7"/>
  <c r="F344" i="7" s="1"/>
  <c r="C344" i="7"/>
  <c r="B344" i="7"/>
  <c r="H344" i="7" s="1"/>
  <c r="I344" i="7" s="1"/>
  <c r="AC343" i="7"/>
  <c r="AD343" i="7" s="1"/>
  <c r="Z343" i="7"/>
  <c r="AA343" i="7" s="1"/>
  <c r="T343" i="7"/>
  <c r="U343" i="7" s="1"/>
  <c r="Q343" i="7"/>
  <c r="W343" i="7" s="1"/>
  <c r="X343" i="7" s="1"/>
  <c r="K343" i="7"/>
  <c r="L343" i="7" s="1"/>
  <c r="E343" i="7"/>
  <c r="F343" i="7" s="1"/>
  <c r="B343" i="7"/>
  <c r="AC342" i="7"/>
  <c r="AD342" i="7" s="1"/>
  <c r="AA342" i="7"/>
  <c r="Z342" i="7"/>
  <c r="X342" i="7"/>
  <c r="W342" i="7"/>
  <c r="T342" i="7"/>
  <c r="U342" i="7" s="1"/>
  <c r="Q342" i="7"/>
  <c r="R342" i="7" s="1"/>
  <c r="O342" i="7"/>
  <c r="N342" i="7"/>
  <c r="L342" i="7"/>
  <c r="K342" i="7"/>
  <c r="H342" i="7"/>
  <c r="I342" i="7" s="1"/>
  <c r="E342" i="7"/>
  <c r="F342" i="7" s="1"/>
  <c r="B342" i="7"/>
  <c r="C342" i="7" s="1"/>
  <c r="AD341" i="7"/>
  <c r="AC341" i="7"/>
  <c r="AA341" i="7"/>
  <c r="X341" i="7"/>
  <c r="W341" i="7"/>
  <c r="U341" i="7"/>
  <c r="R341" i="7"/>
  <c r="N341" i="7"/>
  <c r="O341" i="7" s="1"/>
  <c r="L341" i="7"/>
  <c r="H341" i="7"/>
  <c r="I341" i="7" s="1"/>
  <c r="F341" i="7"/>
  <c r="C341" i="7"/>
  <c r="AD340" i="7"/>
  <c r="AC340" i="7"/>
  <c r="AA340" i="7"/>
  <c r="X340" i="7"/>
  <c r="W340" i="7"/>
  <c r="U340" i="7"/>
  <c r="R340" i="7"/>
  <c r="O340" i="7"/>
  <c r="N340" i="7"/>
  <c r="L340" i="7"/>
  <c r="H340" i="7"/>
  <c r="I340" i="7" s="1"/>
  <c r="F340" i="7"/>
  <c r="C340" i="7"/>
  <c r="AC339" i="7"/>
  <c r="AD339" i="7" s="1"/>
  <c r="AA339" i="7"/>
  <c r="X339" i="7"/>
  <c r="W339" i="7"/>
  <c r="U339" i="7"/>
  <c r="R339" i="7"/>
  <c r="O339" i="7"/>
  <c r="N339" i="7"/>
  <c r="L339" i="7"/>
  <c r="I339" i="7"/>
  <c r="H339" i="7"/>
  <c r="F339" i="7"/>
  <c r="C339" i="7"/>
  <c r="AC338" i="7"/>
  <c r="AD338" i="7" s="1"/>
  <c r="AA338" i="7"/>
  <c r="W338" i="7"/>
  <c r="X338" i="7" s="1"/>
  <c r="U338" i="7"/>
  <c r="R338" i="7"/>
  <c r="O338" i="7"/>
  <c r="N338" i="7"/>
  <c r="L338" i="7"/>
  <c r="H338" i="7"/>
  <c r="I338" i="7" s="1"/>
  <c r="F338" i="7"/>
  <c r="C338" i="7"/>
  <c r="AD337" i="7"/>
  <c r="AC337" i="7"/>
  <c r="AA337" i="7"/>
  <c r="X337" i="7"/>
  <c r="W337" i="7"/>
  <c r="U337" i="7"/>
  <c r="R337" i="7"/>
  <c r="O337" i="7"/>
  <c r="N337" i="7"/>
  <c r="L337" i="7"/>
  <c r="H337" i="7"/>
  <c r="I337" i="7" s="1"/>
  <c r="F337" i="7"/>
  <c r="C337" i="7"/>
  <c r="AC335" i="7"/>
  <c r="AD335" i="7" s="1"/>
  <c r="AA335" i="7"/>
  <c r="X335" i="7"/>
  <c r="W335" i="7"/>
  <c r="U335" i="7"/>
  <c r="R335" i="7"/>
  <c r="N335" i="7"/>
  <c r="O335" i="7" s="1"/>
  <c r="L335" i="7"/>
  <c r="I335" i="7"/>
  <c r="H335" i="7"/>
  <c r="F335" i="7"/>
  <c r="C335" i="7"/>
  <c r="AC334" i="7"/>
  <c r="AD334" i="7" s="1"/>
  <c r="AA334" i="7"/>
  <c r="W334" i="7"/>
  <c r="X334" i="7" s="1"/>
  <c r="U334" i="7"/>
  <c r="R334" i="7"/>
  <c r="O334" i="7"/>
  <c r="N334" i="7"/>
  <c r="L334" i="7"/>
  <c r="H334" i="7"/>
  <c r="I334" i="7" s="1"/>
  <c r="F334" i="7"/>
  <c r="C334" i="7"/>
  <c r="AC333" i="7"/>
  <c r="AD333" i="7" s="1"/>
  <c r="AA333" i="7"/>
  <c r="W333" i="7"/>
  <c r="X333" i="7" s="1"/>
  <c r="U333" i="7"/>
  <c r="R333" i="7"/>
  <c r="O333" i="7"/>
  <c r="N333" i="7"/>
  <c r="L333" i="7"/>
  <c r="H333" i="7"/>
  <c r="I333" i="7" s="1"/>
  <c r="F333" i="7"/>
  <c r="C333" i="7"/>
  <c r="AD332" i="7"/>
  <c r="AC332" i="7"/>
  <c r="AA332" i="7"/>
  <c r="X332" i="7"/>
  <c r="W332" i="7"/>
  <c r="U332" i="7"/>
  <c r="R332" i="7"/>
  <c r="N332" i="7"/>
  <c r="O332" i="7" s="1"/>
  <c r="L332" i="7"/>
  <c r="H332" i="7"/>
  <c r="I332" i="7" s="1"/>
  <c r="F332" i="7"/>
  <c r="C332" i="7"/>
  <c r="AD331" i="7"/>
  <c r="AC331" i="7"/>
  <c r="AA331" i="7"/>
  <c r="X331" i="7"/>
  <c r="W331" i="7"/>
  <c r="U331" i="7"/>
  <c r="R331" i="7"/>
  <c r="O331" i="7"/>
  <c r="N331" i="7"/>
  <c r="L331" i="7"/>
  <c r="H331" i="7"/>
  <c r="I331" i="7" s="1"/>
  <c r="F331" i="7"/>
  <c r="C331" i="7"/>
  <c r="AC330" i="7"/>
  <c r="AD330" i="7" s="1"/>
  <c r="AA330" i="7"/>
  <c r="X330" i="7"/>
  <c r="W330" i="7"/>
  <c r="U330" i="7"/>
  <c r="R330" i="7"/>
  <c r="O330" i="7"/>
  <c r="N330" i="7"/>
  <c r="L330" i="7"/>
  <c r="I330" i="7"/>
  <c r="H330" i="7"/>
  <c r="F330" i="7"/>
  <c r="C330" i="7"/>
  <c r="AC329" i="7"/>
  <c r="AD329" i="7" s="1"/>
  <c r="AA329" i="7"/>
  <c r="X329" i="7"/>
  <c r="W329" i="7"/>
  <c r="U329" i="7"/>
  <c r="R329" i="7"/>
  <c r="O329" i="7"/>
  <c r="N329" i="7"/>
  <c r="L329" i="7"/>
  <c r="H329" i="7"/>
  <c r="I329" i="7" s="1"/>
  <c r="F329" i="7"/>
  <c r="C329" i="7"/>
  <c r="AD328" i="7"/>
  <c r="AC328" i="7"/>
  <c r="AA328" i="7"/>
  <c r="X328" i="7"/>
  <c r="W328" i="7"/>
  <c r="U328" i="7"/>
  <c r="R328" i="7"/>
  <c r="O328" i="7"/>
  <c r="N328" i="7"/>
  <c r="L328" i="7"/>
  <c r="H328" i="7"/>
  <c r="I328" i="7" s="1"/>
  <c r="F328" i="7"/>
  <c r="C328" i="7"/>
  <c r="AA325" i="7"/>
  <c r="Z325" i="7"/>
  <c r="T325" i="7"/>
  <c r="U325" i="7" s="1"/>
  <c r="Q325" i="7"/>
  <c r="N325" i="7"/>
  <c r="O325" i="7" s="1"/>
  <c r="K325" i="7"/>
  <c r="L325" i="7" s="1"/>
  <c r="F325" i="7"/>
  <c r="E325" i="7"/>
  <c r="B325" i="7"/>
  <c r="AC324" i="7"/>
  <c r="AD324" i="7" s="1"/>
  <c r="Z324" i="7"/>
  <c r="AA324" i="7" s="1"/>
  <c r="T324" i="7"/>
  <c r="U324" i="7" s="1"/>
  <c r="Q324" i="7"/>
  <c r="W324" i="7" s="1"/>
  <c r="X324" i="7" s="1"/>
  <c r="L324" i="7"/>
  <c r="K324" i="7"/>
  <c r="E324" i="7"/>
  <c r="F324" i="7" s="1"/>
  <c r="B324" i="7"/>
  <c r="N324" i="7" s="1"/>
  <c r="O324" i="7" s="1"/>
  <c r="AD323" i="7"/>
  <c r="AC323" i="7"/>
  <c r="AA323" i="7"/>
  <c r="W323" i="7"/>
  <c r="X323" i="7" s="1"/>
  <c r="U323" i="7"/>
  <c r="R323" i="7"/>
  <c r="O323" i="7"/>
  <c r="N323" i="7"/>
  <c r="L323" i="7"/>
  <c r="H323" i="7"/>
  <c r="I323" i="7" s="1"/>
  <c r="F323" i="7"/>
  <c r="C323" i="7"/>
  <c r="AC322" i="7"/>
  <c r="AD322" i="7" s="1"/>
  <c r="AA322" i="7"/>
  <c r="X322" i="7"/>
  <c r="W322" i="7"/>
  <c r="U322" i="7"/>
  <c r="R322" i="7"/>
  <c r="O322" i="7"/>
  <c r="N322" i="7"/>
  <c r="L322" i="7"/>
  <c r="I322" i="7"/>
  <c r="H322" i="7"/>
  <c r="F322" i="7"/>
  <c r="C322" i="7"/>
  <c r="AC321" i="7"/>
  <c r="AD321" i="7" s="1"/>
  <c r="AA321" i="7"/>
  <c r="X321" i="7"/>
  <c r="W321" i="7"/>
  <c r="U321" i="7"/>
  <c r="R321" i="7"/>
  <c r="N321" i="7"/>
  <c r="O321" i="7" s="1"/>
  <c r="L321" i="7"/>
  <c r="I321" i="7"/>
  <c r="H321" i="7"/>
  <c r="F321" i="7"/>
  <c r="C321" i="7"/>
  <c r="AC320" i="7"/>
  <c r="AD320" i="7" s="1"/>
  <c r="AA320" i="7"/>
  <c r="W320" i="7"/>
  <c r="X320" i="7" s="1"/>
  <c r="U320" i="7"/>
  <c r="R320" i="7"/>
  <c r="O320" i="7"/>
  <c r="N320" i="7"/>
  <c r="L320" i="7"/>
  <c r="H320" i="7"/>
  <c r="I320" i="7" s="1"/>
  <c r="F320" i="7"/>
  <c r="C320" i="7"/>
  <c r="AD319" i="7"/>
  <c r="AC319" i="7"/>
  <c r="AA319" i="7"/>
  <c r="W319" i="7"/>
  <c r="X319" i="7" s="1"/>
  <c r="U319" i="7"/>
  <c r="R319" i="7"/>
  <c r="O319" i="7"/>
  <c r="N319" i="7"/>
  <c r="L319" i="7"/>
  <c r="H319" i="7"/>
  <c r="I319" i="7" s="1"/>
  <c r="F319" i="7"/>
  <c r="C319" i="7"/>
  <c r="AC318" i="7"/>
  <c r="AD318" i="7" s="1"/>
  <c r="AA318" i="7"/>
  <c r="X318" i="7"/>
  <c r="W318" i="7"/>
  <c r="U318" i="7"/>
  <c r="R318" i="7"/>
  <c r="O318" i="7"/>
  <c r="N318" i="7"/>
  <c r="L318" i="7"/>
  <c r="I318" i="7"/>
  <c r="H318" i="7"/>
  <c r="F318" i="7"/>
  <c r="C318" i="7"/>
  <c r="AC317" i="7"/>
  <c r="AD317" i="7" s="1"/>
  <c r="AA317" i="7"/>
  <c r="X317" i="7"/>
  <c r="W317" i="7"/>
  <c r="U317" i="7"/>
  <c r="R317" i="7"/>
  <c r="N317" i="7"/>
  <c r="O317" i="7" s="1"/>
  <c r="L317" i="7"/>
  <c r="I317" i="7"/>
  <c r="H317" i="7"/>
  <c r="F317" i="7"/>
  <c r="C317" i="7"/>
  <c r="AC316" i="7"/>
  <c r="AD316" i="7" s="1"/>
  <c r="AA316" i="7"/>
  <c r="X316" i="7"/>
  <c r="W316" i="7"/>
  <c r="U316" i="7"/>
  <c r="R316" i="7"/>
  <c r="O316" i="7"/>
  <c r="N316" i="7"/>
  <c r="L316" i="7"/>
  <c r="I316" i="7"/>
  <c r="H316" i="7"/>
  <c r="F316" i="7"/>
  <c r="C316" i="7"/>
  <c r="AD315" i="7"/>
  <c r="AC315" i="7"/>
  <c r="AA315" i="7"/>
  <c r="W315" i="7"/>
  <c r="X315" i="7" s="1"/>
  <c r="U315" i="7"/>
  <c r="R315" i="7"/>
  <c r="O315" i="7"/>
  <c r="N315" i="7"/>
  <c r="L315" i="7"/>
  <c r="H315" i="7"/>
  <c r="I315" i="7" s="1"/>
  <c r="F315" i="7"/>
  <c r="C315" i="7"/>
  <c r="AD314" i="7"/>
  <c r="AC314" i="7"/>
  <c r="AA314" i="7"/>
  <c r="X314" i="7"/>
  <c r="W314" i="7"/>
  <c r="U314" i="7"/>
  <c r="R314" i="7"/>
  <c r="O314" i="7"/>
  <c r="N314" i="7"/>
  <c r="L314" i="7"/>
  <c r="I314" i="7"/>
  <c r="H314" i="7"/>
  <c r="F314" i="7"/>
  <c r="C314" i="7"/>
  <c r="AC313" i="7"/>
  <c r="AD313" i="7" s="1"/>
  <c r="AA313" i="7"/>
  <c r="X313" i="7"/>
  <c r="W313" i="7"/>
  <c r="U313" i="7"/>
  <c r="R313" i="7"/>
  <c r="N313" i="7"/>
  <c r="O313" i="7" s="1"/>
  <c r="L313" i="7"/>
  <c r="I313" i="7"/>
  <c r="H313" i="7"/>
  <c r="F313" i="7"/>
  <c r="C313" i="7"/>
  <c r="AC312" i="7"/>
  <c r="AD312" i="7" s="1"/>
  <c r="AA312" i="7"/>
  <c r="W312" i="7"/>
  <c r="X312" i="7" s="1"/>
  <c r="U312" i="7"/>
  <c r="R312" i="7"/>
  <c r="O312" i="7"/>
  <c r="N312" i="7"/>
  <c r="L312" i="7"/>
  <c r="H312" i="7"/>
  <c r="I312" i="7" s="1"/>
  <c r="F312" i="7"/>
  <c r="C312" i="7"/>
  <c r="AD311" i="7"/>
  <c r="AC311" i="7"/>
  <c r="AA311" i="7"/>
  <c r="W311" i="7"/>
  <c r="X311" i="7" s="1"/>
  <c r="U311" i="7"/>
  <c r="R311" i="7"/>
  <c r="O311" i="7"/>
  <c r="N311" i="7"/>
  <c r="L311" i="7"/>
  <c r="H311" i="7"/>
  <c r="I311" i="7" s="1"/>
  <c r="F311" i="7"/>
  <c r="C311" i="7"/>
  <c r="AC310" i="7"/>
  <c r="AD310" i="7" s="1"/>
  <c r="AA310" i="7"/>
  <c r="X310" i="7"/>
  <c r="W310" i="7"/>
  <c r="U310" i="7"/>
  <c r="R310" i="7"/>
  <c r="O310" i="7"/>
  <c r="N310" i="7"/>
  <c r="L310" i="7"/>
  <c r="I310" i="7"/>
  <c r="H310" i="7"/>
  <c r="F310" i="7"/>
  <c r="C310" i="7"/>
  <c r="AC309" i="7"/>
  <c r="AD309" i="7" s="1"/>
  <c r="AA309" i="7"/>
  <c r="X309" i="7"/>
  <c r="W309" i="7"/>
  <c r="U309" i="7"/>
  <c r="R309" i="7"/>
  <c r="N309" i="7"/>
  <c r="O309" i="7" s="1"/>
  <c r="L309" i="7"/>
  <c r="I309" i="7"/>
  <c r="H309" i="7"/>
  <c r="F309" i="7"/>
  <c r="C309" i="7"/>
  <c r="AC308" i="7"/>
  <c r="AD308" i="7" s="1"/>
  <c r="AA308" i="7"/>
  <c r="X308" i="7"/>
  <c r="W308" i="7"/>
  <c r="U308" i="7"/>
  <c r="R308" i="7"/>
  <c r="O308" i="7"/>
  <c r="N308" i="7"/>
  <c r="L308" i="7"/>
  <c r="H308" i="7"/>
  <c r="I308" i="7" s="1"/>
  <c r="F308" i="7"/>
  <c r="C308" i="7"/>
  <c r="AD307" i="7"/>
  <c r="AC307" i="7"/>
  <c r="AA307" i="7"/>
  <c r="W307" i="7"/>
  <c r="X307" i="7" s="1"/>
  <c r="U307" i="7"/>
  <c r="R307" i="7"/>
  <c r="O307" i="7"/>
  <c r="N307" i="7"/>
  <c r="L307" i="7"/>
  <c r="H307" i="7"/>
  <c r="I307" i="7" s="1"/>
  <c r="F307" i="7"/>
  <c r="C307" i="7"/>
  <c r="AC306" i="7"/>
  <c r="AD306" i="7" s="1"/>
  <c r="AA306" i="7"/>
  <c r="X306" i="7"/>
  <c r="W306" i="7"/>
  <c r="U306" i="7"/>
  <c r="R306" i="7"/>
  <c r="O306" i="7"/>
  <c r="N306" i="7"/>
  <c r="L306" i="7"/>
  <c r="I306" i="7"/>
  <c r="H306" i="7"/>
  <c r="F306" i="7"/>
  <c r="C306" i="7"/>
  <c r="AD305" i="7"/>
  <c r="AC305" i="7"/>
  <c r="AA305" i="7"/>
  <c r="X305" i="7"/>
  <c r="W305" i="7"/>
  <c r="U305" i="7"/>
  <c r="R305" i="7"/>
  <c r="N305" i="7"/>
  <c r="O305" i="7" s="1"/>
  <c r="L305" i="7"/>
  <c r="I305" i="7"/>
  <c r="H305" i="7"/>
  <c r="F305" i="7"/>
  <c r="C305" i="7"/>
  <c r="AC304" i="7"/>
  <c r="AD304" i="7" s="1"/>
  <c r="AA304" i="7"/>
  <c r="W304" i="7"/>
  <c r="X304" i="7" s="1"/>
  <c r="U304" i="7"/>
  <c r="R304" i="7"/>
  <c r="O304" i="7"/>
  <c r="N304" i="7"/>
  <c r="L304" i="7"/>
  <c r="H304" i="7"/>
  <c r="I304" i="7" s="1"/>
  <c r="F304" i="7"/>
  <c r="C304" i="7"/>
  <c r="AD303" i="7"/>
  <c r="AC303" i="7"/>
  <c r="AA303" i="7"/>
  <c r="W303" i="7"/>
  <c r="X303" i="7" s="1"/>
  <c r="U303" i="7"/>
  <c r="R303" i="7"/>
  <c r="O303" i="7"/>
  <c r="N303" i="7"/>
  <c r="L303" i="7"/>
  <c r="H303" i="7"/>
  <c r="I303" i="7" s="1"/>
  <c r="F303" i="7"/>
  <c r="C303" i="7"/>
  <c r="AC302" i="7"/>
  <c r="AD302" i="7" s="1"/>
  <c r="AA302" i="7"/>
  <c r="X302" i="7"/>
  <c r="W302" i="7"/>
  <c r="U302" i="7"/>
  <c r="R302" i="7"/>
  <c r="O302" i="7"/>
  <c r="N302" i="7"/>
  <c r="L302" i="7"/>
  <c r="I302" i="7"/>
  <c r="H302" i="7"/>
  <c r="F302" i="7"/>
  <c r="C302" i="7"/>
  <c r="AC301" i="7"/>
  <c r="AD301" i="7" s="1"/>
  <c r="AA301" i="7"/>
  <c r="X301" i="7"/>
  <c r="W301" i="7"/>
  <c r="U301" i="7"/>
  <c r="R301" i="7"/>
  <c r="N301" i="7"/>
  <c r="O301" i="7" s="1"/>
  <c r="L301" i="7"/>
  <c r="I301" i="7"/>
  <c r="H301" i="7"/>
  <c r="F301" i="7"/>
  <c r="C301" i="7"/>
  <c r="AC300" i="7"/>
  <c r="AD300" i="7" s="1"/>
  <c r="AA300" i="7"/>
  <c r="X300" i="7"/>
  <c r="W300" i="7"/>
  <c r="U300" i="7"/>
  <c r="R300" i="7"/>
  <c r="O300" i="7"/>
  <c r="N300" i="7"/>
  <c r="L300" i="7"/>
  <c r="H300" i="7"/>
  <c r="I300" i="7" s="1"/>
  <c r="F300" i="7"/>
  <c r="C300" i="7"/>
  <c r="AD299" i="7"/>
  <c r="AC299" i="7"/>
  <c r="AA299" i="7"/>
  <c r="W299" i="7"/>
  <c r="X299" i="7" s="1"/>
  <c r="U299" i="7"/>
  <c r="R299" i="7"/>
  <c r="O299" i="7"/>
  <c r="N299" i="7"/>
  <c r="L299" i="7"/>
  <c r="H299" i="7"/>
  <c r="I299" i="7" s="1"/>
  <c r="F299" i="7"/>
  <c r="C299" i="7"/>
  <c r="AC298" i="7"/>
  <c r="AD298" i="7" s="1"/>
  <c r="AA298" i="7"/>
  <c r="X298" i="7"/>
  <c r="W298" i="7"/>
  <c r="U298" i="7"/>
  <c r="R298" i="7"/>
  <c r="N298" i="7"/>
  <c r="O298" i="7" s="1"/>
  <c r="L298" i="7"/>
  <c r="I298" i="7"/>
  <c r="H298" i="7"/>
  <c r="F298" i="7"/>
  <c r="C298" i="7"/>
  <c r="AC297" i="7"/>
  <c r="AD297" i="7" s="1"/>
  <c r="AA297" i="7"/>
  <c r="X297" i="7"/>
  <c r="W297" i="7"/>
  <c r="U297" i="7"/>
  <c r="R297" i="7"/>
  <c r="N297" i="7"/>
  <c r="O297" i="7" s="1"/>
  <c r="L297" i="7"/>
  <c r="H297" i="7"/>
  <c r="I297" i="7" s="1"/>
  <c r="F297" i="7"/>
  <c r="C297" i="7"/>
  <c r="AA295" i="7"/>
  <c r="Z295" i="7"/>
  <c r="W295" i="7"/>
  <c r="X295" i="7" s="1"/>
  <c r="U295" i="7"/>
  <c r="T295" i="7"/>
  <c r="Q295" i="7"/>
  <c r="R295" i="7" s="1"/>
  <c r="K295" i="7"/>
  <c r="L295" i="7" s="1"/>
  <c r="E295" i="7"/>
  <c r="F295" i="7" s="1"/>
  <c r="C295" i="7"/>
  <c r="B295" i="7"/>
  <c r="AD294" i="7"/>
  <c r="AC294" i="7"/>
  <c r="AA294" i="7"/>
  <c r="X294" i="7"/>
  <c r="W294" i="7"/>
  <c r="U294" i="7"/>
  <c r="R294" i="7"/>
  <c r="N294" i="7"/>
  <c r="O294" i="7" s="1"/>
  <c r="L294" i="7"/>
  <c r="I294" i="7"/>
  <c r="H294" i="7"/>
  <c r="F294" i="7"/>
  <c r="C294" i="7"/>
  <c r="AD293" i="7"/>
  <c r="AC293" i="7"/>
  <c r="AA293" i="7"/>
  <c r="X293" i="7"/>
  <c r="W293" i="7"/>
  <c r="U293" i="7"/>
  <c r="R293" i="7"/>
  <c r="N293" i="7"/>
  <c r="O293" i="7" s="1"/>
  <c r="L293" i="7"/>
  <c r="H293" i="7"/>
  <c r="I293" i="7" s="1"/>
  <c r="F293" i="7"/>
  <c r="C293" i="7"/>
  <c r="AC292" i="7"/>
  <c r="AD292" i="7" s="1"/>
  <c r="AA292" i="7"/>
  <c r="X292" i="7"/>
  <c r="W292" i="7"/>
  <c r="U292" i="7"/>
  <c r="R292" i="7"/>
  <c r="O292" i="7"/>
  <c r="N292" i="7"/>
  <c r="L292" i="7"/>
  <c r="H292" i="7"/>
  <c r="I292" i="7" s="1"/>
  <c r="F292" i="7"/>
  <c r="C292" i="7"/>
  <c r="AD291" i="7"/>
  <c r="AC291" i="7"/>
  <c r="AA291" i="7"/>
  <c r="W291" i="7"/>
  <c r="X291" i="7" s="1"/>
  <c r="U291" i="7"/>
  <c r="R291" i="7"/>
  <c r="O291" i="7"/>
  <c r="N291" i="7"/>
  <c r="L291" i="7"/>
  <c r="H291" i="7"/>
  <c r="I291" i="7" s="1"/>
  <c r="F291" i="7"/>
  <c r="C291" i="7"/>
  <c r="AC290" i="7"/>
  <c r="AD290" i="7" s="1"/>
  <c r="AA290" i="7"/>
  <c r="X290" i="7"/>
  <c r="W290" i="7"/>
  <c r="U290" i="7"/>
  <c r="R290" i="7"/>
  <c r="N290" i="7"/>
  <c r="O290" i="7" s="1"/>
  <c r="L290" i="7"/>
  <c r="I290" i="7"/>
  <c r="H290" i="7"/>
  <c r="F290" i="7"/>
  <c r="C290" i="7"/>
  <c r="AD289" i="7"/>
  <c r="AC289" i="7"/>
  <c r="AA289" i="7"/>
  <c r="W289" i="7"/>
  <c r="X289" i="7" s="1"/>
  <c r="U289" i="7"/>
  <c r="R289" i="7"/>
  <c r="N289" i="7"/>
  <c r="O289" i="7" s="1"/>
  <c r="L289" i="7"/>
  <c r="H289" i="7"/>
  <c r="I289" i="7" s="1"/>
  <c r="F289" i="7"/>
  <c r="C289" i="7"/>
  <c r="AC288" i="7"/>
  <c r="AD288" i="7" s="1"/>
  <c r="AA288" i="7"/>
  <c r="W288" i="7"/>
  <c r="X288" i="7" s="1"/>
  <c r="U288" i="7"/>
  <c r="R288" i="7"/>
  <c r="O288" i="7"/>
  <c r="N288" i="7"/>
  <c r="L288" i="7"/>
  <c r="I288" i="7"/>
  <c r="H288" i="7"/>
  <c r="F288" i="7"/>
  <c r="C288" i="7"/>
  <c r="AD287" i="7"/>
  <c r="AC287" i="7"/>
  <c r="AA287" i="7"/>
  <c r="W287" i="7"/>
  <c r="X287" i="7" s="1"/>
  <c r="U287" i="7"/>
  <c r="R287" i="7"/>
  <c r="O287" i="7"/>
  <c r="N287" i="7"/>
  <c r="L287" i="7"/>
  <c r="H287" i="7"/>
  <c r="I287" i="7" s="1"/>
  <c r="F287" i="7"/>
  <c r="C287" i="7"/>
  <c r="AD286" i="7"/>
  <c r="AC286" i="7"/>
  <c r="AA286" i="7"/>
  <c r="X286" i="7"/>
  <c r="W286" i="7"/>
  <c r="U286" i="7"/>
  <c r="R286" i="7"/>
  <c r="O286" i="7"/>
  <c r="N286" i="7"/>
  <c r="L286" i="7"/>
  <c r="I286" i="7"/>
  <c r="H286" i="7"/>
  <c r="F286" i="7"/>
  <c r="C286" i="7"/>
  <c r="AC284" i="7"/>
  <c r="AD284" i="7" s="1"/>
  <c r="AA284" i="7"/>
  <c r="Z284" i="7"/>
  <c r="T284" i="7"/>
  <c r="U284" i="7" s="1"/>
  <c r="Q284" i="7"/>
  <c r="L284" i="7"/>
  <c r="K284" i="7"/>
  <c r="F284" i="7"/>
  <c r="E284" i="7"/>
  <c r="B284" i="7"/>
  <c r="AD283" i="7"/>
  <c r="AC283" i="7"/>
  <c r="AA283" i="7"/>
  <c r="W283" i="7"/>
  <c r="X283" i="7" s="1"/>
  <c r="U283" i="7"/>
  <c r="R283" i="7"/>
  <c r="N283" i="7"/>
  <c r="O283" i="7" s="1"/>
  <c r="L283" i="7"/>
  <c r="H283" i="7"/>
  <c r="I283" i="7" s="1"/>
  <c r="F283" i="7"/>
  <c r="C283" i="7"/>
  <c r="AD282" i="7"/>
  <c r="AC282" i="7"/>
  <c r="AA282" i="7"/>
  <c r="X282" i="7"/>
  <c r="W282" i="7"/>
  <c r="U282" i="7"/>
  <c r="R282" i="7"/>
  <c r="N282" i="7"/>
  <c r="O282" i="7" s="1"/>
  <c r="L282" i="7"/>
  <c r="I282" i="7"/>
  <c r="H282" i="7"/>
  <c r="F282" i="7"/>
  <c r="C282" i="7"/>
  <c r="AD281" i="7"/>
  <c r="AC281" i="7"/>
  <c r="AA281" i="7"/>
  <c r="W281" i="7"/>
  <c r="X281" i="7" s="1"/>
  <c r="U281" i="7"/>
  <c r="R281" i="7"/>
  <c r="N281" i="7"/>
  <c r="O281" i="7" s="1"/>
  <c r="L281" i="7"/>
  <c r="H281" i="7"/>
  <c r="I281" i="7" s="1"/>
  <c r="F281" i="7"/>
  <c r="C281" i="7"/>
  <c r="AC280" i="7"/>
  <c r="AD280" i="7" s="1"/>
  <c r="AA280" i="7"/>
  <c r="W280" i="7"/>
  <c r="X280" i="7" s="1"/>
  <c r="U280" i="7"/>
  <c r="R280" i="7"/>
  <c r="O280" i="7"/>
  <c r="N280" i="7"/>
  <c r="L280" i="7"/>
  <c r="I280" i="7"/>
  <c r="H280" i="7"/>
  <c r="F280" i="7"/>
  <c r="C280" i="7"/>
  <c r="AD279" i="7"/>
  <c r="AC279" i="7"/>
  <c r="AA279" i="7"/>
  <c r="W279" i="7"/>
  <c r="X279" i="7" s="1"/>
  <c r="U279" i="7"/>
  <c r="R279" i="7"/>
  <c r="O279" i="7"/>
  <c r="N279" i="7"/>
  <c r="L279" i="7"/>
  <c r="H279" i="7"/>
  <c r="I279" i="7" s="1"/>
  <c r="F279" i="7"/>
  <c r="C279" i="7"/>
  <c r="AD278" i="7"/>
  <c r="AC278" i="7"/>
  <c r="AA278" i="7"/>
  <c r="X278" i="7"/>
  <c r="W278" i="7"/>
  <c r="U278" i="7"/>
  <c r="R278" i="7"/>
  <c r="N278" i="7"/>
  <c r="O278" i="7" s="1"/>
  <c r="L278" i="7"/>
  <c r="I278" i="7"/>
  <c r="H278" i="7"/>
  <c r="F278" i="7"/>
  <c r="C278" i="7"/>
  <c r="AC277" i="7"/>
  <c r="AD277" i="7" s="1"/>
  <c r="AA277" i="7"/>
  <c r="X277" i="7"/>
  <c r="W277" i="7"/>
  <c r="U277" i="7"/>
  <c r="R277" i="7"/>
  <c r="N277" i="7"/>
  <c r="O277" i="7" s="1"/>
  <c r="L277" i="7"/>
  <c r="H277" i="7"/>
  <c r="I277" i="7" s="1"/>
  <c r="F277" i="7"/>
  <c r="C277" i="7"/>
  <c r="AC276" i="7"/>
  <c r="AD276" i="7" s="1"/>
  <c r="AA276" i="7"/>
  <c r="W276" i="7"/>
  <c r="X276" i="7" s="1"/>
  <c r="U276" i="7"/>
  <c r="R276" i="7"/>
  <c r="O276" i="7"/>
  <c r="N276" i="7"/>
  <c r="L276" i="7"/>
  <c r="I276" i="7"/>
  <c r="H276" i="7"/>
  <c r="F276" i="7"/>
  <c r="C276" i="7"/>
  <c r="AD275" i="7"/>
  <c r="AC275" i="7"/>
  <c r="AA275" i="7"/>
  <c r="W275" i="7"/>
  <c r="X275" i="7" s="1"/>
  <c r="U275" i="7"/>
  <c r="R275" i="7"/>
  <c r="N275" i="7"/>
  <c r="O275" i="7" s="1"/>
  <c r="L275" i="7"/>
  <c r="H275" i="7"/>
  <c r="I275" i="7" s="1"/>
  <c r="F275" i="7"/>
  <c r="C275" i="7"/>
  <c r="AA273" i="7"/>
  <c r="Z273" i="7"/>
  <c r="U273" i="7"/>
  <c r="T273" i="7"/>
  <c r="R273" i="7"/>
  <c r="Q273" i="7"/>
  <c r="K273" i="7"/>
  <c r="L273" i="7" s="1"/>
  <c r="F273" i="7"/>
  <c r="E273" i="7"/>
  <c r="H273" i="7" s="1"/>
  <c r="I273" i="7" s="1"/>
  <c r="B273" i="7"/>
  <c r="N273" i="7" s="1"/>
  <c r="O273" i="7" s="1"/>
  <c r="AC272" i="7"/>
  <c r="AD272" i="7" s="1"/>
  <c r="AA272" i="7"/>
  <c r="W272" i="7"/>
  <c r="X272" i="7" s="1"/>
  <c r="U272" i="7"/>
  <c r="R272" i="7"/>
  <c r="O272" i="7"/>
  <c r="N272" i="7"/>
  <c r="L272" i="7"/>
  <c r="H272" i="7"/>
  <c r="I272" i="7" s="1"/>
  <c r="F272" i="7"/>
  <c r="C272" i="7"/>
  <c r="AD271" i="7"/>
  <c r="AC271" i="7"/>
  <c r="AA271" i="7"/>
  <c r="W271" i="7"/>
  <c r="X271" i="7" s="1"/>
  <c r="U271" i="7"/>
  <c r="R271" i="7"/>
  <c r="N271" i="7"/>
  <c r="O271" i="7" s="1"/>
  <c r="L271" i="7"/>
  <c r="H271" i="7"/>
  <c r="I271" i="7" s="1"/>
  <c r="F271" i="7"/>
  <c r="C271" i="7"/>
  <c r="AC270" i="7"/>
  <c r="AD270" i="7" s="1"/>
  <c r="AA270" i="7"/>
  <c r="X270" i="7"/>
  <c r="W270" i="7"/>
  <c r="U270" i="7"/>
  <c r="R270" i="7"/>
  <c r="N270" i="7"/>
  <c r="O270" i="7" s="1"/>
  <c r="L270" i="7"/>
  <c r="H270" i="7"/>
  <c r="I270" i="7" s="1"/>
  <c r="F270" i="7"/>
  <c r="C270" i="7"/>
  <c r="AD269" i="7"/>
  <c r="AC269" i="7"/>
  <c r="AA269" i="7"/>
  <c r="X269" i="7"/>
  <c r="W269" i="7"/>
  <c r="U269" i="7"/>
  <c r="R269" i="7"/>
  <c r="N269" i="7"/>
  <c r="O269" i="7" s="1"/>
  <c r="L269" i="7"/>
  <c r="H269" i="7"/>
  <c r="I269" i="7" s="1"/>
  <c r="F269" i="7"/>
  <c r="C269" i="7"/>
  <c r="Z267" i="7"/>
  <c r="AA267" i="7" s="1"/>
  <c r="W267" i="7"/>
  <c r="X267" i="7" s="1"/>
  <c r="T267" i="7"/>
  <c r="U267" i="7" s="1"/>
  <c r="Q267" i="7"/>
  <c r="R267" i="7" s="1"/>
  <c r="L267" i="7"/>
  <c r="K267" i="7"/>
  <c r="E267" i="7"/>
  <c r="F267" i="7" s="1"/>
  <c r="B267" i="7"/>
  <c r="H267" i="7" s="1"/>
  <c r="I267" i="7" s="1"/>
  <c r="AC266" i="7"/>
  <c r="AD266" i="7" s="1"/>
  <c r="AA266" i="7"/>
  <c r="X266" i="7"/>
  <c r="W266" i="7"/>
  <c r="U266" i="7"/>
  <c r="R266" i="7"/>
  <c r="O266" i="7"/>
  <c r="N266" i="7"/>
  <c r="L266" i="7"/>
  <c r="H266" i="7"/>
  <c r="I266" i="7" s="1"/>
  <c r="F266" i="7"/>
  <c r="C266" i="7"/>
  <c r="AC265" i="7"/>
  <c r="AD265" i="7" s="1"/>
  <c r="AA265" i="7"/>
  <c r="X265" i="7"/>
  <c r="W265" i="7"/>
  <c r="U265" i="7"/>
  <c r="R265" i="7"/>
  <c r="N265" i="7"/>
  <c r="O265" i="7" s="1"/>
  <c r="L265" i="7"/>
  <c r="H265" i="7"/>
  <c r="I265" i="7" s="1"/>
  <c r="F265" i="7"/>
  <c r="C265" i="7"/>
  <c r="AA263" i="7"/>
  <c r="Z263" i="7"/>
  <c r="T263" i="7"/>
  <c r="W263" i="7" s="1"/>
  <c r="X263" i="7" s="1"/>
  <c r="Q263" i="7"/>
  <c r="R263" i="7" s="1"/>
  <c r="N263" i="7"/>
  <c r="O263" i="7" s="1"/>
  <c r="K263" i="7"/>
  <c r="L263" i="7" s="1"/>
  <c r="I263" i="7"/>
  <c r="H263" i="7"/>
  <c r="E263" i="7"/>
  <c r="F263" i="7" s="1"/>
  <c r="C263" i="7"/>
  <c r="B263" i="7"/>
  <c r="Z262" i="7"/>
  <c r="AA262" i="7" s="1"/>
  <c r="T262" i="7"/>
  <c r="U262" i="7" s="1"/>
  <c r="R262" i="7"/>
  <c r="Q262" i="7"/>
  <c r="K262" i="7"/>
  <c r="L262" i="7" s="1"/>
  <c r="F262" i="7"/>
  <c r="E262" i="7"/>
  <c r="H262" i="7" s="1"/>
  <c r="I262" i="7" s="1"/>
  <c r="B262" i="7"/>
  <c r="N262" i="7" s="1"/>
  <c r="O262" i="7" s="1"/>
  <c r="AC261" i="7"/>
  <c r="AD261" i="7" s="1"/>
  <c r="AA261" i="7"/>
  <c r="W261" i="7"/>
  <c r="X261" i="7" s="1"/>
  <c r="U261" i="7"/>
  <c r="R261" i="7"/>
  <c r="O261" i="7"/>
  <c r="N261" i="7"/>
  <c r="L261" i="7"/>
  <c r="H261" i="7"/>
  <c r="I261" i="7" s="1"/>
  <c r="F261" i="7"/>
  <c r="C261" i="7"/>
  <c r="AD260" i="7"/>
  <c r="AC260" i="7"/>
  <c r="AA260" i="7"/>
  <c r="W260" i="7"/>
  <c r="X260" i="7" s="1"/>
  <c r="U260" i="7"/>
  <c r="R260" i="7"/>
  <c r="N260" i="7"/>
  <c r="O260" i="7" s="1"/>
  <c r="L260" i="7"/>
  <c r="H260" i="7"/>
  <c r="I260" i="7" s="1"/>
  <c r="F260" i="7"/>
  <c r="C260" i="7"/>
  <c r="AC259" i="7"/>
  <c r="AD259" i="7" s="1"/>
  <c r="AA259" i="7"/>
  <c r="X259" i="7"/>
  <c r="W259" i="7"/>
  <c r="U259" i="7"/>
  <c r="R259" i="7"/>
  <c r="N259" i="7"/>
  <c r="O259" i="7" s="1"/>
  <c r="L259" i="7"/>
  <c r="I259" i="7"/>
  <c r="H259" i="7"/>
  <c r="F259" i="7"/>
  <c r="C259" i="7"/>
  <c r="AD258" i="7"/>
  <c r="AC258" i="7"/>
  <c r="AA258" i="7"/>
  <c r="X258" i="7"/>
  <c r="W258" i="7"/>
  <c r="U258" i="7"/>
  <c r="R258" i="7"/>
  <c r="N258" i="7"/>
  <c r="O258" i="7" s="1"/>
  <c r="L258" i="7"/>
  <c r="H258" i="7"/>
  <c r="I258" i="7" s="1"/>
  <c r="F258" i="7"/>
  <c r="C258" i="7"/>
  <c r="AC257" i="7"/>
  <c r="AD257" i="7" s="1"/>
  <c r="AA257" i="7"/>
  <c r="W257" i="7"/>
  <c r="X257" i="7" s="1"/>
  <c r="U257" i="7"/>
  <c r="R257" i="7"/>
  <c r="O257" i="7"/>
  <c r="N257" i="7"/>
  <c r="L257" i="7"/>
  <c r="I257" i="7"/>
  <c r="H257" i="7"/>
  <c r="F257" i="7"/>
  <c r="C257" i="7"/>
  <c r="AC256" i="7"/>
  <c r="AD256" i="7" s="1"/>
  <c r="AA256" i="7"/>
  <c r="W256" i="7"/>
  <c r="X256" i="7" s="1"/>
  <c r="U256" i="7"/>
  <c r="R256" i="7"/>
  <c r="O256" i="7"/>
  <c r="N256" i="7"/>
  <c r="L256" i="7"/>
  <c r="H256" i="7"/>
  <c r="I256" i="7" s="1"/>
  <c r="F256" i="7"/>
  <c r="C256" i="7"/>
  <c r="AD255" i="7"/>
  <c r="AC255" i="7"/>
  <c r="AA255" i="7"/>
  <c r="X255" i="7"/>
  <c r="W255" i="7"/>
  <c r="U255" i="7"/>
  <c r="R255" i="7"/>
  <c r="N255" i="7"/>
  <c r="O255" i="7" s="1"/>
  <c r="L255" i="7"/>
  <c r="I255" i="7"/>
  <c r="H255" i="7"/>
  <c r="F255" i="7"/>
  <c r="C255" i="7"/>
  <c r="AD254" i="7"/>
  <c r="AC254" i="7"/>
  <c r="AA254" i="7"/>
  <c r="W254" i="7"/>
  <c r="X254" i="7" s="1"/>
  <c r="U254" i="7"/>
  <c r="R254" i="7"/>
  <c r="N254" i="7"/>
  <c r="O254" i="7" s="1"/>
  <c r="L254" i="7"/>
  <c r="I254" i="7"/>
  <c r="H254" i="7"/>
  <c r="F254" i="7"/>
  <c r="C254" i="7"/>
  <c r="AC253" i="7"/>
  <c r="AD253" i="7" s="1"/>
  <c r="AA253" i="7"/>
  <c r="W253" i="7"/>
  <c r="X253" i="7" s="1"/>
  <c r="U253" i="7"/>
  <c r="R253" i="7"/>
  <c r="O253" i="7"/>
  <c r="N253" i="7"/>
  <c r="L253" i="7"/>
  <c r="H253" i="7"/>
  <c r="I253" i="7" s="1"/>
  <c r="F253" i="7"/>
  <c r="C253" i="7"/>
  <c r="AD252" i="7"/>
  <c r="AC252" i="7"/>
  <c r="AA252" i="7"/>
  <c r="W252" i="7"/>
  <c r="X252" i="7" s="1"/>
  <c r="U252" i="7"/>
  <c r="R252" i="7"/>
  <c r="N252" i="7"/>
  <c r="O252" i="7" s="1"/>
  <c r="L252" i="7"/>
  <c r="H252" i="7"/>
  <c r="I252" i="7" s="1"/>
  <c r="F252" i="7"/>
  <c r="C252" i="7"/>
  <c r="AC251" i="7"/>
  <c r="AD251" i="7" s="1"/>
  <c r="AA251" i="7"/>
  <c r="X251" i="7"/>
  <c r="W251" i="7"/>
  <c r="U251" i="7"/>
  <c r="R251" i="7"/>
  <c r="N251" i="7"/>
  <c r="O251" i="7" s="1"/>
  <c r="L251" i="7"/>
  <c r="I251" i="7"/>
  <c r="H251" i="7"/>
  <c r="F251" i="7"/>
  <c r="C251" i="7"/>
  <c r="AD250" i="7"/>
  <c r="AC250" i="7"/>
  <c r="AA250" i="7"/>
  <c r="X250" i="7"/>
  <c r="W250" i="7"/>
  <c r="U250" i="7"/>
  <c r="R250" i="7"/>
  <c r="N250" i="7"/>
  <c r="O250" i="7" s="1"/>
  <c r="L250" i="7"/>
  <c r="H250" i="7"/>
  <c r="I250" i="7" s="1"/>
  <c r="F250" i="7"/>
  <c r="C250" i="7"/>
  <c r="AC249" i="7"/>
  <c r="AD249" i="7" s="1"/>
  <c r="AA249" i="7"/>
  <c r="W249" i="7"/>
  <c r="X249" i="7" s="1"/>
  <c r="U249" i="7"/>
  <c r="R249" i="7"/>
  <c r="O249" i="7"/>
  <c r="N249" i="7"/>
  <c r="L249" i="7"/>
  <c r="I249" i="7"/>
  <c r="H249" i="7"/>
  <c r="F249" i="7"/>
  <c r="C249" i="7"/>
  <c r="AC248" i="7"/>
  <c r="AD248" i="7" s="1"/>
  <c r="AA248" i="7"/>
  <c r="W248" i="7"/>
  <c r="X248" i="7" s="1"/>
  <c r="U248" i="7"/>
  <c r="R248" i="7"/>
  <c r="O248" i="7"/>
  <c r="N248" i="7"/>
  <c r="L248" i="7"/>
  <c r="H248" i="7"/>
  <c r="I248" i="7" s="1"/>
  <c r="F248" i="7"/>
  <c r="C248" i="7"/>
  <c r="AD247" i="7"/>
  <c r="AC247" i="7"/>
  <c r="AA247" i="7"/>
  <c r="X247" i="7"/>
  <c r="W247" i="7"/>
  <c r="U247" i="7"/>
  <c r="R247" i="7"/>
  <c r="O247" i="7"/>
  <c r="N247" i="7"/>
  <c r="L247" i="7"/>
  <c r="I247" i="7"/>
  <c r="H247" i="7"/>
  <c r="F247" i="7"/>
  <c r="C247" i="7"/>
  <c r="AC246" i="7"/>
  <c r="AD246" i="7" s="1"/>
  <c r="AA246" i="7"/>
  <c r="W246" i="7"/>
  <c r="X246" i="7" s="1"/>
  <c r="U246" i="7"/>
  <c r="R246" i="7"/>
  <c r="N246" i="7"/>
  <c r="O246" i="7" s="1"/>
  <c r="L246" i="7"/>
  <c r="H246" i="7"/>
  <c r="I246" i="7" s="1"/>
  <c r="F246" i="7"/>
  <c r="C246" i="7"/>
  <c r="AC245" i="7"/>
  <c r="AD245" i="7" s="1"/>
  <c r="AA245" i="7"/>
  <c r="W245" i="7"/>
  <c r="X245" i="7" s="1"/>
  <c r="U245" i="7"/>
  <c r="R245" i="7"/>
  <c r="O245" i="7"/>
  <c r="N245" i="7"/>
  <c r="L245" i="7"/>
  <c r="H245" i="7"/>
  <c r="I245" i="7" s="1"/>
  <c r="F245" i="7"/>
  <c r="C245" i="7"/>
  <c r="AD244" i="7"/>
  <c r="AC244" i="7"/>
  <c r="AA244" i="7"/>
  <c r="W244" i="7"/>
  <c r="X244" i="7" s="1"/>
  <c r="U244" i="7"/>
  <c r="R244" i="7"/>
  <c r="N244" i="7"/>
  <c r="O244" i="7" s="1"/>
  <c r="L244" i="7"/>
  <c r="H244" i="7"/>
  <c r="I244" i="7" s="1"/>
  <c r="F244" i="7"/>
  <c r="C244" i="7"/>
  <c r="AC243" i="7"/>
  <c r="AD243" i="7" s="1"/>
  <c r="AA243" i="7"/>
  <c r="X243" i="7"/>
  <c r="W243" i="7"/>
  <c r="U243" i="7"/>
  <c r="R243" i="7"/>
  <c r="N243" i="7"/>
  <c r="O243" i="7" s="1"/>
  <c r="L243" i="7"/>
  <c r="H243" i="7"/>
  <c r="I243" i="7" s="1"/>
  <c r="F243" i="7"/>
  <c r="C243" i="7"/>
  <c r="AD242" i="7"/>
  <c r="AC242" i="7"/>
  <c r="AA242" i="7"/>
  <c r="X242" i="7"/>
  <c r="W242" i="7"/>
  <c r="U242" i="7"/>
  <c r="R242" i="7"/>
  <c r="N242" i="7"/>
  <c r="O242" i="7" s="1"/>
  <c r="L242" i="7"/>
  <c r="H242" i="7"/>
  <c r="I242" i="7" s="1"/>
  <c r="F242" i="7"/>
  <c r="C242" i="7"/>
  <c r="AC241" i="7"/>
  <c r="AD241" i="7" s="1"/>
  <c r="AA241" i="7"/>
  <c r="X241" i="7"/>
  <c r="W241" i="7"/>
  <c r="U241" i="7"/>
  <c r="R241" i="7"/>
  <c r="O241" i="7"/>
  <c r="N241" i="7"/>
  <c r="L241" i="7"/>
  <c r="H241" i="7"/>
  <c r="I241" i="7" s="1"/>
  <c r="F241" i="7"/>
  <c r="C241" i="7"/>
  <c r="AC240" i="7"/>
  <c r="AD240" i="7" s="1"/>
  <c r="AA240" i="7"/>
  <c r="X240" i="7"/>
  <c r="W240" i="7"/>
  <c r="U240" i="7"/>
  <c r="R240" i="7"/>
  <c r="N240" i="7"/>
  <c r="O240" i="7" s="1"/>
  <c r="L240" i="7"/>
  <c r="H240" i="7"/>
  <c r="I240" i="7" s="1"/>
  <c r="F240" i="7"/>
  <c r="C240" i="7"/>
  <c r="AD238" i="7"/>
  <c r="AC238" i="7"/>
  <c r="AA238" i="7"/>
  <c r="X238" i="7"/>
  <c r="W238" i="7"/>
  <c r="U238" i="7"/>
  <c r="R238" i="7"/>
  <c r="N238" i="7"/>
  <c r="O238" i="7" s="1"/>
  <c r="L238" i="7"/>
  <c r="H238" i="7"/>
  <c r="I238" i="7" s="1"/>
  <c r="F238" i="7"/>
  <c r="C238" i="7"/>
  <c r="AD236" i="7"/>
  <c r="AA236" i="7"/>
  <c r="Z236" i="7"/>
  <c r="W236" i="7"/>
  <c r="X236" i="7" s="1"/>
  <c r="T236" i="7"/>
  <c r="U236" i="7" s="1"/>
  <c r="R236" i="7"/>
  <c r="Q236" i="7"/>
  <c r="AC236" i="7" s="1"/>
  <c r="N236" i="7"/>
  <c r="O236" i="7" s="1"/>
  <c r="L236" i="7"/>
  <c r="K236" i="7"/>
  <c r="H236" i="7"/>
  <c r="I236" i="7" s="1"/>
  <c r="F236" i="7"/>
  <c r="E236" i="7"/>
  <c r="C236" i="7"/>
  <c r="B236" i="7"/>
  <c r="AD235" i="7"/>
  <c r="AC235" i="7"/>
  <c r="AA235" i="7"/>
  <c r="X235" i="7"/>
  <c r="W235" i="7"/>
  <c r="U235" i="7"/>
  <c r="R235" i="7"/>
  <c r="N235" i="7"/>
  <c r="O235" i="7" s="1"/>
  <c r="L235" i="7"/>
  <c r="H235" i="7"/>
  <c r="I235" i="7" s="1"/>
  <c r="F235" i="7"/>
  <c r="C235" i="7"/>
  <c r="AD234" i="7"/>
  <c r="AC234" i="7"/>
  <c r="AA234" i="7"/>
  <c r="X234" i="7"/>
  <c r="W234" i="7"/>
  <c r="U234" i="7"/>
  <c r="R234" i="7"/>
  <c r="O234" i="7"/>
  <c r="N234" i="7"/>
  <c r="L234" i="7"/>
  <c r="H234" i="7"/>
  <c r="I234" i="7" s="1"/>
  <c r="F234" i="7"/>
  <c r="C234" i="7"/>
  <c r="AC233" i="7"/>
  <c r="AD233" i="7" s="1"/>
  <c r="AA233" i="7"/>
  <c r="X233" i="7"/>
  <c r="W233" i="7"/>
  <c r="U233" i="7"/>
  <c r="R233" i="7"/>
  <c r="N233" i="7"/>
  <c r="O233" i="7" s="1"/>
  <c r="L233" i="7"/>
  <c r="I233" i="7"/>
  <c r="H233" i="7"/>
  <c r="F233" i="7"/>
  <c r="C233" i="7"/>
  <c r="AC232" i="7"/>
  <c r="AD232" i="7" s="1"/>
  <c r="AA232" i="7"/>
  <c r="X232" i="7"/>
  <c r="W232" i="7"/>
  <c r="U232" i="7"/>
  <c r="R232" i="7"/>
  <c r="O232" i="7"/>
  <c r="N232" i="7"/>
  <c r="L232" i="7"/>
  <c r="H232" i="7"/>
  <c r="I232" i="7" s="1"/>
  <c r="F232" i="7"/>
  <c r="C232" i="7"/>
  <c r="AD231" i="7"/>
  <c r="AC231" i="7"/>
  <c r="AA231" i="7"/>
  <c r="X231" i="7"/>
  <c r="W231" i="7"/>
  <c r="U231" i="7"/>
  <c r="R231" i="7"/>
  <c r="N231" i="7"/>
  <c r="O231" i="7" s="1"/>
  <c r="L231" i="7"/>
  <c r="H231" i="7"/>
  <c r="I231" i="7" s="1"/>
  <c r="F231" i="7"/>
  <c r="C231" i="7"/>
  <c r="AC230" i="7"/>
  <c r="AD230" i="7" s="1"/>
  <c r="AA230" i="7"/>
  <c r="X230" i="7"/>
  <c r="W230" i="7"/>
  <c r="U230" i="7"/>
  <c r="R230" i="7"/>
  <c r="N230" i="7"/>
  <c r="O230" i="7" s="1"/>
  <c r="L230" i="7"/>
  <c r="I230" i="7"/>
  <c r="H230" i="7"/>
  <c r="F230" i="7"/>
  <c r="C230" i="7"/>
  <c r="AD229" i="7"/>
  <c r="AC229" i="7"/>
  <c r="AA229" i="7"/>
  <c r="W229" i="7"/>
  <c r="X229" i="7" s="1"/>
  <c r="U229" i="7"/>
  <c r="R229" i="7"/>
  <c r="O229" i="7"/>
  <c r="N229" i="7"/>
  <c r="L229" i="7"/>
  <c r="H229" i="7"/>
  <c r="I229" i="7" s="1"/>
  <c r="F229" i="7"/>
  <c r="C229" i="7"/>
  <c r="AA227" i="7"/>
  <c r="Z227" i="7"/>
  <c r="W227" i="7"/>
  <c r="X227" i="7" s="1"/>
  <c r="T227" i="7"/>
  <c r="U227" i="7" s="1"/>
  <c r="Q227" i="7"/>
  <c r="N227" i="7"/>
  <c r="O227" i="7" s="1"/>
  <c r="L227" i="7"/>
  <c r="K227" i="7"/>
  <c r="I227" i="7"/>
  <c r="H227" i="7"/>
  <c r="E227" i="7"/>
  <c r="F227" i="7" s="1"/>
  <c r="C227" i="7"/>
  <c r="B227" i="7"/>
  <c r="AD226" i="7"/>
  <c r="AC226" i="7"/>
  <c r="AA226" i="7"/>
  <c r="X226" i="7"/>
  <c r="W226" i="7"/>
  <c r="U226" i="7"/>
  <c r="R226" i="7"/>
  <c r="N226" i="7"/>
  <c r="O226" i="7" s="1"/>
  <c r="L226" i="7"/>
  <c r="H226" i="7"/>
  <c r="I226" i="7" s="1"/>
  <c r="F226" i="7"/>
  <c r="C226" i="7"/>
  <c r="AD225" i="7"/>
  <c r="AC225" i="7"/>
  <c r="AA225" i="7"/>
  <c r="X225" i="7"/>
  <c r="W225" i="7"/>
  <c r="U225" i="7"/>
  <c r="R225" i="7"/>
  <c r="O225" i="7"/>
  <c r="N225" i="7"/>
  <c r="L225" i="7"/>
  <c r="I225" i="7"/>
  <c r="H225" i="7"/>
  <c r="F225" i="7"/>
  <c r="C225" i="7"/>
  <c r="AC224" i="7"/>
  <c r="AD224" i="7" s="1"/>
  <c r="AA224" i="7"/>
  <c r="X224" i="7"/>
  <c r="W224" i="7"/>
  <c r="U224" i="7"/>
  <c r="R224" i="7"/>
  <c r="O224" i="7"/>
  <c r="N224" i="7"/>
  <c r="L224" i="7"/>
  <c r="I224" i="7"/>
  <c r="H224" i="7"/>
  <c r="F224" i="7"/>
  <c r="C224" i="7"/>
  <c r="AD223" i="7"/>
  <c r="AC223" i="7"/>
  <c r="AA223" i="7"/>
  <c r="X223" i="7"/>
  <c r="W223" i="7"/>
  <c r="U223" i="7"/>
  <c r="R223" i="7"/>
  <c r="O223" i="7"/>
  <c r="N223" i="7"/>
  <c r="L223" i="7"/>
  <c r="H223" i="7"/>
  <c r="I223" i="7" s="1"/>
  <c r="F223" i="7"/>
  <c r="C223" i="7"/>
  <c r="AD222" i="7"/>
  <c r="AC222" i="7"/>
  <c r="AA222" i="7"/>
  <c r="X222" i="7"/>
  <c r="W222" i="7"/>
  <c r="U222" i="7"/>
  <c r="R222" i="7"/>
  <c r="O222" i="7"/>
  <c r="N222" i="7"/>
  <c r="L222" i="7"/>
  <c r="I222" i="7"/>
  <c r="H222" i="7"/>
  <c r="F222" i="7"/>
  <c r="C222" i="7"/>
  <c r="AD221" i="7"/>
  <c r="AC221" i="7"/>
  <c r="AA221" i="7"/>
  <c r="W221" i="7"/>
  <c r="X221" i="7" s="1"/>
  <c r="U221" i="7"/>
  <c r="R221" i="7"/>
  <c r="O221" i="7"/>
  <c r="N221" i="7"/>
  <c r="L221" i="7"/>
  <c r="I221" i="7"/>
  <c r="H221" i="7"/>
  <c r="F221" i="7"/>
  <c r="C221" i="7"/>
  <c r="AC220" i="7"/>
  <c r="AD220" i="7" s="1"/>
  <c r="AA220" i="7"/>
  <c r="W220" i="7"/>
  <c r="X220" i="7" s="1"/>
  <c r="U220" i="7"/>
  <c r="R220" i="7"/>
  <c r="O220" i="7"/>
  <c r="N220" i="7"/>
  <c r="L220" i="7"/>
  <c r="I220" i="7"/>
  <c r="H220" i="7"/>
  <c r="F220" i="7"/>
  <c r="C220" i="7"/>
  <c r="AC219" i="7"/>
  <c r="AD219" i="7" s="1"/>
  <c r="AA219" i="7"/>
  <c r="W219" i="7"/>
  <c r="X219" i="7" s="1"/>
  <c r="U219" i="7"/>
  <c r="R219" i="7"/>
  <c r="O219" i="7"/>
  <c r="N219" i="7"/>
  <c r="L219" i="7"/>
  <c r="H219" i="7"/>
  <c r="I219" i="7" s="1"/>
  <c r="F219" i="7"/>
  <c r="C219" i="7"/>
  <c r="AC218" i="7"/>
  <c r="AD218" i="7" s="1"/>
  <c r="AA218" i="7"/>
  <c r="Z218" i="7"/>
  <c r="W218" i="7"/>
  <c r="X218" i="7" s="1"/>
  <c r="U218" i="7"/>
  <c r="T218" i="7"/>
  <c r="R218" i="7"/>
  <c r="Q218" i="7"/>
  <c r="O218" i="7"/>
  <c r="N218" i="7"/>
  <c r="K218" i="7"/>
  <c r="L218" i="7" s="1"/>
  <c r="E218" i="7"/>
  <c r="F218" i="7" s="1"/>
  <c r="B218" i="7"/>
  <c r="AC217" i="7"/>
  <c r="AD217" i="7" s="1"/>
  <c r="AA217" i="7"/>
  <c r="X217" i="7"/>
  <c r="W217" i="7"/>
  <c r="U217" i="7"/>
  <c r="R217" i="7"/>
  <c r="N217" i="7"/>
  <c r="O217" i="7" s="1"/>
  <c r="L217" i="7"/>
  <c r="H217" i="7"/>
  <c r="I217" i="7" s="1"/>
  <c r="F217" i="7"/>
  <c r="C217" i="7"/>
  <c r="AD216" i="7"/>
  <c r="AC216" i="7"/>
  <c r="AA216" i="7"/>
  <c r="X216" i="7"/>
  <c r="W216" i="7"/>
  <c r="U216" i="7"/>
  <c r="R216" i="7"/>
  <c r="N216" i="7"/>
  <c r="O216" i="7" s="1"/>
  <c r="L216" i="7"/>
  <c r="I216" i="7"/>
  <c r="H216" i="7"/>
  <c r="F216" i="7"/>
  <c r="C216" i="7"/>
  <c r="AD215" i="7"/>
  <c r="AC215" i="7"/>
  <c r="AA215" i="7"/>
  <c r="X215" i="7"/>
  <c r="W215" i="7"/>
  <c r="U215" i="7"/>
  <c r="R215" i="7"/>
  <c r="O215" i="7"/>
  <c r="N215" i="7"/>
  <c r="L215" i="7"/>
  <c r="I215" i="7"/>
  <c r="H215" i="7"/>
  <c r="F215" i="7"/>
  <c r="C215" i="7"/>
  <c r="AC214" i="7"/>
  <c r="AD214" i="7" s="1"/>
  <c r="AA214" i="7"/>
  <c r="W214" i="7"/>
  <c r="X214" i="7" s="1"/>
  <c r="U214" i="7"/>
  <c r="R214" i="7"/>
  <c r="O214" i="7"/>
  <c r="N214" i="7"/>
  <c r="L214" i="7"/>
  <c r="I214" i="7"/>
  <c r="H214" i="7"/>
  <c r="F214" i="7"/>
  <c r="C214" i="7"/>
  <c r="AD213" i="7"/>
  <c r="AC213" i="7"/>
  <c r="AA213" i="7"/>
  <c r="X213" i="7"/>
  <c r="W213" i="7"/>
  <c r="U213" i="7"/>
  <c r="R213" i="7"/>
  <c r="N213" i="7"/>
  <c r="O213" i="7" s="1"/>
  <c r="L213" i="7"/>
  <c r="H213" i="7"/>
  <c r="I213" i="7" s="1"/>
  <c r="F213" i="7"/>
  <c r="C213" i="7"/>
  <c r="AC211" i="7"/>
  <c r="AD211" i="7" s="1"/>
  <c r="AA211" i="7"/>
  <c r="X211" i="7"/>
  <c r="W211" i="7"/>
  <c r="U211" i="7"/>
  <c r="R211" i="7"/>
  <c r="N211" i="7"/>
  <c r="O211" i="7" s="1"/>
  <c r="L211" i="7"/>
  <c r="I211" i="7"/>
  <c r="H211" i="7"/>
  <c r="F211" i="7"/>
  <c r="C211" i="7"/>
  <c r="AA209" i="7"/>
  <c r="Z209" i="7"/>
  <c r="T209" i="7"/>
  <c r="U209" i="7" s="1"/>
  <c r="R209" i="7"/>
  <c r="Q209" i="7"/>
  <c r="AC209" i="7" s="1"/>
  <c r="AD209" i="7" s="1"/>
  <c r="K209" i="7"/>
  <c r="L209" i="7" s="1"/>
  <c r="F209" i="7"/>
  <c r="E209" i="7"/>
  <c r="C209" i="7"/>
  <c r="B209" i="7"/>
  <c r="H209" i="7" s="1"/>
  <c r="I209" i="7" s="1"/>
  <c r="AD208" i="7"/>
  <c r="AC208" i="7"/>
  <c r="AA208" i="7"/>
  <c r="X208" i="7"/>
  <c r="W208" i="7"/>
  <c r="U208" i="7"/>
  <c r="R208" i="7"/>
  <c r="O208" i="7"/>
  <c r="N208" i="7"/>
  <c r="L208" i="7"/>
  <c r="H208" i="7"/>
  <c r="I208" i="7" s="1"/>
  <c r="F208" i="7"/>
  <c r="C208" i="7"/>
  <c r="AC207" i="7"/>
  <c r="AD207" i="7" s="1"/>
  <c r="AA207" i="7"/>
  <c r="X207" i="7"/>
  <c r="W207" i="7"/>
  <c r="U207" i="7"/>
  <c r="R207" i="7"/>
  <c r="N207" i="7"/>
  <c r="O207" i="7" s="1"/>
  <c r="L207" i="7"/>
  <c r="I207" i="7"/>
  <c r="H207" i="7"/>
  <c r="F207" i="7"/>
  <c r="C207" i="7"/>
  <c r="AD206" i="7"/>
  <c r="AC206" i="7"/>
  <c r="AA206" i="7"/>
  <c r="W206" i="7"/>
  <c r="X206" i="7" s="1"/>
  <c r="U206" i="7"/>
  <c r="R206" i="7"/>
  <c r="O206" i="7"/>
  <c r="N206" i="7"/>
  <c r="L206" i="7"/>
  <c r="I206" i="7"/>
  <c r="H206" i="7"/>
  <c r="F206" i="7"/>
  <c r="C206" i="7"/>
  <c r="AC205" i="7"/>
  <c r="AD205" i="7" s="1"/>
  <c r="AA205" i="7"/>
  <c r="W205" i="7"/>
  <c r="X205" i="7" s="1"/>
  <c r="U205" i="7"/>
  <c r="R205" i="7"/>
  <c r="O205" i="7"/>
  <c r="N205" i="7"/>
  <c r="L205" i="7"/>
  <c r="I205" i="7"/>
  <c r="H205" i="7"/>
  <c r="F205" i="7"/>
  <c r="C205" i="7"/>
  <c r="AD204" i="7"/>
  <c r="AC204" i="7"/>
  <c r="AA204" i="7"/>
  <c r="X204" i="7"/>
  <c r="W204" i="7"/>
  <c r="U204" i="7"/>
  <c r="R204" i="7"/>
  <c r="N204" i="7"/>
  <c r="O204" i="7" s="1"/>
  <c r="L204" i="7"/>
  <c r="H204" i="7"/>
  <c r="I204" i="7" s="1"/>
  <c r="F204" i="7"/>
  <c r="C204" i="7"/>
  <c r="AC203" i="7"/>
  <c r="AD203" i="7" s="1"/>
  <c r="AA203" i="7"/>
  <c r="X203" i="7"/>
  <c r="W203" i="7"/>
  <c r="U203" i="7"/>
  <c r="R203" i="7"/>
  <c r="N203" i="7"/>
  <c r="O203" i="7" s="1"/>
  <c r="L203" i="7"/>
  <c r="I203" i="7"/>
  <c r="H203" i="7"/>
  <c r="F203" i="7"/>
  <c r="C203" i="7"/>
  <c r="AD202" i="7"/>
  <c r="AC202" i="7"/>
  <c r="AA202" i="7"/>
  <c r="W202" i="7"/>
  <c r="X202" i="7" s="1"/>
  <c r="U202" i="7"/>
  <c r="R202" i="7"/>
  <c r="O202" i="7"/>
  <c r="N202" i="7"/>
  <c r="L202" i="7"/>
  <c r="I202" i="7"/>
  <c r="H202" i="7"/>
  <c r="F202" i="7"/>
  <c r="C202" i="7"/>
  <c r="AC201" i="7"/>
  <c r="AD201" i="7" s="1"/>
  <c r="AA201" i="7"/>
  <c r="W201" i="7"/>
  <c r="X201" i="7" s="1"/>
  <c r="U201" i="7"/>
  <c r="R201" i="7"/>
  <c r="O201" i="7"/>
  <c r="N201" i="7"/>
  <c r="L201" i="7"/>
  <c r="I201" i="7"/>
  <c r="H201" i="7"/>
  <c r="F201" i="7"/>
  <c r="C201" i="7"/>
  <c r="T198" i="7"/>
  <c r="Z197" i="7"/>
  <c r="AA197" i="7" s="1"/>
  <c r="X197" i="7"/>
  <c r="W197" i="7"/>
  <c r="T197" i="7"/>
  <c r="U197" i="7" s="1"/>
  <c r="R197" i="7"/>
  <c r="Q197" i="7"/>
  <c r="L197" i="7"/>
  <c r="K197" i="7"/>
  <c r="F197" i="7"/>
  <c r="E197" i="7"/>
  <c r="B197" i="7"/>
  <c r="Z196" i="7"/>
  <c r="AA196" i="7" s="1"/>
  <c r="U196" i="7"/>
  <c r="T196" i="7"/>
  <c r="R196" i="7"/>
  <c r="Q196" i="7"/>
  <c r="W196" i="7" s="1"/>
  <c r="X196" i="7" s="1"/>
  <c r="N196" i="7"/>
  <c r="O196" i="7" s="1"/>
  <c r="L196" i="7"/>
  <c r="K196" i="7"/>
  <c r="I196" i="7"/>
  <c r="H196" i="7"/>
  <c r="E196" i="7"/>
  <c r="F196" i="7" s="1"/>
  <c r="B196" i="7"/>
  <c r="C196" i="7" s="1"/>
  <c r="AD195" i="7"/>
  <c r="AC195" i="7"/>
  <c r="AA195" i="7"/>
  <c r="X195" i="7"/>
  <c r="W195" i="7"/>
  <c r="U195" i="7"/>
  <c r="R195" i="7"/>
  <c r="O195" i="7"/>
  <c r="N195" i="7"/>
  <c r="L195" i="7"/>
  <c r="H195" i="7"/>
  <c r="I195" i="7" s="1"/>
  <c r="F195" i="7"/>
  <c r="C195" i="7"/>
  <c r="AC194" i="7"/>
  <c r="AD194" i="7" s="1"/>
  <c r="AA194" i="7"/>
  <c r="W194" i="7"/>
  <c r="X194" i="7" s="1"/>
  <c r="U194" i="7"/>
  <c r="R194" i="7"/>
  <c r="O194" i="7"/>
  <c r="N194" i="7"/>
  <c r="L194" i="7"/>
  <c r="I194" i="7"/>
  <c r="H194" i="7"/>
  <c r="F194" i="7"/>
  <c r="C194" i="7"/>
  <c r="AC193" i="7"/>
  <c r="AD193" i="7" s="1"/>
  <c r="Z193" i="7"/>
  <c r="AA193" i="7" s="1"/>
  <c r="T193" i="7"/>
  <c r="U193" i="7" s="1"/>
  <c r="Q193" i="7"/>
  <c r="L193" i="7"/>
  <c r="K193" i="7"/>
  <c r="F193" i="7"/>
  <c r="E193" i="7"/>
  <c r="B193" i="7"/>
  <c r="AD192" i="7"/>
  <c r="AC192" i="7"/>
  <c r="AA192" i="7"/>
  <c r="X192" i="7"/>
  <c r="W192" i="7"/>
  <c r="U192" i="7"/>
  <c r="R192" i="7"/>
  <c r="O192" i="7"/>
  <c r="N192" i="7"/>
  <c r="L192" i="7"/>
  <c r="I192" i="7"/>
  <c r="H192" i="7"/>
  <c r="F192" i="7"/>
  <c r="C192" i="7"/>
  <c r="AC191" i="7"/>
  <c r="AD191" i="7" s="1"/>
  <c r="AA191" i="7"/>
  <c r="W191" i="7"/>
  <c r="X191" i="7" s="1"/>
  <c r="U191" i="7"/>
  <c r="R191" i="7"/>
  <c r="O191" i="7"/>
  <c r="N191" i="7"/>
  <c r="L191" i="7"/>
  <c r="I191" i="7"/>
  <c r="H191" i="7"/>
  <c r="F191" i="7"/>
  <c r="C191" i="7"/>
  <c r="AD190" i="7"/>
  <c r="AC190" i="7"/>
  <c r="AA190" i="7"/>
  <c r="X190" i="7"/>
  <c r="W190" i="7"/>
  <c r="U190" i="7"/>
  <c r="R190" i="7"/>
  <c r="N190" i="7"/>
  <c r="O190" i="7" s="1"/>
  <c r="L190" i="7"/>
  <c r="H190" i="7"/>
  <c r="I190" i="7" s="1"/>
  <c r="F190" i="7"/>
  <c r="C190" i="7"/>
  <c r="AD189" i="7"/>
  <c r="AC189" i="7"/>
  <c r="AA189" i="7"/>
  <c r="X189" i="7"/>
  <c r="W189" i="7"/>
  <c r="U189" i="7"/>
  <c r="R189" i="7"/>
  <c r="N189" i="7"/>
  <c r="O189" i="7" s="1"/>
  <c r="L189" i="7"/>
  <c r="I189" i="7"/>
  <c r="H189" i="7"/>
  <c r="F189" i="7"/>
  <c r="C189" i="7"/>
  <c r="AD188" i="7"/>
  <c r="AC188" i="7"/>
  <c r="AA188" i="7"/>
  <c r="X188" i="7"/>
  <c r="W188" i="7"/>
  <c r="U188" i="7"/>
  <c r="R188" i="7"/>
  <c r="O188" i="7"/>
  <c r="N188" i="7"/>
  <c r="L188" i="7"/>
  <c r="H188" i="7"/>
  <c r="I188" i="7" s="1"/>
  <c r="F188" i="7"/>
  <c r="C188" i="7"/>
  <c r="AC187" i="7"/>
  <c r="AD187" i="7" s="1"/>
  <c r="AA187" i="7"/>
  <c r="W187" i="7"/>
  <c r="X187" i="7" s="1"/>
  <c r="U187" i="7"/>
  <c r="R187" i="7"/>
  <c r="O187" i="7"/>
  <c r="N187" i="7"/>
  <c r="L187" i="7"/>
  <c r="I187" i="7"/>
  <c r="H187" i="7"/>
  <c r="F187" i="7"/>
  <c r="C187" i="7"/>
  <c r="AC186" i="7"/>
  <c r="AD186" i="7" s="1"/>
  <c r="AA186" i="7"/>
  <c r="X186" i="7"/>
  <c r="W186" i="7"/>
  <c r="U186" i="7"/>
  <c r="R186" i="7"/>
  <c r="O186" i="7"/>
  <c r="N186" i="7"/>
  <c r="L186" i="7"/>
  <c r="H186" i="7"/>
  <c r="I186" i="7" s="1"/>
  <c r="F186" i="7"/>
  <c r="C186" i="7"/>
  <c r="AD184" i="7"/>
  <c r="AC184" i="7"/>
  <c r="AA184" i="7"/>
  <c r="X184" i="7"/>
  <c r="W184" i="7"/>
  <c r="U184" i="7"/>
  <c r="R184" i="7"/>
  <c r="N184" i="7"/>
  <c r="O184" i="7" s="1"/>
  <c r="L184" i="7"/>
  <c r="H184" i="7"/>
  <c r="I184" i="7" s="1"/>
  <c r="F184" i="7"/>
  <c r="C184" i="7"/>
  <c r="AD183" i="7"/>
  <c r="AC183" i="7"/>
  <c r="AA183" i="7"/>
  <c r="X183" i="7"/>
  <c r="W183" i="7"/>
  <c r="U183" i="7"/>
  <c r="R183" i="7"/>
  <c r="O183" i="7"/>
  <c r="N183" i="7"/>
  <c r="L183" i="7"/>
  <c r="I183" i="7"/>
  <c r="H183" i="7"/>
  <c r="F183" i="7"/>
  <c r="C183" i="7"/>
  <c r="AA182" i="7"/>
  <c r="Z182" i="7"/>
  <c r="W182" i="7"/>
  <c r="X182" i="7" s="1"/>
  <c r="U182" i="7"/>
  <c r="T182" i="7"/>
  <c r="Q182" i="7"/>
  <c r="R182" i="7" s="1"/>
  <c r="K182" i="7"/>
  <c r="L182" i="7" s="1"/>
  <c r="H182" i="7"/>
  <c r="I182" i="7" s="1"/>
  <c r="E182" i="7"/>
  <c r="F182" i="7" s="1"/>
  <c r="C182" i="7"/>
  <c r="B182" i="7"/>
  <c r="AD181" i="7"/>
  <c r="AC181" i="7"/>
  <c r="AA181" i="7"/>
  <c r="X181" i="7"/>
  <c r="W181" i="7"/>
  <c r="U181" i="7"/>
  <c r="R181" i="7"/>
  <c r="N181" i="7"/>
  <c r="O181" i="7" s="1"/>
  <c r="L181" i="7"/>
  <c r="H181" i="7"/>
  <c r="I181" i="7" s="1"/>
  <c r="F181" i="7"/>
  <c r="C181" i="7"/>
  <c r="AD180" i="7"/>
  <c r="AC180" i="7"/>
  <c r="AA180" i="7"/>
  <c r="X180" i="7"/>
  <c r="W180" i="7"/>
  <c r="U180" i="7"/>
  <c r="R180" i="7"/>
  <c r="O180" i="7"/>
  <c r="N180" i="7"/>
  <c r="L180" i="7"/>
  <c r="H180" i="7"/>
  <c r="I180" i="7" s="1"/>
  <c r="F180" i="7"/>
  <c r="C180" i="7"/>
  <c r="AC179" i="7"/>
  <c r="AD179" i="7" s="1"/>
  <c r="AA179" i="7"/>
  <c r="W179" i="7"/>
  <c r="X179" i="7" s="1"/>
  <c r="U179" i="7"/>
  <c r="R179" i="7"/>
  <c r="O179" i="7"/>
  <c r="N179" i="7"/>
  <c r="L179" i="7"/>
  <c r="I179" i="7"/>
  <c r="H179" i="7"/>
  <c r="F179" i="7"/>
  <c r="C179" i="7"/>
  <c r="AC178" i="7"/>
  <c r="AD178" i="7" s="1"/>
  <c r="AA178" i="7"/>
  <c r="X178" i="7"/>
  <c r="W178" i="7"/>
  <c r="U178" i="7"/>
  <c r="R178" i="7"/>
  <c r="O178" i="7"/>
  <c r="N178" i="7"/>
  <c r="L178" i="7"/>
  <c r="H178" i="7"/>
  <c r="I178" i="7" s="1"/>
  <c r="F178" i="7"/>
  <c r="C178" i="7"/>
  <c r="AD177" i="7"/>
  <c r="AC177" i="7"/>
  <c r="AA177" i="7"/>
  <c r="X177" i="7"/>
  <c r="W177" i="7"/>
  <c r="U177" i="7"/>
  <c r="R177" i="7"/>
  <c r="N177" i="7"/>
  <c r="O177" i="7" s="1"/>
  <c r="L177" i="7"/>
  <c r="I177" i="7"/>
  <c r="H177" i="7"/>
  <c r="F177" i="7"/>
  <c r="C177" i="7"/>
  <c r="AD175" i="7"/>
  <c r="AC175" i="7"/>
  <c r="AA175" i="7"/>
  <c r="X175" i="7"/>
  <c r="W175" i="7"/>
  <c r="U175" i="7"/>
  <c r="R175" i="7"/>
  <c r="O175" i="7"/>
  <c r="N175" i="7"/>
  <c r="L175" i="7"/>
  <c r="I175" i="7"/>
  <c r="H175" i="7"/>
  <c r="F175" i="7"/>
  <c r="C175" i="7"/>
  <c r="U172" i="7"/>
  <c r="T172" i="7"/>
  <c r="AD171" i="7"/>
  <c r="AC171" i="7"/>
  <c r="AA171" i="7"/>
  <c r="Z171" i="7"/>
  <c r="U171" i="7"/>
  <c r="T171" i="7"/>
  <c r="Q171" i="7"/>
  <c r="O171" i="7"/>
  <c r="N171" i="7"/>
  <c r="K171" i="7"/>
  <c r="F171" i="7"/>
  <c r="E171" i="7"/>
  <c r="C171" i="7"/>
  <c r="B171" i="7"/>
  <c r="H171" i="7" s="1"/>
  <c r="I171" i="7" s="1"/>
  <c r="AC170" i="7"/>
  <c r="AD170" i="7" s="1"/>
  <c r="AA170" i="7"/>
  <c r="Z170" i="7"/>
  <c r="X170" i="7"/>
  <c r="W170" i="7"/>
  <c r="T170" i="7"/>
  <c r="U170" i="7" s="1"/>
  <c r="Q170" i="7"/>
  <c r="R170" i="7" s="1"/>
  <c r="K170" i="7"/>
  <c r="L170" i="7" s="1"/>
  <c r="I170" i="7"/>
  <c r="H170" i="7"/>
  <c r="E170" i="7"/>
  <c r="F170" i="7" s="1"/>
  <c r="C170" i="7"/>
  <c r="B170" i="7"/>
  <c r="AC169" i="7"/>
  <c r="AD169" i="7" s="1"/>
  <c r="AA169" i="7"/>
  <c r="X169" i="7"/>
  <c r="W169" i="7"/>
  <c r="U169" i="7"/>
  <c r="R169" i="7"/>
  <c r="N169" i="7"/>
  <c r="O169" i="7" s="1"/>
  <c r="L169" i="7"/>
  <c r="I169" i="7"/>
  <c r="H169" i="7"/>
  <c r="F169" i="7"/>
  <c r="C169" i="7"/>
  <c r="AD168" i="7"/>
  <c r="AC168" i="7"/>
  <c r="AA168" i="7"/>
  <c r="W168" i="7"/>
  <c r="X168" i="7" s="1"/>
  <c r="U168" i="7"/>
  <c r="R168" i="7"/>
  <c r="O168" i="7"/>
  <c r="N168" i="7"/>
  <c r="L168" i="7"/>
  <c r="I168" i="7"/>
  <c r="H168" i="7"/>
  <c r="F168" i="7"/>
  <c r="C168" i="7"/>
  <c r="AC167" i="7"/>
  <c r="AD167" i="7" s="1"/>
  <c r="AA167" i="7"/>
  <c r="W167" i="7"/>
  <c r="X167" i="7" s="1"/>
  <c r="U167" i="7"/>
  <c r="R167" i="7"/>
  <c r="O167" i="7"/>
  <c r="N167" i="7"/>
  <c r="L167" i="7"/>
  <c r="H167" i="7"/>
  <c r="I167" i="7" s="1"/>
  <c r="F167" i="7"/>
  <c r="C167" i="7"/>
  <c r="Z166" i="7"/>
  <c r="AA166" i="7" s="1"/>
  <c r="U166" i="7"/>
  <c r="T166" i="7"/>
  <c r="R166" i="7"/>
  <c r="Q166" i="7"/>
  <c r="K166" i="7"/>
  <c r="L166" i="7" s="1"/>
  <c r="E166" i="7"/>
  <c r="F166" i="7" s="1"/>
  <c r="B166" i="7"/>
  <c r="AC165" i="7"/>
  <c r="AD165" i="7" s="1"/>
  <c r="AA165" i="7"/>
  <c r="W165" i="7"/>
  <c r="X165" i="7" s="1"/>
  <c r="U165" i="7"/>
  <c r="R165" i="7"/>
  <c r="O165" i="7"/>
  <c r="N165" i="7"/>
  <c r="L165" i="7"/>
  <c r="I165" i="7"/>
  <c r="H165" i="7"/>
  <c r="F165" i="7"/>
  <c r="C165" i="7"/>
  <c r="AC164" i="7"/>
  <c r="AD164" i="7" s="1"/>
  <c r="AA164" i="7"/>
  <c r="X164" i="7"/>
  <c r="W164" i="7"/>
  <c r="U164" i="7"/>
  <c r="R164" i="7"/>
  <c r="O164" i="7"/>
  <c r="N164" i="7"/>
  <c r="L164" i="7"/>
  <c r="H164" i="7"/>
  <c r="I164" i="7" s="1"/>
  <c r="F164" i="7"/>
  <c r="C164" i="7"/>
  <c r="AC163" i="7"/>
  <c r="AD163" i="7" s="1"/>
  <c r="AA163" i="7"/>
  <c r="W163" i="7"/>
  <c r="X163" i="7" s="1"/>
  <c r="U163" i="7"/>
  <c r="R163" i="7"/>
  <c r="O163" i="7"/>
  <c r="N163" i="7"/>
  <c r="L163" i="7"/>
  <c r="H163" i="7"/>
  <c r="I163" i="7" s="1"/>
  <c r="F163" i="7"/>
  <c r="C163" i="7"/>
  <c r="AC162" i="7"/>
  <c r="AD162" i="7" s="1"/>
  <c r="AA162" i="7"/>
  <c r="X162" i="7"/>
  <c r="W162" i="7"/>
  <c r="U162" i="7"/>
  <c r="R162" i="7"/>
  <c r="N162" i="7"/>
  <c r="O162" i="7" s="1"/>
  <c r="L162" i="7"/>
  <c r="I162" i="7"/>
  <c r="H162" i="7"/>
  <c r="F162" i="7"/>
  <c r="C162" i="7"/>
  <c r="AC161" i="7"/>
  <c r="AD161" i="7" s="1"/>
  <c r="AA161" i="7"/>
  <c r="X161" i="7"/>
  <c r="W161" i="7"/>
  <c r="U161" i="7"/>
  <c r="R161" i="7"/>
  <c r="N161" i="7"/>
  <c r="O161" i="7" s="1"/>
  <c r="L161" i="7"/>
  <c r="H161" i="7"/>
  <c r="I161" i="7" s="1"/>
  <c r="F161" i="7"/>
  <c r="C161" i="7"/>
  <c r="AC160" i="7"/>
  <c r="AD160" i="7" s="1"/>
  <c r="AA160" i="7"/>
  <c r="X160" i="7"/>
  <c r="W160" i="7"/>
  <c r="U160" i="7"/>
  <c r="R160" i="7"/>
  <c r="O160" i="7"/>
  <c r="N160" i="7"/>
  <c r="L160" i="7"/>
  <c r="H160" i="7"/>
  <c r="I160" i="7" s="1"/>
  <c r="F160" i="7"/>
  <c r="C160" i="7"/>
  <c r="Z158" i="7"/>
  <c r="AA158" i="7" s="1"/>
  <c r="U158" i="7"/>
  <c r="T158" i="7"/>
  <c r="R158" i="7"/>
  <c r="Q158" i="7"/>
  <c r="K158" i="7"/>
  <c r="L158" i="7" s="1"/>
  <c r="E158" i="7"/>
  <c r="F158" i="7" s="1"/>
  <c r="B158" i="7"/>
  <c r="AD157" i="7"/>
  <c r="AC157" i="7"/>
  <c r="AA157" i="7"/>
  <c r="W157" i="7"/>
  <c r="X157" i="7" s="1"/>
  <c r="U157" i="7"/>
  <c r="R157" i="7"/>
  <c r="O157" i="7"/>
  <c r="N157" i="7"/>
  <c r="L157" i="7"/>
  <c r="I157" i="7"/>
  <c r="H157" i="7"/>
  <c r="F157" i="7"/>
  <c r="C157" i="7"/>
  <c r="AC156" i="7"/>
  <c r="AD156" i="7" s="1"/>
  <c r="AA156" i="7"/>
  <c r="W156" i="7"/>
  <c r="X156" i="7" s="1"/>
  <c r="U156" i="7"/>
  <c r="R156" i="7"/>
  <c r="O156" i="7"/>
  <c r="N156" i="7"/>
  <c r="L156" i="7"/>
  <c r="I156" i="7"/>
  <c r="H156" i="7"/>
  <c r="F156" i="7"/>
  <c r="C156" i="7"/>
  <c r="AD155" i="7"/>
  <c r="AC155" i="7"/>
  <c r="AA155" i="7"/>
  <c r="X155" i="7"/>
  <c r="W155" i="7"/>
  <c r="U155" i="7"/>
  <c r="R155" i="7"/>
  <c r="N155" i="7"/>
  <c r="O155" i="7" s="1"/>
  <c r="L155" i="7"/>
  <c r="I155" i="7"/>
  <c r="H155" i="7"/>
  <c r="F155" i="7"/>
  <c r="C155" i="7"/>
  <c r="AD154" i="7"/>
  <c r="AC154" i="7"/>
  <c r="AA154" i="7"/>
  <c r="X154" i="7"/>
  <c r="W154" i="7"/>
  <c r="U154" i="7"/>
  <c r="R154" i="7"/>
  <c r="N154" i="7"/>
  <c r="O154" i="7" s="1"/>
  <c r="L154" i="7"/>
  <c r="I154" i="7"/>
  <c r="H154" i="7"/>
  <c r="F154" i="7"/>
  <c r="C154" i="7"/>
  <c r="AD153" i="7"/>
  <c r="AC153" i="7"/>
  <c r="AA153" i="7"/>
  <c r="W153" i="7"/>
  <c r="X153" i="7" s="1"/>
  <c r="U153" i="7"/>
  <c r="R153" i="7"/>
  <c r="O153" i="7"/>
  <c r="N153" i="7"/>
  <c r="L153" i="7"/>
  <c r="I153" i="7"/>
  <c r="H153" i="7"/>
  <c r="F153" i="7"/>
  <c r="C153" i="7"/>
  <c r="AD151" i="7"/>
  <c r="AC151" i="7"/>
  <c r="AA151" i="7"/>
  <c r="W151" i="7"/>
  <c r="X151" i="7" s="1"/>
  <c r="U151" i="7"/>
  <c r="R151" i="7"/>
  <c r="O151" i="7"/>
  <c r="N151" i="7"/>
  <c r="L151" i="7"/>
  <c r="I151" i="7"/>
  <c r="H151" i="7"/>
  <c r="F151" i="7"/>
  <c r="C151" i="7"/>
  <c r="AC149" i="7"/>
  <c r="AD149" i="7" s="1"/>
  <c r="Z149" i="7"/>
  <c r="AA149" i="7" s="1"/>
  <c r="U149" i="7"/>
  <c r="T149" i="7"/>
  <c r="R149" i="7"/>
  <c r="Q149" i="7"/>
  <c r="W149" i="7" s="1"/>
  <c r="X149" i="7" s="1"/>
  <c r="N149" i="7"/>
  <c r="O149" i="7" s="1"/>
  <c r="L149" i="7"/>
  <c r="K149" i="7"/>
  <c r="F149" i="7"/>
  <c r="E149" i="7"/>
  <c r="B149" i="7"/>
  <c r="AA148" i="7"/>
  <c r="Z148" i="7"/>
  <c r="W148" i="7"/>
  <c r="X148" i="7" s="1"/>
  <c r="U148" i="7"/>
  <c r="T148" i="7"/>
  <c r="R148" i="7"/>
  <c r="Q148" i="7"/>
  <c r="AC148" i="7" s="1"/>
  <c r="AD148" i="7" s="1"/>
  <c r="K148" i="7"/>
  <c r="L148" i="7" s="1"/>
  <c r="H148" i="7"/>
  <c r="I148" i="7" s="1"/>
  <c r="F148" i="7"/>
  <c r="E148" i="7"/>
  <c r="C148" i="7"/>
  <c r="B148" i="7"/>
  <c r="AC147" i="7"/>
  <c r="AD147" i="7" s="1"/>
  <c r="AA147" i="7"/>
  <c r="X147" i="7"/>
  <c r="W147" i="7"/>
  <c r="U147" i="7"/>
  <c r="R147" i="7"/>
  <c r="N147" i="7"/>
  <c r="O147" i="7" s="1"/>
  <c r="L147" i="7"/>
  <c r="I147" i="7"/>
  <c r="H147" i="7"/>
  <c r="F147" i="7"/>
  <c r="C147" i="7"/>
  <c r="AD146" i="7"/>
  <c r="AC146" i="7"/>
  <c r="AA146" i="7"/>
  <c r="W146" i="7"/>
  <c r="X146" i="7" s="1"/>
  <c r="U146" i="7"/>
  <c r="R146" i="7"/>
  <c r="N146" i="7"/>
  <c r="O146" i="7" s="1"/>
  <c r="L146" i="7"/>
  <c r="H146" i="7"/>
  <c r="I146" i="7" s="1"/>
  <c r="F146" i="7"/>
  <c r="C146" i="7"/>
  <c r="AD145" i="7"/>
  <c r="AC145" i="7"/>
  <c r="AA145" i="7"/>
  <c r="W145" i="7"/>
  <c r="X145" i="7" s="1"/>
  <c r="U145" i="7"/>
  <c r="R145" i="7"/>
  <c r="O145" i="7"/>
  <c r="N145" i="7"/>
  <c r="L145" i="7"/>
  <c r="I145" i="7"/>
  <c r="H145" i="7"/>
  <c r="F145" i="7"/>
  <c r="C145" i="7"/>
  <c r="AC144" i="7"/>
  <c r="AD144" i="7" s="1"/>
  <c r="AA144" i="7"/>
  <c r="W144" i="7"/>
  <c r="X144" i="7" s="1"/>
  <c r="U144" i="7"/>
  <c r="R144" i="7"/>
  <c r="O144" i="7"/>
  <c r="N144" i="7"/>
  <c r="L144" i="7"/>
  <c r="I144" i="7"/>
  <c r="H144" i="7"/>
  <c r="F144" i="7"/>
  <c r="C144" i="7"/>
  <c r="AD143" i="7"/>
  <c r="AC143" i="7"/>
  <c r="AA143" i="7"/>
  <c r="X143" i="7"/>
  <c r="W143" i="7"/>
  <c r="U143" i="7"/>
  <c r="R143" i="7"/>
  <c r="N143" i="7"/>
  <c r="O143" i="7" s="1"/>
  <c r="L143" i="7"/>
  <c r="I143" i="7"/>
  <c r="H143" i="7"/>
  <c r="F143" i="7"/>
  <c r="C143" i="7"/>
  <c r="AA141" i="7"/>
  <c r="Z141" i="7"/>
  <c r="X141" i="7"/>
  <c r="W141" i="7"/>
  <c r="U141" i="7"/>
  <c r="T141" i="7"/>
  <c r="R141" i="7"/>
  <c r="Q141" i="7"/>
  <c r="O141" i="7"/>
  <c r="N141" i="7"/>
  <c r="L141" i="7"/>
  <c r="K141" i="7"/>
  <c r="F141" i="7"/>
  <c r="E141" i="7"/>
  <c r="B141" i="7"/>
  <c r="H141" i="7" s="1"/>
  <c r="I141" i="7" s="1"/>
  <c r="AD140" i="7"/>
  <c r="AC140" i="7"/>
  <c r="AA140" i="7"/>
  <c r="W140" i="7"/>
  <c r="X140" i="7" s="1"/>
  <c r="U140" i="7"/>
  <c r="R140" i="7"/>
  <c r="N140" i="7"/>
  <c r="O140" i="7" s="1"/>
  <c r="L140" i="7"/>
  <c r="I140" i="7"/>
  <c r="H140" i="7"/>
  <c r="F140" i="7"/>
  <c r="C140" i="7"/>
  <c r="AC139" i="7"/>
  <c r="AD139" i="7" s="1"/>
  <c r="AA139" i="7"/>
  <c r="X139" i="7"/>
  <c r="W139" i="7"/>
  <c r="U139" i="7"/>
  <c r="R139" i="7"/>
  <c r="N139" i="7"/>
  <c r="O139" i="7" s="1"/>
  <c r="L139" i="7"/>
  <c r="H139" i="7"/>
  <c r="I139" i="7" s="1"/>
  <c r="F139" i="7"/>
  <c r="C139" i="7"/>
  <c r="AD138" i="7"/>
  <c r="AC138" i="7"/>
  <c r="AA138" i="7"/>
  <c r="W138" i="7"/>
  <c r="X138" i="7" s="1"/>
  <c r="U138" i="7"/>
  <c r="R138" i="7"/>
  <c r="N138" i="7"/>
  <c r="O138" i="7" s="1"/>
  <c r="L138" i="7"/>
  <c r="I138" i="7"/>
  <c r="H138" i="7"/>
  <c r="F138" i="7"/>
  <c r="C138" i="7"/>
  <c r="AD137" i="7"/>
  <c r="AC137" i="7"/>
  <c r="AA137" i="7"/>
  <c r="W137" i="7"/>
  <c r="X137" i="7" s="1"/>
  <c r="U137" i="7"/>
  <c r="R137" i="7"/>
  <c r="O137" i="7"/>
  <c r="N137" i="7"/>
  <c r="L137" i="7"/>
  <c r="I137" i="7"/>
  <c r="H137" i="7"/>
  <c r="F137" i="7"/>
  <c r="C137" i="7"/>
  <c r="AD136" i="7"/>
  <c r="AC136" i="7"/>
  <c r="AA136" i="7"/>
  <c r="W136" i="7"/>
  <c r="X136" i="7" s="1"/>
  <c r="U136" i="7"/>
  <c r="R136" i="7"/>
  <c r="N136" i="7"/>
  <c r="O136" i="7" s="1"/>
  <c r="L136" i="7"/>
  <c r="I136" i="7"/>
  <c r="H136" i="7"/>
  <c r="F136" i="7"/>
  <c r="C136" i="7"/>
  <c r="AD135" i="7"/>
  <c r="AC135" i="7"/>
  <c r="AA135" i="7"/>
  <c r="X135" i="7"/>
  <c r="W135" i="7"/>
  <c r="U135" i="7"/>
  <c r="R135" i="7"/>
  <c r="N135" i="7"/>
  <c r="O135" i="7" s="1"/>
  <c r="L135" i="7"/>
  <c r="H135" i="7"/>
  <c r="I135" i="7" s="1"/>
  <c r="F135" i="7"/>
  <c r="C135" i="7"/>
  <c r="AD134" i="7"/>
  <c r="AC134" i="7"/>
  <c r="AA134" i="7"/>
  <c r="X134" i="7"/>
  <c r="W134" i="7"/>
  <c r="U134" i="7"/>
  <c r="R134" i="7"/>
  <c r="N134" i="7"/>
  <c r="O134" i="7" s="1"/>
  <c r="L134" i="7"/>
  <c r="H134" i="7"/>
  <c r="I134" i="7" s="1"/>
  <c r="F134" i="7"/>
  <c r="C134" i="7"/>
  <c r="AD133" i="7"/>
  <c r="AC133" i="7"/>
  <c r="AA133" i="7"/>
  <c r="W133" i="7"/>
  <c r="X133" i="7" s="1"/>
  <c r="U133" i="7"/>
  <c r="R133" i="7"/>
  <c r="O133" i="7"/>
  <c r="N133" i="7"/>
  <c r="L133" i="7"/>
  <c r="I133" i="7"/>
  <c r="H133" i="7"/>
  <c r="F133" i="7"/>
  <c r="C133" i="7"/>
  <c r="AD132" i="7"/>
  <c r="AC132" i="7"/>
  <c r="AA132" i="7"/>
  <c r="W132" i="7"/>
  <c r="X132" i="7" s="1"/>
  <c r="U132" i="7"/>
  <c r="R132" i="7"/>
  <c r="N132" i="7"/>
  <c r="O132" i="7" s="1"/>
  <c r="L132" i="7"/>
  <c r="I132" i="7"/>
  <c r="H132" i="7"/>
  <c r="F132" i="7"/>
  <c r="C132" i="7"/>
  <c r="AC131" i="7"/>
  <c r="AD131" i="7" s="1"/>
  <c r="AA131" i="7"/>
  <c r="X131" i="7"/>
  <c r="W131" i="7"/>
  <c r="U131" i="7"/>
  <c r="R131" i="7"/>
  <c r="N131" i="7"/>
  <c r="O131" i="7" s="1"/>
  <c r="L131" i="7"/>
  <c r="H131" i="7"/>
  <c r="I131" i="7" s="1"/>
  <c r="F131" i="7"/>
  <c r="C131" i="7"/>
  <c r="AD130" i="7"/>
  <c r="AC130" i="7"/>
  <c r="AA130" i="7"/>
  <c r="W130" i="7"/>
  <c r="X130" i="7" s="1"/>
  <c r="U130" i="7"/>
  <c r="R130" i="7"/>
  <c r="N130" i="7"/>
  <c r="O130" i="7" s="1"/>
  <c r="L130" i="7"/>
  <c r="I130" i="7"/>
  <c r="H130" i="7"/>
  <c r="F130" i="7"/>
  <c r="C130" i="7"/>
  <c r="AD129" i="7"/>
  <c r="AC129" i="7"/>
  <c r="AA129" i="7"/>
  <c r="W129" i="7"/>
  <c r="X129" i="7" s="1"/>
  <c r="U129" i="7"/>
  <c r="R129" i="7"/>
  <c r="O129" i="7"/>
  <c r="N129" i="7"/>
  <c r="L129" i="7"/>
  <c r="I129" i="7"/>
  <c r="H129" i="7"/>
  <c r="F129" i="7"/>
  <c r="C129" i="7"/>
  <c r="AD127" i="7"/>
  <c r="AC127" i="7"/>
  <c r="AA127" i="7"/>
  <c r="W127" i="7"/>
  <c r="X127" i="7" s="1"/>
  <c r="U127" i="7"/>
  <c r="R127" i="7"/>
  <c r="N127" i="7"/>
  <c r="O127" i="7" s="1"/>
  <c r="L127" i="7"/>
  <c r="I127" i="7"/>
  <c r="H127" i="7"/>
  <c r="F127" i="7"/>
  <c r="C127" i="7"/>
  <c r="AA124" i="7"/>
  <c r="Z124" i="7"/>
  <c r="Z172" i="7" s="1"/>
  <c r="U124" i="7"/>
  <c r="T124" i="7"/>
  <c r="Q124" i="7"/>
  <c r="W124" i="7" s="1"/>
  <c r="X124" i="7" s="1"/>
  <c r="L124" i="7"/>
  <c r="K124" i="7"/>
  <c r="E124" i="7"/>
  <c r="E172" i="7" s="1"/>
  <c r="B124" i="7"/>
  <c r="N124" i="7" s="1"/>
  <c r="O124" i="7" s="1"/>
  <c r="AD123" i="7"/>
  <c r="AC123" i="7"/>
  <c r="AA123" i="7"/>
  <c r="W123" i="7"/>
  <c r="X123" i="7" s="1"/>
  <c r="U123" i="7"/>
  <c r="R123" i="7"/>
  <c r="O123" i="7"/>
  <c r="N123" i="7"/>
  <c r="L123" i="7"/>
  <c r="I123" i="7"/>
  <c r="H123" i="7"/>
  <c r="F123" i="7"/>
  <c r="C123" i="7"/>
  <c r="AC122" i="7"/>
  <c r="AD122" i="7" s="1"/>
  <c r="AA122" i="7"/>
  <c r="Z122" i="7"/>
  <c r="T122" i="7"/>
  <c r="U122" i="7" s="1"/>
  <c r="R122" i="7"/>
  <c r="Q122" i="7"/>
  <c r="L122" i="7"/>
  <c r="K122" i="7"/>
  <c r="E122" i="7"/>
  <c r="H122" i="7" s="1"/>
  <c r="I122" i="7" s="1"/>
  <c r="C122" i="7"/>
  <c r="B122" i="7"/>
  <c r="N122" i="7" s="1"/>
  <c r="O122" i="7" s="1"/>
  <c r="AD121" i="7"/>
  <c r="AC121" i="7"/>
  <c r="AA121" i="7"/>
  <c r="W121" i="7"/>
  <c r="X121" i="7" s="1"/>
  <c r="U121" i="7"/>
  <c r="R121" i="7"/>
  <c r="N121" i="7"/>
  <c r="O121" i="7" s="1"/>
  <c r="L121" i="7"/>
  <c r="H121" i="7"/>
  <c r="I121" i="7" s="1"/>
  <c r="F121" i="7"/>
  <c r="C121" i="7"/>
  <c r="AD120" i="7"/>
  <c r="AC120" i="7"/>
  <c r="AA120" i="7"/>
  <c r="W120" i="7"/>
  <c r="X120" i="7" s="1"/>
  <c r="U120" i="7"/>
  <c r="R120" i="7"/>
  <c r="O120" i="7"/>
  <c r="N120" i="7"/>
  <c r="L120" i="7"/>
  <c r="I120" i="7"/>
  <c r="H120" i="7"/>
  <c r="F120" i="7"/>
  <c r="C120" i="7"/>
  <c r="AD119" i="7"/>
  <c r="AC119" i="7"/>
  <c r="AA119" i="7"/>
  <c r="W119" i="7"/>
  <c r="X119" i="7" s="1"/>
  <c r="U119" i="7"/>
  <c r="R119" i="7"/>
  <c r="N119" i="7"/>
  <c r="O119" i="7" s="1"/>
  <c r="L119" i="7"/>
  <c r="I119" i="7"/>
  <c r="H119" i="7"/>
  <c r="F119" i="7"/>
  <c r="C119" i="7"/>
  <c r="Z118" i="7"/>
  <c r="AA118" i="7" s="1"/>
  <c r="U118" i="7"/>
  <c r="T118" i="7"/>
  <c r="R118" i="7"/>
  <c r="Q118" i="7"/>
  <c r="W118" i="7" s="1"/>
  <c r="X118" i="7" s="1"/>
  <c r="L118" i="7"/>
  <c r="K118" i="7"/>
  <c r="E118" i="7"/>
  <c r="F118" i="7" s="1"/>
  <c r="C118" i="7"/>
  <c r="B118" i="7"/>
  <c r="AD117" i="7"/>
  <c r="AC117" i="7"/>
  <c r="AA117" i="7"/>
  <c r="W117" i="7"/>
  <c r="X117" i="7" s="1"/>
  <c r="U117" i="7"/>
  <c r="R117" i="7"/>
  <c r="O117" i="7"/>
  <c r="N117" i="7"/>
  <c r="L117" i="7"/>
  <c r="I117" i="7"/>
  <c r="H117" i="7"/>
  <c r="F117" i="7"/>
  <c r="C117" i="7"/>
  <c r="AC116" i="7"/>
  <c r="AD116" i="7" s="1"/>
  <c r="AA116" i="7"/>
  <c r="W116" i="7"/>
  <c r="X116" i="7" s="1"/>
  <c r="U116" i="7"/>
  <c r="R116" i="7"/>
  <c r="O116" i="7"/>
  <c r="N116" i="7"/>
  <c r="L116" i="7"/>
  <c r="I116" i="7"/>
  <c r="H116" i="7"/>
  <c r="F116" i="7"/>
  <c r="C116" i="7"/>
  <c r="AC115" i="7"/>
  <c r="AD115" i="7" s="1"/>
  <c r="AA115" i="7"/>
  <c r="X115" i="7"/>
  <c r="W115" i="7"/>
  <c r="U115" i="7"/>
  <c r="R115" i="7"/>
  <c r="N115" i="7"/>
  <c r="O115" i="7" s="1"/>
  <c r="L115" i="7"/>
  <c r="I115" i="7"/>
  <c r="H115" i="7"/>
  <c r="F115" i="7"/>
  <c r="C115" i="7"/>
  <c r="AD114" i="7"/>
  <c r="AC114" i="7"/>
  <c r="AA114" i="7"/>
  <c r="W114" i="7"/>
  <c r="X114" i="7" s="1"/>
  <c r="U114" i="7"/>
  <c r="R114" i="7"/>
  <c r="N114" i="7"/>
  <c r="O114" i="7" s="1"/>
  <c r="L114" i="7"/>
  <c r="H114" i="7"/>
  <c r="I114" i="7" s="1"/>
  <c r="F114" i="7"/>
  <c r="C114" i="7"/>
  <c r="AD113" i="7"/>
  <c r="AC113" i="7"/>
  <c r="AA113" i="7"/>
  <c r="W113" i="7"/>
  <c r="X113" i="7" s="1"/>
  <c r="U113" i="7"/>
  <c r="R113" i="7"/>
  <c r="O113" i="7"/>
  <c r="N113" i="7"/>
  <c r="L113" i="7"/>
  <c r="I113" i="7"/>
  <c r="H113" i="7"/>
  <c r="F113" i="7"/>
  <c r="C113" i="7"/>
  <c r="AC112" i="7"/>
  <c r="AD112" i="7" s="1"/>
  <c r="AA112" i="7"/>
  <c r="W112" i="7"/>
  <c r="X112" i="7" s="1"/>
  <c r="U112" i="7"/>
  <c r="R112" i="7"/>
  <c r="O112" i="7"/>
  <c r="N112" i="7"/>
  <c r="L112" i="7"/>
  <c r="I112" i="7"/>
  <c r="H112" i="7"/>
  <c r="F112" i="7"/>
  <c r="C112" i="7"/>
  <c r="AD111" i="7"/>
  <c r="AC111" i="7"/>
  <c r="AA111" i="7"/>
  <c r="X111" i="7"/>
  <c r="W111" i="7"/>
  <c r="U111" i="7"/>
  <c r="R111" i="7"/>
  <c r="N111" i="7"/>
  <c r="O111" i="7" s="1"/>
  <c r="L111" i="7"/>
  <c r="I111" i="7"/>
  <c r="H111" i="7"/>
  <c r="F111" i="7"/>
  <c r="C111" i="7"/>
  <c r="AD110" i="7"/>
  <c r="AC110" i="7"/>
  <c r="AA110" i="7"/>
  <c r="X110" i="7"/>
  <c r="W110" i="7"/>
  <c r="U110" i="7"/>
  <c r="R110" i="7"/>
  <c r="N110" i="7"/>
  <c r="O110" i="7" s="1"/>
  <c r="L110" i="7"/>
  <c r="H110" i="7"/>
  <c r="I110" i="7" s="1"/>
  <c r="F110" i="7"/>
  <c r="C110" i="7"/>
  <c r="AD109" i="7"/>
  <c r="AC109" i="7"/>
  <c r="AA109" i="7"/>
  <c r="W109" i="7"/>
  <c r="X109" i="7" s="1"/>
  <c r="U109" i="7"/>
  <c r="R109" i="7"/>
  <c r="O109" i="7"/>
  <c r="N109" i="7"/>
  <c r="L109" i="7"/>
  <c r="I109" i="7"/>
  <c r="H109" i="7"/>
  <c r="F109" i="7"/>
  <c r="C109" i="7"/>
  <c r="AC108" i="7"/>
  <c r="AD108" i="7" s="1"/>
  <c r="AA108" i="7"/>
  <c r="W108" i="7"/>
  <c r="X108" i="7" s="1"/>
  <c r="U108" i="7"/>
  <c r="R108" i="7"/>
  <c r="O108" i="7"/>
  <c r="N108" i="7"/>
  <c r="L108" i="7"/>
  <c r="I108" i="7"/>
  <c r="H108" i="7"/>
  <c r="F108" i="7"/>
  <c r="C108" i="7"/>
  <c r="AC107" i="7"/>
  <c r="AD107" i="7" s="1"/>
  <c r="AA107" i="7"/>
  <c r="X107" i="7"/>
  <c r="W107" i="7"/>
  <c r="U107" i="7"/>
  <c r="R107" i="7"/>
  <c r="N107" i="7"/>
  <c r="O107" i="7" s="1"/>
  <c r="L107" i="7"/>
  <c r="I107" i="7"/>
  <c r="H107" i="7"/>
  <c r="F107" i="7"/>
  <c r="C107" i="7"/>
  <c r="AD106" i="7"/>
  <c r="AC106" i="7"/>
  <c r="AA106" i="7"/>
  <c r="W106" i="7"/>
  <c r="X106" i="7" s="1"/>
  <c r="U106" i="7"/>
  <c r="R106" i="7"/>
  <c r="N106" i="7"/>
  <c r="O106" i="7" s="1"/>
  <c r="L106" i="7"/>
  <c r="H106" i="7"/>
  <c r="I106" i="7" s="1"/>
  <c r="F106" i="7"/>
  <c r="C106" i="7"/>
  <c r="AD105" i="7"/>
  <c r="AC105" i="7"/>
  <c r="AA105" i="7"/>
  <c r="W105" i="7"/>
  <c r="X105" i="7" s="1"/>
  <c r="U105" i="7"/>
  <c r="R105" i="7"/>
  <c r="O105" i="7"/>
  <c r="N105" i="7"/>
  <c r="L105" i="7"/>
  <c r="I105" i="7"/>
  <c r="H105" i="7"/>
  <c r="F105" i="7"/>
  <c r="C105" i="7"/>
  <c r="AC104" i="7"/>
  <c r="AD104" i="7" s="1"/>
  <c r="AA104" i="7"/>
  <c r="W104" i="7"/>
  <c r="X104" i="7" s="1"/>
  <c r="U104" i="7"/>
  <c r="R104" i="7"/>
  <c r="O104" i="7"/>
  <c r="N104" i="7"/>
  <c r="L104" i="7"/>
  <c r="I104" i="7"/>
  <c r="H104" i="7"/>
  <c r="F104" i="7"/>
  <c r="C104" i="7"/>
  <c r="AD103" i="7"/>
  <c r="AC103" i="7"/>
  <c r="AA103" i="7"/>
  <c r="X103" i="7"/>
  <c r="W103" i="7"/>
  <c r="U103" i="7"/>
  <c r="R103" i="7"/>
  <c r="N103" i="7"/>
  <c r="O103" i="7" s="1"/>
  <c r="L103" i="7"/>
  <c r="I103" i="7"/>
  <c r="H103" i="7"/>
  <c r="F103" i="7"/>
  <c r="C103" i="7"/>
  <c r="AD102" i="7"/>
  <c r="AC102" i="7"/>
  <c r="AA102" i="7"/>
  <c r="X102" i="7"/>
  <c r="W102" i="7"/>
  <c r="U102" i="7"/>
  <c r="R102" i="7"/>
  <c r="N102" i="7"/>
  <c r="O102" i="7" s="1"/>
  <c r="L102" i="7"/>
  <c r="H102" i="7"/>
  <c r="I102" i="7" s="1"/>
  <c r="F102" i="7"/>
  <c r="C102" i="7"/>
  <c r="AD101" i="7"/>
  <c r="AC101" i="7"/>
  <c r="AA101" i="7"/>
  <c r="W101" i="7"/>
  <c r="X101" i="7" s="1"/>
  <c r="U101" i="7"/>
  <c r="R101" i="7"/>
  <c r="O101" i="7"/>
  <c r="N101" i="7"/>
  <c r="L101" i="7"/>
  <c r="I101" i="7"/>
  <c r="H101" i="7"/>
  <c r="F101" i="7"/>
  <c r="C101" i="7"/>
  <c r="AC100" i="7"/>
  <c r="AD100" i="7" s="1"/>
  <c r="AA100" i="7"/>
  <c r="W100" i="7"/>
  <c r="X100" i="7" s="1"/>
  <c r="U100" i="7"/>
  <c r="R100" i="7"/>
  <c r="O100" i="7"/>
  <c r="N100" i="7"/>
  <c r="L100" i="7"/>
  <c r="I100" i="7"/>
  <c r="H100" i="7"/>
  <c r="F100" i="7"/>
  <c r="C100" i="7"/>
  <c r="AC99" i="7"/>
  <c r="AD99" i="7" s="1"/>
  <c r="AA99" i="7"/>
  <c r="W99" i="7"/>
  <c r="X99" i="7" s="1"/>
  <c r="U99" i="7"/>
  <c r="R99" i="7"/>
  <c r="N99" i="7"/>
  <c r="O99" i="7" s="1"/>
  <c r="L99" i="7"/>
  <c r="I99" i="7"/>
  <c r="H99" i="7"/>
  <c r="F99" i="7"/>
  <c r="C99" i="7"/>
  <c r="AD98" i="7"/>
  <c r="AC98" i="7"/>
  <c r="AA98" i="7"/>
  <c r="W98" i="7"/>
  <c r="X98" i="7" s="1"/>
  <c r="U98" i="7"/>
  <c r="R98" i="7"/>
  <c r="N98" i="7"/>
  <c r="O98" i="7" s="1"/>
  <c r="L98" i="7"/>
  <c r="H98" i="7"/>
  <c r="I98" i="7" s="1"/>
  <c r="F98" i="7"/>
  <c r="C98" i="7"/>
  <c r="AD97" i="7"/>
  <c r="AC97" i="7"/>
  <c r="AA97" i="7"/>
  <c r="W97" i="7"/>
  <c r="X97" i="7" s="1"/>
  <c r="U97" i="7"/>
  <c r="R97" i="7"/>
  <c r="N97" i="7"/>
  <c r="O97" i="7" s="1"/>
  <c r="L97" i="7"/>
  <c r="I97" i="7"/>
  <c r="H97" i="7"/>
  <c r="F97" i="7"/>
  <c r="C97" i="7"/>
  <c r="AC96" i="7"/>
  <c r="AD96" i="7" s="1"/>
  <c r="AA96" i="7"/>
  <c r="W96" i="7"/>
  <c r="X96" i="7" s="1"/>
  <c r="U96" i="7"/>
  <c r="R96" i="7"/>
  <c r="O96" i="7"/>
  <c r="N96" i="7"/>
  <c r="L96" i="7"/>
  <c r="I96" i="7"/>
  <c r="H96" i="7"/>
  <c r="F96" i="7"/>
  <c r="C96" i="7"/>
  <c r="AD95" i="7"/>
  <c r="AC95" i="7"/>
  <c r="AA95" i="7"/>
  <c r="W95" i="7"/>
  <c r="X95" i="7" s="1"/>
  <c r="U95" i="7"/>
  <c r="R95" i="7"/>
  <c r="N95" i="7"/>
  <c r="O95" i="7" s="1"/>
  <c r="L95" i="7"/>
  <c r="I95" i="7"/>
  <c r="H95" i="7"/>
  <c r="F95" i="7"/>
  <c r="C95" i="7"/>
  <c r="AD94" i="7"/>
  <c r="AC94" i="7"/>
  <c r="AA94" i="7"/>
  <c r="X94" i="7"/>
  <c r="W94" i="7"/>
  <c r="U94" i="7"/>
  <c r="R94" i="7"/>
  <c r="N94" i="7"/>
  <c r="O94" i="7" s="1"/>
  <c r="L94" i="7"/>
  <c r="H94" i="7"/>
  <c r="I94" i="7" s="1"/>
  <c r="F94" i="7"/>
  <c r="C94" i="7"/>
  <c r="AD92" i="7"/>
  <c r="AC92" i="7"/>
  <c r="AA92" i="7"/>
  <c r="W92" i="7"/>
  <c r="X92" i="7" s="1"/>
  <c r="U92" i="7"/>
  <c r="R92" i="7"/>
  <c r="O92" i="7"/>
  <c r="N92" i="7"/>
  <c r="L92" i="7"/>
  <c r="I92" i="7"/>
  <c r="H92" i="7"/>
  <c r="F92" i="7"/>
  <c r="C92" i="7"/>
  <c r="AC91" i="7"/>
  <c r="AD91" i="7" s="1"/>
  <c r="AA91" i="7"/>
  <c r="W91" i="7"/>
  <c r="X91" i="7" s="1"/>
  <c r="U91" i="7"/>
  <c r="R91" i="7"/>
  <c r="O91" i="7"/>
  <c r="N91" i="7"/>
  <c r="L91" i="7"/>
  <c r="I91" i="7"/>
  <c r="H91" i="7"/>
  <c r="F91" i="7"/>
  <c r="C91" i="7"/>
  <c r="AC90" i="7"/>
  <c r="AD90" i="7" s="1"/>
  <c r="AA90" i="7"/>
  <c r="W90" i="7"/>
  <c r="X90" i="7" s="1"/>
  <c r="U90" i="7"/>
  <c r="R90" i="7"/>
  <c r="N90" i="7"/>
  <c r="O90" i="7" s="1"/>
  <c r="L90" i="7"/>
  <c r="I90" i="7"/>
  <c r="H90" i="7"/>
  <c r="F90" i="7"/>
  <c r="C90" i="7"/>
  <c r="AD89" i="7"/>
  <c r="AC89" i="7"/>
  <c r="AA89" i="7"/>
  <c r="W89" i="7"/>
  <c r="X89" i="7" s="1"/>
  <c r="U89" i="7"/>
  <c r="R89" i="7"/>
  <c r="N89" i="7"/>
  <c r="O89" i="7" s="1"/>
  <c r="L89" i="7"/>
  <c r="H89" i="7"/>
  <c r="I89" i="7" s="1"/>
  <c r="F89" i="7"/>
  <c r="C89" i="7"/>
  <c r="AA88" i="7"/>
  <c r="Z88" i="7"/>
  <c r="T88" i="7"/>
  <c r="W88" i="7" s="1"/>
  <c r="X88" i="7" s="1"/>
  <c r="R88" i="7"/>
  <c r="Q88" i="7"/>
  <c r="AC88" i="7" s="1"/>
  <c r="AD88" i="7" s="1"/>
  <c r="K88" i="7"/>
  <c r="L88" i="7" s="1"/>
  <c r="I88" i="7"/>
  <c r="H88" i="7"/>
  <c r="F88" i="7"/>
  <c r="E88" i="7"/>
  <c r="C88" i="7"/>
  <c r="B88" i="7"/>
  <c r="AC87" i="7"/>
  <c r="AD87" i="7" s="1"/>
  <c r="AA87" i="7"/>
  <c r="W87" i="7"/>
  <c r="X87" i="7" s="1"/>
  <c r="U87" i="7"/>
  <c r="R87" i="7"/>
  <c r="N87" i="7"/>
  <c r="O87" i="7" s="1"/>
  <c r="L87" i="7"/>
  <c r="I87" i="7"/>
  <c r="H87" i="7"/>
  <c r="F87" i="7"/>
  <c r="C87" i="7"/>
  <c r="AD86" i="7"/>
  <c r="AC86" i="7"/>
  <c r="AA86" i="7"/>
  <c r="W86" i="7"/>
  <c r="X86" i="7" s="1"/>
  <c r="U86" i="7"/>
  <c r="R86" i="7"/>
  <c r="N86" i="7"/>
  <c r="O86" i="7" s="1"/>
  <c r="L86" i="7"/>
  <c r="I86" i="7"/>
  <c r="H86" i="7"/>
  <c r="F86" i="7"/>
  <c r="C86" i="7"/>
  <c r="AD85" i="7"/>
  <c r="AC85" i="7"/>
  <c r="AA85" i="7"/>
  <c r="W85" i="7"/>
  <c r="X85" i="7" s="1"/>
  <c r="U85" i="7"/>
  <c r="R85" i="7"/>
  <c r="N85" i="7"/>
  <c r="O85" i="7" s="1"/>
  <c r="L85" i="7"/>
  <c r="I85" i="7"/>
  <c r="H85" i="7"/>
  <c r="F85" i="7"/>
  <c r="C85" i="7"/>
  <c r="AD84" i="7"/>
  <c r="AC84" i="7"/>
  <c r="AA84" i="7"/>
  <c r="W84" i="7"/>
  <c r="X84" i="7" s="1"/>
  <c r="U84" i="7"/>
  <c r="R84" i="7"/>
  <c r="N84" i="7"/>
  <c r="O84" i="7" s="1"/>
  <c r="L84" i="7"/>
  <c r="I84" i="7"/>
  <c r="H84" i="7"/>
  <c r="F84" i="7"/>
  <c r="C84" i="7"/>
  <c r="AC83" i="7"/>
  <c r="AD83" i="7" s="1"/>
  <c r="AA83" i="7"/>
  <c r="X83" i="7"/>
  <c r="W83" i="7"/>
  <c r="U83" i="7"/>
  <c r="R83" i="7"/>
  <c r="N83" i="7"/>
  <c r="O83" i="7" s="1"/>
  <c r="L83" i="7"/>
  <c r="H83" i="7"/>
  <c r="I83" i="7" s="1"/>
  <c r="F83" i="7"/>
  <c r="C83" i="7"/>
  <c r="AD82" i="7"/>
  <c r="AC82" i="7"/>
  <c r="AA82" i="7"/>
  <c r="W82" i="7"/>
  <c r="X82" i="7" s="1"/>
  <c r="U82" i="7"/>
  <c r="R82" i="7"/>
  <c r="N82" i="7"/>
  <c r="O82" i="7" s="1"/>
  <c r="L82" i="7"/>
  <c r="I82" i="7"/>
  <c r="H82" i="7"/>
  <c r="F82" i="7"/>
  <c r="C82" i="7"/>
  <c r="AD81" i="7"/>
  <c r="AC81" i="7"/>
  <c r="AA81" i="7"/>
  <c r="W81" i="7"/>
  <c r="X81" i="7" s="1"/>
  <c r="U81" i="7"/>
  <c r="R81" i="7"/>
  <c r="N81" i="7"/>
  <c r="O81" i="7" s="1"/>
  <c r="L81" i="7"/>
  <c r="I81" i="7"/>
  <c r="H81" i="7"/>
  <c r="F81" i="7"/>
  <c r="C81" i="7"/>
  <c r="AC80" i="7"/>
  <c r="AD80" i="7" s="1"/>
  <c r="AA80" i="7"/>
  <c r="W80" i="7"/>
  <c r="X80" i="7" s="1"/>
  <c r="U80" i="7"/>
  <c r="R80" i="7"/>
  <c r="O80" i="7"/>
  <c r="N80" i="7"/>
  <c r="L80" i="7"/>
  <c r="I80" i="7"/>
  <c r="H80" i="7"/>
  <c r="F80" i="7"/>
  <c r="C80" i="7"/>
  <c r="AC79" i="7"/>
  <c r="AD79" i="7" s="1"/>
  <c r="AA79" i="7"/>
  <c r="W79" i="7"/>
  <c r="X79" i="7" s="1"/>
  <c r="U79" i="7"/>
  <c r="R79" i="7"/>
  <c r="N79" i="7"/>
  <c r="O79" i="7" s="1"/>
  <c r="L79" i="7"/>
  <c r="I79" i="7"/>
  <c r="H79" i="7"/>
  <c r="F79" i="7"/>
  <c r="C79" i="7"/>
  <c r="AD78" i="7"/>
  <c r="AC78" i="7"/>
  <c r="AA78" i="7"/>
  <c r="W78" i="7"/>
  <c r="X78" i="7" s="1"/>
  <c r="U78" i="7"/>
  <c r="R78" i="7"/>
  <c r="N78" i="7"/>
  <c r="O78" i="7" s="1"/>
  <c r="L78" i="7"/>
  <c r="I78" i="7"/>
  <c r="H78" i="7"/>
  <c r="F78" i="7"/>
  <c r="C78" i="7"/>
  <c r="AD77" i="7"/>
  <c r="AC77" i="7"/>
  <c r="AA77" i="7"/>
  <c r="W77" i="7"/>
  <c r="X77" i="7" s="1"/>
  <c r="U77" i="7"/>
  <c r="R77" i="7"/>
  <c r="N77" i="7"/>
  <c r="O77" i="7" s="1"/>
  <c r="L77" i="7"/>
  <c r="I77" i="7"/>
  <c r="H77" i="7"/>
  <c r="F77" i="7"/>
  <c r="C77" i="7"/>
  <c r="AC76" i="7"/>
  <c r="AD76" i="7" s="1"/>
  <c r="AA76" i="7"/>
  <c r="W76" i="7"/>
  <c r="X76" i="7" s="1"/>
  <c r="U76" i="7"/>
  <c r="R76" i="7"/>
  <c r="N76" i="7"/>
  <c r="O76" i="7" s="1"/>
  <c r="L76" i="7"/>
  <c r="I76" i="7"/>
  <c r="H76" i="7"/>
  <c r="F76" i="7"/>
  <c r="C76" i="7"/>
  <c r="AC75" i="7"/>
  <c r="AD75" i="7" s="1"/>
  <c r="AA75" i="7"/>
  <c r="W75" i="7"/>
  <c r="X75" i="7" s="1"/>
  <c r="U75" i="7"/>
  <c r="R75" i="7"/>
  <c r="N75" i="7"/>
  <c r="O75" i="7" s="1"/>
  <c r="L75" i="7"/>
  <c r="H75" i="7"/>
  <c r="I75" i="7" s="1"/>
  <c r="F75" i="7"/>
  <c r="C75" i="7"/>
  <c r="AA73" i="7"/>
  <c r="Z73" i="7"/>
  <c r="W73" i="7"/>
  <c r="X73" i="7" s="1"/>
  <c r="U73" i="7"/>
  <c r="T73" i="7"/>
  <c r="R73" i="7"/>
  <c r="Q73" i="7"/>
  <c r="AC73" i="7" s="1"/>
  <c r="AD73" i="7" s="1"/>
  <c r="K73" i="7"/>
  <c r="L73" i="7" s="1"/>
  <c r="F73" i="7"/>
  <c r="E73" i="7"/>
  <c r="B73" i="7"/>
  <c r="AD72" i="7"/>
  <c r="AC72" i="7"/>
  <c r="AA72" i="7"/>
  <c r="W72" i="7"/>
  <c r="X72" i="7" s="1"/>
  <c r="U72" i="7"/>
  <c r="R72" i="7"/>
  <c r="N72" i="7"/>
  <c r="O72" i="7" s="1"/>
  <c r="L72" i="7"/>
  <c r="I72" i="7"/>
  <c r="H72" i="7"/>
  <c r="F72" i="7"/>
  <c r="C72" i="7"/>
  <c r="AD71" i="7"/>
  <c r="AC71" i="7"/>
  <c r="AA71" i="7"/>
  <c r="X71" i="7"/>
  <c r="W71" i="7"/>
  <c r="U71" i="7"/>
  <c r="R71" i="7"/>
  <c r="N71" i="7"/>
  <c r="O71" i="7" s="1"/>
  <c r="L71" i="7"/>
  <c r="H71" i="7"/>
  <c r="I71" i="7" s="1"/>
  <c r="F71" i="7"/>
  <c r="C71" i="7"/>
  <c r="AD70" i="7"/>
  <c r="AC70" i="7"/>
  <c r="AA70" i="7"/>
  <c r="X70" i="7"/>
  <c r="W70" i="7"/>
  <c r="U70" i="7"/>
  <c r="R70" i="7"/>
  <c r="N70" i="7"/>
  <c r="O70" i="7" s="1"/>
  <c r="L70" i="7"/>
  <c r="H70" i="7"/>
  <c r="I70" i="7" s="1"/>
  <c r="F70" i="7"/>
  <c r="C70" i="7"/>
  <c r="AD69" i="7"/>
  <c r="AC69" i="7"/>
  <c r="AA69" i="7"/>
  <c r="W69" i="7"/>
  <c r="X69" i="7" s="1"/>
  <c r="U69" i="7"/>
  <c r="R69" i="7"/>
  <c r="N69" i="7"/>
  <c r="O69" i="7" s="1"/>
  <c r="L69" i="7"/>
  <c r="I69" i="7"/>
  <c r="H69" i="7"/>
  <c r="F69" i="7"/>
  <c r="C69" i="7"/>
  <c r="AD68" i="7"/>
  <c r="AC68" i="7"/>
  <c r="AA68" i="7"/>
  <c r="W68" i="7"/>
  <c r="X68" i="7" s="1"/>
  <c r="U68" i="7"/>
  <c r="R68" i="7"/>
  <c r="N68" i="7"/>
  <c r="O68" i="7" s="1"/>
  <c r="L68" i="7"/>
  <c r="I68" i="7"/>
  <c r="H68" i="7"/>
  <c r="F68" i="7"/>
  <c r="C68" i="7"/>
  <c r="AC67" i="7"/>
  <c r="AD67" i="7" s="1"/>
  <c r="AA67" i="7"/>
  <c r="X67" i="7"/>
  <c r="W67" i="7"/>
  <c r="U67" i="7"/>
  <c r="R67" i="7"/>
  <c r="N67" i="7"/>
  <c r="O67" i="7" s="1"/>
  <c r="L67" i="7"/>
  <c r="H67" i="7"/>
  <c r="I67" i="7" s="1"/>
  <c r="F67" i="7"/>
  <c r="C67" i="7"/>
  <c r="AD66" i="7"/>
  <c r="AC66" i="7"/>
  <c r="AA66" i="7"/>
  <c r="W66" i="7"/>
  <c r="X66" i="7" s="1"/>
  <c r="U66" i="7"/>
  <c r="R66" i="7"/>
  <c r="N66" i="7"/>
  <c r="O66" i="7" s="1"/>
  <c r="L66" i="7"/>
  <c r="I66" i="7"/>
  <c r="H66" i="7"/>
  <c r="F66" i="7"/>
  <c r="C66" i="7"/>
  <c r="AD65" i="7"/>
  <c r="AC65" i="7"/>
  <c r="AA65" i="7"/>
  <c r="W65" i="7"/>
  <c r="X65" i="7" s="1"/>
  <c r="U65" i="7"/>
  <c r="R65" i="7"/>
  <c r="N65" i="7"/>
  <c r="O65" i="7" s="1"/>
  <c r="L65" i="7"/>
  <c r="I65" i="7"/>
  <c r="H65" i="7"/>
  <c r="F65" i="7"/>
  <c r="C65" i="7"/>
  <c r="AD64" i="7"/>
  <c r="AC64" i="7"/>
  <c r="AA64" i="7"/>
  <c r="W64" i="7"/>
  <c r="X64" i="7" s="1"/>
  <c r="U64" i="7"/>
  <c r="R64" i="7"/>
  <c r="O64" i="7"/>
  <c r="N64" i="7"/>
  <c r="L64" i="7"/>
  <c r="I64" i="7"/>
  <c r="H64" i="7"/>
  <c r="F64" i="7"/>
  <c r="C64" i="7"/>
  <c r="AC62" i="7"/>
  <c r="AD62" i="7" s="1"/>
  <c r="AA62" i="7"/>
  <c r="Z62" i="7"/>
  <c r="U62" i="7"/>
  <c r="T62" i="7"/>
  <c r="R62" i="7"/>
  <c r="Q62" i="7"/>
  <c r="W62" i="7" s="1"/>
  <c r="X62" i="7" s="1"/>
  <c r="L62" i="7"/>
  <c r="K62" i="7"/>
  <c r="E62" i="7"/>
  <c r="F62" i="7" s="1"/>
  <c r="B62" i="7"/>
  <c r="H62" i="7" s="1"/>
  <c r="I62" i="7" s="1"/>
  <c r="AD61" i="7"/>
  <c r="AA61" i="7"/>
  <c r="Z61" i="7"/>
  <c r="U61" i="7"/>
  <c r="T61" i="7"/>
  <c r="W61" i="7" s="1"/>
  <c r="X61" i="7" s="1"/>
  <c r="R61" i="7"/>
  <c r="Q61" i="7"/>
  <c r="AC61" i="7" s="1"/>
  <c r="K61" i="7"/>
  <c r="L61" i="7" s="1"/>
  <c r="I61" i="7"/>
  <c r="H61" i="7"/>
  <c r="F61" i="7"/>
  <c r="E61" i="7"/>
  <c r="C61" i="7"/>
  <c r="B61" i="7"/>
  <c r="N61" i="7" s="1"/>
  <c r="O61" i="7" s="1"/>
  <c r="AC60" i="7"/>
  <c r="AD60" i="7" s="1"/>
  <c r="AA60" i="7"/>
  <c r="X60" i="7"/>
  <c r="W60" i="7"/>
  <c r="U60" i="7"/>
  <c r="R60" i="7"/>
  <c r="N60" i="7"/>
  <c r="O60" i="7" s="1"/>
  <c r="L60" i="7"/>
  <c r="H60" i="7"/>
  <c r="I60" i="7" s="1"/>
  <c r="F60" i="7"/>
  <c r="C60" i="7"/>
  <c r="AD59" i="7"/>
  <c r="AC59" i="7"/>
  <c r="AA59" i="7"/>
  <c r="W59" i="7"/>
  <c r="X59" i="7" s="1"/>
  <c r="U59" i="7"/>
  <c r="R59" i="7"/>
  <c r="O59" i="7"/>
  <c r="N59" i="7"/>
  <c r="L59" i="7"/>
  <c r="H59" i="7"/>
  <c r="I59" i="7" s="1"/>
  <c r="F59" i="7"/>
  <c r="C59" i="7"/>
  <c r="AC58" i="7"/>
  <c r="AD58" i="7" s="1"/>
  <c r="AA58" i="7"/>
  <c r="W58" i="7"/>
  <c r="X58" i="7" s="1"/>
  <c r="U58" i="7"/>
  <c r="R58" i="7"/>
  <c r="N58" i="7"/>
  <c r="O58" i="7" s="1"/>
  <c r="L58" i="7"/>
  <c r="I58" i="7"/>
  <c r="H58" i="7"/>
  <c r="F58" i="7"/>
  <c r="C58" i="7"/>
  <c r="AD57" i="7"/>
  <c r="AC57" i="7"/>
  <c r="AA57" i="7"/>
  <c r="X57" i="7"/>
  <c r="W57" i="7"/>
  <c r="U57" i="7"/>
  <c r="R57" i="7"/>
  <c r="N57" i="7"/>
  <c r="O57" i="7" s="1"/>
  <c r="L57" i="7"/>
  <c r="H57" i="7"/>
  <c r="I57" i="7" s="1"/>
  <c r="F57" i="7"/>
  <c r="C57" i="7"/>
  <c r="AC56" i="7"/>
  <c r="AD56" i="7" s="1"/>
  <c r="AA56" i="7"/>
  <c r="X56" i="7"/>
  <c r="W56" i="7"/>
  <c r="U56" i="7"/>
  <c r="R56" i="7"/>
  <c r="N56" i="7"/>
  <c r="O56" i="7" s="1"/>
  <c r="L56" i="7"/>
  <c r="I56" i="7"/>
  <c r="H56" i="7"/>
  <c r="F56" i="7"/>
  <c r="C56" i="7"/>
  <c r="AD55" i="7"/>
  <c r="AC55" i="7"/>
  <c r="AA55" i="7"/>
  <c r="W55" i="7"/>
  <c r="X55" i="7" s="1"/>
  <c r="U55" i="7"/>
  <c r="R55" i="7"/>
  <c r="O55" i="7"/>
  <c r="N55" i="7"/>
  <c r="L55" i="7"/>
  <c r="H55" i="7"/>
  <c r="I55" i="7" s="1"/>
  <c r="F55" i="7"/>
  <c r="C55" i="7"/>
  <c r="AD54" i="7"/>
  <c r="AC54" i="7"/>
  <c r="AA54" i="7"/>
  <c r="W54" i="7"/>
  <c r="X54" i="7" s="1"/>
  <c r="U54" i="7"/>
  <c r="R54" i="7"/>
  <c r="N54" i="7"/>
  <c r="O54" i="7" s="1"/>
  <c r="L54" i="7"/>
  <c r="I54" i="7"/>
  <c r="H54" i="7"/>
  <c r="F54" i="7"/>
  <c r="C54" i="7"/>
  <c r="AD53" i="7"/>
  <c r="AC53" i="7"/>
  <c r="AA53" i="7"/>
  <c r="X53" i="7"/>
  <c r="W53" i="7"/>
  <c r="U53" i="7"/>
  <c r="R53" i="7"/>
  <c r="N53" i="7"/>
  <c r="O53" i="7" s="1"/>
  <c r="L53" i="7"/>
  <c r="H53" i="7"/>
  <c r="I53" i="7" s="1"/>
  <c r="F53" i="7"/>
  <c r="C53" i="7"/>
  <c r="AC52" i="7"/>
  <c r="AD52" i="7" s="1"/>
  <c r="AA52" i="7"/>
  <c r="W52" i="7"/>
  <c r="X52" i="7" s="1"/>
  <c r="U52" i="7"/>
  <c r="R52" i="7"/>
  <c r="N52" i="7"/>
  <c r="O52" i="7" s="1"/>
  <c r="L52" i="7"/>
  <c r="I52" i="7"/>
  <c r="H52" i="7"/>
  <c r="F52" i="7"/>
  <c r="C52" i="7"/>
  <c r="AD51" i="7"/>
  <c r="AC51" i="7"/>
  <c r="AA51" i="7"/>
  <c r="W51" i="7"/>
  <c r="X51" i="7" s="1"/>
  <c r="U51" i="7"/>
  <c r="R51" i="7"/>
  <c r="O51" i="7"/>
  <c r="N51" i="7"/>
  <c r="L51" i="7"/>
  <c r="H51" i="7"/>
  <c r="I51" i="7" s="1"/>
  <c r="F51" i="7"/>
  <c r="C51" i="7"/>
  <c r="AD50" i="7"/>
  <c r="AC50" i="7"/>
  <c r="AA50" i="7"/>
  <c r="X50" i="7"/>
  <c r="W50" i="7"/>
  <c r="U50" i="7"/>
  <c r="R50" i="7"/>
  <c r="N50" i="7"/>
  <c r="O50" i="7" s="1"/>
  <c r="L50" i="7"/>
  <c r="I50" i="7"/>
  <c r="H50" i="7"/>
  <c r="F50" i="7"/>
  <c r="C50" i="7"/>
  <c r="AD49" i="7"/>
  <c r="AC49" i="7"/>
  <c r="AA49" i="7"/>
  <c r="X49" i="7"/>
  <c r="W49" i="7"/>
  <c r="U49" i="7"/>
  <c r="R49" i="7"/>
  <c r="N49" i="7"/>
  <c r="O49" i="7" s="1"/>
  <c r="L49" i="7"/>
  <c r="H49" i="7"/>
  <c r="I49" i="7" s="1"/>
  <c r="F49" i="7"/>
  <c r="C49" i="7"/>
  <c r="AC48" i="7"/>
  <c r="AD48" i="7" s="1"/>
  <c r="AA48" i="7"/>
  <c r="X48" i="7"/>
  <c r="W48" i="7"/>
  <c r="U48" i="7"/>
  <c r="R48" i="7"/>
  <c r="O48" i="7"/>
  <c r="N48" i="7"/>
  <c r="L48" i="7"/>
  <c r="H48" i="7"/>
  <c r="I48" i="7" s="1"/>
  <c r="F48" i="7"/>
  <c r="C48" i="7"/>
  <c r="AD47" i="7"/>
  <c r="AC47" i="7"/>
  <c r="AA47" i="7"/>
  <c r="W47" i="7"/>
  <c r="X47" i="7" s="1"/>
  <c r="U47" i="7"/>
  <c r="R47" i="7"/>
  <c r="O47" i="7"/>
  <c r="N47" i="7"/>
  <c r="L47" i="7"/>
  <c r="H47" i="7"/>
  <c r="I47" i="7" s="1"/>
  <c r="F47" i="7"/>
  <c r="C47" i="7"/>
  <c r="AC46" i="7"/>
  <c r="AD46" i="7" s="1"/>
  <c r="AA46" i="7"/>
  <c r="X46" i="7"/>
  <c r="W46" i="7"/>
  <c r="U46" i="7"/>
  <c r="R46" i="7"/>
  <c r="O46" i="7"/>
  <c r="N46" i="7"/>
  <c r="L46" i="7"/>
  <c r="I46" i="7"/>
  <c r="H46" i="7"/>
  <c r="F46" i="7"/>
  <c r="C46" i="7"/>
  <c r="AC44" i="7"/>
  <c r="AD44" i="7" s="1"/>
  <c r="AA44" i="7"/>
  <c r="X44" i="7"/>
  <c r="W44" i="7"/>
  <c r="U44" i="7"/>
  <c r="R44" i="7"/>
  <c r="N44" i="7"/>
  <c r="O44" i="7" s="1"/>
  <c r="L44" i="7"/>
  <c r="I44" i="7"/>
  <c r="H44" i="7"/>
  <c r="F44" i="7"/>
  <c r="C44" i="7"/>
  <c r="AC43" i="7"/>
  <c r="AD43" i="7" s="1"/>
  <c r="AA43" i="7"/>
  <c r="X43" i="7"/>
  <c r="W43" i="7"/>
  <c r="U43" i="7"/>
  <c r="R43" i="7"/>
  <c r="O43" i="7"/>
  <c r="N43" i="7"/>
  <c r="L43" i="7"/>
  <c r="I43" i="7"/>
  <c r="H43" i="7"/>
  <c r="F43" i="7"/>
  <c r="C43" i="7"/>
  <c r="AD42" i="7"/>
  <c r="AC42" i="7"/>
  <c r="AA42" i="7"/>
  <c r="W42" i="7"/>
  <c r="X42" i="7" s="1"/>
  <c r="U42" i="7"/>
  <c r="R42" i="7"/>
  <c r="O42" i="7"/>
  <c r="N42" i="7"/>
  <c r="L42" i="7"/>
  <c r="H42" i="7"/>
  <c r="I42" i="7" s="1"/>
  <c r="F42" i="7"/>
  <c r="C42" i="7"/>
  <c r="AA40" i="7"/>
  <c r="Z40" i="7"/>
  <c r="T40" i="7"/>
  <c r="U40" i="7" s="1"/>
  <c r="Q40" i="7"/>
  <c r="AC40" i="7" s="1"/>
  <c r="AD40" i="7" s="1"/>
  <c r="K40" i="7"/>
  <c r="L40" i="7" s="1"/>
  <c r="F40" i="7"/>
  <c r="E40" i="7"/>
  <c r="H40" i="7" s="1"/>
  <c r="I40" i="7" s="1"/>
  <c r="C40" i="7"/>
  <c r="B40" i="7"/>
  <c r="N40" i="7" s="1"/>
  <c r="O40" i="7" s="1"/>
  <c r="AC39" i="7"/>
  <c r="AD39" i="7" s="1"/>
  <c r="AA39" i="7"/>
  <c r="X39" i="7"/>
  <c r="W39" i="7"/>
  <c r="U39" i="7"/>
  <c r="R39" i="7"/>
  <c r="O39" i="7"/>
  <c r="N39" i="7"/>
  <c r="L39" i="7"/>
  <c r="I39" i="7"/>
  <c r="H39" i="7"/>
  <c r="F39" i="7"/>
  <c r="C39" i="7"/>
  <c r="AD38" i="7"/>
  <c r="AC38" i="7"/>
  <c r="AA38" i="7"/>
  <c r="W38" i="7"/>
  <c r="X38" i="7" s="1"/>
  <c r="U38" i="7"/>
  <c r="R38" i="7"/>
  <c r="O38" i="7"/>
  <c r="N38" i="7"/>
  <c r="L38" i="7"/>
  <c r="H38" i="7"/>
  <c r="I38" i="7" s="1"/>
  <c r="F38" i="7"/>
  <c r="C38" i="7"/>
  <c r="AD37" i="7"/>
  <c r="AC37" i="7"/>
  <c r="AA37" i="7"/>
  <c r="X37" i="7"/>
  <c r="W37" i="7"/>
  <c r="U37" i="7"/>
  <c r="R37" i="7"/>
  <c r="N37" i="7"/>
  <c r="O37" i="7" s="1"/>
  <c r="L37" i="7"/>
  <c r="I37" i="7"/>
  <c r="H37" i="7"/>
  <c r="F37" i="7"/>
  <c r="C37" i="7"/>
  <c r="AC36" i="7"/>
  <c r="AD36" i="7" s="1"/>
  <c r="AA36" i="7"/>
  <c r="X36" i="7"/>
  <c r="W36" i="7"/>
  <c r="U36" i="7"/>
  <c r="R36" i="7"/>
  <c r="N36" i="7"/>
  <c r="O36" i="7" s="1"/>
  <c r="L36" i="7"/>
  <c r="H36" i="7"/>
  <c r="I36" i="7" s="1"/>
  <c r="F36" i="7"/>
  <c r="C36" i="7"/>
  <c r="AC35" i="7"/>
  <c r="AD35" i="7" s="1"/>
  <c r="AA35" i="7"/>
  <c r="X35" i="7"/>
  <c r="W35" i="7"/>
  <c r="U35" i="7"/>
  <c r="R35" i="7"/>
  <c r="O35" i="7"/>
  <c r="N35" i="7"/>
  <c r="L35" i="7"/>
  <c r="H35" i="7"/>
  <c r="I35" i="7" s="1"/>
  <c r="F35" i="7"/>
  <c r="C35" i="7"/>
  <c r="AD34" i="7"/>
  <c r="AC34" i="7"/>
  <c r="AA34" i="7"/>
  <c r="W34" i="7"/>
  <c r="X34" i="7" s="1"/>
  <c r="U34" i="7"/>
  <c r="R34" i="7"/>
  <c r="O34" i="7"/>
  <c r="N34" i="7"/>
  <c r="L34" i="7"/>
  <c r="H34" i="7"/>
  <c r="I34" i="7" s="1"/>
  <c r="F34" i="7"/>
  <c r="C34" i="7"/>
  <c r="AC33" i="7"/>
  <c r="AD33" i="7" s="1"/>
  <c r="AA33" i="7"/>
  <c r="X33" i="7"/>
  <c r="W33" i="7"/>
  <c r="U33" i="7"/>
  <c r="R33" i="7"/>
  <c r="O33" i="7"/>
  <c r="N33" i="7"/>
  <c r="L33" i="7"/>
  <c r="I33" i="7"/>
  <c r="H33" i="7"/>
  <c r="F33" i="7"/>
  <c r="C33" i="7"/>
  <c r="AC32" i="7"/>
  <c r="AD32" i="7" s="1"/>
  <c r="AA32" i="7"/>
  <c r="X32" i="7"/>
  <c r="W32" i="7"/>
  <c r="U32" i="7"/>
  <c r="R32" i="7"/>
  <c r="N32" i="7"/>
  <c r="O32" i="7" s="1"/>
  <c r="L32" i="7"/>
  <c r="I32" i="7"/>
  <c r="H32" i="7"/>
  <c r="F32" i="7"/>
  <c r="C32" i="7"/>
  <c r="AC31" i="7"/>
  <c r="AD31" i="7" s="1"/>
  <c r="AA31" i="7"/>
  <c r="X31" i="7"/>
  <c r="W31" i="7"/>
  <c r="U31" i="7"/>
  <c r="R31" i="7"/>
  <c r="O31" i="7"/>
  <c r="N31" i="7"/>
  <c r="L31" i="7"/>
  <c r="I31" i="7"/>
  <c r="H31" i="7"/>
  <c r="F31" i="7"/>
  <c r="C31" i="7"/>
  <c r="Z29" i="7"/>
  <c r="AA29" i="7" s="1"/>
  <c r="T29" i="7"/>
  <c r="W29" i="7" s="1"/>
  <c r="X29" i="7" s="1"/>
  <c r="R29" i="7"/>
  <c r="Q29" i="7"/>
  <c r="AC29" i="7" s="1"/>
  <c r="AD29" i="7" s="1"/>
  <c r="L29" i="7"/>
  <c r="K29" i="7"/>
  <c r="I29" i="7"/>
  <c r="H29" i="7"/>
  <c r="F29" i="7"/>
  <c r="E29" i="7"/>
  <c r="B29" i="7"/>
  <c r="C29" i="7" s="1"/>
  <c r="AC28" i="7"/>
  <c r="AD28" i="7" s="1"/>
  <c r="AA28" i="7"/>
  <c r="X28" i="7"/>
  <c r="W28" i="7"/>
  <c r="U28" i="7"/>
  <c r="R28" i="7"/>
  <c r="N28" i="7"/>
  <c r="O28" i="7" s="1"/>
  <c r="L28" i="7"/>
  <c r="I28" i="7"/>
  <c r="H28" i="7"/>
  <c r="F28" i="7"/>
  <c r="C28" i="7"/>
  <c r="AC27" i="7"/>
  <c r="AD27" i="7" s="1"/>
  <c r="AA27" i="7"/>
  <c r="X27" i="7"/>
  <c r="W27" i="7"/>
  <c r="U27" i="7"/>
  <c r="R27" i="7"/>
  <c r="O27" i="7"/>
  <c r="N27" i="7"/>
  <c r="L27" i="7"/>
  <c r="I27" i="7"/>
  <c r="H27" i="7"/>
  <c r="F27" i="7"/>
  <c r="C27" i="7"/>
  <c r="AD26" i="7"/>
  <c r="AC26" i="7"/>
  <c r="AA26" i="7"/>
  <c r="W26" i="7"/>
  <c r="X26" i="7" s="1"/>
  <c r="U26" i="7"/>
  <c r="R26" i="7"/>
  <c r="O26" i="7"/>
  <c r="N26" i="7"/>
  <c r="L26" i="7"/>
  <c r="H26" i="7"/>
  <c r="I26" i="7" s="1"/>
  <c r="F26" i="7"/>
  <c r="C26" i="7"/>
  <c r="AD25" i="7"/>
  <c r="AC25" i="7"/>
  <c r="AA25" i="7"/>
  <c r="X25" i="7"/>
  <c r="W25" i="7"/>
  <c r="U25" i="7"/>
  <c r="R25" i="7"/>
  <c r="N25" i="7"/>
  <c r="O25" i="7" s="1"/>
  <c r="L25" i="7"/>
  <c r="I25" i="7"/>
  <c r="H25" i="7"/>
  <c r="F25" i="7"/>
  <c r="C25" i="7"/>
  <c r="AC24" i="7"/>
  <c r="AD24" i="7" s="1"/>
  <c r="AA24" i="7"/>
  <c r="X24" i="7"/>
  <c r="W24" i="7"/>
  <c r="U24" i="7"/>
  <c r="R24" i="7"/>
  <c r="N24" i="7"/>
  <c r="O24" i="7" s="1"/>
  <c r="L24" i="7"/>
  <c r="H24" i="7"/>
  <c r="I24" i="7" s="1"/>
  <c r="F24" i="7"/>
  <c r="C24" i="7"/>
  <c r="AC23" i="7"/>
  <c r="AD23" i="7" s="1"/>
  <c r="AA23" i="7"/>
  <c r="X23" i="7"/>
  <c r="W23" i="7"/>
  <c r="U23" i="7"/>
  <c r="R23" i="7"/>
  <c r="O23" i="7"/>
  <c r="N23" i="7"/>
  <c r="L23" i="7"/>
  <c r="H23" i="7"/>
  <c r="I23" i="7" s="1"/>
  <c r="F23" i="7"/>
  <c r="C23" i="7"/>
  <c r="AD22" i="7"/>
  <c r="AC22" i="7"/>
  <c r="AA22" i="7"/>
  <c r="W22" i="7"/>
  <c r="X22" i="7" s="1"/>
  <c r="U22" i="7"/>
  <c r="R22" i="7"/>
  <c r="O22" i="7"/>
  <c r="N22" i="7"/>
  <c r="L22" i="7"/>
  <c r="H22" i="7"/>
  <c r="I22" i="7" s="1"/>
  <c r="F22" i="7"/>
  <c r="C22" i="7"/>
  <c r="AC21" i="7"/>
  <c r="AD21" i="7" s="1"/>
  <c r="AA21" i="7"/>
  <c r="X21" i="7"/>
  <c r="W21" i="7"/>
  <c r="U21" i="7"/>
  <c r="R21" i="7"/>
  <c r="O21" i="7"/>
  <c r="N21" i="7"/>
  <c r="L21" i="7"/>
  <c r="I21" i="7"/>
  <c r="H21" i="7"/>
  <c r="F21" i="7"/>
  <c r="C21" i="7"/>
  <c r="AC19" i="7"/>
  <c r="AD19" i="7" s="1"/>
  <c r="AA19" i="7"/>
  <c r="X19" i="7"/>
  <c r="W19" i="7"/>
  <c r="U19" i="7"/>
  <c r="R19" i="7"/>
  <c r="N19" i="7"/>
  <c r="O19" i="7" s="1"/>
  <c r="L19" i="7"/>
  <c r="I19" i="7"/>
  <c r="H19" i="7"/>
  <c r="F19" i="7"/>
  <c r="C19" i="7"/>
  <c r="Z18" i="7"/>
  <c r="AA18" i="7" s="1"/>
  <c r="X18" i="7"/>
  <c r="W18" i="7"/>
  <c r="U18" i="7"/>
  <c r="T18" i="7"/>
  <c r="Q18" i="7"/>
  <c r="R18" i="7" s="1"/>
  <c r="O18" i="7"/>
  <c r="N18" i="7"/>
  <c r="L18" i="7"/>
  <c r="K18" i="7"/>
  <c r="E18" i="7"/>
  <c r="F18" i="7" s="1"/>
  <c r="C18" i="7"/>
  <c r="B18" i="7"/>
  <c r="H18" i="7" s="1"/>
  <c r="I18" i="7" s="1"/>
  <c r="AD17" i="7"/>
  <c r="AC17" i="7"/>
  <c r="AA17" i="7"/>
  <c r="X17" i="7"/>
  <c r="W17" i="7"/>
  <c r="U17" i="7"/>
  <c r="R17" i="7"/>
  <c r="N17" i="7"/>
  <c r="O17" i="7" s="1"/>
  <c r="L17" i="7"/>
  <c r="I17" i="7"/>
  <c r="H17" i="7"/>
  <c r="F17" i="7"/>
  <c r="C17" i="7"/>
  <c r="AD16" i="7"/>
  <c r="AC16" i="7"/>
  <c r="AA16" i="7"/>
  <c r="X16" i="7"/>
  <c r="W16" i="7"/>
  <c r="U16" i="7"/>
  <c r="R16" i="7"/>
  <c r="N16" i="7"/>
  <c r="O16" i="7" s="1"/>
  <c r="L16" i="7"/>
  <c r="H16" i="7"/>
  <c r="I16" i="7" s="1"/>
  <c r="F16" i="7"/>
  <c r="C16" i="7"/>
  <c r="AC15" i="7"/>
  <c r="AD15" i="7" s="1"/>
  <c r="AA15" i="7"/>
  <c r="W15" i="7"/>
  <c r="X15" i="7" s="1"/>
  <c r="U15" i="7"/>
  <c r="R15" i="7"/>
  <c r="O15" i="7"/>
  <c r="N15" i="7"/>
  <c r="L15" i="7"/>
  <c r="I15" i="7"/>
  <c r="H15" i="7"/>
  <c r="F15" i="7"/>
  <c r="C15" i="7"/>
  <c r="AD14" i="7"/>
  <c r="AC14" i="7"/>
  <c r="AA14" i="7"/>
  <c r="W14" i="7"/>
  <c r="X14" i="7" s="1"/>
  <c r="U14" i="7"/>
  <c r="R14" i="7"/>
  <c r="O14" i="7"/>
  <c r="N14" i="7"/>
  <c r="L14" i="7"/>
  <c r="H14" i="7"/>
  <c r="I14" i="7" s="1"/>
  <c r="F14" i="7"/>
  <c r="C14" i="7"/>
  <c r="AD13" i="7"/>
  <c r="AC13" i="7"/>
  <c r="AA13" i="7"/>
  <c r="X13" i="7"/>
  <c r="W13" i="7"/>
  <c r="U13" i="7"/>
  <c r="R13" i="7"/>
  <c r="O13" i="7"/>
  <c r="N13" i="7"/>
  <c r="L13" i="7"/>
  <c r="I13" i="7"/>
  <c r="H13" i="7"/>
  <c r="F13" i="7"/>
  <c r="C13" i="7"/>
  <c r="AC12" i="7"/>
  <c r="AD12" i="7" s="1"/>
  <c r="AA12" i="7"/>
  <c r="X12" i="7"/>
  <c r="W12" i="7"/>
  <c r="U12" i="7"/>
  <c r="R12" i="7"/>
  <c r="N12" i="7"/>
  <c r="O12" i="7" s="1"/>
  <c r="L12" i="7"/>
  <c r="I12" i="7"/>
  <c r="H12" i="7"/>
  <c r="F12" i="7"/>
  <c r="C12" i="7"/>
  <c r="AC11" i="7"/>
  <c r="AD11" i="7" s="1"/>
  <c r="AA11" i="7"/>
  <c r="X11" i="7"/>
  <c r="W11" i="7"/>
  <c r="U11" i="7"/>
  <c r="R11" i="7"/>
  <c r="O11" i="7"/>
  <c r="N11" i="7"/>
  <c r="L11" i="7"/>
  <c r="I11" i="7"/>
  <c r="H11" i="7"/>
  <c r="F11" i="7"/>
  <c r="C11" i="7"/>
  <c r="AD10" i="7"/>
  <c r="AC10" i="7"/>
  <c r="AA10" i="7"/>
  <c r="W10" i="7"/>
  <c r="X10" i="7" s="1"/>
  <c r="U10" i="7"/>
  <c r="R10" i="7"/>
  <c r="O10" i="7"/>
  <c r="N10" i="7"/>
  <c r="L10" i="7"/>
  <c r="H10" i="7"/>
  <c r="I10" i="7" s="1"/>
  <c r="F10" i="7"/>
  <c r="C10" i="7"/>
  <c r="AD8" i="7"/>
  <c r="AC8" i="7"/>
  <c r="AA8" i="7"/>
  <c r="X8" i="7"/>
  <c r="W8" i="7"/>
  <c r="U8" i="7"/>
  <c r="R8" i="7"/>
  <c r="N8" i="7"/>
  <c r="O8" i="7" s="1"/>
  <c r="L8" i="7"/>
  <c r="I8" i="7"/>
  <c r="H8" i="7"/>
  <c r="F8" i="7"/>
  <c r="C8" i="7"/>
  <c r="AC444" i="6"/>
  <c r="AD424" i="6" s="1"/>
  <c r="W444" i="6"/>
  <c r="N444" i="6"/>
  <c r="O426" i="6" s="1"/>
  <c r="H444" i="6"/>
  <c r="I439" i="6" s="1"/>
  <c r="AA442" i="6"/>
  <c r="Z442" i="6"/>
  <c r="T442" i="6"/>
  <c r="U442" i="6" s="1"/>
  <c r="Q442" i="6"/>
  <c r="W442" i="6" s="1"/>
  <c r="X442" i="6" s="1"/>
  <c r="L442" i="6"/>
  <c r="K442" i="6"/>
  <c r="E442" i="6"/>
  <c r="F442" i="6" s="1"/>
  <c r="B442" i="6"/>
  <c r="H442" i="6" s="1"/>
  <c r="I442" i="6" s="1"/>
  <c r="Z441" i="6"/>
  <c r="AA441" i="6" s="1"/>
  <c r="W441" i="6"/>
  <c r="X441" i="6" s="1"/>
  <c r="U441" i="6"/>
  <c r="T441" i="6"/>
  <c r="R441" i="6"/>
  <c r="Q441" i="6"/>
  <c r="AC441" i="6" s="1"/>
  <c r="L441" i="6"/>
  <c r="K441" i="6"/>
  <c r="H441" i="6"/>
  <c r="I441" i="6" s="1"/>
  <c r="F441" i="6"/>
  <c r="E441" i="6"/>
  <c r="B441" i="6"/>
  <c r="C441" i="6" s="1"/>
  <c r="AC440" i="6"/>
  <c r="AD440" i="6" s="1"/>
  <c r="AA440" i="6"/>
  <c r="X440" i="6"/>
  <c r="W440" i="6"/>
  <c r="U440" i="6"/>
  <c r="R440" i="6"/>
  <c r="N440" i="6"/>
  <c r="L440" i="6"/>
  <c r="I440" i="6"/>
  <c r="H440" i="6"/>
  <c r="F440" i="6"/>
  <c r="C440" i="6"/>
  <c r="AC439" i="6"/>
  <c r="AA439" i="6"/>
  <c r="X439" i="6"/>
  <c r="W439" i="6"/>
  <c r="U439" i="6"/>
  <c r="R439" i="6"/>
  <c r="N439" i="6"/>
  <c r="L439" i="6"/>
  <c r="H439" i="6"/>
  <c r="F439" i="6"/>
  <c r="C439" i="6"/>
  <c r="AC438" i="6"/>
  <c r="AA438" i="6"/>
  <c r="W438" i="6"/>
  <c r="X438" i="6" s="1"/>
  <c r="U438" i="6"/>
  <c r="R438" i="6"/>
  <c r="N438" i="6"/>
  <c r="L438" i="6"/>
  <c r="H438" i="6"/>
  <c r="I438" i="6" s="1"/>
  <c r="F438" i="6"/>
  <c r="C438" i="6"/>
  <c r="AD437" i="6"/>
  <c r="AC437" i="6"/>
  <c r="AA437" i="6"/>
  <c r="W437" i="6"/>
  <c r="U437" i="6"/>
  <c r="R437" i="6"/>
  <c r="N437" i="6"/>
  <c r="O437" i="6" s="1"/>
  <c r="L437" i="6"/>
  <c r="H437" i="6"/>
  <c r="F437" i="6"/>
  <c r="C437" i="6"/>
  <c r="AC436" i="6"/>
  <c r="AD436" i="6" s="1"/>
  <c r="AA436" i="6"/>
  <c r="X436" i="6"/>
  <c r="W436" i="6"/>
  <c r="U436" i="6"/>
  <c r="R436" i="6"/>
  <c r="N436" i="6"/>
  <c r="L436" i="6"/>
  <c r="I436" i="6"/>
  <c r="H436" i="6"/>
  <c r="F436" i="6"/>
  <c r="C436" i="6"/>
  <c r="AC435" i="6"/>
  <c r="AA435" i="6"/>
  <c r="X435" i="6"/>
  <c r="W435" i="6"/>
  <c r="U435" i="6"/>
  <c r="R435" i="6"/>
  <c r="N435" i="6"/>
  <c r="L435" i="6"/>
  <c r="H435" i="6"/>
  <c r="F435" i="6"/>
  <c r="C435" i="6"/>
  <c r="AC434" i="6"/>
  <c r="AA434" i="6"/>
  <c r="W434" i="6"/>
  <c r="X434" i="6" s="1"/>
  <c r="U434" i="6"/>
  <c r="R434" i="6"/>
  <c r="N434" i="6"/>
  <c r="L434" i="6"/>
  <c r="H434" i="6"/>
  <c r="I434" i="6" s="1"/>
  <c r="F434" i="6"/>
  <c r="C434" i="6"/>
  <c r="AD433" i="6"/>
  <c r="AC433" i="6"/>
  <c r="AA433" i="6"/>
  <c r="W433" i="6"/>
  <c r="U433" i="6"/>
  <c r="R433" i="6"/>
  <c r="N433" i="6"/>
  <c r="O433" i="6" s="1"/>
  <c r="L433" i="6"/>
  <c r="H433" i="6"/>
  <c r="F433" i="6"/>
  <c r="C433" i="6"/>
  <c r="AC432" i="6"/>
  <c r="AD432" i="6" s="1"/>
  <c r="AA432" i="6"/>
  <c r="X432" i="6"/>
  <c r="W432" i="6"/>
  <c r="U432" i="6"/>
  <c r="R432" i="6"/>
  <c r="N432" i="6"/>
  <c r="L432" i="6"/>
  <c r="I432" i="6"/>
  <c r="H432" i="6"/>
  <c r="F432" i="6"/>
  <c r="C432" i="6"/>
  <c r="AA429" i="6"/>
  <c r="Z429" i="6"/>
  <c r="X429" i="6"/>
  <c r="W429" i="6"/>
  <c r="U429" i="6"/>
  <c r="T429" i="6"/>
  <c r="Q429" i="6"/>
  <c r="R429" i="6" s="1"/>
  <c r="K429" i="6"/>
  <c r="L429" i="6" s="1"/>
  <c r="E429" i="6"/>
  <c r="F429" i="6" s="1"/>
  <c r="C429" i="6"/>
  <c r="B429" i="6"/>
  <c r="H429" i="6" s="1"/>
  <c r="I429" i="6" s="1"/>
  <c r="AA428" i="6"/>
  <c r="Z428" i="6"/>
  <c r="U428" i="6"/>
  <c r="T428" i="6"/>
  <c r="R428" i="6"/>
  <c r="Q428" i="6"/>
  <c r="W428" i="6" s="1"/>
  <c r="X428" i="6" s="1"/>
  <c r="K428" i="6"/>
  <c r="L428" i="6" s="1"/>
  <c r="E428" i="6"/>
  <c r="F428" i="6" s="1"/>
  <c r="C428" i="6"/>
  <c r="B428" i="6"/>
  <c r="N428" i="6" s="1"/>
  <c r="O428" i="6" s="1"/>
  <c r="AC427" i="6"/>
  <c r="AD427" i="6" s="1"/>
  <c r="AA427" i="6"/>
  <c r="X427" i="6"/>
  <c r="W427" i="6"/>
  <c r="U427" i="6"/>
  <c r="R427" i="6"/>
  <c r="N427" i="6"/>
  <c r="L427" i="6"/>
  <c r="I427" i="6"/>
  <c r="H427" i="6"/>
  <c r="F427" i="6"/>
  <c r="C427" i="6"/>
  <c r="AC426" i="6"/>
  <c r="AA426" i="6"/>
  <c r="W426" i="6"/>
  <c r="X426" i="6" s="1"/>
  <c r="U426" i="6"/>
  <c r="R426" i="6"/>
  <c r="N426" i="6"/>
  <c r="L426" i="6"/>
  <c r="H426" i="6"/>
  <c r="F426" i="6"/>
  <c r="C426" i="6"/>
  <c r="AD425" i="6"/>
  <c r="AC425" i="6"/>
  <c r="AA425" i="6"/>
  <c r="W425" i="6"/>
  <c r="U425" i="6"/>
  <c r="R425" i="6"/>
  <c r="N425" i="6"/>
  <c r="L425" i="6"/>
  <c r="H425" i="6"/>
  <c r="F425" i="6"/>
  <c r="C425" i="6"/>
  <c r="AC424" i="6"/>
  <c r="AA424" i="6"/>
  <c r="X424" i="6"/>
  <c r="W424" i="6"/>
  <c r="U424" i="6"/>
  <c r="R424" i="6"/>
  <c r="N424" i="6"/>
  <c r="L424" i="6"/>
  <c r="H424" i="6"/>
  <c r="I424" i="6" s="1"/>
  <c r="F424" i="6"/>
  <c r="C424" i="6"/>
  <c r="AC423" i="6"/>
  <c r="AD423" i="6" s="1"/>
  <c r="AA423" i="6"/>
  <c r="X423" i="6"/>
  <c r="W423" i="6"/>
  <c r="U423" i="6"/>
  <c r="R423" i="6"/>
  <c r="N423" i="6"/>
  <c r="L423" i="6"/>
  <c r="I423" i="6"/>
  <c r="H423" i="6"/>
  <c r="F423" i="6"/>
  <c r="C423" i="6"/>
  <c r="AC422" i="6"/>
  <c r="AA422" i="6"/>
  <c r="W422" i="6"/>
  <c r="X422" i="6" s="1"/>
  <c r="U422" i="6"/>
  <c r="R422" i="6"/>
  <c r="O422" i="6"/>
  <c r="N422" i="6"/>
  <c r="L422" i="6"/>
  <c r="H422" i="6"/>
  <c r="F422" i="6"/>
  <c r="C422" i="6"/>
  <c r="AD421" i="6"/>
  <c r="AC421" i="6"/>
  <c r="AA421" i="6"/>
  <c r="W421" i="6"/>
  <c r="U421" i="6"/>
  <c r="R421" i="6"/>
  <c r="N421" i="6"/>
  <c r="L421" i="6"/>
  <c r="H421" i="6"/>
  <c r="F421" i="6"/>
  <c r="C421" i="6"/>
  <c r="AC420" i="6"/>
  <c r="AA420" i="6"/>
  <c r="X420" i="6"/>
  <c r="W420" i="6"/>
  <c r="U420" i="6"/>
  <c r="R420" i="6"/>
  <c r="N420" i="6"/>
  <c r="O420" i="6" s="1"/>
  <c r="L420" i="6"/>
  <c r="H420" i="6"/>
  <c r="I420" i="6" s="1"/>
  <c r="F420" i="6"/>
  <c r="C420" i="6"/>
  <c r="AC419" i="6"/>
  <c r="AD419" i="6" s="1"/>
  <c r="AA419" i="6"/>
  <c r="X419" i="6"/>
  <c r="W419" i="6"/>
  <c r="U419" i="6"/>
  <c r="R419" i="6"/>
  <c r="N419" i="6"/>
  <c r="L419" i="6"/>
  <c r="I419" i="6"/>
  <c r="H419" i="6"/>
  <c r="F419" i="6"/>
  <c r="C419" i="6"/>
  <c r="AC418" i="6"/>
  <c r="AA418" i="6"/>
  <c r="W418" i="6"/>
  <c r="X418" i="6" s="1"/>
  <c r="U418" i="6"/>
  <c r="R418" i="6"/>
  <c r="O418" i="6"/>
  <c r="N418" i="6"/>
  <c r="L418" i="6"/>
  <c r="H418" i="6"/>
  <c r="F418" i="6"/>
  <c r="C418" i="6"/>
  <c r="AD417" i="6"/>
  <c r="AC417" i="6"/>
  <c r="AA417" i="6"/>
  <c r="W417" i="6"/>
  <c r="U417" i="6"/>
  <c r="R417" i="6"/>
  <c r="N417" i="6"/>
  <c r="L417" i="6"/>
  <c r="H417" i="6"/>
  <c r="F417" i="6"/>
  <c r="C417" i="6"/>
  <c r="AC416" i="6"/>
  <c r="AA416" i="6"/>
  <c r="X416" i="6"/>
  <c r="W416" i="6"/>
  <c r="U416" i="6"/>
  <c r="R416" i="6"/>
  <c r="N416" i="6"/>
  <c r="O416" i="6" s="1"/>
  <c r="L416" i="6"/>
  <c r="H416" i="6"/>
  <c r="I416" i="6" s="1"/>
  <c r="F416" i="6"/>
  <c r="C416" i="6"/>
  <c r="AC415" i="6"/>
  <c r="AD415" i="6" s="1"/>
  <c r="AA415" i="6"/>
  <c r="X415" i="6"/>
  <c r="W415" i="6"/>
  <c r="U415" i="6"/>
  <c r="R415" i="6"/>
  <c r="N415" i="6"/>
  <c r="L415" i="6"/>
  <c r="I415" i="6"/>
  <c r="H415" i="6"/>
  <c r="F415" i="6"/>
  <c r="C415" i="6"/>
  <c r="AC414" i="6"/>
  <c r="AA414" i="6"/>
  <c r="W414" i="6"/>
  <c r="X414" i="6" s="1"/>
  <c r="U414" i="6"/>
  <c r="R414" i="6"/>
  <c r="O414" i="6"/>
  <c r="N414" i="6"/>
  <c r="L414" i="6"/>
  <c r="H414" i="6"/>
  <c r="F414" i="6"/>
  <c r="C414" i="6"/>
  <c r="AD413" i="6"/>
  <c r="AC413" i="6"/>
  <c r="AA413" i="6"/>
  <c r="W413" i="6"/>
  <c r="U413" i="6"/>
  <c r="R413" i="6"/>
  <c r="N413" i="6"/>
  <c r="L413" i="6"/>
  <c r="H413" i="6"/>
  <c r="F413" i="6"/>
  <c r="C413" i="6"/>
  <c r="AC412" i="6"/>
  <c r="AA412" i="6"/>
  <c r="X412" i="6"/>
  <c r="W412" i="6"/>
  <c r="U412" i="6"/>
  <c r="R412" i="6"/>
  <c r="N412" i="6"/>
  <c r="O412" i="6" s="1"/>
  <c r="L412" i="6"/>
  <c r="H412" i="6"/>
  <c r="I412" i="6" s="1"/>
  <c r="F412" i="6"/>
  <c r="C412" i="6"/>
  <c r="AC411" i="6"/>
  <c r="AD411" i="6" s="1"/>
  <c r="AA411" i="6"/>
  <c r="X411" i="6"/>
  <c r="W411" i="6"/>
  <c r="U411" i="6"/>
  <c r="R411" i="6"/>
  <c r="N411" i="6"/>
  <c r="L411" i="6"/>
  <c r="I411" i="6"/>
  <c r="H411" i="6"/>
  <c r="F411" i="6"/>
  <c r="C411" i="6"/>
  <c r="AC410" i="6"/>
  <c r="AA410" i="6"/>
  <c r="W410" i="6"/>
  <c r="X410" i="6" s="1"/>
  <c r="U410" i="6"/>
  <c r="R410" i="6"/>
  <c r="O410" i="6"/>
  <c r="N410" i="6"/>
  <c r="L410" i="6"/>
  <c r="H410" i="6"/>
  <c r="F410" i="6"/>
  <c r="C410" i="6"/>
  <c r="AD409" i="6"/>
  <c r="AC409" i="6"/>
  <c r="AA409" i="6"/>
  <c r="W409" i="6"/>
  <c r="U409" i="6"/>
  <c r="R409" i="6"/>
  <c r="N409" i="6"/>
  <c r="L409" i="6"/>
  <c r="H409" i="6"/>
  <c r="F409" i="6"/>
  <c r="C409" i="6"/>
  <c r="AC408" i="6"/>
  <c r="AA408" i="6"/>
  <c r="X408" i="6"/>
  <c r="W408" i="6"/>
  <c r="U408" i="6"/>
  <c r="R408" i="6"/>
  <c r="N408" i="6"/>
  <c r="O408" i="6" s="1"/>
  <c r="L408" i="6"/>
  <c r="H408" i="6"/>
  <c r="I408" i="6" s="1"/>
  <c r="F408" i="6"/>
  <c r="C408" i="6"/>
  <c r="AC407" i="6"/>
  <c r="AD407" i="6" s="1"/>
  <c r="AA407" i="6"/>
  <c r="X407" i="6"/>
  <c r="W407" i="6"/>
  <c r="U407" i="6"/>
  <c r="R407" i="6"/>
  <c r="N407" i="6"/>
  <c r="L407" i="6"/>
  <c r="I407" i="6"/>
  <c r="H407" i="6"/>
  <c r="F407" i="6"/>
  <c r="C407" i="6"/>
  <c r="Z403" i="6"/>
  <c r="AA403" i="6" s="1"/>
  <c r="T403" i="6"/>
  <c r="U403" i="6" s="1"/>
  <c r="Q403" i="6"/>
  <c r="W403" i="6" s="1"/>
  <c r="X403" i="6" s="1"/>
  <c r="L403" i="6"/>
  <c r="K403" i="6"/>
  <c r="F403" i="6"/>
  <c r="E403" i="6"/>
  <c r="B403" i="6"/>
  <c r="H403" i="6" s="1"/>
  <c r="I403" i="6" s="1"/>
  <c r="AC402" i="6"/>
  <c r="AA402" i="6"/>
  <c r="W402" i="6"/>
  <c r="X402" i="6" s="1"/>
  <c r="U402" i="6"/>
  <c r="R402" i="6"/>
  <c r="O402" i="6"/>
  <c r="N402" i="6"/>
  <c r="L402" i="6"/>
  <c r="H402" i="6"/>
  <c r="F402" i="6"/>
  <c r="C402" i="6"/>
  <c r="AC401" i="6"/>
  <c r="AD401" i="6" s="1"/>
  <c r="AA401" i="6"/>
  <c r="W401" i="6"/>
  <c r="U401" i="6"/>
  <c r="R401" i="6"/>
  <c r="N401" i="6"/>
  <c r="O401" i="6" s="1"/>
  <c r="L401" i="6"/>
  <c r="H401" i="6"/>
  <c r="F401" i="6"/>
  <c r="C401" i="6"/>
  <c r="AD400" i="6"/>
  <c r="AC400" i="6"/>
  <c r="AA400" i="6"/>
  <c r="X400" i="6"/>
  <c r="W400" i="6"/>
  <c r="U400" i="6"/>
  <c r="R400" i="6"/>
  <c r="N400" i="6"/>
  <c r="O400" i="6" s="1"/>
  <c r="L400" i="6"/>
  <c r="H400" i="6"/>
  <c r="F400" i="6"/>
  <c r="C400" i="6"/>
  <c r="AC399" i="6"/>
  <c r="AD399" i="6" s="1"/>
  <c r="AA399" i="6"/>
  <c r="W399" i="6"/>
  <c r="X399" i="6" s="1"/>
  <c r="U399" i="6"/>
  <c r="R399" i="6"/>
  <c r="N399" i="6"/>
  <c r="L399" i="6"/>
  <c r="I399" i="6"/>
  <c r="H399" i="6"/>
  <c r="F399" i="6"/>
  <c r="C399" i="6"/>
  <c r="AC398" i="6"/>
  <c r="AA398" i="6"/>
  <c r="W398" i="6"/>
  <c r="X398" i="6" s="1"/>
  <c r="U398" i="6"/>
  <c r="R398" i="6"/>
  <c r="O398" i="6"/>
  <c r="N398" i="6"/>
  <c r="L398" i="6"/>
  <c r="H398" i="6"/>
  <c r="F398" i="6"/>
  <c r="C398" i="6"/>
  <c r="AC397" i="6"/>
  <c r="AD397" i="6" s="1"/>
  <c r="AA397" i="6"/>
  <c r="W397" i="6"/>
  <c r="U397" i="6"/>
  <c r="R397" i="6"/>
  <c r="N397" i="6"/>
  <c r="O397" i="6" s="1"/>
  <c r="L397" i="6"/>
  <c r="H397" i="6"/>
  <c r="F397" i="6"/>
  <c r="C397" i="6"/>
  <c r="Z396" i="6"/>
  <c r="AA396" i="6" s="1"/>
  <c r="T396" i="6"/>
  <c r="U396" i="6" s="1"/>
  <c r="R396" i="6"/>
  <c r="Q396" i="6"/>
  <c r="W396" i="6" s="1"/>
  <c r="X396" i="6" s="1"/>
  <c r="N396" i="6"/>
  <c r="O396" i="6" s="1"/>
  <c r="L396" i="6"/>
  <c r="K396" i="6"/>
  <c r="F396" i="6"/>
  <c r="E396" i="6"/>
  <c r="C396" i="6"/>
  <c r="B396" i="6"/>
  <c r="H396" i="6" s="1"/>
  <c r="I396" i="6" s="1"/>
  <c r="AD395" i="6"/>
  <c r="AC395" i="6"/>
  <c r="AA395" i="6"/>
  <c r="W395" i="6"/>
  <c r="X395" i="6" s="1"/>
  <c r="U395" i="6"/>
  <c r="R395" i="6"/>
  <c r="O395" i="6"/>
  <c r="N395" i="6"/>
  <c r="L395" i="6"/>
  <c r="H395" i="6"/>
  <c r="I395" i="6" s="1"/>
  <c r="F395" i="6"/>
  <c r="C395" i="6"/>
  <c r="AD394" i="6"/>
  <c r="AC394" i="6"/>
  <c r="AA394" i="6"/>
  <c r="W394" i="6"/>
  <c r="U394" i="6"/>
  <c r="R394" i="6"/>
  <c r="N394" i="6"/>
  <c r="L394" i="6"/>
  <c r="H394" i="6"/>
  <c r="F394" i="6"/>
  <c r="C394" i="6"/>
  <c r="Z393" i="6"/>
  <c r="AA393" i="6" s="1"/>
  <c r="T393" i="6"/>
  <c r="U393" i="6" s="1"/>
  <c r="R393" i="6"/>
  <c r="Q393" i="6"/>
  <c r="W393" i="6" s="1"/>
  <c r="X393" i="6" s="1"/>
  <c r="L393" i="6"/>
  <c r="K393" i="6"/>
  <c r="E393" i="6"/>
  <c r="F393" i="6" s="1"/>
  <c r="C393" i="6"/>
  <c r="B393" i="6"/>
  <c r="N393" i="6" s="1"/>
  <c r="O393" i="6" s="1"/>
  <c r="AD392" i="6"/>
  <c r="AC392" i="6"/>
  <c r="AA392" i="6"/>
  <c r="W392" i="6"/>
  <c r="X392" i="6" s="1"/>
  <c r="U392" i="6"/>
  <c r="R392" i="6"/>
  <c r="O392" i="6"/>
  <c r="N392" i="6"/>
  <c r="L392" i="6"/>
  <c r="H392" i="6"/>
  <c r="F392" i="6"/>
  <c r="C392" i="6"/>
  <c r="AC391" i="6"/>
  <c r="AD391" i="6" s="1"/>
  <c r="AA391" i="6"/>
  <c r="W391" i="6"/>
  <c r="U391" i="6"/>
  <c r="R391" i="6"/>
  <c r="N391" i="6"/>
  <c r="O391" i="6" s="1"/>
  <c r="L391" i="6"/>
  <c r="I391" i="6"/>
  <c r="H391" i="6"/>
  <c r="F391" i="6"/>
  <c r="C391" i="6"/>
  <c r="AC390" i="6"/>
  <c r="AA390" i="6"/>
  <c r="W390" i="6"/>
  <c r="X390" i="6" s="1"/>
  <c r="U390" i="6"/>
  <c r="R390" i="6"/>
  <c r="N390" i="6"/>
  <c r="O390" i="6" s="1"/>
  <c r="L390" i="6"/>
  <c r="H390" i="6"/>
  <c r="I390" i="6" s="1"/>
  <c r="F390" i="6"/>
  <c r="C390" i="6"/>
  <c r="AC389" i="6"/>
  <c r="AD389" i="6" s="1"/>
  <c r="AA389" i="6"/>
  <c r="X389" i="6"/>
  <c r="W389" i="6"/>
  <c r="U389" i="6"/>
  <c r="R389" i="6"/>
  <c r="N389" i="6"/>
  <c r="L389" i="6"/>
  <c r="I389" i="6"/>
  <c r="H389" i="6"/>
  <c r="F389" i="6"/>
  <c r="C389" i="6"/>
  <c r="AC388" i="6"/>
  <c r="AA388" i="6"/>
  <c r="W388" i="6"/>
  <c r="X388" i="6" s="1"/>
  <c r="U388" i="6"/>
  <c r="R388" i="6"/>
  <c r="O388" i="6"/>
  <c r="N388" i="6"/>
  <c r="L388" i="6"/>
  <c r="H388" i="6"/>
  <c r="F388" i="6"/>
  <c r="C388" i="6"/>
  <c r="AD386" i="6"/>
  <c r="AC386" i="6"/>
  <c r="AA386" i="6"/>
  <c r="W386" i="6"/>
  <c r="U386" i="6"/>
  <c r="R386" i="6"/>
  <c r="N386" i="6"/>
  <c r="O386" i="6" s="1"/>
  <c r="L386" i="6"/>
  <c r="I386" i="6"/>
  <c r="H386" i="6"/>
  <c r="F386" i="6"/>
  <c r="C386" i="6"/>
  <c r="AD385" i="6"/>
  <c r="AC385" i="6"/>
  <c r="AA385" i="6"/>
  <c r="X385" i="6"/>
  <c r="W385" i="6"/>
  <c r="U385" i="6"/>
  <c r="R385" i="6"/>
  <c r="N385" i="6"/>
  <c r="L385" i="6"/>
  <c r="H385" i="6"/>
  <c r="I385" i="6" s="1"/>
  <c r="F385" i="6"/>
  <c r="C385" i="6"/>
  <c r="AC383" i="6"/>
  <c r="AD383" i="6" s="1"/>
  <c r="AA383" i="6"/>
  <c r="W383" i="6"/>
  <c r="X383" i="6" s="1"/>
  <c r="U383" i="6"/>
  <c r="R383" i="6"/>
  <c r="N383" i="6"/>
  <c r="L383" i="6"/>
  <c r="I383" i="6"/>
  <c r="H383" i="6"/>
  <c r="F383" i="6"/>
  <c r="C383" i="6"/>
  <c r="AD382" i="6"/>
  <c r="AC382" i="6"/>
  <c r="AA382" i="6"/>
  <c r="W382" i="6"/>
  <c r="X382" i="6" s="1"/>
  <c r="U382" i="6"/>
  <c r="R382" i="6"/>
  <c r="N382" i="6"/>
  <c r="O382" i="6" s="1"/>
  <c r="L382" i="6"/>
  <c r="H382" i="6"/>
  <c r="I382" i="6" s="1"/>
  <c r="F382" i="6"/>
  <c r="C382" i="6"/>
  <c r="AD381" i="6"/>
  <c r="AC381" i="6"/>
  <c r="AA381" i="6"/>
  <c r="W381" i="6"/>
  <c r="U381" i="6"/>
  <c r="R381" i="6"/>
  <c r="O381" i="6"/>
  <c r="N381" i="6"/>
  <c r="L381" i="6"/>
  <c r="H381" i="6"/>
  <c r="F381" i="6"/>
  <c r="C381" i="6"/>
  <c r="AD380" i="6"/>
  <c r="AC380" i="6"/>
  <c r="AA380" i="6"/>
  <c r="X380" i="6"/>
  <c r="W380" i="6"/>
  <c r="U380" i="6"/>
  <c r="R380" i="6"/>
  <c r="N380" i="6"/>
  <c r="L380" i="6"/>
  <c r="I380" i="6"/>
  <c r="H380" i="6"/>
  <c r="F380" i="6"/>
  <c r="C380" i="6"/>
  <c r="AC379" i="6"/>
  <c r="AD379" i="6" s="1"/>
  <c r="AA379" i="6"/>
  <c r="W379" i="6"/>
  <c r="X379" i="6" s="1"/>
  <c r="U379" i="6"/>
  <c r="R379" i="6"/>
  <c r="N379" i="6"/>
  <c r="L379" i="6"/>
  <c r="H379" i="6"/>
  <c r="I379" i="6" s="1"/>
  <c r="F379" i="6"/>
  <c r="C379" i="6"/>
  <c r="AD378" i="6"/>
  <c r="AC378" i="6"/>
  <c r="AA378" i="6"/>
  <c r="W378" i="6"/>
  <c r="X378" i="6" s="1"/>
  <c r="U378" i="6"/>
  <c r="R378" i="6"/>
  <c r="N378" i="6"/>
  <c r="O378" i="6" s="1"/>
  <c r="L378" i="6"/>
  <c r="H378" i="6"/>
  <c r="I378" i="6" s="1"/>
  <c r="F378" i="6"/>
  <c r="C378" i="6"/>
  <c r="AC377" i="6"/>
  <c r="AD377" i="6" s="1"/>
  <c r="AA377" i="6"/>
  <c r="W377" i="6"/>
  <c r="U377" i="6"/>
  <c r="R377" i="6"/>
  <c r="O377" i="6"/>
  <c r="N377" i="6"/>
  <c r="L377" i="6"/>
  <c r="I377" i="6"/>
  <c r="H377" i="6"/>
  <c r="F377" i="6"/>
  <c r="C377" i="6"/>
  <c r="AC376" i="6"/>
  <c r="AD376" i="6" s="1"/>
  <c r="AA376" i="6"/>
  <c r="W376" i="6"/>
  <c r="X376" i="6" s="1"/>
  <c r="U376" i="6"/>
  <c r="R376" i="6"/>
  <c r="N376" i="6"/>
  <c r="O376" i="6" s="1"/>
  <c r="L376" i="6"/>
  <c r="I376" i="6"/>
  <c r="H376" i="6"/>
  <c r="F376" i="6"/>
  <c r="C376" i="6"/>
  <c r="AC375" i="6"/>
  <c r="AD375" i="6" s="1"/>
  <c r="AA375" i="6"/>
  <c r="X375" i="6"/>
  <c r="W375" i="6"/>
  <c r="U375" i="6"/>
  <c r="R375" i="6"/>
  <c r="N375" i="6"/>
  <c r="L375" i="6"/>
  <c r="H375" i="6"/>
  <c r="I375" i="6" s="1"/>
  <c r="F375" i="6"/>
  <c r="C375" i="6"/>
  <c r="AD374" i="6"/>
  <c r="AC374" i="6"/>
  <c r="AA374" i="6"/>
  <c r="W374" i="6"/>
  <c r="X374" i="6" s="1"/>
  <c r="U374" i="6"/>
  <c r="R374" i="6"/>
  <c r="O374" i="6"/>
  <c r="N374" i="6"/>
  <c r="L374" i="6"/>
  <c r="H374" i="6"/>
  <c r="F374" i="6"/>
  <c r="C374" i="6"/>
  <c r="AC373" i="6"/>
  <c r="AD373" i="6" s="1"/>
  <c r="AA373" i="6"/>
  <c r="W373" i="6"/>
  <c r="U373" i="6"/>
  <c r="R373" i="6"/>
  <c r="N373" i="6"/>
  <c r="O373" i="6" s="1"/>
  <c r="L373" i="6"/>
  <c r="I373" i="6"/>
  <c r="H373" i="6"/>
  <c r="F373" i="6"/>
  <c r="C373" i="6"/>
  <c r="AD372" i="6"/>
  <c r="AC372" i="6"/>
  <c r="AA372" i="6"/>
  <c r="W372" i="6"/>
  <c r="X372" i="6" s="1"/>
  <c r="U372" i="6"/>
  <c r="R372" i="6"/>
  <c r="N372" i="6"/>
  <c r="O372" i="6" s="1"/>
  <c r="L372" i="6"/>
  <c r="H372" i="6"/>
  <c r="I372" i="6" s="1"/>
  <c r="F372" i="6"/>
  <c r="C372" i="6"/>
  <c r="AC371" i="6"/>
  <c r="AD371" i="6" s="1"/>
  <c r="AA371" i="6"/>
  <c r="X371" i="6"/>
  <c r="W371" i="6"/>
  <c r="U371" i="6"/>
  <c r="R371" i="6"/>
  <c r="N371" i="6"/>
  <c r="L371" i="6"/>
  <c r="I371" i="6"/>
  <c r="H371" i="6"/>
  <c r="F371" i="6"/>
  <c r="C371" i="6"/>
  <c r="AD370" i="6"/>
  <c r="AC370" i="6"/>
  <c r="AA370" i="6"/>
  <c r="W370" i="6"/>
  <c r="X370" i="6" s="1"/>
  <c r="U370" i="6"/>
  <c r="R370" i="6"/>
  <c r="O370" i="6"/>
  <c r="N370" i="6"/>
  <c r="L370" i="6"/>
  <c r="H370" i="6"/>
  <c r="I370" i="6" s="1"/>
  <c r="F370" i="6"/>
  <c r="C370" i="6"/>
  <c r="AD369" i="6"/>
  <c r="AC369" i="6"/>
  <c r="AA369" i="6"/>
  <c r="W369" i="6"/>
  <c r="U369" i="6"/>
  <c r="R369" i="6"/>
  <c r="N369" i="6"/>
  <c r="O369" i="6" s="1"/>
  <c r="L369" i="6"/>
  <c r="I369" i="6"/>
  <c r="H369" i="6"/>
  <c r="F369" i="6"/>
  <c r="C369" i="6"/>
  <c r="AA368" i="6"/>
  <c r="Z368" i="6"/>
  <c r="X368" i="6"/>
  <c r="T368" i="6"/>
  <c r="U368" i="6" s="1"/>
  <c r="R368" i="6"/>
  <c r="Q368" i="6"/>
  <c r="W368" i="6" s="1"/>
  <c r="L368" i="6"/>
  <c r="K368" i="6"/>
  <c r="E368" i="6"/>
  <c r="F368" i="6" s="1"/>
  <c r="C368" i="6"/>
  <c r="B368" i="6"/>
  <c r="N368" i="6" s="1"/>
  <c r="O368" i="6" s="1"/>
  <c r="AD367" i="6"/>
  <c r="AC367" i="6"/>
  <c r="AA367" i="6"/>
  <c r="W367" i="6"/>
  <c r="X367" i="6" s="1"/>
  <c r="U367" i="6"/>
  <c r="R367" i="6"/>
  <c r="N367" i="6"/>
  <c r="L367" i="6"/>
  <c r="H367" i="6"/>
  <c r="F367" i="6"/>
  <c r="C367" i="6"/>
  <c r="AC366" i="6"/>
  <c r="AD366" i="6" s="1"/>
  <c r="AA366" i="6"/>
  <c r="W366" i="6"/>
  <c r="U366" i="6"/>
  <c r="R366" i="6"/>
  <c r="O366" i="6"/>
  <c r="N366" i="6"/>
  <c r="L366" i="6"/>
  <c r="I366" i="6"/>
  <c r="H366" i="6"/>
  <c r="F366" i="6"/>
  <c r="C366" i="6"/>
  <c r="AC365" i="6"/>
  <c r="AD365" i="6" s="1"/>
  <c r="AA365" i="6"/>
  <c r="W365" i="6"/>
  <c r="X365" i="6" s="1"/>
  <c r="U365" i="6"/>
  <c r="R365" i="6"/>
  <c r="N365" i="6"/>
  <c r="L365" i="6"/>
  <c r="I365" i="6"/>
  <c r="H365" i="6"/>
  <c r="F365" i="6"/>
  <c r="C365" i="6"/>
  <c r="AC364" i="6"/>
  <c r="AD364" i="6" s="1"/>
  <c r="AA364" i="6"/>
  <c r="X364" i="6"/>
  <c r="W364" i="6"/>
  <c r="U364" i="6"/>
  <c r="R364" i="6"/>
  <c r="N364" i="6"/>
  <c r="L364" i="6"/>
  <c r="H364" i="6"/>
  <c r="F364" i="6"/>
  <c r="C364" i="6"/>
  <c r="AD363" i="6"/>
  <c r="AC363" i="6"/>
  <c r="AA363" i="6"/>
  <c r="W363" i="6"/>
  <c r="X363" i="6" s="1"/>
  <c r="U363" i="6"/>
  <c r="R363" i="6"/>
  <c r="N363" i="6"/>
  <c r="L363" i="6"/>
  <c r="H363" i="6"/>
  <c r="I363" i="6" s="1"/>
  <c r="F363" i="6"/>
  <c r="C363" i="6"/>
  <c r="AD362" i="6"/>
  <c r="AC362" i="6"/>
  <c r="AA362" i="6"/>
  <c r="W362" i="6"/>
  <c r="U362" i="6"/>
  <c r="R362" i="6"/>
  <c r="N362" i="6"/>
  <c r="O362" i="6" s="1"/>
  <c r="L362" i="6"/>
  <c r="H362" i="6"/>
  <c r="F362" i="6"/>
  <c r="C362" i="6"/>
  <c r="AD361" i="6"/>
  <c r="AC361" i="6"/>
  <c r="AA361" i="6"/>
  <c r="X361" i="6"/>
  <c r="W361" i="6"/>
  <c r="U361" i="6"/>
  <c r="R361" i="6"/>
  <c r="N361" i="6"/>
  <c r="O361" i="6" s="1"/>
  <c r="L361" i="6"/>
  <c r="H361" i="6"/>
  <c r="I361" i="6" s="1"/>
  <c r="F361" i="6"/>
  <c r="C361" i="6"/>
  <c r="AC360" i="6"/>
  <c r="AD360" i="6" s="1"/>
  <c r="AA360" i="6"/>
  <c r="X360" i="6"/>
  <c r="W360" i="6"/>
  <c r="U360" i="6"/>
  <c r="R360" i="6"/>
  <c r="N360" i="6"/>
  <c r="L360" i="6"/>
  <c r="I360" i="6"/>
  <c r="H360" i="6"/>
  <c r="F360" i="6"/>
  <c r="C360" i="6"/>
  <c r="Z358" i="6"/>
  <c r="AA358" i="6" s="1"/>
  <c r="U358" i="6"/>
  <c r="T358" i="6"/>
  <c r="R358" i="6"/>
  <c r="Q358" i="6"/>
  <c r="AC358" i="6" s="1"/>
  <c r="AD358" i="6" s="1"/>
  <c r="K358" i="6"/>
  <c r="L358" i="6" s="1"/>
  <c r="F358" i="6"/>
  <c r="E358" i="6"/>
  <c r="B358" i="6"/>
  <c r="AD357" i="6"/>
  <c r="AC357" i="6"/>
  <c r="AA357" i="6"/>
  <c r="X357" i="6"/>
  <c r="W357" i="6"/>
  <c r="U357" i="6"/>
  <c r="R357" i="6"/>
  <c r="O357" i="6"/>
  <c r="N357" i="6"/>
  <c r="L357" i="6"/>
  <c r="I357" i="6"/>
  <c r="H357" i="6"/>
  <c r="F357" i="6"/>
  <c r="C357" i="6"/>
  <c r="AC356" i="6"/>
  <c r="AD356" i="6" s="1"/>
  <c r="AA356" i="6"/>
  <c r="X356" i="6"/>
  <c r="W356" i="6"/>
  <c r="U356" i="6"/>
  <c r="R356" i="6"/>
  <c r="N356" i="6"/>
  <c r="L356" i="6"/>
  <c r="I356" i="6"/>
  <c r="H356" i="6"/>
  <c r="F356" i="6"/>
  <c r="C356" i="6"/>
  <c r="AD355" i="6"/>
  <c r="AC355" i="6"/>
  <c r="AA355" i="6"/>
  <c r="W355" i="6"/>
  <c r="X355" i="6" s="1"/>
  <c r="U355" i="6"/>
  <c r="R355" i="6"/>
  <c r="O355" i="6"/>
  <c r="N355" i="6"/>
  <c r="L355" i="6"/>
  <c r="H355" i="6"/>
  <c r="I355" i="6" s="1"/>
  <c r="F355" i="6"/>
  <c r="C355" i="6"/>
  <c r="AD354" i="6"/>
  <c r="AC354" i="6"/>
  <c r="AA354" i="6"/>
  <c r="X354" i="6"/>
  <c r="W354" i="6"/>
  <c r="U354" i="6"/>
  <c r="R354" i="6"/>
  <c r="O354" i="6"/>
  <c r="N354" i="6"/>
  <c r="L354" i="6"/>
  <c r="I354" i="6"/>
  <c r="H354" i="6"/>
  <c r="F354" i="6"/>
  <c r="C354" i="6"/>
  <c r="AC353" i="6"/>
  <c r="AD353" i="6" s="1"/>
  <c r="AA353" i="6"/>
  <c r="W353" i="6"/>
  <c r="X353" i="6" s="1"/>
  <c r="U353" i="6"/>
  <c r="R353" i="6"/>
  <c r="N353" i="6"/>
  <c r="L353" i="6"/>
  <c r="I353" i="6"/>
  <c r="H353" i="6"/>
  <c r="F353" i="6"/>
  <c r="C353" i="6"/>
  <c r="AC352" i="6"/>
  <c r="AD352" i="6" s="1"/>
  <c r="AA352" i="6"/>
  <c r="W352" i="6"/>
  <c r="X352" i="6" s="1"/>
  <c r="U352" i="6"/>
  <c r="R352" i="6"/>
  <c r="O352" i="6"/>
  <c r="N352" i="6"/>
  <c r="L352" i="6"/>
  <c r="I352" i="6"/>
  <c r="H352" i="6"/>
  <c r="F352" i="6"/>
  <c r="C352" i="6"/>
  <c r="AC351" i="6"/>
  <c r="AD351" i="6" s="1"/>
  <c r="AA351" i="6"/>
  <c r="W351" i="6"/>
  <c r="X351" i="6" s="1"/>
  <c r="U351" i="6"/>
  <c r="R351" i="6"/>
  <c r="O351" i="6"/>
  <c r="N351" i="6"/>
  <c r="L351" i="6"/>
  <c r="H351" i="6"/>
  <c r="F351" i="6"/>
  <c r="C351" i="6"/>
  <c r="AC350" i="6"/>
  <c r="AD350" i="6" s="1"/>
  <c r="AA350" i="6"/>
  <c r="X350" i="6"/>
  <c r="W350" i="6"/>
  <c r="U350" i="6"/>
  <c r="R350" i="6"/>
  <c r="N350" i="6"/>
  <c r="L350" i="6"/>
  <c r="I350" i="6"/>
  <c r="H350" i="6"/>
  <c r="F350" i="6"/>
  <c r="C350" i="6"/>
  <c r="AC349" i="6"/>
  <c r="AD349" i="6" s="1"/>
  <c r="AA349" i="6"/>
  <c r="X349" i="6"/>
  <c r="W349" i="6"/>
  <c r="U349" i="6"/>
  <c r="R349" i="6"/>
  <c r="N349" i="6"/>
  <c r="L349" i="6"/>
  <c r="H349" i="6"/>
  <c r="I349" i="6" s="1"/>
  <c r="F349" i="6"/>
  <c r="C349" i="6"/>
  <c r="AC347" i="6"/>
  <c r="AD347" i="6" s="1"/>
  <c r="AA347" i="6"/>
  <c r="W347" i="6"/>
  <c r="X347" i="6" s="1"/>
  <c r="U347" i="6"/>
  <c r="R347" i="6"/>
  <c r="O347" i="6"/>
  <c r="N347" i="6"/>
  <c r="L347" i="6"/>
  <c r="H347" i="6"/>
  <c r="F347" i="6"/>
  <c r="C347" i="6"/>
  <c r="AC344" i="6"/>
  <c r="AD344" i="6" s="1"/>
  <c r="AA344" i="6"/>
  <c r="Z344" i="6"/>
  <c r="T344" i="6"/>
  <c r="U344" i="6" s="1"/>
  <c r="Q344" i="6"/>
  <c r="W344" i="6" s="1"/>
  <c r="X344" i="6" s="1"/>
  <c r="N344" i="6"/>
  <c r="O344" i="6" s="1"/>
  <c r="L344" i="6"/>
  <c r="K344" i="6"/>
  <c r="E344" i="6"/>
  <c r="F344" i="6" s="1"/>
  <c r="B344" i="6"/>
  <c r="C344" i="6" s="1"/>
  <c r="Z343" i="6"/>
  <c r="AA343" i="6" s="1"/>
  <c r="T343" i="6"/>
  <c r="U343" i="6" s="1"/>
  <c r="Q343" i="6"/>
  <c r="K343" i="6"/>
  <c r="L343" i="6" s="1"/>
  <c r="F343" i="6"/>
  <c r="E343" i="6"/>
  <c r="B343" i="6"/>
  <c r="AA342" i="6"/>
  <c r="Z342" i="6"/>
  <c r="T342" i="6"/>
  <c r="U342" i="6" s="1"/>
  <c r="R342" i="6"/>
  <c r="Q342" i="6"/>
  <c r="AC342" i="6" s="1"/>
  <c r="AD342" i="6" s="1"/>
  <c r="K342" i="6"/>
  <c r="E342" i="6"/>
  <c r="H342" i="6" s="1"/>
  <c r="I342" i="6" s="1"/>
  <c r="C342" i="6"/>
  <c r="B342" i="6"/>
  <c r="AD341" i="6"/>
  <c r="AC341" i="6"/>
  <c r="AA341" i="6"/>
  <c r="W341" i="6"/>
  <c r="X341" i="6" s="1"/>
  <c r="U341" i="6"/>
  <c r="R341" i="6"/>
  <c r="N341" i="6"/>
  <c r="O341" i="6" s="1"/>
  <c r="L341" i="6"/>
  <c r="H341" i="6"/>
  <c r="I341" i="6" s="1"/>
  <c r="F341" i="6"/>
  <c r="C341" i="6"/>
  <c r="AD340" i="6"/>
  <c r="AC340" i="6"/>
  <c r="AA340" i="6"/>
  <c r="X340" i="6"/>
  <c r="W340" i="6"/>
  <c r="U340" i="6"/>
  <c r="R340" i="6"/>
  <c r="N340" i="6"/>
  <c r="O340" i="6" s="1"/>
  <c r="L340" i="6"/>
  <c r="H340" i="6"/>
  <c r="I340" i="6" s="1"/>
  <c r="F340" i="6"/>
  <c r="C340" i="6"/>
  <c r="AC339" i="6"/>
  <c r="AD339" i="6" s="1"/>
  <c r="AA339" i="6"/>
  <c r="X339" i="6"/>
  <c r="W339" i="6"/>
  <c r="U339" i="6"/>
  <c r="R339" i="6"/>
  <c r="O339" i="6"/>
  <c r="N339" i="6"/>
  <c r="L339" i="6"/>
  <c r="I339" i="6"/>
  <c r="H339" i="6"/>
  <c r="F339" i="6"/>
  <c r="C339" i="6"/>
  <c r="AC338" i="6"/>
  <c r="AD338" i="6" s="1"/>
  <c r="AA338" i="6"/>
  <c r="W338" i="6"/>
  <c r="X338" i="6" s="1"/>
  <c r="U338" i="6"/>
  <c r="R338" i="6"/>
  <c r="N338" i="6"/>
  <c r="L338" i="6"/>
  <c r="H338" i="6"/>
  <c r="I338" i="6" s="1"/>
  <c r="F338" i="6"/>
  <c r="C338" i="6"/>
  <c r="AD337" i="6"/>
  <c r="AC337" i="6"/>
  <c r="AA337" i="6"/>
  <c r="W337" i="6"/>
  <c r="X337" i="6" s="1"/>
  <c r="U337" i="6"/>
  <c r="R337" i="6"/>
  <c r="O337" i="6"/>
  <c r="N337" i="6"/>
  <c r="L337" i="6"/>
  <c r="H337" i="6"/>
  <c r="I337" i="6" s="1"/>
  <c r="F337" i="6"/>
  <c r="C337" i="6"/>
  <c r="AC335" i="6"/>
  <c r="AD335" i="6" s="1"/>
  <c r="AA335" i="6"/>
  <c r="X335" i="6"/>
  <c r="W335" i="6"/>
  <c r="U335" i="6"/>
  <c r="R335" i="6"/>
  <c r="N335" i="6"/>
  <c r="O335" i="6" s="1"/>
  <c r="L335" i="6"/>
  <c r="I335" i="6"/>
  <c r="H335" i="6"/>
  <c r="F335" i="6"/>
  <c r="C335" i="6"/>
  <c r="AC334" i="6"/>
  <c r="AD334" i="6" s="1"/>
  <c r="AA334" i="6"/>
  <c r="W334" i="6"/>
  <c r="X334" i="6" s="1"/>
  <c r="U334" i="6"/>
  <c r="R334" i="6"/>
  <c r="O334" i="6"/>
  <c r="N334" i="6"/>
  <c r="L334" i="6"/>
  <c r="H334" i="6"/>
  <c r="I334" i="6" s="1"/>
  <c r="F334" i="6"/>
  <c r="C334" i="6"/>
  <c r="AC333" i="6"/>
  <c r="AD333" i="6" s="1"/>
  <c r="AA333" i="6"/>
  <c r="W333" i="6"/>
  <c r="X333" i="6" s="1"/>
  <c r="U333" i="6"/>
  <c r="R333" i="6"/>
  <c r="O333" i="6"/>
  <c r="N333" i="6"/>
  <c r="L333" i="6"/>
  <c r="I333" i="6"/>
  <c r="H333" i="6"/>
  <c r="F333" i="6"/>
  <c r="C333" i="6"/>
  <c r="AC332" i="6"/>
  <c r="AD332" i="6" s="1"/>
  <c r="AA332" i="6"/>
  <c r="W332" i="6"/>
  <c r="X332" i="6" s="1"/>
  <c r="U332" i="6"/>
  <c r="R332" i="6"/>
  <c r="N332" i="6"/>
  <c r="O332" i="6" s="1"/>
  <c r="L332" i="6"/>
  <c r="H332" i="6"/>
  <c r="F332" i="6"/>
  <c r="C332" i="6"/>
  <c r="AC331" i="6"/>
  <c r="AD331" i="6" s="1"/>
  <c r="AA331" i="6"/>
  <c r="X331" i="6"/>
  <c r="W331" i="6"/>
  <c r="U331" i="6"/>
  <c r="R331" i="6"/>
  <c r="O331" i="6"/>
  <c r="N331" i="6"/>
  <c r="L331" i="6"/>
  <c r="H331" i="6"/>
  <c r="I331" i="6" s="1"/>
  <c r="F331" i="6"/>
  <c r="C331" i="6"/>
  <c r="AC330" i="6"/>
  <c r="AD330" i="6" s="1"/>
  <c r="AA330" i="6"/>
  <c r="W330" i="6"/>
  <c r="X330" i="6" s="1"/>
  <c r="U330" i="6"/>
  <c r="R330" i="6"/>
  <c r="N330" i="6"/>
  <c r="L330" i="6"/>
  <c r="H330" i="6"/>
  <c r="I330" i="6" s="1"/>
  <c r="F330" i="6"/>
  <c r="C330" i="6"/>
  <c r="AC329" i="6"/>
  <c r="AD329" i="6" s="1"/>
  <c r="AA329" i="6"/>
  <c r="W329" i="6"/>
  <c r="X329" i="6" s="1"/>
  <c r="U329" i="6"/>
  <c r="R329" i="6"/>
  <c r="O329" i="6"/>
  <c r="N329" i="6"/>
  <c r="L329" i="6"/>
  <c r="H329" i="6"/>
  <c r="F329" i="6"/>
  <c r="C329" i="6"/>
  <c r="AD328" i="6"/>
  <c r="AC328" i="6"/>
  <c r="AA328" i="6"/>
  <c r="X328" i="6"/>
  <c r="W328" i="6"/>
  <c r="U328" i="6"/>
  <c r="R328" i="6"/>
  <c r="N328" i="6"/>
  <c r="O328" i="6" s="1"/>
  <c r="L328" i="6"/>
  <c r="H328" i="6"/>
  <c r="I328" i="6" s="1"/>
  <c r="F328" i="6"/>
  <c r="C328" i="6"/>
  <c r="Z325" i="6"/>
  <c r="T325" i="6"/>
  <c r="W325" i="6" s="1"/>
  <c r="X325" i="6" s="1"/>
  <c r="R325" i="6"/>
  <c r="Q325" i="6"/>
  <c r="K325" i="6"/>
  <c r="L325" i="6" s="1"/>
  <c r="I325" i="6"/>
  <c r="H325" i="6"/>
  <c r="F325" i="6"/>
  <c r="E325" i="6"/>
  <c r="B325" i="6"/>
  <c r="C325" i="6" s="1"/>
  <c r="AA324" i="6"/>
  <c r="Z324" i="6"/>
  <c r="W324" i="6"/>
  <c r="X324" i="6" s="1"/>
  <c r="U324" i="6"/>
  <c r="T324" i="6"/>
  <c r="Q324" i="6"/>
  <c r="R324" i="6" s="1"/>
  <c r="N324" i="6"/>
  <c r="O324" i="6" s="1"/>
  <c r="L324" i="6"/>
  <c r="K324" i="6"/>
  <c r="I324" i="6"/>
  <c r="H324" i="6"/>
  <c r="E324" i="6"/>
  <c r="F324" i="6" s="1"/>
  <c r="C324" i="6"/>
  <c r="B324" i="6"/>
  <c r="AD323" i="6"/>
  <c r="AC323" i="6"/>
  <c r="AA323" i="6"/>
  <c r="X323" i="6"/>
  <c r="W323" i="6"/>
  <c r="U323" i="6"/>
  <c r="R323" i="6"/>
  <c r="N323" i="6"/>
  <c r="O323" i="6" s="1"/>
  <c r="L323" i="6"/>
  <c r="I323" i="6"/>
  <c r="H323" i="6"/>
  <c r="F323" i="6"/>
  <c r="C323" i="6"/>
  <c r="AD322" i="6"/>
  <c r="AC322" i="6"/>
  <c r="AA322" i="6"/>
  <c r="X322" i="6"/>
  <c r="W322" i="6"/>
  <c r="U322" i="6"/>
  <c r="R322" i="6"/>
  <c r="N322" i="6"/>
  <c r="O322" i="6" s="1"/>
  <c r="L322" i="6"/>
  <c r="I322" i="6"/>
  <c r="H322" i="6"/>
  <c r="F322" i="6"/>
  <c r="C322" i="6"/>
  <c r="AD321" i="6"/>
  <c r="AC321" i="6"/>
  <c r="AA321" i="6"/>
  <c r="W321" i="6"/>
  <c r="X321" i="6" s="1"/>
  <c r="U321" i="6"/>
  <c r="R321" i="6"/>
  <c r="O321" i="6"/>
  <c r="N321" i="6"/>
  <c r="L321" i="6"/>
  <c r="I321" i="6"/>
  <c r="H321" i="6"/>
  <c r="F321" i="6"/>
  <c r="C321" i="6"/>
  <c r="AC320" i="6"/>
  <c r="AD320" i="6" s="1"/>
  <c r="AA320" i="6"/>
  <c r="W320" i="6"/>
  <c r="X320" i="6" s="1"/>
  <c r="U320" i="6"/>
  <c r="R320" i="6"/>
  <c r="N320" i="6"/>
  <c r="O320" i="6" s="1"/>
  <c r="L320" i="6"/>
  <c r="I320" i="6"/>
  <c r="H320" i="6"/>
  <c r="F320" i="6"/>
  <c r="C320" i="6"/>
  <c r="AD319" i="6"/>
  <c r="AC319" i="6"/>
  <c r="AA319" i="6"/>
  <c r="X319" i="6"/>
  <c r="W319" i="6"/>
  <c r="U319" i="6"/>
  <c r="R319" i="6"/>
  <c r="N319" i="6"/>
  <c r="O319" i="6" s="1"/>
  <c r="L319" i="6"/>
  <c r="H319" i="6"/>
  <c r="I319" i="6" s="1"/>
  <c r="F319" i="6"/>
  <c r="C319" i="6"/>
  <c r="AD318" i="6"/>
  <c r="AC318" i="6"/>
  <c r="AA318" i="6"/>
  <c r="X318" i="6"/>
  <c r="W318" i="6"/>
  <c r="U318" i="6"/>
  <c r="R318" i="6"/>
  <c r="N318" i="6"/>
  <c r="O318" i="6" s="1"/>
  <c r="L318" i="6"/>
  <c r="H318" i="6"/>
  <c r="I318" i="6" s="1"/>
  <c r="F318" i="6"/>
  <c r="C318" i="6"/>
  <c r="AD317" i="6"/>
  <c r="AC317" i="6"/>
  <c r="AA317" i="6"/>
  <c r="W317" i="6"/>
  <c r="X317" i="6" s="1"/>
  <c r="U317" i="6"/>
  <c r="R317" i="6"/>
  <c r="O317" i="6"/>
  <c r="N317" i="6"/>
  <c r="L317" i="6"/>
  <c r="I317" i="6"/>
  <c r="H317" i="6"/>
  <c r="F317" i="6"/>
  <c r="C317" i="6"/>
  <c r="AC316" i="6"/>
  <c r="AD316" i="6" s="1"/>
  <c r="AA316" i="6"/>
  <c r="W316" i="6"/>
  <c r="X316" i="6" s="1"/>
  <c r="U316" i="6"/>
  <c r="R316" i="6"/>
  <c r="O316" i="6"/>
  <c r="N316" i="6"/>
  <c r="L316" i="6"/>
  <c r="I316" i="6"/>
  <c r="H316" i="6"/>
  <c r="F316" i="6"/>
  <c r="C316" i="6"/>
  <c r="AD315" i="6"/>
  <c r="AC315" i="6"/>
  <c r="AA315" i="6"/>
  <c r="X315" i="6"/>
  <c r="W315" i="6"/>
  <c r="U315" i="6"/>
  <c r="R315" i="6"/>
  <c r="N315" i="6"/>
  <c r="O315" i="6" s="1"/>
  <c r="L315" i="6"/>
  <c r="I315" i="6"/>
  <c r="H315" i="6"/>
  <c r="F315" i="6"/>
  <c r="C315" i="6"/>
  <c r="AD314" i="6"/>
  <c r="AC314" i="6"/>
  <c r="AA314" i="6"/>
  <c r="X314" i="6"/>
  <c r="W314" i="6"/>
  <c r="U314" i="6"/>
  <c r="R314" i="6"/>
  <c r="N314" i="6"/>
  <c r="O314" i="6" s="1"/>
  <c r="L314" i="6"/>
  <c r="H314" i="6"/>
  <c r="I314" i="6" s="1"/>
  <c r="F314" i="6"/>
  <c r="C314" i="6"/>
  <c r="AD313" i="6"/>
  <c r="AC313" i="6"/>
  <c r="AA313" i="6"/>
  <c r="W313" i="6"/>
  <c r="X313" i="6" s="1"/>
  <c r="U313" i="6"/>
  <c r="R313" i="6"/>
  <c r="O313" i="6"/>
  <c r="N313" i="6"/>
  <c r="L313" i="6"/>
  <c r="I313" i="6"/>
  <c r="H313" i="6"/>
  <c r="F313" i="6"/>
  <c r="C313" i="6"/>
  <c r="AC312" i="6"/>
  <c r="AD312" i="6" s="1"/>
  <c r="AA312" i="6"/>
  <c r="W312" i="6"/>
  <c r="X312" i="6" s="1"/>
  <c r="U312" i="6"/>
  <c r="R312" i="6"/>
  <c r="N312" i="6"/>
  <c r="O312" i="6" s="1"/>
  <c r="L312" i="6"/>
  <c r="I312" i="6"/>
  <c r="H312" i="6"/>
  <c r="F312" i="6"/>
  <c r="C312" i="6"/>
  <c r="AD311" i="6"/>
  <c r="AC311" i="6"/>
  <c r="AA311" i="6"/>
  <c r="X311" i="6"/>
  <c r="W311" i="6"/>
  <c r="U311" i="6"/>
  <c r="R311" i="6"/>
  <c r="N311" i="6"/>
  <c r="O311" i="6" s="1"/>
  <c r="L311" i="6"/>
  <c r="H311" i="6"/>
  <c r="I311" i="6" s="1"/>
  <c r="F311" i="6"/>
  <c r="C311" i="6"/>
  <c r="AD310" i="6"/>
  <c r="AC310" i="6"/>
  <c r="AA310" i="6"/>
  <c r="X310" i="6"/>
  <c r="W310" i="6"/>
  <c r="U310" i="6"/>
  <c r="R310" i="6"/>
  <c r="N310" i="6"/>
  <c r="O310" i="6" s="1"/>
  <c r="L310" i="6"/>
  <c r="H310" i="6"/>
  <c r="I310" i="6" s="1"/>
  <c r="F310" i="6"/>
  <c r="C310" i="6"/>
  <c r="AD309" i="6"/>
  <c r="AC309" i="6"/>
  <c r="AA309" i="6"/>
  <c r="W309" i="6"/>
  <c r="X309" i="6" s="1"/>
  <c r="U309" i="6"/>
  <c r="R309" i="6"/>
  <c r="O309" i="6"/>
  <c r="N309" i="6"/>
  <c r="L309" i="6"/>
  <c r="I309" i="6"/>
  <c r="H309" i="6"/>
  <c r="F309" i="6"/>
  <c r="C309" i="6"/>
  <c r="AC308" i="6"/>
  <c r="AD308" i="6" s="1"/>
  <c r="AA308" i="6"/>
  <c r="W308" i="6"/>
  <c r="X308" i="6" s="1"/>
  <c r="U308" i="6"/>
  <c r="R308" i="6"/>
  <c r="O308" i="6"/>
  <c r="N308" i="6"/>
  <c r="L308" i="6"/>
  <c r="I308" i="6"/>
  <c r="H308" i="6"/>
  <c r="F308" i="6"/>
  <c r="C308" i="6"/>
  <c r="AD307" i="6"/>
  <c r="AC307" i="6"/>
  <c r="AA307" i="6"/>
  <c r="X307" i="6"/>
  <c r="W307" i="6"/>
  <c r="U307" i="6"/>
  <c r="R307" i="6"/>
  <c r="N307" i="6"/>
  <c r="O307" i="6" s="1"/>
  <c r="L307" i="6"/>
  <c r="I307" i="6"/>
  <c r="H307" i="6"/>
  <c r="F307" i="6"/>
  <c r="C307" i="6"/>
  <c r="AD306" i="6"/>
  <c r="AC306" i="6"/>
  <c r="AA306" i="6"/>
  <c r="X306" i="6"/>
  <c r="W306" i="6"/>
  <c r="U306" i="6"/>
  <c r="R306" i="6"/>
  <c r="N306" i="6"/>
  <c r="O306" i="6" s="1"/>
  <c r="L306" i="6"/>
  <c r="H306" i="6"/>
  <c r="I306" i="6" s="1"/>
  <c r="F306" i="6"/>
  <c r="C306" i="6"/>
  <c r="AD305" i="6"/>
  <c r="AC305" i="6"/>
  <c r="AA305" i="6"/>
  <c r="W305" i="6"/>
  <c r="X305" i="6" s="1"/>
  <c r="U305" i="6"/>
  <c r="R305" i="6"/>
  <c r="O305" i="6"/>
  <c r="N305" i="6"/>
  <c r="L305" i="6"/>
  <c r="I305" i="6"/>
  <c r="H305" i="6"/>
  <c r="F305" i="6"/>
  <c r="C305" i="6"/>
  <c r="AC304" i="6"/>
  <c r="AD304" i="6" s="1"/>
  <c r="AA304" i="6"/>
  <c r="W304" i="6"/>
  <c r="X304" i="6" s="1"/>
  <c r="U304" i="6"/>
  <c r="R304" i="6"/>
  <c r="N304" i="6"/>
  <c r="O304" i="6" s="1"/>
  <c r="L304" i="6"/>
  <c r="I304" i="6"/>
  <c r="H304" i="6"/>
  <c r="F304" i="6"/>
  <c r="C304" i="6"/>
  <c r="AD303" i="6"/>
  <c r="AC303" i="6"/>
  <c r="AA303" i="6"/>
  <c r="X303" i="6"/>
  <c r="W303" i="6"/>
  <c r="U303" i="6"/>
  <c r="R303" i="6"/>
  <c r="N303" i="6"/>
  <c r="O303" i="6" s="1"/>
  <c r="L303" i="6"/>
  <c r="H303" i="6"/>
  <c r="I303" i="6" s="1"/>
  <c r="F303" i="6"/>
  <c r="C303" i="6"/>
  <c r="AD302" i="6"/>
  <c r="AC302" i="6"/>
  <c r="AA302" i="6"/>
  <c r="X302" i="6"/>
  <c r="W302" i="6"/>
  <c r="U302" i="6"/>
  <c r="R302" i="6"/>
  <c r="N302" i="6"/>
  <c r="O302" i="6" s="1"/>
  <c r="L302" i="6"/>
  <c r="H302" i="6"/>
  <c r="I302" i="6" s="1"/>
  <c r="F302" i="6"/>
  <c r="C302" i="6"/>
  <c r="AD301" i="6"/>
  <c r="AC301" i="6"/>
  <c r="AA301" i="6"/>
  <c r="W301" i="6"/>
  <c r="X301" i="6" s="1"/>
  <c r="U301" i="6"/>
  <c r="R301" i="6"/>
  <c r="O301" i="6"/>
  <c r="N301" i="6"/>
  <c r="L301" i="6"/>
  <c r="I301" i="6"/>
  <c r="H301" i="6"/>
  <c r="F301" i="6"/>
  <c r="C301" i="6"/>
  <c r="AC300" i="6"/>
  <c r="AD300" i="6" s="1"/>
  <c r="AA300" i="6"/>
  <c r="W300" i="6"/>
  <c r="X300" i="6" s="1"/>
  <c r="U300" i="6"/>
  <c r="R300" i="6"/>
  <c r="O300" i="6"/>
  <c r="N300" i="6"/>
  <c r="L300" i="6"/>
  <c r="I300" i="6"/>
  <c r="H300" i="6"/>
  <c r="F300" i="6"/>
  <c r="C300" i="6"/>
  <c r="AD299" i="6"/>
  <c r="AC299" i="6"/>
  <c r="AA299" i="6"/>
  <c r="X299" i="6"/>
  <c r="W299" i="6"/>
  <c r="U299" i="6"/>
  <c r="R299" i="6"/>
  <c r="N299" i="6"/>
  <c r="O299" i="6" s="1"/>
  <c r="L299" i="6"/>
  <c r="I299" i="6"/>
  <c r="H299" i="6"/>
  <c r="F299" i="6"/>
  <c r="C299" i="6"/>
  <c r="AD298" i="6"/>
  <c r="AC298" i="6"/>
  <c r="AA298" i="6"/>
  <c r="X298" i="6"/>
  <c r="W298" i="6"/>
  <c r="U298" i="6"/>
  <c r="R298" i="6"/>
  <c r="N298" i="6"/>
  <c r="O298" i="6" s="1"/>
  <c r="L298" i="6"/>
  <c r="H298" i="6"/>
  <c r="I298" i="6" s="1"/>
  <c r="F298" i="6"/>
  <c r="C298" i="6"/>
  <c r="AD297" i="6"/>
  <c r="AC297" i="6"/>
  <c r="AA297" i="6"/>
  <c r="W297" i="6"/>
  <c r="X297" i="6" s="1"/>
  <c r="U297" i="6"/>
  <c r="R297" i="6"/>
  <c r="O297" i="6"/>
  <c r="N297" i="6"/>
  <c r="L297" i="6"/>
  <c r="I297" i="6"/>
  <c r="H297" i="6"/>
  <c r="F297" i="6"/>
  <c r="C297" i="6"/>
  <c r="AC295" i="6"/>
  <c r="AD295" i="6" s="1"/>
  <c r="AA295" i="6"/>
  <c r="Z295" i="6"/>
  <c r="T295" i="6"/>
  <c r="U295" i="6" s="1"/>
  <c r="Q295" i="6"/>
  <c r="W295" i="6" s="1"/>
  <c r="X295" i="6" s="1"/>
  <c r="L295" i="6"/>
  <c r="K295" i="6"/>
  <c r="E295" i="6"/>
  <c r="F295" i="6" s="1"/>
  <c r="C295" i="6"/>
  <c r="B295" i="6"/>
  <c r="N295" i="6" s="1"/>
  <c r="O295" i="6" s="1"/>
  <c r="AD294" i="6"/>
  <c r="AC294" i="6"/>
  <c r="AA294" i="6"/>
  <c r="W294" i="6"/>
  <c r="X294" i="6" s="1"/>
  <c r="U294" i="6"/>
  <c r="R294" i="6"/>
  <c r="N294" i="6"/>
  <c r="O294" i="6" s="1"/>
  <c r="L294" i="6"/>
  <c r="I294" i="6"/>
  <c r="H294" i="6"/>
  <c r="F294" i="6"/>
  <c r="C294" i="6"/>
  <c r="AD293" i="6"/>
  <c r="AC293" i="6"/>
  <c r="AA293" i="6"/>
  <c r="W293" i="6"/>
  <c r="X293" i="6" s="1"/>
  <c r="U293" i="6"/>
  <c r="R293" i="6"/>
  <c r="O293" i="6"/>
  <c r="N293" i="6"/>
  <c r="L293" i="6"/>
  <c r="I293" i="6"/>
  <c r="H293" i="6"/>
  <c r="F293" i="6"/>
  <c r="C293" i="6"/>
  <c r="AD292" i="6"/>
  <c r="AC292" i="6"/>
  <c r="AA292" i="6"/>
  <c r="W292" i="6"/>
  <c r="X292" i="6" s="1"/>
  <c r="U292" i="6"/>
  <c r="R292" i="6"/>
  <c r="N292" i="6"/>
  <c r="O292" i="6" s="1"/>
  <c r="L292" i="6"/>
  <c r="I292" i="6"/>
  <c r="H292" i="6"/>
  <c r="F292" i="6"/>
  <c r="C292" i="6"/>
  <c r="AC291" i="6"/>
  <c r="AD291" i="6" s="1"/>
  <c r="AA291" i="6"/>
  <c r="X291" i="6"/>
  <c r="W291" i="6"/>
  <c r="U291" i="6"/>
  <c r="R291" i="6"/>
  <c r="N291" i="6"/>
  <c r="O291" i="6" s="1"/>
  <c r="L291" i="6"/>
  <c r="H291" i="6"/>
  <c r="I291" i="6" s="1"/>
  <c r="F291" i="6"/>
  <c r="C291" i="6"/>
  <c r="AD290" i="6"/>
  <c r="AC290" i="6"/>
  <c r="AA290" i="6"/>
  <c r="W290" i="6"/>
  <c r="X290" i="6" s="1"/>
  <c r="U290" i="6"/>
  <c r="R290" i="6"/>
  <c r="N290" i="6"/>
  <c r="O290" i="6" s="1"/>
  <c r="L290" i="6"/>
  <c r="I290" i="6"/>
  <c r="H290" i="6"/>
  <c r="F290" i="6"/>
  <c r="C290" i="6"/>
  <c r="AD289" i="6"/>
  <c r="AC289" i="6"/>
  <c r="AA289" i="6"/>
  <c r="W289" i="6"/>
  <c r="X289" i="6" s="1"/>
  <c r="U289" i="6"/>
  <c r="R289" i="6"/>
  <c r="O289" i="6"/>
  <c r="N289" i="6"/>
  <c r="L289" i="6"/>
  <c r="I289" i="6"/>
  <c r="H289" i="6"/>
  <c r="F289" i="6"/>
  <c r="C289" i="6"/>
  <c r="AC288" i="6"/>
  <c r="AD288" i="6" s="1"/>
  <c r="AA288" i="6"/>
  <c r="W288" i="6"/>
  <c r="X288" i="6" s="1"/>
  <c r="U288" i="6"/>
  <c r="R288" i="6"/>
  <c r="N288" i="6"/>
  <c r="O288" i="6" s="1"/>
  <c r="L288" i="6"/>
  <c r="I288" i="6"/>
  <c r="H288" i="6"/>
  <c r="F288" i="6"/>
  <c r="C288" i="6"/>
  <c r="AC287" i="6"/>
  <c r="AD287" i="6" s="1"/>
  <c r="AA287" i="6"/>
  <c r="X287" i="6"/>
  <c r="W287" i="6"/>
  <c r="U287" i="6"/>
  <c r="R287" i="6"/>
  <c r="N287" i="6"/>
  <c r="O287" i="6" s="1"/>
  <c r="L287" i="6"/>
  <c r="H287" i="6"/>
  <c r="I287" i="6" s="1"/>
  <c r="F287" i="6"/>
  <c r="C287" i="6"/>
  <c r="AD286" i="6"/>
  <c r="AC286" i="6"/>
  <c r="AA286" i="6"/>
  <c r="W286" i="6"/>
  <c r="X286" i="6" s="1"/>
  <c r="U286" i="6"/>
  <c r="R286" i="6"/>
  <c r="N286" i="6"/>
  <c r="O286" i="6" s="1"/>
  <c r="L286" i="6"/>
  <c r="I286" i="6"/>
  <c r="H286" i="6"/>
  <c r="F286" i="6"/>
  <c r="C286" i="6"/>
  <c r="AA284" i="6"/>
  <c r="Z284" i="6"/>
  <c r="U284" i="6"/>
  <c r="T284" i="6"/>
  <c r="W284" i="6" s="1"/>
  <c r="X284" i="6" s="1"/>
  <c r="R284" i="6"/>
  <c r="Q284" i="6"/>
  <c r="AC284" i="6" s="1"/>
  <c r="AD284" i="6" s="1"/>
  <c r="L284" i="6"/>
  <c r="K284" i="6"/>
  <c r="H284" i="6"/>
  <c r="I284" i="6" s="1"/>
  <c r="F284" i="6"/>
  <c r="E284" i="6"/>
  <c r="C284" i="6"/>
  <c r="B284" i="6"/>
  <c r="N284" i="6" s="1"/>
  <c r="O284" i="6" s="1"/>
  <c r="AD283" i="6"/>
  <c r="AC283" i="6"/>
  <c r="AA283" i="6"/>
  <c r="X283" i="6"/>
  <c r="W283" i="6"/>
  <c r="U283" i="6"/>
  <c r="R283" i="6"/>
  <c r="N283" i="6"/>
  <c r="O283" i="6" s="1"/>
  <c r="L283" i="6"/>
  <c r="H283" i="6"/>
  <c r="I283" i="6" s="1"/>
  <c r="F283" i="6"/>
  <c r="C283" i="6"/>
  <c r="AD282" i="6"/>
  <c r="AC282" i="6"/>
  <c r="AA282" i="6"/>
  <c r="X282" i="6"/>
  <c r="W282" i="6"/>
  <c r="U282" i="6"/>
  <c r="R282" i="6"/>
  <c r="N282" i="6"/>
  <c r="O282" i="6" s="1"/>
  <c r="L282" i="6"/>
  <c r="H282" i="6"/>
  <c r="I282" i="6" s="1"/>
  <c r="F282" i="6"/>
  <c r="C282" i="6"/>
  <c r="AD281" i="6"/>
  <c r="AC281" i="6"/>
  <c r="AA281" i="6"/>
  <c r="W281" i="6"/>
  <c r="X281" i="6" s="1"/>
  <c r="U281" i="6"/>
  <c r="R281" i="6"/>
  <c r="O281" i="6"/>
  <c r="N281" i="6"/>
  <c r="L281" i="6"/>
  <c r="I281" i="6"/>
  <c r="H281" i="6"/>
  <c r="F281" i="6"/>
  <c r="C281" i="6"/>
  <c r="AC280" i="6"/>
  <c r="AD280" i="6" s="1"/>
  <c r="AA280" i="6"/>
  <c r="W280" i="6"/>
  <c r="X280" i="6" s="1"/>
  <c r="U280" i="6"/>
  <c r="R280" i="6"/>
  <c r="O280" i="6"/>
  <c r="N280" i="6"/>
  <c r="L280" i="6"/>
  <c r="I280" i="6"/>
  <c r="H280" i="6"/>
  <c r="F280" i="6"/>
  <c r="C280" i="6"/>
  <c r="AD279" i="6"/>
  <c r="AC279" i="6"/>
  <c r="AA279" i="6"/>
  <c r="X279" i="6"/>
  <c r="W279" i="6"/>
  <c r="U279" i="6"/>
  <c r="R279" i="6"/>
  <c r="N279" i="6"/>
  <c r="O279" i="6" s="1"/>
  <c r="L279" i="6"/>
  <c r="I279" i="6"/>
  <c r="H279" i="6"/>
  <c r="F279" i="6"/>
  <c r="C279" i="6"/>
  <c r="AD278" i="6"/>
  <c r="AC278" i="6"/>
  <c r="AA278" i="6"/>
  <c r="X278" i="6"/>
  <c r="W278" i="6"/>
  <c r="U278" i="6"/>
  <c r="R278" i="6"/>
  <c r="N278" i="6"/>
  <c r="O278" i="6" s="1"/>
  <c r="L278" i="6"/>
  <c r="H278" i="6"/>
  <c r="I278" i="6" s="1"/>
  <c r="F278" i="6"/>
  <c r="C278" i="6"/>
  <c r="AD277" i="6"/>
  <c r="AC277" i="6"/>
  <c r="AA277" i="6"/>
  <c r="W277" i="6"/>
  <c r="X277" i="6" s="1"/>
  <c r="U277" i="6"/>
  <c r="R277" i="6"/>
  <c r="O277" i="6"/>
  <c r="N277" i="6"/>
  <c r="L277" i="6"/>
  <c r="I277" i="6"/>
  <c r="H277" i="6"/>
  <c r="F277" i="6"/>
  <c r="C277" i="6"/>
  <c r="AC276" i="6"/>
  <c r="AD276" i="6" s="1"/>
  <c r="AA276" i="6"/>
  <c r="W276" i="6"/>
  <c r="X276" i="6" s="1"/>
  <c r="U276" i="6"/>
  <c r="R276" i="6"/>
  <c r="N276" i="6"/>
  <c r="O276" i="6" s="1"/>
  <c r="L276" i="6"/>
  <c r="I276" i="6"/>
  <c r="H276" i="6"/>
  <c r="F276" i="6"/>
  <c r="C276" i="6"/>
  <c r="AD275" i="6"/>
  <c r="AC275" i="6"/>
  <c r="AA275" i="6"/>
  <c r="X275" i="6"/>
  <c r="W275" i="6"/>
  <c r="U275" i="6"/>
  <c r="R275" i="6"/>
  <c r="N275" i="6"/>
  <c r="O275" i="6" s="1"/>
  <c r="L275" i="6"/>
  <c r="H275" i="6"/>
  <c r="I275" i="6" s="1"/>
  <c r="F275" i="6"/>
  <c r="C275" i="6"/>
  <c r="AA273" i="6"/>
  <c r="Z273" i="6"/>
  <c r="W273" i="6"/>
  <c r="X273" i="6" s="1"/>
  <c r="U273" i="6"/>
  <c r="T273" i="6"/>
  <c r="R273" i="6"/>
  <c r="Q273" i="6"/>
  <c r="AC273" i="6" s="1"/>
  <c r="AD273" i="6" s="1"/>
  <c r="K273" i="6"/>
  <c r="L273" i="6" s="1"/>
  <c r="F273" i="6"/>
  <c r="E273" i="6"/>
  <c r="B273" i="6"/>
  <c r="H273" i="6" s="1"/>
  <c r="I273" i="6" s="1"/>
  <c r="AD272" i="6"/>
  <c r="AC272" i="6"/>
  <c r="AA272" i="6"/>
  <c r="W272" i="6"/>
  <c r="X272" i="6" s="1"/>
  <c r="U272" i="6"/>
  <c r="R272" i="6"/>
  <c r="N272" i="6"/>
  <c r="O272" i="6" s="1"/>
  <c r="L272" i="6"/>
  <c r="I272" i="6"/>
  <c r="H272" i="6"/>
  <c r="F272" i="6"/>
  <c r="C272" i="6"/>
  <c r="AC271" i="6"/>
  <c r="AD271" i="6" s="1"/>
  <c r="AA271" i="6"/>
  <c r="X271" i="6"/>
  <c r="W271" i="6"/>
  <c r="U271" i="6"/>
  <c r="R271" i="6"/>
  <c r="N271" i="6"/>
  <c r="O271" i="6" s="1"/>
  <c r="L271" i="6"/>
  <c r="H271" i="6"/>
  <c r="I271" i="6" s="1"/>
  <c r="F271" i="6"/>
  <c r="C271" i="6"/>
  <c r="AD270" i="6"/>
  <c r="AC270" i="6"/>
  <c r="AA270" i="6"/>
  <c r="W270" i="6"/>
  <c r="X270" i="6" s="1"/>
  <c r="U270" i="6"/>
  <c r="R270" i="6"/>
  <c r="N270" i="6"/>
  <c r="O270" i="6" s="1"/>
  <c r="L270" i="6"/>
  <c r="I270" i="6"/>
  <c r="H270" i="6"/>
  <c r="F270" i="6"/>
  <c r="C270" i="6"/>
  <c r="AD269" i="6"/>
  <c r="AC269" i="6"/>
  <c r="AA269" i="6"/>
  <c r="W269" i="6"/>
  <c r="X269" i="6" s="1"/>
  <c r="U269" i="6"/>
  <c r="R269" i="6"/>
  <c r="O269" i="6"/>
  <c r="N269" i="6"/>
  <c r="L269" i="6"/>
  <c r="I269" i="6"/>
  <c r="H269" i="6"/>
  <c r="F269" i="6"/>
  <c r="C269" i="6"/>
  <c r="AC267" i="6"/>
  <c r="AD267" i="6" s="1"/>
  <c r="AA267" i="6"/>
  <c r="Z267" i="6"/>
  <c r="T267" i="6"/>
  <c r="U267" i="6" s="1"/>
  <c r="R267" i="6"/>
  <c r="Q267" i="6"/>
  <c r="L267" i="6"/>
  <c r="K267" i="6"/>
  <c r="I267" i="6"/>
  <c r="H267" i="6"/>
  <c r="E267" i="6"/>
  <c r="F267" i="6" s="1"/>
  <c r="C267" i="6"/>
  <c r="B267" i="6"/>
  <c r="N267" i="6" s="1"/>
  <c r="O267" i="6" s="1"/>
  <c r="AD266" i="6"/>
  <c r="AC266" i="6"/>
  <c r="AA266" i="6"/>
  <c r="X266" i="6"/>
  <c r="W266" i="6"/>
  <c r="U266" i="6"/>
  <c r="R266" i="6"/>
  <c r="N266" i="6"/>
  <c r="O266" i="6" s="1"/>
  <c r="L266" i="6"/>
  <c r="H266" i="6"/>
  <c r="I266" i="6" s="1"/>
  <c r="F266" i="6"/>
  <c r="C266" i="6"/>
  <c r="AD265" i="6"/>
  <c r="AC265" i="6"/>
  <c r="AA265" i="6"/>
  <c r="W265" i="6"/>
  <c r="X265" i="6" s="1"/>
  <c r="U265" i="6"/>
  <c r="R265" i="6"/>
  <c r="O265" i="6"/>
  <c r="N265" i="6"/>
  <c r="L265" i="6"/>
  <c r="I265" i="6"/>
  <c r="H265" i="6"/>
  <c r="F265" i="6"/>
  <c r="C265" i="6"/>
  <c r="AA263" i="6"/>
  <c r="Z263" i="6"/>
  <c r="T263" i="6"/>
  <c r="U263" i="6" s="1"/>
  <c r="Q263" i="6"/>
  <c r="W263" i="6" s="1"/>
  <c r="X263" i="6" s="1"/>
  <c r="L263" i="6"/>
  <c r="K263" i="6"/>
  <c r="E263" i="6"/>
  <c r="H263" i="6" s="1"/>
  <c r="I263" i="6" s="1"/>
  <c r="C263" i="6"/>
  <c r="B263" i="6"/>
  <c r="N263" i="6" s="1"/>
  <c r="O263" i="6" s="1"/>
  <c r="Z262" i="6"/>
  <c r="AA262" i="6" s="1"/>
  <c r="X262" i="6"/>
  <c r="W262" i="6"/>
  <c r="U262" i="6"/>
  <c r="T262" i="6"/>
  <c r="R262" i="6"/>
  <c r="Q262" i="6"/>
  <c r="AC262" i="6" s="1"/>
  <c r="AD262" i="6" s="1"/>
  <c r="L262" i="6"/>
  <c r="K262" i="6"/>
  <c r="F262" i="6"/>
  <c r="E262" i="6"/>
  <c r="C262" i="6"/>
  <c r="B262" i="6"/>
  <c r="H262" i="6" s="1"/>
  <c r="I262" i="6" s="1"/>
  <c r="AC261" i="6"/>
  <c r="AD261" i="6" s="1"/>
  <c r="AA261" i="6"/>
  <c r="W261" i="6"/>
  <c r="X261" i="6" s="1"/>
  <c r="U261" i="6"/>
  <c r="R261" i="6"/>
  <c r="O261" i="6"/>
  <c r="N261" i="6"/>
  <c r="L261" i="6"/>
  <c r="I261" i="6"/>
  <c r="H261" i="6"/>
  <c r="F261" i="6"/>
  <c r="C261" i="6"/>
  <c r="AC260" i="6"/>
  <c r="AD260" i="6" s="1"/>
  <c r="AA260" i="6"/>
  <c r="X260" i="6"/>
  <c r="W260" i="6"/>
  <c r="U260" i="6"/>
  <c r="R260" i="6"/>
  <c r="N260" i="6"/>
  <c r="O260" i="6" s="1"/>
  <c r="L260" i="6"/>
  <c r="I260" i="6"/>
  <c r="H260" i="6"/>
  <c r="F260" i="6"/>
  <c r="C260" i="6"/>
  <c r="AD259" i="6"/>
  <c r="AC259" i="6"/>
  <c r="AA259" i="6"/>
  <c r="W259" i="6"/>
  <c r="X259" i="6" s="1"/>
  <c r="U259" i="6"/>
  <c r="R259" i="6"/>
  <c r="N259" i="6"/>
  <c r="O259" i="6" s="1"/>
  <c r="L259" i="6"/>
  <c r="H259" i="6"/>
  <c r="I259" i="6" s="1"/>
  <c r="F259" i="6"/>
  <c r="C259" i="6"/>
  <c r="AD258" i="6"/>
  <c r="AC258" i="6"/>
  <c r="AA258" i="6"/>
  <c r="W258" i="6"/>
  <c r="X258" i="6" s="1"/>
  <c r="U258" i="6"/>
  <c r="R258" i="6"/>
  <c r="O258" i="6"/>
  <c r="N258" i="6"/>
  <c r="L258" i="6"/>
  <c r="I258" i="6"/>
  <c r="H258" i="6"/>
  <c r="F258" i="6"/>
  <c r="C258" i="6"/>
  <c r="AD257" i="6"/>
  <c r="AC257" i="6"/>
  <c r="AA257" i="6"/>
  <c r="W257" i="6"/>
  <c r="X257" i="6" s="1"/>
  <c r="U257" i="6"/>
  <c r="R257" i="6"/>
  <c r="O257" i="6"/>
  <c r="N257" i="6"/>
  <c r="L257" i="6"/>
  <c r="I257" i="6"/>
  <c r="H257" i="6"/>
  <c r="F257" i="6"/>
  <c r="C257" i="6"/>
  <c r="AC256" i="6"/>
  <c r="AD256" i="6" s="1"/>
  <c r="AA256" i="6"/>
  <c r="X256" i="6"/>
  <c r="W256" i="6"/>
  <c r="U256" i="6"/>
  <c r="R256" i="6"/>
  <c r="N256" i="6"/>
  <c r="O256" i="6" s="1"/>
  <c r="L256" i="6"/>
  <c r="I256" i="6"/>
  <c r="H256" i="6"/>
  <c r="F256" i="6"/>
  <c r="C256" i="6"/>
  <c r="AD255" i="6"/>
  <c r="AC255" i="6"/>
  <c r="AA255" i="6"/>
  <c r="W255" i="6"/>
  <c r="X255" i="6" s="1"/>
  <c r="U255" i="6"/>
  <c r="R255" i="6"/>
  <c r="N255" i="6"/>
  <c r="O255" i="6" s="1"/>
  <c r="L255" i="6"/>
  <c r="I255" i="6"/>
  <c r="H255" i="6"/>
  <c r="F255" i="6"/>
  <c r="C255" i="6"/>
  <c r="AD254" i="6"/>
  <c r="AC254" i="6"/>
  <c r="AA254" i="6"/>
  <c r="W254" i="6"/>
  <c r="X254" i="6" s="1"/>
  <c r="U254" i="6"/>
  <c r="R254" i="6"/>
  <c r="O254" i="6"/>
  <c r="N254" i="6"/>
  <c r="L254" i="6"/>
  <c r="I254" i="6"/>
  <c r="H254" i="6"/>
  <c r="F254" i="6"/>
  <c r="C254" i="6"/>
  <c r="AC253" i="6"/>
  <c r="AD253" i="6" s="1"/>
  <c r="AA253" i="6"/>
  <c r="W253" i="6"/>
  <c r="X253" i="6" s="1"/>
  <c r="U253" i="6"/>
  <c r="R253" i="6"/>
  <c r="O253" i="6"/>
  <c r="N253" i="6"/>
  <c r="L253" i="6"/>
  <c r="I253" i="6"/>
  <c r="H253" i="6"/>
  <c r="F253" i="6"/>
  <c r="C253" i="6"/>
  <c r="AC252" i="6"/>
  <c r="AD252" i="6" s="1"/>
  <c r="AA252" i="6"/>
  <c r="X252" i="6"/>
  <c r="W252" i="6"/>
  <c r="U252" i="6"/>
  <c r="R252" i="6"/>
  <c r="N252" i="6"/>
  <c r="O252" i="6" s="1"/>
  <c r="L252" i="6"/>
  <c r="I252" i="6"/>
  <c r="H252" i="6"/>
  <c r="F252" i="6"/>
  <c r="C252" i="6"/>
  <c r="AD251" i="6"/>
  <c r="AC251" i="6"/>
  <c r="AA251" i="6"/>
  <c r="W251" i="6"/>
  <c r="X251" i="6" s="1"/>
  <c r="U251" i="6"/>
  <c r="R251" i="6"/>
  <c r="N251" i="6"/>
  <c r="O251" i="6" s="1"/>
  <c r="L251" i="6"/>
  <c r="H251" i="6"/>
  <c r="I251" i="6" s="1"/>
  <c r="F251" i="6"/>
  <c r="C251" i="6"/>
  <c r="AD250" i="6"/>
  <c r="AC250" i="6"/>
  <c r="AA250" i="6"/>
  <c r="W250" i="6"/>
  <c r="X250" i="6" s="1"/>
  <c r="U250" i="6"/>
  <c r="R250" i="6"/>
  <c r="O250" i="6"/>
  <c r="N250" i="6"/>
  <c r="L250" i="6"/>
  <c r="I250" i="6"/>
  <c r="H250" i="6"/>
  <c r="F250" i="6"/>
  <c r="C250" i="6"/>
  <c r="AD249" i="6"/>
  <c r="AC249" i="6"/>
  <c r="AA249" i="6"/>
  <c r="W249" i="6"/>
  <c r="X249" i="6" s="1"/>
  <c r="U249" i="6"/>
  <c r="R249" i="6"/>
  <c r="O249" i="6"/>
  <c r="N249" i="6"/>
  <c r="L249" i="6"/>
  <c r="I249" i="6"/>
  <c r="H249" i="6"/>
  <c r="F249" i="6"/>
  <c r="C249" i="6"/>
  <c r="AC248" i="6"/>
  <c r="AD248" i="6" s="1"/>
  <c r="AA248" i="6"/>
  <c r="X248" i="6"/>
  <c r="W248" i="6"/>
  <c r="U248" i="6"/>
  <c r="R248" i="6"/>
  <c r="N248" i="6"/>
  <c r="O248" i="6" s="1"/>
  <c r="L248" i="6"/>
  <c r="I248" i="6"/>
  <c r="H248" i="6"/>
  <c r="F248" i="6"/>
  <c r="C248" i="6"/>
  <c r="AD247" i="6"/>
  <c r="AC247" i="6"/>
  <c r="AA247" i="6"/>
  <c r="W247" i="6"/>
  <c r="X247" i="6" s="1"/>
  <c r="U247" i="6"/>
  <c r="R247" i="6"/>
  <c r="N247" i="6"/>
  <c r="O247" i="6" s="1"/>
  <c r="L247" i="6"/>
  <c r="I247" i="6"/>
  <c r="H247" i="6"/>
  <c r="F247" i="6"/>
  <c r="C247" i="6"/>
  <c r="AD246" i="6"/>
  <c r="AC246" i="6"/>
  <c r="AA246" i="6"/>
  <c r="W246" i="6"/>
  <c r="X246" i="6" s="1"/>
  <c r="U246" i="6"/>
  <c r="R246" i="6"/>
  <c r="O246" i="6"/>
  <c r="N246" i="6"/>
  <c r="L246" i="6"/>
  <c r="I246" i="6"/>
  <c r="H246" i="6"/>
  <c r="F246" i="6"/>
  <c r="C246" i="6"/>
  <c r="AC245" i="6"/>
  <c r="AD245" i="6" s="1"/>
  <c r="AA245" i="6"/>
  <c r="W245" i="6"/>
  <c r="X245" i="6" s="1"/>
  <c r="U245" i="6"/>
  <c r="R245" i="6"/>
  <c r="O245" i="6"/>
  <c r="N245" i="6"/>
  <c r="L245" i="6"/>
  <c r="I245" i="6"/>
  <c r="H245" i="6"/>
  <c r="F245" i="6"/>
  <c r="C245" i="6"/>
  <c r="AC244" i="6"/>
  <c r="AD244" i="6" s="1"/>
  <c r="AA244" i="6"/>
  <c r="X244" i="6"/>
  <c r="W244" i="6"/>
  <c r="U244" i="6"/>
  <c r="R244" i="6"/>
  <c r="N244" i="6"/>
  <c r="O244" i="6" s="1"/>
  <c r="L244" i="6"/>
  <c r="I244" i="6"/>
  <c r="H244" i="6"/>
  <c r="F244" i="6"/>
  <c r="C244" i="6"/>
  <c r="AD243" i="6"/>
  <c r="AC243" i="6"/>
  <c r="AA243" i="6"/>
  <c r="W243" i="6"/>
  <c r="X243" i="6" s="1"/>
  <c r="U243" i="6"/>
  <c r="R243" i="6"/>
  <c r="N243" i="6"/>
  <c r="O243" i="6" s="1"/>
  <c r="L243" i="6"/>
  <c r="H243" i="6"/>
  <c r="I243" i="6" s="1"/>
  <c r="F243" i="6"/>
  <c r="C243" i="6"/>
  <c r="AD242" i="6"/>
  <c r="AC242" i="6"/>
  <c r="AA242" i="6"/>
  <c r="W242" i="6"/>
  <c r="X242" i="6" s="1"/>
  <c r="U242" i="6"/>
  <c r="R242" i="6"/>
  <c r="O242" i="6"/>
  <c r="N242" i="6"/>
  <c r="L242" i="6"/>
  <c r="I242" i="6"/>
  <c r="H242" i="6"/>
  <c r="F242" i="6"/>
  <c r="C242" i="6"/>
  <c r="AD241" i="6"/>
  <c r="AC241" i="6"/>
  <c r="AA241" i="6"/>
  <c r="W241" i="6"/>
  <c r="X241" i="6" s="1"/>
  <c r="U241" i="6"/>
  <c r="R241" i="6"/>
  <c r="O241" i="6"/>
  <c r="N241" i="6"/>
  <c r="L241" i="6"/>
  <c r="I241" i="6"/>
  <c r="H241" i="6"/>
  <c r="F241" i="6"/>
  <c r="C241" i="6"/>
  <c r="AC240" i="6"/>
  <c r="AD240" i="6" s="1"/>
  <c r="AA240" i="6"/>
  <c r="X240" i="6"/>
  <c r="W240" i="6"/>
  <c r="U240" i="6"/>
  <c r="R240" i="6"/>
  <c r="N240" i="6"/>
  <c r="O240" i="6" s="1"/>
  <c r="L240" i="6"/>
  <c r="I240" i="6"/>
  <c r="H240" i="6"/>
  <c r="F240" i="6"/>
  <c r="C240" i="6"/>
  <c r="AD238" i="6"/>
  <c r="AC238" i="6"/>
  <c r="AA238" i="6"/>
  <c r="W238" i="6"/>
  <c r="X238" i="6" s="1"/>
  <c r="U238" i="6"/>
  <c r="R238" i="6"/>
  <c r="N238" i="6"/>
  <c r="O238" i="6" s="1"/>
  <c r="L238" i="6"/>
  <c r="I238" i="6"/>
  <c r="H238" i="6"/>
  <c r="F238" i="6"/>
  <c r="C238" i="6"/>
  <c r="AA236" i="6"/>
  <c r="Z236" i="6"/>
  <c r="W236" i="6"/>
  <c r="X236" i="6" s="1"/>
  <c r="U236" i="6"/>
  <c r="T236" i="6"/>
  <c r="R236" i="6"/>
  <c r="Q236" i="6"/>
  <c r="AC236" i="6" s="1"/>
  <c r="AD236" i="6" s="1"/>
  <c r="L236" i="6"/>
  <c r="K236" i="6"/>
  <c r="I236" i="6"/>
  <c r="H236" i="6"/>
  <c r="F236" i="6"/>
  <c r="E236" i="6"/>
  <c r="C236" i="6"/>
  <c r="B236" i="6"/>
  <c r="AD235" i="6"/>
  <c r="AC235" i="6"/>
  <c r="AA235" i="6"/>
  <c r="X235" i="6"/>
  <c r="W235" i="6"/>
  <c r="U235" i="6"/>
  <c r="R235" i="6"/>
  <c r="N235" i="6"/>
  <c r="O235" i="6" s="1"/>
  <c r="L235" i="6"/>
  <c r="H235" i="6"/>
  <c r="I235" i="6" s="1"/>
  <c r="F235" i="6"/>
  <c r="C235" i="6"/>
  <c r="AD234" i="6"/>
  <c r="AC234" i="6"/>
  <c r="AA234" i="6"/>
  <c r="X234" i="6"/>
  <c r="W234" i="6"/>
  <c r="U234" i="6"/>
  <c r="R234" i="6"/>
  <c r="N234" i="6"/>
  <c r="O234" i="6" s="1"/>
  <c r="L234" i="6"/>
  <c r="I234" i="6"/>
  <c r="H234" i="6"/>
  <c r="F234" i="6"/>
  <c r="C234" i="6"/>
  <c r="AD233" i="6"/>
  <c r="AC233" i="6"/>
  <c r="AA233" i="6"/>
  <c r="W233" i="6"/>
  <c r="X233" i="6" s="1"/>
  <c r="U233" i="6"/>
  <c r="R233" i="6"/>
  <c r="O233" i="6"/>
  <c r="N233" i="6"/>
  <c r="L233" i="6"/>
  <c r="I233" i="6"/>
  <c r="H233" i="6"/>
  <c r="F233" i="6"/>
  <c r="C233" i="6"/>
  <c r="AC232" i="6"/>
  <c r="AD232" i="6" s="1"/>
  <c r="AA232" i="6"/>
  <c r="W232" i="6"/>
  <c r="X232" i="6" s="1"/>
  <c r="U232" i="6"/>
  <c r="R232" i="6"/>
  <c r="N232" i="6"/>
  <c r="O232" i="6" s="1"/>
  <c r="L232" i="6"/>
  <c r="I232" i="6"/>
  <c r="H232" i="6"/>
  <c r="F232" i="6"/>
  <c r="C232" i="6"/>
  <c r="AC231" i="6"/>
  <c r="AD231" i="6" s="1"/>
  <c r="AA231" i="6"/>
  <c r="X231" i="6"/>
  <c r="W231" i="6"/>
  <c r="U231" i="6"/>
  <c r="R231" i="6"/>
  <c r="N231" i="6"/>
  <c r="O231" i="6" s="1"/>
  <c r="L231" i="6"/>
  <c r="H231" i="6"/>
  <c r="I231" i="6" s="1"/>
  <c r="F231" i="6"/>
  <c r="C231" i="6"/>
  <c r="AD230" i="6"/>
  <c r="AC230" i="6"/>
  <c r="AA230" i="6"/>
  <c r="W230" i="6"/>
  <c r="X230" i="6" s="1"/>
  <c r="U230" i="6"/>
  <c r="R230" i="6"/>
  <c r="N230" i="6"/>
  <c r="O230" i="6" s="1"/>
  <c r="L230" i="6"/>
  <c r="I230" i="6"/>
  <c r="H230" i="6"/>
  <c r="F230" i="6"/>
  <c r="C230" i="6"/>
  <c r="AD229" i="6"/>
  <c r="AC229" i="6"/>
  <c r="AA229" i="6"/>
  <c r="W229" i="6"/>
  <c r="X229" i="6" s="1"/>
  <c r="U229" i="6"/>
  <c r="R229" i="6"/>
  <c r="O229" i="6"/>
  <c r="N229" i="6"/>
  <c r="L229" i="6"/>
  <c r="I229" i="6"/>
  <c r="H229" i="6"/>
  <c r="F229" i="6"/>
  <c r="C229" i="6"/>
  <c r="AA227" i="6"/>
  <c r="Z227" i="6"/>
  <c r="U227" i="6"/>
  <c r="T227" i="6"/>
  <c r="R227" i="6"/>
  <c r="Q227" i="6"/>
  <c r="W227" i="6" s="1"/>
  <c r="X227" i="6" s="1"/>
  <c r="L227" i="6"/>
  <c r="K227" i="6"/>
  <c r="E227" i="6"/>
  <c r="H227" i="6" s="1"/>
  <c r="I227" i="6" s="1"/>
  <c r="C227" i="6"/>
  <c r="B227" i="6"/>
  <c r="N227" i="6" s="1"/>
  <c r="O227" i="6" s="1"/>
  <c r="AD226" i="6"/>
  <c r="AC226" i="6"/>
  <c r="AA226" i="6"/>
  <c r="W226" i="6"/>
  <c r="X226" i="6" s="1"/>
  <c r="U226" i="6"/>
  <c r="R226" i="6"/>
  <c r="N226" i="6"/>
  <c r="O226" i="6" s="1"/>
  <c r="L226" i="6"/>
  <c r="H226" i="6"/>
  <c r="I226" i="6" s="1"/>
  <c r="F226" i="6"/>
  <c r="C226" i="6"/>
  <c r="AD225" i="6"/>
  <c r="AC225" i="6"/>
  <c r="AA225" i="6"/>
  <c r="W225" i="6"/>
  <c r="X225" i="6" s="1"/>
  <c r="U225" i="6"/>
  <c r="R225" i="6"/>
  <c r="O225" i="6"/>
  <c r="N225" i="6"/>
  <c r="L225" i="6"/>
  <c r="I225" i="6"/>
  <c r="H225" i="6"/>
  <c r="F225" i="6"/>
  <c r="C225" i="6"/>
  <c r="AD224" i="6"/>
  <c r="AC224" i="6"/>
  <c r="AA224" i="6"/>
  <c r="W224" i="6"/>
  <c r="X224" i="6" s="1"/>
  <c r="U224" i="6"/>
  <c r="R224" i="6"/>
  <c r="N224" i="6"/>
  <c r="O224" i="6" s="1"/>
  <c r="L224" i="6"/>
  <c r="I224" i="6"/>
  <c r="H224" i="6"/>
  <c r="F224" i="6"/>
  <c r="C224" i="6"/>
  <c r="AD223" i="6"/>
  <c r="AC223" i="6"/>
  <c r="AA223" i="6"/>
  <c r="X223" i="6"/>
  <c r="W223" i="6"/>
  <c r="U223" i="6"/>
  <c r="R223" i="6"/>
  <c r="N223" i="6"/>
  <c r="O223" i="6" s="1"/>
  <c r="L223" i="6"/>
  <c r="H223" i="6"/>
  <c r="I223" i="6" s="1"/>
  <c r="F223" i="6"/>
  <c r="C223" i="6"/>
  <c r="AD222" i="6"/>
  <c r="AC222" i="6"/>
  <c r="AA222" i="6"/>
  <c r="X222" i="6"/>
  <c r="W222" i="6"/>
  <c r="U222" i="6"/>
  <c r="R222" i="6"/>
  <c r="N222" i="6"/>
  <c r="O222" i="6" s="1"/>
  <c r="L222" i="6"/>
  <c r="H222" i="6"/>
  <c r="I222" i="6" s="1"/>
  <c r="F222" i="6"/>
  <c r="C222" i="6"/>
  <c r="AD221" i="6"/>
  <c r="AC221" i="6"/>
  <c r="AA221" i="6"/>
  <c r="W221" i="6"/>
  <c r="X221" i="6" s="1"/>
  <c r="U221" i="6"/>
  <c r="R221" i="6"/>
  <c r="O221" i="6"/>
  <c r="N221" i="6"/>
  <c r="L221" i="6"/>
  <c r="I221" i="6"/>
  <c r="H221" i="6"/>
  <c r="F221" i="6"/>
  <c r="C221" i="6"/>
  <c r="AC220" i="6"/>
  <c r="AD220" i="6" s="1"/>
  <c r="AA220" i="6"/>
  <c r="W220" i="6"/>
  <c r="X220" i="6" s="1"/>
  <c r="U220" i="6"/>
  <c r="R220" i="6"/>
  <c r="N220" i="6"/>
  <c r="O220" i="6" s="1"/>
  <c r="L220" i="6"/>
  <c r="I220" i="6"/>
  <c r="H220" i="6"/>
  <c r="F220" i="6"/>
  <c r="C220" i="6"/>
  <c r="AC219" i="6"/>
  <c r="AD219" i="6" s="1"/>
  <c r="AA219" i="6"/>
  <c r="X219" i="6"/>
  <c r="W219" i="6"/>
  <c r="U219" i="6"/>
  <c r="R219" i="6"/>
  <c r="N219" i="6"/>
  <c r="O219" i="6" s="1"/>
  <c r="L219" i="6"/>
  <c r="H219" i="6"/>
  <c r="I219" i="6" s="1"/>
  <c r="F219" i="6"/>
  <c r="C219" i="6"/>
  <c r="Z218" i="6"/>
  <c r="AA218" i="6" s="1"/>
  <c r="W218" i="6"/>
  <c r="X218" i="6" s="1"/>
  <c r="U218" i="6"/>
  <c r="T218" i="6"/>
  <c r="R218" i="6"/>
  <c r="Q218" i="6"/>
  <c r="K218" i="6"/>
  <c r="N218" i="6" s="1"/>
  <c r="O218" i="6" s="1"/>
  <c r="F218" i="6"/>
  <c r="E218" i="6"/>
  <c r="C218" i="6"/>
  <c r="B218" i="6"/>
  <c r="H218" i="6" s="1"/>
  <c r="I218" i="6" s="1"/>
  <c r="AC217" i="6"/>
  <c r="AD217" i="6" s="1"/>
  <c r="AA217" i="6"/>
  <c r="W217" i="6"/>
  <c r="X217" i="6" s="1"/>
  <c r="U217" i="6"/>
  <c r="R217" i="6"/>
  <c r="O217" i="6"/>
  <c r="N217" i="6"/>
  <c r="L217" i="6"/>
  <c r="I217" i="6"/>
  <c r="H217" i="6"/>
  <c r="F217" i="6"/>
  <c r="C217" i="6"/>
  <c r="AC216" i="6"/>
  <c r="AD216" i="6" s="1"/>
  <c r="AA216" i="6"/>
  <c r="X216" i="6"/>
  <c r="W216" i="6"/>
  <c r="U216" i="6"/>
  <c r="R216" i="6"/>
  <c r="N216" i="6"/>
  <c r="O216" i="6" s="1"/>
  <c r="L216" i="6"/>
  <c r="I216" i="6"/>
  <c r="H216" i="6"/>
  <c r="F216" i="6"/>
  <c r="C216" i="6"/>
  <c r="AD215" i="6"/>
  <c r="AC215" i="6"/>
  <c r="AA215" i="6"/>
  <c r="W215" i="6"/>
  <c r="X215" i="6" s="1"/>
  <c r="U215" i="6"/>
  <c r="R215" i="6"/>
  <c r="N215" i="6"/>
  <c r="O215" i="6" s="1"/>
  <c r="L215" i="6"/>
  <c r="I215" i="6"/>
  <c r="H215" i="6"/>
  <c r="F215" i="6"/>
  <c r="C215" i="6"/>
  <c r="AD214" i="6"/>
  <c r="AC214" i="6"/>
  <c r="AA214" i="6"/>
  <c r="W214" i="6"/>
  <c r="X214" i="6" s="1"/>
  <c r="U214" i="6"/>
  <c r="R214" i="6"/>
  <c r="O214" i="6"/>
  <c r="N214" i="6"/>
  <c r="L214" i="6"/>
  <c r="I214" i="6"/>
  <c r="H214" i="6"/>
  <c r="F214" i="6"/>
  <c r="C214" i="6"/>
  <c r="AC213" i="6"/>
  <c r="AD213" i="6" s="1"/>
  <c r="AA213" i="6"/>
  <c r="W213" i="6"/>
  <c r="X213" i="6" s="1"/>
  <c r="U213" i="6"/>
  <c r="R213" i="6"/>
  <c r="N213" i="6"/>
  <c r="O213" i="6" s="1"/>
  <c r="L213" i="6"/>
  <c r="I213" i="6"/>
  <c r="H213" i="6"/>
  <c r="F213" i="6"/>
  <c r="C213" i="6"/>
  <c r="AD211" i="6"/>
  <c r="AC211" i="6"/>
  <c r="AA211" i="6"/>
  <c r="X211" i="6"/>
  <c r="W211" i="6"/>
  <c r="U211" i="6"/>
  <c r="R211" i="6"/>
  <c r="N211" i="6"/>
  <c r="O211" i="6" s="1"/>
  <c r="L211" i="6"/>
  <c r="H211" i="6"/>
  <c r="I211" i="6" s="1"/>
  <c r="F211" i="6"/>
  <c r="C211" i="6"/>
  <c r="Z209" i="6"/>
  <c r="AA209" i="6" s="1"/>
  <c r="X209" i="6"/>
  <c r="W209" i="6"/>
  <c r="U209" i="6"/>
  <c r="T209" i="6"/>
  <c r="R209" i="6"/>
  <c r="Q209" i="6"/>
  <c r="AC209" i="6" s="1"/>
  <c r="AD209" i="6" s="1"/>
  <c r="L209" i="6"/>
  <c r="K209" i="6"/>
  <c r="F209" i="6"/>
  <c r="E209" i="6"/>
  <c r="B209" i="6"/>
  <c r="H209" i="6" s="1"/>
  <c r="I209" i="6" s="1"/>
  <c r="AC208" i="6"/>
  <c r="AD208" i="6" s="1"/>
  <c r="AA208" i="6"/>
  <c r="W208" i="6"/>
  <c r="X208" i="6" s="1"/>
  <c r="U208" i="6"/>
  <c r="R208" i="6"/>
  <c r="N208" i="6"/>
  <c r="O208" i="6" s="1"/>
  <c r="L208" i="6"/>
  <c r="I208" i="6"/>
  <c r="H208" i="6"/>
  <c r="F208" i="6"/>
  <c r="C208" i="6"/>
  <c r="AC207" i="6"/>
  <c r="AD207" i="6" s="1"/>
  <c r="AA207" i="6"/>
  <c r="X207" i="6"/>
  <c r="W207" i="6"/>
  <c r="U207" i="6"/>
  <c r="R207" i="6"/>
  <c r="N207" i="6"/>
  <c r="O207" i="6" s="1"/>
  <c r="L207" i="6"/>
  <c r="H207" i="6"/>
  <c r="I207" i="6" s="1"/>
  <c r="F207" i="6"/>
  <c r="C207" i="6"/>
  <c r="AD206" i="6"/>
  <c r="AC206" i="6"/>
  <c r="AA206" i="6"/>
  <c r="W206" i="6"/>
  <c r="X206" i="6" s="1"/>
  <c r="U206" i="6"/>
  <c r="R206" i="6"/>
  <c r="N206" i="6"/>
  <c r="O206" i="6" s="1"/>
  <c r="L206" i="6"/>
  <c r="H206" i="6"/>
  <c r="I206" i="6" s="1"/>
  <c r="F206" i="6"/>
  <c r="C206" i="6"/>
  <c r="AD205" i="6"/>
  <c r="AC205" i="6"/>
  <c r="AA205" i="6"/>
  <c r="W205" i="6"/>
  <c r="X205" i="6" s="1"/>
  <c r="U205" i="6"/>
  <c r="R205" i="6"/>
  <c r="O205" i="6"/>
  <c r="N205" i="6"/>
  <c r="L205" i="6"/>
  <c r="I205" i="6"/>
  <c r="H205" i="6"/>
  <c r="F205" i="6"/>
  <c r="C205" i="6"/>
  <c r="AD204" i="6"/>
  <c r="AC204" i="6"/>
  <c r="AA204" i="6"/>
  <c r="W204" i="6"/>
  <c r="X204" i="6" s="1"/>
  <c r="U204" i="6"/>
  <c r="R204" i="6"/>
  <c r="O204" i="6"/>
  <c r="N204" i="6"/>
  <c r="L204" i="6"/>
  <c r="I204" i="6"/>
  <c r="H204" i="6"/>
  <c r="F204" i="6"/>
  <c r="C204" i="6"/>
  <c r="AC203" i="6"/>
  <c r="AD203" i="6" s="1"/>
  <c r="AA203" i="6"/>
  <c r="X203" i="6"/>
  <c r="W203" i="6"/>
  <c r="U203" i="6"/>
  <c r="R203" i="6"/>
  <c r="N203" i="6"/>
  <c r="O203" i="6" s="1"/>
  <c r="L203" i="6"/>
  <c r="I203" i="6"/>
  <c r="H203" i="6"/>
  <c r="F203" i="6"/>
  <c r="C203" i="6"/>
  <c r="AD202" i="6"/>
  <c r="AC202" i="6"/>
  <c r="AA202" i="6"/>
  <c r="W202" i="6"/>
  <c r="X202" i="6" s="1"/>
  <c r="U202" i="6"/>
  <c r="R202" i="6"/>
  <c r="N202" i="6"/>
  <c r="O202" i="6" s="1"/>
  <c r="L202" i="6"/>
  <c r="I202" i="6"/>
  <c r="H202" i="6"/>
  <c r="F202" i="6"/>
  <c r="C202" i="6"/>
  <c r="AD201" i="6"/>
  <c r="AC201" i="6"/>
  <c r="AA201" i="6"/>
  <c r="W201" i="6"/>
  <c r="X201" i="6" s="1"/>
  <c r="U201" i="6"/>
  <c r="R201" i="6"/>
  <c r="O201" i="6"/>
  <c r="N201" i="6"/>
  <c r="L201" i="6"/>
  <c r="I201" i="6"/>
  <c r="H201" i="6"/>
  <c r="F201" i="6"/>
  <c r="C201" i="6"/>
  <c r="Z197" i="6"/>
  <c r="AA197" i="6" s="1"/>
  <c r="X197" i="6"/>
  <c r="W197" i="6"/>
  <c r="U197" i="6"/>
  <c r="T197" i="6"/>
  <c r="R197" i="6"/>
  <c r="Q197" i="6"/>
  <c r="L197" i="6"/>
  <c r="K197" i="6"/>
  <c r="F197" i="6"/>
  <c r="E197" i="6"/>
  <c r="B197" i="6"/>
  <c r="H197" i="6" s="1"/>
  <c r="I197" i="6" s="1"/>
  <c r="AC196" i="6"/>
  <c r="AD196" i="6" s="1"/>
  <c r="AA196" i="6"/>
  <c r="Z196" i="6"/>
  <c r="U196" i="6"/>
  <c r="T196" i="6"/>
  <c r="R196" i="6"/>
  <c r="Q196" i="6"/>
  <c r="W196" i="6" s="1"/>
  <c r="X196" i="6" s="1"/>
  <c r="L196" i="6"/>
  <c r="K196" i="6"/>
  <c r="F196" i="6"/>
  <c r="E196" i="6"/>
  <c r="H196" i="6" s="1"/>
  <c r="I196" i="6" s="1"/>
  <c r="C196" i="6"/>
  <c r="B196" i="6"/>
  <c r="N196" i="6" s="1"/>
  <c r="O196" i="6" s="1"/>
  <c r="AD195" i="6"/>
  <c r="AC195" i="6"/>
  <c r="AA195" i="6"/>
  <c r="W195" i="6"/>
  <c r="X195" i="6" s="1"/>
  <c r="U195" i="6"/>
  <c r="R195" i="6"/>
  <c r="N195" i="6"/>
  <c r="O195" i="6" s="1"/>
  <c r="L195" i="6"/>
  <c r="I195" i="6"/>
  <c r="H195" i="6"/>
  <c r="F195" i="6"/>
  <c r="C195" i="6"/>
  <c r="AD194" i="6"/>
  <c r="AC194" i="6"/>
  <c r="AA194" i="6"/>
  <c r="W194" i="6"/>
  <c r="X194" i="6" s="1"/>
  <c r="U194" i="6"/>
  <c r="R194" i="6"/>
  <c r="O194" i="6"/>
  <c r="N194" i="6"/>
  <c r="L194" i="6"/>
  <c r="I194" i="6"/>
  <c r="H194" i="6"/>
  <c r="F194" i="6"/>
  <c r="C194" i="6"/>
  <c r="AC193" i="6"/>
  <c r="AD193" i="6" s="1"/>
  <c r="AA193" i="6"/>
  <c r="Z193" i="6"/>
  <c r="T193" i="6"/>
  <c r="U193" i="6" s="1"/>
  <c r="R193" i="6"/>
  <c r="Q193" i="6"/>
  <c r="L193" i="6"/>
  <c r="K193" i="6"/>
  <c r="E193" i="6"/>
  <c r="H193" i="6" s="1"/>
  <c r="I193" i="6" s="1"/>
  <c r="C193" i="6"/>
  <c r="B193" i="6"/>
  <c r="N193" i="6" s="1"/>
  <c r="O193" i="6" s="1"/>
  <c r="AD192" i="6"/>
  <c r="AC192" i="6"/>
  <c r="AA192" i="6"/>
  <c r="W192" i="6"/>
  <c r="X192" i="6" s="1"/>
  <c r="U192" i="6"/>
  <c r="R192" i="6"/>
  <c r="N192" i="6"/>
  <c r="O192" i="6" s="1"/>
  <c r="L192" i="6"/>
  <c r="I192" i="6"/>
  <c r="H192" i="6"/>
  <c r="F192" i="6"/>
  <c r="C192" i="6"/>
  <c r="AD191" i="6"/>
  <c r="AC191" i="6"/>
  <c r="AA191" i="6"/>
  <c r="W191" i="6"/>
  <c r="X191" i="6" s="1"/>
  <c r="U191" i="6"/>
  <c r="R191" i="6"/>
  <c r="O191" i="6"/>
  <c r="N191" i="6"/>
  <c r="L191" i="6"/>
  <c r="I191" i="6"/>
  <c r="H191" i="6"/>
  <c r="F191" i="6"/>
  <c r="C191" i="6"/>
  <c r="AC190" i="6"/>
  <c r="AD190" i="6" s="1"/>
  <c r="AA190" i="6"/>
  <c r="W190" i="6"/>
  <c r="X190" i="6" s="1"/>
  <c r="U190" i="6"/>
  <c r="R190" i="6"/>
  <c r="N190" i="6"/>
  <c r="O190" i="6" s="1"/>
  <c r="L190" i="6"/>
  <c r="I190" i="6"/>
  <c r="H190" i="6"/>
  <c r="F190" i="6"/>
  <c r="C190" i="6"/>
  <c r="AC189" i="6"/>
  <c r="AD189" i="6" s="1"/>
  <c r="AA189" i="6"/>
  <c r="X189" i="6"/>
  <c r="W189" i="6"/>
  <c r="U189" i="6"/>
  <c r="R189" i="6"/>
  <c r="N189" i="6"/>
  <c r="O189" i="6" s="1"/>
  <c r="L189" i="6"/>
  <c r="H189" i="6"/>
  <c r="I189" i="6" s="1"/>
  <c r="F189" i="6"/>
  <c r="C189" i="6"/>
  <c r="AD188" i="6"/>
  <c r="AC188" i="6"/>
  <c r="AA188" i="6"/>
  <c r="W188" i="6"/>
  <c r="X188" i="6" s="1"/>
  <c r="U188" i="6"/>
  <c r="R188" i="6"/>
  <c r="N188" i="6"/>
  <c r="O188" i="6" s="1"/>
  <c r="L188" i="6"/>
  <c r="I188" i="6"/>
  <c r="H188" i="6"/>
  <c r="F188" i="6"/>
  <c r="C188" i="6"/>
  <c r="AD187" i="6"/>
  <c r="AC187" i="6"/>
  <c r="AA187" i="6"/>
  <c r="W187" i="6"/>
  <c r="X187" i="6" s="1"/>
  <c r="U187" i="6"/>
  <c r="R187" i="6"/>
  <c r="O187" i="6"/>
  <c r="N187" i="6"/>
  <c r="L187" i="6"/>
  <c r="I187" i="6"/>
  <c r="H187" i="6"/>
  <c r="F187" i="6"/>
  <c r="C187" i="6"/>
  <c r="AD186" i="6"/>
  <c r="AC186" i="6"/>
  <c r="AA186" i="6"/>
  <c r="W186" i="6"/>
  <c r="X186" i="6" s="1"/>
  <c r="U186" i="6"/>
  <c r="R186" i="6"/>
  <c r="N186" i="6"/>
  <c r="O186" i="6" s="1"/>
  <c r="L186" i="6"/>
  <c r="I186" i="6"/>
  <c r="H186" i="6"/>
  <c r="F186" i="6"/>
  <c r="C186" i="6"/>
  <c r="AC184" i="6"/>
  <c r="AD184" i="6" s="1"/>
  <c r="AA184" i="6"/>
  <c r="X184" i="6"/>
  <c r="W184" i="6"/>
  <c r="U184" i="6"/>
  <c r="R184" i="6"/>
  <c r="N184" i="6"/>
  <c r="O184" i="6" s="1"/>
  <c r="L184" i="6"/>
  <c r="H184" i="6"/>
  <c r="I184" i="6" s="1"/>
  <c r="F184" i="6"/>
  <c r="C184" i="6"/>
  <c r="AD183" i="6"/>
  <c r="AC183" i="6"/>
  <c r="AA183" i="6"/>
  <c r="W183" i="6"/>
  <c r="X183" i="6" s="1"/>
  <c r="U183" i="6"/>
  <c r="R183" i="6"/>
  <c r="N183" i="6"/>
  <c r="O183" i="6" s="1"/>
  <c r="L183" i="6"/>
  <c r="I183" i="6"/>
  <c r="H183" i="6"/>
  <c r="F183" i="6"/>
  <c r="C183" i="6"/>
  <c r="AA182" i="6"/>
  <c r="Z182" i="6"/>
  <c r="U182" i="6"/>
  <c r="T182" i="6"/>
  <c r="W182" i="6" s="1"/>
  <c r="X182" i="6" s="1"/>
  <c r="R182" i="6"/>
  <c r="Q182" i="6"/>
  <c r="AC182" i="6" s="1"/>
  <c r="AD182" i="6" s="1"/>
  <c r="L182" i="6"/>
  <c r="K182" i="6"/>
  <c r="H182" i="6"/>
  <c r="I182" i="6" s="1"/>
  <c r="F182" i="6"/>
  <c r="E182" i="6"/>
  <c r="C182" i="6"/>
  <c r="B182" i="6"/>
  <c r="N182" i="6" s="1"/>
  <c r="O182" i="6" s="1"/>
  <c r="AD181" i="6"/>
  <c r="AC181" i="6"/>
  <c r="AA181" i="6"/>
  <c r="X181" i="6"/>
  <c r="W181" i="6"/>
  <c r="U181" i="6"/>
  <c r="R181" i="6"/>
  <c r="N181" i="6"/>
  <c r="O181" i="6" s="1"/>
  <c r="L181" i="6"/>
  <c r="H181" i="6"/>
  <c r="I181" i="6" s="1"/>
  <c r="F181" i="6"/>
  <c r="C181" i="6"/>
  <c r="AD180" i="6"/>
  <c r="AC180" i="6"/>
  <c r="AA180" i="6"/>
  <c r="X180" i="6"/>
  <c r="W180" i="6"/>
  <c r="U180" i="6"/>
  <c r="R180" i="6"/>
  <c r="N180" i="6"/>
  <c r="O180" i="6" s="1"/>
  <c r="L180" i="6"/>
  <c r="H180" i="6"/>
  <c r="I180" i="6" s="1"/>
  <c r="F180" i="6"/>
  <c r="C180" i="6"/>
  <c r="AD179" i="6"/>
  <c r="AC179" i="6"/>
  <c r="AA179" i="6"/>
  <c r="W179" i="6"/>
  <c r="X179" i="6" s="1"/>
  <c r="U179" i="6"/>
  <c r="R179" i="6"/>
  <c r="O179" i="6"/>
  <c r="N179" i="6"/>
  <c r="L179" i="6"/>
  <c r="I179" i="6"/>
  <c r="H179" i="6"/>
  <c r="F179" i="6"/>
  <c r="C179" i="6"/>
  <c r="AD178" i="6"/>
  <c r="AC178" i="6"/>
  <c r="AA178" i="6"/>
  <c r="W178" i="6"/>
  <c r="X178" i="6" s="1"/>
  <c r="U178" i="6"/>
  <c r="R178" i="6"/>
  <c r="N178" i="6"/>
  <c r="O178" i="6" s="1"/>
  <c r="L178" i="6"/>
  <c r="I178" i="6"/>
  <c r="H178" i="6"/>
  <c r="F178" i="6"/>
  <c r="C178" i="6"/>
  <c r="AC177" i="6"/>
  <c r="AD177" i="6" s="1"/>
  <c r="AA177" i="6"/>
  <c r="X177" i="6"/>
  <c r="W177" i="6"/>
  <c r="U177" i="6"/>
  <c r="R177" i="6"/>
  <c r="N177" i="6"/>
  <c r="O177" i="6" s="1"/>
  <c r="L177" i="6"/>
  <c r="H177" i="6"/>
  <c r="I177" i="6" s="1"/>
  <c r="F177" i="6"/>
  <c r="C177" i="6"/>
  <c r="AD175" i="6"/>
  <c r="AC175" i="6"/>
  <c r="AA175" i="6"/>
  <c r="W175" i="6"/>
  <c r="X175" i="6" s="1"/>
  <c r="U175" i="6"/>
  <c r="R175" i="6"/>
  <c r="N175" i="6"/>
  <c r="O175" i="6" s="1"/>
  <c r="L175" i="6"/>
  <c r="H175" i="6"/>
  <c r="I175" i="6" s="1"/>
  <c r="F175" i="6"/>
  <c r="C175" i="6"/>
  <c r="AA172" i="6"/>
  <c r="C172" i="6"/>
  <c r="AA171" i="6"/>
  <c r="Z171" i="6"/>
  <c r="U171" i="6"/>
  <c r="T171" i="6"/>
  <c r="Q171" i="6"/>
  <c r="N171" i="6"/>
  <c r="O171" i="6" s="1"/>
  <c r="L171" i="6"/>
  <c r="K171" i="6"/>
  <c r="F171" i="6"/>
  <c r="E171" i="6"/>
  <c r="C171" i="6"/>
  <c r="B171" i="6"/>
  <c r="AA170" i="6"/>
  <c r="Z170" i="6"/>
  <c r="T170" i="6"/>
  <c r="W170" i="6" s="1"/>
  <c r="X170" i="6" s="1"/>
  <c r="R170" i="6"/>
  <c r="Q170" i="6"/>
  <c r="AC170" i="6" s="1"/>
  <c r="AD170" i="6" s="1"/>
  <c r="L170" i="6"/>
  <c r="K170" i="6"/>
  <c r="H170" i="6"/>
  <c r="I170" i="6" s="1"/>
  <c r="F170" i="6"/>
  <c r="E170" i="6"/>
  <c r="C170" i="6"/>
  <c r="B170" i="6"/>
  <c r="AD169" i="6"/>
  <c r="AC169" i="6"/>
  <c r="AA169" i="6"/>
  <c r="X169" i="6"/>
  <c r="W169" i="6"/>
  <c r="U169" i="6"/>
  <c r="R169" i="6"/>
  <c r="N169" i="6"/>
  <c r="O169" i="6" s="1"/>
  <c r="L169" i="6"/>
  <c r="H169" i="6"/>
  <c r="I169" i="6" s="1"/>
  <c r="F169" i="6"/>
  <c r="C169" i="6"/>
  <c r="AD168" i="6"/>
  <c r="AC168" i="6"/>
  <c r="AA168" i="6"/>
  <c r="X168" i="6"/>
  <c r="W168" i="6"/>
  <c r="U168" i="6"/>
  <c r="R168" i="6"/>
  <c r="N168" i="6"/>
  <c r="O168" i="6" s="1"/>
  <c r="L168" i="6"/>
  <c r="H168" i="6"/>
  <c r="I168" i="6" s="1"/>
  <c r="F168" i="6"/>
  <c r="C168" i="6"/>
  <c r="AD167" i="6"/>
  <c r="AC167" i="6"/>
  <c r="AA167" i="6"/>
  <c r="W167" i="6"/>
  <c r="X167" i="6" s="1"/>
  <c r="U167" i="6"/>
  <c r="R167" i="6"/>
  <c r="O167" i="6"/>
  <c r="N167" i="6"/>
  <c r="L167" i="6"/>
  <c r="I167" i="6"/>
  <c r="H167" i="6"/>
  <c r="F167" i="6"/>
  <c r="C167" i="6"/>
  <c r="AC166" i="6"/>
  <c r="AD166" i="6" s="1"/>
  <c r="AA166" i="6"/>
  <c r="Z166" i="6"/>
  <c r="T166" i="6"/>
  <c r="U166" i="6" s="1"/>
  <c r="Q166" i="6"/>
  <c r="R166" i="6" s="1"/>
  <c r="L166" i="6"/>
  <c r="K166" i="6"/>
  <c r="E166" i="6"/>
  <c r="F166" i="6" s="1"/>
  <c r="C166" i="6"/>
  <c r="B166" i="6"/>
  <c r="N166" i="6" s="1"/>
  <c r="O166" i="6" s="1"/>
  <c r="AD165" i="6"/>
  <c r="AC165" i="6"/>
  <c r="AA165" i="6"/>
  <c r="X165" i="6"/>
  <c r="W165" i="6"/>
  <c r="U165" i="6"/>
  <c r="R165" i="6"/>
  <c r="N165" i="6"/>
  <c r="O165" i="6" s="1"/>
  <c r="L165" i="6"/>
  <c r="H165" i="6"/>
  <c r="I165" i="6" s="1"/>
  <c r="F165" i="6"/>
  <c r="C165" i="6"/>
  <c r="AD164" i="6"/>
  <c r="AC164" i="6"/>
  <c r="AA164" i="6"/>
  <c r="W164" i="6"/>
  <c r="X164" i="6" s="1"/>
  <c r="U164" i="6"/>
  <c r="R164" i="6"/>
  <c r="O164" i="6"/>
  <c r="N164" i="6"/>
  <c r="L164" i="6"/>
  <c r="I164" i="6"/>
  <c r="H164" i="6"/>
  <c r="F164" i="6"/>
  <c r="C164" i="6"/>
  <c r="AD163" i="6"/>
  <c r="AC163" i="6"/>
  <c r="AA163" i="6"/>
  <c r="W163" i="6"/>
  <c r="X163" i="6" s="1"/>
  <c r="U163" i="6"/>
  <c r="R163" i="6"/>
  <c r="O163" i="6"/>
  <c r="N163" i="6"/>
  <c r="L163" i="6"/>
  <c r="I163" i="6"/>
  <c r="H163" i="6"/>
  <c r="F163" i="6"/>
  <c r="C163" i="6"/>
  <c r="AC162" i="6"/>
  <c r="AD162" i="6" s="1"/>
  <c r="AA162" i="6"/>
  <c r="X162" i="6"/>
  <c r="W162" i="6"/>
  <c r="U162" i="6"/>
  <c r="R162" i="6"/>
  <c r="N162" i="6"/>
  <c r="O162" i="6" s="1"/>
  <c r="L162" i="6"/>
  <c r="I162" i="6"/>
  <c r="H162" i="6"/>
  <c r="F162" i="6"/>
  <c r="C162" i="6"/>
  <c r="AD161" i="6"/>
  <c r="AC161" i="6"/>
  <c r="AA161" i="6"/>
  <c r="W161" i="6"/>
  <c r="X161" i="6" s="1"/>
  <c r="U161" i="6"/>
  <c r="R161" i="6"/>
  <c r="N161" i="6"/>
  <c r="O161" i="6" s="1"/>
  <c r="L161" i="6"/>
  <c r="I161" i="6"/>
  <c r="H161" i="6"/>
  <c r="F161" i="6"/>
  <c r="C161" i="6"/>
  <c r="AD160" i="6"/>
  <c r="AC160" i="6"/>
  <c r="AA160" i="6"/>
  <c r="W160" i="6"/>
  <c r="X160" i="6" s="1"/>
  <c r="U160" i="6"/>
  <c r="R160" i="6"/>
  <c r="O160" i="6"/>
  <c r="N160" i="6"/>
  <c r="L160" i="6"/>
  <c r="I160" i="6"/>
  <c r="H160" i="6"/>
  <c r="F160" i="6"/>
  <c r="C160" i="6"/>
  <c r="AC158" i="6"/>
  <c r="AD158" i="6" s="1"/>
  <c r="AA158" i="6"/>
  <c r="Z158" i="6"/>
  <c r="U158" i="6"/>
  <c r="T158" i="6"/>
  <c r="R158" i="6"/>
  <c r="Q158" i="6"/>
  <c r="L158" i="6"/>
  <c r="K158" i="6"/>
  <c r="E158" i="6"/>
  <c r="H158" i="6" s="1"/>
  <c r="I158" i="6" s="1"/>
  <c r="C158" i="6"/>
  <c r="B158" i="6"/>
  <c r="N158" i="6" s="1"/>
  <c r="O158" i="6" s="1"/>
  <c r="AD157" i="6"/>
  <c r="AC157" i="6"/>
  <c r="AA157" i="6"/>
  <c r="W157" i="6"/>
  <c r="X157" i="6" s="1"/>
  <c r="U157" i="6"/>
  <c r="R157" i="6"/>
  <c r="N157" i="6"/>
  <c r="O157" i="6" s="1"/>
  <c r="L157" i="6"/>
  <c r="I157" i="6"/>
  <c r="H157" i="6"/>
  <c r="F157" i="6"/>
  <c r="C157" i="6"/>
  <c r="AD156" i="6"/>
  <c r="AC156" i="6"/>
  <c r="AA156" i="6"/>
  <c r="W156" i="6"/>
  <c r="X156" i="6" s="1"/>
  <c r="U156" i="6"/>
  <c r="R156" i="6"/>
  <c r="N156" i="6"/>
  <c r="O156" i="6" s="1"/>
  <c r="L156" i="6"/>
  <c r="I156" i="6"/>
  <c r="H156" i="6"/>
  <c r="F156" i="6"/>
  <c r="C156" i="6"/>
  <c r="AC155" i="6"/>
  <c r="AD155" i="6" s="1"/>
  <c r="AA155" i="6"/>
  <c r="W155" i="6"/>
  <c r="X155" i="6" s="1"/>
  <c r="U155" i="6"/>
  <c r="R155" i="6"/>
  <c r="N155" i="6"/>
  <c r="O155" i="6" s="1"/>
  <c r="L155" i="6"/>
  <c r="I155" i="6"/>
  <c r="H155" i="6"/>
  <c r="F155" i="6"/>
  <c r="C155" i="6"/>
  <c r="AC154" i="6"/>
  <c r="AD154" i="6" s="1"/>
  <c r="AA154" i="6"/>
  <c r="W154" i="6"/>
  <c r="X154" i="6" s="1"/>
  <c r="U154" i="6"/>
  <c r="R154" i="6"/>
  <c r="N154" i="6"/>
  <c r="O154" i="6" s="1"/>
  <c r="L154" i="6"/>
  <c r="H154" i="6"/>
  <c r="I154" i="6" s="1"/>
  <c r="F154" i="6"/>
  <c r="C154" i="6"/>
  <c r="AD153" i="6"/>
  <c r="AC153" i="6"/>
  <c r="AA153" i="6"/>
  <c r="W153" i="6"/>
  <c r="X153" i="6" s="1"/>
  <c r="U153" i="6"/>
  <c r="R153" i="6"/>
  <c r="N153" i="6"/>
  <c r="O153" i="6" s="1"/>
  <c r="L153" i="6"/>
  <c r="I153" i="6"/>
  <c r="H153" i="6"/>
  <c r="F153" i="6"/>
  <c r="C153" i="6"/>
  <c r="AD151" i="6"/>
  <c r="AC151" i="6"/>
  <c r="AA151" i="6"/>
  <c r="W151" i="6"/>
  <c r="X151" i="6" s="1"/>
  <c r="U151" i="6"/>
  <c r="R151" i="6"/>
  <c r="N151" i="6"/>
  <c r="O151" i="6" s="1"/>
  <c r="L151" i="6"/>
  <c r="I151" i="6"/>
  <c r="H151" i="6"/>
  <c r="F151" i="6"/>
  <c r="C151" i="6"/>
  <c r="AA149" i="6"/>
  <c r="Z149" i="6"/>
  <c r="T149" i="6"/>
  <c r="U149" i="6" s="1"/>
  <c r="Q149" i="6"/>
  <c r="L149" i="6"/>
  <c r="K149" i="6"/>
  <c r="H149" i="6"/>
  <c r="I149" i="6" s="1"/>
  <c r="E149" i="6"/>
  <c r="F149" i="6" s="1"/>
  <c r="C149" i="6"/>
  <c r="B149" i="6"/>
  <c r="N149" i="6" s="1"/>
  <c r="O149" i="6" s="1"/>
  <c r="AA148" i="6"/>
  <c r="Z148" i="6"/>
  <c r="X148" i="6"/>
  <c r="W148" i="6"/>
  <c r="U148" i="6"/>
  <c r="T148" i="6"/>
  <c r="R148" i="6"/>
  <c r="Q148" i="6"/>
  <c r="AC148" i="6" s="1"/>
  <c r="AD148" i="6" s="1"/>
  <c r="L148" i="6"/>
  <c r="K148" i="6"/>
  <c r="I148" i="6"/>
  <c r="F148" i="6"/>
  <c r="E148" i="6"/>
  <c r="B148" i="6"/>
  <c r="H148" i="6" s="1"/>
  <c r="AC147" i="6"/>
  <c r="AD147" i="6" s="1"/>
  <c r="AA147" i="6"/>
  <c r="W147" i="6"/>
  <c r="X147" i="6" s="1"/>
  <c r="U147" i="6"/>
  <c r="R147" i="6"/>
  <c r="N147" i="6"/>
  <c r="O147" i="6" s="1"/>
  <c r="L147" i="6"/>
  <c r="I147" i="6"/>
  <c r="H147" i="6"/>
  <c r="F147" i="6"/>
  <c r="C147" i="6"/>
  <c r="AC146" i="6"/>
  <c r="AD146" i="6" s="1"/>
  <c r="AA146" i="6"/>
  <c r="W146" i="6"/>
  <c r="X146" i="6" s="1"/>
  <c r="U146" i="6"/>
  <c r="R146" i="6"/>
  <c r="N146" i="6"/>
  <c r="O146" i="6" s="1"/>
  <c r="L146" i="6"/>
  <c r="H146" i="6"/>
  <c r="I146" i="6" s="1"/>
  <c r="F146" i="6"/>
  <c r="C146" i="6"/>
  <c r="AD145" i="6"/>
  <c r="AC145" i="6"/>
  <c r="AA145" i="6"/>
  <c r="W145" i="6"/>
  <c r="X145" i="6" s="1"/>
  <c r="U145" i="6"/>
  <c r="R145" i="6"/>
  <c r="N145" i="6"/>
  <c r="O145" i="6" s="1"/>
  <c r="L145" i="6"/>
  <c r="I145" i="6"/>
  <c r="H145" i="6"/>
  <c r="F145" i="6"/>
  <c r="C145" i="6"/>
  <c r="AD144" i="6"/>
  <c r="AC144" i="6"/>
  <c r="AA144" i="6"/>
  <c r="W144" i="6"/>
  <c r="X144" i="6" s="1"/>
  <c r="U144" i="6"/>
  <c r="R144" i="6"/>
  <c r="N144" i="6"/>
  <c r="O144" i="6" s="1"/>
  <c r="L144" i="6"/>
  <c r="I144" i="6"/>
  <c r="H144" i="6"/>
  <c r="F144" i="6"/>
  <c r="C144" i="6"/>
  <c r="AD143" i="6"/>
  <c r="AC143" i="6"/>
  <c r="AA143" i="6"/>
  <c r="W143" i="6"/>
  <c r="X143" i="6" s="1"/>
  <c r="U143" i="6"/>
  <c r="R143" i="6"/>
  <c r="N143" i="6"/>
  <c r="O143" i="6" s="1"/>
  <c r="L143" i="6"/>
  <c r="I143" i="6"/>
  <c r="H143" i="6"/>
  <c r="F143" i="6"/>
  <c r="C143" i="6"/>
  <c r="AA141" i="6"/>
  <c r="Z141" i="6"/>
  <c r="AC141" i="6" s="1"/>
  <c r="AD141" i="6" s="1"/>
  <c r="U141" i="6"/>
  <c r="T141" i="6"/>
  <c r="Q141" i="6"/>
  <c r="N141" i="6"/>
  <c r="O141" i="6" s="1"/>
  <c r="L141" i="6"/>
  <c r="K141" i="6"/>
  <c r="F141" i="6"/>
  <c r="E141" i="6"/>
  <c r="B141" i="6"/>
  <c r="H141" i="6" s="1"/>
  <c r="I141" i="6" s="1"/>
  <c r="AD140" i="6"/>
  <c r="AC140" i="6"/>
  <c r="AA140" i="6"/>
  <c r="W140" i="6"/>
  <c r="X140" i="6" s="1"/>
  <c r="U140" i="6"/>
  <c r="R140" i="6"/>
  <c r="N140" i="6"/>
  <c r="O140" i="6" s="1"/>
  <c r="L140" i="6"/>
  <c r="I140" i="6"/>
  <c r="H140" i="6"/>
  <c r="F140" i="6"/>
  <c r="C140" i="6"/>
  <c r="AC139" i="6"/>
  <c r="AD139" i="6" s="1"/>
  <c r="AA139" i="6"/>
  <c r="W139" i="6"/>
  <c r="X139" i="6" s="1"/>
  <c r="U139" i="6"/>
  <c r="R139" i="6"/>
  <c r="N139" i="6"/>
  <c r="O139" i="6" s="1"/>
  <c r="L139" i="6"/>
  <c r="I139" i="6"/>
  <c r="H139" i="6"/>
  <c r="F139" i="6"/>
  <c r="C139" i="6"/>
  <c r="AC138" i="6"/>
  <c r="AD138" i="6" s="1"/>
  <c r="AA138" i="6"/>
  <c r="W138" i="6"/>
  <c r="X138" i="6" s="1"/>
  <c r="U138" i="6"/>
  <c r="R138" i="6"/>
  <c r="N138" i="6"/>
  <c r="O138" i="6" s="1"/>
  <c r="L138" i="6"/>
  <c r="H138" i="6"/>
  <c r="I138" i="6" s="1"/>
  <c r="F138" i="6"/>
  <c r="C138" i="6"/>
  <c r="AD137" i="6"/>
  <c r="AC137" i="6"/>
  <c r="AA137" i="6"/>
  <c r="W137" i="6"/>
  <c r="X137" i="6" s="1"/>
  <c r="U137" i="6"/>
  <c r="R137" i="6"/>
  <c r="N137" i="6"/>
  <c r="O137" i="6" s="1"/>
  <c r="L137" i="6"/>
  <c r="H137" i="6"/>
  <c r="I137" i="6" s="1"/>
  <c r="F137" i="6"/>
  <c r="C137" i="6"/>
  <c r="AD136" i="6"/>
  <c r="AC136" i="6"/>
  <c r="AA136" i="6"/>
  <c r="W136" i="6"/>
  <c r="X136" i="6" s="1"/>
  <c r="U136" i="6"/>
  <c r="R136" i="6"/>
  <c r="N136" i="6"/>
  <c r="O136" i="6" s="1"/>
  <c r="L136" i="6"/>
  <c r="I136" i="6"/>
  <c r="H136" i="6"/>
  <c r="F136" i="6"/>
  <c r="C136" i="6"/>
  <c r="AD135" i="6"/>
  <c r="AC135" i="6"/>
  <c r="AA135" i="6"/>
  <c r="W135" i="6"/>
  <c r="X135" i="6" s="1"/>
  <c r="U135" i="6"/>
  <c r="R135" i="6"/>
  <c r="N135" i="6"/>
  <c r="O135" i="6" s="1"/>
  <c r="L135" i="6"/>
  <c r="I135" i="6"/>
  <c r="H135" i="6"/>
  <c r="F135" i="6"/>
  <c r="C135" i="6"/>
  <c r="AD134" i="6"/>
  <c r="AC134" i="6"/>
  <c r="AA134" i="6"/>
  <c r="X134" i="6"/>
  <c r="W134" i="6"/>
  <c r="U134" i="6"/>
  <c r="R134" i="6"/>
  <c r="N134" i="6"/>
  <c r="O134" i="6" s="1"/>
  <c r="L134" i="6"/>
  <c r="H134" i="6"/>
  <c r="I134" i="6" s="1"/>
  <c r="F134" i="6"/>
  <c r="C134" i="6"/>
  <c r="AD133" i="6"/>
  <c r="AC133" i="6"/>
  <c r="AA133" i="6"/>
  <c r="X133" i="6"/>
  <c r="W133" i="6"/>
  <c r="U133" i="6"/>
  <c r="R133" i="6"/>
  <c r="N133" i="6"/>
  <c r="O133" i="6" s="1"/>
  <c r="L133" i="6"/>
  <c r="I133" i="6"/>
  <c r="H133" i="6"/>
  <c r="F133" i="6"/>
  <c r="C133" i="6"/>
  <c r="AD132" i="6"/>
  <c r="AC132" i="6"/>
  <c r="AA132" i="6"/>
  <c r="W132" i="6"/>
  <c r="X132" i="6" s="1"/>
  <c r="U132" i="6"/>
  <c r="R132" i="6"/>
  <c r="O132" i="6"/>
  <c r="N132" i="6"/>
  <c r="L132" i="6"/>
  <c r="I132" i="6"/>
  <c r="H132" i="6"/>
  <c r="F132" i="6"/>
  <c r="C132" i="6"/>
  <c r="AC131" i="6"/>
  <c r="AD131" i="6" s="1"/>
  <c r="AA131" i="6"/>
  <c r="W131" i="6"/>
  <c r="X131" i="6" s="1"/>
  <c r="U131" i="6"/>
  <c r="R131" i="6"/>
  <c r="N131" i="6"/>
  <c r="O131" i="6" s="1"/>
  <c r="L131" i="6"/>
  <c r="I131" i="6"/>
  <c r="H131" i="6"/>
  <c r="F131" i="6"/>
  <c r="C131" i="6"/>
  <c r="AC130" i="6"/>
  <c r="AD130" i="6" s="1"/>
  <c r="AA130" i="6"/>
  <c r="W130" i="6"/>
  <c r="X130" i="6" s="1"/>
  <c r="U130" i="6"/>
  <c r="R130" i="6"/>
  <c r="N130" i="6"/>
  <c r="O130" i="6" s="1"/>
  <c r="L130" i="6"/>
  <c r="H130" i="6"/>
  <c r="I130" i="6" s="1"/>
  <c r="F130" i="6"/>
  <c r="C130" i="6"/>
  <c r="AD129" i="6"/>
  <c r="AC129" i="6"/>
  <c r="AA129" i="6"/>
  <c r="W129" i="6"/>
  <c r="X129" i="6" s="1"/>
  <c r="U129" i="6"/>
  <c r="R129" i="6"/>
  <c r="O129" i="6"/>
  <c r="N129" i="6"/>
  <c r="L129" i="6"/>
  <c r="I129" i="6"/>
  <c r="H129" i="6"/>
  <c r="F129" i="6"/>
  <c r="C129" i="6"/>
  <c r="AC127" i="6"/>
  <c r="AD127" i="6" s="1"/>
  <c r="AA127" i="6"/>
  <c r="W127" i="6"/>
  <c r="X127" i="6" s="1"/>
  <c r="U127" i="6"/>
  <c r="R127" i="6"/>
  <c r="N127" i="6"/>
  <c r="O127" i="6" s="1"/>
  <c r="L127" i="6"/>
  <c r="I127" i="6"/>
  <c r="H127" i="6"/>
  <c r="F127" i="6"/>
  <c r="C127" i="6"/>
  <c r="AC124" i="6"/>
  <c r="AD124" i="6" s="1"/>
  <c r="AA124" i="6"/>
  <c r="Z124" i="6"/>
  <c r="Z172" i="6" s="1"/>
  <c r="T124" i="6"/>
  <c r="T172" i="6" s="1"/>
  <c r="R124" i="6"/>
  <c r="Q124" i="6"/>
  <c r="K124" i="6"/>
  <c r="I124" i="6"/>
  <c r="H124" i="6"/>
  <c r="F124" i="6"/>
  <c r="E124" i="6"/>
  <c r="B124" i="6"/>
  <c r="B172" i="6" s="1"/>
  <c r="AC123" i="6"/>
  <c r="AD123" i="6" s="1"/>
  <c r="AA123" i="6"/>
  <c r="X123" i="6"/>
  <c r="W123" i="6"/>
  <c r="U123" i="6"/>
  <c r="R123" i="6"/>
  <c r="O123" i="6"/>
  <c r="N123" i="6"/>
  <c r="L123" i="6"/>
  <c r="H123" i="6"/>
  <c r="I123" i="6" s="1"/>
  <c r="F123" i="6"/>
  <c r="C123" i="6"/>
  <c r="Z122" i="6"/>
  <c r="AA122" i="6" s="1"/>
  <c r="W122" i="6"/>
  <c r="X122" i="6" s="1"/>
  <c r="U122" i="6"/>
  <c r="T122" i="6"/>
  <c r="Q122" i="6"/>
  <c r="R122" i="6" s="1"/>
  <c r="K122" i="6"/>
  <c r="L122" i="6" s="1"/>
  <c r="E122" i="6"/>
  <c r="F122" i="6" s="1"/>
  <c r="B122" i="6"/>
  <c r="N122" i="6" s="1"/>
  <c r="O122" i="6" s="1"/>
  <c r="AC121" i="6"/>
  <c r="AD121" i="6" s="1"/>
  <c r="AA121" i="6"/>
  <c r="W121" i="6"/>
  <c r="X121" i="6" s="1"/>
  <c r="U121" i="6"/>
  <c r="R121" i="6"/>
  <c r="N121" i="6"/>
  <c r="O121" i="6" s="1"/>
  <c r="L121" i="6"/>
  <c r="I121" i="6"/>
  <c r="H121" i="6"/>
  <c r="F121" i="6"/>
  <c r="C121" i="6"/>
  <c r="AC120" i="6"/>
  <c r="AD120" i="6" s="1"/>
  <c r="AA120" i="6"/>
  <c r="W120" i="6"/>
  <c r="X120" i="6" s="1"/>
  <c r="U120" i="6"/>
  <c r="R120" i="6"/>
  <c r="O120" i="6"/>
  <c r="N120" i="6"/>
  <c r="L120" i="6"/>
  <c r="H120" i="6"/>
  <c r="I120" i="6" s="1"/>
  <c r="F120" i="6"/>
  <c r="C120" i="6"/>
  <c r="AC119" i="6"/>
  <c r="AD119" i="6" s="1"/>
  <c r="AA119" i="6"/>
  <c r="W119" i="6"/>
  <c r="X119" i="6" s="1"/>
  <c r="U119" i="6"/>
  <c r="R119" i="6"/>
  <c r="N119" i="6"/>
  <c r="O119" i="6" s="1"/>
  <c r="L119" i="6"/>
  <c r="H119" i="6"/>
  <c r="I119" i="6" s="1"/>
  <c r="F119" i="6"/>
  <c r="C119" i="6"/>
  <c r="AD118" i="6"/>
  <c r="Z118" i="6"/>
  <c r="AA118" i="6" s="1"/>
  <c r="T118" i="6"/>
  <c r="W118" i="6" s="1"/>
  <c r="X118" i="6" s="1"/>
  <c r="R118" i="6"/>
  <c r="Q118" i="6"/>
  <c r="AC118" i="6" s="1"/>
  <c r="K118" i="6"/>
  <c r="L118" i="6" s="1"/>
  <c r="H118" i="6"/>
  <c r="I118" i="6" s="1"/>
  <c r="F118" i="6"/>
  <c r="E118" i="6"/>
  <c r="B118" i="6"/>
  <c r="C118" i="6" s="1"/>
  <c r="AC117" i="6"/>
  <c r="AD117" i="6" s="1"/>
  <c r="AA117" i="6"/>
  <c r="W117" i="6"/>
  <c r="X117" i="6" s="1"/>
  <c r="U117" i="6"/>
  <c r="R117" i="6"/>
  <c r="O117" i="6"/>
  <c r="N117" i="6"/>
  <c r="L117" i="6"/>
  <c r="H117" i="6"/>
  <c r="I117" i="6" s="1"/>
  <c r="F117" i="6"/>
  <c r="C117" i="6"/>
  <c r="AC116" i="6"/>
  <c r="AD116" i="6" s="1"/>
  <c r="AA116" i="6"/>
  <c r="X116" i="6"/>
  <c r="W116" i="6"/>
  <c r="U116" i="6"/>
  <c r="R116" i="6"/>
  <c r="N116" i="6"/>
  <c r="O116" i="6" s="1"/>
  <c r="L116" i="6"/>
  <c r="H116" i="6"/>
  <c r="I116" i="6" s="1"/>
  <c r="F116" i="6"/>
  <c r="C116" i="6"/>
  <c r="AD115" i="6"/>
  <c r="AC115" i="6"/>
  <c r="AA115" i="6"/>
  <c r="X115" i="6"/>
  <c r="W115" i="6"/>
  <c r="U115" i="6"/>
  <c r="R115" i="6"/>
  <c r="O115" i="6"/>
  <c r="N115" i="6"/>
  <c r="L115" i="6"/>
  <c r="H115" i="6"/>
  <c r="I115" i="6" s="1"/>
  <c r="F115" i="6"/>
  <c r="C115" i="6"/>
  <c r="AC114" i="6"/>
  <c r="AD114" i="6" s="1"/>
  <c r="AA114" i="6"/>
  <c r="W114" i="6"/>
  <c r="X114" i="6" s="1"/>
  <c r="U114" i="6"/>
  <c r="R114" i="6"/>
  <c r="N114" i="6"/>
  <c r="O114" i="6" s="1"/>
  <c r="L114" i="6"/>
  <c r="I114" i="6"/>
  <c r="H114" i="6"/>
  <c r="F114" i="6"/>
  <c r="C114" i="6"/>
  <c r="AC113" i="6"/>
  <c r="AD113" i="6" s="1"/>
  <c r="AA113" i="6"/>
  <c r="W113" i="6"/>
  <c r="X113" i="6" s="1"/>
  <c r="U113" i="6"/>
  <c r="R113" i="6"/>
  <c r="O113" i="6"/>
  <c r="N113" i="6"/>
  <c r="L113" i="6"/>
  <c r="H113" i="6"/>
  <c r="I113" i="6" s="1"/>
  <c r="F113" i="6"/>
  <c r="C113" i="6"/>
  <c r="AC112" i="6"/>
  <c r="AD112" i="6" s="1"/>
  <c r="AA112" i="6"/>
  <c r="W112" i="6"/>
  <c r="X112" i="6" s="1"/>
  <c r="U112" i="6"/>
  <c r="R112" i="6"/>
  <c r="N112" i="6"/>
  <c r="O112" i="6" s="1"/>
  <c r="L112" i="6"/>
  <c r="H112" i="6"/>
  <c r="I112" i="6" s="1"/>
  <c r="F112" i="6"/>
  <c r="C112" i="6"/>
  <c r="AD111" i="6"/>
  <c r="AC111" i="6"/>
  <c r="AA111" i="6"/>
  <c r="X111" i="6"/>
  <c r="W111" i="6"/>
  <c r="U111" i="6"/>
  <c r="R111" i="6"/>
  <c r="N111" i="6"/>
  <c r="O111" i="6" s="1"/>
  <c r="L111" i="6"/>
  <c r="H111" i="6"/>
  <c r="I111" i="6" s="1"/>
  <c r="F111" i="6"/>
  <c r="C111" i="6"/>
  <c r="AD110" i="6"/>
  <c r="AC110" i="6"/>
  <c r="AA110" i="6"/>
  <c r="W110" i="6"/>
  <c r="X110" i="6" s="1"/>
  <c r="U110" i="6"/>
  <c r="R110" i="6"/>
  <c r="O110" i="6"/>
  <c r="N110" i="6"/>
  <c r="L110" i="6"/>
  <c r="I110" i="6"/>
  <c r="H110" i="6"/>
  <c r="F110" i="6"/>
  <c r="C110" i="6"/>
  <c r="AC109" i="6"/>
  <c r="AD109" i="6" s="1"/>
  <c r="AA109" i="6"/>
  <c r="W109" i="6"/>
  <c r="X109" i="6" s="1"/>
  <c r="U109" i="6"/>
  <c r="R109" i="6"/>
  <c r="O109" i="6"/>
  <c r="N109" i="6"/>
  <c r="L109" i="6"/>
  <c r="I109" i="6"/>
  <c r="H109" i="6"/>
  <c r="F109" i="6"/>
  <c r="C109" i="6"/>
  <c r="AC108" i="6"/>
  <c r="AD108" i="6" s="1"/>
  <c r="AA108" i="6"/>
  <c r="W108" i="6"/>
  <c r="X108" i="6" s="1"/>
  <c r="U108" i="6"/>
  <c r="R108" i="6"/>
  <c r="N108" i="6"/>
  <c r="O108" i="6" s="1"/>
  <c r="L108" i="6"/>
  <c r="H108" i="6"/>
  <c r="I108" i="6" s="1"/>
  <c r="F108" i="6"/>
  <c r="C108" i="6"/>
  <c r="AD107" i="6"/>
  <c r="AC107" i="6"/>
  <c r="AA107" i="6"/>
  <c r="X107" i="6"/>
  <c r="W107" i="6"/>
  <c r="U107" i="6"/>
  <c r="R107" i="6"/>
  <c r="N107" i="6"/>
  <c r="O107" i="6" s="1"/>
  <c r="L107" i="6"/>
  <c r="H107" i="6"/>
  <c r="I107" i="6" s="1"/>
  <c r="F107" i="6"/>
  <c r="C107" i="6"/>
  <c r="AC106" i="6"/>
  <c r="AD106" i="6" s="1"/>
  <c r="AA106" i="6"/>
  <c r="W106" i="6"/>
  <c r="X106" i="6" s="1"/>
  <c r="U106" i="6"/>
  <c r="R106" i="6"/>
  <c r="O106" i="6"/>
  <c r="N106" i="6"/>
  <c r="L106" i="6"/>
  <c r="I106" i="6"/>
  <c r="H106" i="6"/>
  <c r="F106" i="6"/>
  <c r="C106" i="6"/>
  <c r="AC105" i="6"/>
  <c r="AD105" i="6" s="1"/>
  <c r="AA105" i="6"/>
  <c r="X105" i="6"/>
  <c r="W105" i="6"/>
  <c r="U105" i="6"/>
  <c r="R105" i="6"/>
  <c r="O105" i="6"/>
  <c r="N105" i="6"/>
  <c r="L105" i="6"/>
  <c r="I105" i="6"/>
  <c r="H105" i="6"/>
  <c r="F105" i="6"/>
  <c r="C105" i="6"/>
  <c r="AC104" i="6"/>
  <c r="AD104" i="6" s="1"/>
  <c r="AA104" i="6"/>
  <c r="W104" i="6"/>
  <c r="X104" i="6" s="1"/>
  <c r="U104" i="6"/>
  <c r="R104" i="6"/>
  <c r="N104" i="6"/>
  <c r="O104" i="6" s="1"/>
  <c r="L104" i="6"/>
  <c r="H104" i="6"/>
  <c r="I104" i="6" s="1"/>
  <c r="F104" i="6"/>
  <c r="C104" i="6"/>
  <c r="AD103" i="6"/>
  <c r="AC103" i="6"/>
  <c r="AA103" i="6"/>
  <c r="X103" i="6"/>
  <c r="W103" i="6"/>
  <c r="U103" i="6"/>
  <c r="R103" i="6"/>
  <c r="N103" i="6"/>
  <c r="O103" i="6" s="1"/>
  <c r="L103" i="6"/>
  <c r="H103" i="6"/>
  <c r="I103" i="6" s="1"/>
  <c r="F103" i="6"/>
  <c r="C103" i="6"/>
  <c r="AC102" i="6"/>
  <c r="AD102" i="6" s="1"/>
  <c r="AA102" i="6"/>
  <c r="W102" i="6"/>
  <c r="X102" i="6" s="1"/>
  <c r="U102" i="6"/>
  <c r="R102" i="6"/>
  <c r="N102" i="6"/>
  <c r="O102" i="6" s="1"/>
  <c r="L102" i="6"/>
  <c r="I102" i="6"/>
  <c r="H102" i="6"/>
  <c r="F102" i="6"/>
  <c r="C102" i="6"/>
  <c r="AC101" i="6"/>
  <c r="AD101" i="6" s="1"/>
  <c r="AA101" i="6"/>
  <c r="W101" i="6"/>
  <c r="X101" i="6" s="1"/>
  <c r="U101" i="6"/>
  <c r="R101" i="6"/>
  <c r="O101" i="6"/>
  <c r="N101" i="6"/>
  <c r="L101" i="6"/>
  <c r="H101" i="6"/>
  <c r="I101" i="6" s="1"/>
  <c r="F101" i="6"/>
  <c r="C101" i="6"/>
  <c r="AC100" i="6"/>
  <c r="AD100" i="6" s="1"/>
  <c r="AA100" i="6"/>
  <c r="X100" i="6"/>
  <c r="W100" i="6"/>
  <c r="U100" i="6"/>
  <c r="R100" i="6"/>
  <c r="N100" i="6"/>
  <c r="O100" i="6" s="1"/>
  <c r="L100" i="6"/>
  <c r="H100" i="6"/>
  <c r="I100" i="6" s="1"/>
  <c r="F100" i="6"/>
  <c r="C100" i="6"/>
  <c r="AD99" i="6"/>
  <c r="AC99" i="6"/>
  <c r="AA99" i="6"/>
  <c r="X99" i="6"/>
  <c r="W99" i="6"/>
  <c r="U99" i="6"/>
  <c r="R99" i="6"/>
  <c r="O99" i="6"/>
  <c r="N99" i="6"/>
  <c r="L99" i="6"/>
  <c r="H99" i="6"/>
  <c r="I99" i="6" s="1"/>
  <c r="F99" i="6"/>
  <c r="C99" i="6"/>
  <c r="AD98" i="6"/>
  <c r="AC98" i="6"/>
  <c r="AA98" i="6"/>
  <c r="W98" i="6"/>
  <c r="X98" i="6" s="1"/>
  <c r="U98" i="6"/>
  <c r="R98" i="6"/>
  <c r="N98" i="6"/>
  <c r="O98" i="6" s="1"/>
  <c r="L98" i="6"/>
  <c r="I98" i="6"/>
  <c r="H98" i="6"/>
  <c r="F98" i="6"/>
  <c r="C98" i="6"/>
  <c r="AC97" i="6"/>
  <c r="AD97" i="6" s="1"/>
  <c r="AA97" i="6"/>
  <c r="W97" i="6"/>
  <c r="X97" i="6" s="1"/>
  <c r="U97" i="6"/>
  <c r="R97" i="6"/>
  <c r="O97" i="6"/>
  <c r="N97" i="6"/>
  <c r="L97" i="6"/>
  <c r="H97" i="6"/>
  <c r="I97" i="6" s="1"/>
  <c r="F97" i="6"/>
  <c r="C97" i="6"/>
  <c r="AC96" i="6"/>
  <c r="AD96" i="6" s="1"/>
  <c r="AA96" i="6"/>
  <c r="W96" i="6"/>
  <c r="X96" i="6" s="1"/>
  <c r="U96" i="6"/>
  <c r="R96" i="6"/>
  <c r="N96" i="6"/>
  <c r="O96" i="6" s="1"/>
  <c r="L96" i="6"/>
  <c r="H96" i="6"/>
  <c r="I96" i="6" s="1"/>
  <c r="F96" i="6"/>
  <c r="C96" i="6"/>
  <c r="AD95" i="6"/>
  <c r="AC95" i="6"/>
  <c r="AA95" i="6"/>
  <c r="X95" i="6"/>
  <c r="W95" i="6"/>
  <c r="U95" i="6"/>
  <c r="R95" i="6"/>
  <c r="N95" i="6"/>
  <c r="O95" i="6" s="1"/>
  <c r="L95" i="6"/>
  <c r="H95" i="6"/>
  <c r="I95" i="6" s="1"/>
  <c r="F95" i="6"/>
  <c r="C95" i="6"/>
  <c r="AD94" i="6"/>
  <c r="AC94" i="6"/>
  <c r="AA94" i="6"/>
  <c r="W94" i="6"/>
  <c r="X94" i="6" s="1"/>
  <c r="U94" i="6"/>
  <c r="R94" i="6"/>
  <c r="O94" i="6"/>
  <c r="N94" i="6"/>
  <c r="L94" i="6"/>
  <c r="I94" i="6"/>
  <c r="H94" i="6"/>
  <c r="F94" i="6"/>
  <c r="C94" i="6"/>
  <c r="AC92" i="6"/>
  <c r="AD92" i="6" s="1"/>
  <c r="AA92" i="6"/>
  <c r="W92" i="6"/>
  <c r="X92" i="6" s="1"/>
  <c r="U92" i="6"/>
  <c r="R92" i="6"/>
  <c r="O92" i="6"/>
  <c r="N92" i="6"/>
  <c r="L92" i="6"/>
  <c r="I92" i="6"/>
  <c r="H92" i="6"/>
  <c r="F92" i="6"/>
  <c r="C92" i="6"/>
  <c r="AC91" i="6"/>
  <c r="AD91" i="6" s="1"/>
  <c r="AA91" i="6"/>
  <c r="W91" i="6"/>
  <c r="X91" i="6" s="1"/>
  <c r="U91" i="6"/>
  <c r="R91" i="6"/>
  <c r="N91" i="6"/>
  <c r="O91" i="6" s="1"/>
  <c r="L91" i="6"/>
  <c r="H91" i="6"/>
  <c r="I91" i="6" s="1"/>
  <c r="F91" i="6"/>
  <c r="C91" i="6"/>
  <c r="AD90" i="6"/>
  <c r="AC90" i="6"/>
  <c r="AA90" i="6"/>
  <c r="X90" i="6"/>
  <c r="W90" i="6"/>
  <c r="U90" i="6"/>
  <c r="R90" i="6"/>
  <c r="N90" i="6"/>
  <c r="O90" i="6" s="1"/>
  <c r="L90" i="6"/>
  <c r="H90" i="6"/>
  <c r="I90" i="6" s="1"/>
  <c r="F90" i="6"/>
  <c r="C90" i="6"/>
  <c r="AC89" i="6"/>
  <c r="AD89" i="6" s="1"/>
  <c r="AA89" i="6"/>
  <c r="W89" i="6"/>
  <c r="X89" i="6" s="1"/>
  <c r="U89" i="6"/>
  <c r="R89" i="6"/>
  <c r="O89" i="6"/>
  <c r="N89" i="6"/>
  <c r="L89" i="6"/>
  <c r="I89" i="6"/>
  <c r="H89" i="6"/>
  <c r="F89" i="6"/>
  <c r="C89" i="6"/>
  <c r="AA88" i="6"/>
  <c r="Z88" i="6"/>
  <c r="AC88" i="6" s="1"/>
  <c r="AD88" i="6" s="1"/>
  <c r="T88" i="6"/>
  <c r="U88" i="6" s="1"/>
  <c r="Q88" i="6"/>
  <c r="N88" i="6"/>
  <c r="O88" i="6" s="1"/>
  <c r="L88" i="6"/>
  <c r="K88" i="6"/>
  <c r="E88" i="6"/>
  <c r="F88" i="6" s="1"/>
  <c r="B88" i="6"/>
  <c r="C88" i="6" s="1"/>
  <c r="AD87" i="6"/>
  <c r="AC87" i="6"/>
  <c r="AA87" i="6"/>
  <c r="X87" i="6"/>
  <c r="W87" i="6"/>
  <c r="U87" i="6"/>
  <c r="R87" i="6"/>
  <c r="O87" i="6"/>
  <c r="N87" i="6"/>
  <c r="L87" i="6"/>
  <c r="H87" i="6"/>
  <c r="I87" i="6" s="1"/>
  <c r="F87" i="6"/>
  <c r="C87" i="6"/>
  <c r="AD86" i="6"/>
  <c r="AC86" i="6"/>
  <c r="AA86" i="6"/>
  <c r="W86" i="6"/>
  <c r="X86" i="6" s="1"/>
  <c r="U86" i="6"/>
  <c r="R86" i="6"/>
  <c r="N86" i="6"/>
  <c r="O86" i="6" s="1"/>
  <c r="L86" i="6"/>
  <c r="I86" i="6"/>
  <c r="H86" i="6"/>
  <c r="F86" i="6"/>
  <c r="C86" i="6"/>
  <c r="AC85" i="6"/>
  <c r="AD85" i="6" s="1"/>
  <c r="AA85" i="6"/>
  <c r="X85" i="6"/>
  <c r="W85" i="6"/>
  <c r="U85" i="6"/>
  <c r="R85" i="6"/>
  <c r="O85" i="6"/>
  <c r="N85" i="6"/>
  <c r="L85" i="6"/>
  <c r="H85" i="6"/>
  <c r="I85" i="6" s="1"/>
  <c r="F85" i="6"/>
  <c r="C85" i="6"/>
  <c r="AC84" i="6"/>
  <c r="AD84" i="6" s="1"/>
  <c r="AA84" i="6"/>
  <c r="W84" i="6"/>
  <c r="X84" i="6" s="1"/>
  <c r="U84" i="6"/>
  <c r="R84" i="6"/>
  <c r="N84" i="6"/>
  <c r="O84" i="6" s="1"/>
  <c r="L84" i="6"/>
  <c r="H84" i="6"/>
  <c r="I84" i="6" s="1"/>
  <c r="F84" i="6"/>
  <c r="C84" i="6"/>
  <c r="AD83" i="6"/>
  <c r="AC83" i="6"/>
  <c r="AA83" i="6"/>
  <c r="X83" i="6"/>
  <c r="W83" i="6"/>
  <c r="U83" i="6"/>
  <c r="R83" i="6"/>
  <c r="N83" i="6"/>
  <c r="O83" i="6" s="1"/>
  <c r="L83" i="6"/>
  <c r="H83" i="6"/>
  <c r="I83" i="6" s="1"/>
  <c r="F83" i="6"/>
  <c r="C83" i="6"/>
  <c r="AD82" i="6"/>
  <c r="AC82" i="6"/>
  <c r="AA82" i="6"/>
  <c r="W82" i="6"/>
  <c r="X82" i="6" s="1"/>
  <c r="U82" i="6"/>
  <c r="R82" i="6"/>
  <c r="O82" i="6"/>
  <c r="N82" i="6"/>
  <c r="L82" i="6"/>
  <c r="I82" i="6"/>
  <c r="H82" i="6"/>
  <c r="F82" i="6"/>
  <c r="C82" i="6"/>
  <c r="AC81" i="6"/>
  <c r="AD81" i="6" s="1"/>
  <c r="AA81" i="6"/>
  <c r="W81" i="6"/>
  <c r="X81" i="6" s="1"/>
  <c r="U81" i="6"/>
  <c r="R81" i="6"/>
  <c r="O81" i="6"/>
  <c r="N81" i="6"/>
  <c r="L81" i="6"/>
  <c r="I81" i="6"/>
  <c r="H81" i="6"/>
  <c r="F81" i="6"/>
  <c r="C81" i="6"/>
  <c r="AC80" i="6"/>
  <c r="AD80" i="6" s="1"/>
  <c r="AA80" i="6"/>
  <c r="W80" i="6"/>
  <c r="X80" i="6" s="1"/>
  <c r="U80" i="6"/>
  <c r="R80" i="6"/>
  <c r="N80" i="6"/>
  <c r="O80" i="6" s="1"/>
  <c r="L80" i="6"/>
  <c r="H80" i="6"/>
  <c r="I80" i="6" s="1"/>
  <c r="F80" i="6"/>
  <c r="C80" i="6"/>
  <c r="AD79" i="6"/>
  <c r="AC79" i="6"/>
  <c r="AA79" i="6"/>
  <c r="X79" i="6"/>
  <c r="W79" i="6"/>
  <c r="U79" i="6"/>
  <c r="R79" i="6"/>
  <c r="N79" i="6"/>
  <c r="O79" i="6" s="1"/>
  <c r="L79" i="6"/>
  <c r="H79" i="6"/>
  <c r="I79" i="6" s="1"/>
  <c r="F79" i="6"/>
  <c r="C79" i="6"/>
  <c r="AC78" i="6"/>
  <c r="AD78" i="6" s="1"/>
  <c r="AA78" i="6"/>
  <c r="W78" i="6"/>
  <c r="X78" i="6" s="1"/>
  <c r="U78" i="6"/>
  <c r="R78" i="6"/>
  <c r="O78" i="6"/>
  <c r="N78" i="6"/>
  <c r="L78" i="6"/>
  <c r="I78" i="6"/>
  <c r="H78" i="6"/>
  <c r="F78" i="6"/>
  <c r="C78" i="6"/>
  <c r="AC77" i="6"/>
  <c r="AD77" i="6" s="1"/>
  <c r="AA77" i="6"/>
  <c r="W77" i="6"/>
  <c r="X77" i="6" s="1"/>
  <c r="U77" i="6"/>
  <c r="R77" i="6"/>
  <c r="O77" i="6"/>
  <c r="N77" i="6"/>
  <c r="L77" i="6"/>
  <c r="I77" i="6"/>
  <c r="H77" i="6"/>
  <c r="F77" i="6"/>
  <c r="C77" i="6"/>
  <c r="AC76" i="6"/>
  <c r="AD76" i="6" s="1"/>
  <c r="AA76" i="6"/>
  <c r="X76" i="6"/>
  <c r="W76" i="6"/>
  <c r="U76" i="6"/>
  <c r="R76" i="6"/>
  <c r="N76" i="6"/>
  <c r="O76" i="6" s="1"/>
  <c r="L76" i="6"/>
  <c r="H76" i="6"/>
  <c r="I76" i="6" s="1"/>
  <c r="F76" i="6"/>
  <c r="C76" i="6"/>
  <c r="AD75" i="6"/>
  <c r="AC75" i="6"/>
  <c r="AA75" i="6"/>
  <c r="X75" i="6"/>
  <c r="W75" i="6"/>
  <c r="U75" i="6"/>
  <c r="R75" i="6"/>
  <c r="O75" i="6"/>
  <c r="N75" i="6"/>
  <c r="L75" i="6"/>
  <c r="H75" i="6"/>
  <c r="I75" i="6" s="1"/>
  <c r="F75" i="6"/>
  <c r="C75" i="6"/>
  <c r="AC73" i="6"/>
  <c r="AD73" i="6" s="1"/>
  <c r="AA73" i="6"/>
  <c r="Z73" i="6"/>
  <c r="T73" i="6"/>
  <c r="U73" i="6" s="1"/>
  <c r="Q73" i="6"/>
  <c r="O73" i="6"/>
  <c r="K73" i="6"/>
  <c r="L73" i="6" s="1"/>
  <c r="H73" i="6"/>
  <c r="I73" i="6" s="1"/>
  <c r="F73" i="6"/>
  <c r="E73" i="6"/>
  <c r="C73" i="6"/>
  <c r="B73" i="6"/>
  <c r="N73" i="6" s="1"/>
  <c r="AC72" i="6"/>
  <c r="AD72" i="6" s="1"/>
  <c r="AA72" i="6"/>
  <c r="W72" i="6"/>
  <c r="X72" i="6" s="1"/>
  <c r="U72" i="6"/>
  <c r="R72" i="6"/>
  <c r="N72" i="6"/>
  <c r="O72" i="6" s="1"/>
  <c r="L72" i="6"/>
  <c r="H72" i="6"/>
  <c r="I72" i="6" s="1"/>
  <c r="F72" i="6"/>
  <c r="C72" i="6"/>
  <c r="AD71" i="6"/>
  <c r="AC71" i="6"/>
  <c r="AA71" i="6"/>
  <c r="X71" i="6"/>
  <c r="W71" i="6"/>
  <c r="U71" i="6"/>
  <c r="R71" i="6"/>
  <c r="N71" i="6"/>
  <c r="O71" i="6" s="1"/>
  <c r="L71" i="6"/>
  <c r="H71" i="6"/>
  <c r="I71" i="6" s="1"/>
  <c r="F71" i="6"/>
  <c r="C71" i="6"/>
  <c r="AC70" i="6"/>
  <c r="AD70" i="6" s="1"/>
  <c r="AA70" i="6"/>
  <c r="W70" i="6"/>
  <c r="X70" i="6" s="1"/>
  <c r="U70" i="6"/>
  <c r="R70" i="6"/>
  <c r="O70" i="6"/>
  <c r="N70" i="6"/>
  <c r="L70" i="6"/>
  <c r="I70" i="6"/>
  <c r="H70" i="6"/>
  <c r="F70" i="6"/>
  <c r="C70" i="6"/>
  <c r="AC69" i="6"/>
  <c r="AD69" i="6" s="1"/>
  <c r="AA69" i="6"/>
  <c r="W69" i="6"/>
  <c r="X69" i="6" s="1"/>
  <c r="U69" i="6"/>
  <c r="R69" i="6"/>
  <c r="O69" i="6"/>
  <c r="N69" i="6"/>
  <c r="L69" i="6"/>
  <c r="I69" i="6"/>
  <c r="H69" i="6"/>
  <c r="F69" i="6"/>
  <c r="C69" i="6"/>
  <c r="AC68" i="6"/>
  <c r="AD68" i="6" s="1"/>
  <c r="AA68" i="6"/>
  <c r="X68" i="6"/>
  <c r="W68" i="6"/>
  <c r="U68" i="6"/>
  <c r="R68" i="6"/>
  <c r="N68" i="6"/>
  <c r="O68" i="6" s="1"/>
  <c r="L68" i="6"/>
  <c r="H68" i="6"/>
  <c r="I68" i="6" s="1"/>
  <c r="F68" i="6"/>
  <c r="C68" i="6"/>
  <c r="AD67" i="6"/>
  <c r="AC67" i="6"/>
  <c r="AA67" i="6"/>
  <c r="X67" i="6"/>
  <c r="W67" i="6"/>
  <c r="U67" i="6"/>
  <c r="R67" i="6"/>
  <c r="O67" i="6"/>
  <c r="N67" i="6"/>
  <c r="L67" i="6"/>
  <c r="H67" i="6"/>
  <c r="I67" i="6" s="1"/>
  <c r="F67" i="6"/>
  <c r="C67" i="6"/>
  <c r="AC66" i="6"/>
  <c r="AD66" i="6" s="1"/>
  <c r="AA66" i="6"/>
  <c r="W66" i="6"/>
  <c r="X66" i="6" s="1"/>
  <c r="U66" i="6"/>
  <c r="R66" i="6"/>
  <c r="N66" i="6"/>
  <c r="O66" i="6" s="1"/>
  <c r="L66" i="6"/>
  <c r="I66" i="6"/>
  <c r="H66" i="6"/>
  <c r="F66" i="6"/>
  <c r="C66" i="6"/>
  <c r="AC65" i="6"/>
  <c r="AD65" i="6" s="1"/>
  <c r="AA65" i="6"/>
  <c r="W65" i="6"/>
  <c r="X65" i="6" s="1"/>
  <c r="U65" i="6"/>
  <c r="R65" i="6"/>
  <c r="O65" i="6"/>
  <c r="N65" i="6"/>
  <c r="L65" i="6"/>
  <c r="H65" i="6"/>
  <c r="I65" i="6" s="1"/>
  <c r="F65" i="6"/>
  <c r="C65" i="6"/>
  <c r="AC64" i="6"/>
  <c r="AD64" i="6" s="1"/>
  <c r="AA64" i="6"/>
  <c r="X64" i="6"/>
  <c r="W64" i="6"/>
  <c r="U64" i="6"/>
  <c r="R64" i="6"/>
  <c r="N64" i="6"/>
  <c r="O64" i="6" s="1"/>
  <c r="L64" i="6"/>
  <c r="H64" i="6"/>
  <c r="I64" i="6" s="1"/>
  <c r="F64" i="6"/>
  <c r="C64" i="6"/>
  <c r="AD62" i="6"/>
  <c r="Z62" i="6"/>
  <c r="AA62" i="6" s="1"/>
  <c r="T62" i="6"/>
  <c r="W62" i="6" s="1"/>
  <c r="X62" i="6" s="1"/>
  <c r="R62" i="6"/>
  <c r="Q62" i="6"/>
  <c r="AC62" i="6" s="1"/>
  <c r="K62" i="6"/>
  <c r="L62" i="6" s="1"/>
  <c r="I62" i="6"/>
  <c r="H62" i="6"/>
  <c r="F62" i="6"/>
  <c r="E62" i="6"/>
  <c r="B62" i="6"/>
  <c r="C62" i="6" s="1"/>
  <c r="Z61" i="6"/>
  <c r="AA61" i="6" s="1"/>
  <c r="T61" i="6"/>
  <c r="U61" i="6" s="1"/>
  <c r="Q61" i="6"/>
  <c r="AC61" i="6" s="1"/>
  <c r="AD61" i="6" s="1"/>
  <c r="N61" i="6"/>
  <c r="O61" i="6" s="1"/>
  <c r="L61" i="6"/>
  <c r="K61" i="6"/>
  <c r="E61" i="6"/>
  <c r="F61" i="6" s="1"/>
  <c r="B61" i="6"/>
  <c r="AD60" i="6"/>
  <c r="AC60" i="6"/>
  <c r="AA60" i="6"/>
  <c r="X60" i="6"/>
  <c r="W60" i="6"/>
  <c r="U60" i="6"/>
  <c r="R60" i="6"/>
  <c r="N60" i="6"/>
  <c r="O60" i="6" s="1"/>
  <c r="L60" i="6"/>
  <c r="H60" i="6"/>
  <c r="I60" i="6" s="1"/>
  <c r="F60" i="6"/>
  <c r="C60" i="6"/>
  <c r="AD59" i="6"/>
  <c r="AC59" i="6"/>
  <c r="AA59" i="6"/>
  <c r="X59" i="6"/>
  <c r="W59" i="6"/>
  <c r="U59" i="6"/>
  <c r="R59" i="6"/>
  <c r="N59" i="6"/>
  <c r="O59" i="6" s="1"/>
  <c r="L59" i="6"/>
  <c r="I59" i="6"/>
  <c r="H59" i="6"/>
  <c r="F59" i="6"/>
  <c r="C59" i="6"/>
  <c r="AC58" i="6"/>
  <c r="AD58" i="6" s="1"/>
  <c r="AA58" i="6"/>
  <c r="X58" i="6"/>
  <c r="W58" i="6"/>
  <c r="U58" i="6"/>
  <c r="R58" i="6"/>
  <c r="O58" i="6"/>
  <c r="N58" i="6"/>
  <c r="L58" i="6"/>
  <c r="H58" i="6"/>
  <c r="I58" i="6" s="1"/>
  <c r="F58" i="6"/>
  <c r="C58" i="6"/>
  <c r="AC57" i="6"/>
  <c r="AD57" i="6" s="1"/>
  <c r="AA57" i="6"/>
  <c r="X57" i="6"/>
  <c r="W57" i="6"/>
  <c r="U57" i="6"/>
  <c r="R57" i="6"/>
  <c r="O57" i="6"/>
  <c r="N57" i="6"/>
  <c r="L57" i="6"/>
  <c r="H57" i="6"/>
  <c r="I57" i="6" s="1"/>
  <c r="F57" i="6"/>
  <c r="C57" i="6"/>
  <c r="AD56" i="6"/>
  <c r="AC56" i="6"/>
  <c r="AA56" i="6"/>
  <c r="X56" i="6"/>
  <c r="W56" i="6"/>
  <c r="U56" i="6"/>
  <c r="R56" i="6"/>
  <c r="O56" i="6"/>
  <c r="N56" i="6"/>
  <c r="L56" i="6"/>
  <c r="H56" i="6"/>
  <c r="I56" i="6" s="1"/>
  <c r="F56" i="6"/>
  <c r="C56" i="6"/>
  <c r="AC55" i="6"/>
  <c r="AD55" i="6" s="1"/>
  <c r="AA55" i="6"/>
  <c r="X55" i="6"/>
  <c r="W55" i="6"/>
  <c r="U55" i="6"/>
  <c r="R55" i="6"/>
  <c r="O55" i="6"/>
  <c r="N55" i="6"/>
  <c r="L55" i="6"/>
  <c r="I55" i="6"/>
  <c r="H55" i="6"/>
  <c r="F55" i="6"/>
  <c r="C55" i="6"/>
  <c r="AC54" i="6"/>
  <c r="AD54" i="6" s="1"/>
  <c r="AA54" i="6"/>
  <c r="W54" i="6"/>
  <c r="X54" i="6" s="1"/>
  <c r="U54" i="6"/>
  <c r="R54" i="6"/>
  <c r="O54" i="6"/>
  <c r="N54" i="6"/>
  <c r="L54" i="6"/>
  <c r="I54" i="6"/>
  <c r="H54" i="6"/>
  <c r="F54" i="6"/>
  <c r="C54" i="6"/>
  <c r="AC53" i="6"/>
  <c r="AD53" i="6" s="1"/>
  <c r="AA53" i="6"/>
  <c r="W53" i="6"/>
  <c r="X53" i="6" s="1"/>
  <c r="U53" i="6"/>
  <c r="R53" i="6"/>
  <c r="N53" i="6"/>
  <c r="O53" i="6" s="1"/>
  <c r="L53" i="6"/>
  <c r="H53" i="6"/>
  <c r="I53" i="6" s="1"/>
  <c r="F53" i="6"/>
  <c r="C53" i="6"/>
  <c r="AD52" i="6"/>
  <c r="AC52" i="6"/>
  <c r="AA52" i="6"/>
  <c r="X52" i="6"/>
  <c r="W52" i="6"/>
  <c r="U52" i="6"/>
  <c r="R52" i="6"/>
  <c r="N52" i="6"/>
  <c r="O52" i="6" s="1"/>
  <c r="L52" i="6"/>
  <c r="H52" i="6"/>
  <c r="I52" i="6" s="1"/>
  <c r="F52" i="6"/>
  <c r="C52" i="6"/>
  <c r="AC51" i="6"/>
  <c r="AD51" i="6" s="1"/>
  <c r="AA51" i="6"/>
  <c r="W51" i="6"/>
  <c r="X51" i="6" s="1"/>
  <c r="U51" i="6"/>
  <c r="R51" i="6"/>
  <c r="O51" i="6"/>
  <c r="N51" i="6"/>
  <c r="L51" i="6"/>
  <c r="I51" i="6"/>
  <c r="H51" i="6"/>
  <c r="F51" i="6"/>
  <c r="C51" i="6"/>
  <c r="AC50" i="6"/>
  <c r="AD50" i="6" s="1"/>
  <c r="AA50" i="6"/>
  <c r="X50" i="6"/>
  <c r="W50" i="6"/>
  <c r="U50" i="6"/>
  <c r="R50" i="6"/>
  <c r="O50" i="6"/>
  <c r="N50" i="6"/>
  <c r="L50" i="6"/>
  <c r="I50" i="6"/>
  <c r="H50" i="6"/>
  <c r="F50" i="6"/>
  <c r="C50" i="6"/>
  <c r="AC49" i="6"/>
  <c r="AD49" i="6" s="1"/>
  <c r="AA49" i="6"/>
  <c r="W49" i="6"/>
  <c r="X49" i="6" s="1"/>
  <c r="U49" i="6"/>
  <c r="R49" i="6"/>
  <c r="N49" i="6"/>
  <c r="O49" i="6" s="1"/>
  <c r="L49" i="6"/>
  <c r="H49" i="6"/>
  <c r="I49" i="6" s="1"/>
  <c r="F49" i="6"/>
  <c r="C49" i="6"/>
  <c r="AD48" i="6"/>
  <c r="AC48" i="6"/>
  <c r="AA48" i="6"/>
  <c r="X48" i="6"/>
  <c r="W48" i="6"/>
  <c r="U48" i="6"/>
  <c r="R48" i="6"/>
  <c r="N48" i="6"/>
  <c r="O48" i="6" s="1"/>
  <c r="L48" i="6"/>
  <c r="H48" i="6"/>
  <c r="I48" i="6" s="1"/>
  <c r="F48" i="6"/>
  <c r="C48" i="6"/>
  <c r="AC47" i="6"/>
  <c r="AD47" i="6" s="1"/>
  <c r="AA47" i="6"/>
  <c r="X47" i="6"/>
  <c r="W47" i="6"/>
  <c r="U47" i="6"/>
  <c r="R47" i="6"/>
  <c r="O47" i="6"/>
  <c r="N47" i="6"/>
  <c r="L47" i="6"/>
  <c r="I47" i="6"/>
  <c r="H47" i="6"/>
  <c r="F47" i="6"/>
  <c r="C47" i="6"/>
  <c r="AC46" i="6"/>
  <c r="AD46" i="6" s="1"/>
  <c r="AA46" i="6"/>
  <c r="W46" i="6"/>
  <c r="X46" i="6" s="1"/>
  <c r="U46" i="6"/>
  <c r="R46" i="6"/>
  <c r="O46" i="6"/>
  <c r="N46" i="6"/>
  <c r="L46" i="6"/>
  <c r="I46" i="6"/>
  <c r="H46" i="6"/>
  <c r="F46" i="6"/>
  <c r="C46" i="6"/>
  <c r="AC44" i="6"/>
  <c r="AD44" i="6" s="1"/>
  <c r="AA44" i="6"/>
  <c r="X44" i="6"/>
  <c r="W44" i="6"/>
  <c r="U44" i="6"/>
  <c r="R44" i="6"/>
  <c r="N44" i="6"/>
  <c r="O44" i="6" s="1"/>
  <c r="L44" i="6"/>
  <c r="H44" i="6"/>
  <c r="I44" i="6" s="1"/>
  <c r="F44" i="6"/>
  <c r="C44" i="6"/>
  <c r="AD43" i="6"/>
  <c r="AC43" i="6"/>
  <c r="AA43" i="6"/>
  <c r="X43" i="6"/>
  <c r="W43" i="6"/>
  <c r="U43" i="6"/>
  <c r="R43" i="6"/>
  <c r="O43" i="6"/>
  <c r="N43" i="6"/>
  <c r="L43" i="6"/>
  <c r="H43" i="6"/>
  <c r="I43" i="6" s="1"/>
  <c r="F43" i="6"/>
  <c r="C43" i="6"/>
  <c r="AC42" i="6"/>
  <c r="AD42" i="6" s="1"/>
  <c r="AA42" i="6"/>
  <c r="W42" i="6"/>
  <c r="X42" i="6" s="1"/>
  <c r="U42" i="6"/>
  <c r="R42" i="6"/>
  <c r="N42" i="6"/>
  <c r="O42" i="6" s="1"/>
  <c r="L42" i="6"/>
  <c r="I42" i="6"/>
  <c r="H42" i="6"/>
  <c r="F42" i="6"/>
  <c r="C42" i="6"/>
  <c r="Z40" i="6"/>
  <c r="AA40" i="6" s="1"/>
  <c r="T40" i="6"/>
  <c r="U40" i="6" s="1"/>
  <c r="Q40" i="6"/>
  <c r="L40" i="6"/>
  <c r="K40" i="6"/>
  <c r="E40" i="6"/>
  <c r="F40" i="6" s="1"/>
  <c r="C40" i="6"/>
  <c r="B40" i="6"/>
  <c r="N40" i="6" s="1"/>
  <c r="O40" i="6" s="1"/>
  <c r="AD39" i="6"/>
  <c r="AC39" i="6"/>
  <c r="AA39" i="6"/>
  <c r="X39" i="6"/>
  <c r="W39" i="6"/>
  <c r="U39" i="6"/>
  <c r="R39" i="6"/>
  <c r="O39" i="6"/>
  <c r="N39" i="6"/>
  <c r="L39" i="6"/>
  <c r="H39" i="6"/>
  <c r="I39" i="6" s="1"/>
  <c r="F39" i="6"/>
  <c r="C39" i="6"/>
  <c r="AC38" i="6"/>
  <c r="AD38" i="6" s="1"/>
  <c r="AA38" i="6"/>
  <c r="X38" i="6"/>
  <c r="W38" i="6"/>
  <c r="U38" i="6"/>
  <c r="R38" i="6"/>
  <c r="N38" i="6"/>
  <c r="O38" i="6" s="1"/>
  <c r="L38" i="6"/>
  <c r="I38" i="6"/>
  <c r="H38" i="6"/>
  <c r="F38" i="6"/>
  <c r="C38" i="6"/>
  <c r="AC37" i="6"/>
  <c r="AD37" i="6" s="1"/>
  <c r="AA37" i="6"/>
  <c r="W37" i="6"/>
  <c r="X37" i="6" s="1"/>
  <c r="U37" i="6"/>
  <c r="R37" i="6"/>
  <c r="O37" i="6"/>
  <c r="N37" i="6"/>
  <c r="L37" i="6"/>
  <c r="H37" i="6"/>
  <c r="I37" i="6" s="1"/>
  <c r="F37" i="6"/>
  <c r="C37" i="6"/>
  <c r="AC36" i="6"/>
  <c r="AD36" i="6" s="1"/>
  <c r="AA36" i="6"/>
  <c r="W36" i="6"/>
  <c r="X36" i="6" s="1"/>
  <c r="U36" i="6"/>
  <c r="R36" i="6"/>
  <c r="O36" i="6"/>
  <c r="N36" i="6"/>
  <c r="L36" i="6"/>
  <c r="H36" i="6"/>
  <c r="I36" i="6" s="1"/>
  <c r="F36" i="6"/>
  <c r="C36" i="6"/>
  <c r="AD35" i="6"/>
  <c r="AC35" i="6"/>
  <c r="AA35" i="6"/>
  <c r="X35" i="6"/>
  <c r="W35" i="6"/>
  <c r="U35" i="6"/>
  <c r="R35" i="6"/>
  <c r="N35" i="6"/>
  <c r="O35" i="6" s="1"/>
  <c r="L35" i="6"/>
  <c r="H35" i="6"/>
  <c r="I35" i="6" s="1"/>
  <c r="F35" i="6"/>
  <c r="C35" i="6"/>
  <c r="AD34" i="6"/>
  <c r="AC34" i="6"/>
  <c r="AA34" i="6"/>
  <c r="X34" i="6"/>
  <c r="W34" i="6"/>
  <c r="U34" i="6"/>
  <c r="R34" i="6"/>
  <c r="N34" i="6"/>
  <c r="O34" i="6" s="1"/>
  <c r="L34" i="6"/>
  <c r="I34" i="6"/>
  <c r="H34" i="6"/>
  <c r="F34" i="6"/>
  <c r="C34" i="6"/>
  <c r="AC33" i="6"/>
  <c r="AD33" i="6" s="1"/>
  <c r="AA33" i="6"/>
  <c r="W33" i="6"/>
  <c r="X33" i="6" s="1"/>
  <c r="U33" i="6"/>
  <c r="R33" i="6"/>
  <c r="O33" i="6"/>
  <c r="N33" i="6"/>
  <c r="L33" i="6"/>
  <c r="H33" i="6"/>
  <c r="I33" i="6" s="1"/>
  <c r="F33" i="6"/>
  <c r="C33" i="6"/>
  <c r="AC32" i="6"/>
  <c r="AD32" i="6" s="1"/>
  <c r="AA32" i="6"/>
  <c r="X32" i="6"/>
  <c r="W32" i="6"/>
  <c r="U32" i="6"/>
  <c r="R32" i="6"/>
  <c r="O32" i="6"/>
  <c r="N32" i="6"/>
  <c r="L32" i="6"/>
  <c r="H32" i="6"/>
  <c r="I32" i="6" s="1"/>
  <c r="F32" i="6"/>
  <c r="C32" i="6"/>
  <c r="AD31" i="6"/>
  <c r="AC31" i="6"/>
  <c r="AA31" i="6"/>
  <c r="X31" i="6"/>
  <c r="W31" i="6"/>
  <c r="U31" i="6"/>
  <c r="R31" i="6"/>
  <c r="O31" i="6"/>
  <c r="N31" i="6"/>
  <c r="L31" i="6"/>
  <c r="H31" i="6"/>
  <c r="I31" i="6" s="1"/>
  <c r="F31" i="6"/>
  <c r="C31" i="6"/>
  <c r="AC29" i="6"/>
  <c r="AD29" i="6" s="1"/>
  <c r="AA29" i="6"/>
  <c r="Z29" i="6"/>
  <c r="T29" i="6"/>
  <c r="U29" i="6" s="1"/>
  <c r="Q29" i="6"/>
  <c r="W29" i="6" s="1"/>
  <c r="X29" i="6" s="1"/>
  <c r="K29" i="6"/>
  <c r="L29" i="6" s="1"/>
  <c r="H29" i="6"/>
  <c r="I29" i="6" s="1"/>
  <c r="E29" i="6"/>
  <c r="F29" i="6" s="1"/>
  <c r="C29" i="6"/>
  <c r="B29" i="6"/>
  <c r="AC28" i="6"/>
  <c r="AD28" i="6" s="1"/>
  <c r="AA28" i="6"/>
  <c r="X28" i="6"/>
  <c r="W28" i="6"/>
  <c r="U28" i="6"/>
  <c r="R28" i="6"/>
  <c r="O28" i="6"/>
  <c r="N28" i="6"/>
  <c r="L28" i="6"/>
  <c r="H28" i="6"/>
  <c r="I28" i="6" s="1"/>
  <c r="F28" i="6"/>
  <c r="C28" i="6"/>
  <c r="AD27" i="6"/>
  <c r="AC27" i="6"/>
  <c r="AA27" i="6"/>
  <c r="X27" i="6"/>
  <c r="W27" i="6"/>
  <c r="U27" i="6"/>
  <c r="R27" i="6"/>
  <c r="O27" i="6"/>
  <c r="N27" i="6"/>
  <c r="L27" i="6"/>
  <c r="H27" i="6"/>
  <c r="I27" i="6" s="1"/>
  <c r="F27" i="6"/>
  <c r="C27" i="6"/>
  <c r="AC26" i="6"/>
  <c r="AD26" i="6" s="1"/>
  <c r="AA26" i="6"/>
  <c r="X26" i="6"/>
  <c r="W26" i="6"/>
  <c r="U26" i="6"/>
  <c r="R26" i="6"/>
  <c r="N26" i="6"/>
  <c r="O26" i="6" s="1"/>
  <c r="L26" i="6"/>
  <c r="I26" i="6"/>
  <c r="H26" i="6"/>
  <c r="F26" i="6"/>
  <c r="C26" i="6"/>
  <c r="AC25" i="6"/>
  <c r="AD25" i="6" s="1"/>
  <c r="AA25" i="6"/>
  <c r="W25" i="6"/>
  <c r="X25" i="6" s="1"/>
  <c r="U25" i="6"/>
  <c r="R25" i="6"/>
  <c r="O25" i="6"/>
  <c r="N25" i="6"/>
  <c r="L25" i="6"/>
  <c r="I25" i="6"/>
  <c r="H25" i="6"/>
  <c r="F25" i="6"/>
  <c r="C25" i="6"/>
  <c r="AC24" i="6"/>
  <c r="AD24" i="6" s="1"/>
  <c r="AA24" i="6"/>
  <c r="X24" i="6"/>
  <c r="W24" i="6"/>
  <c r="U24" i="6"/>
  <c r="R24" i="6"/>
  <c r="O24" i="6"/>
  <c r="N24" i="6"/>
  <c r="L24" i="6"/>
  <c r="H24" i="6"/>
  <c r="I24" i="6" s="1"/>
  <c r="F24" i="6"/>
  <c r="C24" i="6"/>
  <c r="AD23" i="6"/>
  <c r="AC23" i="6"/>
  <c r="AA23" i="6"/>
  <c r="X23" i="6"/>
  <c r="W23" i="6"/>
  <c r="U23" i="6"/>
  <c r="R23" i="6"/>
  <c r="N23" i="6"/>
  <c r="O23" i="6" s="1"/>
  <c r="L23" i="6"/>
  <c r="H23" i="6"/>
  <c r="I23" i="6" s="1"/>
  <c r="F23" i="6"/>
  <c r="C23" i="6"/>
  <c r="AC22" i="6"/>
  <c r="AD22" i="6" s="1"/>
  <c r="AA22" i="6"/>
  <c r="X22" i="6"/>
  <c r="W22" i="6"/>
  <c r="U22" i="6"/>
  <c r="R22" i="6"/>
  <c r="N22" i="6"/>
  <c r="O22" i="6" s="1"/>
  <c r="L22" i="6"/>
  <c r="I22" i="6"/>
  <c r="H22" i="6"/>
  <c r="F22" i="6"/>
  <c r="C22" i="6"/>
  <c r="AC21" i="6"/>
  <c r="AD21" i="6" s="1"/>
  <c r="AA21" i="6"/>
  <c r="W21" i="6"/>
  <c r="X21" i="6" s="1"/>
  <c r="U21" i="6"/>
  <c r="R21" i="6"/>
  <c r="O21" i="6"/>
  <c r="N21" i="6"/>
  <c r="L21" i="6"/>
  <c r="H21" i="6"/>
  <c r="I21" i="6" s="1"/>
  <c r="F21" i="6"/>
  <c r="C21" i="6"/>
  <c r="AC19" i="6"/>
  <c r="AD19" i="6" s="1"/>
  <c r="AA19" i="6"/>
  <c r="X19" i="6"/>
  <c r="W19" i="6"/>
  <c r="U19" i="6"/>
  <c r="R19" i="6"/>
  <c r="O19" i="6"/>
  <c r="N19" i="6"/>
  <c r="L19" i="6"/>
  <c r="H19" i="6"/>
  <c r="I19" i="6" s="1"/>
  <c r="F19" i="6"/>
  <c r="C19" i="6"/>
  <c r="Z18" i="6"/>
  <c r="AA18" i="6" s="1"/>
  <c r="T18" i="6"/>
  <c r="W18" i="6" s="1"/>
  <c r="X18" i="6" s="1"/>
  <c r="R18" i="6"/>
  <c r="Q18" i="6"/>
  <c r="AC18" i="6" s="1"/>
  <c r="AD18" i="6" s="1"/>
  <c r="N18" i="6"/>
  <c r="O18" i="6" s="1"/>
  <c r="K18" i="6"/>
  <c r="L18" i="6" s="1"/>
  <c r="F18" i="6"/>
  <c r="E18" i="6"/>
  <c r="B18" i="6"/>
  <c r="C18" i="6" s="1"/>
  <c r="AC17" i="6"/>
  <c r="AD17" i="6" s="1"/>
  <c r="AA17" i="6"/>
  <c r="W17" i="6"/>
  <c r="X17" i="6" s="1"/>
  <c r="U17" i="6"/>
  <c r="R17" i="6"/>
  <c r="O17" i="6"/>
  <c r="N17" i="6"/>
  <c r="L17" i="6"/>
  <c r="I17" i="6"/>
  <c r="H17" i="6"/>
  <c r="F17" i="6"/>
  <c r="C17" i="6"/>
  <c r="AC16" i="6"/>
  <c r="AD16" i="6" s="1"/>
  <c r="AA16" i="6"/>
  <c r="W16" i="6"/>
  <c r="X16" i="6" s="1"/>
  <c r="U16" i="6"/>
  <c r="R16" i="6"/>
  <c r="O16" i="6"/>
  <c r="N16" i="6"/>
  <c r="L16" i="6"/>
  <c r="H16" i="6"/>
  <c r="I16" i="6" s="1"/>
  <c r="F16" i="6"/>
  <c r="C16" i="6"/>
  <c r="AD15" i="6"/>
  <c r="AC15" i="6"/>
  <c r="AA15" i="6"/>
  <c r="X15" i="6"/>
  <c r="W15" i="6"/>
  <c r="U15" i="6"/>
  <c r="R15" i="6"/>
  <c r="O15" i="6"/>
  <c r="N15" i="6"/>
  <c r="L15" i="6"/>
  <c r="H15" i="6"/>
  <c r="I15" i="6" s="1"/>
  <c r="F15" i="6"/>
  <c r="C15" i="6"/>
  <c r="AD14" i="6"/>
  <c r="AC14" i="6"/>
  <c r="AA14" i="6"/>
  <c r="X14" i="6"/>
  <c r="W14" i="6"/>
  <c r="U14" i="6"/>
  <c r="R14" i="6"/>
  <c r="N14" i="6"/>
  <c r="O14" i="6" s="1"/>
  <c r="L14" i="6"/>
  <c r="I14" i="6"/>
  <c r="H14" i="6"/>
  <c r="F14" i="6"/>
  <c r="C14" i="6"/>
  <c r="AC13" i="6"/>
  <c r="AD13" i="6" s="1"/>
  <c r="AA13" i="6"/>
  <c r="X13" i="6"/>
  <c r="W13" i="6"/>
  <c r="U13" i="6"/>
  <c r="R13" i="6"/>
  <c r="O13" i="6"/>
  <c r="N13" i="6"/>
  <c r="L13" i="6"/>
  <c r="H13" i="6"/>
  <c r="I13" i="6" s="1"/>
  <c r="F13" i="6"/>
  <c r="C13" i="6"/>
  <c r="AC12" i="6"/>
  <c r="AD12" i="6" s="1"/>
  <c r="AA12" i="6"/>
  <c r="W12" i="6"/>
  <c r="X12" i="6" s="1"/>
  <c r="U12" i="6"/>
  <c r="R12" i="6"/>
  <c r="O12" i="6"/>
  <c r="N12" i="6"/>
  <c r="L12" i="6"/>
  <c r="H12" i="6"/>
  <c r="I12" i="6" s="1"/>
  <c r="F12" i="6"/>
  <c r="C12" i="6"/>
  <c r="AD11" i="6"/>
  <c r="AC11" i="6"/>
  <c r="AA11" i="6"/>
  <c r="X11" i="6"/>
  <c r="W11" i="6"/>
  <c r="U11" i="6"/>
  <c r="R11" i="6"/>
  <c r="N11" i="6"/>
  <c r="O11" i="6" s="1"/>
  <c r="L11" i="6"/>
  <c r="H11" i="6"/>
  <c r="I11" i="6" s="1"/>
  <c r="F11" i="6"/>
  <c r="C11" i="6"/>
  <c r="AC10" i="6"/>
  <c r="AD10" i="6" s="1"/>
  <c r="AA10" i="6"/>
  <c r="X10" i="6"/>
  <c r="W10" i="6"/>
  <c r="U10" i="6"/>
  <c r="R10" i="6"/>
  <c r="O10" i="6"/>
  <c r="N10" i="6"/>
  <c r="L10" i="6"/>
  <c r="I10" i="6"/>
  <c r="H10" i="6"/>
  <c r="F10" i="6"/>
  <c r="C10" i="6"/>
  <c r="AC8" i="6"/>
  <c r="AD8" i="6" s="1"/>
  <c r="AA8" i="6"/>
  <c r="W8" i="6"/>
  <c r="X8" i="6" s="1"/>
  <c r="U8" i="6"/>
  <c r="R8" i="6"/>
  <c r="O8" i="6"/>
  <c r="N8" i="6"/>
  <c r="L8" i="6"/>
  <c r="I8" i="6"/>
  <c r="H8" i="6"/>
  <c r="F8" i="6"/>
  <c r="C8" i="6"/>
  <c r="AC444" i="5"/>
  <c r="W444" i="5"/>
  <c r="N444" i="5"/>
  <c r="H444" i="5"/>
  <c r="I438" i="5" s="1"/>
  <c r="AC442" i="5"/>
  <c r="AD442" i="5" s="1"/>
  <c r="Z442" i="5"/>
  <c r="AA442" i="5" s="1"/>
  <c r="X442" i="5"/>
  <c r="W442" i="5"/>
  <c r="U442" i="5"/>
  <c r="T442" i="5"/>
  <c r="Q442" i="5"/>
  <c r="R442" i="5" s="1"/>
  <c r="L442" i="5"/>
  <c r="K442" i="5"/>
  <c r="N442" i="5" s="1"/>
  <c r="O442" i="5" s="1"/>
  <c r="E442" i="5"/>
  <c r="F442" i="5" s="1"/>
  <c r="B442" i="5"/>
  <c r="AC441" i="5"/>
  <c r="AD441" i="5" s="1"/>
  <c r="AA441" i="5"/>
  <c r="Z441" i="5"/>
  <c r="T441" i="5"/>
  <c r="U441" i="5" s="1"/>
  <c r="R441" i="5"/>
  <c r="Q441" i="5"/>
  <c r="K441" i="5"/>
  <c r="L441" i="5" s="1"/>
  <c r="E441" i="5"/>
  <c r="H441" i="5" s="1"/>
  <c r="I441" i="5" s="1"/>
  <c r="C441" i="5"/>
  <c r="B441" i="5"/>
  <c r="N441" i="5" s="1"/>
  <c r="O441" i="5" s="1"/>
  <c r="AC440" i="5"/>
  <c r="AD440" i="5" s="1"/>
  <c r="AA440" i="5"/>
  <c r="W440" i="5"/>
  <c r="U440" i="5"/>
  <c r="R440" i="5"/>
  <c r="O440" i="5"/>
  <c r="N440" i="5"/>
  <c r="L440" i="5"/>
  <c r="H440" i="5"/>
  <c r="F440" i="5"/>
  <c r="C440" i="5"/>
  <c r="AD439" i="5"/>
  <c r="AC439" i="5"/>
  <c r="AA439" i="5"/>
  <c r="X439" i="5"/>
  <c r="W439" i="5"/>
  <c r="U439" i="5"/>
  <c r="R439" i="5"/>
  <c r="N439" i="5"/>
  <c r="O439" i="5" s="1"/>
  <c r="L439" i="5"/>
  <c r="H439" i="5"/>
  <c r="I439" i="5" s="1"/>
  <c r="F439" i="5"/>
  <c r="C439" i="5"/>
  <c r="AC438" i="5"/>
  <c r="AD438" i="5" s="1"/>
  <c r="AA438" i="5"/>
  <c r="W438" i="5"/>
  <c r="U438" i="5"/>
  <c r="R438" i="5"/>
  <c r="O438" i="5"/>
  <c r="N438" i="5"/>
  <c r="L438" i="5"/>
  <c r="H438" i="5"/>
  <c r="F438" i="5"/>
  <c r="C438" i="5"/>
  <c r="AC437" i="5"/>
  <c r="AD437" i="5" s="1"/>
  <c r="AA437" i="5"/>
  <c r="W437" i="5"/>
  <c r="X437" i="5" s="1"/>
  <c r="U437" i="5"/>
  <c r="R437" i="5"/>
  <c r="O437" i="5"/>
  <c r="N437" i="5"/>
  <c r="L437" i="5"/>
  <c r="I437" i="5"/>
  <c r="H437" i="5"/>
  <c r="F437" i="5"/>
  <c r="C437" i="5"/>
  <c r="AC436" i="5"/>
  <c r="AD436" i="5" s="1"/>
  <c r="AA436" i="5"/>
  <c r="W436" i="5"/>
  <c r="X436" i="5" s="1"/>
  <c r="U436" i="5"/>
  <c r="R436" i="5"/>
  <c r="O436" i="5"/>
  <c r="N436" i="5"/>
  <c r="L436" i="5"/>
  <c r="H436" i="5"/>
  <c r="I436" i="5" s="1"/>
  <c r="F436" i="5"/>
  <c r="C436" i="5"/>
  <c r="AD435" i="5"/>
  <c r="AC435" i="5"/>
  <c r="AA435" i="5"/>
  <c r="W435" i="5"/>
  <c r="U435" i="5"/>
  <c r="R435" i="5"/>
  <c r="O435" i="5"/>
  <c r="N435" i="5"/>
  <c r="L435" i="5"/>
  <c r="H435" i="5"/>
  <c r="F435" i="5"/>
  <c r="C435" i="5"/>
  <c r="AD434" i="5"/>
  <c r="AC434" i="5"/>
  <c r="AA434" i="5"/>
  <c r="W434" i="5"/>
  <c r="U434" i="5"/>
  <c r="R434" i="5"/>
  <c r="O434" i="5"/>
  <c r="N434" i="5"/>
  <c r="L434" i="5"/>
  <c r="I434" i="5"/>
  <c r="H434" i="5"/>
  <c r="F434" i="5"/>
  <c r="C434" i="5"/>
  <c r="AC433" i="5"/>
  <c r="AD433" i="5" s="1"/>
  <c r="AA433" i="5"/>
  <c r="W433" i="5"/>
  <c r="X433" i="5" s="1"/>
  <c r="U433" i="5"/>
  <c r="R433" i="5"/>
  <c r="O433" i="5"/>
  <c r="N433" i="5"/>
  <c r="L433" i="5"/>
  <c r="H433" i="5"/>
  <c r="F433" i="5"/>
  <c r="C433" i="5"/>
  <c r="AC432" i="5"/>
  <c r="AD432" i="5" s="1"/>
  <c r="AA432" i="5"/>
  <c r="W432" i="5"/>
  <c r="X432" i="5" s="1"/>
  <c r="U432" i="5"/>
  <c r="R432" i="5"/>
  <c r="O432" i="5"/>
  <c r="N432" i="5"/>
  <c r="L432" i="5"/>
  <c r="H432" i="5"/>
  <c r="I432" i="5" s="1"/>
  <c r="F432" i="5"/>
  <c r="C432" i="5"/>
  <c r="Z429" i="5"/>
  <c r="AA429" i="5" s="1"/>
  <c r="T429" i="5"/>
  <c r="W429" i="5" s="1"/>
  <c r="X429" i="5" s="1"/>
  <c r="R429" i="5"/>
  <c r="Q429" i="5"/>
  <c r="K429" i="5"/>
  <c r="L429" i="5" s="1"/>
  <c r="F429" i="5"/>
  <c r="E429" i="5"/>
  <c r="B429" i="5"/>
  <c r="C429" i="5" s="1"/>
  <c r="Z428" i="5"/>
  <c r="AA428" i="5" s="1"/>
  <c r="T428" i="5"/>
  <c r="U428" i="5" s="1"/>
  <c r="Q428" i="5"/>
  <c r="AC428" i="5" s="1"/>
  <c r="AD428" i="5" s="1"/>
  <c r="O428" i="5"/>
  <c r="N428" i="5"/>
  <c r="L428" i="5"/>
  <c r="K428" i="5"/>
  <c r="E428" i="5"/>
  <c r="F428" i="5" s="1"/>
  <c r="C428" i="5"/>
  <c r="B428" i="5"/>
  <c r="H428" i="5" s="1"/>
  <c r="I428" i="5" s="1"/>
  <c r="AD427" i="5"/>
  <c r="AC427" i="5"/>
  <c r="AA427" i="5"/>
  <c r="W427" i="5"/>
  <c r="U427" i="5"/>
  <c r="R427" i="5"/>
  <c r="N427" i="5"/>
  <c r="O427" i="5" s="1"/>
  <c r="L427" i="5"/>
  <c r="H427" i="5"/>
  <c r="F427" i="5"/>
  <c r="C427" i="5"/>
  <c r="AC426" i="5"/>
  <c r="AD426" i="5" s="1"/>
  <c r="AA426" i="5"/>
  <c r="W426" i="5"/>
  <c r="U426" i="5"/>
  <c r="R426" i="5"/>
  <c r="N426" i="5"/>
  <c r="O426" i="5" s="1"/>
  <c r="L426" i="5"/>
  <c r="I426" i="5"/>
  <c r="H426" i="5"/>
  <c r="F426" i="5"/>
  <c r="C426" i="5"/>
  <c r="AC425" i="5"/>
  <c r="AD425" i="5" s="1"/>
  <c r="AA425" i="5"/>
  <c r="W425" i="5"/>
  <c r="U425" i="5"/>
  <c r="R425" i="5"/>
  <c r="O425" i="5"/>
  <c r="N425" i="5"/>
  <c r="L425" i="5"/>
  <c r="H425" i="5"/>
  <c r="I425" i="5" s="1"/>
  <c r="F425" i="5"/>
  <c r="C425" i="5"/>
  <c r="AC424" i="5"/>
  <c r="AD424" i="5" s="1"/>
  <c r="AA424" i="5"/>
  <c r="X424" i="5"/>
  <c r="W424" i="5"/>
  <c r="U424" i="5"/>
  <c r="R424" i="5"/>
  <c r="O424" i="5"/>
  <c r="N424" i="5"/>
  <c r="L424" i="5"/>
  <c r="H424" i="5"/>
  <c r="I424" i="5" s="1"/>
  <c r="F424" i="5"/>
  <c r="C424" i="5"/>
  <c r="AD423" i="5"/>
  <c r="AC423" i="5"/>
  <c r="AA423" i="5"/>
  <c r="X423" i="5"/>
  <c r="W423" i="5"/>
  <c r="U423" i="5"/>
  <c r="R423" i="5"/>
  <c r="N423" i="5"/>
  <c r="O423" i="5" s="1"/>
  <c r="L423" i="5"/>
  <c r="H423" i="5"/>
  <c r="F423" i="5"/>
  <c r="C423" i="5"/>
  <c r="AD422" i="5"/>
  <c r="AC422" i="5"/>
  <c r="AA422" i="5"/>
  <c r="W422" i="5"/>
  <c r="U422" i="5"/>
  <c r="R422" i="5"/>
  <c r="N422" i="5"/>
  <c r="O422" i="5" s="1"/>
  <c r="L422" i="5"/>
  <c r="I422" i="5"/>
  <c r="H422" i="5"/>
  <c r="F422" i="5"/>
  <c r="C422" i="5"/>
  <c r="AC421" i="5"/>
  <c r="AD421" i="5" s="1"/>
  <c r="AA421" i="5"/>
  <c r="W421" i="5"/>
  <c r="X421" i="5" s="1"/>
  <c r="U421" i="5"/>
  <c r="R421" i="5"/>
  <c r="O421" i="5"/>
  <c r="N421" i="5"/>
  <c r="L421" i="5"/>
  <c r="H421" i="5"/>
  <c r="I421" i="5" s="1"/>
  <c r="F421" i="5"/>
  <c r="C421" i="5"/>
  <c r="AC420" i="5"/>
  <c r="AD420" i="5" s="1"/>
  <c r="AA420" i="5"/>
  <c r="W420" i="5"/>
  <c r="U420" i="5"/>
  <c r="R420" i="5"/>
  <c r="O420" i="5"/>
  <c r="N420" i="5"/>
  <c r="L420" i="5"/>
  <c r="H420" i="5"/>
  <c r="F420" i="5"/>
  <c r="C420" i="5"/>
  <c r="AD419" i="5"/>
  <c r="AC419" i="5"/>
  <c r="AA419" i="5"/>
  <c r="X419" i="5"/>
  <c r="W419" i="5"/>
  <c r="U419" i="5"/>
  <c r="R419" i="5"/>
  <c r="N419" i="5"/>
  <c r="O419" i="5" s="1"/>
  <c r="L419" i="5"/>
  <c r="H419" i="5"/>
  <c r="I419" i="5" s="1"/>
  <c r="F419" i="5"/>
  <c r="C419" i="5"/>
  <c r="AC418" i="5"/>
  <c r="AD418" i="5" s="1"/>
  <c r="AA418" i="5"/>
  <c r="W418" i="5"/>
  <c r="U418" i="5"/>
  <c r="R418" i="5"/>
  <c r="O418" i="5"/>
  <c r="N418" i="5"/>
  <c r="L418" i="5"/>
  <c r="H418" i="5"/>
  <c r="F418" i="5"/>
  <c r="C418" i="5"/>
  <c r="AC417" i="5"/>
  <c r="AD417" i="5" s="1"/>
  <c r="AA417" i="5"/>
  <c r="W417" i="5"/>
  <c r="X417" i="5" s="1"/>
  <c r="U417" i="5"/>
  <c r="R417" i="5"/>
  <c r="O417" i="5"/>
  <c r="N417" i="5"/>
  <c r="L417" i="5"/>
  <c r="I417" i="5"/>
  <c r="H417" i="5"/>
  <c r="F417" i="5"/>
  <c r="C417" i="5"/>
  <c r="AC416" i="5"/>
  <c r="AD416" i="5" s="1"/>
  <c r="AA416" i="5"/>
  <c r="W416" i="5"/>
  <c r="X416" i="5" s="1"/>
  <c r="U416" i="5"/>
  <c r="R416" i="5"/>
  <c r="O416" i="5"/>
  <c r="N416" i="5"/>
  <c r="L416" i="5"/>
  <c r="H416" i="5"/>
  <c r="I416" i="5" s="1"/>
  <c r="F416" i="5"/>
  <c r="C416" i="5"/>
  <c r="AD415" i="5"/>
  <c r="AC415" i="5"/>
  <c r="AA415" i="5"/>
  <c r="W415" i="5"/>
  <c r="U415" i="5"/>
  <c r="R415" i="5"/>
  <c r="O415" i="5"/>
  <c r="N415" i="5"/>
  <c r="L415" i="5"/>
  <c r="H415" i="5"/>
  <c r="F415" i="5"/>
  <c r="C415" i="5"/>
  <c r="AC414" i="5"/>
  <c r="AD414" i="5" s="1"/>
  <c r="AA414" i="5"/>
  <c r="W414" i="5"/>
  <c r="U414" i="5"/>
  <c r="R414" i="5"/>
  <c r="O414" i="5"/>
  <c r="N414" i="5"/>
  <c r="L414" i="5"/>
  <c r="I414" i="5"/>
  <c r="H414" i="5"/>
  <c r="F414" i="5"/>
  <c r="C414" i="5"/>
  <c r="AC413" i="5"/>
  <c r="AD413" i="5" s="1"/>
  <c r="AA413" i="5"/>
  <c r="W413" i="5"/>
  <c r="X413" i="5" s="1"/>
  <c r="U413" i="5"/>
  <c r="R413" i="5"/>
  <c r="O413" i="5"/>
  <c r="N413" i="5"/>
  <c r="L413" i="5"/>
  <c r="H413" i="5"/>
  <c r="F413" i="5"/>
  <c r="C413" i="5"/>
  <c r="AC412" i="5"/>
  <c r="AD412" i="5" s="1"/>
  <c r="AA412" i="5"/>
  <c r="W412" i="5"/>
  <c r="X412" i="5" s="1"/>
  <c r="U412" i="5"/>
  <c r="R412" i="5"/>
  <c r="O412" i="5"/>
  <c r="N412" i="5"/>
  <c r="L412" i="5"/>
  <c r="H412" i="5"/>
  <c r="I412" i="5" s="1"/>
  <c r="F412" i="5"/>
  <c r="C412" i="5"/>
  <c r="AD411" i="5"/>
  <c r="AC411" i="5"/>
  <c r="AA411" i="5"/>
  <c r="X411" i="5"/>
  <c r="W411" i="5"/>
  <c r="U411" i="5"/>
  <c r="R411" i="5"/>
  <c r="N411" i="5"/>
  <c r="O411" i="5" s="1"/>
  <c r="L411" i="5"/>
  <c r="H411" i="5"/>
  <c r="I411" i="5" s="1"/>
  <c r="F411" i="5"/>
  <c r="C411" i="5"/>
  <c r="AD410" i="5"/>
  <c r="AC410" i="5"/>
  <c r="AA410" i="5"/>
  <c r="W410" i="5"/>
  <c r="U410" i="5"/>
  <c r="R410" i="5"/>
  <c r="O410" i="5"/>
  <c r="N410" i="5"/>
  <c r="L410" i="5"/>
  <c r="H410" i="5"/>
  <c r="I410" i="5" s="1"/>
  <c r="F410" i="5"/>
  <c r="C410" i="5"/>
  <c r="AC409" i="5"/>
  <c r="AD409" i="5" s="1"/>
  <c r="AA409" i="5"/>
  <c r="X409" i="5"/>
  <c r="W409" i="5"/>
  <c r="U409" i="5"/>
  <c r="R409" i="5"/>
  <c r="O409" i="5"/>
  <c r="N409" i="5"/>
  <c r="L409" i="5"/>
  <c r="H409" i="5"/>
  <c r="I409" i="5" s="1"/>
  <c r="F409" i="5"/>
  <c r="C409" i="5"/>
  <c r="AC408" i="5"/>
  <c r="AD408" i="5" s="1"/>
  <c r="AA408" i="5"/>
  <c r="X408" i="5"/>
  <c r="W408" i="5"/>
  <c r="U408" i="5"/>
  <c r="R408" i="5"/>
  <c r="O408" i="5"/>
  <c r="N408" i="5"/>
  <c r="L408" i="5"/>
  <c r="H408" i="5"/>
  <c r="F408" i="5"/>
  <c r="C408" i="5"/>
  <c r="AC407" i="5"/>
  <c r="AD407" i="5" s="1"/>
  <c r="AA407" i="5"/>
  <c r="W407" i="5"/>
  <c r="U407" i="5"/>
  <c r="R407" i="5"/>
  <c r="O407" i="5"/>
  <c r="N407" i="5"/>
  <c r="L407" i="5"/>
  <c r="H407" i="5"/>
  <c r="F407" i="5"/>
  <c r="C407" i="5"/>
  <c r="AA403" i="5"/>
  <c r="Z403" i="5"/>
  <c r="U403" i="5"/>
  <c r="T403" i="5"/>
  <c r="Q403" i="5"/>
  <c r="W403" i="5" s="1"/>
  <c r="X403" i="5" s="1"/>
  <c r="N403" i="5"/>
  <c r="O403" i="5" s="1"/>
  <c r="K403" i="5"/>
  <c r="L403" i="5" s="1"/>
  <c r="E403" i="5"/>
  <c r="F403" i="5" s="1"/>
  <c r="C403" i="5"/>
  <c r="B403" i="5"/>
  <c r="AC402" i="5"/>
  <c r="AD402" i="5" s="1"/>
  <c r="AA402" i="5"/>
  <c r="W402" i="5"/>
  <c r="X402" i="5" s="1"/>
  <c r="U402" i="5"/>
  <c r="R402" i="5"/>
  <c r="O402" i="5"/>
  <c r="N402" i="5"/>
  <c r="L402" i="5"/>
  <c r="H402" i="5"/>
  <c r="F402" i="5"/>
  <c r="C402" i="5"/>
  <c r="AD401" i="5"/>
  <c r="AC401" i="5"/>
  <c r="AA401" i="5"/>
  <c r="W401" i="5"/>
  <c r="X401" i="5" s="1"/>
  <c r="U401" i="5"/>
  <c r="R401" i="5"/>
  <c r="O401" i="5"/>
  <c r="N401" i="5"/>
  <c r="L401" i="5"/>
  <c r="H401" i="5"/>
  <c r="I401" i="5" s="1"/>
  <c r="F401" i="5"/>
  <c r="C401" i="5"/>
  <c r="AC400" i="5"/>
  <c r="AD400" i="5" s="1"/>
  <c r="AA400" i="5"/>
  <c r="X400" i="5"/>
  <c r="W400" i="5"/>
  <c r="U400" i="5"/>
  <c r="R400" i="5"/>
  <c r="N400" i="5"/>
  <c r="O400" i="5" s="1"/>
  <c r="L400" i="5"/>
  <c r="I400" i="5"/>
  <c r="H400" i="5"/>
  <c r="F400" i="5"/>
  <c r="C400" i="5"/>
  <c r="AD399" i="5"/>
  <c r="AC399" i="5"/>
  <c r="AA399" i="5"/>
  <c r="W399" i="5"/>
  <c r="X399" i="5" s="1"/>
  <c r="U399" i="5"/>
  <c r="R399" i="5"/>
  <c r="N399" i="5"/>
  <c r="O399" i="5" s="1"/>
  <c r="L399" i="5"/>
  <c r="H399" i="5"/>
  <c r="I399" i="5" s="1"/>
  <c r="F399" i="5"/>
  <c r="C399" i="5"/>
  <c r="AC398" i="5"/>
  <c r="AD398" i="5" s="1"/>
  <c r="AA398" i="5"/>
  <c r="W398" i="5"/>
  <c r="X398" i="5" s="1"/>
  <c r="U398" i="5"/>
  <c r="R398" i="5"/>
  <c r="O398" i="5"/>
  <c r="N398" i="5"/>
  <c r="L398" i="5"/>
  <c r="H398" i="5"/>
  <c r="F398" i="5"/>
  <c r="C398" i="5"/>
  <c r="AC397" i="5"/>
  <c r="AD397" i="5" s="1"/>
  <c r="AA397" i="5"/>
  <c r="W397" i="5"/>
  <c r="X397" i="5" s="1"/>
  <c r="U397" i="5"/>
  <c r="R397" i="5"/>
  <c r="N397" i="5"/>
  <c r="O397" i="5" s="1"/>
  <c r="L397" i="5"/>
  <c r="H397" i="5"/>
  <c r="I397" i="5" s="1"/>
  <c r="F397" i="5"/>
  <c r="C397" i="5"/>
  <c r="Z396" i="5"/>
  <c r="AC396" i="5" s="1"/>
  <c r="AD396" i="5" s="1"/>
  <c r="U396" i="5"/>
  <c r="T396" i="5"/>
  <c r="R396" i="5"/>
  <c r="Q396" i="5"/>
  <c r="W396" i="5" s="1"/>
  <c r="X396" i="5" s="1"/>
  <c r="O396" i="5"/>
  <c r="N396" i="5"/>
  <c r="K396" i="5"/>
  <c r="L396" i="5" s="1"/>
  <c r="F396" i="5"/>
  <c r="E396" i="5"/>
  <c r="B396" i="5"/>
  <c r="H396" i="5" s="1"/>
  <c r="I396" i="5" s="1"/>
  <c r="AC395" i="5"/>
  <c r="AD395" i="5" s="1"/>
  <c r="AA395" i="5"/>
  <c r="W395" i="5"/>
  <c r="X395" i="5" s="1"/>
  <c r="U395" i="5"/>
  <c r="R395" i="5"/>
  <c r="O395" i="5"/>
  <c r="N395" i="5"/>
  <c r="L395" i="5"/>
  <c r="H395" i="5"/>
  <c r="F395" i="5"/>
  <c r="C395" i="5"/>
  <c r="AC394" i="5"/>
  <c r="AD394" i="5" s="1"/>
  <c r="AA394" i="5"/>
  <c r="W394" i="5"/>
  <c r="X394" i="5" s="1"/>
  <c r="U394" i="5"/>
  <c r="R394" i="5"/>
  <c r="O394" i="5"/>
  <c r="N394" i="5"/>
  <c r="L394" i="5"/>
  <c r="H394" i="5"/>
  <c r="I394" i="5" s="1"/>
  <c r="F394" i="5"/>
  <c r="C394" i="5"/>
  <c r="AA393" i="5"/>
  <c r="Z393" i="5"/>
  <c r="U393" i="5"/>
  <c r="T393" i="5"/>
  <c r="Q393" i="5"/>
  <c r="W393" i="5" s="1"/>
  <c r="X393" i="5" s="1"/>
  <c r="O393" i="5"/>
  <c r="N393" i="5"/>
  <c r="K393" i="5"/>
  <c r="L393" i="5" s="1"/>
  <c r="F393" i="5"/>
  <c r="E393" i="5"/>
  <c r="C393" i="5"/>
  <c r="B393" i="5"/>
  <c r="AC392" i="5"/>
  <c r="AD392" i="5" s="1"/>
  <c r="AA392" i="5"/>
  <c r="W392" i="5"/>
  <c r="X392" i="5" s="1"/>
  <c r="U392" i="5"/>
  <c r="R392" i="5"/>
  <c r="O392" i="5"/>
  <c r="N392" i="5"/>
  <c r="L392" i="5"/>
  <c r="H392" i="5"/>
  <c r="F392" i="5"/>
  <c r="C392" i="5"/>
  <c r="AD391" i="5"/>
  <c r="AC391" i="5"/>
  <c r="AA391" i="5"/>
  <c r="W391" i="5"/>
  <c r="X391" i="5" s="1"/>
  <c r="U391" i="5"/>
  <c r="R391" i="5"/>
  <c r="O391" i="5"/>
  <c r="N391" i="5"/>
  <c r="L391" i="5"/>
  <c r="H391" i="5"/>
  <c r="I391" i="5" s="1"/>
  <c r="F391" i="5"/>
  <c r="C391" i="5"/>
  <c r="AC390" i="5"/>
  <c r="AD390" i="5" s="1"/>
  <c r="AA390" i="5"/>
  <c r="X390" i="5"/>
  <c r="W390" i="5"/>
  <c r="U390" i="5"/>
  <c r="R390" i="5"/>
  <c r="N390" i="5"/>
  <c r="O390" i="5" s="1"/>
  <c r="L390" i="5"/>
  <c r="H390" i="5"/>
  <c r="I390" i="5" s="1"/>
  <c r="F390" i="5"/>
  <c r="C390" i="5"/>
  <c r="AD389" i="5"/>
  <c r="AC389" i="5"/>
  <c r="AA389" i="5"/>
  <c r="W389" i="5"/>
  <c r="X389" i="5" s="1"/>
  <c r="U389" i="5"/>
  <c r="R389" i="5"/>
  <c r="N389" i="5"/>
  <c r="O389" i="5" s="1"/>
  <c r="L389" i="5"/>
  <c r="H389" i="5"/>
  <c r="I389" i="5" s="1"/>
  <c r="F389" i="5"/>
  <c r="C389" i="5"/>
  <c r="AC388" i="5"/>
  <c r="AD388" i="5" s="1"/>
  <c r="AA388" i="5"/>
  <c r="W388" i="5"/>
  <c r="X388" i="5" s="1"/>
  <c r="U388" i="5"/>
  <c r="R388" i="5"/>
  <c r="O388" i="5"/>
  <c r="N388" i="5"/>
  <c r="L388" i="5"/>
  <c r="H388" i="5"/>
  <c r="F388" i="5"/>
  <c r="C388" i="5"/>
  <c r="AD386" i="5"/>
  <c r="AC386" i="5"/>
  <c r="AA386" i="5"/>
  <c r="W386" i="5"/>
  <c r="X386" i="5" s="1"/>
  <c r="U386" i="5"/>
  <c r="R386" i="5"/>
  <c r="N386" i="5"/>
  <c r="O386" i="5" s="1"/>
  <c r="L386" i="5"/>
  <c r="H386" i="5"/>
  <c r="I386" i="5" s="1"/>
  <c r="F386" i="5"/>
  <c r="C386" i="5"/>
  <c r="AC385" i="5"/>
  <c r="AD385" i="5" s="1"/>
  <c r="AA385" i="5"/>
  <c r="X385" i="5"/>
  <c r="W385" i="5"/>
  <c r="U385" i="5"/>
  <c r="R385" i="5"/>
  <c r="N385" i="5"/>
  <c r="O385" i="5" s="1"/>
  <c r="L385" i="5"/>
  <c r="I385" i="5"/>
  <c r="H385" i="5"/>
  <c r="F385" i="5"/>
  <c r="C385" i="5"/>
  <c r="AD383" i="5"/>
  <c r="AC383" i="5"/>
  <c r="AA383" i="5"/>
  <c r="W383" i="5"/>
  <c r="X383" i="5" s="1"/>
  <c r="U383" i="5"/>
  <c r="R383" i="5"/>
  <c r="N383" i="5"/>
  <c r="O383" i="5" s="1"/>
  <c r="L383" i="5"/>
  <c r="I383" i="5"/>
  <c r="H383" i="5"/>
  <c r="F383" i="5"/>
  <c r="C383" i="5"/>
  <c r="AC382" i="5"/>
  <c r="AD382" i="5" s="1"/>
  <c r="AA382" i="5"/>
  <c r="W382" i="5"/>
  <c r="X382" i="5" s="1"/>
  <c r="U382" i="5"/>
  <c r="R382" i="5"/>
  <c r="O382" i="5"/>
  <c r="N382" i="5"/>
  <c r="L382" i="5"/>
  <c r="H382" i="5"/>
  <c r="F382" i="5"/>
  <c r="C382" i="5"/>
  <c r="AC381" i="5"/>
  <c r="AD381" i="5" s="1"/>
  <c r="AA381" i="5"/>
  <c r="W381" i="5"/>
  <c r="X381" i="5" s="1"/>
  <c r="U381" i="5"/>
  <c r="R381" i="5"/>
  <c r="O381" i="5"/>
  <c r="N381" i="5"/>
  <c r="L381" i="5"/>
  <c r="H381" i="5"/>
  <c r="I381" i="5" s="1"/>
  <c r="F381" i="5"/>
  <c r="C381" i="5"/>
  <c r="AD380" i="5"/>
  <c r="AC380" i="5"/>
  <c r="AA380" i="5"/>
  <c r="X380" i="5"/>
  <c r="W380" i="5"/>
  <c r="U380" i="5"/>
  <c r="R380" i="5"/>
  <c r="N380" i="5"/>
  <c r="O380" i="5" s="1"/>
  <c r="L380" i="5"/>
  <c r="H380" i="5"/>
  <c r="I380" i="5" s="1"/>
  <c r="F380" i="5"/>
  <c r="C380" i="5"/>
  <c r="AD379" i="5"/>
  <c r="AC379" i="5"/>
  <c r="AA379" i="5"/>
  <c r="X379" i="5"/>
  <c r="W379" i="5"/>
  <c r="U379" i="5"/>
  <c r="R379" i="5"/>
  <c r="N379" i="5"/>
  <c r="O379" i="5" s="1"/>
  <c r="L379" i="5"/>
  <c r="H379" i="5"/>
  <c r="I379" i="5" s="1"/>
  <c r="F379" i="5"/>
  <c r="C379" i="5"/>
  <c r="AC378" i="5"/>
  <c r="AD378" i="5" s="1"/>
  <c r="AA378" i="5"/>
  <c r="W378" i="5"/>
  <c r="X378" i="5" s="1"/>
  <c r="U378" i="5"/>
  <c r="R378" i="5"/>
  <c r="O378" i="5"/>
  <c r="N378" i="5"/>
  <c r="L378" i="5"/>
  <c r="H378" i="5"/>
  <c r="F378" i="5"/>
  <c r="C378" i="5"/>
  <c r="AD377" i="5"/>
  <c r="AC377" i="5"/>
  <c r="AA377" i="5"/>
  <c r="W377" i="5"/>
  <c r="X377" i="5" s="1"/>
  <c r="U377" i="5"/>
  <c r="R377" i="5"/>
  <c r="O377" i="5"/>
  <c r="N377" i="5"/>
  <c r="L377" i="5"/>
  <c r="H377" i="5"/>
  <c r="I377" i="5" s="1"/>
  <c r="F377" i="5"/>
  <c r="C377" i="5"/>
  <c r="AC376" i="5"/>
  <c r="AD376" i="5" s="1"/>
  <c r="AA376" i="5"/>
  <c r="X376" i="5"/>
  <c r="W376" i="5"/>
  <c r="U376" i="5"/>
  <c r="R376" i="5"/>
  <c r="N376" i="5"/>
  <c r="O376" i="5" s="1"/>
  <c r="L376" i="5"/>
  <c r="I376" i="5"/>
  <c r="H376" i="5"/>
  <c r="F376" i="5"/>
  <c r="C376" i="5"/>
  <c r="AD375" i="5"/>
  <c r="AC375" i="5"/>
  <c r="AA375" i="5"/>
  <c r="W375" i="5"/>
  <c r="X375" i="5" s="1"/>
  <c r="U375" i="5"/>
  <c r="R375" i="5"/>
  <c r="N375" i="5"/>
  <c r="O375" i="5" s="1"/>
  <c r="L375" i="5"/>
  <c r="H375" i="5"/>
  <c r="I375" i="5" s="1"/>
  <c r="F375" i="5"/>
  <c r="C375" i="5"/>
  <c r="AC374" i="5"/>
  <c r="AD374" i="5" s="1"/>
  <c r="AA374" i="5"/>
  <c r="W374" i="5"/>
  <c r="X374" i="5" s="1"/>
  <c r="U374" i="5"/>
  <c r="R374" i="5"/>
  <c r="O374" i="5"/>
  <c r="N374" i="5"/>
  <c r="L374" i="5"/>
  <c r="H374" i="5"/>
  <c r="F374" i="5"/>
  <c r="C374" i="5"/>
  <c r="AC373" i="5"/>
  <c r="AD373" i="5" s="1"/>
  <c r="AA373" i="5"/>
  <c r="W373" i="5"/>
  <c r="X373" i="5" s="1"/>
  <c r="U373" i="5"/>
  <c r="R373" i="5"/>
  <c r="N373" i="5"/>
  <c r="O373" i="5" s="1"/>
  <c r="L373" i="5"/>
  <c r="H373" i="5"/>
  <c r="I373" i="5" s="1"/>
  <c r="F373" i="5"/>
  <c r="C373" i="5"/>
  <c r="AD372" i="5"/>
  <c r="AC372" i="5"/>
  <c r="AA372" i="5"/>
  <c r="X372" i="5"/>
  <c r="W372" i="5"/>
  <c r="U372" i="5"/>
  <c r="R372" i="5"/>
  <c r="N372" i="5"/>
  <c r="O372" i="5" s="1"/>
  <c r="L372" i="5"/>
  <c r="H372" i="5"/>
  <c r="I372" i="5" s="1"/>
  <c r="F372" i="5"/>
  <c r="C372" i="5"/>
  <c r="AD371" i="5"/>
  <c r="AC371" i="5"/>
  <c r="AA371" i="5"/>
  <c r="X371" i="5"/>
  <c r="W371" i="5"/>
  <c r="U371" i="5"/>
  <c r="R371" i="5"/>
  <c r="N371" i="5"/>
  <c r="O371" i="5" s="1"/>
  <c r="L371" i="5"/>
  <c r="I371" i="5"/>
  <c r="H371" i="5"/>
  <c r="F371" i="5"/>
  <c r="C371" i="5"/>
  <c r="AC370" i="5"/>
  <c r="AD370" i="5" s="1"/>
  <c r="AA370" i="5"/>
  <c r="W370" i="5"/>
  <c r="X370" i="5" s="1"/>
  <c r="U370" i="5"/>
  <c r="R370" i="5"/>
  <c r="O370" i="5"/>
  <c r="N370" i="5"/>
  <c r="L370" i="5"/>
  <c r="H370" i="5"/>
  <c r="F370" i="5"/>
  <c r="C370" i="5"/>
  <c r="AC369" i="5"/>
  <c r="AD369" i="5" s="1"/>
  <c r="AA369" i="5"/>
  <c r="W369" i="5"/>
  <c r="X369" i="5" s="1"/>
  <c r="U369" i="5"/>
  <c r="R369" i="5"/>
  <c r="O369" i="5"/>
  <c r="N369" i="5"/>
  <c r="L369" i="5"/>
  <c r="H369" i="5"/>
  <c r="I369" i="5" s="1"/>
  <c r="F369" i="5"/>
  <c r="C369" i="5"/>
  <c r="AA368" i="5"/>
  <c r="Z368" i="5"/>
  <c r="U368" i="5"/>
  <c r="T368" i="5"/>
  <c r="Q368" i="5"/>
  <c r="W368" i="5" s="1"/>
  <c r="X368" i="5" s="1"/>
  <c r="N368" i="5"/>
  <c r="O368" i="5" s="1"/>
  <c r="K368" i="5"/>
  <c r="L368" i="5" s="1"/>
  <c r="E368" i="5"/>
  <c r="F368" i="5" s="1"/>
  <c r="C368" i="5"/>
  <c r="B368" i="5"/>
  <c r="AC367" i="5"/>
  <c r="AD367" i="5" s="1"/>
  <c r="AA367" i="5"/>
  <c r="W367" i="5"/>
  <c r="X367" i="5" s="1"/>
  <c r="U367" i="5"/>
  <c r="R367" i="5"/>
  <c r="O367" i="5"/>
  <c r="N367" i="5"/>
  <c r="L367" i="5"/>
  <c r="H367" i="5"/>
  <c r="F367" i="5"/>
  <c r="C367" i="5"/>
  <c r="AD366" i="5"/>
  <c r="AC366" i="5"/>
  <c r="AA366" i="5"/>
  <c r="W366" i="5"/>
  <c r="X366" i="5" s="1"/>
  <c r="U366" i="5"/>
  <c r="R366" i="5"/>
  <c r="N366" i="5"/>
  <c r="O366" i="5" s="1"/>
  <c r="L366" i="5"/>
  <c r="H366" i="5"/>
  <c r="I366" i="5" s="1"/>
  <c r="F366" i="5"/>
  <c r="C366" i="5"/>
  <c r="AC365" i="5"/>
  <c r="AD365" i="5" s="1"/>
  <c r="AA365" i="5"/>
  <c r="X365" i="5"/>
  <c r="W365" i="5"/>
  <c r="U365" i="5"/>
  <c r="R365" i="5"/>
  <c r="N365" i="5"/>
  <c r="O365" i="5" s="1"/>
  <c r="L365" i="5"/>
  <c r="I365" i="5"/>
  <c r="H365" i="5"/>
  <c r="F365" i="5"/>
  <c r="C365" i="5"/>
  <c r="AD364" i="5"/>
  <c r="AC364" i="5"/>
  <c r="AA364" i="5"/>
  <c r="W364" i="5"/>
  <c r="X364" i="5" s="1"/>
  <c r="U364" i="5"/>
  <c r="R364" i="5"/>
  <c r="N364" i="5"/>
  <c r="O364" i="5" s="1"/>
  <c r="L364" i="5"/>
  <c r="H364" i="5"/>
  <c r="I364" i="5" s="1"/>
  <c r="F364" i="5"/>
  <c r="C364" i="5"/>
  <c r="AC363" i="5"/>
  <c r="AD363" i="5" s="1"/>
  <c r="AA363" i="5"/>
  <c r="W363" i="5"/>
  <c r="X363" i="5" s="1"/>
  <c r="U363" i="5"/>
  <c r="R363" i="5"/>
  <c r="O363" i="5"/>
  <c r="N363" i="5"/>
  <c r="L363" i="5"/>
  <c r="H363" i="5"/>
  <c r="I363" i="5" s="1"/>
  <c r="F363" i="5"/>
  <c r="C363" i="5"/>
  <c r="AC362" i="5"/>
  <c r="AD362" i="5" s="1"/>
  <c r="AA362" i="5"/>
  <c r="W362" i="5"/>
  <c r="X362" i="5" s="1"/>
  <c r="U362" i="5"/>
  <c r="R362" i="5"/>
  <c r="N362" i="5"/>
  <c r="O362" i="5" s="1"/>
  <c r="L362" i="5"/>
  <c r="H362" i="5"/>
  <c r="I362" i="5" s="1"/>
  <c r="F362" i="5"/>
  <c r="C362" i="5"/>
  <c r="AD361" i="5"/>
  <c r="AC361" i="5"/>
  <c r="AA361" i="5"/>
  <c r="X361" i="5"/>
  <c r="W361" i="5"/>
  <c r="U361" i="5"/>
  <c r="R361" i="5"/>
  <c r="N361" i="5"/>
  <c r="O361" i="5" s="1"/>
  <c r="L361" i="5"/>
  <c r="I361" i="5"/>
  <c r="H361" i="5"/>
  <c r="F361" i="5"/>
  <c r="C361" i="5"/>
  <c r="AC360" i="5"/>
  <c r="AD360" i="5" s="1"/>
  <c r="AA360" i="5"/>
  <c r="W360" i="5"/>
  <c r="X360" i="5" s="1"/>
  <c r="U360" i="5"/>
  <c r="R360" i="5"/>
  <c r="N360" i="5"/>
  <c r="O360" i="5" s="1"/>
  <c r="L360" i="5"/>
  <c r="H360" i="5"/>
  <c r="I360" i="5" s="1"/>
  <c r="F360" i="5"/>
  <c r="C360" i="5"/>
  <c r="Z358" i="5"/>
  <c r="AA358" i="5" s="1"/>
  <c r="W358" i="5"/>
  <c r="X358" i="5" s="1"/>
  <c r="T358" i="5"/>
  <c r="U358" i="5" s="1"/>
  <c r="Q358" i="5"/>
  <c r="AC358" i="5" s="1"/>
  <c r="AD358" i="5" s="1"/>
  <c r="K358" i="5"/>
  <c r="L358" i="5" s="1"/>
  <c r="I358" i="5"/>
  <c r="H358" i="5"/>
  <c r="E358" i="5"/>
  <c r="F358" i="5" s="1"/>
  <c r="B358" i="5"/>
  <c r="C358" i="5" s="1"/>
  <c r="AC357" i="5"/>
  <c r="AD357" i="5" s="1"/>
  <c r="AA357" i="5"/>
  <c r="X357" i="5"/>
  <c r="W357" i="5"/>
  <c r="U357" i="5"/>
  <c r="R357" i="5"/>
  <c r="N357" i="5"/>
  <c r="O357" i="5" s="1"/>
  <c r="L357" i="5"/>
  <c r="I357" i="5"/>
  <c r="H357" i="5"/>
  <c r="F357" i="5"/>
  <c r="C357" i="5"/>
  <c r="AC356" i="5"/>
  <c r="AD356" i="5" s="1"/>
  <c r="AA356" i="5"/>
  <c r="W356" i="5"/>
  <c r="X356" i="5" s="1"/>
  <c r="U356" i="5"/>
  <c r="R356" i="5"/>
  <c r="O356" i="5"/>
  <c r="N356" i="5"/>
  <c r="L356" i="5"/>
  <c r="I356" i="5"/>
  <c r="H356" i="5"/>
  <c r="F356" i="5"/>
  <c r="C356" i="5"/>
  <c r="AC355" i="5"/>
  <c r="AD355" i="5" s="1"/>
  <c r="AA355" i="5"/>
  <c r="W355" i="5"/>
  <c r="X355" i="5" s="1"/>
  <c r="U355" i="5"/>
  <c r="R355" i="5"/>
  <c r="O355" i="5"/>
  <c r="N355" i="5"/>
  <c r="L355" i="5"/>
  <c r="H355" i="5"/>
  <c r="I355" i="5" s="1"/>
  <c r="F355" i="5"/>
  <c r="C355" i="5"/>
  <c r="AC354" i="5"/>
  <c r="AD354" i="5" s="1"/>
  <c r="AA354" i="5"/>
  <c r="W354" i="5"/>
  <c r="U354" i="5"/>
  <c r="R354" i="5"/>
  <c r="O354" i="5"/>
  <c r="N354" i="5"/>
  <c r="L354" i="5"/>
  <c r="H354" i="5"/>
  <c r="I354" i="5" s="1"/>
  <c r="F354" i="5"/>
  <c r="C354" i="5"/>
  <c r="AC353" i="5"/>
  <c r="AD353" i="5" s="1"/>
  <c r="AA353" i="5"/>
  <c r="X353" i="5"/>
  <c r="W353" i="5"/>
  <c r="U353" i="5"/>
  <c r="R353" i="5"/>
  <c r="N353" i="5"/>
  <c r="O353" i="5" s="1"/>
  <c r="L353" i="5"/>
  <c r="H353" i="5"/>
  <c r="I353" i="5" s="1"/>
  <c r="F353" i="5"/>
  <c r="C353" i="5"/>
  <c r="AC352" i="5"/>
  <c r="AD352" i="5" s="1"/>
  <c r="AA352" i="5"/>
  <c r="W352" i="5"/>
  <c r="X352" i="5" s="1"/>
  <c r="U352" i="5"/>
  <c r="R352" i="5"/>
  <c r="O352" i="5"/>
  <c r="N352" i="5"/>
  <c r="L352" i="5"/>
  <c r="H352" i="5"/>
  <c r="I352" i="5" s="1"/>
  <c r="F352" i="5"/>
  <c r="C352" i="5"/>
  <c r="AC351" i="5"/>
  <c r="AD351" i="5" s="1"/>
  <c r="AA351" i="5"/>
  <c r="W351" i="5"/>
  <c r="X351" i="5" s="1"/>
  <c r="U351" i="5"/>
  <c r="R351" i="5"/>
  <c r="O351" i="5"/>
  <c r="N351" i="5"/>
  <c r="L351" i="5"/>
  <c r="H351" i="5"/>
  <c r="I351" i="5" s="1"/>
  <c r="F351" i="5"/>
  <c r="C351" i="5"/>
  <c r="AD350" i="5"/>
  <c r="AC350" i="5"/>
  <c r="AA350" i="5"/>
  <c r="W350" i="5"/>
  <c r="U350" i="5"/>
  <c r="R350" i="5"/>
  <c r="N350" i="5"/>
  <c r="O350" i="5" s="1"/>
  <c r="L350" i="5"/>
  <c r="H350" i="5"/>
  <c r="I350" i="5" s="1"/>
  <c r="F350" i="5"/>
  <c r="C350" i="5"/>
  <c r="AC349" i="5"/>
  <c r="AD349" i="5" s="1"/>
  <c r="AA349" i="5"/>
  <c r="X349" i="5"/>
  <c r="W349" i="5"/>
  <c r="U349" i="5"/>
  <c r="R349" i="5"/>
  <c r="N349" i="5"/>
  <c r="O349" i="5" s="1"/>
  <c r="L349" i="5"/>
  <c r="I349" i="5"/>
  <c r="H349" i="5"/>
  <c r="F349" i="5"/>
  <c r="C349" i="5"/>
  <c r="AC347" i="5"/>
  <c r="AD347" i="5" s="1"/>
  <c r="AA347" i="5"/>
  <c r="W347" i="5"/>
  <c r="X347" i="5" s="1"/>
  <c r="U347" i="5"/>
  <c r="R347" i="5"/>
  <c r="O347" i="5"/>
  <c r="N347" i="5"/>
  <c r="L347" i="5"/>
  <c r="H347" i="5"/>
  <c r="I347" i="5" s="1"/>
  <c r="F347" i="5"/>
  <c r="C347" i="5"/>
  <c r="AC344" i="5"/>
  <c r="AD344" i="5" s="1"/>
  <c r="AA344" i="5"/>
  <c r="Z344" i="5"/>
  <c r="T344" i="5"/>
  <c r="U344" i="5" s="1"/>
  <c r="Q344" i="5"/>
  <c r="W344" i="5" s="1"/>
  <c r="X344" i="5" s="1"/>
  <c r="O344" i="5"/>
  <c r="N344" i="5"/>
  <c r="K344" i="5"/>
  <c r="L344" i="5" s="1"/>
  <c r="F344" i="5"/>
  <c r="E344" i="5"/>
  <c r="B344" i="5"/>
  <c r="H344" i="5" s="1"/>
  <c r="I344" i="5" s="1"/>
  <c r="Z343" i="5"/>
  <c r="AA343" i="5" s="1"/>
  <c r="T343" i="5"/>
  <c r="W343" i="5" s="1"/>
  <c r="X343" i="5" s="1"/>
  <c r="Q343" i="5"/>
  <c r="AC343" i="5" s="1"/>
  <c r="AD343" i="5" s="1"/>
  <c r="K343" i="5"/>
  <c r="L343" i="5" s="1"/>
  <c r="H343" i="5"/>
  <c r="I343" i="5" s="1"/>
  <c r="E343" i="5"/>
  <c r="F343" i="5" s="1"/>
  <c r="B343" i="5"/>
  <c r="C343" i="5" s="1"/>
  <c r="Z342" i="5"/>
  <c r="AA342" i="5" s="1"/>
  <c r="T342" i="5"/>
  <c r="U342" i="5" s="1"/>
  <c r="R342" i="5"/>
  <c r="Q342" i="5"/>
  <c r="W342" i="5" s="1"/>
  <c r="X342" i="5" s="1"/>
  <c r="K342" i="5"/>
  <c r="L342" i="5" s="1"/>
  <c r="E342" i="5"/>
  <c r="F342" i="5" s="1"/>
  <c r="B342" i="5"/>
  <c r="H342" i="5" s="1"/>
  <c r="I342" i="5" s="1"/>
  <c r="AC341" i="5"/>
  <c r="AD341" i="5" s="1"/>
  <c r="AA341" i="5"/>
  <c r="W341" i="5"/>
  <c r="X341" i="5" s="1"/>
  <c r="U341" i="5"/>
  <c r="R341" i="5"/>
  <c r="O341" i="5"/>
  <c r="N341" i="5"/>
  <c r="L341" i="5"/>
  <c r="H341" i="5"/>
  <c r="I341" i="5" s="1"/>
  <c r="F341" i="5"/>
  <c r="C341" i="5"/>
  <c r="AC340" i="5"/>
  <c r="AD340" i="5" s="1"/>
  <c r="AA340" i="5"/>
  <c r="W340" i="5"/>
  <c r="U340" i="5"/>
  <c r="R340" i="5"/>
  <c r="N340" i="5"/>
  <c r="O340" i="5" s="1"/>
  <c r="L340" i="5"/>
  <c r="H340" i="5"/>
  <c r="I340" i="5" s="1"/>
  <c r="F340" i="5"/>
  <c r="C340" i="5"/>
  <c r="AD339" i="5"/>
  <c r="AC339" i="5"/>
  <c r="AA339" i="5"/>
  <c r="X339" i="5"/>
  <c r="W339" i="5"/>
  <c r="U339" i="5"/>
  <c r="R339" i="5"/>
  <c r="N339" i="5"/>
  <c r="O339" i="5" s="1"/>
  <c r="L339" i="5"/>
  <c r="I339" i="5"/>
  <c r="H339" i="5"/>
  <c r="F339" i="5"/>
  <c r="C339" i="5"/>
  <c r="AC338" i="5"/>
  <c r="AD338" i="5" s="1"/>
  <c r="AA338" i="5"/>
  <c r="W338" i="5"/>
  <c r="X338" i="5" s="1"/>
  <c r="U338" i="5"/>
  <c r="R338" i="5"/>
  <c r="O338" i="5"/>
  <c r="N338" i="5"/>
  <c r="L338" i="5"/>
  <c r="H338" i="5"/>
  <c r="I338" i="5" s="1"/>
  <c r="F338" i="5"/>
  <c r="C338" i="5"/>
  <c r="AC337" i="5"/>
  <c r="AD337" i="5" s="1"/>
  <c r="AA337" i="5"/>
  <c r="W337" i="5"/>
  <c r="X337" i="5" s="1"/>
  <c r="U337" i="5"/>
  <c r="R337" i="5"/>
  <c r="O337" i="5"/>
  <c r="N337" i="5"/>
  <c r="L337" i="5"/>
  <c r="H337" i="5"/>
  <c r="I337" i="5" s="1"/>
  <c r="F337" i="5"/>
  <c r="C337" i="5"/>
  <c r="AC335" i="5"/>
  <c r="AD335" i="5" s="1"/>
  <c r="AA335" i="5"/>
  <c r="W335" i="5"/>
  <c r="U335" i="5"/>
  <c r="R335" i="5"/>
  <c r="O335" i="5"/>
  <c r="N335" i="5"/>
  <c r="L335" i="5"/>
  <c r="H335" i="5"/>
  <c r="I335" i="5" s="1"/>
  <c r="F335" i="5"/>
  <c r="C335" i="5"/>
  <c r="AD334" i="5"/>
  <c r="AC334" i="5"/>
  <c r="AA334" i="5"/>
  <c r="X334" i="5"/>
  <c r="W334" i="5"/>
  <c r="U334" i="5"/>
  <c r="R334" i="5"/>
  <c r="N334" i="5"/>
  <c r="O334" i="5" s="1"/>
  <c r="L334" i="5"/>
  <c r="H334" i="5"/>
  <c r="I334" i="5" s="1"/>
  <c r="F334" i="5"/>
  <c r="C334" i="5"/>
  <c r="AC333" i="5"/>
  <c r="AD333" i="5" s="1"/>
  <c r="AA333" i="5"/>
  <c r="X333" i="5"/>
  <c r="W333" i="5"/>
  <c r="U333" i="5"/>
  <c r="R333" i="5"/>
  <c r="O333" i="5"/>
  <c r="N333" i="5"/>
  <c r="L333" i="5"/>
  <c r="H333" i="5"/>
  <c r="I333" i="5" s="1"/>
  <c r="F333" i="5"/>
  <c r="C333" i="5"/>
  <c r="AC332" i="5"/>
  <c r="AD332" i="5" s="1"/>
  <c r="AA332" i="5"/>
  <c r="W332" i="5"/>
  <c r="X332" i="5" s="1"/>
  <c r="U332" i="5"/>
  <c r="R332" i="5"/>
  <c r="O332" i="5"/>
  <c r="N332" i="5"/>
  <c r="L332" i="5"/>
  <c r="H332" i="5"/>
  <c r="I332" i="5" s="1"/>
  <c r="F332" i="5"/>
  <c r="C332" i="5"/>
  <c r="AC331" i="5"/>
  <c r="AD331" i="5" s="1"/>
  <c r="AA331" i="5"/>
  <c r="W331" i="5"/>
  <c r="U331" i="5"/>
  <c r="R331" i="5"/>
  <c r="N331" i="5"/>
  <c r="O331" i="5" s="1"/>
  <c r="L331" i="5"/>
  <c r="H331" i="5"/>
  <c r="I331" i="5" s="1"/>
  <c r="F331" i="5"/>
  <c r="C331" i="5"/>
  <c r="AC330" i="5"/>
  <c r="AD330" i="5" s="1"/>
  <c r="AA330" i="5"/>
  <c r="X330" i="5"/>
  <c r="W330" i="5"/>
  <c r="U330" i="5"/>
  <c r="R330" i="5"/>
  <c r="N330" i="5"/>
  <c r="O330" i="5" s="1"/>
  <c r="L330" i="5"/>
  <c r="I330" i="5"/>
  <c r="H330" i="5"/>
  <c r="F330" i="5"/>
  <c r="C330" i="5"/>
  <c r="AC329" i="5"/>
  <c r="AD329" i="5" s="1"/>
  <c r="AA329" i="5"/>
  <c r="X329" i="5"/>
  <c r="W329" i="5"/>
  <c r="U329" i="5"/>
  <c r="R329" i="5"/>
  <c r="O329" i="5"/>
  <c r="N329" i="5"/>
  <c r="L329" i="5"/>
  <c r="I329" i="5"/>
  <c r="H329" i="5"/>
  <c r="F329" i="5"/>
  <c r="C329" i="5"/>
  <c r="AC328" i="5"/>
  <c r="AD328" i="5" s="1"/>
  <c r="AA328" i="5"/>
  <c r="W328" i="5"/>
  <c r="X328" i="5" s="1"/>
  <c r="U328" i="5"/>
  <c r="R328" i="5"/>
  <c r="O328" i="5"/>
  <c r="N328" i="5"/>
  <c r="L328" i="5"/>
  <c r="H328" i="5"/>
  <c r="I328" i="5" s="1"/>
  <c r="F328" i="5"/>
  <c r="C328" i="5"/>
  <c r="AC325" i="5"/>
  <c r="AD325" i="5" s="1"/>
  <c r="Z325" i="5"/>
  <c r="AA325" i="5" s="1"/>
  <c r="T325" i="5"/>
  <c r="U325" i="5" s="1"/>
  <c r="Q325" i="5"/>
  <c r="R325" i="5" s="1"/>
  <c r="K325" i="5"/>
  <c r="L325" i="5" s="1"/>
  <c r="E325" i="5"/>
  <c r="H325" i="5" s="1"/>
  <c r="I325" i="5" s="1"/>
  <c r="B325" i="5"/>
  <c r="N325" i="5" s="1"/>
  <c r="O325" i="5" s="1"/>
  <c r="Z324" i="5"/>
  <c r="AA324" i="5" s="1"/>
  <c r="W324" i="5"/>
  <c r="X324" i="5" s="1"/>
  <c r="T324" i="5"/>
  <c r="U324" i="5" s="1"/>
  <c r="Q324" i="5"/>
  <c r="R324" i="5" s="1"/>
  <c r="N324" i="5"/>
  <c r="O324" i="5" s="1"/>
  <c r="K324" i="5"/>
  <c r="L324" i="5" s="1"/>
  <c r="E324" i="5"/>
  <c r="F324" i="5" s="1"/>
  <c r="B324" i="5"/>
  <c r="H324" i="5" s="1"/>
  <c r="I324" i="5" s="1"/>
  <c r="AC323" i="5"/>
  <c r="AD323" i="5" s="1"/>
  <c r="AA323" i="5"/>
  <c r="W323" i="5"/>
  <c r="U323" i="5"/>
  <c r="R323" i="5"/>
  <c r="N323" i="5"/>
  <c r="O323" i="5" s="1"/>
  <c r="L323" i="5"/>
  <c r="H323" i="5"/>
  <c r="I323" i="5" s="1"/>
  <c r="F323" i="5"/>
  <c r="C323" i="5"/>
  <c r="AD322" i="5"/>
  <c r="AC322" i="5"/>
  <c r="AA322" i="5"/>
  <c r="X322" i="5"/>
  <c r="W322" i="5"/>
  <c r="U322" i="5"/>
  <c r="R322" i="5"/>
  <c r="N322" i="5"/>
  <c r="O322" i="5" s="1"/>
  <c r="L322" i="5"/>
  <c r="H322" i="5"/>
  <c r="I322" i="5" s="1"/>
  <c r="F322" i="5"/>
  <c r="C322" i="5"/>
  <c r="AC321" i="5"/>
  <c r="AD321" i="5" s="1"/>
  <c r="AA321" i="5"/>
  <c r="W321" i="5"/>
  <c r="X321" i="5" s="1"/>
  <c r="U321" i="5"/>
  <c r="R321" i="5"/>
  <c r="O321" i="5"/>
  <c r="N321" i="5"/>
  <c r="L321" i="5"/>
  <c r="I321" i="5"/>
  <c r="H321" i="5"/>
  <c r="F321" i="5"/>
  <c r="C321" i="5"/>
  <c r="AC320" i="5"/>
  <c r="AD320" i="5" s="1"/>
  <c r="AA320" i="5"/>
  <c r="W320" i="5"/>
  <c r="X320" i="5" s="1"/>
  <c r="U320" i="5"/>
  <c r="R320" i="5"/>
  <c r="O320" i="5"/>
  <c r="N320" i="5"/>
  <c r="L320" i="5"/>
  <c r="H320" i="5"/>
  <c r="I320" i="5" s="1"/>
  <c r="F320" i="5"/>
  <c r="C320" i="5"/>
  <c r="AC319" i="5"/>
  <c r="AD319" i="5" s="1"/>
  <c r="AA319" i="5"/>
  <c r="W319" i="5"/>
  <c r="U319" i="5"/>
  <c r="R319" i="5"/>
  <c r="O319" i="5"/>
  <c r="N319" i="5"/>
  <c r="L319" i="5"/>
  <c r="H319" i="5"/>
  <c r="I319" i="5" s="1"/>
  <c r="F319" i="5"/>
  <c r="C319" i="5"/>
  <c r="AC318" i="5"/>
  <c r="AD318" i="5" s="1"/>
  <c r="AA318" i="5"/>
  <c r="X318" i="5"/>
  <c r="W318" i="5"/>
  <c r="U318" i="5"/>
  <c r="R318" i="5"/>
  <c r="N318" i="5"/>
  <c r="O318" i="5" s="1"/>
  <c r="L318" i="5"/>
  <c r="H318" i="5"/>
  <c r="I318" i="5" s="1"/>
  <c r="F318" i="5"/>
  <c r="C318" i="5"/>
  <c r="AC317" i="5"/>
  <c r="AD317" i="5" s="1"/>
  <c r="AA317" i="5"/>
  <c r="X317" i="5"/>
  <c r="W317" i="5"/>
  <c r="U317" i="5"/>
  <c r="R317" i="5"/>
  <c r="O317" i="5"/>
  <c r="N317" i="5"/>
  <c r="L317" i="5"/>
  <c r="H317" i="5"/>
  <c r="I317" i="5" s="1"/>
  <c r="F317" i="5"/>
  <c r="C317" i="5"/>
  <c r="AC316" i="5"/>
  <c r="AD316" i="5" s="1"/>
  <c r="AA316" i="5"/>
  <c r="W316" i="5"/>
  <c r="X316" i="5" s="1"/>
  <c r="U316" i="5"/>
  <c r="R316" i="5"/>
  <c r="O316" i="5"/>
  <c r="N316" i="5"/>
  <c r="L316" i="5"/>
  <c r="H316" i="5"/>
  <c r="I316" i="5" s="1"/>
  <c r="F316" i="5"/>
  <c r="C316" i="5"/>
  <c r="AD315" i="5"/>
  <c r="AC315" i="5"/>
  <c r="AA315" i="5"/>
  <c r="W315" i="5"/>
  <c r="U315" i="5"/>
  <c r="R315" i="5"/>
  <c r="N315" i="5"/>
  <c r="O315" i="5" s="1"/>
  <c r="L315" i="5"/>
  <c r="H315" i="5"/>
  <c r="I315" i="5" s="1"/>
  <c r="F315" i="5"/>
  <c r="C315" i="5"/>
  <c r="AC314" i="5"/>
  <c r="AD314" i="5" s="1"/>
  <c r="AA314" i="5"/>
  <c r="X314" i="5"/>
  <c r="W314" i="5"/>
  <c r="U314" i="5"/>
  <c r="R314" i="5"/>
  <c r="N314" i="5"/>
  <c r="O314" i="5" s="1"/>
  <c r="L314" i="5"/>
  <c r="I314" i="5"/>
  <c r="H314" i="5"/>
  <c r="F314" i="5"/>
  <c r="C314" i="5"/>
  <c r="AC313" i="5"/>
  <c r="AD313" i="5" s="1"/>
  <c r="AA313" i="5"/>
  <c r="W313" i="5"/>
  <c r="X313" i="5" s="1"/>
  <c r="U313" i="5"/>
  <c r="R313" i="5"/>
  <c r="O313" i="5"/>
  <c r="N313" i="5"/>
  <c r="L313" i="5"/>
  <c r="I313" i="5"/>
  <c r="H313" i="5"/>
  <c r="F313" i="5"/>
  <c r="C313" i="5"/>
  <c r="AC312" i="5"/>
  <c r="AD312" i="5" s="1"/>
  <c r="AA312" i="5"/>
  <c r="W312" i="5"/>
  <c r="X312" i="5" s="1"/>
  <c r="U312" i="5"/>
  <c r="R312" i="5"/>
  <c r="O312" i="5"/>
  <c r="N312" i="5"/>
  <c r="L312" i="5"/>
  <c r="H312" i="5"/>
  <c r="I312" i="5" s="1"/>
  <c r="F312" i="5"/>
  <c r="C312" i="5"/>
  <c r="AC311" i="5"/>
  <c r="AD311" i="5" s="1"/>
  <c r="AA311" i="5"/>
  <c r="X311" i="5"/>
  <c r="W311" i="5"/>
  <c r="U311" i="5"/>
  <c r="R311" i="5"/>
  <c r="O311" i="5"/>
  <c r="N311" i="5"/>
  <c r="L311" i="5"/>
  <c r="H311" i="5"/>
  <c r="I311" i="5" s="1"/>
  <c r="F311" i="5"/>
  <c r="C311" i="5"/>
  <c r="AC310" i="5"/>
  <c r="AD310" i="5" s="1"/>
  <c r="AA310" i="5"/>
  <c r="X310" i="5"/>
  <c r="W310" i="5"/>
  <c r="U310" i="5"/>
  <c r="R310" i="5"/>
  <c r="N310" i="5"/>
  <c r="O310" i="5" s="1"/>
  <c r="L310" i="5"/>
  <c r="H310" i="5"/>
  <c r="I310" i="5" s="1"/>
  <c r="F310" i="5"/>
  <c r="C310" i="5"/>
  <c r="AC309" i="5"/>
  <c r="AD309" i="5" s="1"/>
  <c r="AA309" i="5"/>
  <c r="X309" i="5"/>
  <c r="W309" i="5"/>
  <c r="U309" i="5"/>
  <c r="R309" i="5"/>
  <c r="O309" i="5"/>
  <c r="N309" i="5"/>
  <c r="L309" i="5"/>
  <c r="H309" i="5"/>
  <c r="I309" i="5" s="1"/>
  <c r="F309" i="5"/>
  <c r="C309" i="5"/>
  <c r="AC308" i="5"/>
  <c r="AD308" i="5" s="1"/>
  <c r="AA308" i="5"/>
  <c r="W308" i="5"/>
  <c r="X308" i="5" s="1"/>
  <c r="U308" i="5"/>
  <c r="R308" i="5"/>
  <c r="O308" i="5"/>
  <c r="N308" i="5"/>
  <c r="L308" i="5"/>
  <c r="H308" i="5"/>
  <c r="I308" i="5" s="1"/>
  <c r="F308" i="5"/>
  <c r="C308" i="5"/>
  <c r="AC307" i="5"/>
  <c r="AD307" i="5" s="1"/>
  <c r="AA307" i="5"/>
  <c r="X307" i="5"/>
  <c r="W307" i="5"/>
  <c r="U307" i="5"/>
  <c r="R307" i="5"/>
  <c r="O307" i="5"/>
  <c r="N307" i="5"/>
  <c r="L307" i="5"/>
  <c r="H307" i="5"/>
  <c r="I307" i="5" s="1"/>
  <c r="F307" i="5"/>
  <c r="C307" i="5"/>
  <c r="AD306" i="5"/>
  <c r="AC306" i="5"/>
  <c r="AA306" i="5"/>
  <c r="X306" i="5"/>
  <c r="W306" i="5"/>
  <c r="U306" i="5"/>
  <c r="R306" i="5"/>
  <c r="N306" i="5"/>
  <c r="O306" i="5" s="1"/>
  <c r="L306" i="5"/>
  <c r="H306" i="5"/>
  <c r="I306" i="5" s="1"/>
  <c r="F306" i="5"/>
  <c r="C306" i="5"/>
  <c r="AC305" i="5"/>
  <c r="AD305" i="5" s="1"/>
  <c r="AA305" i="5"/>
  <c r="W305" i="5"/>
  <c r="X305" i="5" s="1"/>
  <c r="U305" i="5"/>
  <c r="R305" i="5"/>
  <c r="O305" i="5"/>
  <c r="N305" i="5"/>
  <c r="L305" i="5"/>
  <c r="H305" i="5"/>
  <c r="I305" i="5" s="1"/>
  <c r="F305" i="5"/>
  <c r="C305" i="5"/>
  <c r="AC304" i="5"/>
  <c r="AD304" i="5" s="1"/>
  <c r="AA304" i="5"/>
  <c r="W304" i="5"/>
  <c r="X304" i="5" s="1"/>
  <c r="U304" i="5"/>
  <c r="R304" i="5"/>
  <c r="O304" i="5"/>
  <c r="N304" i="5"/>
  <c r="L304" i="5"/>
  <c r="H304" i="5"/>
  <c r="I304" i="5" s="1"/>
  <c r="F304" i="5"/>
  <c r="C304" i="5"/>
  <c r="AD303" i="5"/>
  <c r="AC303" i="5"/>
  <c r="AA303" i="5"/>
  <c r="X303" i="5"/>
  <c r="W303" i="5"/>
  <c r="U303" i="5"/>
  <c r="R303" i="5"/>
  <c r="N303" i="5"/>
  <c r="O303" i="5" s="1"/>
  <c r="L303" i="5"/>
  <c r="H303" i="5"/>
  <c r="I303" i="5" s="1"/>
  <c r="F303" i="5"/>
  <c r="C303" i="5"/>
  <c r="AD302" i="5"/>
  <c r="AC302" i="5"/>
  <c r="AA302" i="5"/>
  <c r="X302" i="5"/>
  <c r="W302" i="5"/>
  <c r="U302" i="5"/>
  <c r="R302" i="5"/>
  <c r="N302" i="5"/>
  <c r="O302" i="5" s="1"/>
  <c r="L302" i="5"/>
  <c r="H302" i="5"/>
  <c r="I302" i="5" s="1"/>
  <c r="F302" i="5"/>
  <c r="C302" i="5"/>
  <c r="AC301" i="5"/>
  <c r="AD301" i="5" s="1"/>
  <c r="AA301" i="5"/>
  <c r="W301" i="5"/>
  <c r="X301" i="5" s="1"/>
  <c r="U301" i="5"/>
  <c r="R301" i="5"/>
  <c r="O301" i="5"/>
  <c r="N301" i="5"/>
  <c r="L301" i="5"/>
  <c r="I301" i="5"/>
  <c r="H301" i="5"/>
  <c r="F301" i="5"/>
  <c r="C301" i="5"/>
  <c r="AC300" i="5"/>
  <c r="AD300" i="5" s="1"/>
  <c r="AA300" i="5"/>
  <c r="W300" i="5"/>
  <c r="X300" i="5" s="1"/>
  <c r="U300" i="5"/>
  <c r="R300" i="5"/>
  <c r="O300" i="5"/>
  <c r="N300" i="5"/>
  <c r="L300" i="5"/>
  <c r="H300" i="5"/>
  <c r="I300" i="5" s="1"/>
  <c r="F300" i="5"/>
  <c r="C300" i="5"/>
  <c r="AC299" i="5"/>
  <c r="AD299" i="5" s="1"/>
  <c r="AA299" i="5"/>
  <c r="X299" i="5"/>
  <c r="W299" i="5"/>
  <c r="U299" i="5"/>
  <c r="R299" i="5"/>
  <c r="N299" i="5"/>
  <c r="O299" i="5" s="1"/>
  <c r="L299" i="5"/>
  <c r="H299" i="5"/>
  <c r="I299" i="5" s="1"/>
  <c r="F299" i="5"/>
  <c r="C299" i="5"/>
  <c r="AC298" i="5"/>
  <c r="AD298" i="5" s="1"/>
  <c r="AA298" i="5"/>
  <c r="X298" i="5"/>
  <c r="W298" i="5"/>
  <c r="U298" i="5"/>
  <c r="R298" i="5"/>
  <c r="N298" i="5"/>
  <c r="O298" i="5" s="1"/>
  <c r="L298" i="5"/>
  <c r="I298" i="5"/>
  <c r="H298" i="5"/>
  <c r="F298" i="5"/>
  <c r="C298" i="5"/>
  <c r="AC297" i="5"/>
  <c r="AD297" i="5" s="1"/>
  <c r="AA297" i="5"/>
  <c r="W297" i="5"/>
  <c r="X297" i="5" s="1"/>
  <c r="U297" i="5"/>
  <c r="R297" i="5"/>
  <c r="O297" i="5"/>
  <c r="N297" i="5"/>
  <c r="L297" i="5"/>
  <c r="I297" i="5"/>
  <c r="H297" i="5"/>
  <c r="F297" i="5"/>
  <c r="C297" i="5"/>
  <c r="Z295" i="5"/>
  <c r="AA295" i="5" s="1"/>
  <c r="W295" i="5"/>
  <c r="X295" i="5" s="1"/>
  <c r="T295" i="5"/>
  <c r="U295" i="5" s="1"/>
  <c r="Q295" i="5"/>
  <c r="AC295" i="5" s="1"/>
  <c r="AD295" i="5" s="1"/>
  <c r="K295" i="5"/>
  <c r="L295" i="5" s="1"/>
  <c r="H295" i="5"/>
  <c r="I295" i="5" s="1"/>
  <c r="E295" i="5"/>
  <c r="F295" i="5" s="1"/>
  <c r="B295" i="5"/>
  <c r="C295" i="5" s="1"/>
  <c r="AD294" i="5"/>
  <c r="AC294" i="5"/>
  <c r="AA294" i="5"/>
  <c r="X294" i="5"/>
  <c r="W294" i="5"/>
  <c r="U294" i="5"/>
  <c r="R294" i="5"/>
  <c r="N294" i="5"/>
  <c r="O294" i="5" s="1"/>
  <c r="L294" i="5"/>
  <c r="H294" i="5"/>
  <c r="I294" i="5" s="1"/>
  <c r="F294" i="5"/>
  <c r="C294" i="5"/>
  <c r="AC293" i="5"/>
  <c r="AD293" i="5" s="1"/>
  <c r="AA293" i="5"/>
  <c r="W293" i="5"/>
  <c r="X293" i="5" s="1"/>
  <c r="U293" i="5"/>
  <c r="R293" i="5"/>
  <c r="O293" i="5"/>
  <c r="N293" i="5"/>
  <c r="L293" i="5"/>
  <c r="I293" i="5"/>
  <c r="H293" i="5"/>
  <c r="F293" i="5"/>
  <c r="C293" i="5"/>
  <c r="AC292" i="5"/>
  <c r="AD292" i="5" s="1"/>
  <c r="AA292" i="5"/>
  <c r="W292" i="5"/>
  <c r="X292" i="5" s="1"/>
  <c r="U292" i="5"/>
  <c r="R292" i="5"/>
  <c r="O292" i="5"/>
  <c r="N292" i="5"/>
  <c r="L292" i="5"/>
  <c r="H292" i="5"/>
  <c r="I292" i="5" s="1"/>
  <c r="F292" i="5"/>
  <c r="C292" i="5"/>
  <c r="AC291" i="5"/>
  <c r="AD291" i="5" s="1"/>
  <c r="AA291" i="5"/>
  <c r="X291" i="5"/>
  <c r="W291" i="5"/>
  <c r="U291" i="5"/>
  <c r="R291" i="5"/>
  <c r="N291" i="5"/>
  <c r="O291" i="5" s="1"/>
  <c r="L291" i="5"/>
  <c r="H291" i="5"/>
  <c r="I291" i="5" s="1"/>
  <c r="F291" i="5"/>
  <c r="C291" i="5"/>
  <c r="AC290" i="5"/>
  <c r="AD290" i="5" s="1"/>
  <c r="AA290" i="5"/>
  <c r="X290" i="5"/>
  <c r="W290" i="5"/>
  <c r="U290" i="5"/>
  <c r="R290" i="5"/>
  <c r="N290" i="5"/>
  <c r="O290" i="5" s="1"/>
  <c r="L290" i="5"/>
  <c r="I290" i="5"/>
  <c r="H290" i="5"/>
  <c r="F290" i="5"/>
  <c r="C290" i="5"/>
  <c r="AC289" i="5"/>
  <c r="AD289" i="5" s="1"/>
  <c r="AA289" i="5"/>
  <c r="W289" i="5"/>
  <c r="X289" i="5" s="1"/>
  <c r="U289" i="5"/>
  <c r="R289" i="5"/>
  <c r="O289" i="5"/>
  <c r="N289" i="5"/>
  <c r="L289" i="5"/>
  <c r="I289" i="5"/>
  <c r="H289" i="5"/>
  <c r="F289" i="5"/>
  <c r="C289" i="5"/>
  <c r="AC288" i="5"/>
  <c r="AD288" i="5" s="1"/>
  <c r="AA288" i="5"/>
  <c r="W288" i="5"/>
  <c r="X288" i="5" s="1"/>
  <c r="U288" i="5"/>
  <c r="R288" i="5"/>
  <c r="O288" i="5"/>
  <c r="N288" i="5"/>
  <c r="L288" i="5"/>
  <c r="H288" i="5"/>
  <c r="I288" i="5" s="1"/>
  <c r="F288" i="5"/>
  <c r="C288" i="5"/>
  <c r="AC287" i="5"/>
  <c r="AD287" i="5" s="1"/>
  <c r="AA287" i="5"/>
  <c r="X287" i="5"/>
  <c r="W287" i="5"/>
  <c r="U287" i="5"/>
  <c r="R287" i="5"/>
  <c r="O287" i="5"/>
  <c r="N287" i="5"/>
  <c r="L287" i="5"/>
  <c r="H287" i="5"/>
  <c r="I287" i="5" s="1"/>
  <c r="F287" i="5"/>
  <c r="C287" i="5"/>
  <c r="AC286" i="5"/>
  <c r="AD286" i="5" s="1"/>
  <c r="AA286" i="5"/>
  <c r="X286" i="5"/>
  <c r="W286" i="5"/>
  <c r="U286" i="5"/>
  <c r="R286" i="5"/>
  <c r="N286" i="5"/>
  <c r="O286" i="5" s="1"/>
  <c r="L286" i="5"/>
  <c r="H286" i="5"/>
  <c r="I286" i="5" s="1"/>
  <c r="F286" i="5"/>
  <c r="C286" i="5"/>
  <c r="Z284" i="5"/>
  <c r="AA284" i="5" s="1"/>
  <c r="W284" i="5"/>
  <c r="X284" i="5" s="1"/>
  <c r="T284" i="5"/>
  <c r="U284" i="5" s="1"/>
  <c r="Q284" i="5"/>
  <c r="R284" i="5" s="1"/>
  <c r="K284" i="5"/>
  <c r="L284" i="5" s="1"/>
  <c r="E284" i="5"/>
  <c r="F284" i="5" s="1"/>
  <c r="B284" i="5"/>
  <c r="H284" i="5" s="1"/>
  <c r="I284" i="5" s="1"/>
  <c r="AD283" i="5"/>
  <c r="AC283" i="5"/>
  <c r="AA283" i="5"/>
  <c r="X283" i="5"/>
  <c r="W283" i="5"/>
  <c r="U283" i="5"/>
  <c r="R283" i="5"/>
  <c r="N283" i="5"/>
  <c r="O283" i="5" s="1"/>
  <c r="L283" i="5"/>
  <c r="H283" i="5"/>
  <c r="I283" i="5" s="1"/>
  <c r="F283" i="5"/>
  <c r="C283" i="5"/>
  <c r="AC282" i="5"/>
  <c r="AD282" i="5" s="1"/>
  <c r="AA282" i="5"/>
  <c r="X282" i="5"/>
  <c r="W282" i="5"/>
  <c r="U282" i="5"/>
  <c r="R282" i="5"/>
  <c r="N282" i="5"/>
  <c r="O282" i="5" s="1"/>
  <c r="L282" i="5"/>
  <c r="H282" i="5"/>
  <c r="I282" i="5" s="1"/>
  <c r="F282" i="5"/>
  <c r="C282" i="5"/>
  <c r="AC281" i="5"/>
  <c r="AD281" i="5" s="1"/>
  <c r="AA281" i="5"/>
  <c r="W281" i="5"/>
  <c r="X281" i="5" s="1"/>
  <c r="U281" i="5"/>
  <c r="R281" i="5"/>
  <c r="O281" i="5"/>
  <c r="N281" i="5"/>
  <c r="L281" i="5"/>
  <c r="H281" i="5"/>
  <c r="I281" i="5" s="1"/>
  <c r="F281" i="5"/>
  <c r="C281" i="5"/>
  <c r="AC280" i="5"/>
  <c r="AD280" i="5" s="1"/>
  <c r="AA280" i="5"/>
  <c r="W280" i="5"/>
  <c r="X280" i="5" s="1"/>
  <c r="U280" i="5"/>
  <c r="R280" i="5"/>
  <c r="O280" i="5"/>
  <c r="N280" i="5"/>
  <c r="L280" i="5"/>
  <c r="H280" i="5"/>
  <c r="I280" i="5" s="1"/>
  <c r="F280" i="5"/>
  <c r="C280" i="5"/>
  <c r="AC279" i="5"/>
  <c r="AD279" i="5" s="1"/>
  <c r="AA279" i="5"/>
  <c r="X279" i="5"/>
  <c r="W279" i="5"/>
  <c r="U279" i="5"/>
  <c r="R279" i="5"/>
  <c r="N279" i="5"/>
  <c r="O279" i="5" s="1"/>
  <c r="L279" i="5"/>
  <c r="H279" i="5"/>
  <c r="I279" i="5" s="1"/>
  <c r="F279" i="5"/>
  <c r="C279" i="5"/>
  <c r="AC278" i="5"/>
  <c r="AD278" i="5" s="1"/>
  <c r="AA278" i="5"/>
  <c r="X278" i="5"/>
  <c r="W278" i="5"/>
  <c r="U278" i="5"/>
  <c r="R278" i="5"/>
  <c r="N278" i="5"/>
  <c r="O278" i="5" s="1"/>
  <c r="L278" i="5"/>
  <c r="I278" i="5"/>
  <c r="H278" i="5"/>
  <c r="F278" i="5"/>
  <c r="C278" i="5"/>
  <c r="AC277" i="5"/>
  <c r="AD277" i="5" s="1"/>
  <c r="AA277" i="5"/>
  <c r="W277" i="5"/>
  <c r="X277" i="5" s="1"/>
  <c r="U277" i="5"/>
  <c r="R277" i="5"/>
  <c r="O277" i="5"/>
  <c r="N277" i="5"/>
  <c r="L277" i="5"/>
  <c r="H277" i="5"/>
  <c r="I277" i="5" s="1"/>
  <c r="F277" i="5"/>
  <c r="C277" i="5"/>
  <c r="AC276" i="5"/>
  <c r="AD276" i="5" s="1"/>
  <c r="AA276" i="5"/>
  <c r="W276" i="5"/>
  <c r="X276" i="5" s="1"/>
  <c r="U276" i="5"/>
  <c r="R276" i="5"/>
  <c r="O276" i="5"/>
  <c r="N276" i="5"/>
  <c r="L276" i="5"/>
  <c r="H276" i="5"/>
  <c r="I276" i="5" s="1"/>
  <c r="F276" i="5"/>
  <c r="C276" i="5"/>
  <c r="AC275" i="5"/>
  <c r="AD275" i="5" s="1"/>
  <c r="AA275" i="5"/>
  <c r="X275" i="5"/>
  <c r="W275" i="5"/>
  <c r="U275" i="5"/>
  <c r="R275" i="5"/>
  <c r="N275" i="5"/>
  <c r="O275" i="5" s="1"/>
  <c r="L275" i="5"/>
  <c r="H275" i="5"/>
  <c r="I275" i="5" s="1"/>
  <c r="F275" i="5"/>
  <c r="C275" i="5"/>
  <c r="Z273" i="5"/>
  <c r="AA273" i="5" s="1"/>
  <c r="T273" i="5"/>
  <c r="U273" i="5" s="1"/>
  <c r="Q273" i="5"/>
  <c r="AC273" i="5" s="1"/>
  <c r="AD273" i="5" s="1"/>
  <c r="K273" i="5"/>
  <c r="L273" i="5" s="1"/>
  <c r="E273" i="5"/>
  <c r="F273" i="5" s="1"/>
  <c r="B273" i="5"/>
  <c r="N273" i="5" s="1"/>
  <c r="O273" i="5" s="1"/>
  <c r="AC272" i="5"/>
  <c r="AD272" i="5" s="1"/>
  <c r="AA272" i="5"/>
  <c r="W272" i="5"/>
  <c r="X272" i="5" s="1"/>
  <c r="U272" i="5"/>
  <c r="R272" i="5"/>
  <c r="O272" i="5"/>
  <c r="N272" i="5"/>
  <c r="L272" i="5"/>
  <c r="H272" i="5"/>
  <c r="I272" i="5" s="1"/>
  <c r="F272" i="5"/>
  <c r="C272" i="5"/>
  <c r="AC271" i="5"/>
  <c r="AD271" i="5" s="1"/>
  <c r="AA271" i="5"/>
  <c r="X271" i="5"/>
  <c r="W271" i="5"/>
  <c r="U271" i="5"/>
  <c r="R271" i="5"/>
  <c r="N271" i="5"/>
  <c r="O271" i="5" s="1"/>
  <c r="L271" i="5"/>
  <c r="H271" i="5"/>
  <c r="I271" i="5" s="1"/>
  <c r="F271" i="5"/>
  <c r="C271" i="5"/>
  <c r="AC270" i="5"/>
  <c r="AD270" i="5" s="1"/>
  <c r="AA270" i="5"/>
  <c r="X270" i="5"/>
  <c r="W270" i="5"/>
  <c r="U270" i="5"/>
  <c r="R270" i="5"/>
  <c r="N270" i="5"/>
  <c r="O270" i="5" s="1"/>
  <c r="L270" i="5"/>
  <c r="H270" i="5"/>
  <c r="I270" i="5" s="1"/>
  <c r="F270" i="5"/>
  <c r="C270" i="5"/>
  <c r="AC269" i="5"/>
  <c r="AD269" i="5" s="1"/>
  <c r="AA269" i="5"/>
  <c r="W269" i="5"/>
  <c r="X269" i="5" s="1"/>
  <c r="U269" i="5"/>
  <c r="R269" i="5"/>
  <c r="O269" i="5"/>
  <c r="N269" i="5"/>
  <c r="L269" i="5"/>
  <c r="H269" i="5"/>
  <c r="I269" i="5" s="1"/>
  <c r="F269" i="5"/>
  <c r="C269" i="5"/>
  <c r="Z267" i="5"/>
  <c r="AA267" i="5" s="1"/>
  <c r="W267" i="5"/>
  <c r="X267" i="5" s="1"/>
  <c r="T267" i="5"/>
  <c r="U267" i="5" s="1"/>
  <c r="Q267" i="5"/>
  <c r="R267" i="5" s="1"/>
  <c r="K267" i="5"/>
  <c r="N267" i="5" s="1"/>
  <c r="O267" i="5" s="1"/>
  <c r="H267" i="5"/>
  <c r="I267" i="5" s="1"/>
  <c r="E267" i="5"/>
  <c r="F267" i="5" s="1"/>
  <c r="B267" i="5"/>
  <c r="C267" i="5" s="1"/>
  <c r="AC266" i="5"/>
  <c r="AD266" i="5" s="1"/>
  <c r="AA266" i="5"/>
  <c r="X266" i="5"/>
  <c r="W266" i="5"/>
  <c r="U266" i="5"/>
  <c r="R266" i="5"/>
  <c r="N266" i="5"/>
  <c r="O266" i="5" s="1"/>
  <c r="L266" i="5"/>
  <c r="H266" i="5"/>
  <c r="I266" i="5" s="1"/>
  <c r="F266" i="5"/>
  <c r="C266" i="5"/>
  <c r="AC265" i="5"/>
  <c r="AD265" i="5" s="1"/>
  <c r="AA265" i="5"/>
  <c r="W265" i="5"/>
  <c r="X265" i="5" s="1"/>
  <c r="U265" i="5"/>
  <c r="R265" i="5"/>
  <c r="O265" i="5"/>
  <c r="N265" i="5"/>
  <c r="L265" i="5"/>
  <c r="H265" i="5"/>
  <c r="I265" i="5" s="1"/>
  <c r="F265" i="5"/>
  <c r="C265" i="5"/>
  <c r="Z263" i="5"/>
  <c r="AA263" i="5" s="1"/>
  <c r="T263" i="5"/>
  <c r="U263" i="5" s="1"/>
  <c r="Q263" i="5"/>
  <c r="R263" i="5" s="1"/>
  <c r="K263" i="5"/>
  <c r="N263" i="5" s="1"/>
  <c r="O263" i="5" s="1"/>
  <c r="E263" i="5"/>
  <c r="F263" i="5" s="1"/>
  <c r="B263" i="5"/>
  <c r="C263" i="5" s="1"/>
  <c r="Z262" i="5"/>
  <c r="AC262" i="5" s="1"/>
  <c r="AD262" i="5" s="1"/>
  <c r="W262" i="5"/>
  <c r="X262" i="5" s="1"/>
  <c r="T262" i="5"/>
  <c r="U262" i="5" s="1"/>
  <c r="Q262" i="5"/>
  <c r="R262" i="5" s="1"/>
  <c r="K262" i="5"/>
  <c r="L262" i="5" s="1"/>
  <c r="H262" i="5"/>
  <c r="I262" i="5" s="1"/>
  <c r="F262" i="5"/>
  <c r="E262" i="5"/>
  <c r="B262" i="5"/>
  <c r="C262" i="5" s="1"/>
  <c r="AC261" i="5"/>
  <c r="AD261" i="5" s="1"/>
  <c r="AA261" i="5"/>
  <c r="W261" i="5"/>
  <c r="X261" i="5" s="1"/>
  <c r="U261" i="5"/>
  <c r="R261" i="5"/>
  <c r="O261" i="5"/>
  <c r="N261" i="5"/>
  <c r="L261" i="5"/>
  <c r="H261" i="5"/>
  <c r="I261" i="5" s="1"/>
  <c r="F261" i="5"/>
  <c r="C261" i="5"/>
  <c r="AD260" i="5"/>
  <c r="AC260" i="5"/>
  <c r="AA260" i="5"/>
  <c r="X260" i="5"/>
  <c r="W260" i="5"/>
  <c r="U260" i="5"/>
  <c r="R260" i="5"/>
  <c r="N260" i="5"/>
  <c r="O260" i="5" s="1"/>
  <c r="L260" i="5"/>
  <c r="H260" i="5"/>
  <c r="I260" i="5" s="1"/>
  <c r="F260" i="5"/>
  <c r="C260" i="5"/>
  <c r="AC259" i="5"/>
  <c r="AD259" i="5" s="1"/>
  <c r="AA259" i="5"/>
  <c r="X259" i="5"/>
  <c r="W259" i="5"/>
  <c r="U259" i="5"/>
  <c r="R259" i="5"/>
  <c r="N259" i="5"/>
  <c r="O259" i="5" s="1"/>
  <c r="L259" i="5"/>
  <c r="H259" i="5"/>
  <c r="I259" i="5" s="1"/>
  <c r="F259" i="5"/>
  <c r="C259" i="5"/>
  <c r="AC258" i="5"/>
  <c r="AD258" i="5" s="1"/>
  <c r="AA258" i="5"/>
  <c r="W258" i="5"/>
  <c r="X258" i="5" s="1"/>
  <c r="U258" i="5"/>
  <c r="R258" i="5"/>
  <c r="O258" i="5"/>
  <c r="N258" i="5"/>
  <c r="L258" i="5"/>
  <c r="H258" i="5"/>
  <c r="I258" i="5" s="1"/>
  <c r="F258" i="5"/>
  <c r="C258" i="5"/>
  <c r="AC257" i="5"/>
  <c r="AD257" i="5" s="1"/>
  <c r="AA257" i="5"/>
  <c r="W257" i="5"/>
  <c r="X257" i="5" s="1"/>
  <c r="U257" i="5"/>
  <c r="R257" i="5"/>
  <c r="O257" i="5"/>
  <c r="N257" i="5"/>
  <c r="L257" i="5"/>
  <c r="H257" i="5"/>
  <c r="I257" i="5" s="1"/>
  <c r="F257" i="5"/>
  <c r="C257" i="5"/>
  <c r="AC256" i="5"/>
  <c r="AD256" i="5" s="1"/>
  <c r="AA256" i="5"/>
  <c r="X256" i="5"/>
  <c r="W256" i="5"/>
  <c r="U256" i="5"/>
  <c r="R256" i="5"/>
  <c r="O256" i="5"/>
  <c r="N256" i="5"/>
  <c r="L256" i="5"/>
  <c r="H256" i="5"/>
  <c r="I256" i="5" s="1"/>
  <c r="F256" i="5"/>
  <c r="C256" i="5"/>
  <c r="AC255" i="5"/>
  <c r="AD255" i="5" s="1"/>
  <c r="AA255" i="5"/>
  <c r="X255" i="5"/>
  <c r="W255" i="5"/>
  <c r="U255" i="5"/>
  <c r="R255" i="5"/>
  <c r="O255" i="5"/>
  <c r="N255" i="5"/>
  <c r="L255" i="5"/>
  <c r="I255" i="5"/>
  <c r="H255" i="5"/>
  <c r="F255" i="5"/>
  <c r="C255" i="5"/>
  <c r="AC254" i="5"/>
  <c r="AD254" i="5" s="1"/>
  <c r="AA254" i="5"/>
  <c r="W254" i="5"/>
  <c r="X254" i="5" s="1"/>
  <c r="U254" i="5"/>
  <c r="R254" i="5"/>
  <c r="O254" i="5"/>
  <c r="N254" i="5"/>
  <c r="L254" i="5"/>
  <c r="I254" i="5"/>
  <c r="H254" i="5"/>
  <c r="F254" i="5"/>
  <c r="C254" i="5"/>
  <c r="AC253" i="5"/>
  <c r="AD253" i="5" s="1"/>
  <c r="AA253" i="5"/>
  <c r="W253" i="5"/>
  <c r="X253" i="5" s="1"/>
  <c r="U253" i="5"/>
  <c r="R253" i="5"/>
  <c r="O253" i="5"/>
  <c r="N253" i="5"/>
  <c r="L253" i="5"/>
  <c r="H253" i="5"/>
  <c r="I253" i="5" s="1"/>
  <c r="F253" i="5"/>
  <c r="C253" i="5"/>
  <c r="AD252" i="5"/>
  <c r="AC252" i="5"/>
  <c r="AA252" i="5"/>
  <c r="X252" i="5"/>
  <c r="W252" i="5"/>
  <c r="U252" i="5"/>
  <c r="R252" i="5"/>
  <c r="N252" i="5"/>
  <c r="O252" i="5" s="1"/>
  <c r="L252" i="5"/>
  <c r="H252" i="5"/>
  <c r="I252" i="5" s="1"/>
  <c r="F252" i="5"/>
  <c r="C252" i="5"/>
  <c r="AC251" i="5"/>
  <c r="AD251" i="5" s="1"/>
  <c r="AA251" i="5"/>
  <c r="X251" i="5"/>
  <c r="W251" i="5"/>
  <c r="U251" i="5"/>
  <c r="R251" i="5"/>
  <c r="N251" i="5"/>
  <c r="O251" i="5" s="1"/>
  <c r="L251" i="5"/>
  <c r="H251" i="5"/>
  <c r="I251" i="5" s="1"/>
  <c r="F251" i="5"/>
  <c r="C251" i="5"/>
  <c r="AD250" i="5"/>
  <c r="AC250" i="5"/>
  <c r="AA250" i="5"/>
  <c r="W250" i="5"/>
  <c r="X250" i="5" s="1"/>
  <c r="U250" i="5"/>
  <c r="R250" i="5"/>
  <c r="N250" i="5"/>
  <c r="O250" i="5" s="1"/>
  <c r="L250" i="5"/>
  <c r="H250" i="5"/>
  <c r="I250" i="5" s="1"/>
  <c r="F250" i="5"/>
  <c r="C250" i="5"/>
  <c r="AC249" i="5"/>
  <c r="AD249" i="5" s="1"/>
  <c r="AA249" i="5"/>
  <c r="X249" i="5"/>
  <c r="W249" i="5"/>
  <c r="U249" i="5"/>
  <c r="R249" i="5"/>
  <c r="O249" i="5"/>
  <c r="N249" i="5"/>
  <c r="L249" i="5"/>
  <c r="H249" i="5"/>
  <c r="I249" i="5" s="1"/>
  <c r="F249" i="5"/>
  <c r="C249" i="5"/>
  <c r="AC248" i="5"/>
  <c r="AD248" i="5" s="1"/>
  <c r="AA248" i="5"/>
  <c r="W248" i="5"/>
  <c r="X248" i="5" s="1"/>
  <c r="U248" i="5"/>
  <c r="R248" i="5"/>
  <c r="N248" i="5"/>
  <c r="O248" i="5" s="1"/>
  <c r="L248" i="5"/>
  <c r="H248" i="5"/>
  <c r="I248" i="5" s="1"/>
  <c r="F248" i="5"/>
  <c r="C248" i="5"/>
  <c r="AD247" i="5"/>
  <c r="AC247" i="5"/>
  <c r="AA247" i="5"/>
  <c r="X247" i="5"/>
  <c r="W247" i="5"/>
  <c r="U247" i="5"/>
  <c r="R247" i="5"/>
  <c r="N247" i="5"/>
  <c r="O247" i="5" s="1"/>
  <c r="L247" i="5"/>
  <c r="H247" i="5"/>
  <c r="I247" i="5" s="1"/>
  <c r="F247" i="5"/>
  <c r="C247" i="5"/>
  <c r="AC246" i="5"/>
  <c r="AD246" i="5" s="1"/>
  <c r="AA246" i="5"/>
  <c r="W246" i="5"/>
  <c r="X246" i="5" s="1"/>
  <c r="U246" i="5"/>
  <c r="R246" i="5"/>
  <c r="O246" i="5"/>
  <c r="N246" i="5"/>
  <c r="L246" i="5"/>
  <c r="I246" i="5"/>
  <c r="H246" i="5"/>
  <c r="F246" i="5"/>
  <c r="C246" i="5"/>
  <c r="AC245" i="5"/>
  <c r="AD245" i="5" s="1"/>
  <c r="AA245" i="5"/>
  <c r="W245" i="5"/>
  <c r="X245" i="5" s="1"/>
  <c r="U245" i="5"/>
  <c r="R245" i="5"/>
  <c r="O245" i="5"/>
  <c r="N245" i="5"/>
  <c r="L245" i="5"/>
  <c r="I245" i="5"/>
  <c r="H245" i="5"/>
  <c r="F245" i="5"/>
  <c r="C245" i="5"/>
  <c r="AC244" i="5"/>
  <c r="AD244" i="5" s="1"/>
  <c r="AA244" i="5"/>
  <c r="W244" i="5"/>
  <c r="X244" i="5" s="1"/>
  <c r="U244" i="5"/>
  <c r="R244" i="5"/>
  <c r="O244" i="5"/>
  <c r="N244" i="5"/>
  <c r="L244" i="5"/>
  <c r="H244" i="5"/>
  <c r="I244" i="5" s="1"/>
  <c r="F244" i="5"/>
  <c r="C244" i="5"/>
  <c r="AC243" i="5"/>
  <c r="AD243" i="5" s="1"/>
  <c r="AA243" i="5"/>
  <c r="X243" i="5"/>
  <c r="W243" i="5"/>
  <c r="U243" i="5"/>
  <c r="R243" i="5"/>
  <c r="O243" i="5"/>
  <c r="N243" i="5"/>
  <c r="L243" i="5"/>
  <c r="I243" i="5"/>
  <c r="H243" i="5"/>
  <c r="F243" i="5"/>
  <c r="C243" i="5"/>
  <c r="AC242" i="5"/>
  <c r="AD242" i="5" s="1"/>
  <c r="AA242" i="5"/>
  <c r="W242" i="5"/>
  <c r="X242" i="5" s="1"/>
  <c r="U242" i="5"/>
  <c r="R242" i="5"/>
  <c r="N242" i="5"/>
  <c r="O242" i="5" s="1"/>
  <c r="L242" i="5"/>
  <c r="H242" i="5"/>
  <c r="I242" i="5" s="1"/>
  <c r="F242" i="5"/>
  <c r="C242" i="5"/>
  <c r="AC241" i="5"/>
  <c r="AD241" i="5" s="1"/>
  <c r="AA241" i="5"/>
  <c r="W241" i="5"/>
  <c r="X241" i="5" s="1"/>
  <c r="U241" i="5"/>
  <c r="R241" i="5"/>
  <c r="O241" i="5"/>
  <c r="N241" i="5"/>
  <c r="L241" i="5"/>
  <c r="H241" i="5"/>
  <c r="I241" i="5" s="1"/>
  <c r="F241" i="5"/>
  <c r="C241" i="5"/>
  <c r="AC240" i="5"/>
  <c r="AD240" i="5" s="1"/>
  <c r="AA240" i="5"/>
  <c r="W240" i="5"/>
  <c r="X240" i="5" s="1"/>
  <c r="U240" i="5"/>
  <c r="R240" i="5"/>
  <c r="N240" i="5"/>
  <c r="O240" i="5" s="1"/>
  <c r="L240" i="5"/>
  <c r="H240" i="5"/>
  <c r="I240" i="5" s="1"/>
  <c r="F240" i="5"/>
  <c r="C240" i="5"/>
  <c r="AC238" i="5"/>
  <c r="AD238" i="5" s="1"/>
  <c r="AA238" i="5"/>
  <c r="X238" i="5"/>
  <c r="W238" i="5"/>
  <c r="U238" i="5"/>
  <c r="R238" i="5"/>
  <c r="O238" i="5"/>
  <c r="N238" i="5"/>
  <c r="L238" i="5"/>
  <c r="H238" i="5"/>
  <c r="I238" i="5" s="1"/>
  <c r="F238" i="5"/>
  <c r="C238" i="5"/>
  <c r="Z236" i="5"/>
  <c r="AA236" i="5" s="1"/>
  <c r="T236" i="5"/>
  <c r="U236" i="5" s="1"/>
  <c r="Q236" i="5"/>
  <c r="W236" i="5" s="1"/>
  <c r="X236" i="5" s="1"/>
  <c r="L236" i="5"/>
  <c r="K236" i="5"/>
  <c r="F236" i="5"/>
  <c r="E236" i="5"/>
  <c r="B236" i="5"/>
  <c r="H236" i="5" s="1"/>
  <c r="I236" i="5" s="1"/>
  <c r="AC235" i="5"/>
  <c r="AD235" i="5" s="1"/>
  <c r="AA235" i="5"/>
  <c r="W235" i="5"/>
  <c r="X235" i="5" s="1"/>
  <c r="U235" i="5"/>
  <c r="R235" i="5"/>
  <c r="O235" i="5"/>
  <c r="N235" i="5"/>
  <c r="L235" i="5"/>
  <c r="H235" i="5"/>
  <c r="I235" i="5" s="1"/>
  <c r="F235" i="5"/>
  <c r="C235" i="5"/>
  <c r="AC234" i="5"/>
  <c r="AD234" i="5" s="1"/>
  <c r="AA234" i="5"/>
  <c r="X234" i="5"/>
  <c r="W234" i="5"/>
  <c r="U234" i="5"/>
  <c r="R234" i="5"/>
  <c r="O234" i="5"/>
  <c r="N234" i="5"/>
  <c r="L234" i="5"/>
  <c r="I234" i="5"/>
  <c r="H234" i="5"/>
  <c r="F234" i="5"/>
  <c r="C234" i="5"/>
  <c r="AC233" i="5"/>
  <c r="AD233" i="5" s="1"/>
  <c r="AA233" i="5"/>
  <c r="W233" i="5"/>
  <c r="X233" i="5" s="1"/>
  <c r="U233" i="5"/>
  <c r="R233" i="5"/>
  <c r="N233" i="5"/>
  <c r="O233" i="5" s="1"/>
  <c r="L233" i="5"/>
  <c r="H233" i="5"/>
  <c r="I233" i="5" s="1"/>
  <c r="F233" i="5"/>
  <c r="C233" i="5"/>
  <c r="AC232" i="5"/>
  <c r="AD232" i="5" s="1"/>
  <c r="AA232" i="5"/>
  <c r="W232" i="5"/>
  <c r="X232" i="5" s="1"/>
  <c r="U232" i="5"/>
  <c r="R232" i="5"/>
  <c r="O232" i="5"/>
  <c r="N232" i="5"/>
  <c r="L232" i="5"/>
  <c r="H232" i="5"/>
  <c r="I232" i="5" s="1"/>
  <c r="F232" i="5"/>
  <c r="C232" i="5"/>
  <c r="AC231" i="5"/>
  <c r="AD231" i="5" s="1"/>
  <c r="AA231" i="5"/>
  <c r="X231" i="5"/>
  <c r="W231" i="5"/>
  <c r="U231" i="5"/>
  <c r="R231" i="5"/>
  <c r="N231" i="5"/>
  <c r="O231" i="5" s="1"/>
  <c r="L231" i="5"/>
  <c r="H231" i="5"/>
  <c r="I231" i="5" s="1"/>
  <c r="F231" i="5"/>
  <c r="C231" i="5"/>
  <c r="AC230" i="5"/>
  <c r="AD230" i="5" s="1"/>
  <c r="AA230" i="5"/>
  <c r="X230" i="5"/>
  <c r="W230" i="5"/>
  <c r="U230" i="5"/>
  <c r="R230" i="5"/>
  <c r="N230" i="5"/>
  <c r="O230" i="5" s="1"/>
  <c r="L230" i="5"/>
  <c r="H230" i="5"/>
  <c r="I230" i="5" s="1"/>
  <c r="F230" i="5"/>
  <c r="C230" i="5"/>
  <c r="AD229" i="5"/>
  <c r="AC229" i="5"/>
  <c r="AA229" i="5"/>
  <c r="X229" i="5"/>
  <c r="W229" i="5"/>
  <c r="U229" i="5"/>
  <c r="R229" i="5"/>
  <c r="N229" i="5"/>
  <c r="O229" i="5" s="1"/>
  <c r="L229" i="5"/>
  <c r="H229" i="5"/>
  <c r="I229" i="5" s="1"/>
  <c r="F229" i="5"/>
  <c r="C229" i="5"/>
  <c r="Z227" i="5"/>
  <c r="AA227" i="5" s="1"/>
  <c r="U227" i="5"/>
  <c r="T227" i="5"/>
  <c r="Q227" i="5"/>
  <c r="R227" i="5" s="1"/>
  <c r="L227" i="5"/>
  <c r="K227" i="5"/>
  <c r="E227" i="5"/>
  <c r="F227" i="5" s="1"/>
  <c r="C227" i="5"/>
  <c r="B227" i="5"/>
  <c r="H227" i="5" s="1"/>
  <c r="I227" i="5" s="1"/>
  <c r="AC226" i="5"/>
  <c r="AD226" i="5" s="1"/>
  <c r="AA226" i="5"/>
  <c r="X226" i="5"/>
  <c r="W226" i="5"/>
  <c r="U226" i="5"/>
  <c r="R226" i="5"/>
  <c r="N226" i="5"/>
  <c r="O226" i="5" s="1"/>
  <c r="L226" i="5"/>
  <c r="H226" i="5"/>
  <c r="I226" i="5" s="1"/>
  <c r="F226" i="5"/>
  <c r="C226" i="5"/>
  <c r="AD225" i="5"/>
  <c r="AC225" i="5"/>
  <c r="AA225" i="5"/>
  <c r="X225" i="5"/>
  <c r="W225" i="5"/>
  <c r="U225" i="5"/>
  <c r="R225" i="5"/>
  <c r="N225" i="5"/>
  <c r="O225" i="5" s="1"/>
  <c r="L225" i="5"/>
  <c r="H225" i="5"/>
  <c r="I225" i="5" s="1"/>
  <c r="F225" i="5"/>
  <c r="C225" i="5"/>
  <c r="AC224" i="5"/>
  <c r="AD224" i="5" s="1"/>
  <c r="AA224" i="5"/>
  <c r="X224" i="5"/>
  <c r="W224" i="5"/>
  <c r="U224" i="5"/>
  <c r="R224" i="5"/>
  <c r="O224" i="5"/>
  <c r="N224" i="5"/>
  <c r="L224" i="5"/>
  <c r="H224" i="5"/>
  <c r="I224" i="5" s="1"/>
  <c r="F224" i="5"/>
  <c r="C224" i="5"/>
  <c r="AD223" i="5"/>
  <c r="AC223" i="5"/>
  <c r="AA223" i="5"/>
  <c r="X223" i="5"/>
  <c r="W223" i="5"/>
  <c r="U223" i="5"/>
  <c r="R223" i="5"/>
  <c r="N223" i="5"/>
  <c r="O223" i="5" s="1"/>
  <c r="L223" i="5"/>
  <c r="H223" i="5"/>
  <c r="I223" i="5" s="1"/>
  <c r="F223" i="5"/>
  <c r="C223" i="5"/>
  <c r="AD222" i="5"/>
  <c r="AC222" i="5"/>
  <c r="AA222" i="5"/>
  <c r="X222" i="5"/>
  <c r="W222" i="5"/>
  <c r="U222" i="5"/>
  <c r="R222" i="5"/>
  <c r="N222" i="5"/>
  <c r="O222" i="5" s="1"/>
  <c r="L222" i="5"/>
  <c r="H222" i="5"/>
  <c r="I222" i="5" s="1"/>
  <c r="F222" i="5"/>
  <c r="C222" i="5"/>
  <c r="AD221" i="5"/>
  <c r="AC221" i="5"/>
  <c r="AA221" i="5"/>
  <c r="W221" i="5"/>
  <c r="X221" i="5" s="1"/>
  <c r="U221" i="5"/>
  <c r="R221" i="5"/>
  <c r="N221" i="5"/>
  <c r="O221" i="5" s="1"/>
  <c r="L221" i="5"/>
  <c r="I221" i="5"/>
  <c r="H221" i="5"/>
  <c r="F221" i="5"/>
  <c r="C221" i="5"/>
  <c r="AC220" i="5"/>
  <c r="AD220" i="5" s="1"/>
  <c r="AA220" i="5"/>
  <c r="X220" i="5"/>
  <c r="W220" i="5"/>
  <c r="U220" i="5"/>
  <c r="R220" i="5"/>
  <c r="O220" i="5"/>
  <c r="N220" i="5"/>
  <c r="L220" i="5"/>
  <c r="H220" i="5"/>
  <c r="I220" i="5" s="1"/>
  <c r="F220" i="5"/>
  <c r="C220" i="5"/>
  <c r="AC219" i="5"/>
  <c r="AD219" i="5" s="1"/>
  <c r="AA219" i="5"/>
  <c r="W219" i="5"/>
  <c r="X219" i="5" s="1"/>
  <c r="U219" i="5"/>
  <c r="R219" i="5"/>
  <c r="O219" i="5"/>
  <c r="N219" i="5"/>
  <c r="L219" i="5"/>
  <c r="H219" i="5"/>
  <c r="I219" i="5" s="1"/>
  <c r="F219" i="5"/>
  <c r="C219" i="5"/>
  <c r="AA218" i="5"/>
  <c r="Z218" i="5"/>
  <c r="W218" i="5"/>
  <c r="X218" i="5" s="1"/>
  <c r="U218" i="5"/>
  <c r="T218" i="5"/>
  <c r="Q218" i="5"/>
  <c r="R218" i="5" s="1"/>
  <c r="N218" i="5"/>
  <c r="O218" i="5" s="1"/>
  <c r="K218" i="5"/>
  <c r="L218" i="5" s="1"/>
  <c r="H218" i="5"/>
  <c r="I218" i="5" s="1"/>
  <c r="E218" i="5"/>
  <c r="F218" i="5" s="1"/>
  <c r="C218" i="5"/>
  <c r="B218" i="5"/>
  <c r="AC217" i="5"/>
  <c r="AD217" i="5" s="1"/>
  <c r="AA217" i="5"/>
  <c r="W217" i="5"/>
  <c r="X217" i="5" s="1"/>
  <c r="U217" i="5"/>
  <c r="R217" i="5"/>
  <c r="O217" i="5"/>
  <c r="N217" i="5"/>
  <c r="L217" i="5"/>
  <c r="I217" i="5"/>
  <c r="H217" i="5"/>
  <c r="F217" i="5"/>
  <c r="C217" i="5"/>
  <c r="AC216" i="5"/>
  <c r="AD216" i="5" s="1"/>
  <c r="AA216" i="5"/>
  <c r="X216" i="5"/>
  <c r="W216" i="5"/>
  <c r="U216" i="5"/>
  <c r="R216" i="5"/>
  <c r="N216" i="5"/>
  <c r="O216" i="5" s="1"/>
  <c r="L216" i="5"/>
  <c r="H216" i="5"/>
  <c r="I216" i="5" s="1"/>
  <c r="F216" i="5"/>
  <c r="C216" i="5"/>
  <c r="AC215" i="5"/>
  <c r="AD215" i="5" s="1"/>
  <c r="AA215" i="5"/>
  <c r="X215" i="5"/>
  <c r="W215" i="5"/>
  <c r="U215" i="5"/>
  <c r="R215" i="5"/>
  <c r="O215" i="5"/>
  <c r="N215" i="5"/>
  <c r="L215" i="5"/>
  <c r="H215" i="5"/>
  <c r="I215" i="5" s="1"/>
  <c r="F215" i="5"/>
  <c r="C215" i="5"/>
  <c r="AD214" i="5"/>
  <c r="AC214" i="5"/>
  <c r="AA214" i="5"/>
  <c r="X214" i="5"/>
  <c r="W214" i="5"/>
  <c r="U214" i="5"/>
  <c r="R214" i="5"/>
  <c r="N214" i="5"/>
  <c r="O214" i="5" s="1"/>
  <c r="L214" i="5"/>
  <c r="H214" i="5"/>
  <c r="I214" i="5" s="1"/>
  <c r="F214" i="5"/>
  <c r="C214" i="5"/>
  <c r="AC213" i="5"/>
  <c r="AD213" i="5" s="1"/>
  <c r="AA213" i="5"/>
  <c r="X213" i="5"/>
  <c r="W213" i="5"/>
  <c r="U213" i="5"/>
  <c r="R213" i="5"/>
  <c r="O213" i="5"/>
  <c r="N213" i="5"/>
  <c r="L213" i="5"/>
  <c r="H213" i="5"/>
  <c r="I213" i="5" s="1"/>
  <c r="F213" i="5"/>
  <c r="C213" i="5"/>
  <c r="AD211" i="5"/>
  <c r="AC211" i="5"/>
  <c r="AA211" i="5"/>
  <c r="X211" i="5"/>
  <c r="W211" i="5"/>
  <c r="U211" i="5"/>
  <c r="R211" i="5"/>
  <c r="N211" i="5"/>
  <c r="O211" i="5" s="1"/>
  <c r="L211" i="5"/>
  <c r="H211" i="5"/>
  <c r="I211" i="5" s="1"/>
  <c r="F211" i="5"/>
  <c r="C211" i="5"/>
  <c r="Z209" i="5"/>
  <c r="AA209" i="5" s="1"/>
  <c r="U209" i="5"/>
  <c r="T209" i="5"/>
  <c r="Q209" i="5"/>
  <c r="W209" i="5" s="1"/>
  <c r="X209" i="5" s="1"/>
  <c r="K209" i="5"/>
  <c r="L209" i="5" s="1"/>
  <c r="E209" i="5"/>
  <c r="F209" i="5" s="1"/>
  <c r="B209" i="5"/>
  <c r="H209" i="5" s="1"/>
  <c r="I209" i="5" s="1"/>
  <c r="AC208" i="5"/>
  <c r="AD208" i="5" s="1"/>
  <c r="AA208" i="5"/>
  <c r="W208" i="5"/>
  <c r="X208" i="5" s="1"/>
  <c r="U208" i="5"/>
  <c r="R208" i="5"/>
  <c r="O208" i="5"/>
  <c r="N208" i="5"/>
  <c r="L208" i="5"/>
  <c r="I208" i="5"/>
  <c r="H208" i="5"/>
  <c r="F208" i="5"/>
  <c r="C208" i="5"/>
  <c r="AC207" i="5"/>
  <c r="AD207" i="5" s="1"/>
  <c r="AA207" i="5"/>
  <c r="W207" i="5"/>
  <c r="X207" i="5" s="1"/>
  <c r="U207" i="5"/>
  <c r="R207" i="5"/>
  <c r="O207" i="5"/>
  <c r="N207" i="5"/>
  <c r="L207" i="5"/>
  <c r="H207" i="5"/>
  <c r="I207" i="5" s="1"/>
  <c r="F207" i="5"/>
  <c r="C207" i="5"/>
  <c r="AC206" i="5"/>
  <c r="AD206" i="5" s="1"/>
  <c r="AA206" i="5"/>
  <c r="X206" i="5"/>
  <c r="W206" i="5"/>
  <c r="U206" i="5"/>
  <c r="R206" i="5"/>
  <c r="N206" i="5"/>
  <c r="O206" i="5" s="1"/>
  <c r="L206" i="5"/>
  <c r="H206" i="5"/>
  <c r="I206" i="5" s="1"/>
  <c r="F206" i="5"/>
  <c r="C206" i="5"/>
  <c r="AD205" i="5"/>
  <c r="AC205" i="5"/>
  <c r="AA205" i="5"/>
  <c r="X205" i="5"/>
  <c r="W205" i="5"/>
  <c r="U205" i="5"/>
  <c r="R205" i="5"/>
  <c r="N205" i="5"/>
  <c r="O205" i="5" s="1"/>
  <c r="L205" i="5"/>
  <c r="H205" i="5"/>
  <c r="I205" i="5" s="1"/>
  <c r="F205" i="5"/>
  <c r="C205" i="5"/>
  <c r="AC204" i="5"/>
  <c r="AD204" i="5" s="1"/>
  <c r="AA204" i="5"/>
  <c r="W204" i="5"/>
  <c r="X204" i="5" s="1"/>
  <c r="U204" i="5"/>
  <c r="R204" i="5"/>
  <c r="O204" i="5"/>
  <c r="N204" i="5"/>
  <c r="L204" i="5"/>
  <c r="I204" i="5"/>
  <c r="H204" i="5"/>
  <c r="F204" i="5"/>
  <c r="C204" i="5"/>
  <c r="AC203" i="5"/>
  <c r="AD203" i="5" s="1"/>
  <c r="AA203" i="5"/>
  <c r="W203" i="5"/>
  <c r="X203" i="5" s="1"/>
  <c r="U203" i="5"/>
  <c r="R203" i="5"/>
  <c r="O203" i="5"/>
  <c r="N203" i="5"/>
  <c r="L203" i="5"/>
  <c r="H203" i="5"/>
  <c r="I203" i="5" s="1"/>
  <c r="F203" i="5"/>
  <c r="C203" i="5"/>
  <c r="AC202" i="5"/>
  <c r="AD202" i="5" s="1"/>
  <c r="AA202" i="5"/>
  <c r="X202" i="5"/>
  <c r="W202" i="5"/>
  <c r="U202" i="5"/>
  <c r="R202" i="5"/>
  <c r="N202" i="5"/>
  <c r="O202" i="5" s="1"/>
  <c r="L202" i="5"/>
  <c r="H202" i="5"/>
  <c r="I202" i="5" s="1"/>
  <c r="F202" i="5"/>
  <c r="C202" i="5"/>
  <c r="AD201" i="5"/>
  <c r="AC201" i="5"/>
  <c r="AA201" i="5"/>
  <c r="X201" i="5"/>
  <c r="W201" i="5"/>
  <c r="U201" i="5"/>
  <c r="R201" i="5"/>
  <c r="N201" i="5"/>
  <c r="O201" i="5" s="1"/>
  <c r="L201" i="5"/>
  <c r="H201" i="5"/>
  <c r="I201" i="5" s="1"/>
  <c r="F201" i="5"/>
  <c r="C201" i="5"/>
  <c r="Z197" i="5"/>
  <c r="AA197" i="5" s="1"/>
  <c r="U197" i="5"/>
  <c r="T197" i="5"/>
  <c r="Q197" i="5"/>
  <c r="W197" i="5" s="1"/>
  <c r="X197" i="5" s="1"/>
  <c r="K197" i="5"/>
  <c r="L197" i="5" s="1"/>
  <c r="E197" i="5"/>
  <c r="F197" i="5" s="1"/>
  <c r="B197" i="5"/>
  <c r="H197" i="5" s="1"/>
  <c r="I197" i="5" s="1"/>
  <c r="AA196" i="5"/>
  <c r="Z196" i="5"/>
  <c r="T196" i="5"/>
  <c r="W196" i="5" s="1"/>
  <c r="X196" i="5" s="1"/>
  <c r="Q196" i="5"/>
  <c r="AC196" i="5" s="1"/>
  <c r="AD196" i="5" s="1"/>
  <c r="K196" i="5"/>
  <c r="L196" i="5" s="1"/>
  <c r="H196" i="5"/>
  <c r="I196" i="5" s="1"/>
  <c r="E196" i="5"/>
  <c r="F196" i="5" s="1"/>
  <c r="C196" i="5"/>
  <c r="B196" i="5"/>
  <c r="N196" i="5" s="1"/>
  <c r="O196" i="5" s="1"/>
  <c r="AC195" i="5"/>
  <c r="AD195" i="5" s="1"/>
  <c r="AA195" i="5"/>
  <c r="X195" i="5"/>
  <c r="W195" i="5"/>
  <c r="U195" i="5"/>
  <c r="R195" i="5"/>
  <c r="N195" i="5"/>
  <c r="O195" i="5" s="1"/>
  <c r="L195" i="5"/>
  <c r="H195" i="5"/>
  <c r="I195" i="5" s="1"/>
  <c r="F195" i="5"/>
  <c r="C195" i="5"/>
  <c r="AD194" i="5"/>
  <c r="AC194" i="5"/>
  <c r="AA194" i="5"/>
  <c r="X194" i="5"/>
  <c r="W194" i="5"/>
  <c r="U194" i="5"/>
  <c r="R194" i="5"/>
  <c r="N194" i="5"/>
  <c r="O194" i="5" s="1"/>
  <c r="L194" i="5"/>
  <c r="H194" i="5"/>
  <c r="I194" i="5" s="1"/>
  <c r="F194" i="5"/>
  <c r="C194" i="5"/>
  <c r="AA193" i="5"/>
  <c r="Z193" i="5"/>
  <c r="T193" i="5"/>
  <c r="W193" i="5" s="1"/>
  <c r="X193" i="5" s="1"/>
  <c r="Q193" i="5"/>
  <c r="AC193" i="5" s="1"/>
  <c r="AD193" i="5" s="1"/>
  <c r="K193" i="5"/>
  <c r="L193" i="5" s="1"/>
  <c r="H193" i="5"/>
  <c r="I193" i="5" s="1"/>
  <c r="E193" i="5"/>
  <c r="F193" i="5" s="1"/>
  <c r="C193" i="5"/>
  <c r="B193" i="5"/>
  <c r="N193" i="5" s="1"/>
  <c r="O193" i="5" s="1"/>
  <c r="AC192" i="5"/>
  <c r="AD192" i="5" s="1"/>
  <c r="AA192" i="5"/>
  <c r="X192" i="5"/>
  <c r="W192" i="5"/>
  <c r="U192" i="5"/>
  <c r="R192" i="5"/>
  <c r="N192" i="5"/>
  <c r="O192" i="5" s="1"/>
  <c r="L192" i="5"/>
  <c r="H192" i="5"/>
  <c r="I192" i="5" s="1"/>
  <c r="F192" i="5"/>
  <c r="C192" i="5"/>
  <c r="AD191" i="5"/>
  <c r="AC191" i="5"/>
  <c r="AA191" i="5"/>
  <c r="X191" i="5"/>
  <c r="W191" i="5"/>
  <c r="U191" i="5"/>
  <c r="R191" i="5"/>
  <c r="N191" i="5"/>
  <c r="O191" i="5" s="1"/>
  <c r="L191" i="5"/>
  <c r="H191" i="5"/>
  <c r="I191" i="5" s="1"/>
  <c r="F191" i="5"/>
  <c r="C191" i="5"/>
  <c r="AC190" i="5"/>
  <c r="AD190" i="5" s="1"/>
  <c r="AA190" i="5"/>
  <c r="W190" i="5"/>
  <c r="X190" i="5" s="1"/>
  <c r="U190" i="5"/>
  <c r="R190" i="5"/>
  <c r="O190" i="5"/>
  <c r="N190" i="5"/>
  <c r="L190" i="5"/>
  <c r="I190" i="5"/>
  <c r="H190" i="5"/>
  <c r="F190" i="5"/>
  <c r="C190" i="5"/>
  <c r="AC189" i="5"/>
  <c r="AD189" i="5" s="1"/>
  <c r="AA189" i="5"/>
  <c r="W189" i="5"/>
  <c r="X189" i="5" s="1"/>
  <c r="U189" i="5"/>
  <c r="R189" i="5"/>
  <c r="O189" i="5"/>
  <c r="N189" i="5"/>
  <c r="L189" i="5"/>
  <c r="H189" i="5"/>
  <c r="I189" i="5" s="1"/>
  <c r="F189" i="5"/>
  <c r="C189" i="5"/>
  <c r="AC188" i="5"/>
  <c r="AD188" i="5" s="1"/>
  <c r="AA188" i="5"/>
  <c r="X188" i="5"/>
  <c r="W188" i="5"/>
  <c r="U188" i="5"/>
  <c r="R188" i="5"/>
  <c r="N188" i="5"/>
  <c r="O188" i="5" s="1"/>
  <c r="L188" i="5"/>
  <c r="H188" i="5"/>
  <c r="I188" i="5" s="1"/>
  <c r="F188" i="5"/>
  <c r="C188" i="5"/>
  <c r="AD187" i="5"/>
  <c r="AC187" i="5"/>
  <c r="AA187" i="5"/>
  <c r="X187" i="5"/>
  <c r="W187" i="5"/>
  <c r="U187" i="5"/>
  <c r="R187" i="5"/>
  <c r="N187" i="5"/>
  <c r="O187" i="5" s="1"/>
  <c r="L187" i="5"/>
  <c r="H187" i="5"/>
  <c r="I187" i="5" s="1"/>
  <c r="F187" i="5"/>
  <c r="C187" i="5"/>
  <c r="AC186" i="5"/>
  <c r="AD186" i="5" s="1"/>
  <c r="AA186" i="5"/>
  <c r="W186" i="5"/>
  <c r="X186" i="5" s="1"/>
  <c r="U186" i="5"/>
  <c r="R186" i="5"/>
  <c r="O186" i="5"/>
  <c r="N186" i="5"/>
  <c r="L186" i="5"/>
  <c r="I186" i="5"/>
  <c r="H186" i="5"/>
  <c r="F186" i="5"/>
  <c r="C186" i="5"/>
  <c r="AC184" i="5"/>
  <c r="AD184" i="5" s="1"/>
  <c r="AA184" i="5"/>
  <c r="W184" i="5"/>
  <c r="X184" i="5" s="1"/>
  <c r="U184" i="5"/>
  <c r="R184" i="5"/>
  <c r="O184" i="5"/>
  <c r="N184" i="5"/>
  <c r="L184" i="5"/>
  <c r="H184" i="5"/>
  <c r="I184" i="5" s="1"/>
  <c r="F184" i="5"/>
  <c r="C184" i="5"/>
  <c r="AC183" i="5"/>
  <c r="AD183" i="5" s="1"/>
  <c r="AA183" i="5"/>
  <c r="X183" i="5"/>
  <c r="W183" i="5"/>
  <c r="U183" i="5"/>
  <c r="R183" i="5"/>
  <c r="N183" i="5"/>
  <c r="O183" i="5" s="1"/>
  <c r="L183" i="5"/>
  <c r="H183" i="5"/>
  <c r="I183" i="5" s="1"/>
  <c r="F183" i="5"/>
  <c r="C183" i="5"/>
  <c r="Z182" i="5"/>
  <c r="AA182" i="5" s="1"/>
  <c r="W182" i="5"/>
  <c r="X182" i="5" s="1"/>
  <c r="T182" i="5"/>
  <c r="U182" i="5" s="1"/>
  <c r="R182" i="5"/>
  <c r="Q182" i="5"/>
  <c r="AC182" i="5" s="1"/>
  <c r="AD182" i="5" s="1"/>
  <c r="K182" i="5"/>
  <c r="L182" i="5" s="1"/>
  <c r="F182" i="5"/>
  <c r="E182" i="5"/>
  <c r="B182" i="5"/>
  <c r="H182" i="5" s="1"/>
  <c r="I182" i="5" s="1"/>
  <c r="AC181" i="5"/>
  <c r="AD181" i="5" s="1"/>
  <c r="AA181" i="5"/>
  <c r="W181" i="5"/>
  <c r="X181" i="5" s="1"/>
  <c r="U181" i="5"/>
  <c r="R181" i="5"/>
  <c r="O181" i="5"/>
  <c r="N181" i="5"/>
  <c r="L181" i="5"/>
  <c r="H181" i="5"/>
  <c r="I181" i="5" s="1"/>
  <c r="F181" i="5"/>
  <c r="C181" i="5"/>
  <c r="AC180" i="5"/>
  <c r="AD180" i="5" s="1"/>
  <c r="AA180" i="5"/>
  <c r="X180" i="5"/>
  <c r="W180" i="5"/>
  <c r="U180" i="5"/>
  <c r="R180" i="5"/>
  <c r="N180" i="5"/>
  <c r="O180" i="5" s="1"/>
  <c r="L180" i="5"/>
  <c r="H180" i="5"/>
  <c r="I180" i="5" s="1"/>
  <c r="F180" i="5"/>
  <c r="C180" i="5"/>
  <c r="AD179" i="5"/>
  <c r="AC179" i="5"/>
  <c r="AA179" i="5"/>
  <c r="X179" i="5"/>
  <c r="W179" i="5"/>
  <c r="U179" i="5"/>
  <c r="R179" i="5"/>
  <c r="N179" i="5"/>
  <c r="O179" i="5" s="1"/>
  <c r="L179" i="5"/>
  <c r="H179" i="5"/>
  <c r="I179" i="5" s="1"/>
  <c r="F179" i="5"/>
  <c r="C179" i="5"/>
  <c r="AC178" i="5"/>
  <c r="AD178" i="5" s="1"/>
  <c r="AA178" i="5"/>
  <c r="W178" i="5"/>
  <c r="X178" i="5" s="1"/>
  <c r="U178" i="5"/>
  <c r="R178" i="5"/>
  <c r="O178" i="5"/>
  <c r="N178" i="5"/>
  <c r="L178" i="5"/>
  <c r="I178" i="5"/>
  <c r="H178" i="5"/>
  <c r="F178" i="5"/>
  <c r="C178" i="5"/>
  <c r="AC177" i="5"/>
  <c r="AD177" i="5" s="1"/>
  <c r="AA177" i="5"/>
  <c r="W177" i="5"/>
  <c r="X177" i="5" s="1"/>
  <c r="U177" i="5"/>
  <c r="R177" i="5"/>
  <c r="O177" i="5"/>
  <c r="N177" i="5"/>
  <c r="L177" i="5"/>
  <c r="H177" i="5"/>
  <c r="I177" i="5" s="1"/>
  <c r="F177" i="5"/>
  <c r="C177" i="5"/>
  <c r="AC175" i="5"/>
  <c r="AD175" i="5" s="1"/>
  <c r="AA175" i="5"/>
  <c r="X175" i="5"/>
  <c r="W175" i="5"/>
  <c r="U175" i="5"/>
  <c r="R175" i="5"/>
  <c r="N175" i="5"/>
  <c r="O175" i="5" s="1"/>
  <c r="L175" i="5"/>
  <c r="H175" i="5"/>
  <c r="I175" i="5" s="1"/>
  <c r="F175" i="5"/>
  <c r="C175" i="5"/>
  <c r="Z172" i="5"/>
  <c r="L172" i="5"/>
  <c r="K172" i="5"/>
  <c r="K198" i="5" s="1"/>
  <c r="B172" i="5"/>
  <c r="Z171" i="5"/>
  <c r="AA171" i="5" s="1"/>
  <c r="U171" i="5"/>
  <c r="T171" i="5"/>
  <c r="Q171" i="5"/>
  <c r="W171" i="5" s="1"/>
  <c r="X171" i="5" s="1"/>
  <c r="L171" i="5"/>
  <c r="K171" i="5"/>
  <c r="F171" i="5"/>
  <c r="E171" i="5"/>
  <c r="H171" i="5" s="1"/>
  <c r="I171" i="5" s="1"/>
  <c r="B171" i="5"/>
  <c r="N171" i="5" s="1"/>
  <c r="O171" i="5" s="1"/>
  <c r="AA170" i="5"/>
  <c r="Z170" i="5"/>
  <c r="X170" i="5"/>
  <c r="W170" i="5"/>
  <c r="T170" i="5"/>
  <c r="U170" i="5" s="1"/>
  <c r="R170" i="5"/>
  <c r="Q170" i="5"/>
  <c r="N170" i="5"/>
  <c r="O170" i="5" s="1"/>
  <c r="L170" i="5"/>
  <c r="K170" i="5"/>
  <c r="F170" i="5"/>
  <c r="E170" i="5"/>
  <c r="C170" i="5"/>
  <c r="B170" i="5"/>
  <c r="H170" i="5" s="1"/>
  <c r="I170" i="5" s="1"/>
  <c r="AC169" i="5"/>
  <c r="AD169" i="5" s="1"/>
  <c r="AA169" i="5"/>
  <c r="W169" i="5"/>
  <c r="X169" i="5" s="1"/>
  <c r="U169" i="5"/>
  <c r="R169" i="5"/>
  <c r="O169" i="5"/>
  <c r="N169" i="5"/>
  <c r="L169" i="5"/>
  <c r="H169" i="5"/>
  <c r="I169" i="5" s="1"/>
  <c r="F169" i="5"/>
  <c r="C169" i="5"/>
  <c r="AD168" i="5"/>
  <c r="AC168" i="5"/>
  <c r="AA168" i="5"/>
  <c r="X168" i="5"/>
  <c r="W168" i="5"/>
  <c r="U168" i="5"/>
  <c r="R168" i="5"/>
  <c r="N168" i="5"/>
  <c r="O168" i="5" s="1"/>
  <c r="L168" i="5"/>
  <c r="H168" i="5"/>
  <c r="I168" i="5" s="1"/>
  <c r="F168" i="5"/>
  <c r="C168" i="5"/>
  <c r="AD167" i="5"/>
  <c r="AC167" i="5"/>
  <c r="AA167" i="5"/>
  <c r="X167" i="5"/>
  <c r="W167" i="5"/>
  <c r="U167" i="5"/>
  <c r="R167" i="5"/>
  <c r="N167" i="5"/>
  <c r="O167" i="5" s="1"/>
  <c r="L167" i="5"/>
  <c r="H167" i="5"/>
  <c r="I167" i="5" s="1"/>
  <c r="F167" i="5"/>
  <c r="C167" i="5"/>
  <c r="AA166" i="5"/>
  <c r="Z166" i="5"/>
  <c r="W166" i="5"/>
  <c r="X166" i="5" s="1"/>
  <c r="T166" i="5"/>
  <c r="U166" i="5" s="1"/>
  <c r="Q166" i="5"/>
  <c r="AC166" i="5" s="1"/>
  <c r="AD166" i="5" s="1"/>
  <c r="K166" i="5"/>
  <c r="L166" i="5" s="1"/>
  <c r="H166" i="5"/>
  <c r="I166" i="5" s="1"/>
  <c r="E166" i="5"/>
  <c r="F166" i="5" s="1"/>
  <c r="C166" i="5"/>
  <c r="B166" i="5"/>
  <c r="N166" i="5" s="1"/>
  <c r="O166" i="5" s="1"/>
  <c r="AD165" i="5"/>
  <c r="AC165" i="5"/>
  <c r="AA165" i="5"/>
  <c r="X165" i="5"/>
  <c r="W165" i="5"/>
  <c r="U165" i="5"/>
  <c r="R165" i="5"/>
  <c r="N165" i="5"/>
  <c r="O165" i="5" s="1"/>
  <c r="L165" i="5"/>
  <c r="H165" i="5"/>
  <c r="I165" i="5" s="1"/>
  <c r="F165" i="5"/>
  <c r="C165" i="5"/>
  <c r="AD164" i="5"/>
  <c r="AC164" i="5"/>
  <c r="AA164" i="5"/>
  <c r="X164" i="5"/>
  <c r="W164" i="5"/>
  <c r="U164" i="5"/>
  <c r="R164" i="5"/>
  <c r="N164" i="5"/>
  <c r="O164" i="5" s="1"/>
  <c r="L164" i="5"/>
  <c r="H164" i="5"/>
  <c r="I164" i="5" s="1"/>
  <c r="F164" i="5"/>
  <c r="C164" i="5"/>
  <c r="AC163" i="5"/>
  <c r="AD163" i="5" s="1"/>
  <c r="AA163" i="5"/>
  <c r="W163" i="5"/>
  <c r="X163" i="5" s="1"/>
  <c r="U163" i="5"/>
  <c r="R163" i="5"/>
  <c r="O163" i="5"/>
  <c r="N163" i="5"/>
  <c r="L163" i="5"/>
  <c r="I163" i="5"/>
  <c r="H163" i="5"/>
  <c r="F163" i="5"/>
  <c r="C163" i="5"/>
  <c r="AC162" i="5"/>
  <c r="AD162" i="5" s="1"/>
  <c r="AA162" i="5"/>
  <c r="W162" i="5"/>
  <c r="X162" i="5" s="1"/>
  <c r="U162" i="5"/>
  <c r="R162" i="5"/>
  <c r="N162" i="5"/>
  <c r="O162" i="5" s="1"/>
  <c r="L162" i="5"/>
  <c r="H162" i="5"/>
  <c r="I162" i="5" s="1"/>
  <c r="F162" i="5"/>
  <c r="C162" i="5"/>
  <c r="AD161" i="5"/>
  <c r="AC161" i="5"/>
  <c r="AA161" i="5"/>
  <c r="X161" i="5"/>
  <c r="W161" i="5"/>
  <c r="U161" i="5"/>
  <c r="R161" i="5"/>
  <c r="N161" i="5"/>
  <c r="O161" i="5" s="1"/>
  <c r="L161" i="5"/>
  <c r="H161" i="5"/>
  <c r="I161" i="5" s="1"/>
  <c r="F161" i="5"/>
  <c r="C161" i="5"/>
  <c r="AD160" i="5"/>
  <c r="AC160" i="5"/>
  <c r="AA160" i="5"/>
  <c r="X160" i="5"/>
  <c r="W160" i="5"/>
  <c r="U160" i="5"/>
  <c r="R160" i="5"/>
  <c r="N160" i="5"/>
  <c r="O160" i="5" s="1"/>
  <c r="L160" i="5"/>
  <c r="H160" i="5"/>
  <c r="I160" i="5" s="1"/>
  <c r="F160" i="5"/>
  <c r="C160" i="5"/>
  <c r="AA158" i="5"/>
  <c r="Z158" i="5"/>
  <c r="W158" i="5"/>
  <c r="X158" i="5" s="1"/>
  <c r="T158" i="5"/>
  <c r="U158" i="5" s="1"/>
  <c r="Q158" i="5"/>
  <c r="AC158" i="5" s="1"/>
  <c r="AD158" i="5" s="1"/>
  <c r="K158" i="5"/>
  <c r="L158" i="5" s="1"/>
  <c r="I158" i="5"/>
  <c r="H158" i="5"/>
  <c r="E158" i="5"/>
  <c r="F158" i="5" s="1"/>
  <c r="C158" i="5"/>
  <c r="B158" i="5"/>
  <c r="AD157" i="5"/>
  <c r="AC157" i="5"/>
  <c r="AA157" i="5"/>
  <c r="X157" i="5"/>
  <c r="W157" i="5"/>
  <c r="U157" i="5"/>
  <c r="R157" i="5"/>
  <c r="N157" i="5"/>
  <c r="O157" i="5" s="1"/>
  <c r="L157" i="5"/>
  <c r="H157" i="5"/>
  <c r="I157" i="5" s="1"/>
  <c r="F157" i="5"/>
  <c r="C157" i="5"/>
  <c r="AD156" i="5"/>
  <c r="AC156" i="5"/>
  <c r="AA156" i="5"/>
  <c r="X156" i="5"/>
  <c r="W156" i="5"/>
  <c r="U156" i="5"/>
  <c r="R156" i="5"/>
  <c r="N156" i="5"/>
  <c r="O156" i="5" s="1"/>
  <c r="L156" i="5"/>
  <c r="H156" i="5"/>
  <c r="I156" i="5" s="1"/>
  <c r="F156" i="5"/>
  <c r="C156" i="5"/>
  <c r="AC155" i="5"/>
  <c r="AD155" i="5" s="1"/>
  <c r="AA155" i="5"/>
  <c r="W155" i="5"/>
  <c r="X155" i="5" s="1"/>
  <c r="U155" i="5"/>
  <c r="R155" i="5"/>
  <c r="O155" i="5"/>
  <c r="N155" i="5"/>
  <c r="L155" i="5"/>
  <c r="I155" i="5"/>
  <c r="H155" i="5"/>
  <c r="F155" i="5"/>
  <c r="C155" i="5"/>
  <c r="AC154" i="5"/>
  <c r="AD154" i="5" s="1"/>
  <c r="AA154" i="5"/>
  <c r="W154" i="5"/>
  <c r="X154" i="5" s="1"/>
  <c r="U154" i="5"/>
  <c r="R154" i="5"/>
  <c r="N154" i="5"/>
  <c r="O154" i="5" s="1"/>
  <c r="L154" i="5"/>
  <c r="H154" i="5"/>
  <c r="I154" i="5" s="1"/>
  <c r="F154" i="5"/>
  <c r="C154" i="5"/>
  <c r="AD153" i="5"/>
  <c r="AC153" i="5"/>
  <c r="AA153" i="5"/>
  <c r="X153" i="5"/>
  <c r="W153" i="5"/>
  <c r="U153" i="5"/>
  <c r="R153" i="5"/>
  <c r="N153" i="5"/>
  <c r="O153" i="5" s="1"/>
  <c r="L153" i="5"/>
  <c r="I153" i="5"/>
  <c r="H153" i="5"/>
  <c r="F153" i="5"/>
  <c r="C153" i="5"/>
  <c r="AD151" i="5"/>
  <c r="AC151" i="5"/>
  <c r="AA151" i="5"/>
  <c r="X151" i="5"/>
  <c r="W151" i="5"/>
  <c r="U151" i="5"/>
  <c r="R151" i="5"/>
  <c r="N151" i="5"/>
  <c r="O151" i="5" s="1"/>
  <c r="L151" i="5"/>
  <c r="I151" i="5"/>
  <c r="H151" i="5"/>
  <c r="F151" i="5"/>
  <c r="C151" i="5"/>
  <c r="AA149" i="5"/>
  <c r="Z149" i="5"/>
  <c r="U149" i="5"/>
  <c r="T149" i="5"/>
  <c r="W149" i="5" s="1"/>
  <c r="X149" i="5" s="1"/>
  <c r="Q149" i="5"/>
  <c r="AC149" i="5" s="1"/>
  <c r="AD149" i="5" s="1"/>
  <c r="L149" i="5"/>
  <c r="K149" i="5"/>
  <c r="I149" i="5"/>
  <c r="H149" i="5"/>
  <c r="E149" i="5"/>
  <c r="F149" i="5" s="1"/>
  <c r="C149" i="5"/>
  <c r="B149" i="5"/>
  <c r="Z148" i="5"/>
  <c r="AC148" i="5" s="1"/>
  <c r="AD148" i="5" s="1"/>
  <c r="U148" i="5"/>
  <c r="T148" i="5"/>
  <c r="R148" i="5"/>
  <c r="Q148" i="5"/>
  <c r="W148" i="5" s="1"/>
  <c r="X148" i="5" s="1"/>
  <c r="O148" i="5"/>
  <c r="N148" i="5"/>
  <c r="K148" i="5"/>
  <c r="L148" i="5" s="1"/>
  <c r="F148" i="5"/>
  <c r="E148" i="5"/>
  <c r="B148" i="5"/>
  <c r="H148" i="5" s="1"/>
  <c r="I148" i="5" s="1"/>
  <c r="AC147" i="5"/>
  <c r="AD147" i="5" s="1"/>
  <c r="AA147" i="5"/>
  <c r="W147" i="5"/>
  <c r="X147" i="5" s="1"/>
  <c r="U147" i="5"/>
  <c r="R147" i="5"/>
  <c r="O147" i="5"/>
  <c r="N147" i="5"/>
  <c r="L147" i="5"/>
  <c r="I147" i="5"/>
  <c r="H147" i="5"/>
  <c r="F147" i="5"/>
  <c r="C147" i="5"/>
  <c r="AD146" i="5"/>
  <c r="AC146" i="5"/>
  <c r="AA146" i="5"/>
  <c r="W146" i="5"/>
  <c r="X146" i="5" s="1"/>
  <c r="U146" i="5"/>
  <c r="R146" i="5"/>
  <c r="O146" i="5"/>
  <c r="N146" i="5"/>
  <c r="L146" i="5"/>
  <c r="H146" i="5"/>
  <c r="I146" i="5" s="1"/>
  <c r="F146" i="5"/>
  <c r="C146" i="5"/>
  <c r="AC145" i="5"/>
  <c r="AD145" i="5" s="1"/>
  <c r="AA145" i="5"/>
  <c r="X145" i="5"/>
  <c r="W145" i="5"/>
  <c r="U145" i="5"/>
  <c r="R145" i="5"/>
  <c r="N145" i="5"/>
  <c r="O145" i="5" s="1"/>
  <c r="L145" i="5"/>
  <c r="H145" i="5"/>
  <c r="I145" i="5" s="1"/>
  <c r="F145" i="5"/>
  <c r="C145" i="5"/>
  <c r="AD144" i="5"/>
  <c r="AC144" i="5"/>
  <c r="AA144" i="5"/>
  <c r="W144" i="5"/>
  <c r="X144" i="5" s="1"/>
  <c r="U144" i="5"/>
  <c r="R144" i="5"/>
  <c r="N144" i="5"/>
  <c r="O144" i="5" s="1"/>
  <c r="L144" i="5"/>
  <c r="H144" i="5"/>
  <c r="I144" i="5" s="1"/>
  <c r="F144" i="5"/>
  <c r="C144" i="5"/>
  <c r="AC143" i="5"/>
  <c r="AD143" i="5" s="1"/>
  <c r="AA143" i="5"/>
  <c r="W143" i="5"/>
  <c r="X143" i="5" s="1"/>
  <c r="U143" i="5"/>
  <c r="R143" i="5"/>
  <c r="O143" i="5"/>
  <c r="N143" i="5"/>
  <c r="L143" i="5"/>
  <c r="I143" i="5"/>
  <c r="H143" i="5"/>
  <c r="F143" i="5"/>
  <c r="C143" i="5"/>
  <c r="Z141" i="5"/>
  <c r="AA141" i="5" s="1"/>
  <c r="T141" i="5"/>
  <c r="U141" i="5" s="1"/>
  <c r="Q141" i="5"/>
  <c r="L141" i="5"/>
  <c r="K141" i="5"/>
  <c r="E141" i="5"/>
  <c r="H141" i="5" s="1"/>
  <c r="I141" i="5" s="1"/>
  <c r="B141" i="5"/>
  <c r="N141" i="5" s="1"/>
  <c r="O141" i="5" s="1"/>
  <c r="AD140" i="5"/>
  <c r="AC140" i="5"/>
  <c r="AA140" i="5"/>
  <c r="X140" i="5"/>
  <c r="W140" i="5"/>
  <c r="U140" i="5"/>
  <c r="R140" i="5"/>
  <c r="N140" i="5"/>
  <c r="O140" i="5" s="1"/>
  <c r="L140" i="5"/>
  <c r="H140" i="5"/>
  <c r="I140" i="5" s="1"/>
  <c r="F140" i="5"/>
  <c r="C140" i="5"/>
  <c r="AC139" i="5"/>
  <c r="AD139" i="5" s="1"/>
  <c r="AA139" i="5"/>
  <c r="W139" i="5"/>
  <c r="X139" i="5" s="1"/>
  <c r="U139" i="5"/>
  <c r="R139" i="5"/>
  <c r="O139" i="5"/>
  <c r="N139" i="5"/>
  <c r="L139" i="5"/>
  <c r="I139" i="5"/>
  <c r="H139" i="5"/>
  <c r="F139" i="5"/>
  <c r="C139" i="5"/>
  <c r="AC138" i="5"/>
  <c r="AD138" i="5" s="1"/>
  <c r="AA138" i="5"/>
  <c r="W138" i="5"/>
  <c r="X138" i="5" s="1"/>
  <c r="U138" i="5"/>
  <c r="R138" i="5"/>
  <c r="N138" i="5"/>
  <c r="O138" i="5" s="1"/>
  <c r="L138" i="5"/>
  <c r="H138" i="5"/>
  <c r="I138" i="5" s="1"/>
  <c r="F138" i="5"/>
  <c r="C138" i="5"/>
  <c r="AC137" i="5"/>
  <c r="AD137" i="5" s="1"/>
  <c r="AA137" i="5"/>
  <c r="X137" i="5"/>
  <c r="W137" i="5"/>
  <c r="U137" i="5"/>
  <c r="R137" i="5"/>
  <c r="N137" i="5"/>
  <c r="O137" i="5" s="1"/>
  <c r="L137" i="5"/>
  <c r="I137" i="5"/>
  <c r="H137" i="5"/>
  <c r="F137" i="5"/>
  <c r="C137" i="5"/>
  <c r="AD136" i="5"/>
  <c r="AC136" i="5"/>
  <c r="AA136" i="5"/>
  <c r="W136" i="5"/>
  <c r="X136" i="5" s="1"/>
  <c r="U136" i="5"/>
  <c r="R136" i="5"/>
  <c r="N136" i="5"/>
  <c r="O136" i="5" s="1"/>
  <c r="L136" i="5"/>
  <c r="I136" i="5"/>
  <c r="H136" i="5"/>
  <c r="F136" i="5"/>
  <c r="C136" i="5"/>
  <c r="AC135" i="5"/>
  <c r="AD135" i="5" s="1"/>
  <c r="AA135" i="5"/>
  <c r="W135" i="5"/>
  <c r="X135" i="5" s="1"/>
  <c r="U135" i="5"/>
  <c r="R135" i="5"/>
  <c r="O135" i="5"/>
  <c r="N135" i="5"/>
  <c r="L135" i="5"/>
  <c r="I135" i="5"/>
  <c r="H135" i="5"/>
  <c r="F135" i="5"/>
  <c r="C135" i="5"/>
  <c r="AD134" i="5"/>
  <c r="AC134" i="5"/>
  <c r="AA134" i="5"/>
  <c r="W134" i="5"/>
  <c r="X134" i="5" s="1"/>
  <c r="U134" i="5"/>
  <c r="R134" i="5"/>
  <c r="N134" i="5"/>
  <c r="O134" i="5" s="1"/>
  <c r="L134" i="5"/>
  <c r="H134" i="5"/>
  <c r="I134" i="5" s="1"/>
  <c r="F134" i="5"/>
  <c r="C134" i="5"/>
  <c r="AC133" i="5"/>
  <c r="AD133" i="5" s="1"/>
  <c r="AA133" i="5"/>
  <c r="X133" i="5"/>
  <c r="W133" i="5"/>
  <c r="U133" i="5"/>
  <c r="R133" i="5"/>
  <c r="N133" i="5"/>
  <c r="O133" i="5" s="1"/>
  <c r="L133" i="5"/>
  <c r="I133" i="5"/>
  <c r="H133" i="5"/>
  <c r="F133" i="5"/>
  <c r="C133" i="5"/>
  <c r="AD132" i="5"/>
  <c r="AC132" i="5"/>
  <c r="AA132" i="5"/>
  <c r="W132" i="5"/>
  <c r="X132" i="5" s="1"/>
  <c r="U132" i="5"/>
  <c r="R132" i="5"/>
  <c r="N132" i="5"/>
  <c r="O132" i="5" s="1"/>
  <c r="L132" i="5"/>
  <c r="H132" i="5"/>
  <c r="I132" i="5" s="1"/>
  <c r="F132" i="5"/>
  <c r="C132" i="5"/>
  <c r="AC131" i="5"/>
  <c r="AD131" i="5" s="1"/>
  <c r="AA131" i="5"/>
  <c r="W131" i="5"/>
  <c r="X131" i="5" s="1"/>
  <c r="U131" i="5"/>
  <c r="R131" i="5"/>
  <c r="O131" i="5"/>
  <c r="N131" i="5"/>
  <c r="L131" i="5"/>
  <c r="I131" i="5"/>
  <c r="H131" i="5"/>
  <c r="F131" i="5"/>
  <c r="C131" i="5"/>
  <c r="AC130" i="5"/>
  <c r="AD130" i="5" s="1"/>
  <c r="AA130" i="5"/>
  <c r="W130" i="5"/>
  <c r="X130" i="5" s="1"/>
  <c r="U130" i="5"/>
  <c r="R130" i="5"/>
  <c r="O130" i="5"/>
  <c r="N130" i="5"/>
  <c r="L130" i="5"/>
  <c r="H130" i="5"/>
  <c r="I130" i="5" s="1"/>
  <c r="F130" i="5"/>
  <c r="C130" i="5"/>
  <c r="AD129" i="5"/>
  <c r="AC129" i="5"/>
  <c r="AA129" i="5"/>
  <c r="X129" i="5"/>
  <c r="W129" i="5"/>
  <c r="U129" i="5"/>
  <c r="R129" i="5"/>
  <c r="N129" i="5"/>
  <c r="O129" i="5" s="1"/>
  <c r="L129" i="5"/>
  <c r="H129" i="5"/>
  <c r="I129" i="5" s="1"/>
  <c r="F129" i="5"/>
  <c r="C129" i="5"/>
  <c r="AD127" i="5"/>
  <c r="AC127" i="5"/>
  <c r="AA127" i="5"/>
  <c r="W127" i="5"/>
  <c r="X127" i="5" s="1"/>
  <c r="U127" i="5"/>
  <c r="R127" i="5"/>
  <c r="N127" i="5"/>
  <c r="O127" i="5" s="1"/>
  <c r="L127" i="5"/>
  <c r="H127" i="5"/>
  <c r="I127" i="5" s="1"/>
  <c r="F127" i="5"/>
  <c r="C127" i="5"/>
  <c r="AA124" i="5"/>
  <c r="Z124" i="5"/>
  <c r="T124" i="5"/>
  <c r="T172" i="5" s="1"/>
  <c r="Q124" i="5"/>
  <c r="AC124" i="5" s="1"/>
  <c r="AD124" i="5" s="1"/>
  <c r="K124" i="5"/>
  <c r="L124" i="5" s="1"/>
  <c r="H124" i="5"/>
  <c r="I124" i="5" s="1"/>
  <c r="E124" i="5"/>
  <c r="E172" i="5" s="1"/>
  <c r="C124" i="5"/>
  <c r="B124" i="5"/>
  <c r="N124" i="5" s="1"/>
  <c r="O124" i="5" s="1"/>
  <c r="AD123" i="5"/>
  <c r="AC123" i="5"/>
  <c r="AA123" i="5"/>
  <c r="X123" i="5"/>
  <c r="W123" i="5"/>
  <c r="U123" i="5"/>
  <c r="R123" i="5"/>
  <c r="N123" i="5"/>
  <c r="O123" i="5" s="1"/>
  <c r="L123" i="5"/>
  <c r="H123" i="5"/>
  <c r="I123" i="5" s="1"/>
  <c r="F123" i="5"/>
  <c r="C123" i="5"/>
  <c r="Z122" i="5"/>
  <c r="AA122" i="5" s="1"/>
  <c r="X122" i="5"/>
  <c r="W122" i="5"/>
  <c r="T122" i="5"/>
  <c r="U122" i="5" s="1"/>
  <c r="R122" i="5"/>
  <c r="Q122" i="5"/>
  <c r="K122" i="5"/>
  <c r="N122" i="5" s="1"/>
  <c r="O122" i="5" s="1"/>
  <c r="F122" i="5"/>
  <c r="E122" i="5"/>
  <c r="C122" i="5"/>
  <c r="B122" i="5"/>
  <c r="H122" i="5" s="1"/>
  <c r="I122" i="5" s="1"/>
  <c r="AC121" i="5"/>
  <c r="AD121" i="5" s="1"/>
  <c r="AA121" i="5"/>
  <c r="W121" i="5"/>
  <c r="X121" i="5" s="1"/>
  <c r="U121" i="5"/>
  <c r="R121" i="5"/>
  <c r="O121" i="5"/>
  <c r="N121" i="5"/>
  <c r="L121" i="5"/>
  <c r="H121" i="5"/>
  <c r="I121" i="5" s="1"/>
  <c r="F121" i="5"/>
  <c r="C121" i="5"/>
  <c r="AD120" i="5"/>
  <c r="AC120" i="5"/>
  <c r="AA120" i="5"/>
  <c r="X120" i="5"/>
  <c r="W120" i="5"/>
  <c r="U120" i="5"/>
  <c r="R120" i="5"/>
  <c r="N120" i="5"/>
  <c r="O120" i="5" s="1"/>
  <c r="L120" i="5"/>
  <c r="H120" i="5"/>
  <c r="I120" i="5" s="1"/>
  <c r="F120" i="5"/>
  <c r="C120" i="5"/>
  <c r="AD119" i="5"/>
  <c r="AC119" i="5"/>
  <c r="AA119" i="5"/>
  <c r="X119" i="5"/>
  <c r="W119" i="5"/>
  <c r="U119" i="5"/>
  <c r="R119" i="5"/>
  <c r="N119" i="5"/>
  <c r="O119" i="5" s="1"/>
  <c r="L119" i="5"/>
  <c r="H119" i="5"/>
  <c r="I119" i="5" s="1"/>
  <c r="F119" i="5"/>
  <c r="C119" i="5"/>
  <c r="AA118" i="5"/>
  <c r="Z118" i="5"/>
  <c r="T118" i="5"/>
  <c r="W118" i="5" s="1"/>
  <c r="X118" i="5" s="1"/>
  <c r="Q118" i="5"/>
  <c r="AC118" i="5" s="1"/>
  <c r="AD118" i="5" s="1"/>
  <c r="K118" i="5"/>
  <c r="L118" i="5" s="1"/>
  <c r="H118" i="5"/>
  <c r="I118" i="5" s="1"/>
  <c r="E118" i="5"/>
  <c r="F118" i="5" s="1"/>
  <c r="C118" i="5"/>
  <c r="B118" i="5"/>
  <c r="N118" i="5" s="1"/>
  <c r="O118" i="5" s="1"/>
  <c r="AC117" i="5"/>
  <c r="AD117" i="5" s="1"/>
  <c r="AA117" i="5"/>
  <c r="X117" i="5"/>
  <c r="W117" i="5"/>
  <c r="U117" i="5"/>
  <c r="R117" i="5"/>
  <c r="N117" i="5"/>
  <c r="O117" i="5" s="1"/>
  <c r="L117" i="5"/>
  <c r="H117" i="5"/>
  <c r="I117" i="5" s="1"/>
  <c r="F117" i="5"/>
  <c r="C117" i="5"/>
  <c r="AD116" i="5"/>
  <c r="AC116" i="5"/>
  <c r="AA116" i="5"/>
  <c r="W116" i="5"/>
  <c r="X116" i="5" s="1"/>
  <c r="U116" i="5"/>
  <c r="R116" i="5"/>
  <c r="N116" i="5"/>
  <c r="O116" i="5" s="1"/>
  <c r="L116" i="5"/>
  <c r="H116" i="5"/>
  <c r="I116" i="5" s="1"/>
  <c r="F116" i="5"/>
  <c r="C116" i="5"/>
  <c r="AC115" i="5"/>
  <c r="AD115" i="5" s="1"/>
  <c r="AA115" i="5"/>
  <c r="W115" i="5"/>
  <c r="X115" i="5" s="1"/>
  <c r="U115" i="5"/>
  <c r="R115" i="5"/>
  <c r="O115" i="5"/>
  <c r="N115" i="5"/>
  <c r="L115" i="5"/>
  <c r="I115" i="5"/>
  <c r="H115" i="5"/>
  <c r="F115" i="5"/>
  <c r="C115" i="5"/>
  <c r="AC114" i="5"/>
  <c r="AD114" i="5" s="1"/>
  <c r="AA114" i="5"/>
  <c r="W114" i="5"/>
  <c r="X114" i="5" s="1"/>
  <c r="U114" i="5"/>
  <c r="R114" i="5"/>
  <c r="N114" i="5"/>
  <c r="O114" i="5" s="1"/>
  <c r="L114" i="5"/>
  <c r="H114" i="5"/>
  <c r="I114" i="5" s="1"/>
  <c r="F114" i="5"/>
  <c r="C114" i="5"/>
  <c r="AD113" i="5"/>
  <c r="AC113" i="5"/>
  <c r="AA113" i="5"/>
  <c r="X113" i="5"/>
  <c r="W113" i="5"/>
  <c r="U113" i="5"/>
  <c r="R113" i="5"/>
  <c r="N113" i="5"/>
  <c r="O113" i="5" s="1"/>
  <c r="L113" i="5"/>
  <c r="H113" i="5"/>
  <c r="I113" i="5" s="1"/>
  <c r="F113" i="5"/>
  <c r="C113" i="5"/>
  <c r="AD112" i="5"/>
  <c r="AC112" i="5"/>
  <c r="AA112" i="5"/>
  <c r="X112" i="5"/>
  <c r="W112" i="5"/>
  <c r="U112" i="5"/>
  <c r="R112" i="5"/>
  <c r="N112" i="5"/>
  <c r="O112" i="5" s="1"/>
  <c r="L112" i="5"/>
  <c r="H112" i="5"/>
  <c r="I112" i="5" s="1"/>
  <c r="F112" i="5"/>
  <c r="C112" i="5"/>
  <c r="AC111" i="5"/>
  <c r="AD111" i="5" s="1"/>
  <c r="AA111" i="5"/>
  <c r="W111" i="5"/>
  <c r="X111" i="5" s="1"/>
  <c r="U111" i="5"/>
  <c r="R111" i="5"/>
  <c r="O111" i="5"/>
  <c r="N111" i="5"/>
  <c r="L111" i="5"/>
  <c r="I111" i="5"/>
  <c r="H111" i="5"/>
  <c r="F111" i="5"/>
  <c r="C111" i="5"/>
  <c r="AC110" i="5"/>
  <c r="AD110" i="5" s="1"/>
  <c r="AA110" i="5"/>
  <c r="W110" i="5"/>
  <c r="X110" i="5" s="1"/>
  <c r="U110" i="5"/>
  <c r="R110" i="5"/>
  <c r="N110" i="5"/>
  <c r="O110" i="5" s="1"/>
  <c r="L110" i="5"/>
  <c r="H110" i="5"/>
  <c r="I110" i="5" s="1"/>
  <c r="F110" i="5"/>
  <c r="C110" i="5"/>
  <c r="AD109" i="5"/>
  <c r="AC109" i="5"/>
  <c r="AA109" i="5"/>
  <c r="X109" i="5"/>
  <c r="W109" i="5"/>
  <c r="U109" i="5"/>
  <c r="R109" i="5"/>
  <c r="N109" i="5"/>
  <c r="O109" i="5" s="1"/>
  <c r="L109" i="5"/>
  <c r="H109" i="5"/>
  <c r="I109" i="5" s="1"/>
  <c r="F109" i="5"/>
  <c r="C109" i="5"/>
  <c r="AD108" i="5"/>
  <c r="AC108" i="5"/>
  <c r="AA108" i="5"/>
  <c r="X108" i="5"/>
  <c r="W108" i="5"/>
  <c r="U108" i="5"/>
  <c r="R108" i="5"/>
  <c r="N108" i="5"/>
  <c r="O108" i="5" s="1"/>
  <c r="L108" i="5"/>
  <c r="I108" i="5"/>
  <c r="H108" i="5"/>
  <c r="F108" i="5"/>
  <c r="C108" i="5"/>
  <c r="AC107" i="5"/>
  <c r="AD107" i="5" s="1"/>
  <c r="AA107" i="5"/>
  <c r="W107" i="5"/>
  <c r="X107" i="5" s="1"/>
  <c r="U107" i="5"/>
  <c r="R107" i="5"/>
  <c r="O107" i="5"/>
  <c r="N107" i="5"/>
  <c r="L107" i="5"/>
  <c r="I107" i="5"/>
  <c r="H107" i="5"/>
  <c r="F107" i="5"/>
  <c r="C107" i="5"/>
  <c r="AD106" i="5"/>
  <c r="AC106" i="5"/>
  <c r="AA106" i="5"/>
  <c r="W106" i="5"/>
  <c r="X106" i="5" s="1"/>
  <c r="U106" i="5"/>
  <c r="R106" i="5"/>
  <c r="N106" i="5"/>
  <c r="O106" i="5" s="1"/>
  <c r="L106" i="5"/>
  <c r="H106" i="5"/>
  <c r="I106" i="5" s="1"/>
  <c r="F106" i="5"/>
  <c r="C106" i="5"/>
  <c r="AC105" i="5"/>
  <c r="AD105" i="5" s="1"/>
  <c r="AA105" i="5"/>
  <c r="X105" i="5"/>
  <c r="W105" i="5"/>
  <c r="U105" i="5"/>
  <c r="R105" i="5"/>
  <c r="N105" i="5"/>
  <c r="O105" i="5" s="1"/>
  <c r="L105" i="5"/>
  <c r="I105" i="5"/>
  <c r="H105" i="5"/>
  <c r="F105" i="5"/>
  <c r="C105" i="5"/>
  <c r="AD104" i="5"/>
  <c r="AC104" i="5"/>
  <c r="AA104" i="5"/>
  <c r="W104" i="5"/>
  <c r="X104" i="5" s="1"/>
  <c r="U104" i="5"/>
  <c r="R104" i="5"/>
  <c r="N104" i="5"/>
  <c r="O104" i="5" s="1"/>
  <c r="L104" i="5"/>
  <c r="H104" i="5"/>
  <c r="I104" i="5" s="1"/>
  <c r="F104" i="5"/>
  <c r="C104" i="5"/>
  <c r="AC103" i="5"/>
  <c r="AD103" i="5" s="1"/>
  <c r="AA103" i="5"/>
  <c r="W103" i="5"/>
  <c r="X103" i="5" s="1"/>
  <c r="U103" i="5"/>
  <c r="R103" i="5"/>
  <c r="O103" i="5"/>
  <c r="N103" i="5"/>
  <c r="L103" i="5"/>
  <c r="I103" i="5"/>
  <c r="H103" i="5"/>
  <c r="F103" i="5"/>
  <c r="C103" i="5"/>
  <c r="AC102" i="5"/>
  <c r="AD102" i="5" s="1"/>
  <c r="AA102" i="5"/>
  <c r="W102" i="5"/>
  <c r="X102" i="5" s="1"/>
  <c r="U102" i="5"/>
  <c r="R102" i="5"/>
  <c r="O102" i="5"/>
  <c r="N102" i="5"/>
  <c r="L102" i="5"/>
  <c r="H102" i="5"/>
  <c r="I102" i="5" s="1"/>
  <c r="F102" i="5"/>
  <c r="C102" i="5"/>
  <c r="AC101" i="5"/>
  <c r="AD101" i="5" s="1"/>
  <c r="AA101" i="5"/>
  <c r="X101" i="5"/>
  <c r="W101" i="5"/>
  <c r="U101" i="5"/>
  <c r="R101" i="5"/>
  <c r="N101" i="5"/>
  <c r="O101" i="5" s="1"/>
  <c r="L101" i="5"/>
  <c r="H101" i="5"/>
  <c r="I101" i="5" s="1"/>
  <c r="F101" i="5"/>
  <c r="C101" i="5"/>
  <c r="AD100" i="5"/>
  <c r="AC100" i="5"/>
  <c r="AA100" i="5"/>
  <c r="W100" i="5"/>
  <c r="X100" i="5" s="1"/>
  <c r="U100" i="5"/>
  <c r="R100" i="5"/>
  <c r="N100" i="5"/>
  <c r="O100" i="5" s="1"/>
  <c r="L100" i="5"/>
  <c r="H100" i="5"/>
  <c r="I100" i="5" s="1"/>
  <c r="F100" i="5"/>
  <c r="C100" i="5"/>
  <c r="AC99" i="5"/>
  <c r="AD99" i="5" s="1"/>
  <c r="AA99" i="5"/>
  <c r="W99" i="5"/>
  <c r="X99" i="5" s="1"/>
  <c r="U99" i="5"/>
  <c r="R99" i="5"/>
  <c r="O99" i="5"/>
  <c r="N99" i="5"/>
  <c r="L99" i="5"/>
  <c r="I99" i="5"/>
  <c r="H99" i="5"/>
  <c r="F99" i="5"/>
  <c r="C99" i="5"/>
  <c r="AC98" i="5"/>
  <c r="AD98" i="5" s="1"/>
  <c r="AA98" i="5"/>
  <c r="W98" i="5"/>
  <c r="X98" i="5" s="1"/>
  <c r="U98" i="5"/>
  <c r="R98" i="5"/>
  <c r="O98" i="5"/>
  <c r="N98" i="5"/>
  <c r="L98" i="5"/>
  <c r="H98" i="5"/>
  <c r="I98" i="5" s="1"/>
  <c r="F98" i="5"/>
  <c r="C98" i="5"/>
  <c r="AD97" i="5"/>
  <c r="AC97" i="5"/>
  <c r="AA97" i="5"/>
  <c r="X97" i="5"/>
  <c r="W97" i="5"/>
  <c r="U97" i="5"/>
  <c r="R97" i="5"/>
  <c r="N97" i="5"/>
  <c r="O97" i="5" s="1"/>
  <c r="L97" i="5"/>
  <c r="H97" i="5"/>
  <c r="I97" i="5" s="1"/>
  <c r="F97" i="5"/>
  <c r="C97" i="5"/>
  <c r="AD96" i="5"/>
  <c r="AC96" i="5"/>
  <c r="AA96" i="5"/>
  <c r="X96" i="5"/>
  <c r="W96" i="5"/>
  <c r="U96" i="5"/>
  <c r="R96" i="5"/>
  <c r="N96" i="5"/>
  <c r="O96" i="5" s="1"/>
  <c r="L96" i="5"/>
  <c r="H96" i="5"/>
  <c r="I96" i="5" s="1"/>
  <c r="F96" i="5"/>
  <c r="C96" i="5"/>
  <c r="AC95" i="5"/>
  <c r="AD95" i="5" s="1"/>
  <c r="AA95" i="5"/>
  <c r="W95" i="5"/>
  <c r="X95" i="5" s="1"/>
  <c r="U95" i="5"/>
  <c r="R95" i="5"/>
  <c r="O95" i="5"/>
  <c r="N95" i="5"/>
  <c r="L95" i="5"/>
  <c r="I95" i="5"/>
  <c r="H95" i="5"/>
  <c r="F95" i="5"/>
  <c r="C95" i="5"/>
  <c r="AC94" i="5"/>
  <c r="AD94" i="5" s="1"/>
  <c r="AA94" i="5"/>
  <c r="W94" i="5"/>
  <c r="X94" i="5" s="1"/>
  <c r="U94" i="5"/>
  <c r="R94" i="5"/>
  <c r="N94" i="5"/>
  <c r="O94" i="5" s="1"/>
  <c r="L94" i="5"/>
  <c r="H94" i="5"/>
  <c r="I94" i="5" s="1"/>
  <c r="F94" i="5"/>
  <c r="C94" i="5"/>
  <c r="AD92" i="5"/>
  <c r="AC92" i="5"/>
  <c r="AA92" i="5"/>
  <c r="X92" i="5"/>
  <c r="W92" i="5"/>
  <c r="U92" i="5"/>
  <c r="R92" i="5"/>
  <c r="N92" i="5"/>
  <c r="O92" i="5" s="1"/>
  <c r="L92" i="5"/>
  <c r="H92" i="5"/>
  <c r="I92" i="5" s="1"/>
  <c r="F92" i="5"/>
  <c r="C92" i="5"/>
  <c r="AD91" i="5"/>
  <c r="AC91" i="5"/>
  <c r="AA91" i="5"/>
  <c r="X91" i="5"/>
  <c r="W91" i="5"/>
  <c r="U91" i="5"/>
  <c r="R91" i="5"/>
  <c r="N91" i="5"/>
  <c r="O91" i="5" s="1"/>
  <c r="L91" i="5"/>
  <c r="I91" i="5"/>
  <c r="H91" i="5"/>
  <c r="F91" i="5"/>
  <c r="C91" i="5"/>
  <c r="AC90" i="5"/>
  <c r="AD90" i="5" s="1"/>
  <c r="AA90" i="5"/>
  <c r="W90" i="5"/>
  <c r="X90" i="5" s="1"/>
  <c r="U90" i="5"/>
  <c r="R90" i="5"/>
  <c r="O90" i="5"/>
  <c r="N90" i="5"/>
  <c r="L90" i="5"/>
  <c r="I90" i="5"/>
  <c r="H90" i="5"/>
  <c r="F90" i="5"/>
  <c r="C90" i="5"/>
  <c r="AD89" i="5"/>
  <c r="AC89" i="5"/>
  <c r="AA89" i="5"/>
  <c r="W89" i="5"/>
  <c r="X89" i="5" s="1"/>
  <c r="U89" i="5"/>
  <c r="R89" i="5"/>
  <c r="N89" i="5"/>
  <c r="O89" i="5" s="1"/>
  <c r="L89" i="5"/>
  <c r="H89" i="5"/>
  <c r="I89" i="5" s="1"/>
  <c r="F89" i="5"/>
  <c r="C89" i="5"/>
  <c r="AC88" i="5"/>
  <c r="AD88" i="5" s="1"/>
  <c r="Z88" i="5"/>
  <c r="AA88" i="5" s="1"/>
  <c r="U88" i="5"/>
  <c r="T88" i="5"/>
  <c r="Q88" i="5"/>
  <c r="W88" i="5" s="1"/>
  <c r="X88" i="5" s="1"/>
  <c r="N88" i="5"/>
  <c r="O88" i="5" s="1"/>
  <c r="K88" i="5"/>
  <c r="L88" i="5" s="1"/>
  <c r="E88" i="5"/>
  <c r="F88" i="5" s="1"/>
  <c r="B88" i="5"/>
  <c r="H88" i="5" s="1"/>
  <c r="I88" i="5" s="1"/>
  <c r="AC87" i="5"/>
  <c r="AD87" i="5" s="1"/>
  <c r="AA87" i="5"/>
  <c r="W87" i="5"/>
  <c r="X87" i="5" s="1"/>
  <c r="U87" i="5"/>
  <c r="R87" i="5"/>
  <c r="O87" i="5"/>
  <c r="N87" i="5"/>
  <c r="L87" i="5"/>
  <c r="I87" i="5"/>
  <c r="H87" i="5"/>
  <c r="F87" i="5"/>
  <c r="C87" i="5"/>
  <c r="AC86" i="5"/>
  <c r="AD86" i="5" s="1"/>
  <c r="AA86" i="5"/>
  <c r="W86" i="5"/>
  <c r="X86" i="5" s="1"/>
  <c r="U86" i="5"/>
  <c r="R86" i="5"/>
  <c r="O86" i="5"/>
  <c r="N86" i="5"/>
  <c r="L86" i="5"/>
  <c r="H86" i="5"/>
  <c r="I86" i="5" s="1"/>
  <c r="F86" i="5"/>
  <c r="C86" i="5"/>
  <c r="AD85" i="5"/>
  <c r="AC85" i="5"/>
  <c r="AA85" i="5"/>
  <c r="X85" i="5"/>
  <c r="W85" i="5"/>
  <c r="U85" i="5"/>
  <c r="R85" i="5"/>
  <c r="N85" i="5"/>
  <c r="O85" i="5" s="1"/>
  <c r="L85" i="5"/>
  <c r="H85" i="5"/>
  <c r="I85" i="5" s="1"/>
  <c r="F85" i="5"/>
  <c r="C85" i="5"/>
  <c r="AD84" i="5"/>
  <c r="AC84" i="5"/>
  <c r="AA84" i="5"/>
  <c r="X84" i="5"/>
  <c r="W84" i="5"/>
  <c r="U84" i="5"/>
  <c r="R84" i="5"/>
  <c r="N84" i="5"/>
  <c r="O84" i="5" s="1"/>
  <c r="L84" i="5"/>
  <c r="H84" i="5"/>
  <c r="I84" i="5" s="1"/>
  <c r="F84" i="5"/>
  <c r="C84" i="5"/>
  <c r="AC83" i="5"/>
  <c r="AD83" i="5" s="1"/>
  <c r="AA83" i="5"/>
  <c r="W83" i="5"/>
  <c r="X83" i="5" s="1"/>
  <c r="U83" i="5"/>
  <c r="R83" i="5"/>
  <c r="O83" i="5"/>
  <c r="N83" i="5"/>
  <c r="L83" i="5"/>
  <c r="I83" i="5"/>
  <c r="H83" i="5"/>
  <c r="F83" i="5"/>
  <c r="C83" i="5"/>
  <c r="AC82" i="5"/>
  <c r="AD82" i="5" s="1"/>
  <c r="AA82" i="5"/>
  <c r="W82" i="5"/>
  <c r="X82" i="5" s="1"/>
  <c r="U82" i="5"/>
  <c r="R82" i="5"/>
  <c r="N82" i="5"/>
  <c r="O82" i="5" s="1"/>
  <c r="L82" i="5"/>
  <c r="H82" i="5"/>
  <c r="I82" i="5" s="1"/>
  <c r="F82" i="5"/>
  <c r="C82" i="5"/>
  <c r="AD81" i="5"/>
  <c r="AC81" i="5"/>
  <c r="AA81" i="5"/>
  <c r="X81" i="5"/>
  <c r="W81" i="5"/>
  <c r="U81" i="5"/>
  <c r="R81" i="5"/>
  <c r="N81" i="5"/>
  <c r="O81" i="5" s="1"/>
  <c r="L81" i="5"/>
  <c r="H81" i="5"/>
  <c r="I81" i="5" s="1"/>
  <c r="F81" i="5"/>
  <c r="C81" i="5"/>
  <c r="AD80" i="5"/>
  <c r="AC80" i="5"/>
  <c r="AA80" i="5"/>
  <c r="X80" i="5"/>
  <c r="W80" i="5"/>
  <c r="U80" i="5"/>
  <c r="R80" i="5"/>
  <c r="N80" i="5"/>
  <c r="O80" i="5" s="1"/>
  <c r="L80" i="5"/>
  <c r="H80" i="5"/>
  <c r="I80" i="5" s="1"/>
  <c r="F80" i="5"/>
  <c r="C80" i="5"/>
  <c r="AC79" i="5"/>
  <c r="AD79" i="5" s="1"/>
  <c r="AA79" i="5"/>
  <c r="W79" i="5"/>
  <c r="X79" i="5" s="1"/>
  <c r="U79" i="5"/>
  <c r="R79" i="5"/>
  <c r="O79" i="5"/>
  <c r="N79" i="5"/>
  <c r="L79" i="5"/>
  <c r="I79" i="5"/>
  <c r="H79" i="5"/>
  <c r="F79" i="5"/>
  <c r="C79" i="5"/>
  <c r="AC78" i="5"/>
  <c r="AD78" i="5" s="1"/>
  <c r="AA78" i="5"/>
  <c r="W78" i="5"/>
  <c r="X78" i="5" s="1"/>
  <c r="U78" i="5"/>
  <c r="R78" i="5"/>
  <c r="N78" i="5"/>
  <c r="O78" i="5" s="1"/>
  <c r="L78" i="5"/>
  <c r="H78" i="5"/>
  <c r="I78" i="5" s="1"/>
  <c r="F78" i="5"/>
  <c r="C78" i="5"/>
  <c r="AC77" i="5"/>
  <c r="AD77" i="5" s="1"/>
  <c r="AA77" i="5"/>
  <c r="X77" i="5"/>
  <c r="W77" i="5"/>
  <c r="U77" i="5"/>
  <c r="R77" i="5"/>
  <c r="N77" i="5"/>
  <c r="O77" i="5" s="1"/>
  <c r="L77" i="5"/>
  <c r="I77" i="5"/>
  <c r="H77" i="5"/>
  <c r="F77" i="5"/>
  <c r="C77" i="5"/>
  <c r="AD76" i="5"/>
  <c r="AC76" i="5"/>
  <c r="AA76" i="5"/>
  <c r="W76" i="5"/>
  <c r="X76" i="5" s="1"/>
  <c r="U76" i="5"/>
  <c r="R76" i="5"/>
  <c r="N76" i="5"/>
  <c r="O76" i="5" s="1"/>
  <c r="L76" i="5"/>
  <c r="I76" i="5"/>
  <c r="H76" i="5"/>
  <c r="F76" i="5"/>
  <c r="C76" i="5"/>
  <c r="AC75" i="5"/>
  <c r="AD75" i="5" s="1"/>
  <c r="AA75" i="5"/>
  <c r="W75" i="5"/>
  <c r="X75" i="5" s="1"/>
  <c r="U75" i="5"/>
  <c r="R75" i="5"/>
  <c r="O75" i="5"/>
  <c r="N75" i="5"/>
  <c r="L75" i="5"/>
  <c r="I75" i="5"/>
  <c r="H75" i="5"/>
  <c r="F75" i="5"/>
  <c r="C75" i="5"/>
  <c r="Z73" i="5"/>
  <c r="AA73" i="5" s="1"/>
  <c r="U73" i="5"/>
  <c r="T73" i="5"/>
  <c r="Q73" i="5"/>
  <c r="W73" i="5" s="1"/>
  <c r="X73" i="5" s="1"/>
  <c r="L73" i="5"/>
  <c r="K73" i="5"/>
  <c r="F73" i="5"/>
  <c r="E73" i="5"/>
  <c r="H73" i="5" s="1"/>
  <c r="I73" i="5" s="1"/>
  <c r="B73" i="5"/>
  <c r="N73" i="5" s="1"/>
  <c r="O73" i="5" s="1"/>
  <c r="AD72" i="5"/>
  <c r="AC72" i="5"/>
  <c r="AA72" i="5"/>
  <c r="W72" i="5"/>
  <c r="X72" i="5" s="1"/>
  <c r="U72" i="5"/>
  <c r="R72" i="5"/>
  <c r="N72" i="5"/>
  <c r="O72" i="5" s="1"/>
  <c r="L72" i="5"/>
  <c r="H72" i="5"/>
  <c r="I72" i="5" s="1"/>
  <c r="F72" i="5"/>
  <c r="C72" i="5"/>
  <c r="AC71" i="5"/>
  <c r="AD71" i="5" s="1"/>
  <c r="AA71" i="5"/>
  <c r="W71" i="5"/>
  <c r="X71" i="5" s="1"/>
  <c r="U71" i="5"/>
  <c r="R71" i="5"/>
  <c r="O71" i="5"/>
  <c r="N71" i="5"/>
  <c r="L71" i="5"/>
  <c r="I71" i="5"/>
  <c r="H71" i="5"/>
  <c r="F71" i="5"/>
  <c r="C71" i="5"/>
  <c r="AC70" i="5"/>
  <c r="AD70" i="5" s="1"/>
  <c r="AA70" i="5"/>
  <c r="W70" i="5"/>
  <c r="X70" i="5" s="1"/>
  <c r="U70" i="5"/>
  <c r="R70" i="5"/>
  <c r="N70" i="5"/>
  <c r="O70" i="5" s="1"/>
  <c r="L70" i="5"/>
  <c r="H70" i="5"/>
  <c r="I70" i="5" s="1"/>
  <c r="F70" i="5"/>
  <c r="C70" i="5"/>
  <c r="AD69" i="5"/>
  <c r="AC69" i="5"/>
  <c r="AA69" i="5"/>
  <c r="X69" i="5"/>
  <c r="W69" i="5"/>
  <c r="U69" i="5"/>
  <c r="R69" i="5"/>
  <c r="N69" i="5"/>
  <c r="O69" i="5" s="1"/>
  <c r="L69" i="5"/>
  <c r="H69" i="5"/>
  <c r="I69" i="5" s="1"/>
  <c r="F69" i="5"/>
  <c r="C69" i="5"/>
  <c r="AD68" i="5"/>
  <c r="AC68" i="5"/>
  <c r="AA68" i="5"/>
  <c r="X68" i="5"/>
  <c r="W68" i="5"/>
  <c r="U68" i="5"/>
  <c r="R68" i="5"/>
  <c r="N68" i="5"/>
  <c r="O68" i="5" s="1"/>
  <c r="L68" i="5"/>
  <c r="H68" i="5"/>
  <c r="I68" i="5" s="1"/>
  <c r="F68" i="5"/>
  <c r="C68" i="5"/>
  <c r="AC67" i="5"/>
  <c r="AD67" i="5" s="1"/>
  <c r="AA67" i="5"/>
  <c r="W67" i="5"/>
  <c r="X67" i="5" s="1"/>
  <c r="U67" i="5"/>
  <c r="R67" i="5"/>
  <c r="O67" i="5"/>
  <c r="N67" i="5"/>
  <c r="L67" i="5"/>
  <c r="I67" i="5"/>
  <c r="H67" i="5"/>
  <c r="F67" i="5"/>
  <c r="C67" i="5"/>
  <c r="AC66" i="5"/>
  <c r="AD66" i="5" s="1"/>
  <c r="AA66" i="5"/>
  <c r="W66" i="5"/>
  <c r="X66" i="5" s="1"/>
  <c r="U66" i="5"/>
  <c r="R66" i="5"/>
  <c r="N66" i="5"/>
  <c r="O66" i="5" s="1"/>
  <c r="L66" i="5"/>
  <c r="H66" i="5"/>
  <c r="I66" i="5" s="1"/>
  <c r="F66" i="5"/>
  <c r="C66" i="5"/>
  <c r="AC65" i="5"/>
  <c r="AD65" i="5" s="1"/>
  <c r="AA65" i="5"/>
  <c r="X65" i="5"/>
  <c r="W65" i="5"/>
  <c r="U65" i="5"/>
  <c r="R65" i="5"/>
  <c r="N65" i="5"/>
  <c r="O65" i="5" s="1"/>
  <c r="L65" i="5"/>
  <c r="I65" i="5"/>
  <c r="H65" i="5"/>
  <c r="F65" i="5"/>
  <c r="C65" i="5"/>
  <c r="AD64" i="5"/>
  <c r="AC64" i="5"/>
  <c r="AA64" i="5"/>
  <c r="W64" i="5"/>
  <c r="X64" i="5" s="1"/>
  <c r="U64" i="5"/>
  <c r="R64" i="5"/>
  <c r="N64" i="5"/>
  <c r="O64" i="5" s="1"/>
  <c r="L64" i="5"/>
  <c r="I64" i="5"/>
  <c r="H64" i="5"/>
  <c r="F64" i="5"/>
  <c r="C64" i="5"/>
  <c r="AA62" i="5"/>
  <c r="Z62" i="5"/>
  <c r="U62" i="5"/>
  <c r="T62" i="5"/>
  <c r="W62" i="5" s="1"/>
  <c r="X62" i="5" s="1"/>
  <c r="Q62" i="5"/>
  <c r="AC62" i="5" s="1"/>
  <c r="AD62" i="5" s="1"/>
  <c r="K62" i="5"/>
  <c r="L62" i="5" s="1"/>
  <c r="I62" i="5"/>
  <c r="H62" i="5"/>
  <c r="E62" i="5"/>
  <c r="F62" i="5" s="1"/>
  <c r="C62" i="5"/>
  <c r="B62" i="5"/>
  <c r="Z61" i="5"/>
  <c r="AC61" i="5" s="1"/>
  <c r="AD61" i="5" s="1"/>
  <c r="U61" i="5"/>
  <c r="T61" i="5"/>
  <c r="R61" i="5"/>
  <c r="Q61" i="5"/>
  <c r="W61" i="5" s="1"/>
  <c r="X61" i="5" s="1"/>
  <c r="N61" i="5"/>
  <c r="O61" i="5" s="1"/>
  <c r="K61" i="5"/>
  <c r="L61" i="5" s="1"/>
  <c r="F61" i="5"/>
  <c r="E61" i="5"/>
  <c r="B61" i="5"/>
  <c r="H61" i="5" s="1"/>
  <c r="I61" i="5" s="1"/>
  <c r="AC60" i="5"/>
  <c r="AD60" i="5" s="1"/>
  <c r="AA60" i="5"/>
  <c r="W60" i="5"/>
  <c r="X60" i="5" s="1"/>
  <c r="U60" i="5"/>
  <c r="R60" i="5"/>
  <c r="O60" i="5"/>
  <c r="N60" i="5"/>
  <c r="L60" i="5"/>
  <c r="I60" i="5"/>
  <c r="H60" i="5"/>
  <c r="F60" i="5"/>
  <c r="C60" i="5"/>
  <c r="AD59" i="5"/>
  <c r="AC59" i="5"/>
  <c r="AA59" i="5"/>
  <c r="W59" i="5"/>
  <c r="X59" i="5" s="1"/>
  <c r="U59" i="5"/>
  <c r="R59" i="5"/>
  <c r="N59" i="5"/>
  <c r="O59" i="5" s="1"/>
  <c r="L59" i="5"/>
  <c r="H59" i="5"/>
  <c r="I59" i="5" s="1"/>
  <c r="F59" i="5"/>
  <c r="C59" i="5"/>
  <c r="AC58" i="5"/>
  <c r="AD58" i="5" s="1"/>
  <c r="AA58" i="5"/>
  <c r="X58" i="5"/>
  <c r="W58" i="5"/>
  <c r="U58" i="5"/>
  <c r="R58" i="5"/>
  <c r="N58" i="5"/>
  <c r="O58" i="5" s="1"/>
  <c r="L58" i="5"/>
  <c r="H58" i="5"/>
  <c r="I58" i="5" s="1"/>
  <c r="F58" i="5"/>
  <c r="C58" i="5"/>
  <c r="AD57" i="5"/>
  <c r="AC57" i="5"/>
  <c r="AA57" i="5"/>
  <c r="W57" i="5"/>
  <c r="X57" i="5" s="1"/>
  <c r="U57" i="5"/>
  <c r="R57" i="5"/>
  <c r="N57" i="5"/>
  <c r="O57" i="5" s="1"/>
  <c r="L57" i="5"/>
  <c r="H57" i="5"/>
  <c r="I57" i="5" s="1"/>
  <c r="F57" i="5"/>
  <c r="C57" i="5"/>
  <c r="AC56" i="5"/>
  <c r="AD56" i="5" s="1"/>
  <c r="AA56" i="5"/>
  <c r="W56" i="5"/>
  <c r="X56" i="5" s="1"/>
  <c r="U56" i="5"/>
  <c r="R56" i="5"/>
  <c r="O56" i="5"/>
  <c r="N56" i="5"/>
  <c r="L56" i="5"/>
  <c r="I56" i="5"/>
  <c r="H56" i="5"/>
  <c r="F56" i="5"/>
  <c r="C56" i="5"/>
  <c r="AC55" i="5"/>
  <c r="AD55" i="5" s="1"/>
  <c r="AA55" i="5"/>
  <c r="W55" i="5"/>
  <c r="X55" i="5" s="1"/>
  <c r="U55" i="5"/>
  <c r="R55" i="5"/>
  <c r="O55" i="5"/>
  <c r="N55" i="5"/>
  <c r="L55" i="5"/>
  <c r="H55" i="5"/>
  <c r="I55" i="5" s="1"/>
  <c r="F55" i="5"/>
  <c r="C55" i="5"/>
  <c r="AD54" i="5"/>
  <c r="AC54" i="5"/>
  <c r="AA54" i="5"/>
  <c r="X54" i="5"/>
  <c r="W54" i="5"/>
  <c r="U54" i="5"/>
  <c r="R54" i="5"/>
  <c r="N54" i="5"/>
  <c r="O54" i="5" s="1"/>
  <c r="L54" i="5"/>
  <c r="H54" i="5"/>
  <c r="I54" i="5" s="1"/>
  <c r="F54" i="5"/>
  <c r="C54" i="5"/>
  <c r="AD53" i="5"/>
  <c r="AC53" i="5"/>
  <c r="AA53" i="5"/>
  <c r="X53" i="5"/>
  <c r="W53" i="5"/>
  <c r="U53" i="5"/>
  <c r="R53" i="5"/>
  <c r="N53" i="5"/>
  <c r="O53" i="5" s="1"/>
  <c r="L53" i="5"/>
  <c r="H53" i="5"/>
  <c r="I53" i="5" s="1"/>
  <c r="F53" i="5"/>
  <c r="C53" i="5"/>
  <c r="AC52" i="5"/>
  <c r="AD52" i="5" s="1"/>
  <c r="AA52" i="5"/>
  <c r="W52" i="5"/>
  <c r="X52" i="5" s="1"/>
  <c r="U52" i="5"/>
  <c r="R52" i="5"/>
  <c r="O52" i="5"/>
  <c r="N52" i="5"/>
  <c r="L52" i="5"/>
  <c r="I52" i="5"/>
  <c r="H52" i="5"/>
  <c r="F52" i="5"/>
  <c r="C52" i="5"/>
  <c r="AC51" i="5"/>
  <c r="AD51" i="5" s="1"/>
  <c r="AA51" i="5"/>
  <c r="W51" i="5"/>
  <c r="X51" i="5" s="1"/>
  <c r="U51" i="5"/>
  <c r="R51" i="5"/>
  <c r="N51" i="5"/>
  <c r="O51" i="5" s="1"/>
  <c r="L51" i="5"/>
  <c r="H51" i="5"/>
  <c r="I51" i="5" s="1"/>
  <c r="F51" i="5"/>
  <c r="C51" i="5"/>
  <c r="AD50" i="5"/>
  <c r="AC50" i="5"/>
  <c r="AA50" i="5"/>
  <c r="X50" i="5"/>
  <c r="W50" i="5"/>
  <c r="U50" i="5"/>
  <c r="R50" i="5"/>
  <c r="N50" i="5"/>
  <c r="O50" i="5" s="1"/>
  <c r="L50" i="5"/>
  <c r="H50" i="5"/>
  <c r="I50" i="5" s="1"/>
  <c r="F50" i="5"/>
  <c r="C50" i="5"/>
  <c r="AD49" i="5"/>
  <c r="AC49" i="5"/>
  <c r="AA49" i="5"/>
  <c r="X49" i="5"/>
  <c r="W49" i="5"/>
  <c r="U49" i="5"/>
  <c r="R49" i="5"/>
  <c r="N49" i="5"/>
  <c r="O49" i="5" s="1"/>
  <c r="L49" i="5"/>
  <c r="H49" i="5"/>
  <c r="I49" i="5" s="1"/>
  <c r="F49" i="5"/>
  <c r="C49" i="5"/>
  <c r="AC48" i="5"/>
  <c r="AD48" i="5" s="1"/>
  <c r="AA48" i="5"/>
  <c r="W48" i="5"/>
  <c r="X48" i="5" s="1"/>
  <c r="U48" i="5"/>
  <c r="R48" i="5"/>
  <c r="O48" i="5"/>
  <c r="N48" i="5"/>
  <c r="L48" i="5"/>
  <c r="I48" i="5"/>
  <c r="H48" i="5"/>
  <c r="F48" i="5"/>
  <c r="C48" i="5"/>
  <c r="AC47" i="5"/>
  <c r="AD47" i="5" s="1"/>
  <c r="AA47" i="5"/>
  <c r="W47" i="5"/>
  <c r="X47" i="5" s="1"/>
  <c r="U47" i="5"/>
  <c r="R47" i="5"/>
  <c r="N47" i="5"/>
  <c r="O47" i="5" s="1"/>
  <c r="L47" i="5"/>
  <c r="H47" i="5"/>
  <c r="I47" i="5" s="1"/>
  <c r="F47" i="5"/>
  <c r="C47" i="5"/>
  <c r="AC46" i="5"/>
  <c r="AD46" i="5" s="1"/>
  <c r="AA46" i="5"/>
  <c r="X46" i="5"/>
  <c r="W46" i="5"/>
  <c r="U46" i="5"/>
  <c r="R46" i="5"/>
  <c r="N46" i="5"/>
  <c r="O46" i="5" s="1"/>
  <c r="L46" i="5"/>
  <c r="I46" i="5"/>
  <c r="H46" i="5"/>
  <c r="F46" i="5"/>
  <c r="C46" i="5"/>
  <c r="AD44" i="5"/>
  <c r="AC44" i="5"/>
  <c r="AA44" i="5"/>
  <c r="W44" i="5"/>
  <c r="X44" i="5" s="1"/>
  <c r="U44" i="5"/>
  <c r="R44" i="5"/>
  <c r="N44" i="5"/>
  <c r="O44" i="5" s="1"/>
  <c r="L44" i="5"/>
  <c r="I44" i="5"/>
  <c r="H44" i="5"/>
  <c r="F44" i="5"/>
  <c r="C44" i="5"/>
  <c r="AC43" i="5"/>
  <c r="AD43" i="5" s="1"/>
  <c r="AA43" i="5"/>
  <c r="W43" i="5"/>
  <c r="X43" i="5" s="1"/>
  <c r="U43" i="5"/>
  <c r="R43" i="5"/>
  <c r="O43" i="5"/>
  <c r="N43" i="5"/>
  <c r="L43" i="5"/>
  <c r="I43" i="5"/>
  <c r="H43" i="5"/>
  <c r="F43" i="5"/>
  <c r="C43" i="5"/>
  <c r="AD42" i="5"/>
  <c r="AC42" i="5"/>
  <c r="AA42" i="5"/>
  <c r="W42" i="5"/>
  <c r="X42" i="5" s="1"/>
  <c r="U42" i="5"/>
  <c r="R42" i="5"/>
  <c r="N42" i="5"/>
  <c r="O42" i="5" s="1"/>
  <c r="L42" i="5"/>
  <c r="H42" i="5"/>
  <c r="I42" i="5" s="1"/>
  <c r="F42" i="5"/>
  <c r="C42" i="5"/>
  <c r="Z40" i="5"/>
  <c r="AC40" i="5" s="1"/>
  <c r="AD40" i="5" s="1"/>
  <c r="U40" i="5"/>
  <c r="T40" i="5"/>
  <c r="Q40" i="5"/>
  <c r="W40" i="5" s="1"/>
  <c r="X40" i="5" s="1"/>
  <c r="N40" i="5"/>
  <c r="O40" i="5" s="1"/>
  <c r="K40" i="5"/>
  <c r="L40" i="5" s="1"/>
  <c r="F40" i="5"/>
  <c r="E40" i="5"/>
  <c r="B40" i="5"/>
  <c r="C40" i="5" s="1"/>
  <c r="AC39" i="5"/>
  <c r="AD39" i="5" s="1"/>
  <c r="AA39" i="5"/>
  <c r="W39" i="5"/>
  <c r="X39" i="5" s="1"/>
  <c r="U39" i="5"/>
  <c r="R39" i="5"/>
  <c r="O39" i="5"/>
  <c r="N39" i="5"/>
  <c r="L39" i="5"/>
  <c r="I39" i="5"/>
  <c r="H39" i="5"/>
  <c r="F39" i="5"/>
  <c r="C39" i="5"/>
  <c r="AD38" i="5"/>
  <c r="AC38" i="5"/>
  <c r="AA38" i="5"/>
  <c r="W38" i="5"/>
  <c r="X38" i="5" s="1"/>
  <c r="U38" i="5"/>
  <c r="R38" i="5"/>
  <c r="N38" i="5"/>
  <c r="O38" i="5" s="1"/>
  <c r="L38" i="5"/>
  <c r="H38" i="5"/>
  <c r="I38" i="5" s="1"/>
  <c r="F38" i="5"/>
  <c r="C38" i="5"/>
  <c r="AD37" i="5"/>
  <c r="AC37" i="5"/>
  <c r="AA37" i="5"/>
  <c r="X37" i="5"/>
  <c r="W37" i="5"/>
  <c r="U37" i="5"/>
  <c r="R37" i="5"/>
  <c r="N37" i="5"/>
  <c r="O37" i="5" s="1"/>
  <c r="L37" i="5"/>
  <c r="H37" i="5"/>
  <c r="I37" i="5" s="1"/>
  <c r="F37" i="5"/>
  <c r="C37" i="5"/>
  <c r="AD36" i="5"/>
  <c r="AC36" i="5"/>
  <c r="AA36" i="5"/>
  <c r="X36" i="5"/>
  <c r="W36" i="5"/>
  <c r="U36" i="5"/>
  <c r="R36" i="5"/>
  <c r="N36" i="5"/>
  <c r="O36" i="5" s="1"/>
  <c r="L36" i="5"/>
  <c r="H36" i="5"/>
  <c r="I36" i="5" s="1"/>
  <c r="F36" i="5"/>
  <c r="C36" i="5"/>
  <c r="AC35" i="5"/>
  <c r="AD35" i="5" s="1"/>
  <c r="AA35" i="5"/>
  <c r="W35" i="5"/>
  <c r="X35" i="5" s="1"/>
  <c r="U35" i="5"/>
  <c r="R35" i="5"/>
  <c r="O35" i="5"/>
  <c r="N35" i="5"/>
  <c r="L35" i="5"/>
  <c r="I35" i="5"/>
  <c r="H35" i="5"/>
  <c r="F35" i="5"/>
  <c r="C35" i="5"/>
  <c r="AC34" i="5"/>
  <c r="AD34" i="5" s="1"/>
  <c r="AA34" i="5"/>
  <c r="W34" i="5"/>
  <c r="X34" i="5" s="1"/>
  <c r="U34" i="5"/>
  <c r="R34" i="5"/>
  <c r="O34" i="5"/>
  <c r="N34" i="5"/>
  <c r="L34" i="5"/>
  <c r="H34" i="5"/>
  <c r="I34" i="5" s="1"/>
  <c r="F34" i="5"/>
  <c r="C34" i="5"/>
  <c r="AC33" i="5"/>
  <c r="AD33" i="5" s="1"/>
  <c r="AA33" i="5"/>
  <c r="X33" i="5"/>
  <c r="W33" i="5"/>
  <c r="U33" i="5"/>
  <c r="R33" i="5"/>
  <c r="N33" i="5"/>
  <c r="O33" i="5" s="1"/>
  <c r="L33" i="5"/>
  <c r="H33" i="5"/>
  <c r="I33" i="5" s="1"/>
  <c r="F33" i="5"/>
  <c r="C33" i="5"/>
  <c r="AD32" i="5"/>
  <c r="AC32" i="5"/>
  <c r="AA32" i="5"/>
  <c r="X32" i="5"/>
  <c r="W32" i="5"/>
  <c r="U32" i="5"/>
  <c r="R32" i="5"/>
  <c r="N32" i="5"/>
  <c r="O32" i="5" s="1"/>
  <c r="L32" i="5"/>
  <c r="I32" i="5"/>
  <c r="H32" i="5"/>
  <c r="F32" i="5"/>
  <c r="C32" i="5"/>
  <c r="AC31" i="5"/>
  <c r="AD31" i="5" s="1"/>
  <c r="AA31" i="5"/>
  <c r="W31" i="5"/>
  <c r="X31" i="5" s="1"/>
  <c r="U31" i="5"/>
  <c r="R31" i="5"/>
  <c r="O31" i="5"/>
  <c r="N31" i="5"/>
  <c r="L31" i="5"/>
  <c r="I31" i="5"/>
  <c r="H31" i="5"/>
  <c r="F31" i="5"/>
  <c r="C31" i="5"/>
  <c r="AD29" i="5"/>
  <c r="AC29" i="5"/>
  <c r="Z29" i="5"/>
  <c r="AA29" i="5" s="1"/>
  <c r="T29" i="5"/>
  <c r="U29" i="5" s="1"/>
  <c r="R29" i="5"/>
  <c r="Q29" i="5"/>
  <c r="L29" i="5"/>
  <c r="K29" i="5"/>
  <c r="E29" i="5"/>
  <c r="H29" i="5" s="1"/>
  <c r="I29" i="5" s="1"/>
  <c r="B29" i="5"/>
  <c r="N29" i="5" s="1"/>
  <c r="O29" i="5" s="1"/>
  <c r="AD28" i="5"/>
  <c r="AC28" i="5"/>
  <c r="AA28" i="5"/>
  <c r="W28" i="5"/>
  <c r="X28" i="5" s="1"/>
  <c r="U28" i="5"/>
  <c r="R28" i="5"/>
  <c r="N28" i="5"/>
  <c r="O28" i="5" s="1"/>
  <c r="L28" i="5"/>
  <c r="H28" i="5"/>
  <c r="I28" i="5" s="1"/>
  <c r="F28" i="5"/>
  <c r="C28" i="5"/>
  <c r="AC27" i="5"/>
  <c r="AD27" i="5" s="1"/>
  <c r="AA27" i="5"/>
  <c r="W27" i="5"/>
  <c r="X27" i="5" s="1"/>
  <c r="U27" i="5"/>
  <c r="R27" i="5"/>
  <c r="O27" i="5"/>
  <c r="N27" i="5"/>
  <c r="L27" i="5"/>
  <c r="I27" i="5"/>
  <c r="H27" i="5"/>
  <c r="F27" i="5"/>
  <c r="C27" i="5"/>
  <c r="AC26" i="5"/>
  <c r="AD26" i="5" s="1"/>
  <c r="AA26" i="5"/>
  <c r="W26" i="5"/>
  <c r="X26" i="5" s="1"/>
  <c r="U26" i="5"/>
  <c r="R26" i="5"/>
  <c r="O26" i="5"/>
  <c r="N26" i="5"/>
  <c r="L26" i="5"/>
  <c r="H26" i="5"/>
  <c r="I26" i="5" s="1"/>
  <c r="F26" i="5"/>
  <c r="C26" i="5"/>
  <c r="AC25" i="5"/>
  <c r="AD25" i="5" s="1"/>
  <c r="AA25" i="5"/>
  <c r="X25" i="5"/>
  <c r="W25" i="5"/>
  <c r="U25" i="5"/>
  <c r="R25" i="5"/>
  <c r="N25" i="5"/>
  <c r="O25" i="5" s="1"/>
  <c r="L25" i="5"/>
  <c r="H25" i="5"/>
  <c r="I25" i="5" s="1"/>
  <c r="F25" i="5"/>
  <c r="C25" i="5"/>
  <c r="AD24" i="5"/>
  <c r="AC24" i="5"/>
  <c r="AA24" i="5"/>
  <c r="W24" i="5"/>
  <c r="X24" i="5" s="1"/>
  <c r="U24" i="5"/>
  <c r="R24" i="5"/>
  <c r="N24" i="5"/>
  <c r="O24" i="5" s="1"/>
  <c r="L24" i="5"/>
  <c r="H24" i="5"/>
  <c r="I24" i="5" s="1"/>
  <c r="F24" i="5"/>
  <c r="C24" i="5"/>
  <c r="AC23" i="5"/>
  <c r="AD23" i="5" s="1"/>
  <c r="AA23" i="5"/>
  <c r="W23" i="5"/>
  <c r="X23" i="5" s="1"/>
  <c r="U23" i="5"/>
  <c r="R23" i="5"/>
  <c r="O23" i="5"/>
  <c r="N23" i="5"/>
  <c r="L23" i="5"/>
  <c r="I23" i="5"/>
  <c r="H23" i="5"/>
  <c r="F23" i="5"/>
  <c r="C23" i="5"/>
  <c r="AC22" i="5"/>
  <c r="AD22" i="5" s="1"/>
  <c r="AA22" i="5"/>
  <c r="W22" i="5"/>
  <c r="X22" i="5" s="1"/>
  <c r="U22" i="5"/>
  <c r="R22" i="5"/>
  <c r="N22" i="5"/>
  <c r="O22" i="5" s="1"/>
  <c r="L22" i="5"/>
  <c r="H22" i="5"/>
  <c r="I22" i="5" s="1"/>
  <c r="F22" i="5"/>
  <c r="C22" i="5"/>
  <c r="AD21" i="5"/>
  <c r="AC21" i="5"/>
  <c r="AA21" i="5"/>
  <c r="X21" i="5"/>
  <c r="W21" i="5"/>
  <c r="U21" i="5"/>
  <c r="R21" i="5"/>
  <c r="N21" i="5"/>
  <c r="O21" i="5" s="1"/>
  <c r="L21" i="5"/>
  <c r="H21" i="5"/>
  <c r="I21" i="5" s="1"/>
  <c r="F21" i="5"/>
  <c r="C21" i="5"/>
  <c r="AD19" i="5"/>
  <c r="AC19" i="5"/>
  <c r="AA19" i="5"/>
  <c r="X19" i="5"/>
  <c r="W19" i="5"/>
  <c r="U19" i="5"/>
  <c r="R19" i="5"/>
  <c r="N19" i="5"/>
  <c r="O19" i="5" s="1"/>
  <c r="L19" i="5"/>
  <c r="H19" i="5"/>
  <c r="I19" i="5" s="1"/>
  <c r="F19" i="5"/>
  <c r="C19" i="5"/>
  <c r="AA18" i="5"/>
  <c r="Z18" i="5"/>
  <c r="T18" i="5"/>
  <c r="W18" i="5" s="1"/>
  <c r="X18" i="5" s="1"/>
  <c r="Q18" i="5"/>
  <c r="AC18" i="5" s="1"/>
  <c r="AD18" i="5" s="1"/>
  <c r="K18" i="5"/>
  <c r="L18" i="5" s="1"/>
  <c r="I18" i="5"/>
  <c r="H18" i="5"/>
  <c r="E18" i="5"/>
  <c r="F18" i="5" s="1"/>
  <c r="C18" i="5"/>
  <c r="B18" i="5"/>
  <c r="N18" i="5" s="1"/>
  <c r="O18" i="5" s="1"/>
  <c r="AD17" i="5"/>
  <c r="AC17" i="5"/>
  <c r="AA17" i="5"/>
  <c r="X17" i="5"/>
  <c r="W17" i="5"/>
  <c r="U17" i="5"/>
  <c r="R17" i="5"/>
  <c r="N17" i="5"/>
  <c r="O17" i="5" s="1"/>
  <c r="L17" i="5"/>
  <c r="H17" i="5"/>
  <c r="I17" i="5" s="1"/>
  <c r="F17" i="5"/>
  <c r="C17" i="5"/>
  <c r="AD16" i="5"/>
  <c r="AC16" i="5"/>
  <c r="AA16" i="5"/>
  <c r="X16" i="5"/>
  <c r="W16" i="5"/>
  <c r="U16" i="5"/>
  <c r="R16" i="5"/>
  <c r="N16" i="5"/>
  <c r="O16" i="5" s="1"/>
  <c r="L16" i="5"/>
  <c r="H16" i="5"/>
  <c r="I16" i="5" s="1"/>
  <c r="F16" i="5"/>
  <c r="C16" i="5"/>
  <c r="AC15" i="5"/>
  <c r="AD15" i="5" s="1"/>
  <c r="AA15" i="5"/>
  <c r="W15" i="5"/>
  <c r="X15" i="5" s="1"/>
  <c r="U15" i="5"/>
  <c r="R15" i="5"/>
  <c r="O15" i="5"/>
  <c r="N15" i="5"/>
  <c r="L15" i="5"/>
  <c r="I15" i="5"/>
  <c r="H15" i="5"/>
  <c r="F15" i="5"/>
  <c r="C15" i="5"/>
  <c r="AC14" i="5"/>
  <c r="AD14" i="5" s="1"/>
  <c r="AA14" i="5"/>
  <c r="W14" i="5"/>
  <c r="X14" i="5" s="1"/>
  <c r="U14" i="5"/>
  <c r="R14" i="5"/>
  <c r="N14" i="5"/>
  <c r="O14" i="5" s="1"/>
  <c r="L14" i="5"/>
  <c r="H14" i="5"/>
  <c r="I14" i="5" s="1"/>
  <c r="F14" i="5"/>
  <c r="C14" i="5"/>
  <c r="AC13" i="5"/>
  <c r="AD13" i="5" s="1"/>
  <c r="AA13" i="5"/>
  <c r="X13" i="5"/>
  <c r="W13" i="5"/>
  <c r="U13" i="5"/>
  <c r="R13" i="5"/>
  <c r="N13" i="5"/>
  <c r="O13" i="5" s="1"/>
  <c r="L13" i="5"/>
  <c r="I13" i="5"/>
  <c r="H13" i="5"/>
  <c r="F13" i="5"/>
  <c r="C13" i="5"/>
  <c r="AD12" i="5"/>
  <c r="AC12" i="5"/>
  <c r="AA12" i="5"/>
  <c r="W12" i="5"/>
  <c r="X12" i="5" s="1"/>
  <c r="U12" i="5"/>
  <c r="R12" i="5"/>
  <c r="N12" i="5"/>
  <c r="O12" i="5" s="1"/>
  <c r="L12" i="5"/>
  <c r="I12" i="5"/>
  <c r="H12" i="5"/>
  <c r="F12" i="5"/>
  <c r="C12" i="5"/>
  <c r="AC11" i="5"/>
  <c r="AD11" i="5" s="1"/>
  <c r="AA11" i="5"/>
  <c r="W11" i="5"/>
  <c r="X11" i="5" s="1"/>
  <c r="U11" i="5"/>
  <c r="R11" i="5"/>
  <c r="O11" i="5"/>
  <c r="N11" i="5"/>
  <c r="L11" i="5"/>
  <c r="I11" i="5"/>
  <c r="H11" i="5"/>
  <c r="F11" i="5"/>
  <c r="C11" i="5"/>
  <c r="AD10" i="5"/>
  <c r="AC10" i="5"/>
  <c r="AA10" i="5"/>
  <c r="W10" i="5"/>
  <c r="X10" i="5" s="1"/>
  <c r="U10" i="5"/>
  <c r="R10" i="5"/>
  <c r="N10" i="5"/>
  <c r="O10" i="5" s="1"/>
  <c r="L10" i="5"/>
  <c r="H10" i="5"/>
  <c r="I10" i="5" s="1"/>
  <c r="F10" i="5"/>
  <c r="C10" i="5"/>
  <c r="AC8" i="5"/>
  <c r="AD8" i="5" s="1"/>
  <c r="AA8" i="5"/>
  <c r="X8" i="5"/>
  <c r="W8" i="5"/>
  <c r="U8" i="5"/>
  <c r="R8" i="5"/>
  <c r="N8" i="5"/>
  <c r="O8" i="5" s="1"/>
  <c r="L8" i="5"/>
  <c r="H8" i="5"/>
  <c r="I8" i="5" s="1"/>
  <c r="F8" i="5"/>
  <c r="C8" i="5"/>
  <c r="AC444" i="4"/>
  <c r="W444" i="4"/>
  <c r="N444" i="4"/>
  <c r="O407" i="4" s="1"/>
  <c r="H444" i="4"/>
  <c r="I439" i="4" s="1"/>
  <c r="Z442" i="4"/>
  <c r="AA442" i="4" s="1"/>
  <c r="W442" i="4"/>
  <c r="X442" i="4" s="1"/>
  <c r="T442" i="4"/>
  <c r="U442" i="4" s="1"/>
  <c r="R442" i="4"/>
  <c r="Q442" i="4"/>
  <c r="AC442" i="4" s="1"/>
  <c r="AD442" i="4" s="1"/>
  <c r="L442" i="4"/>
  <c r="K442" i="4"/>
  <c r="F442" i="4"/>
  <c r="E442" i="4"/>
  <c r="B442" i="4"/>
  <c r="H442" i="4" s="1"/>
  <c r="I442" i="4" s="1"/>
  <c r="AC441" i="4"/>
  <c r="AD441" i="4" s="1"/>
  <c r="Z441" i="4"/>
  <c r="AA441" i="4" s="1"/>
  <c r="T441" i="4"/>
  <c r="U441" i="4" s="1"/>
  <c r="R441" i="4"/>
  <c r="Q441" i="4"/>
  <c r="W441" i="4" s="1"/>
  <c r="X441" i="4" s="1"/>
  <c r="L441" i="4"/>
  <c r="K441" i="4"/>
  <c r="H441" i="4"/>
  <c r="I441" i="4" s="1"/>
  <c r="E441" i="4"/>
  <c r="F441" i="4" s="1"/>
  <c r="B441" i="4"/>
  <c r="N441" i="4" s="1"/>
  <c r="O441" i="4" s="1"/>
  <c r="AD440" i="4"/>
  <c r="AC440" i="4"/>
  <c r="AA440" i="4"/>
  <c r="W440" i="4"/>
  <c r="X440" i="4" s="1"/>
  <c r="U440" i="4"/>
  <c r="R440" i="4"/>
  <c r="N440" i="4"/>
  <c r="O440" i="4" s="1"/>
  <c r="L440" i="4"/>
  <c r="I440" i="4"/>
  <c r="H440" i="4"/>
  <c r="F440" i="4"/>
  <c r="C440" i="4"/>
  <c r="AC439" i="4"/>
  <c r="AD439" i="4" s="1"/>
  <c r="AA439" i="4"/>
  <c r="W439" i="4"/>
  <c r="X439" i="4" s="1"/>
  <c r="U439" i="4"/>
  <c r="R439" i="4"/>
  <c r="O439" i="4"/>
  <c r="N439" i="4"/>
  <c r="L439" i="4"/>
  <c r="H439" i="4"/>
  <c r="F439" i="4"/>
  <c r="C439" i="4"/>
  <c r="AD438" i="4"/>
  <c r="AC438" i="4"/>
  <c r="AA438" i="4"/>
  <c r="W438" i="4"/>
  <c r="X438" i="4" s="1"/>
  <c r="U438" i="4"/>
  <c r="R438" i="4"/>
  <c r="O438" i="4"/>
  <c r="N438" i="4"/>
  <c r="L438" i="4"/>
  <c r="H438" i="4"/>
  <c r="I438" i="4" s="1"/>
  <c r="F438" i="4"/>
  <c r="C438" i="4"/>
  <c r="AC437" i="4"/>
  <c r="AD437" i="4" s="1"/>
  <c r="AA437" i="4"/>
  <c r="X437" i="4"/>
  <c r="W437" i="4"/>
  <c r="U437" i="4"/>
  <c r="R437" i="4"/>
  <c r="N437" i="4"/>
  <c r="O437" i="4" s="1"/>
  <c r="L437" i="4"/>
  <c r="H437" i="4"/>
  <c r="I437" i="4" s="1"/>
  <c r="F437" i="4"/>
  <c r="C437" i="4"/>
  <c r="AD436" i="4"/>
  <c r="AC436" i="4"/>
  <c r="AA436" i="4"/>
  <c r="W436" i="4"/>
  <c r="X436" i="4" s="1"/>
  <c r="U436" i="4"/>
  <c r="R436" i="4"/>
  <c r="N436" i="4"/>
  <c r="O436" i="4" s="1"/>
  <c r="L436" i="4"/>
  <c r="H436" i="4"/>
  <c r="I436" i="4" s="1"/>
  <c r="F436" i="4"/>
  <c r="C436" i="4"/>
  <c r="AC435" i="4"/>
  <c r="AD435" i="4" s="1"/>
  <c r="AA435" i="4"/>
  <c r="W435" i="4"/>
  <c r="X435" i="4" s="1"/>
  <c r="U435" i="4"/>
  <c r="R435" i="4"/>
  <c r="O435" i="4"/>
  <c r="N435" i="4"/>
  <c r="L435" i="4"/>
  <c r="I435" i="4"/>
  <c r="H435" i="4"/>
  <c r="F435" i="4"/>
  <c r="C435" i="4"/>
  <c r="AC434" i="4"/>
  <c r="AD434" i="4" s="1"/>
  <c r="AA434" i="4"/>
  <c r="W434" i="4"/>
  <c r="X434" i="4" s="1"/>
  <c r="U434" i="4"/>
  <c r="R434" i="4"/>
  <c r="O434" i="4"/>
  <c r="N434" i="4"/>
  <c r="L434" i="4"/>
  <c r="H434" i="4"/>
  <c r="I434" i="4" s="1"/>
  <c r="F434" i="4"/>
  <c r="C434" i="4"/>
  <c r="AD433" i="4"/>
  <c r="AC433" i="4"/>
  <c r="AA433" i="4"/>
  <c r="X433" i="4"/>
  <c r="W433" i="4"/>
  <c r="U433" i="4"/>
  <c r="R433" i="4"/>
  <c r="N433" i="4"/>
  <c r="L433" i="4"/>
  <c r="H433" i="4"/>
  <c r="I433" i="4" s="1"/>
  <c r="F433" i="4"/>
  <c r="C433" i="4"/>
  <c r="AD432" i="4"/>
  <c r="AC432" i="4"/>
  <c r="AA432" i="4"/>
  <c r="X432" i="4"/>
  <c r="W432" i="4"/>
  <c r="U432" i="4"/>
  <c r="R432" i="4"/>
  <c r="N432" i="4"/>
  <c r="O432" i="4" s="1"/>
  <c r="L432" i="4"/>
  <c r="H432" i="4"/>
  <c r="I432" i="4" s="1"/>
  <c r="F432" i="4"/>
  <c r="C432" i="4"/>
  <c r="AA429" i="4"/>
  <c r="Z429" i="4"/>
  <c r="W429" i="4"/>
  <c r="X429" i="4" s="1"/>
  <c r="T429" i="4"/>
  <c r="U429" i="4" s="1"/>
  <c r="Q429" i="4"/>
  <c r="AC429" i="4" s="1"/>
  <c r="AD429" i="4" s="1"/>
  <c r="L429" i="4"/>
  <c r="K429" i="4"/>
  <c r="H429" i="4"/>
  <c r="I429" i="4" s="1"/>
  <c r="E429" i="4"/>
  <c r="F429" i="4" s="1"/>
  <c r="C429" i="4"/>
  <c r="B429" i="4"/>
  <c r="AC428" i="4"/>
  <c r="AD428" i="4" s="1"/>
  <c r="AA428" i="4"/>
  <c r="Z428" i="4"/>
  <c r="U428" i="4"/>
  <c r="T428" i="4"/>
  <c r="Q428" i="4"/>
  <c r="W428" i="4" s="1"/>
  <c r="X428" i="4" s="1"/>
  <c r="N428" i="4"/>
  <c r="O428" i="4" s="1"/>
  <c r="K428" i="4"/>
  <c r="L428" i="4" s="1"/>
  <c r="I428" i="4"/>
  <c r="F428" i="4"/>
  <c r="E428" i="4"/>
  <c r="B428" i="4"/>
  <c r="H428" i="4" s="1"/>
  <c r="AC427" i="4"/>
  <c r="AD427" i="4" s="1"/>
  <c r="AA427" i="4"/>
  <c r="W427" i="4"/>
  <c r="X427" i="4" s="1"/>
  <c r="U427" i="4"/>
  <c r="R427" i="4"/>
  <c r="N427" i="4"/>
  <c r="L427" i="4"/>
  <c r="I427" i="4"/>
  <c r="H427" i="4"/>
  <c r="F427" i="4"/>
  <c r="C427" i="4"/>
  <c r="AD426" i="4"/>
  <c r="AC426" i="4"/>
  <c r="AA426" i="4"/>
  <c r="W426" i="4"/>
  <c r="X426" i="4" s="1"/>
  <c r="U426" i="4"/>
  <c r="R426" i="4"/>
  <c r="N426" i="4"/>
  <c r="O426" i="4" s="1"/>
  <c r="L426" i="4"/>
  <c r="H426" i="4"/>
  <c r="F426" i="4"/>
  <c r="C426" i="4"/>
  <c r="AC425" i="4"/>
  <c r="AD425" i="4" s="1"/>
  <c r="AA425" i="4"/>
  <c r="X425" i="4"/>
  <c r="W425" i="4"/>
  <c r="U425" i="4"/>
  <c r="R425" i="4"/>
  <c r="N425" i="4"/>
  <c r="O425" i="4" s="1"/>
  <c r="L425" i="4"/>
  <c r="I425" i="4"/>
  <c r="H425" i="4"/>
  <c r="F425" i="4"/>
  <c r="C425" i="4"/>
  <c r="AD424" i="4"/>
  <c r="AC424" i="4"/>
  <c r="AA424" i="4"/>
  <c r="W424" i="4"/>
  <c r="X424" i="4" s="1"/>
  <c r="U424" i="4"/>
  <c r="R424" i="4"/>
  <c r="N424" i="4"/>
  <c r="O424" i="4" s="1"/>
  <c r="L424" i="4"/>
  <c r="H424" i="4"/>
  <c r="I424" i="4" s="1"/>
  <c r="F424" i="4"/>
  <c r="C424" i="4"/>
  <c r="AC423" i="4"/>
  <c r="AD423" i="4" s="1"/>
  <c r="AA423" i="4"/>
  <c r="W423" i="4"/>
  <c r="X423" i="4" s="1"/>
  <c r="U423" i="4"/>
  <c r="R423" i="4"/>
  <c r="O423" i="4"/>
  <c r="N423" i="4"/>
  <c r="L423" i="4"/>
  <c r="I423" i="4"/>
  <c r="H423" i="4"/>
  <c r="F423" i="4"/>
  <c r="C423" i="4"/>
  <c r="AC422" i="4"/>
  <c r="AD422" i="4" s="1"/>
  <c r="AA422" i="4"/>
  <c r="W422" i="4"/>
  <c r="X422" i="4" s="1"/>
  <c r="U422" i="4"/>
  <c r="R422" i="4"/>
  <c r="O422" i="4"/>
  <c r="N422" i="4"/>
  <c r="L422" i="4"/>
  <c r="H422" i="4"/>
  <c r="I422" i="4" s="1"/>
  <c r="F422" i="4"/>
  <c r="C422" i="4"/>
  <c r="AD421" i="4"/>
  <c r="AC421" i="4"/>
  <c r="AA421" i="4"/>
  <c r="X421" i="4"/>
  <c r="W421" i="4"/>
  <c r="U421" i="4"/>
  <c r="R421" i="4"/>
  <c r="N421" i="4"/>
  <c r="O421" i="4" s="1"/>
  <c r="L421" i="4"/>
  <c r="H421" i="4"/>
  <c r="I421" i="4" s="1"/>
  <c r="F421" i="4"/>
  <c r="C421" i="4"/>
  <c r="AD420" i="4"/>
  <c r="AC420" i="4"/>
  <c r="AA420" i="4"/>
  <c r="X420" i="4"/>
  <c r="W420" i="4"/>
  <c r="U420" i="4"/>
  <c r="R420" i="4"/>
  <c r="N420" i="4"/>
  <c r="L420" i="4"/>
  <c r="H420" i="4"/>
  <c r="I420" i="4" s="1"/>
  <c r="F420" i="4"/>
  <c r="C420" i="4"/>
  <c r="AC419" i="4"/>
  <c r="AD419" i="4" s="1"/>
  <c r="AA419" i="4"/>
  <c r="W419" i="4"/>
  <c r="X419" i="4" s="1"/>
  <c r="U419" i="4"/>
  <c r="R419" i="4"/>
  <c r="O419" i="4"/>
  <c r="N419" i="4"/>
  <c r="L419" i="4"/>
  <c r="I419" i="4"/>
  <c r="H419" i="4"/>
  <c r="F419" i="4"/>
  <c r="C419" i="4"/>
  <c r="AC418" i="4"/>
  <c r="AD418" i="4" s="1"/>
  <c r="AA418" i="4"/>
  <c r="W418" i="4"/>
  <c r="X418" i="4" s="1"/>
  <c r="U418" i="4"/>
  <c r="R418" i="4"/>
  <c r="N418" i="4"/>
  <c r="O418" i="4" s="1"/>
  <c r="L418" i="4"/>
  <c r="H418" i="4"/>
  <c r="I418" i="4" s="1"/>
  <c r="F418" i="4"/>
  <c r="C418" i="4"/>
  <c r="AD417" i="4"/>
  <c r="AC417" i="4"/>
  <c r="AA417" i="4"/>
  <c r="X417" i="4"/>
  <c r="W417" i="4"/>
  <c r="U417" i="4"/>
  <c r="R417" i="4"/>
  <c r="N417" i="4"/>
  <c r="O417" i="4" s="1"/>
  <c r="L417" i="4"/>
  <c r="H417" i="4"/>
  <c r="I417" i="4" s="1"/>
  <c r="F417" i="4"/>
  <c r="C417" i="4"/>
  <c r="AD416" i="4"/>
  <c r="AC416" i="4"/>
  <c r="AA416" i="4"/>
  <c r="X416" i="4"/>
  <c r="W416" i="4"/>
  <c r="U416" i="4"/>
  <c r="R416" i="4"/>
  <c r="N416" i="4"/>
  <c r="L416" i="4"/>
  <c r="H416" i="4"/>
  <c r="I416" i="4" s="1"/>
  <c r="F416" i="4"/>
  <c r="C416" i="4"/>
  <c r="AC415" i="4"/>
  <c r="AD415" i="4" s="1"/>
  <c r="AA415" i="4"/>
  <c r="W415" i="4"/>
  <c r="X415" i="4" s="1"/>
  <c r="U415" i="4"/>
  <c r="R415" i="4"/>
  <c r="O415" i="4"/>
  <c r="N415" i="4"/>
  <c r="L415" i="4"/>
  <c r="I415" i="4"/>
  <c r="H415" i="4"/>
  <c r="F415" i="4"/>
  <c r="C415" i="4"/>
  <c r="AC414" i="4"/>
  <c r="AD414" i="4" s="1"/>
  <c r="AA414" i="4"/>
  <c r="W414" i="4"/>
  <c r="X414" i="4" s="1"/>
  <c r="U414" i="4"/>
  <c r="R414" i="4"/>
  <c r="N414" i="4"/>
  <c r="O414" i="4" s="1"/>
  <c r="L414" i="4"/>
  <c r="H414" i="4"/>
  <c r="I414" i="4" s="1"/>
  <c r="F414" i="4"/>
  <c r="C414" i="4"/>
  <c r="AC413" i="4"/>
  <c r="AD413" i="4" s="1"/>
  <c r="AA413" i="4"/>
  <c r="X413" i="4"/>
  <c r="W413" i="4"/>
  <c r="U413" i="4"/>
  <c r="R413" i="4"/>
  <c r="N413" i="4"/>
  <c r="O413" i="4" s="1"/>
  <c r="L413" i="4"/>
  <c r="H413" i="4"/>
  <c r="I413" i="4" s="1"/>
  <c r="F413" i="4"/>
  <c r="C413" i="4"/>
  <c r="AD412" i="4"/>
  <c r="AC412" i="4"/>
  <c r="AA412" i="4"/>
  <c r="X412" i="4"/>
  <c r="W412" i="4"/>
  <c r="U412" i="4"/>
  <c r="R412" i="4"/>
  <c r="N412" i="4"/>
  <c r="O412" i="4" s="1"/>
  <c r="L412" i="4"/>
  <c r="H412" i="4"/>
  <c r="I412" i="4" s="1"/>
  <c r="F412" i="4"/>
  <c r="C412" i="4"/>
  <c r="AC411" i="4"/>
  <c r="AD411" i="4" s="1"/>
  <c r="AA411" i="4"/>
  <c r="X411" i="4"/>
  <c r="W411" i="4"/>
  <c r="U411" i="4"/>
  <c r="R411" i="4"/>
  <c r="N411" i="4"/>
  <c r="L411" i="4"/>
  <c r="H411" i="4"/>
  <c r="I411" i="4" s="1"/>
  <c r="F411" i="4"/>
  <c r="C411" i="4"/>
  <c r="AD410" i="4"/>
  <c r="AC410" i="4"/>
  <c r="AA410" i="4"/>
  <c r="W410" i="4"/>
  <c r="X410" i="4" s="1"/>
  <c r="U410" i="4"/>
  <c r="R410" i="4"/>
  <c r="N410" i="4"/>
  <c r="O410" i="4" s="1"/>
  <c r="L410" i="4"/>
  <c r="H410" i="4"/>
  <c r="I410" i="4" s="1"/>
  <c r="F410" i="4"/>
  <c r="C410" i="4"/>
  <c r="AD409" i="4"/>
  <c r="AC409" i="4"/>
  <c r="AA409" i="4"/>
  <c r="X409" i="4"/>
  <c r="W409" i="4"/>
  <c r="U409" i="4"/>
  <c r="R409" i="4"/>
  <c r="N409" i="4"/>
  <c r="O409" i="4" s="1"/>
  <c r="L409" i="4"/>
  <c r="H409" i="4"/>
  <c r="I409" i="4" s="1"/>
  <c r="F409" i="4"/>
  <c r="C409" i="4"/>
  <c r="AC408" i="4"/>
  <c r="AD408" i="4" s="1"/>
  <c r="AA408" i="4"/>
  <c r="W408" i="4"/>
  <c r="X408" i="4" s="1"/>
  <c r="U408" i="4"/>
  <c r="R408" i="4"/>
  <c r="O408" i="4"/>
  <c r="N408" i="4"/>
  <c r="L408" i="4"/>
  <c r="I408" i="4"/>
  <c r="H408" i="4"/>
  <c r="F408" i="4"/>
  <c r="C408" i="4"/>
  <c r="AC407" i="4"/>
  <c r="AD407" i="4" s="1"/>
  <c r="AA407" i="4"/>
  <c r="W407" i="4"/>
  <c r="X407" i="4" s="1"/>
  <c r="U407" i="4"/>
  <c r="R407" i="4"/>
  <c r="N407" i="4"/>
  <c r="L407" i="4"/>
  <c r="I407" i="4"/>
  <c r="H407" i="4"/>
  <c r="F407" i="4"/>
  <c r="C407" i="4"/>
  <c r="Z403" i="4"/>
  <c r="AC403" i="4" s="1"/>
  <c r="AD403" i="4" s="1"/>
  <c r="T403" i="4"/>
  <c r="U403" i="4" s="1"/>
  <c r="Q403" i="4"/>
  <c r="R403" i="4" s="1"/>
  <c r="L403" i="4"/>
  <c r="K403" i="4"/>
  <c r="H403" i="4"/>
  <c r="I403" i="4" s="1"/>
  <c r="F403" i="4"/>
  <c r="E403" i="4"/>
  <c r="B403" i="4"/>
  <c r="C403" i="4" s="1"/>
  <c r="AC402" i="4"/>
  <c r="AD402" i="4" s="1"/>
  <c r="AA402" i="4"/>
  <c r="W402" i="4"/>
  <c r="X402" i="4" s="1"/>
  <c r="U402" i="4"/>
  <c r="R402" i="4"/>
  <c r="O402" i="4"/>
  <c r="N402" i="4"/>
  <c r="L402" i="4"/>
  <c r="H402" i="4"/>
  <c r="I402" i="4" s="1"/>
  <c r="F402" i="4"/>
  <c r="C402" i="4"/>
  <c r="AC401" i="4"/>
  <c r="AD401" i="4" s="1"/>
  <c r="AA401" i="4"/>
  <c r="X401" i="4"/>
  <c r="W401" i="4"/>
  <c r="U401" i="4"/>
  <c r="R401" i="4"/>
  <c r="O401" i="4"/>
  <c r="N401" i="4"/>
  <c r="L401" i="4"/>
  <c r="I401" i="4"/>
  <c r="H401" i="4"/>
  <c r="F401" i="4"/>
  <c r="C401" i="4"/>
  <c r="AC400" i="4"/>
  <c r="AD400" i="4" s="1"/>
  <c r="AA400" i="4"/>
  <c r="W400" i="4"/>
  <c r="X400" i="4" s="1"/>
  <c r="U400" i="4"/>
  <c r="R400" i="4"/>
  <c r="O400" i="4"/>
  <c r="N400" i="4"/>
  <c r="L400" i="4"/>
  <c r="H400" i="4"/>
  <c r="I400" i="4" s="1"/>
  <c r="F400" i="4"/>
  <c r="C400" i="4"/>
  <c r="AC399" i="4"/>
  <c r="AD399" i="4" s="1"/>
  <c r="AA399" i="4"/>
  <c r="W399" i="4"/>
  <c r="X399" i="4" s="1"/>
  <c r="U399" i="4"/>
  <c r="R399" i="4"/>
  <c r="O399" i="4"/>
  <c r="N399" i="4"/>
  <c r="L399" i="4"/>
  <c r="I399" i="4"/>
  <c r="H399" i="4"/>
  <c r="F399" i="4"/>
  <c r="C399" i="4"/>
  <c r="AC398" i="4"/>
  <c r="AD398" i="4" s="1"/>
  <c r="AA398" i="4"/>
  <c r="X398" i="4"/>
  <c r="W398" i="4"/>
  <c r="U398" i="4"/>
  <c r="R398" i="4"/>
  <c r="N398" i="4"/>
  <c r="O398" i="4" s="1"/>
  <c r="L398" i="4"/>
  <c r="H398" i="4"/>
  <c r="I398" i="4" s="1"/>
  <c r="F398" i="4"/>
  <c r="C398" i="4"/>
  <c r="AC397" i="4"/>
  <c r="AD397" i="4" s="1"/>
  <c r="AA397" i="4"/>
  <c r="X397" i="4"/>
  <c r="W397" i="4"/>
  <c r="U397" i="4"/>
  <c r="R397" i="4"/>
  <c r="O397" i="4"/>
  <c r="N397" i="4"/>
  <c r="L397" i="4"/>
  <c r="H397" i="4"/>
  <c r="I397" i="4" s="1"/>
  <c r="F397" i="4"/>
  <c r="C397" i="4"/>
  <c r="Z396" i="4"/>
  <c r="AA396" i="4" s="1"/>
  <c r="T396" i="4"/>
  <c r="U396" i="4" s="1"/>
  <c r="Q396" i="4"/>
  <c r="W396" i="4" s="1"/>
  <c r="X396" i="4" s="1"/>
  <c r="L396" i="4"/>
  <c r="K396" i="4"/>
  <c r="F396" i="4"/>
  <c r="E396" i="4"/>
  <c r="C396" i="4"/>
  <c r="B396" i="4"/>
  <c r="H396" i="4" s="1"/>
  <c r="I396" i="4" s="1"/>
  <c r="AC395" i="4"/>
  <c r="AD395" i="4" s="1"/>
  <c r="AA395" i="4"/>
  <c r="W395" i="4"/>
  <c r="X395" i="4" s="1"/>
  <c r="U395" i="4"/>
  <c r="R395" i="4"/>
  <c r="O395" i="4"/>
  <c r="N395" i="4"/>
  <c r="L395" i="4"/>
  <c r="H395" i="4"/>
  <c r="I395" i="4" s="1"/>
  <c r="F395" i="4"/>
  <c r="C395" i="4"/>
  <c r="AC394" i="4"/>
  <c r="AD394" i="4" s="1"/>
  <c r="AA394" i="4"/>
  <c r="X394" i="4"/>
  <c r="W394" i="4"/>
  <c r="U394" i="4"/>
  <c r="R394" i="4"/>
  <c r="O394" i="4"/>
  <c r="N394" i="4"/>
  <c r="L394" i="4"/>
  <c r="I394" i="4"/>
  <c r="H394" i="4"/>
  <c r="F394" i="4"/>
  <c r="C394" i="4"/>
  <c r="Z393" i="4"/>
  <c r="AC393" i="4" s="1"/>
  <c r="AD393" i="4" s="1"/>
  <c r="T393" i="4"/>
  <c r="U393" i="4" s="1"/>
  <c r="Q393" i="4"/>
  <c r="R393" i="4" s="1"/>
  <c r="L393" i="4"/>
  <c r="K393" i="4"/>
  <c r="H393" i="4"/>
  <c r="I393" i="4" s="1"/>
  <c r="F393" i="4"/>
  <c r="E393" i="4"/>
  <c r="B393" i="4"/>
  <c r="C393" i="4" s="1"/>
  <c r="AC392" i="4"/>
  <c r="AD392" i="4" s="1"/>
  <c r="AA392" i="4"/>
  <c r="W392" i="4"/>
  <c r="X392" i="4" s="1"/>
  <c r="U392" i="4"/>
  <c r="R392" i="4"/>
  <c r="O392" i="4"/>
  <c r="N392" i="4"/>
  <c r="L392" i="4"/>
  <c r="H392" i="4"/>
  <c r="I392" i="4" s="1"/>
  <c r="F392" i="4"/>
  <c r="C392" i="4"/>
  <c r="AC391" i="4"/>
  <c r="AD391" i="4" s="1"/>
  <c r="AA391" i="4"/>
  <c r="X391" i="4"/>
  <c r="W391" i="4"/>
  <c r="U391" i="4"/>
  <c r="R391" i="4"/>
  <c r="O391" i="4"/>
  <c r="N391" i="4"/>
  <c r="L391" i="4"/>
  <c r="I391" i="4"/>
  <c r="H391" i="4"/>
  <c r="F391" i="4"/>
  <c r="C391" i="4"/>
  <c r="AC390" i="4"/>
  <c r="AD390" i="4" s="1"/>
  <c r="AA390" i="4"/>
  <c r="W390" i="4"/>
  <c r="X390" i="4" s="1"/>
  <c r="U390" i="4"/>
  <c r="R390" i="4"/>
  <c r="O390" i="4"/>
  <c r="N390" i="4"/>
  <c r="L390" i="4"/>
  <c r="H390" i="4"/>
  <c r="I390" i="4" s="1"/>
  <c r="F390" i="4"/>
  <c r="C390" i="4"/>
  <c r="AC389" i="4"/>
  <c r="AD389" i="4" s="1"/>
  <c r="AA389" i="4"/>
  <c r="W389" i="4"/>
  <c r="X389" i="4" s="1"/>
  <c r="U389" i="4"/>
  <c r="R389" i="4"/>
  <c r="O389" i="4"/>
  <c r="N389" i="4"/>
  <c r="L389" i="4"/>
  <c r="I389" i="4"/>
  <c r="H389" i="4"/>
  <c r="F389" i="4"/>
  <c r="C389" i="4"/>
  <c r="AC388" i="4"/>
  <c r="AD388" i="4" s="1"/>
  <c r="AA388" i="4"/>
  <c r="W388" i="4"/>
  <c r="X388" i="4" s="1"/>
  <c r="U388" i="4"/>
  <c r="R388" i="4"/>
  <c r="N388" i="4"/>
  <c r="O388" i="4" s="1"/>
  <c r="L388" i="4"/>
  <c r="H388" i="4"/>
  <c r="I388" i="4" s="1"/>
  <c r="F388" i="4"/>
  <c r="C388" i="4"/>
  <c r="AC386" i="4"/>
  <c r="AD386" i="4" s="1"/>
  <c r="AA386" i="4"/>
  <c r="X386" i="4"/>
  <c r="W386" i="4"/>
  <c r="U386" i="4"/>
  <c r="R386" i="4"/>
  <c r="O386" i="4"/>
  <c r="N386" i="4"/>
  <c r="L386" i="4"/>
  <c r="H386" i="4"/>
  <c r="I386" i="4" s="1"/>
  <c r="F386" i="4"/>
  <c r="C386" i="4"/>
  <c r="AC385" i="4"/>
  <c r="AD385" i="4" s="1"/>
  <c r="AA385" i="4"/>
  <c r="X385" i="4"/>
  <c r="W385" i="4"/>
  <c r="U385" i="4"/>
  <c r="R385" i="4"/>
  <c r="N385" i="4"/>
  <c r="O385" i="4" s="1"/>
  <c r="L385" i="4"/>
  <c r="H385" i="4"/>
  <c r="I385" i="4" s="1"/>
  <c r="F385" i="4"/>
  <c r="C385" i="4"/>
  <c r="AC383" i="4"/>
  <c r="AD383" i="4" s="1"/>
  <c r="AA383" i="4"/>
  <c r="W383" i="4"/>
  <c r="X383" i="4" s="1"/>
  <c r="U383" i="4"/>
  <c r="R383" i="4"/>
  <c r="N383" i="4"/>
  <c r="L383" i="4"/>
  <c r="H383" i="4"/>
  <c r="I383" i="4" s="1"/>
  <c r="F383" i="4"/>
  <c r="C383" i="4"/>
  <c r="AD382" i="4"/>
  <c r="AC382" i="4"/>
  <c r="AA382" i="4"/>
  <c r="X382" i="4"/>
  <c r="W382" i="4"/>
  <c r="U382" i="4"/>
  <c r="R382" i="4"/>
  <c r="N382" i="4"/>
  <c r="O382" i="4" s="1"/>
  <c r="L382" i="4"/>
  <c r="H382" i="4"/>
  <c r="I382" i="4" s="1"/>
  <c r="F382" i="4"/>
  <c r="C382" i="4"/>
  <c r="AC381" i="4"/>
  <c r="AD381" i="4" s="1"/>
  <c r="AA381" i="4"/>
  <c r="X381" i="4"/>
  <c r="W381" i="4"/>
  <c r="U381" i="4"/>
  <c r="R381" i="4"/>
  <c r="N381" i="4"/>
  <c r="O381" i="4" s="1"/>
  <c r="L381" i="4"/>
  <c r="H381" i="4"/>
  <c r="I381" i="4" s="1"/>
  <c r="F381" i="4"/>
  <c r="C381" i="4"/>
  <c r="AD380" i="4"/>
  <c r="AC380" i="4"/>
  <c r="AA380" i="4"/>
  <c r="X380" i="4"/>
  <c r="W380" i="4"/>
  <c r="U380" i="4"/>
  <c r="R380" i="4"/>
  <c r="N380" i="4"/>
  <c r="O380" i="4" s="1"/>
  <c r="L380" i="4"/>
  <c r="H380" i="4"/>
  <c r="I380" i="4" s="1"/>
  <c r="F380" i="4"/>
  <c r="C380" i="4"/>
  <c r="AC379" i="4"/>
  <c r="AD379" i="4" s="1"/>
  <c r="AA379" i="4"/>
  <c r="X379" i="4"/>
  <c r="W379" i="4"/>
  <c r="U379" i="4"/>
  <c r="R379" i="4"/>
  <c r="O379" i="4"/>
  <c r="N379" i="4"/>
  <c r="L379" i="4"/>
  <c r="H379" i="4"/>
  <c r="I379" i="4" s="1"/>
  <c r="F379" i="4"/>
  <c r="C379" i="4"/>
  <c r="AD378" i="4"/>
  <c r="AC378" i="4"/>
  <c r="AA378" i="4"/>
  <c r="W378" i="4"/>
  <c r="X378" i="4" s="1"/>
  <c r="U378" i="4"/>
  <c r="R378" i="4"/>
  <c r="N378" i="4"/>
  <c r="O378" i="4" s="1"/>
  <c r="L378" i="4"/>
  <c r="H378" i="4"/>
  <c r="I378" i="4" s="1"/>
  <c r="F378" i="4"/>
  <c r="C378" i="4"/>
  <c r="AD377" i="4"/>
  <c r="AC377" i="4"/>
  <c r="AA377" i="4"/>
  <c r="X377" i="4"/>
  <c r="W377" i="4"/>
  <c r="U377" i="4"/>
  <c r="R377" i="4"/>
  <c r="N377" i="4"/>
  <c r="O377" i="4" s="1"/>
  <c r="L377" i="4"/>
  <c r="H377" i="4"/>
  <c r="I377" i="4" s="1"/>
  <c r="F377" i="4"/>
  <c r="C377" i="4"/>
  <c r="AC376" i="4"/>
  <c r="AD376" i="4" s="1"/>
  <c r="AA376" i="4"/>
  <c r="W376" i="4"/>
  <c r="X376" i="4" s="1"/>
  <c r="U376" i="4"/>
  <c r="R376" i="4"/>
  <c r="O376" i="4"/>
  <c r="N376" i="4"/>
  <c r="L376" i="4"/>
  <c r="I376" i="4"/>
  <c r="H376" i="4"/>
  <c r="F376" i="4"/>
  <c r="C376" i="4"/>
  <c r="AC375" i="4"/>
  <c r="AD375" i="4" s="1"/>
  <c r="AA375" i="4"/>
  <c r="W375" i="4"/>
  <c r="X375" i="4" s="1"/>
  <c r="U375" i="4"/>
  <c r="R375" i="4"/>
  <c r="O375" i="4"/>
  <c r="N375" i="4"/>
  <c r="L375" i="4"/>
  <c r="I375" i="4"/>
  <c r="H375" i="4"/>
  <c r="F375" i="4"/>
  <c r="C375" i="4"/>
  <c r="AC374" i="4"/>
  <c r="AD374" i="4" s="1"/>
  <c r="AA374" i="4"/>
  <c r="W374" i="4"/>
  <c r="X374" i="4" s="1"/>
  <c r="U374" i="4"/>
  <c r="R374" i="4"/>
  <c r="O374" i="4"/>
  <c r="N374" i="4"/>
  <c r="L374" i="4"/>
  <c r="H374" i="4"/>
  <c r="I374" i="4" s="1"/>
  <c r="F374" i="4"/>
  <c r="C374" i="4"/>
  <c r="AC373" i="4"/>
  <c r="AD373" i="4" s="1"/>
  <c r="AA373" i="4"/>
  <c r="X373" i="4"/>
  <c r="W373" i="4"/>
  <c r="U373" i="4"/>
  <c r="R373" i="4"/>
  <c r="O373" i="4"/>
  <c r="N373" i="4"/>
  <c r="L373" i="4"/>
  <c r="I373" i="4"/>
  <c r="H373" i="4"/>
  <c r="F373" i="4"/>
  <c r="C373" i="4"/>
  <c r="AC372" i="4"/>
  <c r="AD372" i="4" s="1"/>
  <c r="AA372" i="4"/>
  <c r="W372" i="4"/>
  <c r="X372" i="4" s="1"/>
  <c r="U372" i="4"/>
  <c r="R372" i="4"/>
  <c r="O372" i="4"/>
  <c r="N372" i="4"/>
  <c r="L372" i="4"/>
  <c r="H372" i="4"/>
  <c r="I372" i="4" s="1"/>
  <c r="F372" i="4"/>
  <c r="C372" i="4"/>
  <c r="AC371" i="4"/>
  <c r="AD371" i="4" s="1"/>
  <c r="AA371" i="4"/>
  <c r="W371" i="4"/>
  <c r="X371" i="4" s="1"/>
  <c r="U371" i="4"/>
  <c r="R371" i="4"/>
  <c r="O371" i="4"/>
  <c r="N371" i="4"/>
  <c r="L371" i="4"/>
  <c r="I371" i="4"/>
  <c r="H371" i="4"/>
  <c r="F371" i="4"/>
  <c r="C371" i="4"/>
  <c r="AC370" i="4"/>
  <c r="AD370" i="4" s="1"/>
  <c r="AA370" i="4"/>
  <c r="W370" i="4"/>
  <c r="X370" i="4" s="1"/>
  <c r="U370" i="4"/>
  <c r="R370" i="4"/>
  <c r="N370" i="4"/>
  <c r="O370" i="4" s="1"/>
  <c r="L370" i="4"/>
  <c r="H370" i="4"/>
  <c r="I370" i="4" s="1"/>
  <c r="F370" i="4"/>
  <c r="C370" i="4"/>
  <c r="AC369" i="4"/>
  <c r="AD369" i="4" s="1"/>
  <c r="AA369" i="4"/>
  <c r="X369" i="4"/>
  <c r="W369" i="4"/>
  <c r="U369" i="4"/>
  <c r="R369" i="4"/>
  <c r="O369" i="4"/>
  <c r="N369" i="4"/>
  <c r="L369" i="4"/>
  <c r="H369" i="4"/>
  <c r="I369" i="4" s="1"/>
  <c r="F369" i="4"/>
  <c r="C369" i="4"/>
  <c r="Z368" i="4"/>
  <c r="AC368" i="4" s="1"/>
  <c r="AD368" i="4" s="1"/>
  <c r="T368" i="4"/>
  <c r="U368" i="4" s="1"/>
  <c r="Q368" i="4"/>
  <c r="W368" i="4" s="1"/>
  <c r="X368" i="4" s="1"/>
  <c r="L368" i="4"/>
  <c r="K368" i="4"/>
  <c r="F368" i="4"/>
  <c r="E368" i="4"/>
  <c r="B368" i="4"/>
  <c r="H368" i="4" s="1"/>
  <c r="I368" i="4" s="1"/>
  <c r="AC367" i="4"/>
  <c r="AD367" i="4" s="1"/>
  <c r="AA367" i="4"/>
  <c r="W367" i="4"/>
  <c r="X367" i="4" s="1"/>
  <c r="U367" i="4"/>
  <c r="R367" i="4"/>
  <c r="O367" i="4"/>
  <c r="N367" i="4"/>
  <c r="L367" i="4"/>
  <c r="H367" i="4"/>
  <c r="I367" i="4" s="1"/>
  <c r="F367" i="4"/>
  <c r="C367" i="4"/>
  <c r="AC366" i="4"/>
  <c r="AD366" i="4" s="1"/>
  <c r="AA366" i="4"/>
  <c r="X366" i="4"/>
  <c r="W366" i="4"/>
  <c r="U366" i="4"/>
  <c r="R366" i="4"/>
  <c r="O366" i="4"/>
  <c r="N366" i="4"/>
  <c r="L366" i="4"/>
  <c r="I366" i="4"/>
  <c r="H366" i="4"/>
  <c r="F366" i="4"/>
  <c r="C366" i="4"/>
  <c r="AC365" i="4"/>
  <c r="AD365" i="4" s="1"/>
  <c r="AA365" i="4"/>
  <c r="W365" i="4"/>
  <c r="X365" i="4" s="1"/>
  <c r="U365" i="4"/>
  <c r="R365" i="4"/>
  <c r="N365" i="4"/>
  <c r="O365" i="4" s="1"/>
  <c r="L365" i="4"/>
  <c r="H365" i="4"/>
  <c r="I365" i="4" s="1"/>
  <c r="F365" i="4"/>
  <c r="C365" i="4"/>
  <c r="AC364" i="4"/>
  <c r="AD364" i="4" s="1"/>
  <c r="AA364" i="4"/>
  <c r="W364" i="4"/>
  <c r="X364" i="4" s="1"/>
  <c r="U364" i="4"/>
  <c r="R364" i="4"/>
  <c r="O364" i="4"/>
  <c r="N364" i="4"/>
  <c r="L364" i="4"/>
  <c r="H364" i="4"/>
  <c r="I364" i="4" s="1"/>
  <c r="F364" i="4"/>
  <c r="C364" i="4"/>
  <c r="AC363" i="4"/>
  <c r="AD363" i="4" s="1"/>
  <c r="AA363" i="4"/>
  <c r="X363" i="4"/>
  <c r="W363" i="4"/>
  <c r="U363" i="4"/>
  <c r="R363" i="4"/>
  <c r="N363" i="4"/>
  <c r="O363" i="4" s="1"/>
  <c r="L363" i="4"/>
  <c r="H363" i="4"/>
  <c r="I363" i="4" s="1"/>
  <c r="F363" i="4"/>
  <c r="C363" i="4"/>
  <c r="AC362" i="4"/>
  <c r="AD362" i="4" s="1"/>
  <c r="AA362" i="4"/>
  <c r="X362" i="4"/>
  <c r="W362" i="4"/>
  <c r="U362" i="4"/>
  <c r="R362" i="4"/>
  <c r="N362" i="4"/>
  <c r="O362" i="4" s="1"/>
  <c r="L362" i="4"/>
  <c r="H362" i="4"/>
  <c r="I362" i="4" s="1"/>
  <c r="F362" i="4"/>
  <c r="C362" i="4"/>
  <c r="AD361" i="4"/>
  <c r="AC361" i="4"/>
  <c r="AA361" i="4"/>
  <c r="X361" i="4"/>
  <c r="W361" i="4"/>
  <c r="U361" i="4"/>
  <c r="R361" i="4"/>
  <c r="N361" i="4"/>
  <c r="O361" i="4" s="1"/>
  <c r="L361" i="4"/>
  <c r="H361" i="4"/>
  <c r="I361" i="4" s="1"/>
  <c r="F361" i="4"/>
  <c r="C361" i="4"/>
  <c r="AC360" i="4"/>
  <c r="AD360" i="4" s="1"/>
  <c r="AA360" i="4"/>
  <c r="X360" i="4"/>
  <c r="W360" i="4"/>
  <c r="U360" i="4"/>
  <c r="R360" i="4"/>
  <c r="O360" i="4"/>
  <c r="N360" i="4"/>
  <c r="L360" i="4"/>
  <c r="H360" i="4"/>
  <c r="I360" i="4" s="1"/>
  <c r="F360" i="4"/>
  <c r="C360" i="4"/>
  <c r="Z358" i="4"/>
  <c r="AA358" i="4" s="1"/>
  <c r="X358" i="4"/>
  <c r="W358" i="4"/>
  <c r="U358" i="4"/>
  <c r="T358" i="4"/>
  <c r="Q358" i="4"/>
  <c r="R358" i="4" s="1"/>
  <c r="K358" i="4"/>
  <c r="L358" i="4" s="1"/>
  <c r="H358" i="4"/>
  <c r="I358" i="4" s="1"/>
  <c r="E358" i="4"/>
  <c r="F358" i="4" s="1"/>
  <c r="B358" i="4"/>
  <c r="C358" i="4" s="1"/>
  <c r="AC357" i="4"/>
  <c r="AD357" i="4" s="1"/>
  <c r="AA357" i="4"/>
  <c r="W357" i="4"/>
  <c r="X357" i="4" s="1"/>
  <c r="U357" i="4"/>
  <c r="R357" i="4"/>
  <c r="O357" i="4"/>
  <c r="N357" i="4"/>
  <c r="L357" i="4"/>
  <c r="I357" i="4"/>
  <c r="H357" i="4"/>
  <c r="F357" i="4"/>
  <c r="C357" i="4"/>
  <c r="AC356" i="4"/>
  <c r="AD356" i="4" s="1"/>
  <c r="AA356" i="4"/>
  <c r="W356" i="4"/>
  <c r="X356" i="4" s="1"/>
  <c r="U356" i="4"/>
  <c r="R356" i="4"/>
  <c r="O356" i="4"/>
  <c r="N356" i="4"/>
  <c r="L356" i="4"/>
  <c r="I356" i="4"/>
  <c r="H356" i="4"/>
  <c r="F356" i="4"/>
  <c r="C356" i="4"/>
  <c r="AC355" i="4"/>
  <c r="AD355" i="4" s="1"/>
  <c r="AA355" i="4"/>
  <c r="W355" i="4"/>
  <c r="X355" i="4" s="1"/>
  <c r="U355" i="4"/>
  <c r="R355" i="4"/>
  <c r="O355" i="4"/>
  <c r="N355" i="4"/>
  <c r="L355" i="4"/>
  <c r="H355" i="4"/>
  <c r="I355" i="4" s="1"/>
  <c r="F355" i="4"/>
  <c r="C355" i="4"/>
  <c r="AC354" i="4"/>
  <c r="AD354" i="4" s="1"/>
  <c r="AA354" i="4"/>
  <c r="X354" i="4"/>
  <c r="W354" i="4"/>
  <c r="U354" i="4"/>
  <c r="R354" i="4"/>
  <c r="O354" i="4"/>
  <c r="N354" i="4"/>
  <c r="L354" i="4"/>
  <c r="I354" i="4"/>
  <c r="H354" i="4"/>
  <c r="F354" i="4"/>
  <c r="C354" i="4"/>
  <c r="AC353" i="4"/>
  <c r="AD353" i="4" s="1"/>
  <c r="AA353" i="4"/>
  <c r="W353" i="4"/>
  <c r="X353" i="4" s="1"/>
  <c r="U353" i="4"/>
  <c r="R353" i="4"/>
  <c r="N353" i="4"/>
  <c r="O353" i="4" s="1"/>
  <c r="L353" i="4"/>
  <c r="H353" i="4"/>
  <c r="I353" i="4" s="1"/>
  <c r="F353" i="4"/>
  <c r="C353" i="4"/>
  <c r="AC352" i="4"/>
  <c r="AD352" i="4" s="1"/>
  <c r="AA352" i="4"/>
  <c r="W352" i="4"/>
  <c r="X352" i="4" s="1"/>
  <c r="U352" i="4"/>
  <c r="R352" i="4"/>
  <c r="O352" i="4"/>
  <c r="N352" i="4"/>
  <c r="L352" i="4"/>
  <c r="H352" i="4"/>
  <c r="I352" i="4" s="1"/>
  <c r="F352" i="4"/>
  <c r="C352" i="4"/>
  <c r="AC351" i="4"/>
  <c r="AD351" i="4" s="1"/>
  <c r="AA351" i="4"/>
  <c r="X351" i="4"/>
  <c r="W351" i="4"/>
  <c r="U351" i="4"/>
  <c r="R351" i="4"/>
  <c r="N351" i="4"/>
  <c r="O351" i="4" s="1"/>
  <c r="L351" i="4"/>
  <c r="H351" i="4"/>
  <c r="I351" i="4" s="1"/>
  <c r="F351" i="4"/>
  <c r="C351" i="4"/>
  <c r="AC350" i="4"/>
  <c r="AD350" i="4" s="1"/>
  <c r="AA350" i="4"/>
  <c r="X350" i="4"/>
  <c r="W350" i="4"/>
  <c r="U350" i="4"/>
  <c r="R350" i="4"/>
  <c r="N350" i="4"/>
  <c r="O350" i="4" s="1"/>
  <c r="L350" i="4"/>
  <c r="H350" i="4"/>
  <c r="I350" i="4" s="1"/>
  <c r="F350" i="4"/>
  <c r="C350" i="4"/>
  <c r="AD349" i="4"/>
  <c r="AC349" i="4"/>
  <c r="AA349" i="4"/>
  <c r="X349" i="4"/>
  <c r="W349" i="4"/>
  <c r="U349" i="4"/>
  <c r="R349" i="4"/>
  <c r="N349" i="4"/>
  <c r="O349" i="4" s="1"/>
  <c r="L349" i="4"/>
  <c r="H349" i="4"/>
  <c r="I349" i="4" s="1"/>
  <c r="F349" i="4"/>
  <c r="C349" i="4"/>
  <c r="AC347" i="4"/>
  <c r="AD347" i="4" s="1"/>
  <c r="AA347" i="4"/>
  <c r="X347" i="4"/>
  <c r="W347" i="4"/>
  <c r="U347" i="4"/>
  <c r="R347" i="4"/>
  <c r="O347" i="4"/>
  <c r="N347" i="4"/>
  <c r="L347" i="4"/>
  <c r="H347" i="4"/>
  <c r="I347" i="4" s="1"/>
  <c r="F347" i="4"/>
  <c r="C347" i="4"/>
  <c r="AC344" i="4"/>
  <c r="AD344" i="4" s="1"/>
  <c r="AA344" i="4"/>
  <c r="Z344" i="4"/>
  <c r="T344" i="4"/>
  <c r="U344" i="4" s="1"/>
  <c r="R344" i="4"/>
  <c r="Q344" i="4"/>
  <c r="W344" i="4" s="1"/>
  <c r="X344" i="4" s="1"/>
  <c r="K344" i="4"/>
  <c r="L344" i="4" s="1"/>
  <c r="E344" i="4"/>
  <c r="F344" i="4" s="1"/>
  <c r="B344" i="4"/>
  <c r="C344" i="4" s="1"/>
  <c r="Z343" i="4"/>
  <c r="AA343" i="4" s="1"/>
  <c r="U343" i="4"/>
  <c r="T343" i="4"/>
  <c r="Q343" i="4"/>
  <c r="W343" i="4" s="1"/>
  <c r="X343" i="4" s="1"/>
  <c r="L343" i="4"/>
  <c r="K343" i="4"/>
  <c r="E343" i="4"/>
  <c r="F343" i="4" s="1"/>
  <c r="B343" i="4"/>
  <c r="C343" i="4" s="1"/>
  <c r="AC342" i="4"/>
  <c r="AD342" i="4" s="1"/>
  <c r="Z342" i="4"/>
  <c r="AA342" i="4" s="1"/>
  <c r="T342" i="4"/>
  <c r="U342" i="4" s="1"/>
  <c r="R342" i="4"/>
  <c r="Q342" i="4"/>
  <c r="W342" i="4" s="1"/>
  <c r="X342" i="4" s="1"/>
  <c r="K342" i="4"/>
  <c r="L342" i="4" s="1"/>
  <c r="E342" i="4"/>
  <c r="F342" i="4" s="1"/>
  <c r="B342" i="4"/>
  <c r="H342" i="4" s="1"/>
  <c r="I342" i="4" s="1"/>
  <c r="AC341" i="4"/>
  <c r="AD341" i="4" s="1"/>
  <c r="AA341" i="4"/>
  <c r="W341" i="4"/>
  <c r="X341" i="4" s="1"/>
  <c r="U341" i="4"/>
  <c r="R341" i="4"/>
  <c r="O341" i="4"/>
  <c r="N341" i="4"/>
  <c r="L341" i="4"/>
  <c r="I341" i="4"/>
  <c r="H341" i="4"/>
  <c r="F341" i="4"/>
  <c r="C341" i="4"/>
  <c r="AC340" i="4"/>
  <c r="AD340" i="4" s="1"/>
  <c r="AA340" i="4"/>
  <c r="W340" i="4"/>
  <c r="X340" i="4" s="1"/>
  <c r="U340" i="4"/>
  <c r="R340" i="4"/>
  <c r="O340" i="4"/>
  <c r="N340" i="4"/>
  <c r="L340" i="4"/>
  <c r="H340" i="4"/>
  <c r="I340" i="4" s="1"/>
  <c r="F340" i="4"/>
  <c r="C340" i="4"/>
  <c r="AC339" i="4"/>
  <c r="AD339" i="4" s="1"/>
  <c r="AA339" i="4"/>
  <c r="X339" i="4"/>
  <c r="W339" i="4"/>
  <c r="U339" i="4"/>
  <c r="R339" i="4"/>
  <c r="N339" i="4"/>
  <c r="O339" i="4" s="1"/>
  <c r="L339" i="4"/>
  <c r="H339" i="4"/>
  <c r="I339" i="4" s="1"/>
  <c r="F339" i="4"/>
  <c r="C339" i="4"/>
  <c r="AD338" i="4"/>
  <c r="AC338" i="4"/>
  <c r="AA338" i="4"/>
  <c r="X338" i="4"/>
  <c r="W338" i="4"/>
  <c r="U338" i="4"/>
  <c r="R338" i="4"/>
  <c r="N338" i="4"/>
  <c r="O338" i="4" s="1"/>
  <c r="L338" i="4"/>
  <c r="H338" i="4"/>
  <c r="I338" i="4" s="1"/>
  <c r="F338" i="4"/>
  <c r="C338" i="4"/>
  <c r="AC337" i="4"/>
  <c r="AD337" i="4" s="1"/>
  <c r="AA337" i="4"/>
  <c r="W337" i="4"/>
  <c r="X337" i="4" s="1"/>
  <c r="U337" i="4"/>
  <c r="R337" i="4"/>
  <c r="O337" i="4"/>
  <c r="N337" i="4"/>
  <c r="L337" i="4"/>
  <c r="I337" i="4"/>
  <c r="H337" i="4"/>
  <c r="F337" i="4"/>
  <c r="C337" i="4"/>
  <c r="AC335" i="4"/>
  <c r="AD335" i="4" s="1"/>
  <c r="AA335" i="4"/>
  <c r="W335" i="4"/>
  <c r="X335" i="4" s="1"/>
  <c r="U335" i="4"/>
  <c r="R335" i="4"/>
  <c r="O335" i="4"/>
  <c r="N335" i="4"/>
  <c r="L335" i="4"/>
  <c r="H335" i="4"/>
  <c r="I335" i="4" s="1"/>
  <c r="F335" i="4"/>
  <c r="C335" i="4"/>
  <c r="AC334" i="4"/>
  <c r="AD334" i="4" s="1"/>
  <c r="AA334" i="4"/>
  <c r="X334" i="4"/>
  <c r="W334" i="4"/>
  <c r="U334" i="4"/>
  <c r="R334" i="4"/>
  <c r="N334" i="4"/>
  <c r="O334" i="4" s="1"/>
  <c r="L334" i="4"/>
  <c r="H334" i="4"/>
  <c r="I334" i="4" s="1"/>
  <c r="F334" i="4"/>
  <c r="C334" i="4"/>
  <c r="AD333" i="4"/>
  <c r="AC333" i="4"/>
  <c r="AA333" i="4"/>
  <c r="X333" i="4"/>
  <c r="W333" i="4"/>
  <c r="U333" i="4"/>
  <c r="R333" i="4"/>
  <c r="N333" i="4"/>
  <c r="O333" i="4" s="1"/>
  <c r="L333" i="4"/>
  <c r="H333" i="4"/>
  <c r="I333" i="4" s="1"/>
  <c r="F333" i="4"/>
  <c r="C333" i="4"/>
  <c r="AC332" i="4"/>
  <c r="AD332" i="4" s="1"/>
  <c r="AA332" i="4"/>
  <c r="W332" i="4"/>
  <c r="X332" i="4" s="1"/>
  <c r="U332" i="4"/>
  <c r="R332" i="4"/>
  <c r="O332" i="4"/>
  <c r="N332" i="4"/>
  <c r="L332" i="4"/>
  <c r="I332" i="4"/>
  <c r="H332" i="4"/>
  <c r="F332" i="4"/>
  <c r="C332" i="4"/>
  <c r="AC331" i="4"/>
  <c r="AD331" i="4" s="1"/>
  <c r="AA331" i="4"/>
  <c r="W331" i="4"/>
  <c r="X331" i="4" s="1"/>
  <c r="U331" i="4"/>
  <c r="R331" i="4"/>
  <c r="O331" i="4"/>
  <c r="N331" i="4"/>
  <c r="L331" i="4"/>
  <c r="H331" i="4"/>
  <c r="I331" i="4" s="1"/>
  <c r="F331" i="4"/>
  <c r="C331" i="4"/>
  <c r="AC330" i="4"/>
  <c r="AD330" i="4" s="1"/>
  <c r="AA330" i="4"/>
  <c r="X330" i="4"/>
  <c r="W330" i="4"/>
  <c r="U330" i="4"/>
  <c r="R330" i="4"/>
  <c r="N330" i="4"/>
  <c r="O330" i="4" s="1"/>
  <c r="L330" i="4"/>
  <c r="H330" i="4"/>
  <c r="I330" i="4" s="1"/>
  <c r="F330" i="4"/>
  <c r="C330" i="4"/>
  <c r="AD329" i="4"/>
  <c r="AC329" i="4"/>
  <c r="AA329" i="4"/>
  <c r="X329" i="4"/>
  <c r="W329" i="4"/>
  <c r="U329" i="4"/>
  <c r="R329" i="4"/>
  <c r="N329" i="4"/>
  <c r="O329" i="4" s="1"/>
  <c r="L329" i="4"/>
  <c r="H329" i="4"/>
  <c r="I329" i="4" s="1"/>
  <c r="F329" i="4"/>
  <c r="C329" i="4"/>
  <c r="AC328" i="4"/>
  <c r="AD328" i="4" s="1"/>
  <c r="AA328" i="4"/>
  <c r="W328" i="4"/>
  <c r="X328" i="4" s="1"/>
  <c r="U328" i="4"/>
  <c r="R328" i="4"/>
  <c r="O328" i="4"/>
  <c r="N328" i="4"/>
  <c r="L328" i="4"/>
  <c r="I328" i="4"/>
  <c r="H328" i="4"/>
  <c r="F328" i="4"/>
  <c r="C328" i="4"/>
  <c r="Z325" i="4"/>
  <c r="AA325" i="4" s="1"/>
  <c r="T325" i="4"/>
  <c r="U325" i="4" s="1"/>
  <c r="Q325" i="4"/>
  <c r="W325" i="4" s="1"/>
  <c r="X325" i="4" s="1"/>
  <c r="L325" i="4"/>
  <c r="K325" i="4"/>
  <c r="E325" i="4"/>
  <c r="H325" i="4" s="1"/>
  <c r="I325" i="4" s="1"/>
  <c r="B325" i="4"/>
  <c r="N325" i="4" s="1"/>
  <c r="O325" i="4" s="1"/>
  <c r="Z324" i="4"/>
  <c r="AA324" i="4" s="1"/>
  <c r="W324" i="4"/>
  <c r="X324" i="4" s="1"/>
  <c r="T324" i="4"/>
  <c r="U324" i="4" s="1"/>
  <c r="R324" i="4"/>
  <c r="Q324" i="4"/>
  <c r="AC324" i="4" s="1"/>
  <c r="AD324" i="4" s="1"/>
  <c r="K324" i="4"/>
  <c r="L324" i="4" s="1"/>
  <c r="F324" i="4"/>
  <c r="E324" i="4"/>
  <c r="B324" i="4"/>
  <c r="H324" i="4" s="1"/>
  <c r="I324" i="4" s="1"/>
  <c r="AC323" i="4"/>
  <c r="AD323" i="4" s="1"/>
  <c r="AA323" i="4"/>
  <c r="W323" i="4"/>
  <c r="X323" i="4" s="1"/>
  <c r="U323" i="4"/>
  <c r="R323" i="4"/>
  <c r="O323" i="4"/>
  <c r="N323" i="4"/>
  <c r="L323" i="4"/>
  <c r="H323" i="4"/>
  <c r="I323" i="4" s="1"/>
  <c r="F323" i="4"/>
  <c r="C323" i="4"/>
  <c r="AC322" i="4"/>
  <c r="AD322" i="4" s="1"/>
  <c r="AA322" i="4"/>
  <c r="X322" i="4"/>
  <c r="W322" i="4"/>
  <c r="U322" i="4"/>
  <c r="R322" i="4"/>
  <c r="N322" i="4"/>
  <c r="O322" i="4" s="1"/>
  <c r="L322" i="4"/>
  <c r="H322" i="4"/>
  <c r="I322" i="4" s="1"/>
  <c r="F322" i="4"/>
  <c r="C322" i="4"/>
  <c r="AD321" i="4"/>
  <c r="AC321" i="4"/>
  <c r="AA321" i="4"/>
  <c r="X321" i="4"/>
  <c r="W321" i="4"/>
  <c r="U321" i="4"/>
  <c r="R321" i="4"/>
  <c r="N321" i="4"/>
  <c r="O321" i="4" s="1"/>
  <c r="L321" i="4"/>
  <c r="H321" i="4"/>
  <c r="I321" i="4" s="1"/>
  <c r="F321" i="4"/>
  <c r="C321" i="4"/>
  <c r="AC320" i="4"/>
  <c r="AD320" i="4" s="1"/>
  <c r="AA320" i="4"/>
  <c r="W320" i="4"/>
  <c r="X320" i="4" s="1"/>
  <c r="U320" i="4"/>
  <c r="R320" i="4"/>
  <c r="O320" i="4"/>
  <c r="N320" i="4"/>
  <c r="L320" i="4"/>
  <c r="I320" i="4"/>
  <c r="H320" i="4"/>
  <c r="F320" i="4"/>
  <c r="C320" i="4"/>
  <c r="AC319" i="4"/>
  <c r="AD319" i="4" s="1"/>
  <c r="AA319" i="4"/>
  <c r="W319" i="4"/>
  <c r="X319" i="4" s="1"/>
  <c r="U319" i="4"/>
  <c r="R319" i="4"/>
  <c r="O319" i="4"/>
  <c r="N319" i="4"/>
  <c r="L319" i="4"/>
  <c r="H319" i="4"/>
  <c r="I319" i="4" s="1"/>
  <c r="F319" i="4"/>
  <c r="C319" i="4"/>
  <c r="AC318" i="4"/>
  <c r="AD318" i="4" s="1"/>
  <c r="AA318" i="4"/>
  <c r="X318" i="4"/>
  <c r="W318" i="4"/>
  <c r="U318" i="4"/>
  <c r="R318" i="4"/>
  <c r="N318" i="4"/>
  <c r="O318" i="4" s="1"/>
  <c r="L318" i="4"/>
  <c r="H318" i="4"/>
  <c r="I318" i="4" s="1"/>
  <c r="F318" i="4"/>
  <c r="C318" i="4"/>
  <c r="AD317" i="4"/>
  <c r="AC317" i="4"/>
  <c r="AA317" i="4"/>
  <c r="X317" i="4"/>
  <c r="W317" i="4"/>
  <c r="U317" i="4"/>
  <c r="R317" i="4"/>
  <c r="N317" i="4"/>
  <c r="O317" i="4" s="1"/>
  <c r="L317" i="4"/>
  <c r="H317" i="4"/>
  <c r="I317" i="4" s="1"/>
  <c r="F317" i="4"/>
  <c r="C317" i="4"/>
  <c r="AC316" i="4"/>
  <c r="AD316" i="4" s="1"/>
  <c r="AA316" i="4"/>
  <c r="W316" i="4"/>
  <c r="X316" i="4" s="1"/>
  <c r="U316" i="4"/>
  <c r="R316" i="4"/>
  <c r="O316" i="4"/>
  <c r="N316" i="4"/>
  <c r="L316" i="4"/>
  <c r="I316" i="4"/>
  <c r="H316" i="4"/>
  <c r="F316" i="4"/>
  <c r="C316" i="4"/>
  <c r="AC315" i="4"/>
  <c r="AD315" i="4" s="1"/>
  <c r="AA315" i="4"/>
  <c r="W315" i="4"/>
  <c r="X315" i="4" s="1"/>
  <c r="U315" i="4"/>
  <c r="R315" i="4"/>
  <c r="O315" i="4"/>
  <c r="N315" i="4"/>
  <c r="L315" i="4"/>
  <c r="H315" i="4"/>
  <c r="I315" i="4" s="1"/>
  <c r="F315" i="4"/>
  <c r="C315" i="4"/>
  <c r="AC314" i="4"/>
  <c r="AD314" i="4" s="1"/>
  <c r="AA314" i="4"/>
  <c r="X314" i="4"/>
  <c r="W314" i="4"/>
  <c r="U314" i="4"/>
  <c r="R314" i="4"/>
  <c r="N314" i="4"/>
  <c r="O314" i="4" s="1"/>
  <c r="L314" i="4"/>
  <c r="H314" i="4"/>
  <c r="I314" i="4" s="1"/>
  <c r="F314" i="4"/>
  <c r="C314" i="4"/>
  <c r="AD313" i="4"/>
  <c r="AC313" i="4"/>
  <c r="AA313" i="4"/>
  <c r="X313" i="4"/>
  <c r="W313" i="4"/>
  <c r="U313" i="4"/>
  <c r="R313" i="4"/>
  <c r="N313" i="4"/>
  <c r="O313" i="4" s="1"/>
  <c r="L313" i="4"/>
  <c r="H313" i="4"/>
  <c r="I313" i="4" s="1"/>
  <c r="F313" i="4"/>
  <c r="C313" i="4"/>
  <c r="AC312" i="4"/>
  <c r="AD312" i="4" s="1"/>
  <c r="AA312" i="4"/>
  <c r="W312" i="4"/>
  <c r="X312" i="4" s="1"/>
  <c r="U312" i="4"/>
  <c r="R312" i="4"/>
  <c r="O312" i="4"/>
  <c r="N312" i="4"/>
  <c r="L312" i="4"/>
  <c r="I312" i="4"/>
  <c r="H312" i="4"/>
  <c r="F312" i="4"/>
  <c r="C312" i="4"/>
  <c r="AC311" i="4"/>
  <c r="AD311" i="4" s="1"/>
  <c r="AA311" i="4"/>
  <c r="W311" i="4"/>
  <c r="X311" i="4" s="1"/>
  <c r="U311" i="4"/>
  <c r="R311" i="4"/>
  <c r="O311" i="4"/>
  <c r="N311" i="4"/>
  <c r="L311" i="4"/>
  <c r="H311" i="4"/>
  <c r="I311" i="4" s="1"/>
  <c r="F311" i="4"/>
  <c r="C311" i="4"/>
  <c r="AC310" i="4"/>
  <c r="AD310" i="4" s="1"/>
  <c r="AA310" i="4"/>
  <c r="X310" i="4"/>
  <c r="W310" i="4"/>
  <c r="U310" i="4"/>
  <c r="R310" i="4"/>
  <c r="N310" i="4"/>
  <c r="O310" i="4" s="1"/>
  <c r="L310" i="4"/>
  <c r="H310" i="4"/>
  <c r="I310" i="4" s="1"/>
  <c r="F310" i="4"/>
  <c r="C310" i="4"/>
  <c r="AD309" i="4"/>
  <c r="AC309" i="4"/>
  <c r="AA309" i="4"/>
  <c r="X309" i="4"/>
  <c r="W309" i="4"/>
  <c r="U309" i="4"/>
  <c r="R309" i="4"/>
  <c r="N309" i="4"/>
  <c r="O309" i="4" s="1"/>
  <c r="L309" i="4"/>
  <c r="H309" i="4"/>
  <c r="I309" i="4" s="1"/>
  <c r="F309" i="4"/>
  <c r="C309" i="4"/>
  <c r="AC308" i="4"/>
  <c r="AD308" i="4" s="1"/>
  <c r="AA308" i="4"/>
  <c r="W308" i="4"/>
  <c r="X308" i="4" s="1"/>
  <c r="U308" i="4"/>
  <c r="R308" i="4"/>
  <c r="O308" i="4"/>
  <c r="N308" i="4"/>
  <c r="L308" i="4"/>
  <c r="I308" i="4"/>
  <c r="H308" i="4"/>
  <c r="F308" i="4"/>
  <c r="C308" i="4"/>
  <c r="AC307" i="4"/>
  <c r="AD307" i="4" s="1"/>
  <c r="AA307" i="4"/>
  <c r="W307" i="4"/>
  <c r="X307" i="4" s="1"/>
  <c r="U307" i="4"/>
  <c r="R307" i="4"/>
  <c r="O307" i="4"/>
  <c r="N307" i="4"/>
  <c r="L307" i="4"/>
  <c r="H307" i="4"/>
  <c r="I307" i="4" s="1"/>
  <c r="F307" i="4"/>
  <c r="C307" i="4"/>
  <c r="AC306" i="4"/>
  <c r="AD306" i="4" s="1"/>
  <c r="AA306" i="4"/>
  <c r="X306" i="4"/>
  <c r="W306" i="4"/>
  <c r="U306" i="4"/>
  <c r="R306" i="4"/>
  <c r="N306" i="4"/>
  <c r="O306" i="4" s="1"/>
  <c r="L306" i="4"/>
  <c r="H306" i="4"/>
  <c r="I306" i="4" s="1"/>
  <c r="F306" i="4"/>
  <c r="C306" i="4"/>
  <c r="AD305" i="4"/>
  <c r="AC305" i="4"/>
  <c r="AA305" i="4"/>
  <c r="X305" i="4"/>
  <c r="W305" i="4"/>
  <c r="U305" i="4"/>
  <c r="R305" i="4"/>
  <c r="N305" i="4"/>
  <c r="O305" i="4" s="1"/>
  <c r="L305" i="4"/>
  <c r="H305" i="4"/>
  <c r="I305" i="4" s="1"/>
  <c r="F305" i="4"/>
  <c r="C305" i="4"/>
  <c r="AC304" i="4"/>
  <c r="AD304" i="4" s="1"/>
  <c r="AA304" i="4"/>
  <c r="W304" i="4"/>
  <c r="X304" i="4" s="1"/>
  <c r="U304" i="4"/>
  <c r="R304" i="4"/>
  <c r="O304" i="4"/>
  <c r="N304" i="4"/>
  <c r="L304" i="4"/>
  <c r="I304" i="4"/>
  <c r="H304" i="4"/>
  <c r="F304" i="4"/>
  <c r="C304" i="4"/>
  <c r="AC303" i="4"/>
  <c r="AD303" i="4" s="1"/>
  <c r="AA303" i="4"/>
  <c r="W303" i="4"/>
  <c r="X303" i="4" s="1"/>
  <c r="U303" i="4"/>
  <c r="R303" i="4"/>
  <c r="O303" i="4"/>
  <c r="N303" i="4"/>
  <c r="L303" i="4"/>
  <c r="H303" i="4"/>
  <c r="I303" i="4" s="1"/>
  <c r="F303" i="4"/>
  <c r="C303" i="4"/>
  <c r="AC302" i="4"/>
  <c r="AD302" i="4" s="1"/>
  <c r="AA302" i="4"/>
  <c r="X302" i="4"/>
  <c r="W302" i="4"/>
  <c r="U302" i="4"/>
  <c r="R302" i="4"/>
  <c r="N302" i="4"/>
  <c r="O302" i="4" s="1"/>
  <c r="L302" i="4"/>
  <c r="H302" i="4"/>
  <c r="I302" i="4" s="1"/>
  <c r="F302" i="4"/>
  <c r="C302" i="4"/>
  <c r="AD301" i="4"/>
  <c r="AC301" i="4"/>
  <c r="AA301" i="4"/>
  <c r="X301" i="4"/>
  <c r="W301" i="4"/>
  <c r="U301" i="4"/>
  <c r="R301" i="4"/>
  <c r="N301" i="4"/>
  <c r="O301" i="4" s="1"/>
  <c r="L301" i="4"/>
  <c r="H301" i="4"/>
  <c r="I301" i="4" s="1"/>
  <c r="F301" i="4"/>
  <c r="C301" i="4"/>
  <c r="AC300" i="4"/>
  <c r="AD300" i="4" s="1"/>
  <c r="AA300" i="4"/>
  <c r="W300" i="4"/>
  <c r="X300" i="4" s="1"/>
  <c r="U300" i="4"/>
  <c r="R300" i="4"/>
  <c r="O300" i="4"/>
  <c r="N300" i="4"/>
  <c r="L300" i="4"/>
  <c r="I300" i="4"/>
  <c r="H300" i="4"/>
  <c r="F300" i="4"/>
  <c r="C300" i="4"/>
  <c r="AC299" i="4"/>
  <c r="AD299" i="4" s="1"/>
  <c r="AA299" i="4"/>
  <c r="W299" i="4"/>
  <c r="X299" i="4" s="1"/>
  <c r="U299" i="4"/>
  <c r="R299" i="4"/>
  <c r="O299" i="4"/>
  <c r="N299" i="4"/>
  <c r="L299" i="4"/>
  <c r="H299" i="4"/>
  <c r="I299" i="4" s="1"/>
  <c r="F299" i="4"/>
  <c r="C299" i="4"/>
  <c r="AC298" i="4"/>
  <c r="AD298" i="4" s="1"/>
  <c r="AA298" i="4"/>
  <c r="X298" i="4"/>
  <c r="W298" i="4"/>
  <c r="U298" i="4"/>
  <c r="R298" i="4"/>
  <c r="N298" i="4"/>
  <c r="O298" i="4" s="1"/>
  <c r="L298" i="4"/>
  <c r="H298" i="4"/>
  <c r="I298" i="4" s="1"/>
  <c r="F298" i="4"/>
  <c r="C298" i="4"/>
  <c r="AD297" i="4"/>
  <c r="AC297" i="4"/>
  <c r="AA297" i="4"/>
  <c r="X297" i="4"/>
  <c r="W297" i="4"/>
  <c r="U297" i="4"/>
  <c r="R297" i="4"/>
  <c r="N297" i="4"/>
  <c r="O297" i="4" s="1"/>
  <c r="L297" i="4"/>
  <c r="H297" i="4"/>
  <c r="I297" i="4" s="1"/>
  <c r="F297" i="4"/>
  <c r="C297" i="4"/>
  <c r="AA295" i="4"/>
  <c r="Z295" i="4"/>
  <c r="U295" i="4"/>
  <c r="T295" i="4"/>
  <c r="W295" i="4" s="1"/>
  <c r="X295" i="4" s="1"/>
  <c r="Q295" i="4"/>
  <c r="AC295" i="4" s="1"/>
  <c r="AD295" i="4" s="1"/>
  <c r="K295" i="4"/>
  <c r="L295" i="4" s="1"/>
  <c r="I295" i="4"/>
  <c r="H295" i="4"/>
  <c r="E295" i="4"/>
  <c r="F295" i="4" s="1"/>
  <c r="C295" i="4"/>
  <c r="B295" i="4"/>
  <c r="N295" i="4" s="1"/>
  <c r="O295" i="4" s="1"/>
  <c r="AD294" i="4"/>
  <c r="AC294" i="4"/>
  <c r="AA294" i="4"/>
  <c r="X294" i="4"/>
  <c r="W294" i="4"/>
  <c r="U294" i="4"/>
  <c r="R294" i="4"/>
  <c r="N294" i="4"/>
  <c r="O294" i="4" s="1"/>
  <c r="L294" i="4"/>
  <c r="H294" i="4"/>
  <c r="I294" i="4" s="1"/>
  <c r="F294" i="4"/>
  <c r="C294" i="4"/>
  <c r="AD293" i="4"/>
  <c r="AC293" i="4"/>
  <c r="AA293" i="4"/>
  <c r="X293" i="4"/>
  <c r="W293" i="4"/>
  <c r="U293" i="4"/>
  <c r="R293" i="4"/>
  <c r="N293" i="4"/>
  <c r="O293" i="4" s="1"/>
  <c r="L293" i="4"/>
  <c r="H293" i="4"/>
  <c r="I293" i="4" s="1"/>
  <c r="F293" i="4"/>
  <c r="C293" i="4"/>
  <c r="AC292" i="4"/>
  <c r="AD292" i="4" s="1"/>
  <c r="AA292" i="4"/>
  <c r="W292" i="4"/>
  <c r="X292" i="4" s="1"/>
  <c r="U292" i="4"/>
  <c r="R292" i="4"/>
  <c r="O292" i="4"/>
  <c r="N292" i="4"/>
  <c r="L292" i="4"/>
  <c r="I292" i="4"/>
  <c r="H292" i="4"/>
  <c r="F292" i="4"/>
  <c r="C292" i="4"/>
  <c r="AC291" i="4"/>
  <c r="AD291" i="4" s="1"/>
  <c r="AA291" i="4"/>
  <c r="W291" i="4"/>
  <c r="X291" i="4" s="1"/>
  <c r="U291" i="4"/>
  <c r="R291" i="4"/>
  <c r="N291" i="4"/>
  <c r="O291" i="4" s="1"/>
  <c r="L291" i="4"/>
  <c r="H291" i="4"/>
  <c r="I291" i="4" s="1"/>
  <c r="F291" i="4"/>
  <c r="C291" i="4"/>
  <c r="AC290" i="4"/>
  <c r="AD290" i="4" s="1"/>
  <c r="AA290" i="4"/>
  <c r="X290" i="4"/>
  <c r="W290" i="4"/>
  <c r="U290" i="4"/>
  <c r="R290" i="4"/>
  <c r="N290" i="4"/>
  <c r="O290" i="4" s="1"/>
  <c r="L290" i="4"/>
  <c r="I290" i="4"/>
  <c r="H290" i="4"/>
  <c r="F290" i="4"/>
  <c r="C290" i="4"/>
  <c r="AD289" i="4"/>
  <c r="AC289" i="4"/>
  <c r="AA289" i="4"/>
  <c r="W289" i="4"/>
  <c r="X289" i="4" s="1"/>
  <c r="U289" i="4"/>
  <c r="R289" i="4"/>
  <c r="N289" i="4"/>
  <c r="O289" i="4" s="1"/>
  <c r="L289" i="4"/>
  <c r="I289" i="4"/>
  <c r="H289" i="4"/>
  <c r="F289" i="4"/>
  <c r="C289" i="4"/>
  <c r="AC288" i="4"/>
  <c r="AD288" i="4" s="1"/>
  <c r="AA288" i="4"/>
  <c r="W288" i="4"/>
  <c r="X288" i="4" s="1"/>
  <c r="U288" i="4"/>
  <c r="R288" i="4"/>
  <c r="O288" i="4"/>
  <c r="N288" i="4"/>
  <c r="L288" i="4"/>
  <c r="I288" i="4"/>
  <c r="H288" i="4"/>
  <c r="F288" i="4"/>
  <c r="C288" i="4"/>
  <c r="AD287" i="4"/>
  <c r="AC287" i="4"/>
  <c r="AA287" i="4"/>
  <c r="W287" i="4"/>
  <c r="X287" i="4" s="1"/>
  <c r="U287" i="4"/>
  <c r="R287" i="4"/>
  <c r="O287" i="4"/>
  <c r="N287" i="4"/>
  <c r="L287" i="4"/>
  <c r="H287" i="4"/>
  <c r="I287" i="4" s="1"/>
  <c r="F287" i="4"/>
  <c r="C287" i="4"/>
  <c r="AC286" i="4"/>
  <c r="AD286" i="4" s="1"/>
  <c r="AA286" i="4"/>
  <c r="X286" i="4"/>
  <c r="W286" i="4"/>
  <c r="U286" i="4"/>
  <c r="R286" i="4"/>
  <c r="N286" i="4"/>
  <c r="O286" i="4" s="1"/>
  <c r="L286" i="4"/>
  <c r="H286" i="4"/>
  <c r="I286" i="4" s="1"/>
  <c r="F286" i="4"/>
  <c r="C286" i="4"/>
  <c r="Z284" i="4"/>
  <c r="AA284" i="4" s="1"/>
  <c r="X284" i="4"/>
  <c r="W284" i="4"/>
  <c r="T284" i="4"/>
  <c r="U284" i="4" s="1"/>
  <c r="R284" i="4"/>
  <c r="Q284" i="4"/>
  <c r="AC284" i="4" s="1"/>
  <c r="AD284" i="4" s="1"/>
  <c r="K284" i="4"/>
  <c r="L284" i="4" s="1"/>
  <c r="F284" i="4"/>
  <c r="E284" i="4"/>
  <c r="B284" i="4"/>
  <c r="H284" i="4" s="1"/>
  <c r="I284" i="4" s="1"/>
  <c r="AD283" i="4"/>
  <c r="AC283" i="4"/>
  <c r="AA283" i="4"/>
  <c r="W283" i="4"/>
  <c r="X283" i="4" s="1"/>
  <c r="U283" i="4"/>
  <c r="R283" i="4"/>
  <c r="N283" i="4"/>
  <c r="O283" i="4" s="1"/>
  <c r="L283" i="4"/>
  <c r="H283" i="4"/>
  <c r="I283" i="4" s="1"/>
  <c r="F283" i="4"/>
  <c r="C283" i="4"/>
  <c r="AC282" i="4"/>
  <c r="AD282" i="4" s="1"/>
  <c r="AA282" i="4"/>
  <c r="X282" i="4"/>
  <c r="W282" i="4"/>
  <c r="U282" i="4"/>
  <c r="R282" i="4"/>
  <c r="N282" i="4"/>
  <c r="O282" i="4" s="1"/>
  <c r="L282" i="4"/>
  <c r="I282" i="4"/>
  <c r="H282" i="4"/>
  <c r="F282" i="4"/>
  <c r="C282" i="4"/>
  <c r="AD281" i="4"/>
  <c r="AC281" i="4"/>
  <c r="AA281" i="4"/>
  <c r="W281" i="4"/>
  <c r="X281" i="4" s="1"/>
  <c r="U281" i="4"/>
  <c r="R281" i="4"/>
  <c r="N281" i="4"/>
  <c r="O281" i="4" s="1"/>
  <c r="L281" i="4"/>
  <c r="H281" i="4"/>
  <c r="I281" i="4" s="1"/>
  <c r="F281" i="4"/>
  <c r="C281" i="4"/>
  <c r="AC280" i="4"/>
  <c r="AD280" i="4" s="1"/>
  <c r="AA280" i="4"/>
  <c r="W280" i="4"/>
  <c r="X280" i="4" s="1"/>
  <c r="U280" i="4"/>
  <c r="R280" i="4"/>
  <c r="O280" i="4"/>
  <c r="N280" i="4"/>
  <c r="L280" i="4"/>
  <c r="I280" i="4"/>
  <c r="H280" i="4"/>
  <c r="F280" i="4"/>
  <c r="C280" i="4"/>
  <c r="AC279" i="4"/>
  <c r="AD279" i="4" s="1"/>
  <c r="AA279" i="4"/>
  <c r="W279" i="4"/>
  <c r="X279" i="4" s="1"/>
  <c r="U279" i="4"/>
  <c r="R279" i="4"/>
  <c r="O279" i="4"/>
  <c r="N279" i="4"/>
  <c r="L279" i="4"/>
  <c r="H279" i="4"/>
  <c r="I279" i="4" s="1"/>
  <c r="F279" i="4"/>
  <c r="C279" i="4"/>
  <c r="AC278" i="4"/>
  <c r="AD278" i="4" s="1"/>
  <c r="AA278" i="4"/>
  <c r="X278" i="4"/>
  <c r="W278" i="4"/>
  <c r="U278" i="4"/>
  <c r="R278" i="4"/>
  <c r="N278" i="4"/>
  <c r="O278" i="4" s="1"/>
  <c r="L278" i="4"/>
  <c r="H278" i="4"/>
  <c r="I278" i="4" s="1"/>
  <c r="F278" i="4"/>
  <c r="C278" i="4"/>
  <c r="AD277" i="4"/>
  <c r="AC277" i="4"/>
  <c r="AA277" i="4"/>
  <c r="W277" i="4"/>
  <c r="X277" i="4" s="1"/>
  <c r="U277" i="4"/>
  <c r="R277" i="4"/>
  <c r="N277" i="4"/>
  <c r="O277" i="4" s="1"/>
  <c r="L277" i="4"/>
  <c r="H277" i="4"/>
  <c r="I277" i="4" s="1"/>
  <c r="F277" i="4"/>
  <c r="C277" i="4"/>
  <c r="AC276" i="4"/>
  <c r="AD276" i="4" s="1"/>
  <c r="AA276" i="4"/>
  <c r="W276" i="4"/>
  <c r="X276" i="4" s="1"/>
  <c r="U276" i="4"/>
  <c r="R276" i="4"/>
  <c r="O276" i="4"/>
  <c r="N276" i="4"/>
  <c r="L276" i="4"/>
  <c r="I276" i="4"/>
  <c r="H276" i="4"/>
  <c r="F276" i="4"/>
  <c r="C276" i="4"/>
  <c r="AC275" i="4"/>
  <c r="AD275" i="4" s="1"/>
  <c r="AA275" i="4"/>
  <c r="W275" i="4"/>
  <c r="X275" i="4" s="1"/>
  <c r="U275" i="4"/>
  <c r="R275" i="4"/>
  <c r="N275" i="4"/>
  <c r="O275" i="4" s="1"/>
  <c r="L275" i="4"/>
  <c r="H275" i="4"/>
  <c r="I275" i="4" s="1"/>
  <c r="F275" i="4"/>
  <c r="C275" i="4"/>
  <c r="Z273" i="4"/>
  <c r="AA273" i="4" s="1"/>
  <c r="U273" i="4"/>
  <c r="T273" i="4"/>
  <c r="Q273" i="4"/>
  <c r="W273" i="4" s="1"/>
  <c r="X273" i="4" s="1"/>
  <c r="K273" i="4"/>
  <c r="L273" i="4" s="1"/>
  <c r="F273" i="4"/>
  <c r="E273" i="4"/>
  <c r="C273" i="4"/>
  <c r="B273" i="4"/>
  <c r="H273" i="4" s="1"/>
  <c r="I273" i="4" s="1"/>
  <c r="AC272" i="4"/>
  <c r="AD272" i="4" s="1"/>
  <c r="AA272" i="4"/>
  <c r="W272" i="4"/>
  <c r="X272" i="4" s="1"/>
  <c r="U272" i="4"/>
  <c r="R272" i="4"/>
  <c r="O272" i="4"/>
  <c r="N272" i="4"/>
  <c r="L272" i="4"/>
  <c r="I272" i="4"/>
  <c r="H272" i="4"/>
  <c r="F272" i="4"/>
  <c r="C272" i="4"/>
  <c r="AD271" i="4"/>
  <c r="AC271" i="4"/>
  <c r="AA271" i="4"/>
  <c r="W271" i="4"/>
  <c r="X271" i="4" s="1"/>
  <c r="U271" i="4"/>
  <c r="R271" i="4"/>
  <c r="N271" i="4"/>
  <c r="O271" i="4" s="1"/>
  <c r="L271" i="4"/>
  <c r="H271" i="4"/>
  <c r="I271" i="4" s="1"/>
  <c r="F271" i="4"/>
  <c r="C271" i="4"/>
  <c r="AC270" i="4"/>
  <c r="AD270" i="4" s="1"/>
  <c r="AA270" i="4"/>
  <c r="X270" i="4"/>
  <c r="W270" i="4"/>
  <c r="U270" i="4"/>
  <c r="R270" i="4"/>
  <c r="N270" i="4"/>
  <c r="O270" i="4" s="1"/>
  <c r="L270" i="4"/>
  <c r="I270" i="4"/>
  <c r="H270" i="4"/>
  <c r="F270" i="4"/>
  <c r="C270" i="4"/>
  <c r="AD269" i="4"/>
  <c r="AC269" i="4"/>
  <c r="AA269" i="4"/>
  <c r="W269" i="4"/>
  <c r="X269" i="4" s="1"/>
  <c r="U269" i="4"/>
  <c r="R269" i="4"/>
  <c r="N269" i="4"/>
  <c r="O269" i="4" s="1"/>
  <c r="L269" i="4"/>
  <c r="H269" i="4"/>
  <c r="I269" i="4" s="1"/>
  <c r="F269" i="4"/>
  <c r="C269" i="4"/>
  <c r="AA267" i="4"/>
  <c r="Z267" i="4"/>
  <c r="T267" i="4"/>
  <c r="W267" i="4" s="1"/>
  <c r="X267" i="4" s="1"/>
  <c r="Q267" i="4"/>
  <c r="AC267" i="4" s="1"/>
  <c r="AD267" i="4" s="1"/>
  <c r="L267" i="4"/>
  <c r="K267" i="4"/>
  <c r="H267" i="4"/>
  <c r="I267" i="4" s="1"/>
  <c r="E267" i="4"/>
  <c r="F267" i="4" s="1"/>
  <c r="C267" i="4"/>
  <c r="B267" i="4"/>
  <c r="N267" i="4" s="1"/>
  <c r="O267" i="4" s="1"/>
  <c r="AC266" i="4"/>
  <c r="AD266" i="4" s="1"/>
  <c r="AA266" i="4"/>
  <c r="X266" i="4"/>
  <c r="W266" i="4"/>
  <c r="U266" i="4"/>
  <c r="R266" i="4"/>
  <c r="N266" i="4"/>
  <c r="O266" i="4" s="1"/>
  <c r="L266" i="4"/>
  <c r="I266" i="4"/>
  <c r="H266" i="4"/>
  <c r="F266" i="4"/>
  <c r="C266" i="4"/>
  <c r="AD265" i="4"/>
  <c r="AC265" i="4"/>
  <c r="AA265" i="4"/>
  <c r="W265" i="4"/>
  <c r="X265" i="4" s="1"/>
  <c r="U265" i="4"/>
  <c r="R265" i="4"/>
  <c r="N265" i="4"/>
  <c r="O265" i="4" s="1"/>
  <c r="L265" i="4"/>
  <c r="H265" i="4"/>
  <c r="I265" i="4" s="1"/>
  <c r="F265" i="4"/>
  <c r="C265" i="4"/>
  <c r="AA263" i="4"/>
  <c r="Z263" i="4"/>
  <c r="T263" i="4"/>
  <c r="W263" i="4" s="1"/>
  <c r="X263" i="4" s="1"/>
  <c r="Q263" i="4"/>
  <c r="AC263" i="4" s="1"/>
  <c r="AD263" i="4" s="1"/>
  <c r="L263" i="4"/>
  <c r="K263" i="4"/>
  <c r="H263" i="4"/>
  <c r="I263" i="4" s="1"/>
  <c r="E263" i="4"/>
  <c r="F263" i="4" s="1"/>
  <c r="C263" i="4"/>
  <c r="B263" i="4"/>
  <c r="N263" i="4" s="1"/>
  <c r="O263" i="4" s="1"/>
  <c r="AC262" i="4"/>
  <c r="AD262" i="4" s="1"/>
  <c r="Z262" i="4"/>
  <c r="AA262" i="4" s="1"/>
  <c r="U262" i="4"/>
  <c r="T262" i="4"/>
  <c r="Q262" i="4"/>
  <c r="W262" i="4" s="1"/>
  <c r="X262" i="4" s="1"/>
  <c r="N262" i="4"/>
  <c r="O262" i="4" s="1"/>
  <c r="K262" i="4"/>
  <c r="L262" i="4" s="1"/>
  <c r="E262" i="4"/>
  <c r="F262" i="4" s="1"/>
  <c r="B262" i="4"/>
  <c r="H262" i="4" s="1"/>
  <c r="I262" i="4" s="1"/>
  <c r="AC261" i="4"/>
  <c r="AD261" i="4" s="1"/>
  <c r="AA261" i="4"/>
  <c r="W261" i="4"/>
  <c r="X261" i="4" s="1"/>
  <c r="U261" i="4"/>
  <c r="R261" i="4"/>
  <c r="O261" i="4"/>
  <c r="N261" i="4"/>
  <c r="L261" i="4"/>
  <c r="I261" i="4"/>
  <c r="H261" i="4"/>
  <c r="F261" i="4"/>
  <c r="C261" i="4"/>
  <c r="AC260" i="4"/>
  <c r="AD260" i="4" s="1"/>
  <c r="AA260" i="4"/>
  <c r="W260" i="4"/>
  <c r="X260" i="4" s="1"/>
  <c r="U260" i="4"/>
  <c r="R260" i="4"/>
  <c r="O260" i="4"/>
  <c r="N260" i="4"/>
  <c r="L260" i="4"/>
  <c r="H260" i="4"/>
  <c r="I260" i="4" s="1"/>
  <c r="F260" i="4"/>
  <c r="C260" i="4"/>
  <c r="AD259" i="4"/>
  <c r="AC259" i="4"/>
  <c r="AA259" i="4"/>
  <c r="X259" i="4"/>
  <c r="W259" i="4"/>
  <c r="U259" i="4"/>
  <c r="R259" i="4"/>
  <c r="N259" i="4"/>
  <c r="O259" i="4" s="1"/>
  <c r="L259" i="4"/>
  <c r="H259" i="4"/>
  <c r="I259" i="4" s="1"/>
  <c r="F259" i="4"/>
  <c r="C259" i="4"/>
  <c r="AD258" i="4"/>
  <c r="AC258" i="4"/>
  <c r="AA258" i="4"/>
  <c r="X258" i="4"/>
  <c r="W258" i="4"/>
  <c r="U258" i="4"/>
  <c r="R258" i="4"/>
  <c r="N258" i="4"/>
  <c r="O258" i="4" s="1"/>
  <c r="L258" i="4"/>
  <c r="H258" i="4"/>
  <c r="I258" i="4" s="1"/>
  <c r="F258" i="4"/>
  <c r="C258" i="4"/>
  <c r="AC257" i="4"/>
  <c r="AD257" i="4" s="1"/>
  <c r="AA257" i="4"/>
  <c r="W257" i="4"/>
  <c r="X257" i="4" s="1"/>
  <c r="U257" i="4"/>
  <c r="R257" i="4"/>
  <c r="O257" i="4"/>
  <c r="N257" i="4"/>
  <c r="L257" i="4"/>
  <c r="I257" i="4"/>
  <c r="H257" i="4"/>
  <c r="F257" i="4"/>
  <c r="C257" i="4"/>
  <c r="AC256" i="4"/>
  <c r="AD256" i="4" s="1"/>
  <c r="AA256" i="4"/>
  <c r="W256" i="4"/>
  <c r="X256" i="4" s="1"/>
  <c r="U256" i="4"/>
  <c r="R256" i="4"/>
  <c r="N256" i="4"/>
  <c r="O256" i="4" s="1"/>
  <c r="L256" i="4"/>
  <c r="H256" i="4"/>
  <c r="I256" i="4" s="1"/>
  <c r="F256" i="4"/>
  <c r="C256" i="4"/>
  <c r="AD255" i="4"/>
  <c r="AC255" i="4"/>
  <c r="AA255" i="4"/>
  <c r="X255" i="4"/>
  <c r="W255" i="4"/>
  <c r="U255" i="4"/>
  <c r="R255" i="4"/>
  <c r="N255" i="4"/>
  <c r="O255" i="4" s="1"/>
  <c r="L255" i="4"/>
  <c r="H255" i="4"/>
  <c r="I255" i="4" s="1"/>
  <c r="F255" i="4"/>
  <c r="C255" i="4"/>
  <c r="AD254" i="4"/>
  <c r="AC254" i="4"/>
  <c r="AA254" i="4"/>
  <c r="X254" i="4"/>
  <c r="W254" i="4"/>
  <c r="U254" i="4"/>
  <c r="R254" i="4"/>
  <c r="N254" i="4"/>
  <c r="O254" i="4" s="1"/>
  <c r="L254" i="4"/>
  <c r="I254" i="4"/>
  <c r="H254" i="4"/>
  <c r="F254" i="4"/>
  <c r="C254" i="4"/>
  <c r="AC253" i="4"/>
  <c r="AD253" i="4" s="1"/>
  <c r="AA253" i="4"/>
  <c r="W253" i="4"/>
  <c r="X253" i="4" s="1"/>
  <c r="U253" i="4"/>
  <c r="R253" i="4"/>
  <c r="O253" i="4"/>
  <c r="N253" i="4"/>
  <c r="L253" i="4"/>
  <c r="I253" i="4"/>
  <c r="H253" i="4"/>
  <c r="F253" i="4"/>
  <c r="C253" i="4"/>
  <c r="AD252" i="4"/>
  <c r="AC252" i="4"/>
  <c r="AA252" i="4"/>
  <c r="W252" i="4"/>
  <c r="X252" i="4" s="1"/>
  <c r="U252" i="4"/>
  <c r="R252" i="4"/>
  <c r="N252" i="4"/>
  <c r="O252" i="4" s="1"/>
  <c r="L252" i="4"/>
  <c r="H252" i="4"/>
  <c r="I252" i="4" s="1"/>
  <c r="F252" i="4"/>
  <c r="C252" i="4"/>
  <c r="AC251" i="4"/>
  <c r="AD251" i="4" s="1"/>
  <c r="AA251" i="4"/>
  <c r="X251" i="4"/>
  <c r="W251" i="4"/>
  <c r="U251" i="4"/>
  <c r="R251" i="4"/>
  <c r="N251" i="4"/>
  <c r="O251" i="4" s="1"/>
  <c r="L251" i="4"/>
  <c r="I251" i="4"/>
  <c r="H251" i="4"/>
  <c r="F251" i="4"/>
  <c r="C251" i="4"/>
  <c r="AD250" i="4"/>
  <c r="AC250" i="4"/>
  <c r="AA250" i="4"/>
  <c r="W250" i="4"/>
  <c r="X250" i="4" s="1"/>
  <c r="U250" i="4"/>
  <c r="R250" i="4"/>
  <c r="N250" i="4"/>
  <c r="O250" i="4" s="1"/>
  <c r="L250" i="4"/>
  <c r="I250" i="4"/>
  <c r="H250" i="4"/>
  <c r="F250" i="4"/>
  <c r="C250" i="4"/>
  <c r="AC249" i="4"/>
  <c r="AD249" i="4" s="1"/>
  <c r="AA249" i="4"/>
  <c r="W249" i="4"/>
  <c r="X249" i="4" s="1"/>
  <c r="U249" i="4"/>
  <c r="R249" i="4"/>
  <c r="O249" i="4"/>
  <c r="N249" i="4"/>
  <c r="L249" i="4"/>
  <c r="I249" i="4"/>
  <c r="H249" i="4"/>
  <c r="F249" i="4"/>
  <c r="C249" i="4"/>
  <c r="AD248" i="4"/>
  <c r="AC248" i="4"/>
  <c r="AA248" i="4"/>
  <c r="W248" i="4"/>
  <c r="X248" i="4" s="1"/>
  <c r="U248" i="4"/>
  <c r="R248" i="4"/>
  <c r="O248" i="4"/>
  <c r="N248" i="4"/>
  <c r="L248" i="4"/>
  <c r="H248" i="4"/>
  <c r="I248" i="4" s="1"/>
  <c r="F248" i="4"/>
  <c r="C248" i="4"/>
  <c r="AC247" i="4"/>
  <c r="AD247" i="4" s="1"/>
  <c r="AA247" i="4"/>
  <c r="X247" i="4"/>
  <c r="W247" i="4"/>
  <c r="U247" i="4"/>
  <c r="R247" i="4"/>
  <c r="N247" i="4"/>
  <c r="O247" i="4" s="1"/>
  <c r="L247" i="4"/>
  <c r="H247" i="4"/>
  <c r="I247" i="4" s="1"/>
  <c r="F247" i="4"/>
  <c r="C247" i="4"/>
  <c r="AD246" i="4"/>
  <c r="AC246" i="4"/>
  <c r="AA246" i="4"/>
  <c r="W246" i="4"/>
  <c r="X246" i="4" s="1"/>
  <c r="U246" i="4"/>
  <c r="R246" i="4"/>
  <c r="N246" i="4"/>
  <c r="O246" i="4" s="1"/>
  <c r="L246" i="4"/>
  <c r="H246" i="4"/>
  <c r="I246" i="4" s="1"/>
  <c r="F246" i="4"/>
  <c r="C246" i="4"/>
  <c r="AC245" i="4"/>
  <c r="AD245" i="4" s="1"/>
  <c r="AA245" i="4"/>
  <c r="W245" i="4"/>
  <c r="X245" i="4" s="1"/>
  <c r="U245" i="4"/>
  <c r="R245" i="4"/>
  <c r="O245" i="4"/>
  <c r="N245" i="4"/>
  <c r="L245" i="4"/>
  <c r="I245" i="4"/>
  <c r="H245" i="4"/>
  <c r="F245" i="4"/>
  <c r="C245" i="4"/>
  <c r="AC244" i="4"/>
  <c r="AD244" i="4" s="1"/>
  <c r="AA244" i="4"/>
  <c r="W244" i="4"/>
  <c r="X244" i="4" s="1"/>
  <c r="U244" i="4"/>
  <c r="R244" i="4"/>
  <c r="O244" i="4"/>
  <c r="N244" i="4"/>
  <c r="L244" i="4"/>
  <c r="H244" i="4"/>
  <c r="I244" i="4" s="1"/>
  <c r="F244" i="4"/>
  <c r="C244" i="4"/>
  <c r="AD243" i="4"/>
  <c r="AC243" i="4"/>
  <c r="AA243" i="4"/>
  <c r="X243" i="4"/>
  <c r="W243" i="4"/>
  <c r="U243" i="4"/>
  <c r="R243" i="4"/>
  <c r="N243" i="4"/>
  <c r="O243" i="4" s="1"/>
  <c r="L243" i="4"/>
  <c r="H243" i="4"/>
  <c r="I243" i="4" s="1"/>
  <c r="F243" i="4"/>
  <c r="C243" i="4"/>
  <c r="AD242" i="4"/>
  <c r="AC242" i="4"/>
  <c r="AA242" i="4"/>
  <c r="X242" i="4"/>
  <c r="W242" i="4"/>
  <c r="U242" i="4"/>
  <c r="R242" i="4"/>
  <c r="N242" i="4"/>
  <c r="O242" i="4" s="1"/>
  <c r="L242" i="4"/>
  <c r="H242" i="4"/>
  <c r="I242" i="4" s="1"/>
  <c r="F242" i="4"/>
  <c r="C242" i="4"/>
  <c r="AC241" i="4"/>
  <c r="AD241" i="4" s="1"/>
  <c r="AA241" i="4"/>
  <c r="W241" i="4"/>
  <c r="X241" i="4" s="1"/>
  <c r="U241" i="4"/>
  <c r="R241" i="4"/>
  <c r="O241" i="4"/>
  <c r="N241" i="4"/>
  <c r="L241" i="4"/>
  <c r="I241" i="4"/>
  <c r="H241" i="4"/>
  <c r="F241" i="4"/>
  <c r="C241" i="4"/>
  <c r="AC240" i="4"/>
  <c r="AD240" i="4" s="1"/>
  <c r="AA240" i="4"/>
  <c r="W240" i="4"/>
  <c r="X240" i="4" s="1"/>
  <c r="U240" i="4"/>
  <c r="R240" i="4"/>
  <c r="N240" i="4"/>
  <c r="O240" i="4" s="1"/>
  <c r="L240" i="4"/>
  <c r="H240" i="4"/>
  <c r="I240" i="4" s="1"/>
  <c r="F240" i="4"/>
  <c r="C240" i="4"/>
  <c r="AD238" i="4"/>
  <c r="AC238" i="4"/>
  <c r="AA238" i="4"/>
  <c r="X238" i="4"/>
  <c r="W238" i="4"/>
  <c r="U238" i="4"/>
  <c r="R238" i="4"/>
  <c r="N238" i="4"/>
  <c r="O238" i="4" s="1"/>
  <c r="L238" i="4"/>
  <c r="H238" i="4"/>
  <c r="I238" i="4" s="1"/>
  <c r="F238" i="4"/>
  <c r="C238" i="4"/>
  <c r="Z236" i="4"/>
  <c r="AA236" i="4" s="1"/>
  <c r="W236" i="4"/>
  <c r="X236" i="4" s="1"/>
  <c r="T236" i="4"/>
  <c r="U236" i="4" s="1"/>
  <c r="R236" i="4"/>
  <c r="Q236" i="4"/>
  <c r="K236" i="4"/>
  <c r="N236" i="4" s="1"/>
  <c r="O236" i="4" s="1"/>
  <c r="F236" i="4"/>
  <c r="E236" i="4"/>
  <c r="B236" i="4"/>
  <c r="H236" i="4" s="1"/>
  <c r="I236" i="4" s="1"/>
  <c r="AC235" i="4"/>
  <c r="AD235" i="4" s="1"/>
  <c r="AA235" i="4"/>
  <c r="W235" i="4"/>
  <c r="X235" i="4" s="1"/>
  <c r="U235" i="4"/>
  <c r="R235" i="4"/>
  <c r="N235" i="4"/>
  <c r="O235" i="4" s="1"/>
  <c r="L235" i="4"/>
  <c r="H235" i="4"/>
  <c r="I235" i="4" s="1"/>
  <c r="F235" i="4"/>
  <c r="C235" i="4"/>
  <c r="AD234" i="4"/>
  <c r="AC234" i="4"/>
  <c r="AA234" i="4"/>
  <c r="X234" i="4"/>
  <c r="W234" i="4"/>
  <c r="U234" i="4"/>
  <c r="R234" i="4"/>
  <c r="N234" i="4"/>
  <c r="O234" i="4" s="1"/>
  <c r="L234" i="4"/>
  <c r="H234" i="4"/>
  <c r="I234" i="4" s="1"/>
  <c r="F234" i="4"/>
  <c r="C234" i="4"/>
  <c r="AD233" i="4"/>
  <c r="AC233" i="4"/>
  <c r="AA233" i="4"/>
  <c r="X233" i="4"/>
  <c r="W233" i="4"/>
  <c r="U233" i="4"/>
  <c r="R233" i="4"/>
  <c r="N233" i="4"/>
  <c r="O233" i="4" s="1"/>
  <c r="L233" i="4"/>
  <c r="H233" i="4"/>
  <c r="I233" i="4" s="1"/>
  <c r="F233" i="4"/>
  <c r="C233" i="4"/>
  <c r="AC232" i="4"/>
  <c r="AD232" i="4" s="1"/>
  <c r="AA232" i="4"/>
  <c r="W232" i="4"/>
  <c r="X232" i="4" s="1"/>
  <c r="U232" i="4"/>
  <c r="R232" i="4"/>
  <c r="O232" i="4"/>
  <c r="N232" i="4"/>
  <c r="L232" i="4"/>
  <c r="I232" i="4"/>
  <c r="H232" i="4"/>
  <c r="F232" i="4"/>
  <c r="C232" i="4"/>
  <c r="AC231" i="4"/>
  <c r="AD231" i="4" s="1"/>
  <c r="AA231" i="4"/>
  <c r="W231" i="4"/>
  <c r="X231" i="4" s="1"/>
  <c r="U231" i="4"/>
  <c r="R231" i="4"/>
  <c r="N231" i="4"/>
  <c r="O231" i="4" s="1"/>
  <c r="L231" i="4"/>
  <c r="H231" i="4"/>
  <c r="I231" i="4" s="1"/>
  <c r="F231" i="4"/>
  <c r="C231" i="4"/>
  <c r="AC230" i="4"/>
  <c r="AD230" i="4" s="1"/>
  <c r="AA230" i="4"/>
  <c r="X230" i="4"/>
  <c r="W230" i="4"/>
  <c r="U230" i="4"/>
  <c r="R230" i="4"/>
  <c r="N230" i="4"/>
  <c r="O230" i="4" s="1"/>
  <c r="L230" i="4"/>
  <c r="I230" i="4"/>
  <c r="H230" i="4"/>
  <c r="F230" i="4"/>
  <c r="C230" i="4"/>
  <c r="AD229" i="4"/>
  <c r="AC229" i="4"/>
  <c r="AA229" i="4"/>
  <c r="W229" i="4"/>
  <c r="X229" i="4" s="1"/>
  <c r="U229" i="4"/>
  <c r="R229" i="4"/>
  <c r="N229" i="4"/>
  <c r="O229" i="4" s="1"/>
  <c r="L229" i="4"/>
  <c r="I229" i="4"/>
  <c r="H229" i="4"/>
  <c r="F229" i="4"/>
  <c r="C229" i="4"/>
  <c r="AA227" i="4"/>
  <c r="Z227" i="4"/>
  <c r="W227" i="4"/>
  <c r="X227" i="4" s="1"/>
  <c r="U227" i="4"/>
  <c r="T227" i="4"/>
  <c r="Q227" i="4"/>
  <c r="AC227" i="4" s="1"/>
  <c r="AD227" i="4" s="1"/>
  <c r="L227" i="4"/>
  <c r="K227" i="4"/>
  <c r="H227" i="4"/>
  <c r="I227" i="4" s="1"/>
  <c r="E227" i="4"/>
  <c r="F227" i="4" s="1"/>
  <c r="C227" i="4"/>
  <c r="B227" i="4"/>
  <c r="AC226" i="4"/>
  <c r="AD226" i="4" s="1"/>
  <c r="AA226" i="4"/>
  <c r="X226" i="4"/>
  <c r="W226" i="4"/>
  <c r="U226" i="4"/>
  <c r="R226" i="4"/>
  <c r="N226" i="4"/>
  <c r="O226" i="4" s="1"/>
  <c r="L226" i="4"/>
  <c r="I226" i="4"/>
  <c r="H226" i="4"/>
  <c r="F226" i="4"/>
  <c r="C226" i="4"/>
  <c r="AD225" i="4"/>
  <c r="AC225" i="4"/>
  <c r="AA225" i="4"/>
  <c r="W225" i="4"/>
  <c r="X225" i="4" s="1"/>
  <c r="U225" i="4"/>
  <c r="R225" i="4"/>
  <c r="N225" i="4"/>
  <c r="O225" i="4" s="1"/>
  <c r="L225" i="4"/>
  <c r="I225" i="4"/>
  <c r="H225" i="4"/>
  <c r="F225" i="4"/>
  <c r="C225" i="4"/>
  <c r="AC224" i="4"/>
  <c r="AD224" i="4" s="1"/>
  <c r="AA224" i="4"/>
  <c r="W224" i="4"/>
  <c r="X224" i="4" s="1"/>
  <c r="U224" i="4"/>
  <c r="R224" i="4"/>
  <c r="O224" i="4"/>
  <c r="N224" i="4"/>
  <c r="L224" i="4"/>
  <c r="I224" i="4"/>
  <c r="H224" i="4"/>
  <c r="F224" i="4"/>
  <c r="C224" i="4"/>
  <c r="AD223" i="4"/>
  <c r="AC223" i="4"/>
  <c r="AA223" i="4"/>
  <c r="W223" i="4"/>
  <c r="X223" i="4" s="1"/>
  <c r="U223" i="4"/>
  <c r="R223" i="4"/>
  <c r="N223" i="4"/>
  <c r="O223" i="4" s="1"/>
  <c r="L223" i="4"/>
  <c r="H223" i="4"/>
  <c r="I223" i="4" s="1"/>
  <c r="F223" i="4"/>
  <c r="C223" i="4"/>
  <c r="AC222" i="4"/>
  <c r="AD222" i="4" s="1"/>
  <c r="AA222" i="4"/>
  <c r="X222" i="4"/>
  <c r="W222" i="4"/>
  <c r="U222" i="4"/>
  <c r="R222" i="4"/>
  <c r="N222" i="4"/>
  <c r="O222" i="4" s="1"/>
  <c r="L222" i="4"/>
  <c r="H222" i="4"/>
  <c r="I222" i="4" s="1"/>
  <c r="F222" i="4"/>
  <c r="C222" i="4"/>
  <c r="AD221" i="4"/>
  <c r="AC221" i="4"/>
  <c r="AA221" i="4"/>
  <c r="W221" i="4"/>
  <c r="X221" i="4" s="1"/>
  <c r="U221" i="4"/>
  <c r="R221" i="4"/>
  <c r="N221" i="4"/>
  <c r="O221" i="4" s="1"/>
  <c r="L221" i="4"/>
  <c r="H221" i="4"/>
  <c r="I221" i="4" s="1"/>
  <c r="F221" i="4"/>
  <c r="C221" i="4"/>
  <c r="AC220" i="4"/>
  <c r="AD220" i="4" s="1"/>
  <c r="AA220" i="4"/>
  <c r="W220" i="4"/>
  <c r="X220" i="4" s="1"/>
  <c r="U220" i="4"/>
  <c r="R220" i="4"/>
  <c r="O220" i="4"/>
  <c r="N220" i="4"/>
  <c r="L220" i="4"/>
  <c r="I220" i="4"/>
  <c r="H220" i="4"/>
  <c r="F220" i="4"/>
  <c r="C220" i="4"/>
  <c r="AC219" i="4"/>
  <c r="AD219" i="4" s="1"/>
  <c r="AA219" i="4"/>
  <c r="W219" i="4"/>
  <c r="X219" i="4" s="1"/>
  <c r="U219" i="4"/>
  <c r="R219" i="4"/>
  <c r="O219" i="4"/>
  <c r="N219" i="4"/>
  <c r="L219" i="4"/>
  <c r="H219" i="4"/>
  <c r="I219" i="4" s="1"/>
  <c r="F219" i="4"/>
  <c r="C219" i="4"/>
  <c r="AC218" i="4"/>
  <c r="AD218" i="4" s="1"/>
  <c r="AA218" i="4"/>
  <c r="Z218" i="4"/>
  <c r="U218" i="4"/>
  <c r="T218" i="4"/>
  <c r="Q218" i="4"/>
  <c r="W218" i="4" s="1"/>
  <c r="X218" i="4" s="1"/>
  <c r="N218" i="4"/>
  <c r="O218" i="4" s="1"/>
  <c r="K218" i="4"/>
  <c r="L218" i="4" s="1"/>
  <c r="E218" i="4"/>
  <c r="F218" i="4" s="1"/>
  <c r="C218" i="4"/>
  <c r="B218" i="4"/>
  <c r="H218" i="4" s="1"/>
  <c r="I218" i="4" s="1"/>
  <c r="AC217" i="4"/>
  <c r="AD217" i="4" s="1"/>
  <c r="AA217" i="4"/>
  <c r="W217" i="4"/>
  <c r="X217" i="4" s="1"/>
  <c r="U217" i="4"/>
  <c r="R217" i="4"/>
  <c r="O217" i="4"/>
  <c r="N217" i="4"/>
  <c r="L217" i="4"/>
  <c r="I217" i="4"/>
  <c r="H217" i="4"/>
  <c r="F217" i="4"/>
  <c r="C217" i="4"/>
  <c r="AC216" i="4"/>
  <c r="AD216" i="4" s="1"/>
  <c r="AA216" i="4"/>
  <c r="W216" i="4"/>
  <c r="X216" i="4" s="1"/>
  <c r="U216" i="4"/>
  <c r="R216" i="4"/>
  <c r="N216" i="4"/>
  <c r="O216" i="4" s="1"/>
  <c r="L216" i="4"/>
  <c r="H216" i="4"/>
  <c r="I216" i="4" s="1"/>
  <c r="F216" i="4"/>
  <c r="C216" i="4"/>
  <c r="AD215" i="4"/>
  <c r="AC215" i="4"/>
  <c r="AA215" i="4"/>
  <c r="X215" i="4"/>
  <c r="W215" i="4"/>
  <c r="U215" i="4"/>
  <c r="R215" i="4"/>
  <c r="N215" i="4"/>
  <c r="O215" i="4" s="1"/>
  <c r="L215" i="4"/>
  <c r="H215" i="4"/>
  <c r="I215" i="4" s="1"/>
  <c r="F215" i="4"/>
  <c r="C215" i="4"/>
  <c r="AD214" i="4"/>
  <c r="AC214" i="4"/>
  <c r="AA214" i="4"/>
  <c r="X214" i="4"/>
  <c r="W214" i="4"/>
  <c r="U214" i="4"/>
  <c r="R214" i="4"/>
  <c r="N214" i="4"/>
  <c r="O214" i="4" s="1"/>
  <c r="L214" i="4"/>
  <c r="I214" i="4"/>
  <c r="H214" i="4"/>
  <c r="F214" i="4"/>
  <c r="C214" i="4"/>
  <c r="AC213" i="4"/>
  <c r="AD213" i="4" s="1"/>
  <c r="AA213" i="4"/>
  <c r="W213" i="4"/>
  <c r="X213" i="4" s="1"/>
  <c r="U213" i="4"/>
  <c r="R213" i="4"/>
  <c r="O213" i="4"/>
  <c r="N213" i="4"/>
  <c r="L213" i="4"/>
  <c r="I213" i="4"/>
  <c r="H213" i="4"/>
  <c r="F213" i="4"/>
  <c r="C213" i="4"/>
  <c r="AD211" i="4"/>
  <c r="AC211" i="4"/>
  <c r="AA211" i="4"/>
  <c r="W211" i="4"/>
  <c r="X211" i="4" s="1"/>
  <c r="U211" i="4"/>
  <c r="R211" i="4"/>
  <c r="N211" i="4"/>
  <c r="O211" i="4" s="1"/>
  <c r="L211" i="4"/>
  <c r="H211" i="4"/>
  <c r="I211" i="4" s="1"/>
  <c r="F211" i="4"/>
  <c r="C211" i="4"/>
  <c r="AC209" i="4"/>
  <c r="AD209" i="4" s="1"/>
  <c r="Z209" i="4"/>
  <c r="AA209" i="4" s="1"/>
  <c r="U209" i="4"/>
  <c r="T209" i="4"/>
  <c r="Q209" i="4"/>
  <c r="W209" i="4" s="1"/>
  <c r="X209" i="4" s="1"/>
  <c r="N209" i="4"/>
  <c r="O209" i="4" s="1"/>
  <c r="K209" i="4"/>
  <c r="L209" i="4" s="1"/>
  <c r="E209" i="4"/>
  <c r="F209" i="4" s="1"/>
  <c r="B209" i="4"/>
  <c r="H209" i="4" s="1"/>
  <c r="I209" i="4" s="1"/>
  <c r="AC208" i="4"/>
  <c r="AD208" i="4" s="1"/>
  <c r="AA208" i="4"/>
  <c r="W208" i="4"/>
  <c r="X208" i="4" s="1"/>
  <c r="U208" i="4"/>
  <c r="R208" i="4"/>
  <c r="O208" i="4"/>
  <c r="N208" i="4"/>
  <c r="L208" i="4"/>
  <c r="I208" i="4"/>
  <c r="H208" i="4"/>
  <c r="F208" i="4"/>
  <c r="C208" i="4"/>
  <c r="AC207" i="4"/>
  <c r="AD207" i="4" s="1"/>
  <c r="AA207" i="4"/>
  <c r="W207" i="4"/>
  <c r="X207" i="4" s="1"/>
  <c r="U207" i="4"/>
  <c r="R207" i="4"/>
  <c r="O207" i="4"/>
  <c r="N207" i="4"/>
  <c r="L207" i="4"/>
  <c r="H207" i="4"/>
  <c r="I207" i="4" s="1"/>
  <c r="F207" i="4"/>
  <c r="C207" i="4"/>
  <c r="AC206" i="4"/>
  <c r="AD206" i="4" s="1"/>
  <c r="AA206" i="4"/>
  <c r="X206" i="4"/>
  <c r="W206" i="4"/>
  <c r="U206" i="4"/>
  <c r="R206" i="4"/>
  <c r="N206" i="4"/>
  <c r="O206" i="4" s="1"/>
  <c r="L206" i="4"/>
  <c r="H206" i="4"/>
  <c r="I206" i="4" s="1"/>
  <c r="F206" i="4"/>
  <c r="C206" i="4"/>
  <c r="AD205" i="4"/>
  <c r="AC205" i="4"/>
  <c r="AA205" i="4"/>
  <c r="W205" i="4"/>
  <c r="X205" i="4" s="1"/>
  <c r="U205" i="4"/>
  <c r="R205" i="4"/>
  <c r="N205" i="4"/>
  <c r="O205" i="4" s="1"/>
  <c r="L205" i="4"/>
  <c r="H205" i="4"/>
  <c r="I205" i="4" s="1"/>
  <c r="F205" i="4"/>
  <c r="C205" i="4"/>
  <c r="AC204" i="4"/>
  <c r="AD204" i="4" s="1"/>
  <c r="AA204" i="4"/>
  <c r="W204" i="4"/>
  <c r="X204" i="4" s="1"/>
  <c r="U204" i="4"/>
  <c r="R204" i="4"/>
  <c r="O204" i="4"/>
  <c r="N204" i="4"/>
  <c r="L204" i="4"/>
  <c r="I204" i="4"/>
  <c r="H204" i="4"/>
  <c r="F204" i="4"/>
  <c r="C204" i="4"/>
  <c r="AC203" i="4"/>
  <c r="AD203" i="4" s="1"/>
  <c r="AA203" i="4"/>
  <c r="W203" i="4"/>
  <c r="X203" i="4" s="1"/>
  <c r="U203" i="4"/>
  <c r="R203" i="4"/>
  <c r="N203" i="4"/>
  <c r="O203" i="4" s="1"/>
  <c r="L203" i="4"/>
  <c r="H203" i="4"/>
  <c r="I203" i="4" s="1"/>
  <c r="F203" i="4"/>
  <c r="C203" i="4"/>
  <c r="AD202" i="4"/>
  <c r="AC202" i="4"/>
  <c r="AA202" i="4"/>
  <c r="X202" i="4"/>
  <c r="W202" i="4"/>
  <c r="U202" i="4"/>
  <c r="R202" i="4"/>
  <c r="N202" i="4"/>
  <c r="O202" i="4" s="1"/>
  <c r="L202" i="4"/>
  <c r="H202" i="4"/>
  <c r="I202" i="4" s="1"/>
  <c r="F202" i="4"/>
  <c r="C202" i="4"/>
  <c r="AD201" i="4"/>
  <c r="AC201" i="4"/>
  <c r="AA201" i="4"/>
  <c r="X201" i="4"/>
  <c r="W201" i="4"/>
  <c r="U201" i="4"/>
  <c r="R201" i="4"/>
  <c r="N201" i="4"/>
  <c r="O201" i="4" s="1"/>
  <c r="L201" i="4"/>
  <c r="H201" i="4"/>
  <c r="I201" i="4" s="1"/>
  <c r="F201" i="4"/>
  <c r="C201" i="4"/>
  <c r="Z197" i="4"/>
  <c r="AC197" i="4" s="1"/>
  <c r="AD197" i="4" s="1"/>
  <c r="U197" i="4"/>
  <c r="T197" i="4"/>
  <c r="R197" i="4"/>
  <c r="Q197" i="4"/>
  <c r="W197" i="4" s="1"/>
  <c r="X197" i="4" s="1"/>
  <c r="K197" i="4"/>
  <c r="L197" i="4" s="1"/>
  <c r="F197" i="4"/>
  <c r="E197" i="4"/>
  <c r="B197" i="4"/>
  <c r="H197" i="4" s="1"/>
  <c r="I197" i="4" s="1"/>
  <c r="AA196" i="4"/>
  <c r="Z196" i="4"/>
  <c r="U196" i="4"/>
  <c r="T196" i="4"/>
  <c r="W196" i="4" s="1"/>
  <c r="X196" i="4" s="1"/>
  <c r="Q196" i="4"/>
  <c r="AC196" i="4" s="1"/>
  <c r="AD196" i="4" s="1"/>
  <c r="L196" i="4"/>
  <c r="K196" i="4"/>
  <c r="H196" i="4"/>
  <c r="I196" i="4" s="1"/>
  <c r="E196" i="4"/>
  <c r="F196" i="4" s="1"/>
  <c r="C196" i="4"/>
  <c r="B196" i="4"/>
  <c r="N196" i="4" s="1"/>
  <c r="O196" i="4" s="1"/>
  <c r="AC195" i="4"/>
  <c r="AD195" i="4" s="1"/>
  <c r="AA195" i="4"/>
  <c r="X195" i="4"/>
  <c r="W195" i="4"/>
  <c r="U195" i="4"/>
  <c r="R195" i="4"/>
  <c r="N195" i="4"/>
  <c r="O195" i="4" s="1"/>
  <c r="L195" i="4"/>
  <c r="I195" i="4"/>
  <c r="H195" i="4"/>
  <c r="F195" i="4"/>
  <c r="C195" i="4"/>
  <c r="AD194" i="4"/>
  <c r="AC194" i="4"/>
  <c r="AA194" i="4"/>
  <c r="W194" i="4"/>
  <c r="X194" i="4" s="1"/>
  <c r="U194" i="4"/>
  <c r="R194" i="4"/>
  <c r="N194" i="4"/>
  <c r="O194" i="4" s="1"/>
  <c r="L194" i="4"/>
  <c r="H194" i="4"/>
  <c r="I194" i="4" s="1"/>
  <c r="F194" i="4"/>
  <c r="C194" i="4"/>
  <c r="AA193" i="4"/>
  <c r="Z193" i="4"/>
  <c r="T193" i="4"/>
  <c r="W193" i="4" s="1"/>
  <c r="X193" i="4" s="1"/>
  <c r="Q193" i="4"/>
  <c r="AC193" i="4" s="1"/>
  <c r="AD193" i="4" s="1"/>
  <c r="L193" i="4"/>
  <c r="K193" i="4"/>
  <c r="H193" i="4"/>
  <c r="I193" i="4" s="1"/>
  <c r="E193" i="4"/>
  <c r="F193" i="4" s="1"/>
  <c r="C193" i="4"/>
  <c r="B193" i="4"/>
  <c r="N193" i="4" s="1"/>
  <c r="O193" i="4" s="1"/>
  <c r="AC192" i="4"/>
  <c r="AD192" i="4" s="1"/>
  <c r="AA192" i="4"/>
  <c r="X192" i="4"/>
  <c r="W192" i="4"/>
  <c r="U192" i="4"/>
  <c r="R192" i="4"/>
  <c r="N192" i="4"/>
  <c r="O192" i="4" s="1"/>
  <c r="L192" i="4"/>
  <c r="I192" i="4"/>
  <c r="H192" i="4"/>
  <c r="F192" i="4"/>
  <c r="C192" i="4"/>
  <c r="AD191" i="4"/>
  <c r="AC191" i="4"/>
  <c r="AA191" i="4"/>
  <c r="W191" i="4"/>
  <c r="X191" i="4" s="1"/>
  <c r="U191" i="4"/>
  <c r="R191" i="4"/>
  <c r="N191" i="4"/>
  <c r="O191" i="4" s="1"/>
  <c r="L191" i="4"/>
  <c r="H191" i="4"/>
  <c r="I191" i="4" s="1"/>
  <c r="F191" i="4"/>
  <c r="C191" i="4"/>
  <c r="AC190" i="4"/>
  <c r="AD190" i="4" s="1"/>
  <c r="AA190" i="4"/>
  <c r="W190" i="4"/>
  <c r="X190" i="4" s="1"/>
  <c r="U190" i="4"/>
  <c r="R190" i="4"/>
  <c r="O190" i="4"/>
  <c r="N190" i="4"/>
  <c r="L190" i="4"/>
  <c r="I190" i="4"/>
  <c r="H190" i="4"/>
  <c r="F190" i="4"/>
  <c r="C190" i="4"/>
  <c r="AC189" i="4"/>
  <c r="AD189" i="4" s="1"/>
  <c r="AA189" i="4"/>
  <c r="W189" i="4"/>
  <c r="X189" i="4" s="1"/>
  <c r="U189" i="4"/>
  <c r="R189" i="4"/>
  <c r="O189" i="4"/>
  <c r="N189" i="4"/>
  <c r="L189" i="4"/>
  <c r="H189" i="4"/>
  <c r="I189" i="4" s="1"/>
  <c r="F189" i="4"/>
  <c r="C189" i="4"/>
  <c r="AC188" i="4"/>
  <c r="AD188" i="4" s="1"/>
  <c r="AA188" i="4"/>
  <c r="X188" i="4"/>
  <c r="W188" i="4"/>
  <c r="U188" i="4"/>
  <c r="R188" i="4"/>
  <c r="N188" i="4"/>
  <c r="O188" i="4" s="1"/>
  <c r="L188" i="4"/>
  <c r="H188" i="4"/>
  <c r="I188" i="4" s="1"/>
  <c r="F188" i="4"/>
  <c r="C188" i="4"/>
  <c r="AD187" i="4"/>
  <c r="AC187" i="4"/>
  <c r="AA187" i="4"/>
  <c r="W187" i="4"/>
  <c r="X187" i="4" s="1"/>
  <c r="U187" i="4"/>
  <c r="R187" i="4"/>
  <c r="N187" i="4"/>
  <c r="O187" i="4" s="1"/>
  <c r="L187" i="4"/>
  <c r="H187" i="4"/>
  <c r="I187" i="4" s="1"/>
  <c r="F187" i="4"/>
  <c r="C187" i="4"/>
  <c r="AC186" i="4"/>
  <c r="AD186" i="4" s="1"/>
  <c r="AA186" i="4"/>
  <c r="W186" i="4"/>
  <c r="X186" i="4" s="1"/>
  <c r="U186" i="4"/>
  <c r="R186" i="4"/>
  <c r="O186" i="4"/>
  <c r="N186" i="4"/>
  <c r="L186" i="4"/>
  <c r="I186" i="4"/>
  <c r="H186" i="4"/>
  <c r="F186" i="4"/>
  <c r="C186" i="4"/>
  <c r="AC184" i="4"/>
  <c r="AD184" i="4" s="1"/>
  <c r="AA184" i="4"/>
  <c r="W184" i="4"/>
  <c r="X184" i="4" s="1"/>
  <c r="U184" i="4"/>
  <c r="R184" i="4"/>
  <c r="N184" i="4"/>
  <c r="O184" i="4" s="1"/>
  <c r="L184" i="4"/>
  <c r="H184" i="4"/>
  <c r="I184" i="4" s="1"/>
  <c r="F184" i="4"/>
  <c r="C184" i="4"/>
  <c r="AD183" i="4"/>
  <c r="AC183" i="4"/>
  <c r="AA183" i="4"/>
  <c r="X183" i="4"/>
  <c r="W183" i="4"/>
  <c r="U183" i="4"/>
  <c r="R183" i="4"/>
  <c r="N183" i="4"/>
  <c r="O183" i="4" s="1"/>
  <c r="L183" i="4"/>
  <c r="H183" i="4"/>
  <c r="I183" i="4" s="1"/>
  <c r="F183" i="4"/>
  <c r="C183" i="4"/>
  <c r="AA182" i="4"/>
  <c r="Z182" i="4"/>
  <c r="W182" i="4"/>
  <c r="X182" i="4" s="1"/>
  <c r="T182" i="4"/>
  <c r="U182" i="4" s="1"/>
  <c r="R182" i="4"/>
  <c r="Q182" i="4"/>
  <c r="AC182" i="4" s="1"/>
  <c r="AD182" i="4" s="1"/>
  <c r="N182" i="4"/>
  <c r="O182" i="4" s="1"/>
  <c r="K182" i="4"/>
  <c r="L182" i="4" s="1"/>
  <c r="F182" i="4"/>
  <c r="E182" i="4"/>
  <c r="B182" i="4"/>
  <c r="H182" i="4" s="1"/>
  <c r="I182" i="4" s="1"/>
  <c r="AC181" i="4"/>
  <c r="AD181" i="4" s="1"/>
  <c r="AA181" i="4"/>
  <c r="W181" i="4"/>
  <c r="X181" i="4" s="1"/>
  <c r="U181" i="4"/>
  <c r="R181" i="4"/>
  <c r="N181" i="4"/>
  <c r="O181" i="4" s="1"/>
  <c r="L181" i="4"/>
  <c r="H181" i="4"/>
  <c r="I181" i="4" s="1"/>
  <c r="F181" i="4"/>
  <c r="C181" i="4"/>
  <c r="AD180" i="4"/>
  <c r="AC180" i="4"/>
  <c r="AA180" i="4"/>
  <c r="X180" i="4"/>
  <c r="W180" i="4"/>
  <c r="U180" i="4"/>
  <c r="R180" i="4"/>
  <c r="N180" i="4"/>
  <c r="O180" i="4" s="1"/>
  <c r="L180" i="4"/>
  <c r="H180" i="4"/>
  <c r="I180" i="4" s="1"/>
  <c r="F180" i="4"/>
  <c r="C180" i="4"/>
  <c r="AD179" i="4"/>
  <c r="AC179" i="4"/>
  <c r="AA179" i="4"/>
  <c r="X179" i="4"/>
  <c r="W179" i="4"/>
  <c r="U179" i="4"/>
  <c r="R179" i="4"/>
  <c r="N179" i="4"/>
  <c r="O179" i="4" s="1"/>
  <c r="L179" i="4"/>
  <c r="H179" i="4"/>
  <c r="I179" i="4" s="1"/>
  <c r="F179" i="4"/>
  <c r="C179" i="4"/>
  <c r="AC178" i="4"/>
  <c r="AD178" i="4" s="1"/>
  <c r="AA178" i="4"/>
  <c r="W178" i="4"/>
  <c r="X178" i="4" s="1"/>
  <c r="U178" i="4"/>
  <c r="R178" i="4"/>
  <c r="O178" i="4"/>
  <c r="N178" i="4"/>
  <c r="L178" i="4"/>
  <c r="I178" i="4"/>
  <c r="H178" i="4"/>
  <c r="F178" i="4"/>
  <c r="C178" i="4"/>
  <c r="AC177" i="4"/>
  <c r="AD177" i="4" s="1"/>
  <c r="AA177" i="4"/>
  <c r="W177" i="4"/>
  <c r="X177" i="4" s="1"/>
  <c r="U177" i="4"/>
  <c r="R177" i="4"/>
  <c r="N177" i="4"/>
  <c r="O177" i="4" s="1"/>
  <c r="L177" i="4"/>
  <c r="H177" i="4"/>
  <c r="I177" i="4" s="1"/>
  <c r="F177" i="4"/>
  <c r="C177" i="4"/>
  <c r="AC175" i="4"/>
  <c r="AD175" i="4" s="1"/>
  <c r="AA175" i="4"/>
  <c r="X175" i="4"/>
  <c r="W175" i="4"/>
  <c r="U175" i="4"/>
  <c r="R175" i="4"/>
  <c r="N175" i="4"/>
  <c r="O175" i="4" s="1"/>
  <c r="L175" i="4"/>
  <c r="I175" i="4"/>
  <c r="H175" i="4"/>
  <c r="F175" i="4"/>
  <c r="C175" i="4"/>
  <c r="Z172" i="4"/>
  <c r="B172" i="4"/>
  <c r="AC171" i="4"/>
  <c r="AD171" i="4" s="1"/>
  <c r="Z171" i="4"/>
  <c r="AA171" i="4" s="1"/>
  <c r="T171" i="4"/>
  <c r="U171" i="4" s="1"/>
  <c r="Q171" i="4"/>
  <c r="R171" i="4" s="1"/>
  <c r="L171" i="4"/>
  <c r="K171" i="4"/>
  <c r="E171" i="4"/>
  <c r="H171" i="4" s="1"/>
  <c r="I171" i="4" s="1"/>
  <c r="B171" i="4"/>
  <c r="N171" i="4" s="1"/>
  <c r="O171" i="4" s="1"/>
  <c r="Z170" i="4"/>
  <c r="AA170" i="4" s="1"/>
  <c r="W170" i="4"/>
  <c r="X170" i="4" s="1"/>
  <c r="T170" i="4"/>
  <c r="U170" i="4" s="1"/>
  <c r="R170" i="4"/>
  <c r="Q170" i="4"/>
  <c r="AC170" i="4" s="1"/>
  <c r="AD170" i="4" s="1"/>
  <c r="L170" i="4"/>
  <c r="K170" i="4"/>
  <c r="F170" i="4"/>
  <c r="E170" i="4"/>
  <c r="B170" i="4"/>
  <c r="H170" i="4" s="1"/>
  <c r="I170" i="4" s="1"/>
  <c r="AC169" i="4"/>
  <c r="AD169" i="4" s="1"/>
  <c r="AA169" i="4"/>
  <c r="W169" i="4"/>
  <c r="X169" i="4" s="1"/>
  <c r="U169" i="4"/>
  <c r="R169" i="4"/>
  <c r="N169" i="4"/>
  <c r="O169" i="4" s="1"/>
  <c r="L169" i="4"/>
  <c r="H169" i="4"/>
  <c r="I169" i="4" s="1"/>
  <c r="F169" i="4"/>
  <c r="C169" i="4"/>
  <c r="AC168" i="4"/>
  <c r="AD168" i="4" s="1"/>
  <c r="AA168" i="4"/>
  <c r="X168" i="4"/>
  <c r="W168" i="4"/>
  <c r="U168" i="4"/>
  <c r="R168" i="4"/>
  <c r="N168" i="4"/>
  <c r="O168" i="4" s="1"/>
  <c r="L168" i="4"/>
  <c r="I168" i="4"/>
  <c r="H168" i="4"/>
  <c r="F168" i="4"/>
  <c r="C168" i="4"/>
  <c r="AD167" i="4"/>
  <c r="AC167" i="4"/>
  <c r="AA167" i="4"/>
  <c r="W167" i="4"/>
  <c r="X167" i="4" s="1"/>
  <c r="U167" i="4"/>
  <c r="R167" i="4"/>
  <c r="N167" i="4"/>
  <c r="O167" i="4" s="1"/>
  <c r="L167" i="4"/>
  <c r="I167" i="4"/>
  <c r="H167" i="4"/>
  <c r="F167" i="4"/>
  <c r="C167" i="4"/>
  <c r="AA166" i="4"/>
  <c r="Z166" i="4"/>
  <c r="U166" i="4"/>
  <c r="T166" i="4"/>
  <c r="W166" i="4" s="1"/>
  <c r="X166" i="4" s="1"/>
  <c r="Q166" i="4"/>
  <c r="AC166" i="4" s="1"/>
  <c r="AD166" i="4" s="1"/>
  <c r="L166" i="4"/>
  <c r="K166" i="4"/>
  <c r="I166" i="4"/>
  <c r="H166" i="4"/>
  <c r="E166" i="4"/>
  <c r="F166" i="4" s="1"/>
  <c r="C166" i="4"/>
  <c r="B166" i="4"/>
  <c r="AC165" i="4"/>
  <c r="AD165" i="4" s="1"/>
  <c r="AA165" i="4"/>
  <c r="X165" i="4"/>
  <c r="W165" i="4"/>
  <c r="U165" i="4"/>
  <c r="R165" i="4"/>
  <c r="N165" i="4"/>
  <c r="O165" i="4" s="1"/>
  <c r="L165" i="4"/>
  <c r="H165" i="4"/>
  <c r="I165" i="4" s="1"/>
  <c r="F165" i="4"/>
  <c r="C165" i="4"/>
  <c r="AD164" i="4"/>
  <c r="AC164" i="4"/>
  <c r="AA164" i="4"/>
  <c r="W164" i="4"/>
  <c r="X164" i="4" s="1"/>
  <c r="U164" i="4"/>
  <c r="R164" i="4"/>
  <c r="N164" i="4"/>
  <c r="O164" i="4" s="1"/>
  <c r="L164" i="4"/>
  <c r="I164" i="4"/>
  <c r="H164" i="4"/>
  <c r="F164" i="4"/>
  <c r="C164" i="4"/>
  <c r="AC163" i="4"/>
  <c r="AD163" i="4" s="1"/>
  <c r="AA163" i="4"/>
  <c r="W163" i="4"/>
  <c r="X163" i="4" s="1"/>
  <c r="U163" i="4"/>
  <c r="R163" i="4"/>
  <c r="O163" i="4"/>
  <c r="N163" i="4"/>
  <c r="L163" i="4"/>
  <c r="I163" i="4"/>
  <c r="H163" i="4"/>
  <c r="F163" i="4"/>
  <c r="C163" i="4"/>
  <c r="AD162" i="4"/>
  <c r="AC162" i="4"/>
  <c r="AA162" i="4"/>
  <c r="W162" i="4"/>
  <c r="X162" i="4" s="1"/>
  <c r="U162" i="4"/>
  <c r="R162" i="4"/>
  <c r="N162" i="4"/>
  <c r="O162" i="4" s="1"/>
  <c r="L162" i="4"/>
  <c r="H162" i="4"/>
  <c r="I162" i="4" s="1"/>
  <c r="F162" i="4"/>
  <c r="C162" i="4"/>
  <c r="AC161" i="4"/>
  <c r="AD161" i="4" s="1"/>
  <c r="AA161" i="4"/>
  <c r="X161" i="4"/>
  <c r="W161" i="4"/>
  <c r="U161" i="4"/>
  <c r="R161" i="4"/>
  <c r="N161" i="4"/>
  <c r="O161" i="4" s="1"/>
  <c r="L161" i="4"/>
  <c r="I161" i="4"/>
  <c r="H161" i="4"/>
  <c r="F161" i="4"/>
  <c r="C161" i="4"/>
  <c r="AD160" i="4"/>
  <c r="AC160" i="4"/>
  <c r="AA160" i="4"/>
  <c r="W160" i="4"/>
  <c r="X160" i="4" s="1"/>
  <c r="U160" i="4"/>
  <c r="R160" i="4"/>
  <c r="N160" i="4"/>
  <c r="O160" i="4" s="1"/>
  <c r="L160" i="4"/>
  <c r="H160" i="4"/>
  <c r="I160" i="4" s="1"/>
  <c r="F160" i="4"/>
  <c r="C160" i="4"/>
  <c r="AA158" i="4"/>
  <c r="Z158" i="4"/>
  <c r="T158" i="4"/>
  <c r="W158" i="4" s="1"/>
  <c r="X158" i="4" s="1"/>
  <c r="Q158" i="4"/>
  <c r="AC158" i="4" s="1"/>
  <c r="AD158" i="4" s="1"/>
  <c r="L158" i="4"/>
  <c r="K158" i="4"/>
  <c r="H158" i="4"/>
  <c r="I158" i="4" s="1"/>
  <c r="E158" i="4"/>
  <c r="F158" i="4" s="1"/>
  <c r="C158" i="4"/>
  <c r="B158" i="4"/>
  <c r="N158" i="4" s="1"/>
  <c r="O158" i="4" s="1"/>
  <c r="AC157" i="4"/>
  <c r="AD157" i="4" s="1"/>
  <c r="AA157" i="4"/>
  <c r="X157" i="4"/>
  <c r="W157" i="4"/>
  <c r="U157" i="4"/>
  <c r="R157" i="4"/>
  <c r="N157" i="4"/>
  <c r="O157" i="4" s="1"/>
  <c r="L157" i="4"/>
  <c r="I157" i="4"/>
  <c r="H157" i="4"/>
  <c r="F157" i="4"/>
  <c r="C157" i="4"/>
  <c r="AD156" i="4"/>
  <c r="AC156" i="4"/>
  <c r="AA156" i="4"/>
  <c r="W156" i="4"/>
  <c r="X156" i="4" s="1"/>
  <c r="U156" i="4"/>
  <c r="R156" i="4"/>
  <c r="N156" i="4"/>
  <c r="O156" i="4" s="1"/>
  <c r="L156" i="4"/>
  <c r="H156" i="4"/>
  <c r="I156" i="4" s="1"/>
  <c r="F156" i="4"/>
  <c r="C156" i="4"/>
  <c r="AC155" i="4"/>
  <c r="AD155" i="4" s="1"/>
  <c r="AA155" i="4"/>
  <c r="W155" i="4"/>
  <c r="X155" i="4" s="1"/>
  <c r="U155" i="4"/>
  <c r="R155" i="4"/>
  <c r="O155" i="4"/>
  <c r="N155" i="4"/>
  <c r="L155" i="4"/>
  <c r="I155" i="4"/>
  <c r="H155" i="4"/>
  <c r="F155" i="4"/>
  <c r="C155" i="4"/>
  <c r="AC154" i="4"/>
  <c r="AD154" i="4" s="1"/>
  <c r="AA154" i="4"/>
  <c r="W154" i="4"/>
  <c r="X154" i="4" s="1"/>
  <c r="U154" i="4"/>
  <c r="R154" i="4"/>
  <c r="O154" i="4"/>
  <c r="N154" i="4"/>
  <c r="L154" i="4"/>
  <c r="H154" i="4"/>
  <c r="I154" i="4" s="1"/>
  <c r="F154" i="4"/>
  <c r="C154" i="4"/>
  <c r="AC153" i="4"/>
  <c r="AD153" i="4" s="1"/>
  <c r="AA153" i="4"/>
  <c r="X153" i="4"/>
  <c r="W153" i="4"/>
  <c r="U153" i="4"/>
  <c r="R153" i="4"/>
  <c r="N153" i="4"/>
  <c r="O153" i="4" s="1"/>
  <c r="L153" i="4"/>
  <c r="H153" i="4"/>
  <c r="I153" i="4" s="1"/>
  <c r="F153" i="4"/>
  <c r="C153" i="4"/>
  <c r="AD151" i="4"/>
  <c r="AC151" i="4"/>
  <c r="AA151" i="4"/>
  <c r="W151" i="4"/>
  <c r="X151" i="4" s="1"/>
  <c r="U151" i="4"/>
  <c r="R151" i="4"/>
  <c r="N151" i="4"/>
  <c r="O151" i="4" s="1"/>
  <c r="L151" i="4"/>
  <c r="H151" i="4"/>
  <c r="I151" i="4" s="1"/>
  <c r="F151" i="4"/>
  <c r="C151" i="4"/>
  <c r="AA149" i="4"/>
  <c r="Z149" i="4"/>
  <c r="T149" i="4"/>
  <c r="W149" i="4" s="1"/>
  <c r="X149" i="4" s="1"/>
  <c r="Q149" i="4"/>
  <c r="AC149" i="4" s="1"/>
  <c r="AD149" i="4" s="1"/>
  <c r="K149" i="4"/>
  <c r="L149" i="4" s="1"/>
  <c r="H149" i="4"/>
  <c r="I149" i="4" s="1"/>
  <c r="E149" i="4"/>
  <c r="F149" i="4" s="1"/>
  <c r="C149" i="4"/>
  <c r="B149" i="4"/>
  <c r="N149" i="4" s="1"/>
  <c r="O149" i="4" s="1"/>
  <c r="AA148" i="4"/>
  <c r="Z148" i="4"/>
  <c r="U148" i="4"/>
  <c r="T148" i="4"/>
  <c r="Q148" i="4"/>
  <c r="W148" i="4" s="1"/>
  <c r="X148" i="4" s="1"/>
  <c r="K148" i="4"/>
  <c r="L148" i="4" s="1"/>
  <c r="E148" i="4"/>
  <c r="F148" i="4" s="1"/>
  <c r="C148" i="4"/>
  <c r="B148" i="4"/>
  <c r="AC147" i="4"/>
  <c r="AD147" i="4" s="1"/>
  <c r="AA147" i="4"/>
  <c r="W147" i="4"/>
  <c r="X147" i="4" s="1"/>
  <c r="U147" i="4"/>
  <c r="R147" i="4"/>
  <c r="O147" i="4"/>
  <c r="N147" i="4"/>
  <c r="L147" i="4"/>
  <c r="I147" i="4"/>
  <c r="H147" i="4"/>
  <c r="F147" i="4"/>
  <c r="C147" i="4"/>
  <c r="AC146" i="4"/>
  <c r="AD146" i="4" s="1"/>
  <c r="AA146" i="4"/>
  <c r="W146" i="4"/>
  <c r="X146" i="4" s="1"/>
  <c r="U146" i="4"/>
  <c r="R146" i="4"/>
  <c r="N146" i="4"/>
  <c r="O146" i="4" s="1"/>
  <c r="L146" i="4"/>
  <c r="H146" i="4"/>
  <c r="I146" i="4" s="1"/>
  <c r="F146" i="4"/>
  <c r="C146" i="4"/>
  <c r="AD145" i="4"/>
  <c r="AC145" i="4"/>
  <c r="AA145" i="4"/>
  <c r="X145" i="4"/>
  <c r="W145" i="4"/>
  <c r="U145" i="4"/>
  <c r="R145" i="4"/>
  <c r="N145" i="4"/>
  <c r="O145" i="4" s="1"/>
  <c r="L145" i="4"/>
  <c r="H145" i="4"/>
  <c r="I145" i="4" s="1"/>
  <c r="F145" i="4"/>
  <c r="C145" i="4"/>
  <c r="AD144" i="4"/>
  <c r="AC144" i="4"/>
  <c r="AA144" i="4"/>
  <c r="X144" i="4"/>
  <c r="W144" i="4"/>
  <c r="U144" i="4"/>
  <c r="R144" i="4"/>
  <c r="N144" i="4"/>
  <c r="O144" i="4" s="1"/>
  <c r="L144" i="4"/>
  <c r="H144" i="4"/>
  <c r="I144" i="4" s="1"/>
  <c r="F144" i="4"/>
  <c r="C144" i="4"/>
  <c r="AC143" i="4"/>
  <c r="AD143" i="4" s="1"/>
  <c r="AA143" i="4"/>
  <c r="W143" i="4"/>
  <c r="X143" i="4" s="1"/>
  <c r="U143" i="4"/>
  <c r="R143" i="4"/>
  <c r="O143" i="4"/>
  <c r="N143" i="4"/>
  <c r="L143" i="4"/>
  <c r="I143" i="4"/>
  <c r="H143" i="4"/>
  <c r="F143" i="4"/>
  <c r="C143" i="4"/>
  <c r="AC141" i="4"/>
  <c r="AD141" i="4" s="1"/>
  <c r="Z141" i="4"/>
  <c r="AA141" i="4" s="1"/>
  <c r="T141" i="4"/>
  <c r="U141" i="4" s="1"/>
  <c r="R141" i="4"/>
  <c r="Q141" i="4"/>
  <c r="W141" i="4" s="1"/>
  <c r="X141" i="4" s="1"/>
  <c r="L141" i="4"/>
  <c r="K141" i="4"/>
  <c r="H141" i="4"/>
  <c r="I141" i="4" s="1"/>
  <c r="E141" i="4"/>
  <c r="F141" i="4" s="1"/>
  <c r="B141" i="4"/>
  <c r="N141" i="4" s="1"/>
  <c r="O141" i="4" s="1"/>
  <c r="AD140" i="4"/>
  <c r="AC140" i="4"/>
  <c r="AA140" i="4"/>
  <c r="W140" i="4"/>
  <c r="X140" i="4" s="1"/>
  <c r="U140" i="4"/>
  <c r="R140" i="4"/>
  <c r="N140" i="4"/>
  <c r="O140" i="4" s="1"/>
  <c r="L140" i="4"/>
  <c r="I140" i="4"/>
  <c r="H140" i="4"/>
  <c r="F140" i="4"/>
  <c r="C140" i="4"/>
  <c r="AC139" i="4"/>
  <c r="AD139" i="4" s="1"/>
  <c r="AA139" i="4"/>
  <c r="W139" i="4"/>
  <c r="X139" i="4" s="1"/>
  <c r="U139" i="4"/>
  <c r="R139" i="4"/>
  <c r="O139" i="4"/>
  <c r="N139" i="4"/>
  <c r="L139" i="4"/>
  <c r="I139" i="4"/>
  <c r="H139" i="4"/>
  <c r="F139" i="4"/>
  <c r="C139" i="4"/>
  <c r="AD138" i="4"/>
  <c r="AC138" i="4"/>
  <c r="AA138" i="4"/>
  <c r="W138" i="4"/>
  <c r="X138" i="4" s="1"/>
  <c r="U138" i="4"/>
  <c r="R138" i="4"/>
  <c r="O138" i="4"/>
  <c r="N138" i="4"/>
  <c r="L138" i="4"/>
  <c r="H138" i="4"/>
  <c r="I138" i="4" s="1"/>
  <c r="F138" i="4"/>
  <c r="C138" i="4"/>
  <c r="AC137" i="4"/>
  <c r="AD137" i="4" s="1"/>
  <c r="AA137" i="4"/>
  <c r="X137" i="4"/>
  <c r="W137" i="4"/>
  <c r="U137" i="4"/>
  <c r="R137" i="4"/>
  <c r="N137" i="4"/>
  <c r="O137" i="4" s="1"/>
  <c r="L137" i="4"/>
  <c r="H137" i="4"/>
  <c r="I137" i="4" s="1"/>
  <c r="F137" i="4"/>
  <c r="C137" i="4"/>
  <c r="AD136" i="4"/>
  <c r="AC136" i="4"/>
  <c r="AA136" i="4"/>
  <c r="W136" i="4"/>
  <c r="X136" i="4" s="1"/>
  <c r="U136" i="4"/>
  <c r="R136" i="4"/>
  <c r="N136" i="4"/>
  <c r="O136" i="4" s="1"/>
  <c r="L136" i="4"/>
  <c r="H136" i="4"/>
  <c r="I136" i="4" s="1"/>
  <c r="F136" i="4"/>
  <c r="C136" i="4"/>
  <c r="AC135" i="4"/>
  <c r="AD135" i="4" s="1"/>
  <c r="AA135" i="4"/>
  <c r="W135" i="4"/>
  <c r="X135" i="4" s="1"/>
  <c r="U135" i="4"/>
  <c r="R135" i="4"/>
  <c r="O135" i="4"/>
  <c r="N135" i="4"/>
  <c r="L135" i="4"/>
  <c r="I135" i="4"/>
  <c r="H135" i="4"/>
  <c r="F135" i="4"/>
  <c r="C135" i="4"/>
  <c r="AC134" i="4"/>
  <c r="AD134" i="4" s="1"/>
  <c r="AA134" i="4"/>
  <c r="W134" i="4"/>
  <c r="X134" i="4" s="1"/>
  <c r="U134" i="4"/>
  <c r="R134" i="4"/>
  <c r="O134" i="4"/>
  <c r="N134" i="4"/>
  <c r="L134" i="4"/>
  <c r="H134" i="4"/>
  <c r="I134" i="4" s="1"/>
  <c r="F134" i="4"/>
  <c r="C134" i="4"/>
  <c r="AD133" i="4"/>
  <c r="AC133" i="4"/>
  <c r="AA133" i="4"/>
  <c r="X133" i="4"/>
  <c r="W133" i="4"/>
  <c r="U133" i="4"/>
  <c r="R133" i="4"/>
  <c r="N133" i="4"/>
  <c r="O133" i="4" s="1"/>
  <c r="L133" i="4"/>
  <c r="H133" i="4"/>
  <c r="I133" i="4" s="1"/>
  <c r="F133" i="4"/>
  <c r="C133" i="4"/>
  <c r="AD132" i="4"/>
  <c r="AC132" i="4"/>
  <c r="AA132" i="4"/>
  <c r="X132" i="4"/>
  <c r="W132" i="4"/>
  <c r="U132" i="4"/>
  <c r="R132" i="4"/>
  <c r="N132" i="4"/>
  <c r="O132" i="4" s="1"/>
  <c r="L132" i="4"/>
  <c r="H132" i="4"/>
  <c r="I132" i="4" s="1"/>
  <c r="F132" i="4"/>
  <c r="C132" i="4"/>
  <c r="AC131" i="4"/>
  <c r="AD131" i="4" s="1"/>
  <c r="AA131" i="4"/>
  <c r="W131" i="4"/>
  <c r="X131" i="4" s="1"/>
  <c r="U131" i="4"/>
  <c r="R131" i="4"/>
  <c r="O131" i="4"/>
  <c r="N131" i="4"/>
  <c r="L131" i="4"/>
  <c r="I131" i="4"/>
  <c r="H131" i="4"/>
  <c r="F131" i="4"/>
  <c r="C131" i="4"/>
  <c r="AC130" i="4"/>
  <c r="AD130" i="4" s="1"/>
  <c r="AA130" i="4"/>
  <c r="W130" i="4"/>
  <c r="X130" i="4" s="1"/>
  <c r="U130" i="4"/>
  <c r="R130" i="4"/>
  <c r="N130" i="4"/>
  <c r="O130" i="4" s="1"/>
  <c r="L130" i="4"/>
  <c r="H130" i="4"/>
  <c r="I130" i="4" s="1"/>
  <c r="F130" i="4"/>
  <c r="C130" i="4"/>
  <c r="AD129" i="4"/>
  <c r="AC129" i="4"/>
  <c r="AA129" i="4"/>
  <c r="X129" i="4"/>
  <c r="W129" i="4"/>
  <c r="U129" i="4"/>
  <c r="R129" i="4"/>
  <c r="N129" i="4"/>
  <c r="O129" i="4" s="1"/>
  <c r="L129" i="4"/>
  <c r="H129" i="4"/>
  <c r="I129" i="4" s="1"/>
  <c r="F129" i="4"/>
  <c r="C129" i="4"/>
  <c r="AD127" i="4"/>
  <c r="AC127" i="4"/>
  <c r="AA127" i="4"/>
  <c r="X127" i="4"/>
  <c r="W127" i="4"/>
  <c r="U127" i="4"/>
  <c r="R127" i="4"/>
  <c r="N127" i="4"/>
  <c r="O127" i="4" s="1"/>
  <c r="L127" i="4"/>
  <c r="I127" i="4"/>
  <c r="H127" i="4"/>
  <c r="F127" i="4"/>
  <c r="C127" i="4"/>
  <c r="AA124" i="4"/>
  <c r="Z124" i="4"/>
  <c r="U124" i="4"/>
  <c r="T124" i="4"/>
  <c r="Q124" i="4"/>
  <c r="AC124" i="4" s="1"/>
  <c r="AD124" i="4" s="1"/>
  <c r="K124" i="4"/>
  <c r="L124" i="4" s="1"/>
  <c r="I124" i="4"/>
  <c r="H124" i="4"/>
  <c r="E124" i="4"/>
  <c r="C124" i="4"/>
  <c r="B124" i="4"/>
  <c r="AD123" i="4"/>
  <c r="AC123" i="4"/>
  <c r="AA123" i="4"/>
  <c r="X123" i="4"/>
  <c r="W123" i="4"/>
  <c r="U123" i="4"/>
  <c r="R123" i="4"/>
  <c r="N123" i="4"/>
  <c r="O123" i="4" s="1"/>
  <c r="L123" i="4"/>
  <c r="H123" i="4"/>
  <c r="I123" i="4" s="1"/>
  <c r="F123" i="4"/>
  <c r="C123" i="4"/>
  <c r="Z122" i="4"/>
  <c r="AA122" i="4" s="1"/>
  <c r="W122" i="4"/>
  <c r="X122" i="4" s="1"/>
  <c r="T122" i="4"/>
  <c r="U122" i="4" s="1"/>
  <c r="R122" i="4"/>
  <c r="Q122" i="4"/>
  <c r="AC122" i="4" s="1"/>
  <c r="AD122" i="4" s="1"/>
  <c r="L122" i="4"/>
  <c r="K122" i="4"/>
  <c r="F122" i="4"/>
  <c r="E122" i="4"/>
  <c r="B122" i="4"/>
  <c r="H122" i="4" s="1"/>
  <c r="I122" i="4" s="1"/>
  <c r="AC121" i="4"/>
  <c r="AD121" i="4" s="1"/>
  <c r="AA121" i="4"/>
  <c r="W121" i="4"/>
  <c r="X121" i="4" s="1"/>
  <c r="U121" i="4"/>
  <c r="R121" i="4"/>
  <c r="N121" i="4"/>
  <c r="O121" i="4" s="1"/>
  <c r="L121" i="4"/>
  <c r="H121" i="4"/>
  <c r="I121" i="4" s="1"/>
  <c r="F121" i="4"/>
  <c r="C121" i="4"/>
  <c r="AD120" i="4"/>
  <c r="AC120" i="4"/>
  <c r="AA120" i="4"/>
  <c r="X120" i="4"/>
  <c r="W120" i="4"/>
  <c r="U120" i="4"/>
  <c r="R120" i="4"/>
  <c r="N120" i="4"/>
  <c r="O120" i="4" s="1"/>
  <c r="L120" i="4"/>
  <c r="H120" i="4"/>
  <c r="I120" i="4" s="1"/>
  <c r="F120" i="4"/>
  <c r="C120" i="4"/>
  <c r="AD119" i="4"/>
  <c r="AC119" i="4"/>
  <c r="AA119" i="4"/>
  <c r="X119" i="4"/>
  <c r="W119" i="4"/>
  <c r="U119" i="4"/>
  <c r="R119" i="4"/>
  <c r="N119" i="4"/>
  <c r="O119" i="4" s="1"/>
  <c r="L119" i="4"/>
  <c r="I119" i="4"/>
  <c r="H119" i="4"/>
  <c r="F119" i="4"/>
  <c r="C119" i="4"/>
  <c r="AA118" i="4"/>
  <c r="Z118" i="4"/>
  <c r="U118" i="4"/>
  <c r="T118" i="4"/>
  <c r="W118" i="4" s="1"/>
  <c r="X118" i="4" s="1"/>
  <c r="Q118" i="4"/>
  <c r="AC118" i="4" s="1"/>
  <c r="AD118" i="4" s="1"/>
  <c r="K118" i="4"/>
  <c r="L118" i="4" s="1"/>
  <c r="I118" i="4"/>
  <c r="H118" i="4"/>
  <c r="E118" i="4"/>
  <c r="F118" i="4" s="1"/>
  <c r="C118" i="4"/>
  <c r="B118" i="4"/>
  <c r="AD117" i="4"/>
  <c r="AC117" i="4"/>
  <c r="AA117" i="4"/>
  <c r="X117" i="4"/>
  <c r="W117" i="4"/>
  <c r="U117" i="4"/>
  <c r="R117" i="4"/>
  <c r="N117" i="4"/>
  <c r="O117" i="4" s="1"/>
  <c r="L117" i="4"/>
  <c r="H117" i="4"/>
  <c r="I117" i="4" s="1"/>
  <c r="F117" i="4"/>
  <c r="C117" i="4"/>
  <c r="AD116" i="4"/>
  <c r="AC116" i="4"/>
  <c r="AA116" i="4"/>
  <c r="X116" i="4"/>
  <c r="W116" i="4"/>
  <c r="U116" i="4"/>
  <c r="R116" i="4"/>
  <c r="N116" i="4"/>
  <c r="O116" i="4" s="1"/>
  <c r="L116" i="4"/>
  <c r="I116" i="4"/>
  <c r="H116" i="4"/>
  <c r="F116" i="4"/>
  <c r="C116" i="4"/>
  <c r="AC115" i="4"/>
  <c r="AD115" i="4" s="1"/>
  <c r="AA115" i="4"/>
  <c r="W115" i="4"/>
  <c r="X115" i="4" s="1"/>
  <c r="U115" i="4"/>
  <c r="R115" i="4"/>
  <c r="O115" i="4"/>
  <c r="N115" i="4"/>
  <c r="L115" i="4"/>
  <c r="I115" i="4"/>
  <c r="H115" i="4"/>
  <c r="F115" i="4"/>
  <c r="C115" i="4"/>
  <c r="AD114" i="4"/>
  <c r="AC114" i="4"/>
  <c r="AA114" i="4"/>
  <c r="W114" i="4"/>
  <c r="X114" i="4" s="1"/>
  <c r="U114" i="4"/>
  <c r="R114" i="4"/>
  <c r="N114" i="4"/>
  <c r="O114" i="4" s="1"/>
  <c r="L114" i="4"/>
  <c r="H114" i="4"/>
  <c r="I114" i="4" s="1"/>
  <c r="F114" i="4"/>
  <c r="C114" i="4"/>
  <c r="AC113" i="4"/>
  <c r="AD113" i="4" s="1"/>
  <c r="AA113" i="4"/>
  <c r="X113" i="4"/>
  <c r="W113" i="4"/>
  <c r="U113" i="4"/>
  <c r="R113" i="4"/>
  <c r="N113" i="4"/>
  <c r="O113" i="4" s="1"/>
  <c r="L113" i="4"/>
  <c r="I113" i="4"/>
  <c r="H113" i="4"/>
  <c r="F113" i="4"/>
  <c r="C113" i="4"/>
  <c r="AD112" i="4"/>
  <c r="AC112" i="4"/>
  <c r="AA112" i="4"/>
  <c r="W112" i="4"/>
  <c r="X112" i="4" s="1"/>
  <c r="U112" i="4"/>
  <c r="R112" i="4"/>
  <c r="N112" i="4"/>
  <c r="O112" i="4" s="1"/>
  <c r="L112" i="4"/>
  <c r="I112" i="4"/>
  <c r="H112" i="4"/>
  <c r="F112" i="4"/>
  <c r="C112" i="4"/>
  <c r="AC111" i="4"/>
  <c r="AD111" i="4" s="1"/>
  <c r="AA111" i="4"/>
  <c r="W111" i="4"/>
  <c r="X111" i="4" s="1"/>
  <c r="U111" i="4"/>
  <c r="R111" i="4"/>
  <c r="O111" i="4"/>
  <c r="N111" i="4"/>
  <c r="L111" i="4"/>
  <c r="I111" i="4"/>
  <c r="H111" i="4"/>
  <c r="F111" i="4"/>
  <c r="C111" i="4"/>
  <c r="AD110" i="4"/>
  <c r="AC110" i="4"/>
  <c r="AA110" i="4"/>
  <c r="W110" i="4"/>
  <c r="X110" i="4" s="1"/>
  <c r="U110" i="4"/>
  <c r="R110" i="4"/>
  <c r="O110" i="4"/>
  <c r="N110" i="4"/>
  <c r="L110" i="4"/>
  <c r="H110" i="4"/>
  <c r="I110" i="4" s="1"/>
  <c r="F110" i="4"/>
  <c r="C110" i="4"/>
  <c r="AC109" i="4"/>
  <c r="AD109" i="4" s="1"/>
  <c r="AA109" i="4"/>
  <c r="X109" i="4"/>
  <c r="W109" i="4"/>
  <c r="U109" i="4"/>
  <c r="R109" i="4"/>
  <c r="N109" i="4"/>
  <c r="O109" i="4" s="1"/>
  <c r="L109" i="4"/>
  <c r="H109" i="4"/>
  <c r="I109" i="4" s="1"/>
  <c r="F109" i="4"/>
  <c r="C109" i="4"/>
  <c r="AD108" i="4"/>
  <c r="AC108" i="4"/>
  <c r="AA108" i="4"/>
  <c r="W108" i="4"/>
  <c r="X108" i="4" s="1"/>
  <c r="U108" i="4"/>
  <c r="R108" i="4"/>
  <c r="N108" i="4"/>
  <c r="O108" i="4" s="1"/>
  <c r="L108" i="4"/>
  <c r="H108" i="4"/>
  <c r="I108" i="4" s="1"/>
  <c r="F108" i="4"/>
  <c r="C108" i="4"/>
  <c r="AC107" i="4"/>
  <c r="AD107" i="4" s="1"/>
  <c r="AA107" i="4"/>
  <c r="W107" i="4"/>
  <c r="X107" i="4" s="1"/>
  <c r="U107" i="4"/>
  <c r="R107" i="4"/>
  <c r="O107" i="4"/>
  <c r="N107" i="4"/>
  <c r="L107" i="4"/>
  <c r="I107" i="4"/>
  <c r="H107" i="4"/>
  <c r="F107" i="4"/>
  <c r="C107" i="4"/>
  <c r="AC106" i="4"/>
  <c r="AD106" i="4" s="1"/>
  <c r="AA106" i="4"/>
  <c r="W106" i="4"/>
  <c r="X106" i="4" s="1"/>
  <c r="U106" i="4"/>
  <c r="R106" i="4"/>
  <c r="O106" i="4"/>
  <c r="N106" i="4"/>
  <c r="L106" i="4"/>
  <c r="H106" i="4"/>
  <c r="I106" i="4" s="1"/>
  <c r="F106" i="4"/>
  <c r="C106" i="4"/>
  <c r="AD105" i="4"/>
  <c r="AC105" i="4"/>
  <c r="AA105" i="4"/>
  <c r="X105" i="4"/>
  <c r="W105" i="4"/>
  <c r="U105" i="4"/>
  <c r="R105" i="4"/>
  <c r="N105" i="4"/>
  <c r="O105" i="4" s="1"/>
  <c r="L105" i="4"/>
  <c r="H105" i="4"/>
  <c r="I105" i="4" s="1"/>
  <c r="F105" i="4"/>
  <c r="C105" i="4"/>
  <c r="AD104" i="4"/>
  <c r="AC104" i="4"/>
  <c r="AA104" i="4"/>
  <c r="X104" i="4"/>
  <c r="W104" i="4"/>
  <c r="U104" i="4"/>
  <c r="R104" i="4"/>
  <c r="N104" i="4"/>
  <c r="O104" i="4" s="1"/>
  <c r="L104" i="4"/>
  <c r="H104" i="4"/>
  <c r="I104" i="4" s="1"/>
  <c r="F104" i="4"/>
  <c r="C104" i="4"/>
  <c r="AC103" i="4"/>
  <c r="AD103" i="4" s="1"/>
  <c r="AA103" i="4"/>
  <c r="X103" i="4"/>
  <c r="W103" i="4"/>
  <c r="U103" i="4"/>
  <c r="R103" i="4"/>
  <c r="O103" i="4"/>
  <c r="N103" i="4"/>
  <c r="L103" i="4"/>
  <c r="H103" i="4"/>
  <c r="I103" i="4" s="1"/>
  <c r="F103" i="4"/>
  <c r="C103" i="4"/>
  <c r="AD102" i="4"/>
  <c r="AC102" i="4"/>
  <c r="AA102" i="4"/>
  <c r="W102" i="4"/>
  <c r="X102" i="4" s="1"/>
  <c r="U102" i="4"/>
  <c r="R102" i="4"/>
  <c r="N102" i="4"/>
  <c r="O102" i="4" s="1"/>
  <c r="L102" i="4"/>
  <c r="H102" i="4"/>
  <c r="I102" i="4" s="1"/>
  <c r="F102" i="4"/>
  <c r="C102" i="4"/>
  <c r="AD101" i="4"/>
  <c r="AC101" i="4"/>
  <c r="AA101" i="4"/>
  <c r="X101" i="4"/>
  <c r="W101" i="4"/>
  <c r="U101" i="4"/>
  <c r="R101" i="4"/>
  <c r="N101" i="4"/>
  <c r="O101" i="4" s="1"/>
  <c r="L101" i="4"/>
  <c r="H101" i="4"/>
  <c r="I101" i="4" s="1"/>
  <c r="F101" i="4"/>
  <c r="C101" i="4"/>
  <c r="AC100" i="4"/>
  <c r="AD100" i="4" s="1"/>
  <c r="AA100" i="4"/>
  <c r="W100" i="4"/>
  <c r="X100" i="4" s="1"/>
  <c r="U100" i="4"/>
  <c r="R100" i="4"/>
  <c r="O100" i="4"/>
  <c r="N100" i="4"/>
  <c r="L100" i="4"/>
  <c r="I100" i="4"/>
  <c r="H100" i="4"/>
  <c r="F100" i="4"/>
  <c r="C100" i="4"/>
  <c r="AC99" i="4"/>
  <c r="AD99" i="4" s="1"/>
  <c r="AA99" i="4"/>
  <c r="W99" i="4"/>
  <c r="X99" i="4" s="1"/>
  <c r="U99" i="4"/>
  <c r="R99" i="4"/>
  <c r="O99" i="4"/>
  <c r="N99" i="4"/>
  <c r="L99" i="4"/>
  <c r="I99" i="4"/>
  <c r="H99" i="4"/>
  <c r="F99" i="4"/>
  <c r="C99" i="4"/>
  <c r="AC98" i="4"/>
  <c r="AD98" i="4" s="1"/>
  <c r="AA98" i="4"/>
  <c r="W98" i="4"/>
  <c r="X98" i="4" s="1"/>
  <c r="U98" i="4"/>
  <c r="R98" i="4"/>
  <c r="O98" i="4"/>
  <c r="N98" i="4"/>
  <c r="L98" i="4"/>
  <c r="H98" i="4"/>
  <c r="I98" i="4" s="1"/>
  <c r="F98" i="4"/>
  <c r="C98" i="4"/>
  <c r="AC97" i="4"/>
  <c r="AD97" i="4" s="1"/>
  <c r="AA97" i="4"/>
  <c r="X97" i="4"/>
  <c r="W97" i="4"/>
  <c r="U97" i="4"/>
  <c r="R97" i="4"/>
  <c r="O97" i="4"/>
  <c r="N97" i="4"/>
  <c r="L97" i="4"/>
  <c r="I97" i="4"/>
  <c r="H97" i="4"/>
  <c r="F97" i="4"/>
  <c r="C97" i="4"/>
  <c r="AC96" i="4"/>
  <c r="AD96" i="4" s="1"/>
  <c r="AA96" i="4"/>
  <c r="W96" i="4"/>
  <c r="X96" i="4" s="1"/>
  <c r="U96" i="4"/>
  <c r="R96" i="4"/>
  <c r="O96" i="4"/>
  <c r="N96" i="4"/>
  <c r="L96" i="4"/>
  <c r="H96" i="4"/>
  <c r="I96" i="4" s="1"/>
  <c r="F96" i="4"/>
  <c r="C96" i="4"/>
  <c r="AC95" i="4"/>
  <c r="AD95" i="4" s="1"/>
  <c r="AA95" i="4"/>
  <c r="W95" i="4"/>
  <c r="X95" i="4" s="1"/>
  <c r="U95" i="4"/>
  <c r="R95" i="4"/>
  <c r="O95" i="4"/>
  <c r="N95" i="4"/>
  <c r="L95" i="4"/>
  <c r="I95" i="4"/>
  <c r="H95" i="4"/>
  <c r="F95" i="4"/>
  <c r="C95" i="4"/>
  <c r="AC94" i="4"/>
  <c r="AD94" i="4" s="1"/>
  <c r="AA94" i="4"/>
  <c r="W94" i="4"/>
  <c r="X94" i="4" s="1"/>
  <c r="U94" i="4"/>
  <c r="R94" i="4"/>
  <c r="N94" i="4"/>
  <c r="O94" i="4" s="1"/>
  <c r="L94" i="4"/>
  <c r="H94" i="4"/>
  <c r="I94" i="4" s="1"/>
  <c r="F94" i="4"/>
  <c r="C94" i="4"/>
  <c r="AC92" i="4"/>
  <c r="AD92" i="4" s="1"/>
  <c r="AA92" i="4"/>
  <c r="X92" i="4"/>
  <c r="W92" i="4"/>
  <c r="U92" i="4"/>
  <c r="R92" i="4"/>
  <c r="O92" i="4"/>
  <c r="N92" i="4"/>
  <c r="L92" i="4"/>
  <c r="H92" i="4"/>
  <c r="I92" i="4" s="1"/>
  <c r="F92" i="4"/>
  <c r="C92" i="4"/>
  <c r="AC91" i="4"/>
  <c r="AD91" i="4" s="1"/>
  <c r="AA91" i="4"/>
  <c r="W91" i="4"/>
  <c r="X91" i="4" s="1"/>
  <c r="U91" i="4"/>
  <c r="R91" i="4"/>
  <c r="N91" i="4"/>
  <c r="O91" i="4" s="1"/>
  <c r="L91" i="4"/>
  <c r="H91" i="4"/>
  <c r="I91" i="4" s="1"/>
  <c r="F91" i="4"/>
  <c r="C91" i="4"/>
  <c r="AC90" i="4"/>
  <c r="AD90" i="4" s="1"/>
  <c r="AA90" i="4"/>
  <c r="W90" i="4"/>
  <c r="X90" i="4" s="1"/>
  <c r="U90" i="4"/>
  <c r="R90" i="4"/>
  <c r="O90" i="4"/>
  <c r="N90" i="4"/>
  <c r="L90" i="4"/>
  <c r="H90" i="4"/>
  <c r="I90" i="4" s="1"/>
  <c r="F90" i="4"/>
  <c r="C90" i="4"/>
  <c r="AC89" i="4"/>
  <c r="AD89" i="4" s="1"/>
  <c r="AA89" i="4"/>
  <c r="X89" i="4"/>
  <c r="W89" i="4"/>
  <c r="U89" i="4"/>
  <c r="R89" i="4"/>
  <c r="N89" i="4"/>
  <c r="O89" i="4" s="1"/>
  <c r="L89" i="4"/>
  <c r="H89" i="4"/>
  <c r="I89" i="4" s="1"/>
  <c r="F89" i="4"/>
  <c r="C89" i="4"/>
  <c r="Z88" i="4"/>
  <c r="AC88" i="4" s="1"/>
  <c r="AD88" i="4" s="1"/>
  <c r="T88" i="4"/>
  <c r="W88" i="4" s="1"/>
  <c r="X88" i="4" s="1"/>
  <c r="Q88" i="4"/>
  <c r="R88" i="4" s="1"/>
  <c r="K88" i="4"/>
  <c r="L88" i="4" s="1"/>
  <c r="H88" i="4"/>
  <c r="I88" i="4" s="1"/>
  <c r="F88" i="4"/>
  <c r="E88" i="4"/>
  <c r="B88" i="4"/>
  <c r="C88" i="4" s="1"/>
  <c r="AC87" i="4"/>
  <c r="AD87" i="4" s="1"/>
  <c r="AA87" i="4"/>
  <c r="X87" i="4"/>
  <c r="W87" i="4"/>
  <c r="U87" i="4"/>
  <c r="R87" i="4"/>
  <c r="O87" i="4"/>
  <c r="N87" i="4"/>
  <c r="L87" i="4"/>
  <c r="I87" i="4"/>
  <c r="H87" i="4"/>
  <c r="F87" i="4"/>
  <c r="C87" i="4"/>
  <c r="AC86" i="4"/>
  <c r="AD86" i="4" s="1"/>
  <c r="AA86" i="4"/>
  <c r="W86" i="4"/>
  <c r="X86" i="4" s="1"/>
  <c r="U86" i="4"/>
  <c r="R86" i="4"/>
  <c r="O86" i="4"/>
  <c r="N86" i="4"/>
  <c r="L86" i="4"/>
  <c r="H86" i="4"/>
  <c r="I86" i="4" s="1"/>
  <c r="F86" i="4"/>
  <c r="C86" i="4"/>
  <c r="AC85" i="4"/>
  <c r="AD85" i="4" s="1"/>
  <c r="AA85" i="4"/>
  <c r="X85" i="4"/>
  <c r="W85" i="4"/>
  <c r="U85" i="4"/>
  <c r="R85" i="4"/>
  <c r="O85" i="4"/>
  <c r="N85" i="4"/>
  <c r="L85" i="4"/>
  <c r="I85" i="4"/>
  <c r="H85" i="4"/>
  <c r="F85" i="4"/>
  <c r="C85" i="4"/>
  <c r="AC84" i="4"/>
  <c r="AD84" i="4" s="1"/>
  <c r="AA84" i="4"/>
  <c r="W84" i="4"/>
  <c r="X84" i="4" s="1"/>
  <c r="U84" i="4"/>
  <c r="R84" i="4"/>
  <c r="O84" i="4"/>
  <c r="N84" i="4"/>
  <c r="L84" i="4"/>
  <c r="H84" i="4"/>
  <c r="I84" i="4" s="1"/>
  <c r="F84" i="4"/>
  <c r="C84" i="4"/>
  <c r="AC83" i="4"/>
  <c r="AD83" i="4" s="1"/>
  <c r="AA83" i="4"/>
  <c r="W83" i="4"/>
  <c r="X83" i="4" s="1"/>
  <c r="U83" i="4"/>
  <c r="R83" i="4"/>
  <c r="O83" i="4"/>
  <c r="N83" i="4"/>
  <c r="L83" i="4"/>
  <c r="I83" i="4"/>
  <c r="H83" i="4"/>
  <c r="F83" i="4"/>
  <c r="C83" i="4"/>
  <c r="AC82" i="4"/>
  <c r="AD82" i="4" s="1"/>
  <c r="AA82" i="4"/>
  <c r="W82" i="4"/>
  <c r="X82" i="4" s="1"/>
  <c r="U82" i="4"/>
  <c r="R82" i="4"/>
  <c r="N82" i="4"/>
  <c r="O82" i="4" s="1"/>
  <c r="L82" i="4"/>
  <c r="H82" i="4"/>
  <c r="I82" i="4" s="1"/>
  <c r="F82" i="4"/>
  <c r="C82" i="4"/>
  <c r="AC81" i="4"/>
  <c r="AD81" i="4" s="1"/>
  <c r="AA81" i="4"/>
  <c r="X81" i="4"/>
  <c r="W81" i="4"/>
  <c r="U81" i="4"/>
  <c r="R81" i="4"/>
  <c r="O81" i="4"/>
  <c r="N81" i="4"/>
  <c r="L81" i="4"/>
  <c r="H81" i="4"/>
  <c r="I81" i="4" s="1"/>
  <c r="F81" i="4"/>
  <c r="C81" i="4"/>
  <c r="AC80" i="4"/>
  <c r="AD80" i="4" s="1"/>
  <c r="AA80" i="4"/>
  <c r="X80" i="4"/>
  <c r="W80" i="4"/>
  <c r="U80" i="4"/>
  <c r="R80" i="4"/>
  <c r="N80" i="4"/>
  <c r="O80" i="4" s="1"/>
  <c r="L80" i="4"/>
  <c r="H80" i="4"/>
  <c r="I80" i="4" s="1"/>
  <c r="F80" i="4"/>
  <c r="C80" i="4"/>
  <c r="AC79" i="4"/>
  <c r="AD79" i="4" s="1"/>
  <c r="AA79" i="4"/>
  <c r="W79" i="4"/>
  <c r="X79" i="4" s="1"/>
  <c r="U79" i="4"/>
  <c r="R79" i="4"/>
  <c r="O79" i="4"/>
  <c r="N79" i="4"/>
  <c r="L79" i="4"/>
  <c r="H79" i="4"/>
  <c r="I79" i="4" s="1"/>
  <c r="F79" i="4"/>
  <c r="C79" i="4"/>
  <c r="AD78" i="4"/>
  <c r="AC78" i="4"/>
  <c r="AA78" i="4"/>
  <c r="X78" i="4"/>
  <c r="W78" i="4"/>
  <c r="U78" i="4"/>
  <c r="R78" i="4"/>
  <c r="N78" i="4"/>
  <c r="O78" i="4" s="1"/>
  <c r="L78" i="4"/>
  <c r="H78" i="4"/>
  <c r="I78" i="4" s="1"/>
  <c r="F78" i="4"/>
  <c r="C78" i="4"/>
  <c r="AC77" i="4"/>
  <c r="AD77" i="4" s="1"/>
  <c r="AA77" i="4"/>
  <c r="X77" i="4"/>
  <c r="W77" i="4"/>
  <c r="U77" i="4"/>
  <c r="R77" i="4"/>
  <c r="N77" i="4"/>
  <c r="O77" i="4" s="1"/>
  <c r="L77" i="4"/>
  <c r="H77" i="4"/>
  <c r="I77" i="4" s="1"/>
  <c r="F77" i="4"/>
  <c r="C77" i="4"/>
  <c r="AD76" i="4"/>
  <c r="AC76" i="4"/>
  <c r="AA76" i="4"/>
  <c r="X76" i="4"/>
  <c r="W76" i="4"/>
  <c r="U76" i="4"/>
  <c r="R76" i="4"/>
  <c r="N76" i="4"/>
  <c r="O76" i="4" s="1"/>
  <c r="L76" i="4"/>
  <c r="H76" i="4"/>
  <c r="I76" i="4" s="1"/>
  <c r="F76" i="4"/>
  <c r="C76" i="4"/>
  <c r="AC75" i="4"/>
  <c r="AD75" i="4" s="1"/>
  <c r="AA75" i="4"/>
  <c r="X75" i="4"/>
  <c r="W75" i="4"/>
  <c r="U75" i="4"/>
  <c r="R75" i="4"/>
  <c r="O75" i="4"/>
  <c r="N75" i="4"/>
  <c r="L75" i="4"/>
  <c r="H75" i="4"/>
  <c r="I75" i="4" s="1"/>
  <c r="F75" i="4"/>
  <c r="C75" i="4"/>
  <c r="Z73" i="4"/>
  <c r="AA73" i="4" s="1"/>
  <c r="W73" i="4"/>
  <c r="X73" i="4" s="1"/>
  <c r="U73" i="4"/>
  <c r="T73" i="4"/>
  <c r="Q73" i="4"/>
  <c r="R73" i="4" s="1"/>
  <c r="L73" i="4"/>
  <c r="K73" i="4"/>
  <c r="H73" i="4"/>
  <c r="I73" i="4" s="1"/>
  <c r="E73" i="4"/>
  <c r="F73" i="4" s="1"/>
  <c r="B73" i="4"/>
  <c r="C73" i="4" s="1"/>
  <c r="AC72" i="4"/>
  <c r="AD72" i="4" s="1"/>
  <c r="AA72" i="4"/>
  <c r="W72" i="4"/>
  <c r="X72" i="4" s="1"/>
  <c r="U72" i="4"/>
  <c r="R72" i="4"/>
  <c r="O72" i="4"/>
  <c r="N72" i="4"/>
  <c r="L72" i="4"/>
  <c r="H72" i="4"/>
  <c r="I72" i="4" s="1"/>
  <c r="F72" i="4"/>
  <c r="C72" i="4"/>
  <c r="AC71" i="4"/>
  <c r="AD71" i="4" s="1"/>
  <c r="AA71" i="4"/>
  <c r="W71" i="4"/>
  <c r="X71" i="4" s="1"/>
  <c r="U71" i="4"/>
  <c r="R71" i="4"/>
  <c r="O71" i="4"/>
  <c r="N71" i="4"/>
  <c r="L71" i="4"/>
  <c r="I71" i="4"/>
  <c r="H71" i="4"/>
  <c r="F71" i="4"/>
  <c r="C71" i="4"/>
  <c r="AC70" i="4"/>
  <c r="AD70" i="4" s="1"/>
  <c r="AA70" i="4"/>
  <c r="W70" i="4"/>
  <c r="X70" i="4" s="1"/>
  <c r="U70" i="4"/>
  <c r="R70" i="4"/>
  <c r="N70" i="4"/>
  <c r="O70" i="4" s="1"/>
  <c r="L70" i="4"/>
  <c r="H70" i="4"/>
  <c r="I70" i="4" s="1"/>
  <c r="F70" i="4"/>
  <c r="C70" i="4"/>
  <c r="AC69" i="4"/>
  <c r="AD69" i="4" s="1"/>
  <c r="AA69" i="4"/>
  <c r="X69" i="4"/>
  <c r="W69" i="4"/>
  <c r="U69" i="4"/>
  <c r="R69" i="4"/>
  <c r="O69" i="4"/>
  <c r="N69" i="4"/>
  <c r="L69" i="4"/>
  <c r="H69" i="4"/>
  <c r="I69" i="4" s="1"/>
  <c r="F69" i="4"/>
  <c r="C69" i="4"/>
  <c r="AC68" i="4"/>
  <c r="AD68" i="4" s="1"/>
  <c r="AA68" i="4"/>
  <c r="X68" i="4"/>
  <c r="W68" i="4"/>
  <c r="U68" i="4"/>
  <c r="R68" i="4"/>
  <c r="N68" i="4"/>
  <c r="O68" i="4" s="1"/>
  <c r="L68" i="4"/>
  <c r="H68" i="4"/>
  <c r="I68" i="4" s="1"/>
  <c r="F68" i="4"/>
  <c r="C68" i="4"/>
  <c r="AC67" i="4"/>
  <c r="AD67" i="4" s="1"/>
  <c r="AA67" i="4"/>
  <c r="W67" i="4"/>
  <c r="X67" i="4" s="1"/>
  <c r="U67" i="4"/>
  <c r="R67" i="4"/>
  <c r="O67" i="4"/>
  <c r="N67" i="4"/>
  <c r="L67" i="4"/>
  <c r="H67" i="4"/>
  <c r="I67" i="4" s="1"/>
  <c r="F67" i="4"/>
  <c r="C67" i="4"/>
  <c r="AD66" i="4"/>
  <c r="AC66" i="4"/>
  <c r="AA66" i="4"/>
  <c r="X66" i="4"/>
  <c r="W66" i="4"/>
  <c r="U66" i="4"/>
  <c r="R66" i="4"/>
  <c r="N66" i="4"/>
  <c r="O66" i="4" s="1"/>
  <c r="L66" i="4"/>
  <c r="H66" i="4"/>
  <c r="I66" i="4" s="1"/>
  <c r="F66" i="4"/>
  <c r="C66" i="4"/>
  <c r="AC65" i="4"/>
  <c r="AD65" i="4" s="1"/>
  <c r="AA65" i="4"/>
  <c r="X65" i="4"/>
  <c r="W65" i="4"/>
  <c r="U65" i="4"/>
  <c r="R65" i="4"/>
  <c r="N65" i="4"/>
  <c r="O65" i="4" s="1"/>
  <c r="L65" i="4"/>
  <c r="H65" i="4"/>
  <c r="I65" i="4" s="1"/>
  <c r="F65" i="4"/>
  <c r="C65" i="4"/>
  <c r="AD64" i="4"/>
  <c r="AC64" i="4"/>
  <c r="AA64" i="4"/>
  <c r="X64" i="4"/>
  <c r="W64" i="4"/>
  <c r="U64" i="4"/>
  <c r="R64" i="4"/>
  <c r="N64" i="4"/>
  <c r="O64" i="4" s="1"/>
  <c r="L64" i="4"/>
  <c r="H64" i="4"/>
  <c r="I64" i="4" s="1"/>
  <c r="F64" i="4"/>
  <c r="C64" i="4"/>
  <c r="Z62" i="4"/>
  <c r="AA62" i="4" s="1"/>
  <c r="U62" i="4"/>
  <c r="T62" i="4"/>
  <c r="Q62" i="4"/>
  <c r="R62" i="4" s="1"/>
  <c r="L62" i="4"/>
  <c r="K62" i="4"/>
  <c r="E62" i="4"/>
  <c r="F62" i="4" s="1"/>
  <c r="C62" i="4"/>
  <c r="B62" i="4"/>
  <c r="H62" i="4" s="1"/>
  <c r="I62" i="4" s="1"/>
  <c r="AC61" i="4"/>
  <c r="AD61" i="4" s="1"/>
  <c r="Z61" i="4"/>
  <c r="AA61" i="4" s="1"/>
  <c r="T61" i="4"/>
  <c r="U61" i="4" s="1"/>
  <c r="Q61" i="4"/>
  <c r="W61" i="4" s="1"/>
  <c r="X61" i="4" s="1"/>
  <c r="K61" i="4"/>
  <c r="L61" i="4" s="1"/>
  <c r="F61" i="4"/>
  <c r="E61" i="4"/>
  <c r="B61" i="4"/>
  <c r="H61" i="4" s="1"/>
  <c r="I61" i="4" s="1"/>
  <c r="AC60" i="4"/>
  <c r="AD60" i="4" s="1"/>
  <c r="AA60" i="4"/>
  <c r="X60" i="4"/>
  <c r="W60" i="4"/>
  <c r="U60" i="4"/>
  <c r="R60" i="4"/>
  <c r="O60" i="4"/>
  <c r="N60" i="4"/>
  <c r="L60" i="4"/>
  <c r="H60" i="4"/>
  <c r="I60" i="4" s="1"/>
  <c r="F60" i="4"/>
  <c r="C60" i="4"/>
  <c r="AC59" i="4"/>
  <c r="AD59" i="4" s="1"/>
  <c r="AA59" i="4"/>
  <c r="W59" i="4"/>
  <c r="X59" i="4" s="1"/>
  <c r="U59" i="4"/>
  <c r="R59" i="4"/>
  <c r="O59" i="4"/>
  <c r="N59" i="4"/>
  <c r="L59" i="4"/>
  <c r="H59" i="4"/>
  <c r="I59" i="4" s="1"/>
  <c r="F59" i="4"/>
  <c r="C59" i="4"/>
  <c r="AD58" i="4"/>
  <c r="AC58" i="4"/>
  <c r="AA58" i="4"/>
  <c r="X58" i="4"/>
  <c r="W58" i="4"/>
  <c r="U58" i="4"/>
  <c r="R58" i="4"/>
  <c r="N58" i="4"/>
  <c r="O58" i="4" s="1"/>
  <c r="L58" i="4"/>
  <c r="I58" i="4"/>
  <c r="H58" i="4"/>
  <c r="F58" i="4"/>
  <c r="C58" i="4"/>
  <c r="AC57" i="4"/>
  <c r="AD57" i="4" s="1"/>
  <c r="AA57" i="4"/>
  <c r="W57" i="4"/>
  <c r="X57" i="4" s="1"/>
  <c r="U57" i="4"/>
  <c r="R57" i="4"/>
  <c r="O57" i="4"/>
  <c r="N57" i="4"/>
  <c r="L57" i="4"/>
  <c r="I57" i="4"/>
  <c r="H57" i="4"/>
  <c r="F57" i="4"/>
  <c r="C57" i="4"/>
  <c r="AC56" i="4"/>
  <c r="AD56" i="4" s="1"/>
  <c r="AA56" i="4"/>
  <c r="W56" i="4"/>
  <c r="X56" i="4" s="1"/>
  <c r="U56" i="4"/>
  <c r="R56" i="4"/>
  <c r="O56" i="4"/>
  <c r="N56" i="4"/>
  <c r="L56" i="4"/>
  <c r="I56" i="4"/>
  <c r="H56" i="4"/>
  <c r="F56" i="4"/>
  <c r="C56" i="4"/>
  <c r="AC55" i="4"/>
  <c r="AD55" i="4" s="1"/>
  <c r="AA55" i="4"/>
  <c r="W55" i="4"/>
  <c r="X55" i="4" s="1"/>
  <c r="U55" i="4"/>
  <c r="R55" i="4"/>
  <c r="O55" i="4"/>
  <c r="N55" i="4"/>
  <c r="L55" i="4"/>
  <c r="H55" i="4"/>
  <c r="I55" i="4" s="1"/>
  <c r="F55" i="4"/>
  <c r="C55" i="4"/>
  <c r="AC54" i="4"/>
  <c r="AD54" i="4" s="1"/>
  <c r="AA54" i="4"/>
  <c r="X54" i="4"/>
  <c r="W54" i="4"/>
  <c r="U54" i="4"/>
  <c r="R54" i="4"/>
  <c r="O54" i="4"/>
  <c r="N54" i="4"/>
  <c r="L54" i="4"/>
  <c r="I54" i="4"/>
  <c r="H54" i="4"/>
  <c r="F54" i="4"/>
  <c r="C54" i="4"/>
  <c r="AC53" i="4"/>
  <c r="AD53" i="4" s="1"/>
  <c r="AA53" i="4"/>
  <c r="W53" i="4"/>
  <c r="X53" i="4" s="1"/>
  <c r="U53" i="4"/>
  <c r="R53" i="4"/>
  <c r="N53" i="4"/>
  <c r="O53" i="4" s="1"/>
  <c r="L53" i="4"/>
  <c r="H53" i="4"/>
  <c r="I53" i="4" s="1"/>
  <c r="F53" i="4"/>
  <c r="C53" i="4"/>
  <c r="AC52" i="4"/>
  <c r="AD52" i="4" s="1"/>
  <c r="AA52" i="4"/>
  <c r="W52" i="4"/>
  <c r="X52" i="4" s="1"/>
  <c r="U52" i="4"/>
  <c r="R52" i="4"/>
  <c r="O52" i="4"/>
  <c r="N52" i="4"/>
  <c r="L52" i="4"/>
  <c r="H52" i="4"/>
  <c r="I52" i="4" s="1"/>
  <c r="F52" i="4"/>
  <c r="C52" i="4"/>
  <c r="AC51" i="4"/>
  <c r="AD51" i="4" s="1"/>
  <c r="AA51" i="4"/>
  <c r="X51" i="4"/>
  <c r="W51" i="4"/>
  <c r="U51" i="4"/>
  <c r="R51" i="4"/>
  <c r="N51" i="4"/>
  <c r="O51" i="4" s="1"/>
  <c r="L51" i="4"/>
  <c r="H51" i="4"/>
  <c r="I51" i="4" s="1"/>
  <c r="F51" i="4"/>
  <c r="C51" i="4"/>
  <c r="AD50" i="4"/>
  <c r="AC50" i="4"/>
  <c r="AA50" i="4"/>
  <c r="X50" i="4"/>
  <c r="W50" i="4"/>
  <c r="U50" i="4"/>
  <c r="R50" i="4"/>
  <c r="N50" i="4"/>
  <c r="O50" i="4" s="1"/>
  <c r="L50" i="4"/>
  <c r="H50" i="4"/>
  <c r="I50" i="4" s="1"/>
  <c r="F50" i="4"/>
  <c r="C50" i="4"/>
  <c r="AC49" i="4"/>
  <c r="AD49" i="4" s="1"/>
  <c r="AA49" i="4"/>
  <c r="W49" i="4"/>
  <c r="X49" i="4" s="1"/>
  <c r="U49" i="4"/>
  <c r="R49" i="4"/>
  <c r="O49" i="4"/>
  <c r="N49" i="4"/>
  <c r="L49" i="4"/>
  <c r="I49" i="4"/>
  <c r="H49" i="4"/>
  <c r="F49" i="4"/>
  <c r="C49" i="4"/>
  <c r="AC48" i="4"/>
  <c r="AD48" i="4" s="1"/>
  <c r="AA48" i="4"/>
  <c r="W48" i="4"/>
  <c r="X48" i="4" s="1"/>
  <c r="U48" i="4"/>
  <c r="R48" i="4"/>
  <c r="O48" i="4"/>
  <c r="N48" i="4"/>
  <c r="L48" i="4"/>
  <c r="H48" i="4"/>
  <c r="I48" i="4" s="1"/>
  <c r="F48" i="4"/>
  <c r="C48" i="4"/>
  <c r="AC47" i="4"/>
  <c r="AD47" i="4" s="1"/>
  <c r="AA47" i="4"/>
  <c r="X47" i="4"/>
  <c r="W47" i="4"/>
  <c r="U47" i="4"/>
  <c r="R47" i="4"/>
  <c r="N47" i="4"/>
  <c r="O47" i="4" s="1"/>
  <c r="L47" i="4"/>
  <c r="H47" i="4"/>
  <c r="I47" i="4" s="1"/>
  <c r="F47" i="4"/>
  <c r="C47" i="4"/>
  <c r="AD46" i="4"/>
  <c r="AC46" i="4"/>
  <c r="AA46" i="4"/>
  <c r="X46" i="4"/>
  <c r="W46" i="4"/>
  <c r="U46" i="4"/>
  <c r="R46" i="4"/>
  <c r="N46" i="4"/>
  <c r="O46" i="4" s="1"/>
  <c r="L46" i="4"/>
  <c r="H46" i="4"/>
  <c r="I46" i="4" s="1"/>
  <c r="F46" i="4"/>
  <c r="C46" i="4"/>
  <c r="AC44" i="4"/>
  <c r="AD44" i="4" s="1"/>
  <c r="AA44" i="4"/>
  <c r="W44" i="4"/>
  <c r="X44" i="4" s="1"/>
  <c r="U44" i="4"/>
  <c r="R44" i="4"/>
  <c r="O44" i="4"/>
  <c r="N44" i="4"/>
  <c r="L44" i="4"/>
  <c r="I44" i="4"/>
  <c r="H44" i="4"/>
  <c r="F44" i="4"/>
  <c r="C44" i="4"/>
  <c r="AC43" i="4"/>
  <c r="AD43" i="4" s="1"/>
  <c r="AA43" i="4"/>
  <c r="W43" i="4"/>
  <c r="X43" i="4" s="1"/>
  <c r="U43" i="4"/>
  <c r="R43" i="4"/>
  <c r="O43" i="4"/>
  <c r="N43" i="4"/>
  <c r="L43" i="4"/>
  <c r="H43" i="4"/>
  <c r="I43" i="4" s="1"/>
  <c r="F43" i="4"/>
  <c r="C43" i="4"/>
  <c r="AC42" i="4"/>
  <c r="AD42" i="4" s="1"/>
  <c r="AA42" i="4"/>
  <c r="X42" i="4"/>
  <c r="W42" i="4"/>
  <c r="U42" i="4"/>
  <c r="R42" i="4"/>
  <c r="N42" i="4"/>
  <c r="O42" i="4" s="1"/>
  <c r="L42" i="4"/>
  <c r="H42" i="4"/>
  <c r="I42" i="4" s="1"/>
  <c r="F42" i="4"/>
  <c r="C42" i="4"/>
  <c r="Z40" i="4"/>
  <c r="AA40" i="4" s="1"/>
  <c r="W40" i="4"/>
  <c r="X40" i="4" s="1"/>
  <c r="T40" i="4"/>
  <c r="U40" i="4" s="1"/>
  <c r="R40" i="4"/>
  <c r="Q40" i="4"/>
  <c r="AC40" i="4" s="1"/>
  <c r="AD40" i="4" s="1"/>
  <c r="K40" i="4"/>
  <c r="L40" i="4" s="1"/>
  <c r="H40" i="4"/>
  <c r="I40" i="4" s="1"/>
  <c r="F40" i="4"/>
  <c r="E40" i="4"/>
  <c r="B40" i="4"/>
  <c r="C40" i="4" s="1"/>
  <c r="AC39" i="4"/>
  <c r="AD39" i="4" s="1"/>
  <c r="AA39" i="4"/>
  <c r="W39" i="4"/>
  <c r="X39" i="4" s="1"/>
  <c r="U39" i="4"/>
  <c r="R39" i="4"/>
  <c r="O39" i="4"/>
  <c r="N39" i="4"/>
  <c r="L39" i="4"/>
  <c r="H39" i="4"/>
  <c r="I39" i="4" s="1"/>
  <c r="F39" i="4"/>
  <c r="C39" i="4"/>
  <c r="AC38" i="4"/>
  <c r="AD38" i="4" s="1"/>
  <c r="AA38" i="4"/>
  <c r="X38" i="4"/>
  <c r="W38" i="4"/>
  <c r="U38" i="4"/>
  <c r="R38" i="4"/>
  <c r="O38" i="4"/>
  <c r="N38" i="4"/>
  <c r="L38" i="4"/>
  <c r="H38" i="4"/>
  <c r="I38" i="4" s="1"/>
  <c r="F38" i="4"/>
  <c r="C38" i="4"/>
  <c r="AD37" i="4"/>
  <c r="AC37" i="4"/>
  <c r="AA37" i="4"/>
  <c r="X37" i="4"/>
  <c r="W37" i="4"/>
  <c r="U37" i="4"/>
  <c r="R37" i="4"/>
  <c r="N37" i="4"/>
  <c r="O37" i="4" s="1"/>
  <c r="L37" i="4"/>
  <c r="H37" i="4"/>
  <c r="I37" i="4" s="1"/>
  <c r="F37" i="4"/>
  <c r="C37" i="4"/>
  <c r="AC36" i="4"/>
  <c r="AD36" i="4" s="1"/>
  <c r="AA36" i="4"/>
  <c r="X36" i="4"/>
  <c r="W36" i="4"/>
  <c r="U36" i="4"/>
  <c r="R36" i="4"/>
  <c r="O36" i="4"/>
  <c r="N36" i="4"/>
  <c r="L36" i="4"/>
  <c r="I36" i="4"/>
  <c r="H36" i="4"/>
  <c r="F36" i="4"/>
  <c r="C36" i="4"/>
  <c r="AC35" i="4"/>
  <c r="AD35" i="4" s="1"/>
  <c r="AA35" i="4"/>
  <c r="W35" i="4"/>
  <c r="X35" i="4" s="1"/>
  <c r="U35" i="4"/>
  <c r="R35" i="4"/>
  <c r="O35" i="4"/>
  <c r="N35" i="4"/>
  <c r="L35" i="4"/>
  <c r="H35" i="4"/>
  <c r="I35" i="4" s="1"/>
  <c r="F35" i="4"/>
  <c r="C35" i="4"/>
  <c r="AC34" i="4"/>
  <c r="AD34" i="4" s="1"/>
  <c r="AA34" i="4"/>
  <c r="X34" i="4"/>
  <c r="W34" i="4"/>
  <c r="U34" i="4"/>
  <c r="R34" i="4"/>
  <c r="O34" i="4"/>
  <c r="N34" i="4"/>
  <c r="L34" i="4"/>
  <c r="H34" i="4"/>
  <c r="I34" i="4" s="1"/>
  <c r="F34" i="4"/>
  <c r="C34" i="4"/>
  <c r="AD33" i="4"/>
  <c r="AC33" i="4"/>
  <c r="AA33" i="4"/>
  <c r="X33" i="4"/>
  <c r="W33" i="4"/>
  <c r="U33" i="4"/>
  <c r="R33" i="4"/>
  <c r="N33" i="4"/>
  <c r="O33" i="4" s="1"/>
  <c r="L33" i="4"/>
  <c r="H33" i="4"/>
  <c r="I33" i="4" s="1"/>
  <c r="F33" i="4"/>
  <c r="C33" i="4"/>
  <c r="AC32" i="4"/>
  <c r="AD32" i="4" s="1"/>
  <c r="AA32" i="4"/>
  <c r="X32" i="4"/>
  <c r="W32" i="4"/>
  <c r="U32" i="4"/>
  <c r="R32" i="4"/>
  <c r="O32" i="4"/>
  <c r="N32" i="4"/>
  <c r="L32" i="4"/>
  <c r="I32" i="4"/>
  <c r="H32" i="4"/>
  <c r="F32" i="4"/>
  <c r="C32" i="4"/>
  <c r="AC31" i="4"/>
  <c r="AD31" i="4" s="1"/>
  <c r="AA31" i="4"/>
  <c r="W31" i="4"/>
  <c r="X31" i="4" s="1"/>
  <c r="U31" i="4"/>
  <c r="R31" i="4"/>
  <c r="O31" i="4"/>
  <c r="N31" i="4"/>
  <c r="L31" i="4"/>
  <c r="H31" i="4"/>
  <c r="I31" i="4" s="1"/>
  <c r="F31" i="4"/>
  <c r="C31" i="4"/>
  <c r="Z29" i="4"/>
  <c r="AA29" i="4" s="1"/>
  <c r="W29" i="4"/>
  <c r="X29" i="4" s="1"/>
  <c r="U29" i="4"/>
  <c r="T29" i="4"/>
  <c r="Q29" i="4"/>
  <c r="R29" i="4" s="1"/>
  <c r="K29" i="4"/>
  <c r="L29" i="4" s="1"/>
  <c r="E29" i="4"/>
  <c r="F29" i="4" s="1"/>
  <c r="B29" i="4"/>
  <c r="C29" i="4" s="1"/>
  <c r="AC28" i="4"/>
  <c r="AD28" i="4" s="1"/>
  <c r="AA28" i="4"/>
  <c r="X28" i="4"/>
  <c r="W28" i="4"/>
  <c r="U28" i="4"/>
  <c r="R28" i="4"/>
  <c r="O28" i="4"/>
  <c r="N28" i="4"/>
  <c r="L28" i="4"/>
  <c r="I28" i="4"/>
  <c r="H28" i="4"/>
  <c r="F28" i="4"/>
  <c r="C28" i="4"/>
  <c r="AC27" i="4"/>
  <c r="AD27" i="4" s="1"/>
  <c r="AA27" i="4"/>
  <c r="W27" i="4"/>
  <c r="X27" i="4" s="1"/>
  <c r="U27" i="4"/>
  <c r="R27" i="4"/>
  <c r="O27" i="4"/>
  <c r="N27" i="4"/>
  <c r="L27" i="4"/>
  <c r="H27" i="4"/>
  <c r="I27" i="4" s="1"/>
  <c r="F27" i="4"/>
  <c r="C27" i="4"/>
  <c r="AC26" i="4"/>
  <c r="AD26" i="4" s="1"/>
  <c r="AA26" i="4"/>
  <c r="X26" i="4"/>
  <c r="W26" i="4"/>
  <c r="U26" i="4"/>
  <c r="R26" i="4"/>
  <c r="O26" i="4"/>
  <c r="N26" i="4"/>
  <c r="L26" i="4"/>
  <c r="H26" i="4"/>
  <c r="I26" i="4" s="1"/>
  <c r="F26" i="4"/>
  <c r="C26" i="4"/>
  <c r="AD25" i="4"/>
  <c r="AC25" i="4"/>
  <c r="AA25" i="4"/>
  <c r="X25" i="4"/>
  <c r="W25" i="4"/>
  <c r="U25" i="4"/>
  <c r="R25" i="4"/>
  <c r="N25" i="4"/>
  <c r="O25" i="4" s="1"/>
  <c r="L25" i="4"/>
  <c r="H25" i="4"/>
  <c r="I25" i="4" s="1"/>
  <c r="F25" i="4"/>
  <c r="C25" i="4"/>
  <c r="AC24" i="4"/>
  <c r="AD24" i="4" s="1"/>
  <c r="AA24" i="4"/>
  <c r="X24" i="4"/>
  <c r="W24" i="4"/>
  <c r="U24" i="4"/>
  <c r="R24" i="4"/>
  <c r="O24" i="4"/>
  <c r="N24" i="4"/>
  <c r="L24" i="4"/>
  <c r="I24" i="4"/>
  <c r="H24" i="4"/>
  <c r="F24" i="4"/>
  <c r="C24" i="4"/>
  <c r="AC23" i="4"/>
  <c r="AD23" i="4" s="1"/>
  <c r="AA23" i="4"/>
  <c r="W23" i="4"/>
  <c r="X23" i="4" s="1"/>
  <c r="U23" i="4"/>
  <c r="R23" i="4"/>
  <c r="O23" i="4"/>
  <c r="N23" i="4"/>
  <c r="L23" i="4"/>
  <c r="H23" i="4"/>
  <c r="I23" i="4" s="1"/>
  <c r="F23" i="4"/>
  <c r="C23" i="4"/>
  <c r="AC22" i="4"/>
  <c r="AD22" i="4" s="1"/>
  <c r="AA22" i="4"/>
  <c r="X22" i="4"/>
  <c r="W22" i="4"/>
  <c r="U22" i="4"/>
  <c r="R22" i="4"/>
  <c r="O22" i="4"/>
  <c r="N22" i="4"/>
  <c r="L22" i="4"/>
  <c r="H22" i="4"/>
  <c r="I22" i="4" s="1"/>
  <c r="F22" i="4"/>
  <c r="C22" i="4"/>
  <c r="AD21" i="4"/>
  <c r="AC21" i="4"/>
  <c r="AA21" i="4"/>
  <c r="X21" i="4"/>
  <c r="W21" i="4"/>
  <c r="U21" i="4"/>
  <c r="R21" i="4"/>
  <c r="N21" i="4"/>
  <c r="O21" i="4" s="1"/>
  <c r="L21" i="4"/>
  <c r="H21" i="4"/>
  <c r="I21" i="4" s="1"/>
  <c r="F21" i="4"/>
  <c r="C21" i="4"/>
  <c r="AC19" i="4"/>
  <c r="AD19" i="4" s="1"/>
  <c r="AA19" i="4"/>
  <c r="X19" i="4"/>
  <c r="W19" i="4"/>
  <c r="U19" i="4"/>
  <c r="R19" i="4"/>
  <c r="O19" i="4"/>
  <c r="N19" i="4"/>
  <c r="L19" i="4"/>
  <c r="I19" i="4"/>
  <c r="H19" i="4"/>
  <c r="F19" i="4"/>
  <c r="C19" i="4"/>
  <c r="Z18" i="4"/>
  <c r="AA18" i="4" s="1"/>
  <c r="T18" i="4"/>
  <c r="U18" i="4" s="1"/>
  <c r="Q18" i="4"/>
  <c r="R18" i="4" s="1"/>
  <c r="L18" i="4"/>
  <c r="K18" i="4"/>
  <c r="E18" i="4"/>
  <c r="F18" i="4" s="1"/>
  <c r="B18" i="4"/>
  <c r="H18" i="4" s="1"/>
  <c r="I18" i="4" s="1"/>
  <c r="AD17" i="4"/>
  <c r="AC17" i="4"/>
  <c r="AA17" i="4"/>
  <c r="X17" i="4"/>
  <c r="W17" i="4"/>
  <c r="U17" i="4"/>
  <c r="R17" i="4"/>
  <c r="N17" i="4"/>
  <c r="O17" i="4" s="1"/>
  <c r="L17" i="4"/>
  <c r="H17" i="4"/>
  <c r="I17" i="4" s="1"/>
  <c r="F17" i="4"/>
  <c r="C17" i="4"/>
  <c r="AC16" i="4"/>
  <c r="AD16" i="4" s="1"/>
  <c r="AA16" i="4"/>
  <c r="X16" i="4"/>
  <c r="W16" i="4"/>
  <c r="U16" i="4"/>
  <c r="R16" i="4"/>
  <c r="O16" i="4"/>
  <c r="N16" i="4"/>
  <c r="L16" i="4"/>
  <c r="I16" i="4"/>
  <c r="H16" i="4"/>
  <c r="F16" i="4"/>
  <c r="C16" i="4"/>
  <c r="AC15" i="4"/>
  <c r="AD15" i="4" s="1"/>
  <c r="AA15" i="4"/>
  <c r="W15" i="4"/>
  <c r="X15" i="4" s="1"/>
  <c r="U15" i="4"/>
  <c r="R15" i="4"/>
  <c r="O15" i="4"/>
  <c r="N15" i="4"/>
  <c r="L15" i="4"/>
  <c r="H15" i="4"/>
  <c r="I15" i="4" s="1"/>
  <c r="F15" i="4"/>
  <c r="C15" i="4"/>
  <c r="AC14" i="4"/>
  <c r="AD14" i="4" s="1"/>
  <c r="AA14" i="4"/>
  <c r="X14" i="4"/>
  <c r="W14" i="4"/>
  <c r="U14" i="4"/>
  <c r="R14" i="4"/>
  <c r="O14" i="4"/>
  <c r="N14" i="4"/>
  <c r="L14" i="4"/>
  <c r="H14" i="4"/>
  <c r="I14" i="4" s="1"/>
  <c r="F14" i="4"/>
  <c r="C14" i="4"/>
  <c r="AD13" i="4"/>
  <c r="AC13" i="4"/>
  <c r="AA13" i="4"/>
  <c r="X13" i="4"/>
  <c r="W13" i="4"/>
  <c r="U13" i="4"/>
  <c r="R13" i="4"/>
  <c r="N13" i="4"/>
  <c r="O13" i="4" s="1"/>
  <c r="L13" i="4"/>
  <c r="H13" i="4"/>
  <c r="I13" i="4" s="1"/>
  <c r="F13" i="4"/>
  <c r="C13" i="4"/>
  <c r="AC12" i="4"/>
  <c r="AD12" i="4" s="1"/>
  <c r="AA12" i="4"/>
  <c r="X12" i="4"/>
  <c r="W12" i="4"/>
  <c r="U12" i="4"/>
  <c r="R12" i="4"/>
  <c r="O12" i="4"/>
  <c r="N12" i="4"/>
  <c r="L12" i="4"/>
  <c r="I12" i="4"/>
  <c r="H12" i="4"/>
  <c r="F12" i="4"/>
  <c r="C12" i="4"/>
  <c r="AC11" i="4"/>
  <c r="AD11" i="4" s="1"/>
  <c r="AA11" i="4"/>
  <c r="W11" i="4"/>
  <c r="X11" i="4" s="1"/>
  <c r="U11" i="4"/>
  <c r="R11" i="4"/>
  <c r="O11" i="4"/>
  <c r="N11" i="4"/>
  <c r="L11" i="4"/>
  <c r="H11" i="4"/>
  <c r="I11" i="4" s="1"/>
  <c r="F11" i="4"/>
  <c r="C11" i="4"/>
  <c r="AC10" i="4"/>
  <c r="AD10" i="4" s="1"/>
  <c r="AA10" i="4"/>
  <c r="X10" i="4"/>
  <c r="W10" i="4"/>
  <c r="U10" i="4"/>
  <c r="R10" i="4"/>
  <c r="O10" i="4"/>
  <c r="N10" i="4"/>
  <c r="L10" i="4"/>
  <c r="H10" i="4"/>
  <c r="I10" i="4" s="1"/>
  <c r="F10" i="4"/>
  <c r="C10" i="4"/>
  <c r="AD8" i="4"/>
  <c r="AC8" i="4"/>
  <c r="AA8" i="4"/>
  <c r="X8" i="4"/>
  <c r="W8" i="4"/>
  <c r="U8" i="4"/>
  <c r="R8" i="4"/>
  <c r="N8" i="4"/>
  <c r="O8" i="4" s="1"/>
  <c r="L8" i="4"/>
  <c r="H8" i="4"/>
  <c r="I8" i="4" s="1"/>
  <c r="F8" i="4"/>
  <c r="C8" i="4"/>
  <c r="AC444" i="3"/>
  <c r="W444" i="3"/>
  <c r="X437" i="3" s="1"/>
  <c r="N444" i="3"/>
  <c r="H444" i="3"/>
  <c r="AA442" i="3"/>
  <c r="Z442" i="3"/>
  <c r="T442" i="3"/>
  <c r="U442" i="3" s="1"/>
  <c r="Q442" i="3"/>
  <c r="W442" i="3" s="1"/>
  <c r="X442" i="3" s="1"/>
  <c r="K442" i="3"/>
  <c r="L442" i="3" s="1"/>
  <c r="E442" i="3"/>
  <c r="F442" i="3" s="1"/>
  <c r="C442" i="3"/>
  <c r="B442" i="3"/>
  <c r="N442" i="3" s="1"/>
  <c r="O442" i="3" s="1"/>
  <c r="Z441" i="3"/>
  <c r="AA441" i="3" s="1"/>
  <c r="W441" i="3"/>
  <c r="X441" i="3" s="1"/>
  <c r="U441" i="3"/>
  <c r="T441" i="3"/>
  <c r="Q441" i="3"/>
  <c r="R441" i="3" s="1"/>
  <c r="K441" i="3"/>
  <c r="N441" i="3" s="1"/>
  <c r="O441" i="3" s="1"/>
  <c r="E441" i="3"/>
  <c r="F441" i="3" s="1"/>
  <c r="B441" i="3"/>
  <c r="AC440" i="3"/>
  <c r="AD440" i="3" s="1"/>
  <c r="AA440" i="3"/>
  <c r="W440" i="3"/>
  <c r="U440" i="3"/>
  <c r="R440" i="3"/>
  <c r="O440" i="3"/>
  <c r="N440" i="3"/>
  <c r="L440" i="3"/>
  <c r="I440" i="3"/>
  <c r="H440" i="3"/>
  <c r="F440" i="3"/>
  <c r="C440" i="3"/>
  <c r="AC439" i="3"/>
  <c r="AD439" i="3" s="1"/>
  <c r="AA439" i="3"/>
  <c r="W439" i="3"/>
  <c r="X439" i="3" s="1"/>
  <c r="U439" i="3"/>
  <c r="R439" i="3"/>
  <c r="N439" i="3"/>
  <c r="L439" i="3"/>
  <c r="H439" i="3"/>
  <c r="I439" i="3" s="1"/>
  <c r="F439" i="3"/>
  <c r="C439" i="3"/>
  <c r="AC438" i="3"/>
  <c r="AD438" i="3" s="1"/>
  <c r="AA438" i="3"/>
  <c r="W438" i="3"/>
  <c r="X438" i="3" s="1"/>
  <c r="U438" i="3"/>
  <c r="R438" i="3"/>
  <c r="N438" i="3"/>
  <c r="L438" i="3"/>
  <c r="H438" i="3"/>
  <c r="I438" i="3" s="1"/>
  <c r="F438" i="3"/>
  <c r="C438" i="3"/>
  <c r="AD437" i="3"/>
  <c r="AC437" i="3"/>
  <c r="AA437" i="3"/>
  <c r="W437" i="3"/>
  <c r="U437" i="3"/>
  <c r="R437" i="3"/>
  <c r="O437" i="3"/>
  <c r="N437" i="3"/>
  <c r="L437" i="3"/>
  <c r="H437" i="3"/>
  <c r="I437" i="3" s="1"/>
  <c r="F437" i="3"/>
  <c r="C437" i="3"/>
  <c r="AC436" i="3"/>
  <c r="AD436" i="3" s="1"/>
  <c r="AA436" i="3"/>
  <c r="W436" i="3"/>
  <c r="U436" i="3"/>
  <c r="R436" i="3"/>
  <c r="O436" i="3"/>
  <c r="N436" i="3"/>
  <c r="L436" i="3"/>
  <c r="I436" i="3"/>
  <c r="H436" i="3"/>
  <c r="F436" i="3"/>
  <c r="C436" i="3"/>
  <c r="AC435" i="3"/>
  <c r="AD435" i="3" s="1"/>
  <c r="AA435" i="3"/>
  <c r="W435" i="3"/>
  <c r="X435" i="3" s="1"/>
  <c r="U435" i="3"/>
  <c r="R435" i="3"/>
  <c r="N435" i="3"/>
  <c r="L435" i="3"/>
  <c r="H435" i="3"/>
  <c r="I435" i="3" s="1"/>
  <c r="F435" i="3"/>
  <c r="C435" i="3"/>
  <c r="AC434" i="3"/>
  <c r="AD434" i="3" s="1"/>
  <c r="AA434" i="3"/>
  <c r="W434" i="3"/>
  <c r="X434" i="3" s="1"/>
  <c r="U434" i="3"/>
  <c r="R434" i="3"/>
  <c r="N434" i="3"/>
  <c r="L434" i="3"/>
  <c r="H434" i="3"/>
  <c r="I434" i="3" s="1"/>
  <c r="F434" i="3"/>
  <c r="C434" i="3"/>
  <c r="AD433" i="3"/>
  <c r="AC433" i="3"/>
  <c r="AA433" i="3"/>
  <c r="W433" i="3"/>
  <c r="U433" i="3"/>
  <c r="R433" i="3"/>
  <c r="O433" i="3"/>
  <c r="N433" i="3"/>
  <c r="L433" i="3"/>
  <c r="H433" i="3"/>
  <c r="I433" i="3" s="1"/>
  <c r="F433" i="3"/>
  <c r="C433" i="3"/>
  <c r="AC432" i="3"/>
  <c r="AD432" i="3" s="1"/>
  <c r="AA432" i="3"/>
  <c r="W432" i="3"/>
  <c r="U432" i="3"/>
  <c r="R432" i="3"/>
  <c r="O432" i="3"/>
  <c r="N432" i="3"/>
  <c r="L432" i="3"/>
  <c r="I432" i="3"/>
  <c r="H432" i="3"/>
  <c r="F432" i="3"/>
  <c r="C432" i="3"/>
  <c r="AA429" i="3"/>
  <c r="Z429" i="3"/>
  <c r="T429" i="3"/>
  <c r="U429" i="3" s="1"/>
  <c r="Q429" i="3"/>
  <c r="AC429" i="3" s="1"/>
  <c r="AD429" i="3" s="1"/>
  <c r="N429" i="3"/>
  <c r="O429" i="3" s="1"/>
  <c r="L429" i="3"/>
  <c r="K429" i="3"/>
  <c r="E429" i="3"/>
  <c r="F429" i="3" s="1"/>
  <c r="B429" i="3"/>
  <c r="H429" i="3" s="1"/>
  <c r="I429" i="3" s="1"/>
  <c r="AD428" i="3"/>
  <c r="Z428" i="3"/>
  <c r="AA428" i="3" s="1"/>
  <c r="W428" i="3"/>
  <c r="X428" i="3" s="1"/>
  <c r="T428" i="3"/>
  <c r="U428" i="3" s="1"/>
  <c r="R428" i="3"/>
  <c r="Q428" i="3"/>
  <c r="AC428" i="3" s="1"/>
  <c r="K428" i="3"/>
  <c r="L428" i="3" s="1"/>
  <c r="I428" i="3"/>
  <c r="H428" i="3"/>
  <c r="F428" i="3"/>
  <c r="E428" i="3"/>
  <c r="B428" i="3"/>
  <c r="C428" i="3" s="1"/>
  <c r="AC427" i="3"/>
  <c r="AD427" i="3" s="1"/>
  <c r="AA427" i="3"/>
  <c r="X427" i="3"/>
  <c r="W427" i="3"/>
  <c r="U427" i="3"/>
  <c r="R427" i="3"/>
  <c r="N427" i="3"/>
  <c r="L427" i="3"/>
  <c r="H427" i="3"/>
  <c r="I427" i="3" s="1"/>
  <c r="F427" i="3"/>
  <c r="C427" i="3"/>
  <c r="AC426" i="3"/>
  <c r="AD426" i="3" s="1"/>
  <c r="AA426" i="3"/>
  <c r="W426" i="3"/>
  <c r="X426" i="3" s="1"/>
  <c r="U426" i="3"/>
  <c r="R426" i="3"/>
  <c r="N426" i="3"/>
  <c r="L426" i="3"/>
  <c r="H426" i="3"/>
  <c r="I426" i="3" s="1"/>
  <c r="F426" i="3"/>
  <c r="C426" i="3"/>
  <c r="AD425" i="3"/>
  <c r="AC425" i="3"/>
  <c r="AA425" i="3"/>
  <c r="W425" i="3"/>
  <c r="U425" i="3"/>
  <c r="R425" i="3"/>
  <c r="O425" i="3"/>
  <c r="N425" i="3"/>
  <c r="L425" i="3"/>
  <c r="H425" i="3"/>
  <c r="I425" i="3" s="1"/>
  <c r="F425" i="3"/>
  <c r="C425" i="3"/>
  <c r="AD424" i="3"/>
  <c r="AC424" i="3"/>
  <c r="AA424" i="3"/>
  <c r="W424" i="3"/>
  <c r="U424" i="3"/>
  <c r="R424" i="3"/>
  <c r="N424" i="3"/>
  <c r="O424" i="3" s="1"/>
  <c r="L424" i="3"/>
  <c r="I424" i="3"/>
  <c r="H424" i="3"/>
  <c r="F424" i="3"/>
  <c r="C424" i="3"/>
  <c r="AC423" i="3"/>
  <c r="AD423" i="3" s="1"/>
  <c r="AA423" i="3"/>
  <c r="X423" i="3"/>
  <c r="W423" i="3"/>
  <c r="U423" i="3"/>
  <c r="R423" i="3"/>
  <c r="N423" i="3"/>
  <c r="L423" i="3"/>
  <c r="H423" i="3"/>
  <c r="I423" i="3" s="1"/>
  <c r="F423" i="3"/>
  <c r="C423" i="3"/>
  <c r="AC422" i="3"/>
  <c r="AD422" i="3" s="1"/>
  <c r="AA422" i="3"/>
  <c r="W422" i="3"/>
  <c r="X422" i="3" s="1"/>
  <c r="U422" i="3"/>
  <c r="R422" i="3"/>
  <c r="N422" i="3"/>
  <c r="L422" i="3"/>
  <c r="H422" i="3"/>
  <c r="I422" i="3" s="1"/>
  <c r="F422" i="3"/>
  <c r="C422" i="3"/>
  <c r="AD421" i="3"/>
  <c r="AC421" i="3"/>
  <c r="AA421" i="3"/>
  <c r="W421" i="3"/>
  <c r="U421" i="3"/>
  <c r="R421" i="3"/>
  <c r="O421" i="3"/>
  <c r="N421" i="3"/>
  <c r="L421" i="3"/>
  <c r="H421" i="3"/>
  <c r="I421" i="3" s="1"/>
  <c r="F421" i="3"/>
  <c r="C421" i="3"/>
  <c r="AD420" i="3"/>
  <c r="AC420" i="3"/>
  <c r="AA420" i="3"/>
  <c r="W420" i="3"/>
  <c r="U420" i="3"/>
  <c r="R420" i="3"/>
  <c r="N420" i="3"/>
  <c r="O420" i="3" s="1"/>
  <c r="L420" i="3"/>
  <c r="I420" i="3"/>
  <c r="H420" i="3"/>
  <c r="F420" i="3"/>
  <c r="C420" i="3"/>
  <c r="AC419" i="3"/>
  <c r="AD419" i="3" s="1"/>
  <c r="AA419" i="3"/>
  <c r="X419" i="3"/>
  <c r="W419" i="3"/>
  <c r="U419" i="3"/>
  <c r="R419" i="3"/>
  <c r="N419" i="3"/>
  <c r="L419" i="3"/>
  <c r="H419" i="3"/>
  <c r="I419" i="3" s="1"/>
  <c r="F419" i="3"/>
  <c r="C419" i="3"/>
  <c r="AC418" i="3"/>
  <c r="AD418" i="3" s="1"/>
  <c r="AA418" i="3"/>
  <c r="W418" i="3"/>
  <c r="X418" i="3" s="1"/>
  <c r="U418" i="3"/>
  <c r="R418" i="3"/>
  <c r="N418" i="3"/>
  <c r="L418" i="3"/>
  <c r="H418" i="3"/>
  <c r="I418" i="3" s="1"/>
  <c r="F418" i="3"/>
  <c r="C418" i="3"/>
  <c r="AD417" i="3"/>
  <c r="AC417" i="3"/>
  <c r="AA417" i="3"/>
  <c r="W417" i="3"/>
  <c r="U417" i="3"/>
  <c r="R417" i="3"/>
  <c r="O417" i="3"/>
  <c r="N417" i="3"/>
  <c r="L417" i="3"/>
  <c r="H417" i="3"/>
  <c r="I417" i="3" s="1"/>
  <c r="F417" i="3"/>
  <c r="C417" i="3"/>
  <c r="AD416" i="3"/>
  <c r="AC416" i="3"/>
  <c r="AA416" i="3"/>
  <c r="W416" i="3"/>
  <c r="U416" i="3"/>
  <c r="R416" i="3"/>
  <c r="N416" i="3"/>
  <c r="O416" i="3" s="1"/>
  <c r="L416" i="3"/>
  <c r="I416" i="3"/>
  <c r="H416" i="3"/>
  <c r="F416" i="3"/>
  <c r="C416" i="3"/>
  <c r="AC415" i="3"/>
  <c r="AD415" i="3" s="1"/>
  <c r="AA415" i="3"/>
  <c r="X415" i="3"/>
  <c r="W415" i="3"/>
  <c r="U415" i="3"/>
  <c r="R415" i="3"/>
  <c r="N415" i="3"/>
  <c r="L415" i="3"/>
  <c r="H415" i="3"/>
  <c r="I415" i="3" s="1"/>
  <c r="F415" i="3"/>
  <c r="C415" i="3"/>
  <c r="AC414" i="3"/>
  <c r="AD414" i="3" s="1"/>
  <c r="AA414" i="3"/>
  <c r="W414" i="3"/>
  <c r="X414" i="3" s="1"/>
  <c r="U414" i="3"/>
  <c r="R414" i="3"/>
  <c r="N414" i="3"/>
  <c r="L414" i="3"/>
  <c r="H414" i="3"/>
  <c r="I414" i="3" s="1"/>
  <c r="F414" i="3"/>
  <c r="C414" i="3"/>
  <c r="AD413" i="3"/>
  <c r="AC413" i="3"/>
  <c r="AA413" i="3"/>
  <c r="W413" i="3"/>
  <c r="U413" i="3"/>
  <c r="R413" i="3"/>
  <c r="O413" i="3"/>
  <c r="N413" i="3"/>
  <c r="L413" i="3"/>
  <c r="H413" i="3"/>
  <c r="I413" i="3" s="1"/>
  <c r="F413" i="3"/>
  <c r="C413" i="3"/>
  <c r="AD412" i="3"/>
  <c r="AC412" i="3"/>
  <c r="AA412" i="3"/>
  <c r="W412" i="3"/>
  <c r="U412" i="3"/>
  <c r="R412" i="3"/>
  <c r="N412" i="3"/>
  <c r="O412" i="3" s="1"/>
  <c r="L412" i="3"/>
  <c r="I412" i="3"/>
  <c r="H412" i="3"/>
  <c r="F412" i="3"/>
  <c r="C412" i="3"/>
  <c r="AC411" i="3"/>
  <c r="AD411" i="3" s="1"/>
  <c r="AA411" i="3"/>
  <c r="X411" i="3"/>
  <c r="W411" i="3"/>
  <c r="U411" i="3"/>
  <c r="R411" i="3"/>
  <c r="N411" i="3"/>
  <c r="L411" i="3"/>
  <c r="H411" i="3"/>
  <c r="I411" i="3" s="1"/>
  <c r="F411" i="3"/>
  <c r="C411" i="3"/>
  <c r="AC410" i="3"/>
  <c r="AD410" i="3" s="1"/>
  <c r="AA410" i="3"/>
  <c r="W410" i="3"/>
  <c r="X410" i="3" s="1"/>
  <c r="U410" i="3"/>
  <c r="R410" i="3"/>
  <c r="N410" i="3"/>
  <c r="L410" i="3"/>
  <c r="H410" i="3"/>
  <c r="I410" i="3" s="1"/>
  <c r="F410" i="3"/>
  <c r="C410" i="3"/>
  <c r="AD409" i="3"/>
  <c r="AC409" i="3"/>
  <c r="AA409" i="3"/>
  <c r="W409" i="3"/>
  <c r="U409" i="3"/>
  <c r="R409" i="3"/>
  <c r="O409" i="3"/>
  <c r="N409" i="3"/>
  <c r="L409" i="3"/>
  <c r="H409" i="3"/>
  <c r="I409" i="3" s="1"/>
  <c r="F409" i="3"/>
  <c r="C409" i="3"/>
  <c r="AC408" i="3"/>
  <c r="AD408" i="3" s="1"/>
  <c r="AA408" i="3"/>
  <c r="W408" i="3"/>
  <c r="U408" i="3"/>
  <c r="R408" i="3"/>
  <c r="N408" i="3"/>
  <c r="O408" i="3" s="1"/>
  <c r="L408" i="3"/>
  <c r="I408" i="3"/>
  <c r="H408" i="3"/>
  <c r="F408" i="3"/>
  <c r="C408" i="3"/>
  <c r="AC407" i="3"/>
  <c r="AD407" i="3" s="1"/>
  <c r="AA407" i="3"/>
  <c r="X407" i="3"/>
  <c r="W407" i="3"/>
  <c r="U407" i="3"/>
  <c r="R407" i="3"/>
  <c r="N407" i="3"/>
  <c r="L407" i="3"/>
  <c r="H407" i="3"/>
  <c r="I407" i="3" s="1"/>
  <c r="F407" i="3"/>
  <c r="C407" i="3"/>
  <c r="AA403" i="3"/>
  <c r="Z403" i="3"/>
  <c r="T403" i="3"/>
  <c r="U403" i="3" s="1"/>
  <c r="Q403" i="3"/>
  <c r="W403" i="3" s="1"/>
  <c r="X403" i="3" s="1"/>
  <c r="K403" i="3"/>
  <c r="L403" i="3" s="1"/>
  <c r="H403" i="3"/>
  <c r="I403" i="3" s="1"/>
  <c r="F403" i="3"/>
  <c r="E403" i="3"/>
  <c r="C403" i="3"/>
  <c r="B403" i="3"/>
  <c r="N403" i="3" s="1"/>
  <c r="O403" i="3" s="1"/>
  <c r="AC402" i="3"/>
  <c r="AD402" i="3" s="1"/>
  <c r="AA402" i="3"/>
  <c r="X402" i="3"/>
  <c r="W402" i="3"/>
  <c r="U402" i="3"/>
  <c r="R402" i="3"/>
  <c r="N402" i="3"/>
  <c r="L402" i="3"/>
  <c r="H402" i="3"/>
  <c r="I402" i="3" s="1"/>
  <c r="F402" i="3"/>
  <c r="C402" i="3"/>
  <c r="AD401" i="3"/>
  <c r="AC401" i="3"/>
  <c r="AA401" i="3"/>
  <c r="W401" i="3"/>
  <c r="U401" i="3"/>
  <c r="R401" i="3"/>
  <c r="N401" i="3"/>
  <c r="O401" i="3" s="1"/>
  <c r="L401" i="3"/>
  <c r="H401" i="3"/>
  <c r="I401" i="3" s="1"/>
  <c r="F401" i="3"/>
  <c r="C401" i="3"/>
  <c r="AC400" i="3"/>
  <c r="AD400" i="3" s="1"/>
  <c r="AA400" i="3"/>
  <c r="W400" i="3"/>
  <c r="U400" i="3"/>
  <c r="R400" i="3"/>
  <c r="N400" i="3"/>
  <c r="O400" i="3" s="1"/>
  <c r="L400" i="3"/>
  <c r="I400" i="3"/>
  <c r="H400" i="3"/>
  <c r="F400" i="3"/>
  <c r="C400" i="3"/>
  <c r="AC399" i="3"/>
  <c r="AD399" i="3" s="1"/>
  <c r="AA399" i="3"/>
  <c r="W399" i="3"/>
  <c r="X399" i="3" s="1"/>
  <c r="U399" i="3"/>
  <c r="R399" i="3"/>
  <c r="N399" i="3"/>
  <c r="L399" i="3"/>
  <c r="I399" i="3"/>
  <c r="H399" i="3"/>
  <c r="F399" i="3"/>
  <c r="C399" i="3"/>
  <c r="AC398" i="3"/>
  <c r="AD398" i="3" s="1"/>
  <c r="AA398" i="3"/>
  <c r="X398" i="3"/>
  <c r="W398" i="3"/>
  <c r="U398" i="3"/>
  <c r="R398" i="3"/>
  <c r="N398" i="3"/>
  <c r="L398" i="3"/>
  <c r="H398" i="3"/>
  <c r="I398" i="3" s="1"/>
  <c r="F398" i="3"/>
  <c r="C398" i="3"/>
  <c r="AD397" i="3"/>
  <c r="AC397" i="3"/>
  <c r="AA397" i="3"/>
  <c r="W397" i="3"/>
  <c r="U397" i="3"/>
  <c r="R397" i="3"/>
  <c r="N397" i="3"/>
  <c r="O397" i="3" s="1"/>
  <c r="L397" i="3"/>
  <c r="H397" i="3"/>
  <c r="I397" i="3" s="1"/>
  <c r="F397" i="3"/>
  <c r="C397" i="3"/>
  <c r="AC396" i="3"/>
  <c r="AD396" i="3" s="1"/>
  <c r="AA396" i="3"/>
  <c r="Z396" i="3"/>
  <c r="T396" i="3"/>
  <c r="U396" i="3" s="1"/>
  <c r="R396" i="3"/>
  <c r="Q396" i="3"/>
  <c r="K396" i="3"/>
  <c r="L396" i="3" s="1"/>
  <c r="E396" i="3"/>
  <c r="H396" i="3" s="1"/>
  <c r="I396" i="3" s="1"/>
  <c r="C396" i="3"/>
  <c r="B396" i="3"/>
  <c r="N396" i="3" s="1"/>
  <c r="O396" i="3" s="1"/>
  <c r="AC395" i="3"/>
  <c r="AD395" i="3" s="1"/>
  <c r="AA395" i="3"/>
  <c r="W395" i="3"/>
  <c r="X395" i="3" s="1"/>
  <c r="U395" i="3"/>
  <c r="R395" i="3"/>
  <c r="N395" i="3"/>
  <c r="L395" i="3"/>
  <c r="H395" i="3"/>
  <c r="I395" i="3" s="1"/>
  <c r="F395" i="3"/>
  <c r="C395" i="3"/>
  <c r="AD394" i="3"/>
  <c r="AC394" i="3"/>
  <c r="AA394" i="3"/>
  <c r="W394" i="3"/>
  <c r="U394" i="3"/>
  <c r="R394" i="3"/>
  <c r="N394" i="3"/>
  <c r="O394" i="3" s="1"/>
  <c r="L394" i="3"/>
  <c r="H394" i="3"/>
  <c r="I394" i="3" s="1"/>
  <c r="F394" i="3"/>
  <c r="C394" i="3"/>
  <c r="AA393" i="3"/>
  <c r="Z393" i="3"/>
  <c r="T393" i="3"/>
  <c r="U393" i="3" s="1"/>
  <c r="Q393" i="3"/>
  <c r="W393" i="3" s="1"/>
  <c r="X393" i="3" s="1"/>
  <c r="K393" i="3"/>
  <c r="L393" i="3" s="1"/>
  <c r="E393" i="3"/>
  <c r="H393" i="3" s="1"/>
  <c r="I393" i="3" s="1"/>
  <c r="C393" i="3"/>
  <c r="B393" i="3"/>
  <c r="N393" i="3" s="1"/>
  <c r="O393" i="3" s="1"/>
  <c r="AC392" i="3"/>
  <c r="AD392" i="3" s="1"/>
  <c r="AA392" i="3"/>
  <c r="X392" i="3"/>
  <c r="W392" i="3"/>
  <c r="U392" i="3"/>
  <c r="R392" i="3"/>
  <c r="N392" i="3"/>
  <c r="L392" i="3"/>
  <c r="H392" i="3"/>
  <c r="I392" i="3" s="1"/>
  <c r="F392" i="3"/>
  <c r="C392" i="3"/>
  <c r="AD391" i="3"/>
  <c r="AC391" i="3"/>
  <c r="AA391" i="3"/>
  <c r="W391" i="3"/>
  <c r="U391" i="3"/>
  <c r="R391" i="3"/>
  <c r="N391" i="3"/>
  <c r="O391" i="3" s="1"/>
  <c r="L391" i="3"/>
  <c r="H391" i="3"/>
  <c r="I391" i="3" s="1"/>
  <c r="F391" i="3"/>
  <c r="C391" i="3"/>
  <c r="AC390" i="3"/>
  <c r="AD390" i="3" s="1"/>
  <c r="AA390" i="3"/>
  <c r="W390" i="3"/>
  <c r="U390" i="3"/>
  <c r="R390" i="3"/>
  <c r="N390" i="3"/>
  <c r="O390" i="3" s="1"/>
  <c r="L390" i="3"/>
  <c r="I390" i="3"/>
  <c r="H390" i="3"/>
  <c r="F390" i="3"/>
  <c r="C390" i="3"/>
  <c r="AC389" i="3"/>
  <c r="AD389" i="3" s="1"/>
  <c r="AA389" i="3"/>
  <c r="X389" i="3"/>
  <c r="W389" i="3"/>
  <c r="U389" i="3"/>
  <c r="R389" i="3"/>
  <c r="N389" i="3"/>
  <c r="L389" i="3"/>
  <c r="H389" i="3"/>
  <c r="I389" i="3" s="1"/>
  <c r="F389" i="3"/>
  <c r="C389" i="3"/>
  <c r="AC388" i="3"/>
  <c r="AD388" i="3" s="1"/>
  <c r="AA388" i="3"/>
  <c r="X388" i="3"/>
  <c r="W388" i="3"/>
  <c r="U388" i="3"/>
  <c r="R388" i="3"/>
  <c r="N388" i="3"/>
  <c r="L388" i="3"/>
  <c r="H388" i="3"/>
  <c r="I388" i="3" s="1"/>
  <c r="F388" i="3"/>
  <c r="C388" i="3"/>
  <c r="AD386" i="3"/>
  <c r="AC386" i="3"/>
  <c r="AA386" i="3"/>
  <c r="W386" i="3"/>
  <c r="U386" i="3"/>
  <c r="R386" i="3"/>
  <c r="N386" i="3"/>
  <c r="O386" i="3" s="1"/>
  <c r="L386" i="3"/>
  <c r="H386" i="3"/>
  <c r="I386" i="3" s="1"/>
  <c r="F386" i="3"/>
  <c r="C386" i="3"/>
  <c r="AC385" i="3"/>
  <c r="AD385" i="3" s="1"/>
  <c r="AA385" i="3"/>
  <c r="W385" i="3"/>
  <c r="U385" i="3"/>
  <c r="R385" i="3"/>
  <c r="N385" i="3"/>
  <c r="O385" i="3" s="1"/>
  <c r="L385" i="3"/>
  <c r="I385" i="3"/>
  <c r="H385" i="3"/>
  <c r="F385" i="3"/>
  <c r="C385" i="3"/>
  <c r="AC383" i="3"/>
  <c r="AD383" i="3" s="1"/>
  <c r="AA383" i="3"/>
  <c r="X383" i="3"/>
  <c r="W383" i="3"/>
  <c r="U383" i="3"/>
  <c r="R383" i="3"/>
  <c r="N383" i="3"/>
  <c r="L383" i="3"/>
  <c r="H383" i="3"/>
  <c r="I383" i="3" s="1"/>
  <c r="F383" i="3"/>
  <c r="C383" i="3"/>
  <c r="AC382" i="3"/>
  <c r="AD382" i="3" s="1"/>
  <c r="AA382" i="3"/>
  <c r="X382" i="3"/>
  <c r="W382" i="3"/>
  <c r="U382" i="3"/>
  <c r="R382" i="3"/>
  <c r="N382" i="3"/>
  <c r="L382" i="3"/>
  <c r="H382" i="3"/>
  <c r="I382" i="3" s="1"/>
  <c r="F382" i="3"/>
  <c r="C382" i="3"/>
  <c r="AD381" i="3"/>
  <c r="AC381" i="3"/>
  <c r="AA381" i="3"/>
  <c r="W381" i="3"/>
  <c r="U381" i="3"/>
  <c r="R381" i="3"/>
  <c r="N381" i="3"/>
  <c r="O381" i="3" s="1"/>
  <c r="L381" i="3"/>
  <c r="H381" i="3"/>
  <c r="I381" i="3" s="1"/>
  <c r="F381" i="3"/>
  <c r="C381" i="3"/>
  <c r="AC380" i="3"/>
  <c r="AD380" i="3" s="1"/>
  <c r="AA380" i="3"/>
  <c r="W380" i="3"/>
  <c r="U380" i="3"/>
  <c r="R380" i="3"/>
  <c r="N380" i="3"/>
  <c r="O380" i="3" s="1"/>
  <c r="L380" i="3"/>
  <c r="I380" i="3"/>
  <c r="H380" i="3"/>
  <c r="F380" i="3"/>
  <c r="C380" i="3"/>
  <c r="AC379" i="3"/>
  <c r="AD379" i="3" s="1"/>
  <c r="AA379" i="3"/>
  <c r="X379" i="3"/>
  <c r="W379" i="3"/>
  <c r="U379" i="3"/>
  <c r="R379" i="3"/>
  <c r="N379" i="3"/>
  <c r="L379" i="3"/>
  <c r="H379" i="3"/>
  <c r="I379" i="3" s="1"/>
  <c r="F379" i="3"/>
  <c r="C379" i="3"/>
  <c r="AC378" i="3"/>
  <c r="AD378" i="3" s="1"/>
  <c r="AA378" i="3"/>
  <c r="X378" i="3"/>
  <c r="W378" i="3"/>
  <c r="U378" i="3"/>
  <c r="R378" i="3"/>
  <c r="N378" i="3"/>
  <c r="L378" i="3"/>
  <c r="H378" i="3"/>
  <c r="I378" i="3" s="1"/>
  <c r="F378" i="3"/>
  <c r="C378" i="3"/>
  <c r="AD377" i="3"/>
  <c r="AC377" i="3"/>
  <c r="AA377" i="3"/>
  <c r="W377" i="3"/>
  <c r="U377" i="3"/>
  <c r="R377" i="3"/>
  <c r="N377" i="3"/>
  <c r="O377" i="3" s="1"/>
  <c r="L377" i="3"/>
  <c r="H377" i="3"/>
  <c r="I377" i="3" s="1"/>
  <c r="F377" i="3"/>
  <c r="C377" i="3"/>
  <c r="AC376" i="3"/>
  <c r="AD376" i="3" s="1"/>
  <c r="AA376" i="3"/>
  <c r="W376" i="3"/>
  <c r="U376" i="3"/>
  <c r="R376" i="3"/>
  <c r="N376" i="3"/>
  <c r="O376" i="3" s="1"/>
  <c r="L376" i="3"/>
  <c r="I376" i="3"/>
  <c r="H376" i="3"/>
  <c r="F376" i="3"/>
  <c r="C376" i="3"/>
  <c r="AC375" i="3"/>
  <c r="AD375" i="3" s="1"/>
  <c r="AA375" i="3"/>
  <c r="X375" i="3"/>
  <c r="W375" i="3"/>
  <c r="U375" i="3"/>
  <c r="R375" i="3"/>
  <c r="N375" i="3"/>
  <c r="L375" i="3"/>
  <c r="H375" i="3"/>
  <c r="I375" i="3" s="1"/>
  <c r="F375" i="3"/>
  <c r="C375" i="3"/>
  <c r="AC374" i="3"/>
  <c r="AD374" i="3" s="1"/>
  <c r="AA374" i="3"/>
  <c r="X374" i="3"/>
  <c r="W374" i="3"/>
  <c r="U374" i="3"/>
  <c r="R374" i="3"/>
  <c r="N374" i="3"/>
  <c r="L374" i="3"/>
  <c r="H374" i="3"/>
  <c r="I374" i="3" s="1"/>
  <c r="F374" i="3"/>
  <c r="C374" i="3"/>
  <c r="AD373" i="3"/>
  <c r="AC373" i="3"/>
  <c r="AA373" i="3"/>
  <c r="W373" i="3"/>
  <c r="U373" i="3"/>
  <c r="R373" i="3"/>
  <c r="N373" i="3"/>
  <c r="O373" i="3" s="1"/>
  <c r="L373" i="3"/>
  <c r="H373" i="3"/>
  <c r="I373" i="3" s="1"/>
  <c r="F373" i="3"/>
  <c r="C373" i="3"/>
  <c r="AC372" i="3"/>
  <c r="AD372" i="3" s="1"/>
  <c r="AA372" i="3"/>
  <c r="W372" i="3"/>
  <c r="U372" i="3"/>
  <c r="R372" i="3"/>
  <c r="N372" i="3"/>
  <c r="O372" i="3" s="1"/>
  <c r="L372" i="3"/>
  <c r="I372" i="3"/>
  <c r="H372" i="3"/>
  <c r="F372" i="3"/>
  <c r="C372" i="3"/>
  <c r="AC371" i="3"/>
  <c r="AD371" i="3" s="1"/>
  <c r="AA371" i="3"/>
  <c r="W371" i="3"/>
  <c r="X371" i="3" s="1"/>
  <c r="U371" i="3"/>
  <c r="R371" i="3"/>
  <c r="N371" i="3"/>
  <c r="L371" i="3"/>
  <c r="H371" i="3"/>
  <c r="I371" i="3" s="1"/>
  <c r="F371" i="3"/>
  <c r="C371" i="3"/>
  <c r="AC370" i="3"/>
  <c r="AD370" i="3" s="1"/>
  <c r="AA370" i="3"/>
  <c r="X370" i="3"/>
  <c r="W370" i="3"/>
  <c r="U370" i="3"/>
  <c r="R370" i="3"/>
  <c r="N370" i="3"/>
  <c r="L370" i="3"/>
  <c r="H370" i="3"/>
  <c r="I370" i="3" s="1"/>
  <c r="F370" i="3"/>
  <c r="C370" i="3"/>
  <c r="AD369" i="3"/>
  <c r="AC369" i="3"/>
  <c r="AA369" i="3"/>
  <c r="W369" i="3"/>
  <c r="U369" i="3"/>
  <c r="R369" i="3"/>
  <c r="N369" i="3"/>
  <c r="O369" i="3" s="1"/>
  <c r="L369" i="3"/>
  <c r="H369" i="3"/>
  <c r="I369" i="3" s="1"/>
  <c r="F369" i="3"/>
  <c r="C369" i="3"/>
  <c r="AC368" i="3"/>
  <c r="AD368" i="3" s="1"/>
  <c r="AA368" i="3"/>
  <c r="Z368" i="3"/>
  <c r="T368" i="3"/>
  <c r="U368" i="3" s="1"/>
  <c r="Q368" i="3"/>
  <c r="W368" i="3" s="1"/>
  <c r="X368" i="3" s="1"/>
  <c r="O368" i="3"/>
  <c r="K368" i="3"/>
  <c r="L368" i="3" s="1"/>
  <c r="H368" i="3"/>
  <c r="I368" i="3" s="1"/>
  <c r="E368" i="3"/>
  <c r="F368" i="3" s="1"/>
  <c r="C368" i="3"/>
  <c r="B368" i="3"/>
  <c r="N368" i="3" s="1"/>
  <c r="AC367" i="3"/>
  <c r="AD367" i="3" s="1"/>
  <c r="AA367" i="3"/>
  <c r="W367" i="3"/>
  <c r="X367" i="3" s="1"/>
  <c r="U367" i="3"/>
  <c r="R367" i="3"/>
  <c r="N367" i="3"/>
  <c r="L367" i="3"/>
  <c r="H367" i="3"/>
  <c r="I367" i="3" s="1"/>
  <c r="F367" i="3"/>
  <c r="C367" i="3"/>
  <c r="AD366" i="3"/>
  <c r="AC366" i="3"/>
  <c r="AA366" i="3"/>
  <c r="W366" i="3"/>
  <c r="U366" i="3"/>
  <c r="R366" i="3"/>
  <c r="O366" i="3"/>
  <c r="N366" i="3"/>
  <c r="L366" i="3"/>
  <c r="H366" i="3"/>
  <c r="I366" i="3" s="1"/>
  <c r="F366" i="3"/>
  <c r="C366" i="3"/>
  <c r="AC365" i="3"/>
  <c r="AD365" i="3" s="1"/>
  <c r="AA365" i="3"/>
  <c r="W365" i="3"/>
  <c r="U365" i="3"/>
  <c r="R365" i="3"/>
  <c r="O365" i="3"/>
  <c r="N365" i="3"/>
  <c r="L365" i="3"/>
  <c r="I365" i="3"/>
  <c r="H365" i="3"/>
  <c r="F365" i="3"/>
  <c r="C365" i="3"/>
  <c r="AC364" i="3"/>
  <c r="AD364" i="3" s="1"/>
  <c r="AA364" i="3"/>
  <c r="W364" i="3"/>
  <c r="X364" i="3" s="1"/>
  <c r="U364" i="3"/>
  <c r="R364" i="3"/>
  <c r="N364" i="3"/>
  <c r="L364" i="3"/>
  <c r="H364" i="3"/>
  <c r="I364" i="3" s="1"/>
  <c r="F364" i="3"/>
  <c r="C364" i="3"/>
  <c r="AC363" i="3"/>
  <c r="AD363" i="3" s="1"/>
  <c r="AA363" i="3"/>
  <c r="W363" i="3"/>
  <c r="X363" i="3" s="1"/>
  <c r="U363" i="3"/>
  <c r="R363" i="3"/>
  <c r="N363" i="3"/>
  <c r="L363" i="3"/>
  <c r="H363" i="3"/>
  <c r="I363" i="3" s="1"/>
  <c r="F363" i="3"/>
  <c r="C363" i="3"/>
  <c r="AD362" i="3"/>
  <c r="AC362" i="3"/>
  <c r="AA362" i="3"/>
  <c r="W362" i="3"/>
  <c r="U362" i="3"/>
  <c r="R362" i="3"/>
  <c r="N362" i="3"/>
  <c r="O362" i="3" s="1"/>
  <c r="L362" i="3"/>
  <c r="H362" i="3"/>
  <c r="I362" i="3" s="1"/>
  <c r="F362" i="3"/>
  <c r="C362" i="3"/>
  <c r="AC361" i="3"/>
  <c r="AD361" i="3" s="1"/>
  <c r="AA361" i="3"/>
  <c r="W361" i="3"/>
  <c r="U361" i="3"/>
  <c r="R361" i="3"/>
  <c r="O361" i="3"/>
  <c r="N361" i="3"/>
  <c r="L361" i="3"/>
  <c r="I361" i="3"/>
  <c r="H361" i="3"/>
  <c r="F361" i="3"/>
  <c r="C361" i="3"/>
  <c r="AC360" i="3"/>
  <c r="AD360" i="3" s="1"/>
  <c r="AA360" i="3"/>
  <c r="W360" i="3"/>
  <c r="X360" i="3" s="1"/>
  <c r="U360" i="3"/>
  <c r="R360" i="3"/>
  <c r="N360" i="3"/>
  <c r="L360" i="3"/>
  <c r="H360" i="3"/>
  <c r="I360" i="3" s="1"/>
  <c r="F360" i="3"/>
  <c r="C360" i="3"/>
  <c r="Z358" i="3"/>
  <c r="AA358" i="3" s="1"/>
  <c r="X358" i="3"/>
  <c r="W358" i="3"/>
  <c r="U358" i="3"/>
  <c r="T358" i="3"/>
  <c r="Q358" i="3"/>
  <c r="R358" i="3" s="1"/>
  <c r="K358" i="3"/>
  <c r="L358" i="3" s="1"/>
  <c r="E358" i="3"/>
  <c r="F358" i="3" s="1"/>
  <c r="B358" i="3"/>
  <c r="AC357" i="3"/>
  <c r="AD357" i="3" s="1"/>
  <c r="AA357" i="3"/>
  <c r="W357" i="3"/>
  <c r="U357" i="3"/>
  <c r="R357" i="3"/>
  <c r="N357" i="3"/>
  <c r="O357" i="3" s="1"/>
  <c r="L357" i="3"/>
  <c r="I357" i="3"/>
  <c r="H357" i="3"/>
  <c r="F357" i="3"/>
  <c r="C357" i="3"/>
  <c r="AC356" i="3"/>
  <c r="AD356" i="3" s="1"/>
  <c r="AA356" i="3"/>
  <c r="X356" i="3"/>
  <c r="W356" i="3"/>
  <c r="U356" i="3"/>
  <c r="R356" i="3"/>
  <c r="N356" i="3"/>
  <c r="L356" i="3"/>
  <c r="H356" i="3"/>
  <c r="I356" i="3" s="1"/>
  <c r="F356" i="3"/>
  <c r="C356" i="3"/>
  <c r="AC355" i="3"/>
  <c r="AD355" i="3" s="1"/>
  <c r="AA355" i="3"/>
  <c r="W355" i="3"/>
  <c r="X355" i="3" s="1"/>
  <c r="U355" i="3"/>
  <c r="R355" i="3"/>
  <c r="N355" i="3"/>
  <c r="L355" i="3"/>
  <c r="H355" i="3"/>
  <c r="I355" i="3" s="1"/>
  <c r="F355" i="3"/>
  <c r="C355" i="3"/>
  <c r="AD354" i="3"/>
  <c r="AC354" i="3"/>
  <c r="AA354" i="3"/>
  <c r="W354" i="3"/>
  <c r="U354" i="3"/>
  <c r="R354" i="3"/>
  <c r="N354" i="3"/>
  <c r="O354" i="3" s="1"/>
  <c r="L354" i="3"/>
  <c r="H354" i="3"/>
  <c r="I354" i="3" s="1"/>
  <c r="F354" i="3"/>
  <c r="C354" i="3"/>
  <c r="AC353" i="3"/>
  <c r="AD353" i="3" s="1"/>
  <c r="AA353" i="3"/>
  <c r="W353" i="3"/>
  <c r="U353" i="3"/>
  <c r="R353" i="3"/>
  <c r="N353" i="3"/>
  <c r="O353" i="3" s="1"/>
  <c r="L353" i="3"/>
  <c r="I353" i="3"/>
  <c r="H353" i="3"/>
  <c r="F353" i="3"/>
  <c r="C353" i="3"/>
  <c r="AC352" i="3"/>
  <c r="AD352" i="3" s="1"/>
  <c r="AA352" i="3"/>
  <c r="X352" i="3"/>
  <c r="W352" i="3"/>
  <c r="U352" i="3"/>
  <c r="R352" i="3"/>
  <c r="N352" i="3"/>
  <c r="L352" i="3"/>
  <c r="I352" i="3"/>
  <c r="H352" i="3"/>
  <c r="F352" i="3"/>
  <c r="C352" i="3"/>
  <c r="AC351" i="3"/>
  <c r="AD351" i="3" s="1"/>
  <c r="AA351" i="3"/>
  <c r="W351" i="3"/>
  <c r="X351" i="3" s="1"/>
  <c r="U351" i="3"/>
  <c r="R351" i="3"/>
  <c r="N351" i="3"/>
  <c r="L351" i="3"/>
  <c r="H351" i="3"/>
  <c r="I351" i="3" s="1"/>
  <c r="F351" i="3"/>
  <c r="C351" i="3"/>
  <c r="AD350" i="3"/>
  <c r="AC350" i="3"/>
  <c r="AA350" i="3"/>
  <c r="W350" i="3"/>
  <c r="U350" i="3"/>
  <c r="R350" i="3"/>
  <c r="N350" i="3"/>
  <c r="O350" i="3" s="1"/>
  <c r="L350" i="3"/>
  <c r="H350" i="3"/>
  <c r="I350" i="3" s="1"/>
  <c r="F350" i="3"/>
  <c r="C350" i="3"/>
  <c r="AC349" i="3"/>
  <c r="AD349" i="3" s="1"/>
  <c r="AA349" i="3"/>
  <c r="W349" i="3"/>
  <c r="U349" i="3"/>
  <c r="R349" i="3"/>
  <c r="N349" i="3"/>
  <c r="O349" i="3" s="1"/>
  <c r="L349" i="3"/>
  <c r="I349" i="3"/>
  <c r="H349" i="3"/>
  <c r="F349" i="3"/>
  <c r="C349" i="3"/>
  <c r="AC347" i="3"/>
  <c r="AD347" i="3" s="1"/>
  <c r="AA347" i="3"/>
  <c r="X347" i="3"/>
  <c r="W347" i="3"/>
  <c r="U347" i="3"/>
  <c r="R347" i="3"/>
  <c r="N347" i="3"/>
  <c r="L347" i="3"/>
  <c r="H347" i="3"/>
  <c r="I347" i="3" s="1"/>
  <c r="F347" i="3"/>
  <c r="C347" i="3"/>
  <c r="AA344" i="3"/>
  <c r="Z344" i="3"/>
  <c r="T344" i="3"/>
  <c r="U344" i="3" s="1"/>
  <c r="R344" i="3"/>
  <c r="Q344" i="3"/>
  <c r="K344" i="3"/>
  <c r="L344" i="3" s="1"/>
  <c r="E344" i="3"/>
  <c r="H344" i="3" s="1"/>
  <c r="I344" i="3" s="1"/>
  <c r="C344" i="3"/>
  <c r="B344" i="3"/>
  <c r="N344" i="3" s="1"/>
  <c r="O344" i="3" s="1"/>
  <c r="Z343" i="3"/>
  <c r="AA343" i="3" s="1"/>
  <c r="X343" i="3"/>
  <c r="W343" i="3"/>
  <c r="U343" i="3"/>
  <c r="T343" i="3"/>
  <c r="Q343" i="3"/>
  <c r="R343" i="3" s="1"/>
  <c r="N343" i="3"/>
  <c r="O343" i="3" s="1"/>
  <c r="L343" i="3"/>
  <c r="K343" i="3"/>
  <c r="E343" i="3"/>
  <c r="F343" i="3" s="1"/>
  <c r="B343" i="3"/>
  <c r="AC342" i="3"/>
  <c r="AD342" i="3" s="1"/>
  <c r="AA342" i="3"/>
  <c r="Z342" i="3"/>
  <c r="T342" i="3"/>
  <c r="U342" i="3" s="1"/>
  <c r="R342" i="3"/>
  <c r="Q342" i="3"/>
  <c r="K342" i="3"/>
  <c r="L342" i="3" s="1"/>
  <c r="E342" i="3"/>
  <c r="H342" i="3" s="1"/>
  <c r="I342" i="3" s="1"/>
  <c r="C342" i="3"/>
  <c r="B342" i="3"/>
  <c r="N342" i="3" s="1"/>
  <c r="O342" i="3" s="1"/>
  <c r="AC341" i="3"/>
  <c r="AD341" i="3" s="1"/>
  <c r="AA341" i="3"/>
  <c r="W341" i="3"/>
  <c r="X341" i="3" s="1"/>
  <c r="U341" i="3"/>
  <c r="R341" i="3"/>
  <c r="N341" i="3"/>
  <c r="L341" i="3"/>
  <c r="H341" i="3"/>
  <c r="I341" i="3" s="1"/>
  <c r="F341" i="3"/>
  <c r="C341" i="3"/>
  <c r="AD340" i="3"/>
  <c r="AC340" i="3"/>
  <c r="AA340" i="3"/>
  <c r="W340" i="3"/>
  <c r="U340" i="3"/>
  <c r="R340" i="3"/>
  <c r="N340" i="3"/>
  <c r="O340" i="3" s="1"/>
  <c r="L340" i="3"/>
  <c r="H340" i="3"/>
  <c r="I340" i="3" s="1"/>
  <c r="F340" i="3"/>
  <c r="C340" i="3"/>
  <c r="AD339" i="3"/>
  <c r="AC339" i="3"/>
  <c r="AA339" i="3"/>
  <c r="W339" i="3"/>
  <c r="U339" i="3"/>
  <c r="R339" i="3"/>
  <c r="O339" i="3"/>
  <c r="N339" i="3"/>
  <c r="L339" i="3"/>
  <c r="I339" i="3"/>
  <c r="H339" i="3"/>
  <c r="F339" i="3"/>
  <c r="C339" i="3"/>
  <c r="AC338" i="3"/>
  <c r="AD338" i="3" s="1"/>
  <c r="AA338" i="3"/>
  <c r="X338" i="3"/>
  <c r="W338" i="3"/>
  <c r="U338" i="3"/>
  <c r="R338" i="3"/>
  <c r="N338" i="3"/>
  <c r="L338" i="3"/>
  <c r="H338" i="3"/>
  <c r="I338" i="3" s="1"/>
  <c r="F338" i="3"/>
  <c r="C338" i="3"/>
  <c r="AC337" i="3"/>
  <c r="AD337" i="3" s="1"/>
  <c r="AA337" i="3"/>
  <c r="W337" i="3"/>
  <c r="X337" i="3" s="1"/>
  <c r="U337" i="3"/>
  <c r="R337" i="3"/>
  <c r="N337" i="3"/>
  <c r="L337" i="3"/>
  <c r="H337" i="3"/>
  <c r="I337" i="3" s="1"/>
  <c r="F337" i="3"/>
  <c r="C337" i="3"/>
  <c r="AD335" i="3"/>
  <c r="AC335" i="3"/>
  <c r="AA335" i="3"/>
  <c r="W335" i="3"/>
  <c r="U335" i="3"/>
  <c r="R335" i="3"/>
  <c r="N335" i="3"/>
  <c r="O335" i="3" s="1"/>
  <c r="L335" i="3"/>
  <c r="H335" i="3"/>
  <c r="I335" i="3" s="1"/>
  <c r="F335" i="3"/>
  <c r="C335" i="3"/>
  <c r="AD334" i="3"/>
  <c r="AC334" i="3"/>
  <c r="AA334" i="3"/>
  <c r="W334" i="3"/>
  <c r="U334" i="3"/>
  <c r="R334" i="3"/>
  <c r="O334" i="3"/>
  <c r="N334" i="3"/>
  <c r="L334" i="3"/>
  <c r="I334" i="3"/>
  <c r="H334" i="3"/>
  <c r="F334" i="3"/>
  <c r="C334" i="3"/>
  <c r="AC333" i="3"/>
  <c r="AD333" i="3" s="1"/>
  <c r="AA333" i="3"/>
  <c r="X333" i="3"/>
  <c r="W333" i="3"/>
  <c r="U333" i="3"/>
  <c r="R333" i="3"/>
  <c r="N333" i="3"/>
  <c r="L333" i="3"/>
  <c r="H333" i="3"/>
  <c r="I333" i="3" s="1"/>
  <c r="F333" i="3"/>
  <c r="C333" i="3"/>
  <c r="AC332" i="3"/>
  <c r="AD332" i="3" s="1"/>
  <c r="AA332" i="3"/>
  <c r="W332" i="3"/>
  <c r="X332" i="3" s="1"/>
  <c r="U332" i="3"/>
  <c r="R332" i="3"/>
  <c r="N332" i="3"/>
  <c r="L332" i="3"/>
  <c r="H332" i="3"/>
  <c r="I332" i="3" s="1"/>
  <c r="F332" i="3"/>
  <c r="C332" i="3"/>
  <c r="AD331" i="3"/>
  <c r="AC331" i="3"/>
  <c r="AA331" i="3"/>
  <c r="W331" i="3"/>
  <c r="U331" i="3"/>
  <c r="R331" i="3"/>
  <c r="N331" i="3"/>
  <c r="O331" i="3" s="1"/>
  <c r="L331" i="3"/>
  <c r="H331" i="3"/>
  <c r="I331" i="3" s="1"/>
  <c r="F331" i="3"/>
  <c r="C331" i="3"/>
  <c r="AD330" i="3"/>
  <c r="AC330" i="3"/>
  <c r="AA330" i="3"/>
  <c r="W330" i="3"/>
  <c r="U330" i="3"/>
  <c r="R330" i="3"/>
  <c r="O330" i="3"/>
  <c r="N330" i="3"/>
  <c r="L330" i="3"/>
  <c r="I330" i="3"/>
  <c r="H330" i="3"/>
  <c r="F330" i="3"/>
  <c r="C330" i="3"/>
  <c r="AC329" i="3"/>
  <c r="AD329" i="3" s="1"/>
  <c r="AA329" i="3"/>
  <c r="X329" i="3"/>
  <c r="W329" i="3"/>
  <c r="U329" i="3"/>
  <c r="R329" i="3"/>
  <c r="N329" i="3"/>
  <c r="L329" i="3"/>
  <c r="H329" i="3"/>
  <c r="I329" i="3" s="1"/>
  <c r="F329" i="3"/>
  <c r="C329" i="3"/>
  <c r="AC328" i="3"/>
  <c r="AD328" i="3" s="1"/>
  <c r="AA328" i="3"/>
  <c r="X328" i="3"/>
  <c r="W328" i="3"/>
  <c r="U328" i="3"/>
  <c r="R328" i="3"/>
  <c r="N328" i="3"/>
  <c r="L328" i="3"/>
  <c r="H328" i="3"/>
  <c r="I328" i="3" s="1"/>
  <c r="F328" i="3"/>
  <c r="C328" i="3"/>
  <c r="AD325" i="3"/>
  <c r="Z325" i="3"/>
  <c r="AA325" i="3" s="1"/>
  <c r="W325" i="3"/>
  <c r="X325" i="3" s="1"/>
  <c r="T325" i="3"/>
  <c r="U325" i="3" s="1"/>
  <c r="R325" i="3"/>
  <c r="Q325" i="3"/>
  <c r="AC325" i="3" s="1"/>
  <c r="K325" i="3"/>
  <c r="L325" i="3" s="1"/>
  <c r="H325" i="3"/>
  <c r="I325" i="3" s="1"/>
  <c r="F325" i="3"/>
  <c r="E325" i="3"/>
  <c r="B325" i="3"/>
  <c r="C325" i="3" s="1"/>
  <c r="Z324" i="3"/>
  <c r="AA324" i="3" s="1"/>
  <c r="T324" i="3"/>
  <c r="U324" i="3" s="1"/>
  <c r="Q324" i="3"/>
  <c r="L324" i="3"/>
  <c r="K324" i="3"/>
  <c r="E324" i="3"/>
  <c r="F324" i="3" s="1"/>
  <c r="B324" i="3"/>
  <c r="AD323" i="3"/>
  <c r="AC323" i="3"/>
  <c r="AA323" i="3"/>
  <c r="W323" i="3"/>
  <c r="U323" i="3"/>
  <c r="R323" i="3"/>
  <c r="N323" i="3"/>
  <c r="O323" i="3" s="1"/>
  <c r="L323" i="3"/>
  <c r="H323" i="3"/>
  <c r="I323" i="3" s="1"/>
  <c r="F323" i="3"/>
  <c r="C323" i="3"/>
  <c r="AC322" i="3"/>
  <c r="AD322" i="3" s="1"/>
  <c r="AA322" i="3"/>
  <c r="W322" i="3"/>
  <c r="U322" i="3"/>
  <c r="R322" i="3"/>
  <c r="O322" i="3"/>
  <c r="N322" i="3"/>
  <c r="L322" i="3"/>
  <c r="I322" i="3"/>
  <c r="H322" i="3"/>
  <c r="F322" i="3"/>
  <c r="C322" i="3"/>
  <c r="AC321" i="3"/>
  <c r="AD321" i="3" s="1"/>
  <c r="AA321" i="3"/>
  <c r="X321" i="3"/>
  <c r="W321" i="3"/>
  <c r="U321" i="3"/>
  <c r="R321" i="3"/>
  <c r="N321" i="3"/>
  <c r="L321" i="3"/>
  <c r="I321" i="3"/>
  <c r="H321" i="3"/>
  <c r="F321" i="3"/>
  <c r="C321" i="3"/>
  <c r="AC320" i="3"/>
  <c r="AD320" i="3" s="1"/>
  <c r="AA320" i="3"/>
  <c r="W320" i="3"/>
  <c r="X320" i="3" s="1"/>
  <c r="U320" i="3"/>
  <c r="R320" i="3"/>
  <c r="N320" i="3"/>
  <c r="L320" i="3"/>
  <c r="H320" i="3"/>
  <c r="I320" i="3" s="1"/>
  <c r="F320" i="3"/>
  <c r="C320" i="3"/>
  <c r="AD319" i="3"/>
  <c r="AC319" i="3"/>
  <c r="AA319" i="3"/>
  <c r="W319" i="3"/>
  <c r="U319" i="3"/>
  <c r="R319" i="3"/>
  <c r="N319" i="3"/>
  <c r="O319" i="3" s="1"/>
  <c r="L319" i="3"/>
  <c r="H319" i="3"/>
  <c r="I319" i="3" s="1"/>
  <c r="F319" i="3"/>
  <c r="C319" i="3"/>
  <c r="AC318" i="3"/>
  <c r="AD318" i="3" s="1"/>
  <c r="AA318" i="3"/>
  <c r="W318" i="3"/>
  <c r="U318" i="3"/>
  <c r="R318" i="3"/>
  <c r="O318" i="3"/>
  <c r="N318" i="3"/>
  <c r="L318" i="3"/>
  <c r="I318" i="3"/>
  <c r="H318" i="3"/>
  <c r="F318" i="3"/>
  <c r="C318" i="3"/>
  <c r="AC317" i="3"/>
  <c r="AD317" i="3" s="1"/>
  <c r="AA317" i="3"/>
  <c r="X317" i="3"/>
  <c r="W317" i="3"/>
  <c r="U317" i="3"/>
  <c r="R317" i="3"/>
  <c r="N317" i="3"/>
  <c r="L317" i="3"/>
  <c r="I317" i="3"/>
  <c r="H317" i="3"/>
  <c r="F317" i="3"/>
  <c r="C317" i="3"/>
  <c r="AC316" i="3"/>
  <c r="AD316" i="3" s="1"/>
  <c r="AA316" i="3"/>
  <c r="W316" i="3"/>
  <c r="X316" i="3" s="1"/>
  <c r="U316" i="3"/>
  <c r="R316" i="3"/>
  <c r="N316" i="3"/>
  <c r="L316" i="3"/>
  <c r="H316" i="3"/>
  <c r="I316" i="3" s="1"/>
  <c r="F316" i="3"/>
  <c r="C316" i="3"/>
  <c r="AD315" i="3"/>
  <c r="AC315" i="3"/>
  <c r="AA315" i="3"/>
  <c r="W315" i="3"/>
  <c r="U315" i="3"/>
  <c r="R315" i="3"/>
  <c r="N315" i="3"/>
  <c r="O315" i="3" s="1"/>
  <c r="L315" i="3"/>
  <c r="H315" i="3"/>
  <c r="I315" i="3" s="1"/>
  <c r="F315" i="3"/>
  <c r="C315" i="3"/>
  <c r="AC314" i="3"/>
  <c r="AD314" i="3" s="1"/>
  <c r="AA314" i="3"/>
  <c r="W314" i="3"/>
  <c r="U314" i="3"/>
  <c r="R314" i="3"/>
  <c r="O314" i="3"/>
  <c r="N314" i="3"/>
  <c r="L314" i="3"/>
  <c r="I314" i="3"/>
  <c r="H314" i="3"/>
  <c r="F314" i="3"/>
  <c r="C314" i="3"/>
  <c r="AC313" i="3"/>
  <c r="AD313" i="3" s="1"/>
  <c r="AA313" i="3"/>
  <c r="X313" i="3"/>
  <c r="W313" i="3"/>
  <c r="U313" i="3"/>
  <c r="R313" i="3"/>
  <c r="N313" i="3"/>
  <c r="L313" i="3"/>
  <c r="I313" i="3"/>
  <c r="H313" i="3"/>
  <c r="F313" i="3"/>
  <c r="C313" i="3"/>
  <c r="AC312" i="3"/>
  <c r="AD312" i="3" s="1"/>
  <c r="AA312" i="3"/>
  <c r="W312" i="3"/>
  <c r="X312" i="3" s="1"/>
  <c r="U312" i="3"/>
  <c r="R312" i="3"/>
  <c r="N312" i="3"/>
  <c r="L312" i="3"/>
  <c r="H312" i="3"/>
  <c r="I312" i="3" s="1"/>
  <c r="F312" i="3"/>
  <c r="C312" i="3"/>
  <c r="AD311" i="3"/>
  <c r="AC311" i="3"/>
  <c r="AA311" i="3"/>
  <c r="W311" i="3"/>
  <c r="U311" i="3"/>
  <c r="R311" i="3"/>
  <c r="N311" i="3"/>
  <c r="O311" i="3" s="1"/>
  <c r="L311" i="3"/>
  <c r="H311" i="3"/>
  <c r="I311" i="3" s="1"/>
  <c r="F311" i="3"/>
  <c r="C311" i="3"/>
  <c r="AC310" i="3"/>
  <c r="AD310" i="3" s="1"/>
  <c r="AA310" i="3"/>
  <c r="W310" i="3"/>
  <c r="U310" i="3"/>
  <c r="R310" i="3"/>
  <c r="O310" i="3"/>
  <c r="N310" i="3"/>
  <c r="L310" i="3"/>
  <c r="I310" i="3"/>
  <c r="H310" i="3"/>
  <c r="F310" i="3"/>
  <c r="C310" i="3"/>
  <c r="AC309" i="3"/>
  <c r="AD309" i="3" s="1"/>
  <c r="AA309" i="3"/>
  <c r="X309" i="3"/>
  <c r="W309" i="3"/>
  <c r="U309" i="3"/>
  <c r="R309" i="3"/>
  <c r="N309" i="3"/>
  <c r="L309" i="3"/>
  <c r="I309" i="3"/>
  <c r="H309" i="3"/>
  <c r="F309" i="3"/>
  <c r="C309" i="3"/>
  <c r="AC308" i="3"/>
  <c r="AD308" i="3" s="1"/>
  <c r="AA308" i="3"/>
  <c r="W308" i="3"/>
  <c r="X308" i="3" s="1"/>
  <c r="U308" i="3"/>
  <c r="R308" i="3"/>
  <c r="N308" i="3"/>
  <c r="L308" i="3"/>
  <c r="H308" i="3"/>
  <c r="I308" i="3" s="1"/>
  <c r="F308" i="3"/>
  <c r="C308" i="3"/>
  <c r="AD307" i="3"/>
  <c r="AC307" i="3"/>
  <c r="AA307" i="3"/>
  <c r="W307" i="3"/>
  <c r="U307" i="3"/>
  <c r="R307" i="3"/>
  <c r="N307" i="3"/>
  <c r="O307" i="3" s="1"/>
  <c r="L307" i="3"/>
  <c r="H307" i="3"/>
  <c r="I307" i="3" s="1"/>
  <c r="F307" i="3"/>
  <c r="C307" i="3"/>
  <c r="AC306" i="3"/>
  <c r="AD306" i="3" s="1"/>
  <c r="AA306" i="3"/>
  <c r="W306" i="3"/>
  <c r="U306" i="3"/>
  <c r="R306" i="3"/>
  <c r="O306" i="3"/>
  <c r="N306" i="3"/>
  <c r="L306" i="3"/>
  <c r="I306" i="3"/>
  <c r="H306" i="3"/>
  <c r="F306" i="3"/>
  <c r="C306" i="3"/>
  <c r="AC305" i="3"/>
  <c r="AD305" i="3" s="1"/>
  <c r="AA305" i="3"/>
  <c r="X305" i="3"/>
  <c r="W305" i="3"/>
  <c r="U305" i="3"/>
  <c r="R305" i="3"/>
  <c r="N305" i="3"/>
  <c r="L305" i="3"/>
  <c r="I305" i="3"/>
  <c r="H305" i="3"/>
  <c r="F305" i="3"/>
  <c r="C305" i="3"/>
  <c r="AC304" i="3"/>
  <c r="AD304" i="3" s="1"/>
  <c r="AA304" i="3"/>
  <c r="W304" i="3"/>
  <c r="X304" i="3" s="1"/>
  <c r="U304" i="3"/>
  <c r="R304" i="3"/>
  <c r="N304" i="3"/>
  <c r="L304" i="3"/>
  <c r="H304" i="3"/>
  <c r="I304" i="3" s="1"/>
  <c r="F304" i="3"/>
  <c r="C304" i="3"/>
  <c r="AD303" i="3"/>
  <c r="AC303" i="3"/>
  <c r="AA303" i="3"/>
  <c r="W303" i="3"/>
  <c r="U303" i="3"/>
  <c r="R303" i="3"/>
  <c r="N303" i="3"/>
  <c r="O303" i="3" s="1"/>
  <c r="L303" i="3"/>
  <c r="H303" i="3"/>
  <c r="I303" i="3" s="1"/>
  <c r="F303" i="3"/>
  <c r="C303" i="3"/>
  <c r="AC302" i="3"/>
  <c r="AD302" i="3" s="1"/>
  <c r="AA302" i="3"/>
  <c r="W302" i="3"/>
  <c r="U302" i="3"/>
  <c r="R302" i="3"/>
  <c r="O302" i="3"/>
  <c r="N302" i="3"/>
  <c r="L302" i="3"/>
  <c r="I302" i="3"/>
  <c r="H302" i="3"/>
  <c r="F302" i="3"/>
  <c r="C302" i="3"/>
  <c r="AC301" i="3"/>
  <c r="AD301" i="3" s="1"/>
  <c r="AA301" i="3"/>
  <c r="X301" i="3"/>
  <c r="W301" i="3"/>
  <c r="U301" i="3"/>
  <c r="R301" i="3"/>
  <c r="N301" i="3"/>
  <c r="L301" i="3"/>
  <c r="I301" i="3"/>
  <c r="H301" i="3"/>
  <c r="F301" i="3"/>
  <c r="C301" i="3"/>
  <c r="AC300" i="3"/>
  <c r="AD300" i="3" s="1"/>
  <c r="AA300" i="3"/>
  <c r="W300" i="3"/>
  <c r="X300" i="3" s="1"/>
  <c r="U300" i="3"/>
  <c r="R300" i="3"/>
  <c r="N300" i="3"/>
  <c r="L300" i="3"/>
  <c r="H300" i="3"/>
  <c r="I300" i="3" s="1"/>
  <c r="F300" i="3"/>
  <c r="C300" i="3"/>
  <c r="AD299" i="3"/>
  <c r="AC299" i="3"/>
  <c r="AA299" i="3"/>
  <c r="W299" i="3"/>
  <c r="U299" i="3"/>
  <c r="R299" i="3"/>
  <c r="N299" i="3"/>
  <c r="O299" i="3" s="1"/>
  <c r="L299" i="3"/>
  <c r="H299" i="3"/>
  <c r="I299" i="3" s="1"/>
  <c r="F299" i="3"/>
  <c r="C299" i="3"/>
  <c r="AC298" i="3"/>
  <c r="AD298" i="3" s="1"/>
  <c r="AA298" i="3"/>
  <c r="W298" i="3"/>
  <c r="U298" i="3"/>
  <c r="R298" i="3"/>
  <c r="O298" i="3"/>
  <c r="N298" i="3"/>
  <c r="L298" i="3"/>
  <c r="I298" i="3"/>
  <c r="H298" i="3"/>
  <c r="F298" i="3"/>
  <c r="C298" i="3"/>
  <c r="AC297" i="3"/>
  <c r="AD297" i="3" s="1"/>
  <c r="AA297" i="3"/>
  <c r="X297" i="3"/>
  <c r="W297" i="3"/>
  <c r="U297" i="3"/>
  <c r="R297" i="3"/>
  <c r="N297" i="3"/>
  <c r="L297" i="3"/>
  <c r="I297" i="3"/>
  <c r="H297" i="3"/>
  <c r="F297" i="3"/>
  <c r="C297" i="3"/>
  <c r="Z295" i="3"/>
  <c r="AA295" i="3" s="1"/>
  <c r="X295" i="3"/>
  <c r="W295" i="3"/>
  <c r="U295" i="3"/>
  <c r="T295" i="3"/>
  <c r="Q295" i="3"/>
  <c r="R295" i="3" s="1"/>
  <c r="K295" i="3"/>
  <c r="L295" i="3" s="1"/>
  <c r="E295" i="3"/>
  <c r="F295" i="3" s="1"/>
  <c r="B295" i="3"/>
  <c r="AD294" i="3"/>
  <c r="AC294" i="3"/>
  <c r="AA294" i="3"/>
  <c r="W294" i="3"/>
  <c r="U294" i="3"/>
  <c r="R294" i="3"/>
  <c r="N294" i="3"/>
  <c r="O294" i="3" s="1"/>
  <c r="L294" i="3"/>
  <c r="I294" i="3"/>
  <c r="H294" i="3"/>
  <c r="F294" i="3"/>
  <c r="C294" i="3"/>
  <c r="AC293" i="3"/>
  <c r="AD293" i="3" s="1"/>
  <c r="AA293" i="3"/>
  <c r="X293" i="3"/>
  <c r="W293" i="3"/>
  <c r="U293" i="3"/>
  <c r="R293" i="3"/>
  <c r="N293" i="3"/>
  <c r="L293" i="3"/>
  <c r="I293" i="3"/>
  <c r="H293" i="3"/>
  <c r="F293" i="3"/>
  <c r="C293" i="3"/>
  <c r="AC292" i="3"/>
  <c r="AD292" i="3" s="1"/>
  <c r="AA292" i="3"/>
  <c r="W292" i="3"/>
  <c r="X292" i="3" s="1"/>
  <c r="U292" i="3"/>
  <c r="R292" i="3"/>
  <c r="N292" i="3"/>
  <c r="L292" i="3"/>
  <c r="H292" i="3"/>
  <c r="I292" i="3" s="1"/>
  <c r="F292" i="3"/>
  <c r="C292" i="3"/>
  <c r="AD291" i="3"/>
  <c r="AC291" i="3"/>
  <c r="AA291" i="3"/>
  <c r="W291" i="3"/>
  <c r="U291" i="3"/>
  <c r="R291" i="3"/>
  <c r="O291" i="3"/>
  <c r="N291" i="3"/>
  <c r="L291" i="3"/>
  <c r="H291" i="3"/>
  <c r="I291" i="3" s="1"/>
  <c r="F291" i="3"/>
  <c r="C291" i="3"/>
  <c r="AD290" i="3"/>
  <c r="AC290" i="3"/>
  <c r="AA290" i="3"/>
  <c r="W290" i="3"/>
  <c r="U290" i="3"/>
  <c r="R290" i="3"/>
  <c r="N290" i="3"/>
  <c r="O290" i="3" s="1"/>
  <c r="L290" i="3"/>
  <c r="I290" i="3"/>
  <c r="H290" i="3"/>
  <c r="F290" i="3"/>
  <c r="C290" i="3"/>
  <c r="AC289" i="3"/>
  <c r="AD289" i="3" s="1"/>
  <c r="AA289" i="3"/>
  <c r="X289" i="3"/>
  <c r="W289" i="3"/>
  <c r="U289" i="3"/>
  <c r="R289" i="3"/>
  <c r="N289" i="3"/>
  <c r="L289" i="3"/>
  <c r="H289" i="3"/>
  <c r="I289" i="3" s="1"/>
  <c r="F289" i="3"/>
  <c r="C289" i="3"/>
  <c r="AC288" i="3"/>
  <c r="AD288" i="3" s="1"/>
  <c r="AA288" i="3"/>
  <c r="W288" i="3"/>
  <c r="X288" i="3" s="1"/>
  <c r="U288" i="3"/>
  <c r="R288" i="3"/>
  <c r="N288" i="3"/>
  <c r="L288" i="3"/>
  <c r="H288" i="3"/>
  <c r="I288" i="3" s="1"/>
  <c r="F288" i="3"/>
  <c r="C288" i="3"/>
  <c r="AD287" i="3"/>
  <c r="AC287" i="3"/>
  <c r="AA287" i="3"/>
  <c r="W287" i="3"/>
  <c r="U287" i="3"/>
  <c r="R287" i="3"/>
  <c r="O287" i="3"/>
  <c r="N287" i="3"/>
  <c r="L287" i="3"/>
  <c r="H287" i="3"/>
  <c r="I287" i="3" s="1"/>
  <c r="F287" i="3"/>
  <c r="C287" i="3"/>
  <c r="AD286" i="3"/>
  <c r="AC286" i="3"/>
  <c r="AA286" i="3"/>
  <c r="W286" i="3"/>
  <c r="U286" i="3"/>
  <c r="R286" i="3"/>
  <c r="N286" i="3"/>
  <c r="O286" i="3" s="1"/>
  <c r="L286" i="3"/>
  <c r="I286" i="3"/>
  <c r="H286" i="3"/>
  <c r="F286" i="3"/>
  <c r="C286" i="3"/>
  <c r="Z284" i="3"/>
  <c r="AC284" i="3" s="1"/>
  <c r="AD284" i="3" s="1"/>
  <c r="T284" i="3"/>
  <c r="U284" i="3" s="1"/>
  <c r="Q284" i="3"/>
  <c r="N284" i="3"/>
  <c r="O284" i="3" s="1"/>
  <c r="L284" i="3"/>
  <c r="K284" i="3"/>
  <c r="E284" i="3"/>
  <c r="F284" i="3" s="1"/>
  <c r="C284" i="3"/>
  <c r="B284" i="3"/>
  <c r="AD283" i="3"/>
  <c r="AC283" i="3"/>
  <c r="AA283" i="3"/>
  <c r="W283" i="3"/>
  <c r="U283" i="3"/>
  <c r="R283" i="3"/>
  <c r="O283" i="3"/>
  <c r="N283" i="3"/>
  <c r="L283" i="3"/>
  <c r="H283" i="3"/>
  <c r="I283" i="3" s="1"/>
  <c r="F283" i="3"/>
  <c r="C283" i="3"/>
  <c r="AC282" i="3"/>
  <c r="AD282" i="3" s="1"/>
  <c r="AA282" i="3"/>
  <c r="W282" i="3"/>
  <c r="U282" i="3"/>
  <c r="R282" i="3"/>
  <c r="O282" i="3"/>
  <c r="N282" i="3"/>
  <c r="L282" i="3"/>
  <c r="I282" i="3"/>
  <c r="H282" i="3"/>
  <c r="F282" i="3"/>
  <c r="C282" i="3"/>
  <c r="AC281" i="3"/>
  <c r="AD281" i="3" s="1"/>
  <c r="AA281" i="3"/>
  <c r="X281" i="3"/>
  <c r="W281" i="3"/>
  <c r="U281" i="3"/>
  <c r="R281" i="3"/>
  <c r="N281" i="3"/>
  <c r="L281" i="3"/>
  <c r="H281" i="3"/>
  <c r="I281" i="3" s="1"/>
  <c r="F281" i="3"/>
  <c r="C281" i="3"/>
  <c r="AC280" i="3"/>
  <c r="AD280" i="3" s="1"/>
  <c r="AA280" i="3"/>
  <c r="X280" i="3"/>
  <c r="W280" i="3"/>
  <c r="U280" i="3"/>
  <c r="R280" i="3"/>
  <c r="N280" i="3"/>
  <c r="L280" i="3"/>
  <c r="H280" i="3"/>
  <c r="I280" i="3" s="1"/>
  <c r="F280" i="3"/>
  <c r="C280" i="3"/>
  <c r="AD279" i="3"/>
  <c r="AC279" i="3"/>
  <c r="AA279" i="3"/>
  <c r="W279" i="3"/>
  <c r="U279" i="3"/>
  <c r="R279" i="3"/>
  <c r="O279" i="3"/>
  <c r="N279" i="3"/>
  <c r="L279" i="3"/>
  <c r="H279" i="3"/>
  <c r="I279" i="3" s="1"/>
  <c r="F279" i="3"/>
  <c r="C279" i="3"/>
  <c r="AC278" i="3"/>
  <c r="AD278" i="3" s="1"/>
  <c r="AA278" i="3"/>
  <c r="W278" i="3"/>
  <c r="U278" i="3"/>
  <c r="R278" i="3"/>
  <c r="O278" i="3"/>
  <c r="N278" i="3"/>
  <c r="L278" i="3"/>
  <c r="I278" i="3"/>
  <c r="H278" i="3"/>
  <c r="F278" i="3"/>
  <c r="C278" i="3"/>
  <c r="AC277" i="3"/>
  <c r="AD277" i="3" s="1"/>
  <c r="AA277" i="3"/>
  <c r="W277" i="3"/>
  <c r="X277" i="3" s="1"/>
  <c r="U277" i="3"/>
  <c r="R277" i="3"/>
  <c r="N277" i="3"/>
  <c r="L277" i="3"/>
  <c r="H277" i="3"/>
  <c r="I277" i="3" s="1"/>
  <c r="F277" i="3"/>
  <c r="C277" i="3"/>
  <c r="AC276" i="3"/>
  <c r="AD276" i="3" s="1"/>
  <c r="AA276" i="3"/>
  <c r="X276" i="3"/>
  <c r="W276" i="3"/>
  <c r="U276" i="3"/>
  <c r="R276" i="3"/>
  <c r="N276" i="3"/>
  <c r="L276" i="3"/>
  <c r="H276" i="3"/>
  <c r="I276" i="3" s="1"/>
  <c r="F276" i="3"/>
  <c r="C276" i="3"/>
  <c r="AD275" i="3"/>
  <c r="AC275" i="3"/>
  <c r="AA275" i="3"/>
  <c r="W275" i="3"/>
  <c r="U275" i="3"/>
  <c r="R275" i="3"/>
  <c r="O275" i="3"/>
  <c r="N275" i="3"/>
  <c r="L275" i="3"/>
  <c r="H275" i="3"/>
  <c r="I275" i="3" s="1"/>
  <c r="F275" i="3"/>
  <c r="C275" i="3"/>
  <c r="AC273" i="3"/>
  <c r="AD273" i="3" s="1"/>
  <c r="AA273" i="3"/>
  <c r="Z273" i="3"/>
  <c r="T273" i="3"/>
  <c r="U273" i="3" s="1"/>
  <c r="Q273" i="3"/>
  <c r="W273" i="3" s="1"/>
  <c r="X273" i="3" s="1"/>
  <c r="O273" i="3"/>
  <c r="K273" i="3"/>
  <c r="L273" i="3" s="1"/>
  <c r="H273" i="3"/>
  <c r="I273" i="3" s="1"/>
  <c r="F273" i="3"/>
  <c r="E273" i="3"/>
  <c r="C273" i="3"/>
  <c r="B273" i="3"/>
  <c r="N273" i="3" s="1"/>
  <c r="AC272" i="3"/>
  <c r="AD272" i="3" s="1"/>
  <c r="AA272" i="3"/>
  <c r="W272" i="3"/>
  <c r="X272" i="3" s="1"/>
  <c r="U272" i="3"/>
  <c r="R272" i="3"/>
  <c r="N272" i="3"/>
  <c r="L272" i="3"/>
  <c r="H272" i="3"/>
  <c r="I272" i="3" s="1"/>
  <c r="F272" i="3"/>
  <c r="C272" i="3"/>
  <c r="AD271" i="3"/>
  <c r="AC271" i="3"/>
  <c r="AA271" i="3"/>
  <c r="W271" i="3"/>
  <c r="U271" i="3"/>
  <c r="R271" i="3"/>
  <c r="N271" i="3"/>
  <c r="O271" i="3" s="1"/>
  <c r="L271" i="3"/>
  <c r="H271" i="3"/>
  <c r="I271" i="3" s="1"/>
  <c r="F271" i="3"/>
  <c r="C271" i="3"/>
  <c r="AC270" i="3"/>
  <c r="AD270" i="3" s="1"/>
  <c r="AA270" i="3"/>
  <c r="W270" i="3"/>
  <c r="U270" i="3"/>
  <c r="R270" i="3"/>
  <c r="O270" i="3"/>
  <c r="N270" i="3"/>
  <c r="L270" i="3"/>
  <c r="I270" i="3"/>
  <c r="H270" i="3"/>
  <c r="F270" i="3"/>
  <c r="C270" i="3"/>
  <c r="AC269" i="3"/>
  <c r="AD269" i="3" s="1"/>
  <c r="AA269" i="3"/>
  <c r="X269" i="3"/>
  <c r="W269" i="3"/>
  <c r="U269" i="3"/>
  <c r="R269" i="3"/>
  <c r="N269" i="3"/>
  <c r="L269" i="3"/>
  <c r="I269" i="3"/>
  <c r="H269" i="3"/>
  <c r="F269" i="3"/>
  <c r="C269" i="3"/>
  <c r="Z267" i="3"/>
  <c r="AA267" i="3" s="1"/>
  <c r="W267" i="3"/>
  <c r="X267" i="3" s="1"/>
  <c r="U267" i="3"/>
  <c r="T267" i="3"/>
  <c r="Q267" i="3"/>
  <c r="K267" i="3"/>
  <c r="L267" i="3" s="1"/>
  <c r="E267" i="3"/>
  <c r="F267" i="3" s="1"/>
  <c r="B267" i="3"/>
  <c r="AD266" i="3"/>
  <c r="AC266" i="3"/>
  <c r="AA266" i="3"/>
  <c r="W266" i="3"/>
  <c r="U266" i="3"/>
  <c r="R266" i="3"/>
  <c r="N266" i="3"/>
  <c r="O266" i="3" s="1"/>
  <c r="L266" i="3"/>
  <c r="I266" i="3"/>
  <c r="H266" i="3"/>
  <c r="F266" i="3"/>
  <c r="C266" i="3"/>
  <c r="AC265" i="3"/>
  <c r="AD265" i="3" s="1"/>
  <c r="AA265" i="3"/>
  <c r="X265" i="3"/>
  <c r="W265" i="3"/>
  <c r="U265" i="3"/>
  <c r="R265" i="3"/>
  <c r="O265" i="3"/>
  <c r="N265" i="3"/>
  <c r="L265" i="3"/>
  <c r="H265" i="3"/>
  <c r="I265" i="3" s="1"/>
  <c r="F265" i="3"/>
  <c r="C265" i="3"/>
  <c r="Z263" i="3"/>
  <c r="AA263" i="3" s="1"/>
  <c r="X263" i="3"/>
  <c r="W263" i="3"/>
  <c r="U263" i="3"/>
  <c r="T263" i="3"/>
  <c r="Q263" i="3"/>
  <c r="R263" i="3" s="1"/>
  <c r="L263" i="3"/>
  <c r="K263" i="3"/>
  <c r="E263" i="3"/>
  <c r="F263" i="3" s="1"/>
  <c r="B263" i="3"/>
  <c r="AA262" i="3"/>
  <c r="Z262" i="3"/>
  <c r="T262" i="3"/>
  <c r="U262" i="3" s="1"/>
  <c r="Q262" i="3"/>
  <c r="W262" i="3" s="1"/>
  <c r="X262" i="3" s="1"/>
  <c r="O262" i="3"/>
  <c r="K262" i="3"/>
  <c r="L262" i="3" s="1"/>
  <c r="H262" i="3"/>
  <c r="I262" i="3" s="1"/>
  <c r="F262" i="3"/>
  <c r="E262" i="3"/>
  <c r="C262" i="3"/>
  <c r="B262" i="3"/>
  <c r="N262" i="3" s="1"/>
  <c r="AC261" i="3"/>
  <c r="AD261" i="3" s="1"/>
  <c r="AA261" i="3"/>
  <c r="X261" i="3"/>
  <c r="W261" i="3"/>
  <c r="U261" i="3"/>
  <c r="R261" i="3"/>
  <c r="N261" i="3"/>
  <c r="L261" i="3"/>
  <c r="H261" i="3"/>
  <c r="I261" i="3" s="1"/>
  <c r="F261" i="3"/>
  <c r="C261" i="3"/>
  <c r="AD260" i="3"/>
  <c r="AC260" i="3"/>
  <c r="AA260" i="3"/>
  <c r="X260" i="3"/>
  <c r="W260" i="3"/>
  <c r="U260" i="3"/>
  <c r="R260" i="3"/>
  <c r="O260" i="3"/>
  <c r="N260" i="3"/>
  <c r="L260" i="3"/>
  <c r="H260" i="3"/>
  <c r="I260" i="3" s="1"/>
  <c r="F260" i="3"/>
  <c r="C260" i="3"/>
  <c r="AC259" i="3"/>
  <c r="AD259" i="3" s="1"/>
  <c r="AA259" i="3"/>
  <c r="W259" i="3"/>
  <c r="U259" i="3"/>
  <c r="R259" i="3"/>
  <c r="O259" i="3"/>
  <c r="N259" i="3"/>
  <c r="L259" i="3"/>
  <c r="I259" i="3"/>
  <c r="H259" i="3"/>
  <c r="F259" i="3"/>
  <c r="C259" i="3"/>
  <c r="AC258" i="3"/>
  <c r="AD258" i="3" s="1"/>
  <c r="AA258" i="3"/>
  <c r="W258" i="3"/>
  <c r="X258" i="3" s="1"/>
  <c r="U258" i="3"/>
  <c r="R258" i="3"/>
  <c r="O258" i="3"/>
  <c r="N258" i="3"/>
  <c r="L258" i="3"/>
  <c r="I258" i="3"/>
  <c r="H258" i="3"/>
  <c r="F258" i="3"/>
  <c r="C258" i="3"/>
  <c r="AC257" i="3"/>
  <c r="AD257" i="3" s="1"/>
  <c r="AA257" i="3"/>
  <c r="X257" i="3"/>
  <c r="W257" i="3"/>
  <c r="U257" i="3"/>
  <c r="R257" i="3"/>
  <c r="N257" i="3"/>
  <c r="L257" i="3"/>
  <c r="H257" i="3"/>
  <c r="I257" i="3" s="1"/>
  <c r="F257" i="3"/>
  <c r="C257" i="3"/>
  <c r="AD256" i="3"/>
  <c r="AC256" i="3"/>
  <c r="AA256" i="3"/>
  <c r="X256" i="3"/>
  <c r="W256" i="3"/>
  <c r="U256" i="3"/>
  <c r="R256" i="3"/>
  <c r="O256" i="3"/>
  <c r="N256" i="3"/>
  <c r="L256" i="3"/>
  <c r="H256" i="3"/>
  <c r="I256" i="3" s="1"/>
  <c r="F256" i="3"/>
  <c r="C256" i="3"/>
  <c r="AD255" i="3"/>
  <c r="AC255" i="3"/>
  <c r="AA255" i="3"/>
  <c r="W255" i="3"/>
  <c r="U255" i="3"/>
  <c r="R255" i="3"/>
  <c r="N255" i="3"/>
  <c r="O255" i="3" s="1"/>
  <c r="L255" i="3"/>
  <c r="I255" i="3"/>
  <c r="H255" i="3"/>
  <c r="F255" i="3"/>
  <c r="C255" i="3"/>
  <c r="AC254" i="3"/>
  <c r="AD254" i="3" s="1"/>
  <c r="AA254" i="3"/>
  <c r="X254" i="3"/>
  <c r="W254" i="3"/>
  <c r="U254" i="3"/>
  <c r="R254" i="3"/>
  <c r="O254" i="3"/>
  <c r="N254" i="3"/>
  <c r="L254" i="3"/>
  <c r="H254" i="3"/>
  <c r="I254" i="3" s="1"/>
  <c r="F254" i="3"/>
  <c r="C254" i="3"/>
  <c r="AC253" i="3"/>
  <c r="AD253" i="3" s="1"/>
  <c r="AA253" i="3"/>
  <c r="X253" i="3"/>
  <c r="W253" i="3"/>
  <c r="U253" i="3"/>
  <c r="R253" i="3"/>
  <c r="N253" i="3"/>
  <c r="L253" i="3"/>
  <c r="H253" i="3"/>
  <c r="I253" i="3" s="1"/>
  <c r="F253" i="3"/>
  <c r="C253" i="3"/>
  <c r="AD252" i="3"/>
  <c r="AC252" i="3"/>
  <c r="AA252" i="3"/>
  <c r="X252" i="3"/>
  <c r="W252" i="3"/>
  <c r="U252" i="3"/>
  <c r="R252" i="3"/>
  <c r="O252" i="3"/>
  <c r="N252" i="3"/>
  <c r="L252" i="3"/>
  <c r="H252" i="3"/>
  <c r="I252" i="3" s="1"/>
  <c r="F252" i="3"/>
  <c r="C252" i="3"/>
  <c r="AD251" i="3"/>
  <c r="AC251" i="3"/>
  <c r="AA251" i="3"/>
  <c r="W251" i="3"/>
  <c r="U251" i="3"/>
  <c r="R251" i="3"/>
  <c r="O251" i="3"/>
  <c r="N251" i="3"/>
  <c r="L251" i="3"/>
  <c r="I251" i="3"/>
  <c r="H251" i="3"/>
  <c r="F251" i="3"/>
  <c r="C251" i="3"/>
  <c r="AC250" i="3"/>
  <c r="AD250" i="3" s="1"/>
  <c r="AA250" i="3"/>
  <c r="X250" i="3"/>
  <c r="W250" i="3"/>
  <c r="U250" i="3"/>
  <c r="R250" i="3"/>
  <c r="O250" i="3"/>
  <c r="N250" i="3"/>
  <c r="L250" i="3"/>
  <c r="I250" i="3"/>
  <c r="H250" i="3"/>
  <c r="F250" i="3"/>
  <c r="C250" i="3"/>
  <c r="AC249" i="3"/>
  <c r="AD249" i="3" s="1"/>
  <c r="AA249" i="3"/>
  <c r="W249" i="3"/>
  <c r="X249" i="3" s="1"/>
  <c r="U249" i="3"/>
  <c r="R249" i="3"/>
  <c r="N249" i="3"/>
  <c r="L249" i="3"/>
  <c r="H249" i="3"/>
  <c r="I249" i="3" s="1"/>
  <c r="F249" i="3"/>
  <c r="C249" i="3"/>
  <c r="AD248" i="3"/>
  <c r="AC248" i="3"/>
  <c r="AA248" i="3"/>
  <c r="X248" i="3"/>
  <c r="W248" i="3"/>
  <c r="U248" i="3"/>
  <c r="R248" i="3"/>
  <c r="N248" i="3"/>
  <c r="O248" i="3" s="1"/>
  <c r="L248" i="3"/>
  <c r="H248" i="3"/>
  <c r="I248" i="3" s="1"/>
  <c r="F248" i="3"/>
  <c r="C248" i="3"/>
  <c r="AD247" i="3"/>
  <c r="AC247" i="3"/>
  <c r="AA247" i="3"/>
  <c r="W247" i="3"/>
  <c r="U247" i="3"/>
  <c r="R247" i="3"/>
  <c r="O247" i="3"/>
  <c r="N247" i="3"/>
  <c r="L247" i="3"/>
  <c r="I247" i="3"/>
  <c r="H247" i="3"/>
  <c r="F247" i="3"/>
  <c r="C247" i="3"/>
  <c r="AC246" i="3"/>
  <c r="AD246" i="3" s="1"/>
  <c r="AA246" i="3"/>
  <c r="W246" i="3"/>
  <c r="X246" i="3" s="1"/>
  <c r="U246" i="3"/>
  <c r="R246" i="3"/>
  <c r="O246" i="3"/>
  <c r="N246" i="3"/>
  <c r="L246" i="3"/>
  <c r="I246" i="3"/>
  <c r="H246" i="3"/>
  <c r="F246" i="3"/>
  <c r="C246" i="3"/>
  <c r="AC245" i="3"/>
  <c r="AD245" i="3" s="1"/>
  <c r="AA245" i="3"/>
  <c r="X245" i="3"/>
  <c r="W245" i="3"/>
  <c r="U245" i="3"/>
  <c r="R245" i="3"/>
  <c r="N245" i="3"/>
  <c r="L245" i="3"/>
  <c r="H245" i="3"/>
  <c r="I245" i="3" s="1"/>
  <c r="F245" i="3"/>
  <c r="C245" i="3"/>
  <c r="AD244" i="3"/>
  <c r="AC244" i="3"/>
  <c r="AA244" i="3"/>
  <c r="X244" i="3"/>
  <c r="W244" i="3"/>
  <c r="U244" i="3"/>
  <c r="R244" i="3"/>
  <c r="O244" i="3"/>
  <c r="N244" i="3"/>
  <c r="L244" i="3"/>
  <c r="H244" i="3"/>
  <c r="I244" i="3" s="1"/>
  <c r="F244" i="3"/>
  <c r="C244" i="3"/>
  <c r="AC243" i="3"/>
  <c r="AD243" i="3" s="1"/>
  <c r="AA243" i="3"/>
  <c r="X243" i="3"/>
  <c r="W243" i="3"/>
  <c r="U243" i="3"/>
  <c r="R243" i="3"/>
  <c r="N243" i="3"/>
  <c r="O243" i="3" s="1"/>
  <c r="L243" i="3"/>
  <c r="I243" i="3"/>
  <c r="H243" i="3"/>
  <c r="F243" i="3"/>
  <c r="C243" i="3"/>
  <c r="AC242" i="3"/>
  <c r="AD242" i="3" s="1"/>
  <c r="AA242" i="3"/>
  <c r="W242" i="3"/>
  <c r="X242" i="3" s="1"/>
  <c r="U242" i="3"/>
  <c r="R242" i="3"/>
  <c r="O242" i="3"/>
  <c r="N242" i="3"/>
  <c r="L242" i="3"/>
  <c r="H242" i="3"/>
  <c r="I242" i="3" s="1"/>
  <c r="F242" i="3"/>
  <c r="C242" i="3"/>
  <c r="AC241" i="3"/>
  <c r="AD241" i="3" s="1"/>
  <c r="AA241" i="3"/>
  <c r="W241" i="3"/>
  <c r="X241" i="3" s="1"/>
  <c r="U241" i="3"/>
  <c r="R241" i="3"/>
  <c r="O241" i="3"/>
  <c r="N241" i="3"/>
  <c r="L241" i="3"/>
  <c r="H241" i="3"/>
  <c r="I241" i="3" s="1"/>
  <c r="F241" i="3"/>
  <c r="C241" i="3"/>
  <c r="AC240" i="3"/>
  <c r="AD240" i="3" s="1"/>
  <c r="AA240" i="3"/>
  <c r="X240" i="3"/>
  <c r="W240" i="3"/>
  <c r="U240" i="3"/>
  <c r="R240" i="3"/>
  <c r="O240" i="3"/>
  <c r="N240" i="3"/>
  <c r="L240" i="3"/>
  <c r="H240" i="3"/>
  <c r="I240" i="3" s="1"/>
  <c r="F240" i="3"/>
  <c r="C240" i="3"/>
  <c r="AD238" i="3"/>
  <c r="AC238" i="3"/>
  <c r="AA238" i="3"/>
  <c r="X238" i="3"/>
  <c r="W238" i="3"/>
  <c r="U238" i="3"/>
  <c r="R238" i="3"/>
  <c r="O238" i="3"/>
  <c r="N238" i="3"/>
  <c r="L238" i="3"/>
  <c r="I238" i="3"/>
  <c r="H238" i="3"/>
  <c r="F238" i="3"/>
  <c r="C238" i="3"/>
  <c r="AA236" i="3"/>
  <c r="Z236" i="3"/>
  <c r="W236" i="3"/>
  <c r="X236" i="3" s="1"/>
  <c r="T236" i="3"/>
  <c r="U236" i="3" s="1"/>
  <c r="Q236" i="3"/>
  <c r="R236" i="3" s="1"/>
  <c r="L236" i="3"/>
  <c r="K236" i="3"/>
  <c r="E236" i="3"/>
  <c r="F236" i="3" s="1"/>
  <c r="B236" i="3"/>
  <c r="H236" i="3" s="1"/>
  <c r="I236" i="3" s="1"/>
  <c r="AD235" i="3"/>
  <c r="AC235" i="3"/>
  <c r="AA235" i="3"/>
  <c r="X235" i="3"/>
  <c r="W235" i="3"/>
  <c r="U235" i="3"/>
  <c r="R235" i="3"/>
  <c r="N235" i="3"/>
  <c r="O235" i="3" s="1"/>
  <c r="L235" i="3"/>
  <c r="H235" i="3"/>
  <c r="I235" i="3" s="1"/>
  <c r="F235" i="3"/>
  <c r="C235" i="3"/>
  <c r="AD234" i="3"/>
  <c r="AC234" i="3"/>
  <c r="AA234" i="3"/>
  <c r="X234" i="3"/>
  <c r="W234" i="3"/>
  <c r="U234" i="3"/>
  <c r="R234" i="3"/>
  <c r="N234" i="3"/>
  <c r="O234" i="3" s="1"/>
  <c r="L234" i="3"/>
  <c r="H234" i="3"/>
  <c r="I234" i="3" s="1"/>
  <c r="F234" i="3"/>
  <c r="C234" i="3"/>
  <c r="AC233" i="3"/>
  <c r="AD233" i="3" s="1"/>
  <c r="AA233" i="3"/>
  <c r="X233" i="3"/>
  <c r="W233" i="3"/>
  <c r="U233" i="3"/>
  <c r="R233" i="3"/>
  <c r="O233" i="3"/>
  <c r="N233" i="3"/>
  <c r="L233" i="3"/>
  <c r="H233" i="3"/>
  <c r="I233" i="3" s="1"/>
  <c r="F233" i="3"/>
  <c r="C233" i="3"/>
  <c r="AC232" i="3"/>
  <c r="AD232" i="3" s="1"/>
  <c r="AA232" i="3"/>
  <c r="X232" i="3"/>
  <c r="W232" i="3"/>
  <c r="U232" i="3"/>
  <c r="R232" i="3"/>
  <c r="O232" i="3"/>
  <c r="N232" i="3"/>
  <c r="L232" i="3"/>
  <c r="H232" i="3"/>
  <c r="I232" i="3" s="1"/>
  <c r="F232" i="3"/>
  <c r="C232" i="3"/>
  <c r="AC231" i="3"/>
  <c r="AD231" i="3" s="1"/>
  <c r="AA231" i="3"/>
  <c r="X231" i="3"/>
  <c r="W231" i="3"/>
  <c r="U231" i="3"/>
  <c r="R231" i="3"/>
  <c r="O231" i="3"/>
  <c r="N231" i="3"/>
  <c r="L231" i="3"/>
  <c r="H231" i="3"/>
  <c r="I231" i="3" s="1"/>
  <c r="F231" i="3"/>
  <c r="C231" i="3"/>
  <c r="AD230" i="3"/>
  <c r="AC230" i="3"/>
  <c r="AA230" i="3"/>
  <c r="X230" i="3"/>
  <c r="W230" i="3"/>
  <c r="U230" i="3"/>
  <c r="R230" i="3"/>
  <c r="O230" i="3"/>
  <c r="N230" i="3"/>
  <c r="L230" i="3"/>
  <c r="I230" i="3"/>
  <c r="H230" i="3"/>
  <c r="F230" i="3"/>
  <c r="C230" i="3"/>
  <c r="AC229" i="3"/>
  <c r="AD229" i="3" s="1"/>
  <c r="AA229" i="3"/>
  <c r="X229" i="3"/>
  <c r="W229" i="3"/>
  <c r="U229" i="3"/>
  <c r="R229" i="3"/>
  <c r="O229" i="3"/>
  <c r="N229" i="3"/>
  <c r="L229" i="3"/>
  <c r="I229" i="3"/>
  <c r="H229" i="3"/>
  <c r="F229" i="3"/>
  <c r="C229" i="3"/>
  <c r="Z227" i="3"/>
  <c r="AA227" i="3" s="1"/>
  <c r="X227" i="3"/>
  <c r="W227" i="3"/>
  <c r="U227" i="3"/>
  <c r="T227" i="3"/>
  <c r="Q227" i="3"/>
  <c r="R227" i="3" s="1"/>
  <c r="K227" i="3"/>
  <c r="L227" i="3" s="1"/>
  <c r="E227" i="3"/>
  <c r="F227" i="3" s="1"/>
  <c r="B227" i="3"/>
  <c r="C227" i="3" s="1"/>
  <c r="AD226" i="3"/>
  <c r="AC226" i="3"/>
  <c r="AA226" i="3"/>
  <c r="X226" i="3"/>
  <c r="W226" i="3"/>
  <c r="U226" i="3"/>
  <c r="R226" i="3"/>
  <c r="O226" i="3"/>
  <c r="N226" i="3"/>
  <c r="L226" i="3"/>
  <c r="H226" i="3"/>
  <c r="I226" i="3" s="1"/>
  <c r="F226" i="3"/>
  <c r="C226" i="3"/>
  <c r="AC225" i="3"/>
  <c r="AD225" i="3" s="1"/>
  <c r="AA225" i="3"/>
  <c r="X225" i="3"/>
  <c r="W225" i="3"/>
  <c r="U225" i="3"/>
  <c r="R225" i="3"/>
  <c r="O225" i="3"/>
  <c r="N225" i="3"/>
  <c r="L225" i="3"/>
  <c r="I225" i="3"/>
  <c r="H225" i="3"/>
  <c r="F225" i="3"/>
  <c r="C225" i="3"/>
  <c r="AC224" i="3"/>
  <c r="AD224" i="3" s="1"/>
  <c r="AA224" i="3"/>
  <c r="W224" i="3"/>
  <c r="X224" i="3" s="1"/>
  <c r="U224" i="3"/>
  <c r="R224" i="3"/>
  <c r="O224" i="3"/>
  <c r="N224" i="3"/>
  <c r="L224" i="3"/>
  <c r="H224" i="3"/>
  <c r="I224" i="3" s="1"/>
  <c r="F224" i="3"/>
  <c r="C224" i="3"/>
  <c r="AD223" i="3"/>
  <c r="AC223" i="3"/>
  <c r="AA223" i="3"/>
  <c r="X223" i="3"/>
  <c r="W223" i="3"/>
  <c r="U223" i="3"/>
  <c r="R223" i="3"/>
  <c r="O223" i="3"/>
  <c r="N223" i="3"/>
  <c r="L223" i="3"/>
  <c r="H223" i="3"/>
  <c r="I223" i="3" s="1"/>
  <c r="F223" i="3"/>
  <c r="C223" i="3"/>
  <c r="AD222" i="3"/>
  <c r="AC222" i="3"/>
  <c r="AA222" i="3"/>
  <c r="X222" i="3"/>
  <c r="W222" i="3"/>
  <c r="U222" i="3"/>
  <c r="R222" i="3"/>
  <c r="O222" i="3"/>
  <c r="N222" i="3"/>
  <c r="L222" i="3"/>
  <c r="I222" i="3"/>
  <c r="H222" i="3"/>
  <c r="F222" i="3"/>
  <c r="C222" i="3"/>
  <c r="AC221" i="3"/>
  <c r="AD221" i="3" s="1"/>
  <c r="AA221" i="3"/>
  <c r="X221" i="3"/>
  <c r="W221" i="3"/>
  <c r="U221" i="3"/>
  <c r="R221" i="3"/>
  <c r="O221" i="3"/>
  <c r="N221" i="3"/>
  <c r="L221" i="3"/>
  <c r="I221" i="3"/>
  <c r="H221" i="3"/>
  <c r="F221" i="3"/>
  <c r="C221" i="3"/>
  <c r="AC220" i="3"/>
  <c r="AD220" i="3" s="1"/>
  <c r="AA220" i="3"/>
  <c r="X220" i="3"/>
  <c r="W220" i="3"/>
  <c r="U220" i="3"/>
  <c r="R220" i="3"/>
  <c r="O220" i="3"/>
  <c r="N220" i="3"/>
  <c r="L220" i="3"/>
  <c r="H220" i="3"/>
  <c r="I220" i="3" s="1"/>
  <c r="F220" i="3"/>
  <c r="C220" i="3"/>
  <c r="AD219" i="3"/>
  <c r="AC219" i="3"/>
  <c r="AA219" i="3"/>
  <c r="X219" i="3"/>
  <c r="W219" i="3"/>
  <c r="U219" i="3"/>
  <c r="R219" i="3"/>
  <c r="N219" i="3"/>
  <c r="O219" i="3" s="1"/>
  <c r="L219" i="3"/>
  <c r="H219" i="3"/>
  <c r="I219" i="3" s="1"/>
  <c r="F219" i="3"/>
  <c r="C219" i="3"/>
  <c r="Z218" i="3"/>
  <c r="AA218" i="3" s="1"/>
  <c r="T218" i="3"/>
  <c r="U218" i="3" s="1"/>
  <c r="R218" i="3"/>
  <c r="Q218" i="3"/>
  <c r="AC218" i="3" s="1"/>
  <c r="AD218" i="3" s="1"/>
  <c r="K218" i="3"/>
  <c r="L218" i="3" s="1"/>
  <c r="H218" i="3"/>
  <c r="I218" i="3" s="1"/>
  <c r="E218" i="3"/>
  <c r="F218" i="3" s="1"/>
  <c r="C218" i="3"/>
  <c r="B218" i="3"/>
  <c r="N218" i="3" s="1"/>
  <c r="O218" i="3" s="1"/>
  <c r="AC217" i="3"/>
  <c r="AD217" i="3" s="1"/>
  <c r="AA217" i="3"/>
  <c r="W217" i="3"/>
  <c r="X217" i="3" s="1"/>
  <c r="U217" i="3"/>
  <c r="R217" i="3"/>
  <c r="O217" i="3"/>
  <c r="N217" i="3"/>
  <c r="L217" i="3"/>
  <c r="H217" i="3"/>
  <c r="I217" i="3" s="1"/>
  <c r="F217" i="3"/>
  <c r="C217" i="3"/>
  <c r="AC216" i="3"/>
  <c r="AD216" i="3" s="1"/>
  <c r="AA216" i="3"/>
  <c r="X216" i="3"/>
  <c r="W216" i="3"/>
  <c r="U216" i="3"/>
  <c r="R216" i="3"/>
  <c r="O216" i="3"/>
  <c r="N216" i="3"/>
  <c r="L216" i="3"/>
  <c r="H216" i="3"/>
  <c r="I216" i="3" s="1"/>
  <c r="F216" i="3"/>
  <c r="C216" i="3"/>
  <c r="AD215" i="3"/>
  <c r="AC215" i="3"/>
  <c r="AA215" i="3"/>
  <c r="X215" i="3"/>
  <c r="W215" i="3"/>
  <c r="U215" i="3"/>
  <c r="R215" i="3"/>
  <c r="O215" i="3"/>
  <c r="N215" i="3"/>
  <c r="L215" i="3"/>
  <c r="I215" i="3"/>
  <c r="H215" i="3"/>
  <c r="F215" i="3"/>
  <c r="C215" i="3"/>
  <c r="AC214" i="3"/>
  <c r="AD214" i="3" s="1"/>
  <c r="AA214" i="3"/>
  <c r="X214" i="3"/>
  <c r="W214" i="3"/>
  <c r="U214" i="3"/>
  <c r="R214" i="3"/>
  <c r="O214" i="3"/>
  <c r="N214" i="3"/>
  <c r="L214" i="3"/>
  <c r="I214" i="3"/>
  <c r="H214" i="3"/>
  <c r="F214" i="3"/>
  <c r="C214" i="3"/>
  <c r="AC213" i="3"/>
  <c r="AD213" i="3" s="1"/>
  <c r="AA213" i="3"/>
  <c r="X213" i="3"/>
  <c r="W213" i="3"/>
  <c r="U213" i="3"/>
  <c r="R213" i="3"/>
  <c r="O213" i="3"/>
  <c r="N213" i="3"/>
  <c r="L213" i="3"/>
  <c r="H213" i="3"/>
  <c r="I213" i="3" s="1"/>
  <c r="F213" i="3"/>
  <c r="C213" i="3"/>
  <c r="AD211" i="3"/>
  <c r="AC211" i="3"/>
  <c r="AA211" i="3"/>
  <c r="X211" i="3"/>
  <c r="W211" i="3"/>
  <c r="U211" i="3"/>
  <c r="R211" i="3"/>
  <c r="O211" i="3"/>
  <c r="N211" i="3"/>
  <c r="L211" i="3"/>
  <c r="H211" i="3"/>
  <c r="I211" i="3" s="1"/>
  <c r="F211" i="3"/>
  <c r="C211" i="3"/>
  <c r="AC209" i="3"/>
  <c r="AD209" i="3" s="1"/>
  <c r="AA209" i="3"/>
  <c r="Z209" i="3"/>
  <c r="T209" i="3"/>
  <c r="U209" i="3" s="1"/>
  <c r="R209" i="3"/>
  <c r="Q209" i="3"/>
  <c r="W209" i="3" s="1"/>
  <c r="X209" i="3" s="1"/>
  <c r="N209" i="3"/>
  <c r="O209" i="3" s="1"/>
  <c r="K209" i="3"/>
  <c r="L209" i="3" s="1"/>
  <c r="F209" i="3"/>
  <c r="E209" i="3"/>
  <c r="C209" i="3"/>
  <c r="B209" i="3"/>
  <c r="H209" i="3" s="1"/>
  <c r="I209" i="3" s="1"/>
  <c r="AC208" i="3"/>
  <c r="AD208" i="3" s="1"/>
  <c r="AA208" i="3"/>
  <c r="X208" i="3"/>
  <c r="W208" i="3"/>
  <c r="U208" i="3"/>
  <c r="R208" i="3"/>
  <c r="O208" i="3"/>
  <c r="N208" i="3"/>
  <c r="L208" i="3"/>
  <c r="H208" i="3"/>
  <c r="I208" i="3" s="1"/>
  <c r="F208" i="3"/>
  <c r="C208" i="3"/>
  <c r="AD207" i="3"/>
  <c r="AC207" i="3"/>
  <c r="AA207" i="3"/>
  <c r="X207" i="3"/>
  <c r="W207" i="3"/>
  <c r="U207" i="3"/>
  <c r="R207" i="3"/>
  <c r="O207" i="3"/>
  <c r="N207" i="3"/>
  <c r="L207" i="3"/>
  <c r="H207" i="3"/>
  <c r="I207" i="3" s="1"/>
  <c r="F207" i="3"/>
  <c r="C207" i="3"/>
  <c r="AD206" i="3"/>
  <c r="AC206" i="3"/>
  <c r="AA206" i="3"/>
  <c r="X206" i="3"/>
  <c r="W206" i="3"/>
  <c r="U206" i="3"/>
  <c r="R206" i="3"/>
  <c r="N206" i="3"/>
  <c r="O206" i="3" s="1"/>
  <c r="L206" i="3"/>
  <c r="I206" i="3"/>
  <c r="H206" i="3"/>
  <c r="F206" i="3"/>
  <c r="C206" i="3"/>
  <c r="AC205" i="3"/>
  <c r="AD205" i="3" s="1"/>
  <c r="AA205" i="3"/>
  <c r="X205" i="3"/>
  <c r="W205" i="3"/>
  <c r="U205" i="3"/>
  <c r="R205" i="3"/>
  <c r="O205" i="3"/>
  <c r="N205" i="3"/>
  <c r="L205" i="3"/>
  <c r="H205" i="3"/>
  <c r="I205" i="3" s="1"/>
  <c r="F205" i="3"/>
  <c r="C205" i="3"/>
  <c r="AC204" i="3"/>
  <c r="AD204" i="3" s="1"/>
  <c r="AA204" i="3"/>
  <c r="X204" i="3"/>
  <c r="W204" i="3"/>
  <c r="U204" i="3"/>
  <c r="R204" i="3"/>
  <c r="O204" i="3"/>
  <c r="N204" i="3"/>
  <c r="L204" i="3"/>
  <c r="H204" i="3"/>
  <c r="I204" i="3" s="1"/>
  <c r="F204" i="3"/>
  <c r="C204" i="3"/>
  <c r="AC203" i="3"/>
  <c r="AD203" i="3" s="1"/>
  <c r="AA203" i="3"/>
  <c r="X203" i="3"/>
  <c r="W203" i="3"/>
  <c r="U203" i="3"/>
  <c r="R203" i="3"/>
  <c r="O203" i="3"/>
  <c r="N203" i="3"/>
  <c r="L203" i="3"/>
  <c r="H203" i="3"/>
  <c r="I203" i="3" s="1"/>
  <c r="F203" i="3"/>
  <c r="C203" i="3"/>
  <c r="AC202" i="3"/>
  <c r="AD202" i="3" s="1"/>
  <c r="AA202" i="3"/>
  <c r="X202" i="3"/>
  <c r="W202" i="3"/>
  <c r="U202" i="3"/>
  <c r="R202" i="3"/>
  <c r="O202" i="3"/>
  <c r="N202" i="3"/>
  <c r="L202" i="3"/>
  <c r="I202" i="3"/>
  <c r="H202" i="3"/>
  <c r="F202" i="3"/>
  <c r="C202" i="3"/>
  <c r="AC201" i="3"/>
  <c r="AD201" i="3" s="1"/>
  <c r="AA201" i="3"/>
  <c r="W201" i="3"/>
  <c r="X201" i="3" s="1"/>
  <c r="U201" i="3"/>
  <c r="R201" i="3"/>
  <c r="O201" i="3"/>
  <c r="N201" i="3"/>
  <c r="L201" i="3"/>
  <c r="I201" i="3"/>
  <c r="H201" i="3"/>
  <c r="F201" i="3"/>
  <c r="C201" i="3"/>
  <c r="Z197" i="3"/>
  <c r="AA197" i="3" s="1"/>
  <c r="W197" i="3"/>
  <c r="X197" i="3" s="1"/>
  <c r="U197" i="3"/>
  <c r="T197" i="3"/>
  <c r="R197" i="3"/>
  <c r="Q197" i="3"/>
  <c r="AC197" i="3" s="1"/>
  <c r="AD197" i="3" s="1"/>
  <c r="K197" i="3"/>
  <c r="L197" i="3" s="1"/>
  <c r="F197" i="3"/>
  <c r="E197" i="3"/>
  <c r="B197" i="3"/>
  <c r="C197" i="3" s="1"/>
  <c r="AA196" i="3"/>
  <c r="Z196" i="3"/>
  <c r="T196" i="3"/>
  <c r="U196" i="3" s="1"/>
  <c r="Q196" i="3"/>
  <c r="W196" i="3" s="1"/>
  <c r="X196" i="3" s="1"/>
  <c r="L196" i="3"/>
  <c r="K196" i="3"/>
  <c r="H196" i="3"/>
  <c r="I196" i="3" s="1"/>
  <c r="E196" i="3"/>
  <c r="F196" i="3" s="1"/>
  <c r="C196" i="3"/>
  <c r="B196" i="3"/>
  <c r="N196" i="3" s="1"/>
  <c r="O196" i="3" s="1"/>
  <c r="AD195" i="3"/>
  <c r="AC195" i="3"/>
  <c r="AA195" i="3"/>
  <c r="X195" i="3"/>
  <c r="W195" i="3"/>
  <c r="U195" i="3"/>
  <c r="R195" i="3"/>
  <c r="O195" i="3"/>
  <c r="N195" i="3"/>
  <c r="L195" i="3"/>
  <c r="H195" i="3"/>
  <c r="I195" i="3" s="1"/>
  <c r="F195" i="3"/>
  <c r="C195" i="3"/>
  <c r="AD194" i="3"/>
  <c r="AC194" i="3"/>
  <c r="AA194" i="3"/>
  <c r="X194" i="3"/>
  <c r="W194" i="3"/>
  <c r="U194" i="3"/>
  <c r="R194" i="3"/>
  <c r="N194" i="3"/>
  <c r="O194" i="3" s="1"/>
  <c r="L194" i="3"/>
  <c r="I194" i="3"/>
  <c r="H194" i="3"/>
  <c r="F194" i="3"/>
  <c r="C194" i="3"/>
  <c r="AA193" i="3"/>
  <c r="Z193" i="3"/>
  <c r="T193" i="3"/>
  <c r="U193" i="3" s="1"/>
  <c r="Q193" i="3"/>
  <c r="W193" i="3" s="1"/>
  <c r="X193" i="3" s="1"/>
  <c r="L193" i="3"/>
  <c r="K193" i="3"/>
  <c r="H193" i="3"/>
  <c r="I193" i="3" s="1"/>
  <c r="E193" i="3"/>
  <c r="F193" i="3" s="1"/>
  <c r="C193" i="3"/>
  <c r="B193" i="3"/>
  <c r="N193" i="3" s="1"/>
  <c r="O193" i="3" s="1"/>
  <c r="AD192" i="3"/>
  <c r="AC192" i="3"/>
  <c r="AA192" i="3"/>
  <c r="X192" i="3"/>
  <c r="W192" i="3"/>
  <c r="U192" i="3"/>
  <c r="R192" i="3"/>
  <c r="O192" i="3"/>
  <c r="N192" i="3"/>
  <c r="L192" i="3"/>
  <c r="H192" i="3"/>
  <c r="I192" i="3" s="1"/>
  <c r="F192" i="3"/>
  <c r="C192" i="3"/>
  <c r="AD191" i="3"/>
  <c r="AC191" i="3"/>
  <c r="AA191" i="3"/>
  <c r="X191" i="3"/>
  <c r="W191" i="3"/>
  <c r="U191" i="3"/>
  <c r="R191" i="3"/>
  <c r="N191" i="3"/>
  <c r="O191" i="3" s="1"/>
  <c r="L191" i="3"/>
  <c r="I191" i="3"/>
  <c r="H191" i="3"/>
  <c r="F191" i="3"/>
  <c r="C191" i="3"/>
  <c r="AC190" i="3"/>
  <c r="AD190" i="3" s="1"/>
  <c r="AA190" i="3"/>
  <c r="X190" i="3"/>
  <c r="W190" i="3"/>
  <c r="U190" i="3"/>
  <c r="R190" i="3"/>
  <c r="O190" i="3"/>
  <c r="N190" i="3"/>
  <c r="L190" i="3"/>
  <c r="I190" i="3"/>
  <c r="H190" i="3"/>
  <c r="F190" i="3"/>
  <c r="C190" i="3"/>
  <c r="AC189" i="3"/>
  <c r="AD189" i="3" s="1"/>
  <c r="AA189" i="3"/>
  <c r="W189" i="3"/>
  <c r="X189" i="3" s="1"/>
  <c r="U189" i="3"/>
  <c r="R189" i="3"/>
  <c r="O189" i="3"/>
  <c r="N189" i="3"/>
  <c r="L189" i="3"/>
  <c r="H189" i="3"/>
  <c r="I189" i="3" s="1"/>
  <c r="F189" i="3"/>
  <c r="C189" i="3"/>
  <c r="AD188" i="3"/>
  <c r="AC188" i="3"/>
  <c r="AA188" i="3"/>
  <c r="X188" i="3"/>
  <c r="W188" i="3"/>
  <c r="U188" i="3"/>
  <c r="R188" i="3"/>
  <c r="O188" i="3"/>
  <c r="N188" i="3"/>
  <c r="L188" i="3"/>
  <c r="H188" i="3"/>
  <c r="I188" i="3" s="1"/>
  <c r="F188" i="3"/>
  <c r="C188" i="3"/>
  <c r="AD187" i="3"/>
  <c r="AC187" i="3"/>
  <c r="AA187" i="3"/>
  <c r="X187" i="3"/>
  <c r="W187" i="3"/>
  <c r="U187" i="3"/>
  <c r="R187" i="3"/>
  <c r="N187" i="3"/>
  <c r="O187" i="3" s="1"/>
  <c r="L187" i="3"/>
  <c r="I187" i="3"/>
  <c r="H187" i="3"/>
  <c r="F187" i="3"/>
  <c r="C187" i="3"/>
  <c r="AC186" i="3"/>
  <c r="AD186" i="3" s="1"/>
  <c r="AA186" i="3"/>
  <c r="X186" i="3"/>
  <c r="W186" i="3"/>
  <c r="U186" i="3"/>
  <c r="R186" i="3"/>
  <c r="O186" i="3"/>
  <c r="N186" i="3"/>
  <c r="L186" i="3"/>
  <c r="I186" i="3"/>
  <c r="H186" i="3"/>
  <c r="F186" i="3"/>
  <c r="C186" i="3"/>
  <c r="AC184" i="3"/>
  <c r="AD184" i="3" s="1"/>
  <c r="AA184" i="3"/>
  <c r="W184" i="3"/>
  <c r="X184" i="3" s="1"/>
  <c r="U184" i="3"/>
  <c r="R184" i="3"/>
  <c r="O184" i="3"/>
  <c r="N184" i="3"/>
  <c r="L184" i="3"/>
  <c r="H184" i="3"/>
  <c r="I184" i="3" s="1"/>
  <c r="F184" i="3"/>
  <c r="C184" i="3"/>
  <c r="AD183" i="3"/>
  <c r="AC183" i="3"/>
  <c r="AA183" i="3"/>
  <c r="X183" i="3"/>
  <c r="W183" i="3"/>
  <c r="U183" i="3"/>
  <c r="R183" i="3"/>
  <c r="O183" i="3"/>
  <c r="N183" i="3"/>
  <c r="L183" i="3"/>
  <c r="H183" i="3"/>
  <c r="I183" i="3" s="1"/>
  <c r="F183" i="3"/>
  <c r="C183" i="3"/>
  <c r="AA182" i="3"/>
  <c r="Z182" i="3"/>
  <c r="W182" i="3"/>
  <c r="X182" i="3" s="1"/>
  <c r="T182" i="3"/>
  <c r="U182" i="3" s="1"/>
  <c r="R182" i="3"/>
  <c r="Q182" i="3"/>
  <c r="AC182" i="3" s="1"/>
  <c r="AD182" i="3" s="1"/>
  <c r="K182" i="3"/>
  <c r="L182" i="3" s="1"/>
  <c r="H182" i="3"/>
  <c r="I182" i="3" s="1"/>
  <c r="F182" i="3"/>
  <c r="E182" i="3"/>
  <c r="C182" i="3"/>
  <c r="B182" i="3"/>
  <c r="N182" i="3" s="1"/>
  <c r="O182" i="3" s="1"/>
  <c r="AC181" i="3"/>
  <c r="AD181" i="3" s="1"/>
  <c r="AA181" i="3"/>
  <c r="W181" i="3"/>
  <c r="X181" i="3" s="1"/>
  <c r="U181" i="3"/>
  <c r="R181" i="3"/>
  <c r="O181" i="3"/>
  <c r="N181" i="3"/>
  <c r="L181" i="3"/>
  <c r="H181" i="3"/>
  <c r="I181" i="3" s="1"/>
  <c r="F181" i="3"/>
  <c r="C181" i="3"/>
  <c r="AD180" i="3"/>
  <c r="AC180" i="3"/>
  <c r="AA180" i="3"/>
  <c r="X180" i="3"/>
  <c r="W180" i="3"/>
  <c r="U180" i="3"/>
  <c r="R180" i="3"/>
  <c r="O180" i="3"/>
  <c r="N180" i="3"/>
  <c r="L180" i="3"/>
  <c r="H180" i="3"/>
  <c r="I180" i="3" s="1"/>
  <c r="F180" i="3"/>
  <c r="C180" i="3"/>
  <c r="AD179" i="3"/>
  <c r="AC179" i="3"/>
  <c r="AA179" i="3"/>
  <c r="X179" i="3"/>
  <c r="W179" i="3"/>
  <c r="U179" i="3"/>
  <c r="R179" i="3"/>
  <c r="N179" i="3"/>
  <c r="O179" i="3" s="1"/>
  <c r="L179" i="3"/>
  <c r="I179" i="3"/>
  <c r="H179" i="3"/>
  <c r="F179" i="3"/>
  <c r="C179" i="3"/>
  <c r="AC178" i="3"/>
  <c r="AD178" i="3" s="1"/>
  <c r="AA178" i="3"/>
  <c r="X178" i="3"/>
  <c r="W178" i="3"/>
  <c r="U178" i="3"/>
  <c r="R178" i="3"/>
  <c r="O178" i="3"/>
  <c r="N178" i="3"/>
  <c r="L178" i="3"/>
  <c r="I178" i="3"/>
  <c r="H178" i="3"/>
  <c r="F178" i="3"/>
  <c r="C178" i="3"/>
  <c r="AC177" i="3"/>
  <c r="AD177" i="3" s="1"/>
  <c r="AA177" i="3"/>
  <c r="W177" i="3"/>
  <c r="X177" i="3" s="1"/>
  <c r="U177" i="3"/>
  <c r="R177" i="3"/>
  <c r="O177" i="3"/>
  <c r="N177" i="3"/>
  <c r="L177" i="3"/>
  <c r="H177" i="3"/>
  <c r="I177" i="3" s="1"/>
  <c r="F177" i="3"/>
  <c r="C177" i="3"/>
  <c r="AD175" i="3"/>
  <c r="AC175" i="3"/>
  <c r="AA175" i="3"/>
  <c r="X175" i="3"/>
  <c r="W175" i="3"/>
  <c r="U175" i="3"/>
  <c r="R175" i="3"/>
  <c r="O175" i="3"/>
  <c r="N175" i="3"/>
  <c r="L175" i="3"/>
  <c r="H175" i="3"/>
  <c r="I175" i="3" s="1"/>
  <c r="F175" i="3"/>
  <c r="C175" i="3"/>
  <c r="K172" i="3"/>
  <c r="K198" i="3" s="1"/>
  <c r="Z171" i="3"/>
  <c r="AA171" i="3" s="1"/>
  <c r="U171" i="3"/>
  <c r="T171" i="3"/>
  <c r="Q171" i="3"/>
  <c r="R171" i="3" s="1"/>
  <c r="L171" i="3"/>
  <c r="K171" i="3"/>
  <c r="E171" i="3"/>
  <c r="F171" i="3" s="1"/>
  <c r="B171" i="3"/>
  <c r="H171" i="3" s="1"/>
  <c r="I171" i="3" s="1"/>
  <c r="AA170" i="3"/>
  <c r="Z170" i="3"/>
  <c r="W170" i="3"/>
  <c r="X170" i="3" s="1"/>
  <c r="T170" i="3"/>
  <c r="U170" i="3" s="1"/>
  <c r="R170" i="3"/>
  <c r="Q170" i="3"/>
  <c r="AC170" i="3" s="1"/>
  <c r="AD170" i="3" s="1"/>
  <c r="K170" i="3"/>
  <c r="L170" i="3" s="1"/>
  <c r="H170" i="3"/>
  <c r="I170" i="3" s="1"/>
  <c r="F170" i="3"/>
  <c r="E170" i="3"/>
  <c r="C170" i="3"/>
  <c r="B170" i="3"/>
  <c r="N170" i="3" s="1"/>
  <c r="O170" i="3" s="1"/>
  <c r="AC169" i="3"/>
  <c r="AD169" i="3" s="1"/>
  <c r="AA169" i="3"/>
  <c r="X169" i="3"/>
  <c r="W169" i="3"/>
  <c r="U169" i="3"/>
  <c r="R169" i="3"/>
  <c r="O169" i="3"/>
  <c r="N169" i="3"/>
  <c r="L169" i="3"/>
  <c r="H169" i="3"/>
  <c r="I169" i="3" s="1"/>
  <c r="F169" i="3"/>
  <c r="C169" i="3"/>
  <c r="AD168" i="3"/>
  <c r="AC168" i="3"/>
  <c r="AA168" i="3"/>
  <c r="X168" i="3"/>
  <c r="W168" i="3"/>
  <c r="U168" i="3"/>
  <c r="R168" i="3"/>
  <c r="O168" i="3"/>
  <c r="N168" i="3"/>
  <c r="L168" i="3"/>
  <c r="H168" i="3"/>
  <c r="I168" i="3" s="1"/>
  <c r="F168" i="3"/>
  <c r="C168" i="3"/>
  <c r="AD167" i="3"/>
  <c r="AC167" i="3"/>
  <c r="AA167" i="3"/>
  <c r="X167" i="3"/>
  <c r="W167" i="3"/>
  <c r="U167" i="3"/>
  <c r="R167" i="3"/>
  <c r="O167" i="3"/>
  <c r="N167" i="3"/>
  <c r="L167" i="3"/>
  <c r="I167" i="3"/>
  <c r="H167" i="3"/>
  <c r="F167" i="3"/>
  <c r="C167" i="3"/>
  <c r="AA166" i="3"/>
  <c r="Z166" i="3"/>
  <c r="T166" i="3"/>
  <c r="U166" i="3" s="1"/>
  <c r="Q166" i="3"/>
  <c r="W166" i="3" s="1"/>
  <c r="X166" i="3" s="1"/>
  <c r="L166" i="3"/>
  <c r="K166" i="3"/>
  <c r="H166" i="3"/>
  <c r="I166" i="3" s="1"/>
  <c r="E166" i="3"/>
  <c r="F166" i="3" s="1"/>
  <c r="C166" i="3"/>
  <c r="B166" i="3"/>
  <c r="N166" i="3" s="1"/>
  <c r="O166" i="3" s="1"/>
  <c r="AD165" i="3"/>
  <c r="AC165" i="3"/>
  <c r="AA165" i="3"/>
  <c r="X165" i="3"/>
  <c r="W165" i="3"/>
  <c r="U165" i="3"/>
  <c r="R165" i="3"/>
  <c r="O165" i="3"/>
  <c r="N165" i="3"/>
  <c r="L165" i="3"/>
  <c r="H165" i="3"/>
  <c r="I165" i="3" s="1"/>
  <c r="F165" i="3"/>
  <c r="C165" i="3"/>
  <c r="AD164" i="3"/>
  <c r="AC164" i="3"/>
  <c r="AA164" i="3"/>
  <c r="X164" i="3"/>
  <c r="W164" i="3"/>
  <c r="U164" i="3"/>
  <c r="R164" i="3"/>
  <c r="O164" i="3"/>
  <c r="N164" i="3"/>
  <c r="L164" i="3"/>
  <c r="I164" i="3"/>
  <c r="H164" i="3"/>
  <c r="F164" i="3"/>
  <c r="C164" i="3"/>
  <c r="AC163" i="3"/>
  <c r="AD163" i="3" s="1"/>
  <c r="AA163" i="3"/>
  <c r="X163" i="3"/>
  <c r="W163" i="3"/>
  <c r="U163" i="3"/>
  <c r="R163" i="3"/>
  <c r="O163" i="3"/>
  <c r="N163" i="3"/>
  <c r="L163" i="3"/>
  <c r="I163" i="3"/>
  <c r="H163" i="3"/>
  <c r="F163" i="3"/>
  <c r="C163" i="3"/>
  <c r="AC162" i="3"/>
  <c r="AD162" i="3" s="1"/>
  <c r="AA162" i="3"/>
  <c r="X162" i="3"/>
  <c r="W162" i="3"/>
  <c r="U162" i="3"/>
  <c r="R162" i="3"/>
  <c r="O162" i="3"/>
  <c r="N162" i="3"/>
  <c r="L162" i="3"/>
  <c r="H162" i="3"/>
  <c r="I162" i="3" s="1"/>
  <c r="F162" i="3"/>
  <c r="C162" i="3"/>
  <c r="AD161" i="3"/>
  <c r="AC161" i="3"/>
  <c r="AA161" i="3"/>
  <c r="X161" i="3"/>
  <c r="W161" i="3"/>
  <c r="U161" i="3"/>
  <c r="R161" i="3"/>
  <c r="O161" i="3"/>
  <c r="N161" i="3"/>
  <c r="L161" i="3"/>
  <c r="H161" i="3"/>
  <c r="I161" i="3" s="1"/>
  <c r="F161" i="3"/>
  <c r="C161" i="3"/>
  <c r="AD160" i="3"/>
  <c r="AC160" i="3"/>
  <c r="AA160" i="3"/>
  <c r="X160" i="3"/>
  <c r="W160" i="3"/>
  <c r="U160" i="3"/>
  <c r="R160" i="3"/>
  <c r="O160" i="3"/>
  <c r="N160" i="3"/>
  <c r="L160" i="3"/>
  <c r="I160" i="3"/>
  <c r="H160" i="3"/>
  <c r="F160" i="3"/>
  <c r="C160" i="3"/>
  <c r="AA158" i="3"/>
  <c r="Z158" i="3"/>
  <c r="T158" i="3"/>
  <c r="U158" i="3" s="1"/>
  <c r="Q158" i="3"/>
  <c r="W158" i="3" s="1"/>
  <c r="X158" i="3" s="1"/>
  <c r="L158" i="3"/>
  <c r="K158" i="3"/>
  <c r="H158" i="3"/>
  <c r="I158" i="3" s="1"/>
  <c r="E158" i="3"/>
  <c r="F158" i="3" s="1"/>
  <c r="C158" i="3"/>
  <c r="B158" i="3"/>
  <c r="N158" i="3" s="1"/>
  <c r="O158" i="3" s="1"/>
  <c r="AD157" i="3"/>
  <c r="AC157" i="3"/>
  <c r="AA157" i="3"/>
  <c r="X157" i="3"/>
  <c r="W157" i="3"/>
  <c r="U157" i="3"/>
  <c r="R157" i="3"/>
  <c r="O157" i="3"/>
  <c r="N157" i="3"/>
  <c r="L157" i="3"/>
  <c r="H157" i="3"/>
  <c r="I157" i="3" s="1"/>
  <c r="F157" i="3"/>
  <c r="C157" i="3"/>
  <c r="AD156" i="3"/>
  <c r="AC156" i="3"/>
  <c r="AA156" i="3"/>
  <c r="X156" i="3"/>
  <c r="W156" i="3"/>
  <c r="U156" i="3"/>
  <c r="R156" i="3"/>
  <c r="O156" i="3"/>
  <c r="N156" i="3"/>
  <c r="L156" i="3"/>
  <c r="I156" i="3"/>
  <c r="H156" i="3"/>
  <c r="F156" i="3"/>
  <c r="C156" i="3"/>
  <c r="AC155" i="3"/>
  <c r="AD155" i="3" s="1"/>
  <c r="AA155" i="3"/>
  <c r="X155" i="3"/>
  <c r="W155" i="3"/>
  <c r="U155" i="3"/>
  <c r="R155" i="3"/>
  <c r="O155" i="3"/>
  <c r="N155" i="3"/>
  <c r="L155" i="3"/>
  <c r="I155" i="3"/>
  <c r="H155" i="3"/>
  <c r="F155" i="3"/>
  <c r="C155" i="3"/>
  <c r="AC154" i="3"/>
  <c r="AD154" i="3" s="1"/>
  <c r="AA154" i="3"/>
  <c r="X154" i="3"/>
  <c r="W154" i="3"/>
  <c r="U154" i="3"/>
  <c r="R154" i="3"/>
  <c r="O154" i="3"/>
  <c r="N154" i="3"/>
  <c r="L154" i="3"/>
  <c r="H154" i="3"/>
  <c r="I154" i="3" s="1"/>
  <c r="F154" i="3"/>
  <c r="C154" i="3"/>
  <c r="AD153" i="3"/>
  <c r="AC153" i="3"/>
  <c r="AA153" i="3"/>
  <c r="X153" i="3"/>
  <c r="W153" i="3"/>
  <c r="U153" i="3"/>
  <c r="R153" i="3"/>
  <c r="O153" i="3"/>
  <c r="N153" i="3"/>
  <c r="L153" i="3"/>
  <c r="H153" i="3"/>
  <c r="I153" i="3" s="1"/>
  <c r="F153" i="3"/>
  <c r="C153" i="3"/>
  <c r="AD151" i="3"/>
  <c r="AC151" i="3"/>
  <c r="AA151" i="3"/>
  <c r="X151" i="3"/>
  <c r="W151" i="3"/>
  <c r="U151" i="3"/>
  <c r="R151" i="3"/>
  <c r="O151" i="3"/>
  <c r="N151" i="3"/>
  <c r="L151" i="3"/>
  <c r="I151" i="3"/>
  <c r="H151" i="3"/>
  <c r="F151" i="3"/>
  <c r="C151" i="3"/>
  <c r="AA149" i="3"/>
  <c r="Z149" i="3"/>
  <c r="T149" i="3"/>
  <c r="U149" i="3" s="1"/>
  <c r="Q149" i="3"/>
  <c r="W149" i="3" s="1"/>
  <c r="X149" i="3" s="1"/>
  <c r="L149" i="3"/>
  <c r="K149" i="3"/>
  <c r="H149" i="3"/>
  <c r="I149" i="3" s="1"/>
  <c r="E149" i="3"/>
  <c r="F149" i="3" s="1"/>
  <c r="C149" i="3"/>
  <c r="B149" i="3"/>
  <c r="N149" i="3" s="1"/>
  <c r="O149" i="3" s="1"/>
  <c r="Z148" i="3"/>
  <c r="AA148" i="3" s="1"/>
  <c r="W148" i="3"/>
  <c r="X148" i="3" s="1"/>
  <c r="U148" i="3"/>
  <c r="T148" i="3"/>
  <c r="R148" i="3"/>
  <c r="Q148" i="3"/>
  <c r="AC148" i="3" s="1"/>
  <c r="AD148" i="3" s="1"/>
  <c r="K148" i="3"/>
  <c r="L148" i="3" s="1"/>
  <c r="F148" i="3"/>
  <c r="E148" i="3"/>
  <c r="B148" i="3"/>
  <c r="C148" i="3" s="1"/>
  <c r="AC147" i="3"/>
  <c r="AD147" i="3" s="1"/>
  <c r="AA147" i="3"/>
  <c r="X147" i="3"/>
  <c r="W147" i="3"/>
  <c r="U147" i="3"/>
  <c r="R147" i="3"/>
  <c r="O147" i="3"/>
  <c r="N147" i="3"/>
  <c r="L147" i="3"/>
  <c r="I147" i="3"/>
  <c r="H147" i="3"/>
  <c r="F147" i="3"/>
  <c r="C147" i="3"/>
  <c r="AC146" i="3"/>
  <c r="AD146" i="3" s="1"/>
  <c r="AA146" i="3"/>
  <c r="X146" i="3"/>
  <c r="W146" i="3"/>
  <c r="U146" i="3"/>
  <c r="R146" i="3"/>
  <c r="O146" i="3"/>
  <c r="N146" i="3"/>
  <c r="L146" i="3"/>
  <c r="H146" i="3"/>
  <c r="I146" i="3" s="1"/>
  <c r="F146" i="3"/>
  <c r="C146" i="3"/>
  <c r="AD145" i="3"/>
  <c r="AC145" i="3"/>
  <c r="AA145" i="3"/>
  <c r="X145" i="3"/>
  <c r="W145" i="3"/>
  <c r="U145" i="3"/>
  <c r="R145" i="3"/>
  <c r="O145" i="3"/>
  <c r="N145" i="3"/>
  <c r="L145" i="3"/>
  <c r="H145" i="3"/>
  <c r="I145" i="3" s="1"/>
  <c r="F145" i="3"/>
  <c r="C145" i="3"/>
  <c r="AD144" i="3"/>
  <c r="AC144" i="3"/>
  <c r="AA144" i="3"/>
  <c r="X144" i="3"/>
  <c r="W144" i="3"/>
  <c r="U144" i="3"/>
  <c r="R144" i="3"/>
  <c r="O144" i="3"/>
  <c r="N144" i="3"/>
  <c r="L144" i="3"/>
  <c r="I144" i="3"/>
  <c r="H144" i="3"/>
  <c r="F144" i="3"/>
  <c r="C144" i="3"/>
  <c r="AC143" i="3"/>
  <c r="AD143" i="3" s="1"/>
  <c r="AA143" i="3"/>
  <c r="X143" i="3"/>
  <c r="W143" i="3"/>
  <c r="U143" i="3"/>
  <c r="R143" i="3"/>
  <c r="O143" i="3"/>
  <c r="N143" i="3"/>
  <c r="L143" i="3"/>
  <c r="I143" i="3"/>
  <c r="H143" i="3"/>
  <c r="F143" i="3"/>
  <c r="C143" i="3"/>
  <c r="Z141" i="3"/>
  <c r="AA141" i="3" s="1"/>
  <c r="U141" i="3"/>
  <c r="T141" i="3"/>
  <c r="Q141" i="3"/>
  <c r="R141" i="3" s="1"/>
  <c r="L141" i="3"/>
  <c r="K141" i="3"/>
  <c r="E141" i="3"/>
  <c r="F141" i="3" s="1"/>
  <c r="B141" i="3"/>
  <c r="H141" i="3" s="1"/>
  <c r="I141" i="3" s="1"/>
  <c r="AD140" i="3"/>
  <c r="AC140" i="3"/>
  <c r="AA140" i="3"/>
  <c r="X140" i="3"/>
  <c r="W140" i="3"/>
  <c r="U140" i="3"/>
  <c r="R140" i="3"/>
  <c r="O140" i="3"/>
  <c r="N140" i="3"/>
  <c r="L140" i="3"/>
  <c r="I140" i="3"/>
  <c r="H140" i="3"/>
  <c r="F140" i="3"/>
  <c r="C140" i="3"/>
  <c r="AC139" i="3"/>
  <c r="AD139" i="3" s="1"/>
  <c r="AA139" i="3"/>
  <c r="X139" i="3"/>
  <c r="W139" i="3"/>
  <c r="U139" i="3"/>
  <c r="R139" i="3"/>
  <c r="O139" i="3"/>
  <c r="N139" i="3"/>
  <c r="L139" i="3"/>
  <c r="I139" i="3"/>
  <c r="H139" i="3"/>
  <c r="F139" i="3"/>
  <c r="C139" i="3"/>
  <c r="AC138" i="3"/>
  <c r="AD138" i="3" s="1"/>
  <c r="AA138" i="3"/>
  <c r="X138" i="3"/>
  <c r="W138" i="3"/>
  <c r="U138" i="3"/>
  <c r="R138" i="3"/>
  <c r="O138" i="3"/>
  <c r="N138" i="3"/>
  <c r="L138" i="3"/>
  <c r="H138" i="3"/>
  <c r="I138" i="3" s="1"/>
  <c r="F138" i="3"/>
  <c r="C138" i="3"/>
  <c r="AD137" i="3"/>
  <c r="AC137" i="3"/>
  <c r="AA137" i="3"/>
  <c r="X137" i="3"/>
  <c r="W137" i="3"/>
  <c r="U137" i="3"/>
  <c r="R137" i="3"/>
  <c r="O137" i="3"/>
  <c r="N137" i="3"/>
  <c r="L137" i="3"/>
  <c r="H137" i="3"/>
  <c r="I137" i="3" s="1"/>
  <c r="F137" i="3"/>
  <c r="C137" i="3"/>
  <c r="AD136" i="3"/>
  <c r="AC136" i="3"/>
  <c r="AA136" i="3"/>
  <c r="X136" i="3"/>
  <c r="W136" i="3"/>
  <c r="U136" i="3"/>
  <c r="R136" i="3"/>
  <c r="O136" i="3"/>
  <c r="N136" i="3"/>
  <c r="L136" i="3"/>
  <c r="I136" i="3"/>
  <c r="H136" i="3"/>
  <c r="F136" i="3"/>
  <c r="C136" i="3"/>
  <c r="AC135" i="3"/>
  <c r="AD135" i="3" s="1"/>
  <c r="AA135" i="3"/>
  <c r="X135" i="3"/>
  <c r="W135" i="3"/>
  <c r="U135" i="3"/>
  <c r="R135" i="3"/>
  <c r="O135" i="3"/>
  <c r="N135" i="3"/>
  <c r="L135" i="3"/>
  <c r="I135" i="3"/>
  <c r="H135" i="3"/>
  <c r="F135" i="3"/>
  <c r="C135" i="3"/>
  <c r="AC134" i="3"/>
  <c r="AD134" i="3" s="1"/>
  <c r="AA134" i="3"/>
  <c r="X134" i="3"/>
  <c r="W134" i="3"/>
  <c r="U134" i="3"/>
  <c r="R134" i="3"/>
  <c r="O134" i="3"/>
  <c r="N134" i="3"/>
  <c r="L134" i="3"/>
  <c r="H134" i="3"/>
  <c r="I134" i="3" s="1"/>
  <c r="F134" i="3"/>
  <c r="C134" i="3"/>
  <c r="AD133" i="3"/>
  <c r="AC133" i="3"/>
  <c r="AA133" i="3"/>
  <c r="X133" i="3"/>
  <c r="W133" i="3"/>
  <c r="U133" i="3"/>
  <c r="R133" i="3"/>
  <c r="O133" i="3"/>
  <c r="N133" i="3"/>
  <c r="L133" i="3"/>
  <c r="H133" i="3"/>
  <c r="I133" i="3" s="1"/>
  <c r="F133" i="3"/>
  <c r="C133" i="3"/>
  <c r="AD132" i="3"/>
  <c r="AC132" i="3"/>
  <c r="AA132" i="3"/>
  <c r="X132" i="3"/>
  <c r="W132" i="3"/>
  <c r="U132" i="3"/>
  <c r="R132" i="3"/>
  <c r="O132" i="3"/>
  <c r="N132" i="3"/>
  <c r="L132" i="3"/>
  <c r="I132" i="3"/>
  <c r="H132" i="3"/>
  <c r="F132" i="3"/>
  <c r="C132" i="3"/>
  <c r="AC131" i="3"/>
  <c r="AD131" i="3" s="1"/>
  <c r="AA131" i="3"/>
  <c r="X131" i="3"/>
  <c r="W131" i="3"/>
  <c r="U131" i="3"/>
  <c r="R131" i="3"/>
  <c r="O131" i="3"/>
  <c r="N131" i="3"/>
  <c r="L131" i="3"/>
  <c r="I131" i="3"/>
  <c r="H131" i="3"/>
  <c r="F131" i="3"/>
  <c r="C131" i="3"/>
  <c r="AC130" i="3"/>
  <c r="AD130" i="3" s="1"/>
  <c r="AA130" i="3"/>
  <c r="X130" i="3"/>
  <c r="W130" i="3"/>
  <c r="U130" i="3"/>
  <c r="R130" i="3"/>
  <c r="O130" i="3"/>
  <c r="N130" i="3"/>
  <c r="L130" i="3"/>
  <c r="H130" i="3"/>
  <c r="I130" i="3" s="1"/>
  <c r="F130" i="3"/>
  <c r="C130" i="3"/>
  <c r="AD129" i="3"/>
  <c r="AC129" i="3"/>
  <c r="AA129" i="3"/>
  <c r="X129" i="3"/>
  <c r="W129" i="3"/>
  <c r="U129" i="3"/>
  <c r="R129" i="3"/>
  <c r="O129" i="3"/>
  <c r="N129" i="3"/>
  <c r="L129" i="3"/>
  <c r="H129" i="3"/>
  <c r="I129" i="3" s="1"/>
  <c r="F129" i="3"/>
  <c r="C129" i="3"/>
  <c r="AD127" i="3"/>
  <c r="AC127" i="3"/>
  <c r="AA127" i="3"/>
  <c r="X127" i="3"/>
  <c r="W127" i="3"/>
  <c r="U127" i="3"/>
  <c r="R127" i="3"/>
  <c r="O127" i="3"/>
  <c r="N127" i="3"/>
  <c r="L127" i="3"/>
  <c r="I127" i="3"/>
  <c r="H127" i="3"/>
  <c r="F127" i="3"/>
  <c r="C127" i="3"/>
  <c r="AA124" i="3"/>
  <c r="Z124" i="3"/>
  <c r="Z172" i="3" s="1"/>
  <c r="T124" i="3"/>
  <c r="U124" i="3" s="1"/>
  <c r="Q124" i="3"/>
  <c r="W124" i="3" s="1"/>
  <c r="X124" i="3" s="1"/>
  <c r="K124" i="3"/>
  <c r="L124" i="3" s="1"/>
  <c r="E124" i="3"/>
  <c r="H124" i="3" s="1"/>
  <c r="I124" i="3" s="1"/>
  <c r="C124" i="3"/>
  <c r="B124" i="3"/>
  <c r="B172" i="3" s="1"/>
  <c r="AC123" i="3"/>
  <c r="AD123" i="3" s="1"/>
  <c r="AA123" i="3"/>
  <c r="X123" i="3"/>
  <c r="W123" i="3"/>
  <c r="U123" i="3"/>
  <c r="R123" i="3"/>
  <c r="O123" i="3"/>
  <c r="N123" i="3"/>
  <c r="L123" i="3"/>
  <c r="H123" i="3"/>
  <c r="I123" i="3" s="1"/>
  <c r="F123" i="3"/>
  <c r="C123" i="3"/>
  <c r="Z122" i="3"/>
  <c r="AA122" i="3" s="1"/>
  <c r="T122" i="3"/>
  <c r="W122" i="3" s="1"/>
  <c r="X122" i="3" s="1"/>
  <c r="R122" i="3"/>
  <c r="Q122" i="3"/>
  <c r="AC122" i="3" s="1"/>
  <c r="AD122" i="3" s="1"/>
  <c r="K122" i="3"/>
  <c r="L122" i="3" s="1"/>
  <c r="H122" i="3"/>
  <c r="I122" i="3" s="1"/>
  <c r="F122" i="3"/>
  <c r="E122" i="3"/>
  <c r="B122" i="3"/>
  <c r="C122" i="3" s="1"/>
  <c r="AC121" i="3"/>
  <c r="AD121" i="3" s="1"/>
  <c r="AA121" i="3"/>
  <c r="X121" i="3"/>
  <c r="W121" i="3"/>
  <c r="U121" i="3"/>
  <c r="R121" i="3"/>
  <c r="O121" i="3"/>
  <c r="N121" i="3"/>
  <c r="L121" i="3"/>
  <c r="H121" i="3"/>
  <c r="I121" i="3" s="1"/>
  <c r="F121" i="3"/>
  <c r="C121" i="3"/>
  <c r="AC120" i="3"/>
  <c r="AD120" i="3" s="1"/>
  <c r="AA120" i="3"/>
  <c r="X120" i="3"/>
  <c r="W120" i="3"/>
  <c r="U120" i="3"/>
  <c r="R120" i="3"/>
  <c r="O120" i="3"/>
  <c r="N120" i="3"/>
  <c r="L120" i="3"/>
  <c r="H120" i="3"/>
  <c r="I120" i="3" s="1"/>
  <c r="F120" i="3"/>
  <c r="C120" i="3"/>
  <c r="AD119" i="3"/>
  <c r="AC119" i="3"/>
  <c r="AA119" i="3"/>
  <c r="X119" i="3"/>
  <c r="W119" i="3"/>
  <c r="U119" i="3"/>
  <c r="R119" i="3"/>
  <c r="O119" i="3"/>
  <c r="N119" i="3"/>
  <c r="L119" i="3"/>
  <c r="H119" i="3"/>
  <c r="I119" i="3" s="1"/>
  <c r="F119" i="3"/>
  <c r="C119" i="3"/>
  <c r="AA118" i="3"/>
  <c r="Z118" i="3"/>
  <c r="T118" i="3"/>
  <c r="U118" i="3" s="1"/>
  <c r="Q118" i="3"/>
  <c r="W118" i="3" s="1"/>
  <c r="X118" i="3" s="1"/>
  <c r="K118" i="3"/>
  <c r="L118" i="3" s="1"/>
  <c r="E118" i="3"/>
  <c r="H118" i="3" s="1"/>
  <c r="I118" i="3" s="1"/>
  <c r="C118" i="3"/>
  <c r="B118" i="3"/>
  <c r="N118" i="3" s="1"/>
  <c r="O118" i="3" s="1"/>
  <c r="AC117" i="3"/>
  <c r="AD117" i="3" s="1"/>
  <c r="AA117" i="3"/>
  <c r="X117" i="3"/>
  <c r="W117" i="3"/>
  <c r="U117" i="3"/>
  <c r="R117" i="3"/>
  <c r="O117" i="3"/>
  <c r="N117" i="3"/>
  <c r="L117" i="3"/>
  <c r="H117" i="3"/>
  <c r="I117" i="3" s="1"/>
  <c r="F117" i="3"/>
  <c r="C117" i="3"/>
  <c r="AD116" i="3"/>
  <c r="AC116" i="3"/>
  <c r="AA116" i="3"/>
  <c r="X116" i="3"/>
  <c r="W116" i="3"/>
  <c r="U116" i="3"/>
  <c r="R116" i="3"/>
  <c r="O116" i="3"/>
  <c r="N116" i="3"/>
  <c r="L116" i="3"/>
  <c r="H116" i="3"/>
  <c r="I116" i="3" s="1"/>
  <c r="F116" i="3"/>
  <c r="C116" i="3"/>
  <c r="AC115" i="3"/>
  <c r="AD115" i="3" s="1"/>
  <c r="AA115" i="3"/>
  <c r="X115" i="3"/>
  <c r="W115" i="3"/>
  <c r="U115" i="3"/>
  <c r="R115" i="3"/>
  <c r="O115" i="3"/>
  <c r="N115" i="3"/>
  <c r="L115" i="3"/>
  <c r="I115" i="3"/>
  <c r="H115" i="3"/>
  <c r="F115" i="3"/>
  <c r="C115" i="3"/>
  <c r="AC114" i="3"/>
  <c r="AD114" i="3" s="1"/>
  <c r="AA114" i="3"/>
  <c r="X114" i="3"/>
  <c r="W114" i="3"/>
  <c r="U114" i="3"/>
  <c r="R114" i="3"/>
  <c r="O114" i="3"/>
  <c r="N114" i="3"/>
  <c r="L114" i="3"/>
  <c r="H114" i="3"/>
  <c r="I114" i="3" s="1"/>
  <c r="F114" i="3"/>
  <c r="C114" i="3"/>
  <c r="AC113" i="3"/>
  <c r="AD113" i="3" s="1"/>
  <c r="AA113" i="3"/>
  <c r="X113" i="3"/>
  <c r="W113" i="3"/>
  <c r="U113" i="3"/>
  <c r="R113" i="3"/>
  <c r="O113" i="3"/>
  <c r="N113" i="3"/>
  <c r="L113" i="3"/>
  <c r="H113" i="3"/>
  <c r="I113" i="3" s="1"/>
  <c r="F113" i="3"/>
  <c r="C113" i="3"/>
  <c r="AD112" i="3"/>
  <c r="AC112" i="3"/>
  <c r="AA112" i="3"/>
  <c r="X112" i="3"/>
  <c r="W112" i="3"/>
  <c r="U112" i="3"/>
  <c r="R112" i="3"/>
  <c r="O112" i="3"/>
  <c r="N112" i="3"/>
  <c r="L112" i="3"/>
  <c r="H112" i="3"/>
  <c r="I112" i="3" s="1"/>
  <c r="F112" i="3"/>
  <c r="C112" i="3"/>
  <c r="AC111" i="3"/>
  <c r="AD111" i="3" s="1"/>
  <c r="AA111" i="3"/>
  <c r="X111" i="3"/>
  <c r="W111" i="3"/>
  <c r="U111" i="3"/>
  <c r="R111" i="3"/>
  <c r="O111" i="3"/>
  <c r="N111" i="3"/>
  <c r="L111" i="3"/>
  <c r="I111" i="3"/>
  <c r="H111" i="3"/>
  <c r="F111" i="3"/>
  <c r="C111" i="3"/>
  <c r="AC110" i="3"/>
  <c r="AD110" i="3" s="1"/>
  <c r="AA110" i="3"/>
  <c r="X110" i="3"/>
  <c r="W110" i="3"/>
  <c r="U110" i="3"/>
  <c r="R110" i="3"/>
  <c r="O110" i="3"/>
  <c r="N110" i="3"/>
  <c r="L110" i="3"/>
  <c r="H110" i="3"/>
  <c r="I110" i="3" s="1"/>
  <c r="F110" i="3"/>
  <c r="C110" i="3"/>
  <c r="AC109" i="3"/>
  <c r="AD109" i="3" s="1"/>
  <c r="AA109" i="3"/>
  <c r="X109" i="3"/>
  <c r="W109" i="3"/>
  <c r="U109" i="3"/>
  <c r="R109" i="3"/>
  <c r="O109" i="3"/>
  <c r="N109" i="3"/>
  <c r="L109" i="3"/>
  <c r="H109" i="3"/>
  <c r="I109" i="3" s="1"/>
  <c r="F109" i="3"/>
  <c r="C109" i="3"/>
  <c r="AD108" i="3"/>
  <c r="AC108" i="3"/>
  <c r="AA108" i="3"/>
  <c r="X108" i="3"/>
  <c r="W108" i="3"/>
  <c r="U108" i="3"/>
  <c r="R108" i="3"/>
  <c r="O108" i="3"/>
  <c r="N108" i="3"/>
  <c r="L108" i="3"/>
  <c r="H108" i="3"/>
  <c r="I108" i="3" s="1"/>
  <c r="F108" i="3"/>
  <c r="C108" i="3"/>
  <c r="AC107" i="3"/>
  <c r="AD107" i="3" s="1"/>
  <c r="AA107" i="3"/>
  <c r="X107" i="3"/>
  <c r="W107" i="3"/>
  <c r="U107" i="3"/>
  <c r="R107" i="3"/>
  <c r="O107" i="3"/>
  <c r="N107" i="3"/>
  <c r="L107" i="3"/>
  <c r="I107" i="3"/>
  <c r="H107" i="3"/>
  <c r="F107" i="3"/>
  <c r="C107" i="3"/>
  <c r="AC106" i="3"/>
  <c r="AD106" i="3" s="1"/>
  <c r="AA106" i="3"/>
  <c r="X106" i="3"/>
  <c r="W106" i="3"/>
  <c r="U106" i="3"/>
  <c r="R106" i="3"/>
  <c r="O106" i="3"/>
  <c r="N106" i="3"/>
  <c r="L106" i="3"/>
  <c r="H106" i="3"/>
  <c r="I106" i="3" s="1"/>
  <c r="F106" i="3"/>
  <c r="C106" i="3"/>
  <c r="AC105" i="3"/>
  <c r="AD105" i="3" s="1"/>
  <c r="AA105" i="3"/>
  <c r="X105" i="3"/>
  <c r="W105" i="3"/>
  <c r="U105" i="3"/>
  <c r="R105" i="3"/>
  <c r="O105" i="3"/>
  <c r="N105" i="3"/>
  <c r="L105" i="3"/>
  <c r="H105" i="3"/>
  <c r="I105" i="3" s="1"/>
  <c r="F105" i="3"/>
  <c r="C105" i="3"/>
  <c r="AD104" i="3"/>
  <c r="AC104" i="3"/>
  <c r="AA104" i="3"/>
  <c r="X104" i="3"/>
  <c r="W104" i="3"/>
  <c r="U104" i="3"/>
  <c r="R104" i="3"/>
  <c r="O104" i="3"/>
  <c r="N104" i="3"/>
  <c r="L104" i="3"/>
  <c r="H104" i="3"/>
  <c r="I104" i="3" s="1"/>
  <c r="F104" i="3"/>
  <c r="C104" i="3"/>
  <c r="AC103" i="3"/>
  <c r="AD103" i="3" s="1"/>
  <c r="AA103" i="3"/>
  <c r="X103" i="3"/>
  <c r="W103" i="3"/>
  <c r="U103" i="3"/>
  <c r="R103" i="3"/>
  <c r="O103" i="3"/>
  <c r="N103" i="3"/>
  <c r="L103" i="3"/>
  <c r="I103" i="3"/>
  <c r="H103" i="3"/>
  <c r="F103" i="3"/>
  <c r="C103" i="3"/>
  <c r="AC102" i="3"/>
  <c r="AD102" i="3" s="1"/>
  <c r="AA102" i="3"/>
  <c r="X102" i="3"/>
  <c r="W102" i="3"/>
  <c r="U102" i="3"/>
  <c r="R102" i="3"/>
  <c r="O102" i="3"/>
  <c r="N102" i="3"/>
  <c r="L102" i="3"/>
  <c r="H102" i="3"/>
  <c r="I102" i="3" s="1"/>
  <c r="F102" i="3"/>
  <c r="C102" i="3"/>
  <c r="AC101" i="3"/>
  <c r="AD101" i="3" s="1"/>
  <c r="AA101" i="3"/>
  <c r="X101" i="3"/>
  <c r="W101" i="3"/>
  <c r="U101" i="3"/>
  <c r="R101" i="3"/>
  <c r="O101" i="3"/>
  <c r="N101" i="3"/>
  <c r="L101" i="3"/>
  <c r="H101" i="3"/>
  <c r="I101" i="3" s="1"/>
  <c r="F101" i="3"/>
  <c r="C101" i="3"/>
  <c r="AD100" i="3"/>
  <c r="AC100" i="3"/>
  <c r="AA100" i="3"/>
  <c r="X100" i="3"/>
  <c r="W100" i="3"/>
  <c r="U100" i="3"/>
  <c r="R100" i="3"/>
  <c r="O100" i="3"/>
  <c r="N100" i="3"/>
  <c r="L100" i="3"/>
  <c r="H100" i="3"/>
  <c r="I100" i="3" s="1"/>
  <c r="F100" i="3"/>
  <c r="C100" i="3"/>
  <c r="AC99" i="3"/>
  <c r="AD99" i="3" s="1"/>
  <c r="AA99" i="3"/>
  <c r="X99" i="3"/>
  <c r="W99" i="3"/>
  <c r="U99" i="3"/>
  <c r="R99" i="3"/>
  <c r="O99" i="3"/>
  <c r="N99" i="3"/>
  <c r="L99" i="3"/>
  <c r="I99" i="3"/>
  <c r="H99" i="3"/>
  <c r="F99" i="3"/>
  <c r="C99" i="3"/>
  <c r="AC98" i="3"/>
  <c r="AD98" i="3" s="1"/>
  <c r="AA98" i="3"/>
  <c r="X98" i="3"/>
  <c r="W98" i="3"/>
  <c r="U98" i="3"/>
  <c r="R98" i="3"/>
  <c r="O98" i="3"/>
  <c r="N98" i="3"/>
  <c r="L98" i="3"/>
  <c r="H98" i="3"/>
  <c r="I98" i="3" s="1"/>
  <c r="F98" i="3"/>
  <c r="C98" i="3"/>
  <c r="AC97" i="3"/>
  <c r="AD97" i="3" s="1"/>
  <c r="AA97" i="3"/>
  <c r="X97" i="3"/>
  <c r="W97" i="3"/>
  <c r="U97" i="3"/>
  <c r="R97" i="3"/>
  <c r="O97" i="3"/>
  <c r="N97" i="3"/>
  <c r="L97" i="3"/>
  <c r="H97" i="3"/>
  <c r="I97" i="3" s="1"/>
  <c r="F97" i="3"/>
  <c r="C97" i="3"/>
  <c r="AD96" i="3"/>
  <c r="AC96" i="3"/>
  <c r="AA96" i="3"/>
  <c r="X96" i="3"/>
  <c r="W96" i="3"/>
  <c r="U96" i="3"/>
  <c r="R96" i="3"/>
  <c r="O96" i="3"/>
  <c r="N96" i="3"/>
  <c r="L96" i="3"/>
  <c r="H96" i="3"/>
  <c r="I96" i="3" s="1"/>
  <c r="F96" i="3"/>
  <c r="C96" i="3"/>
  <c r="AC95" i="3"/>
  <c r="AD95" i="3" s="1"/>
  <c r="AA95" i="3"/>
  <c r="X95" i="3"/>
  <c r="W95" i="3"/>
  <c r="U95" i="3"/>
  <c r="R95" i="3"/>
  <c r="O95" i="3"/>
  <c r="N95" i="3"/>
  <c r="L95" i="3"/>
  <c r="I95" i="3"/>
  <c r="H95" i="3"/>
  <c r="F95" i="3"/>
  <c r="C95" i="3"/>
  <c r="AC94" i="3"/>
  <c r="AD94" i="3" s="1"/>
  <c r="AA94" i="3"/>
  <c r="X94" i="3"/>
  <c r="W94" i="3"/>
  <c r="U94" i="3"/>
  <c r="R94" i="3"/>
  <c r="O94" i="3"/>
  <c r="N94" i="3"/>
  <c r="L94" i="3"/>
  <c r="H94" i="3"/>
  <c r="I94" i="3" s="1"/>
  <c r="F94" i="3"/>
  <c r="C94" i="3"/>
  <c r="AC92" i="3"/>
  <c r="AD92" i="3" s="1"/>
  <c r="AA92" i="3"/>
  <c r="X92" i="3"/>
  <c r="W92" i="3"/>
  <c r="U92" i="3"/>
  <c r="R92" i="3"/>
  <c r="O92" i="3"/>
  <c r="N92" i="3"/>
  <c r="L92" i="3"/>
  <c r="H92" i="3"/>
  <c r="I92" i="3" s="1"/>
  <c r="F92" i="3"/>
  <c r="C92" i="3"/>
  <c r="AD91" i="3"/>
  <c r="AC91" i="3"/>
  <c r="AA91" i="3"/>
  <c r="X91" i="3"/>
  <c r="W91" i="3"/>
  <c r="U91" i="3"/>
  <c r="R91" i="3"/>
  <c r="O91" i="3"/>
  <c r="N91" i="3"/>
  <c r="L91" i="3"/>
  <c r="H91" i="3"/>
  <c r="I91" i="3" s="1"/>
  <c r="F91" i="3"/>
  <c r="C91" i="3"/>
  <c r="AC90" i="3"/>
  <c r="AD90" i="3" s="1"/>
  <c r="AA90" i="3"/>
  <c r="X90" i="3"/>
  <c r="W90" i="3"/>
  <c r="U90" i="3"/>
  <c r="R90" i="3"/>
  <c r="O90" i="3"/>
  <c r="N90" i="3"/>
  <c r="L90" i="3"/>
  <c r="I90" i="3"/>
  <c r="H90" i="3"/>
  <c r="F90" i="3"/>
  <c r="C90" i="3"/>
  <c r="AC89" i="3"/>
  <c r="AD89" i="3" s="1"/>
  <c r="AA89" i="3"/>
  <c r="X89" i="3"/>
  <c r="W89" i="3"/>
  <c r="U89" i="3"/>
  <c r="R89" i="3"/>
  <c r="O89" i="3"/>
  <c r="N89" i="3"/>
  <c r="L89" i="3"/>
  <c r="H89" i="3"/>
  <c r="I89" i="3" s="1"/>
  <c r="F89" i="3"/>
  <c r="C89" i="3"/>
  <c r="Z88" i="3"/>
  <c r="AA88" i="3" s="1"/>
  <c r="W88" i="3"/>
  <c r="X88" i="3" s="1"/>
  <c r="U88" i="3"/>
  <c r="T88" i="3"/>
  <c r="Q88" i="3"/>
  <c r="R88" i="3" s="1"/>
  <c r="K88" i="3"/>
  <c r="L88" i="3" s="1"/>
  <c r="E88" i="3"/>
  <c r="F88" i="3" s="1"/>
  <c r="B88" i="3"/>
  <c r="C88" i="3" s="1"/>
  <c r="AC87" i="3"/>
  <c r="AD87" i="3" s="1"/>
  <c r="AA87" i="3"/>
  <c r="X87" i="3"/>
  <c r="W87" i="3"/>
  <c r="U87" i="3"/>
  <c r="R87" i="3"/>
  <c r="O87" i="3"/>
  <c r="N87" i="3"/>
  <c r="L87" i="3"/>
  <c r="I87" i="3"/>
  <c r="H87" i="3"/>
  <c r="F87" i="3"/>
  <c r="C87" i="3"/>
  <c r="AC86" i="3"/>
  <c r="AD86" i="3" s="1"/>
  <c r="AA86" i="3"/>
  <c r="X86" i="3"/>
  <c r="W86" i="3"/>
  <c r="U86" i="3"/>
  <c r="R86" i="3"/>
  <c r="O86" i="3"/>
  <c r="N86" i="3"/>
  <c r="L86" i="3"/>
  <c r="H86" i="3"/>
  <c r="I86" i="3" s="1"/>
  <c r="F86" i="3"/>
  <c r="C86" i="3"/>
  <c r="AC85" i="3"/>
  <c r="AD85" i="3" s="1"/>
  <c r="AA85" i="3"/>
  <c r="X85" i="3"/>
  <c r="W85" i="3"/>
  <c r="U85" i="3"/>
  <c r="R85" i="3"/>
  <c r="O85" i="3"/>
  <c r="N85" i="3"/>
  <c r="L85" i="3"/>
  <c r="H85" i="3"/>
  <c r="I85" i="3" s="1"/>
  <c r="F85" i="3"/>
  <c r="C85" i="3"/>
  <c r="AD84" i="3"/>
  <c r="AC84" i="3"/>
  <c r="AA84" i="3"/>
  <c r="X84" i="3"/>
  <c r="W84" i="3"/>
  <c r="U84" i="3"/>
  <c r="R84" i="3"/>
  <c r="O84" i="3"/>
  <c r="N84" i="3"/>
  <c r="L84" i="3"/>
  <c r="H84" i="3"/>
  <c r="I84" i="3" s="1"/>
  <c r="F84" i="3"/>
  <c r="C84" i="3"/>
  <c r="AC83" i="3"/>
  <c r="AD83" i="3" s="1"/>
  <c r="AA83" i="3"/>
  <c r="X83" i="3"/>
  <c r="W83" i="3"/>
  <c r="U83" i="3"/>
  <c r="R83" i="3"/>
  <c r="O83" i="3"/>
  <c r="N83" i="3"/>
  <c r="L83" i="3"/>
  <c r="I83" i="3"/>
  <c r="H83" i="3"/>
  <c r="F83" i="3"/>
  <c r="C83" i="3"/>
  <c r="AC82" i="3"/>
  <c r="AD82" i="3" s="1"/>
  <c r="AA82" i="3"/>
  <c r="X82" i="3"/>
  <c r="W82" i="3"/>
  <c r="U82" i="3"/>
  <c r="R82" i="3"/>
  <c r="O82" i="3"/>
  <c r="N82" i="3"/>
  <c r="L82" i="3"/>
  <c r="H82" i="3"/>
  <c r="I82" i="3" s="1"/>
  <c r="F82" i="3"/>
  <c r="C82" i="3"/>
  <c r="AC81" i="3"/>
  <c r="AD81" i="3" s="1"/>
  <c r="AA81" i="3"/>
  <c r="X81" i="3"/>
  <c r="W81" i="3"/>
  <c r="U81" i="3"/>
  <c r="R81" i="3"/>
  <c r="O81" i="3"/>
  <c r="N81" i="3"/>
  <c r="L81" i="3"/>
  <c r="H81" i="3"/>
  <c r="I81" i="3" s="1"/>
  <c r="F81" i="3"/>
  <c r="C81" i="3"/>
  <c r="AD80" i="3"/>
  <c r="AC80" i="3"/>
  <c r="AA80" i="3"/>
  <c r="X80" i="3"/>
  <c r="W80" i="3"/>
  <c r="U80" i="3"/>
  <c r="R80" i="3"/>
  <c r="O80" i="3"/>
  <c r="N80" i="3"/>
  <c r="L80" i="3"/>
  <c r="H80" i="3"/>
  <c r="I80" i="3" s="1"/>
  <c r="F80" i="3"/>
  <c r="C80" i="3"/>
  <c r="AC79" i="3"/>
  <c r="AD79" i="3" s="1"/>
  <c r="AA79" i="3"/>
  <c r="X79" i="3"/>
  <c r="W79" i="3"/>
  <c r="U79" i="3"/>
  <c r="R79" i="3"/>
  <c r="O79" i="3"/>
  <c r="N79" i="3"/>
  <c r="L79" i="3"/>
  <c r="I79" i="3"/>
  <c r="H79" i="3"/>
  <c r="F79" i="3"/>
  <c r="C79" i="3"/>
  <c r="AC78" i="3"/>
  <c r="AD78" i="3" s="1"/>
  <c r="AA78" i="3"/>
  <c r="X78" i="3"/>
  <c r="W78" i="3"/>
  <c r="U78" i="3"/>
  <c r="R78" i="3"/>
  <c r="O78" i="3"/>
  <c r="N78" i="3"/>
  <c r="L78" i="3"/>
  <c r="H78" i="3"/>
  <c r="I78" i="3" s="1"/>
  <c r="F78" i="3"/>
  <c r="C78" i="3"/>
  <c r="AC77" i="3"/>
  <c r="AD77" i="3" s="1"/>
  <c r="AA77" i="3"/>
  <c r="X77" i="3"/>
  <c r="W77" i="3"/>
  <c r="U77" i="3"/>
  <c r="R77" i="3"/>
  <c r="O77" i="3"/>
  <c r="N77" i="3"/>
  <c r="L77" i="3"/>
  <c r="H77" i="3"/>
  <c r="I77" i="3" s="1"/>
  <c r="F77" i="3"/>
  <c r="C77" i="3"/>
  <c r="AD76" i="3"/>
  <c r="AC76" i="3"/>
  <c r="AA76" i="3"/>
  <c r="X76" i="3"/>
  <c r="W76" i="3"/>
  <c r="U76" i="3"/>
  <c r="R76" i="3"/>
  <c r="O76" i="3"/>
  <c r="N76" i="3"/>
  <c r="L76" i="3"/>
  <c r="H76" i="3"/>
  <c r="I76" i="3" s="1"/>
  <c r="F76" i="3"/>
  <c r="C76" i="3"/>
  <c r="AC75" i="3"/>
  <c r="AD75" i="3" s="1"/>
  <c r="AA75" i="3"/>
  <c r="X75" i="3"/>
  <c r="W75" i="3"/>
  <c r="U75" i="3"/>
  <c r="R75" i="3"/>
  <c r="O75" i="3"/>
  <c r="N75" i="3"/>
  <c r="L75" i="3"/>
  <c r="I75" i="3"/>
  <c r="H75" i="3"/>
  <c r="F75" i="3"/>
  <c r="C75" i="3"/>
  <c r="Z73" i="3"/>
  <c r="AA73" i="3" s="1"/>
  <c r="T73" i="3"/>
  <c r="U73" i="3" s="1"/>
  <c r="Q73" i="3"/>
  <c r="R73" i="3" s="1"/>
  <c r="L73" i="3"/>
  <c r="K73" i="3"/>
  <c r="E73" i="3"/>
  <c r="F73" i="3" s="1"/>
  <c r="B73" i="3"/>
  <c r="H73" i="3" s="1"/>
  <c r="I73" i="3" s="1"/>
  <c r="AD72" i="3"/>
  <c r="AC72" i="3"/>
  <c r="AA72" i="3"/>
  <c r="X72" i="3"/>
  <c r="W72" i="3"/>
  <c r="U72" i="3"/>
  <c r="R72" i="3"/>
  <c r="O72" i="3"/>
  <c r="N72" i="3"/>
  <c r="L72" i="3"/>
  <c r="H72" i="3"/>
  <c r="I72" i="3" s="1"/>
  <c r="F72" i="3"/>
  <c r="C72" i="3"/>
  <c r="AC71" i="3"/>
  <c r="AD71" i="3" s="1"/>
  <c r="AA71" i="3"/>
  <c r="X71" i="3"/>
  <c r="W71" i="3"/>
  <c r="U71" i="3"/>
  <c r="R71" i="3"/>
  <c r="O71" i="3"/>
  <c r="N71" i="3"/>
  <c r="L71" i="3"/>
  <c r="I71" i="3"/>
  <c r="H71" i="3"/>
  <c r="F71" i="3"/>
  <c r="C71" i="3"/>
  <c r="AC70" i="3"/>
  <c r="AD70" i="3" s="1"/>
  <c r="AA70" i="3"/>
  <c r="X70" i="3"/>
  <c r="W70" i="3"/>
  <c r="U70" i="3"/>
  <c r="R70" i="3"/>
  <c r="O70" i="3"/>
  <c r="N70" i="3"/>
  <c r="L70" i="3"/>
  <c r="H70" i="3"/>
  <c r="I70" i="3" s="1"/>
  <c r="F70" i="3"/>
  <c r="C70" i="3"/>
  <c r="AC69" i="3"/>
  <c r="AD69" i="3" s="1"/>
  <c r="AA69" i="3"/>
  <c r="X69" i="3"/>
  <c r="W69" i="3"/>
  <c r="U69" i="3"/>
  <c r="R69" i="3"/>
  <c r="O69" i="3"/>
  <c r="N69" i="3"/>
  <c r="L69" i="3"/>
  <c r="H69" i="3"/>
  <c r="I69" i="3" s="1"/>
  <c r="F69" i="3"/>
  <c r="C69" i="3"/>
  <c r="AD68" i="3"/>
  <c r="AC68" i="3"/>
  <c r="AA68" i="3"/>
  <c r="X68" i="3"/>
  <c r="W68" i="3"/>
  <c r="U68" i="3"/>
  <c r="R68" i="3"/>
  <c r="O68" i="3"/>
  <c r="N68" i="3"/>
  <c r="L68" i="3"/>
  <c r="H68" i="3"/>
  <c r="I68" i="3" s="1"/>
  <c r="F68" i="3"/>
  <c r="C68" i="3"/>
  <c r="AC67" i="3"/>
  <c r="AD67" i="3" s="1"/>
  <c r="AA67" i="3"/>
  <c r="X67" i="3"/>
  <c r="W67" i="3"/>
  <c r="U67" i="3"/>
  <c r="R67" i="3"/>
  <c r="O67" i="3"/>
  <c r="N67" i="3"/>
  <c r="L67" i="3"/>
  <c r="I67" i="3"/>
  <c r="H67" i="3"/>
  <c r="F67" i="3"/>
  <c r="C67" i="3"/>
  <c r="AC66" i="3"/>
  <c r="AD66" i="3" s="1"/>
  <c r="AA66" i="3"/>
  <c r="X66" i="3"/>
  <c r="W66" i="3"/>
  <c r="U66" i="3"/>
  <c r="R66" i="3"/>
  <c r="O66" i="3"/>
  <c r="N66" i="3"/>
  <c r="L66" i="3"/>
  <c r="H66" i="3"/>
  <c r="I66" i="3" s="1"/>
  <c r="F66" i="3"/>
  <c r="C66" i="3"/>
  <c r="AC65" i="3"/>
  <c r="AD65" i="3" s="1"/>
  <c r="AA65" i="3"/>
  <c r="X65" i="3"/>
  <c r="W65" i="3"/>
  <c r="U65" i="3"/>
  <c r="R65" i="3"/>
  <c r="O65" i="3"/>
  <c r="N65" i="3"/>
  <c r="L65" i="3"/>
  <c r="H65" i="3"/>
  <c r="I65" i="3" s="1"/>
  <c r="F65" i="3"/>
  <c r="C65" i="3"/>
  <c r="AD64" i="3"/>
  <c r="AC64" i="3"/>
  <c r="AA64" i="3"/>
  <c r="X64" i="3"/>
  <c r="W64" i="3"/>
  <c r="U64" i="3"/>
  <c r="R64" i="3"/>
  <c r="O64" i="3"/>
  <c r="N64" i="3"/>
  <c r="L64" i="3"/>
  <c r="H64" i="3"/>
  <c r="I64" i="3" s="1"/>
  <c r="F64" i="3"/>
  <c r="C64" i="3"/>
  <c r="AA62" i="3"/>
  <c r="Z62" i="3"/>
  <c r="T62" i="3"/>
  <c r="U62" i="3" s="1"/>
  <c r="Q62" i="3"/>
  <c r="K62" i="3"/>
  <c r="L62" i="3" s="1"/>
  <c r="H62" i="3"/>
  <c r="I62" i="3" s="1"/>
  <c r="E62" i="3"/>
  <c r="F62" i="3" s="1"/>
  <c r="C62" i="3"/>
  <c r="B62" i="3"/>
  <c r="N62" i="3" s="1"/>
  <c r="O62" i="3" s="1"/>
  <c r="Z61" i="3"/>
  <c r="AA61" i="3" s="1"/>
  <c r="W61" i="3"/>
  <c r="X61" i="3" s="1"/>
  <c r="U61" i="3"/>
  <c r="T61" i="3"/>
  <c r="Q61" i="3"/>
  <c r="R61" i="3" s="1"/>
  <c r="K61" i="3"/>
  <c r="L61" i="3" s="1"/>
  <c r="E61" i="3"/>
  <c r="F61" i="3" s="1"/>
  <c r="B61" i="3"/>
  <c r="AC60" i="3"/>
  <c r="AD60" i="3" s="1"/>
  <c r="AA60" i="3"/>
  <c r="X60" i="3"/>
  <c r="W60" i="3"/>
  <c r="U60" i="3"/>
  <c r="R60" i="3"/>
  <c r="O60" i="3"/>
  <c r="N60" i="3"/>
  <c r="L60" i="3"/>
  <c r="I60" i="3"/>
  <c r="H60" i="3"/>
  <c r="F60" i="3"/>
  <c r="C60" i="3"/>
  <c r="AC59" i="3"/>
  <c r="AD59" i="3" s="1"/>
  <c r="AA59" i="3"/>
  <c r="X59" i="3"/>
  <c r="W59" i="3"/>
  <c r="U59" i="3"/>
  <c r="R59" i="3"/>
  <c r="O59" i="3"/>
  <c r="N59" i="3"/>
  <c r="L59" i="3"/>
  <c r="H59" i="3"/>
  <c r="I59" i="3" s="1"/>
  <c r="F59" i="3"/>
  <c r="C59" i="3"/>
  <c r="AC58" i="3"/>
  <c r="AD58" i="3" s="1"/>
  <c r="AA58" i="3"/>
  <c r="X58" i="3"/>
  <c r="W58" i="3"/>
  <c r="U58" i="3"/>
  <c r="R58" i="3"/>
  <c r="O58" i="3"/>
  <c r="N58" i="3"/>
  <c r="L58" i="3"/>
  <c r="H58" i="3"/>
  <c r="I58" i="3" s="1"/>
  <c r="F58" i="3"/>
  <c r="C58" i="3"/>
  <c r="AD57" i="3"/>
  <c r="AC57" i="3"/>
  <c r="AA57" i="3"/>
  <c r="X57" i="3"/>
  <c r="W57" i="3"/>
  <c r="U57" i="3"/>
  <c r="R57" i="3"/>
  <c r="N57" i="3"/>
  <c r="O57" i="3" s="1"/>
  <c r="L57" i="3"/>
  <c r="H57" i="3"/>
  <c r="I57" i="3" s="1"/>
  <c r="F57" i="3"/>
  <c r="C57" i="3"/>
  <c r="AD56" i="3"/>
  <c r="AC56" i="3"/>
  <c r="AA56" i="3"/>
  <c r="X56" i="3"/>
  <c r="W56" i="3"/>
  <c r="U56" i="3"/>
  <c r="R56" i="3"/>
  <c r="N56" i="3"/>
  <c r="O56" i="3" s="1"/>
  <c r="L56" i="3"/>
  <c r="I56" i="3"/>
  <c r="H56" i="3"/>
  <c r="F56" i="3"/>
  <c r="C56" i="3"/>
  <c r="AC55" i="3"/>
  <c r="AD55" i="3" s="1"/>
  <c r="AA55" i="3"/>
  <c r="X55" i="3"/>
  <c r="W55" i="3"/>
  <c r="U55" i="3"/>
  <c r="R55" i="3"/>
  <c r="O55" i="3"/>
  <c r="N55" i="3"/>
  <c r="L55" i="3"/>
  <c r="I55" i="3"/>
  <c r="H55" i="3"/>
  <c r="F55" i="3"/>
  <c r="C55" i="3"/>
  <c r="AC54" i="3"/>
  <c r="AD54" i="3" s="1"/>
  <c r="AA54" i="3"/>
  <c r="X54" i="3"/>
  <c r="W54" i="3"/>
  <c r="U54" i="3"/>
  <c r="R54" i="3"/>
  <c r="O54" i="3"/>
  <c r="N54" i="3"/>
  <c r="L54" i="3"/>
  <c r="H54" i="3"/>
  <c r="I54" i="3" s="1"/>
  <c r="F54" i="3"/>
  <c r="C54" i="3"/>
  <c r="AD53" i="3"/>
  <c r="AC53" i="3"/>
  <c r="AA53" i="3"/>
  <c r="X53" i="3"/>
  <c r="W53" i="3"/>
  <c r="U53" i="3"/>
  <c r="R53" i="3"/>
  <c r="N53" i="3"/>
  <c r="O53" i="3" s="1"/>
  <c r="L53" i="3"/>
  <c r="H53" i="3"/>
  <c r="I53" i="3" s="1"/>
  <c r="F53" i="3"/>
  <c r="C53" i="3"/>
  <c r="AC52" i="3"/>
  <c r="AD52" i="3" s="1"/>
  <c r="AA52" i="3"/>
  <c r="X52" i="3"/>
  <c r="W52" i="3"/>
  <c r="U52" i="3"/>
  <c r="R52" i="3"/>
  <c r="O52" i="3"/>
  <c r="N52" i="3"/>
  <c r="L52" i="3"/>
  <c r="I52" i="3"/>
  <c r="H52" i="3"/>
  <c r="F52" i="3"/>
  <c r="C52" i="3"/>
  <c r="AC51" i="3"/>
  <c r="AD51" i="3" s="1"/>
  <c r="AA51" i="3"/>
  <c r="W51" i="3"/>
  <c r="X51" i="3" s="1"/>
  <c r="U51" i="3"/>
  <c r="R51" i="3"/>
  <c r="O51" i="3"/>
  <c r="N51" i="3"/>
  <c r="L51" i="3"/>
  <c r="I51" i="3"/>
  <c r="H51" i="3"/>
  <c r="F51" i="3"/>
  <c r="C51" i="3"/>
  <c r="AC50" i="3"/>
  <c r="AD50" i="3" s="1"/>
  <c r="AA50" i="3"/>
  <c r="X50" i="3"/>
  <c r="W50" i="3"/>
  <c r="U50" i="3"/>
  <c r="R50" i="3"/>
  <c r="O50" i="3"/>
  <c r="N50" i="3"/>
  <c r="L50" i="3"/>
  <c r="H50" i="3"/>
  <c r="I50" i="3" s="1"/>
  <c r="F50" i="3"/>
  <c r="C50" i="3"/>
  <c r="AD49" i="3"/>
  <c r="AC49" i="3"/>
  <c r="AA49" i="3"/>
  <c r="X49" i="3"/>
  <c r="W49" i="3"/>
  <c r="U49" i="3"/>
  <c r="R49" i="3"/>
  <c r="N49" i="3"/>
  <c r="O49" i="3" s="1"/>
  <c r="L49" i="3"/>
  <c r="H49" i="3"/>
  <c r="I49" i="3" s="1"/>
  <c r="F49" i="3"/>
  <c r="C49" i="3"/>
  <c r="AD48" i="3"/>
  <c r="AC48" i="3"/>
  <c r="AA48" i="3"/>
  <c r="X48" i="3"/>
  <c r="W48" i="3"/>
  <c r="U48" i="3"/>
  <c r="R48" i="3"/>
  <c r="O48" i="3"/>
  <c r="N48" i="3"/>
  <c r="L48" i="3"/>
  <c r="I48" i="3"/>
  <c r="H48" i="3"/>
  <c r="F48" i="3"/>
  <c r="C48" i="3"/>
  <c r="AC47" i="3"/>
  <c r="AD47" i="3" s="1"/>
  <c r="AA47" i="3"/>
  <c r="X47" i="3"/>
  <c r="W47" i="3"/>
  <c r="U47" i="3"/>
  <c r="R47" i="3"/>
  <c r="O47" i="3"/>
  <c r="N47" i="3"/>
  <c r="L47" i="3"/>
  <c r="I47" i="3"/>
  <c r="H47" i="3"/>
  <c r="F47" i="3"/>
  <c r="C47" i="3"/>
  <c r="AC46" i="3"/>
  <c r="AD46" i="3" s="1"/>
  <c r="AA46" i="3"/>
  <c r="X46" i="3"/>
  <c r="W46" i="3"/>
  <c r="U46" i="3"/>
  <c r="R46" i="3"/>
  <c r="O46" i="3"/>
  <c r="N46" i="3"/>
  <c r="L46" i="3"/>
  <c r="H46" i="3"/>
  <c r="I46" i="3" s="1"/>
  <c r="F46" i="3"/>
  <c r="C46" i="3"/>
  <c r="AD44" i="3"/>
  <c r="AC44" i="3"/>
  <c r="AA44" i="3"/>
  <c r="X44" i="3"/>
  <c r="W44" i="3"/>
  <c r="U44" i="3"/>
  <c r="R44" i="3"/>
  <c r="N44" i="3"/>
  <c r="O44" i="3" s="1"/>
  <c r="L44" i="3"/>
  <c r="H44" i="3"/>
  <c r="I44" i="3" s="1"/>
  <c r="F44" i="3"/>
  <c r="C44" i="3"/>
  <c r="AC43" i="3"/>
  <c r="AD43" i="3" s="1"/>
  <c r="AA43" i="3"/>
  <c r="X43" i="3"/>
  <c r="W43" i="3"/>
  <c r="U43" i="3"/>
  <c r="R43" i="3"/>
  <c r="O43" i="3"/>
  <c r="N43" i="3"/>
  <c r="L43" i="3"/>
  <c r="I43" i="3"/>
  <c r="H43" i="3"/>
  <c r="F43" i="3"/>
  <c r="C43" i="3"/>
  <c r="AC42" i="3"/>
  <c r="AD42" i="3" s="1"/>
  <c r="AA42" i="3"/>
  <c r="W42" i="3"/>
  <c r="X42" i="3" s="1"/>
  <c r="U42" i="3"/>
  <c r="R42" i="3"/>
  <c r="O42" i="3"/>
  <c r="N42" i="3"/>
  <c r="L42" i="3"/>
  <c r="I42" i="3"/>
  <c r="H42" i="3"/>
  <c r="F42" i="3"/>
  <c r="C42" i="3"/>
  <c r="Z40" i="3"/>
  <c r="AA40" i="3" s="1"/>
  <c r="X40" i="3"/>
  <c r="W40" i="3"/>
  <c r="U40" i="3"/>
  <c r="T40" i="3"/>
  <c r="Q40" i="3"/>
  <c r="R40" i="3" s="1"/>
  <c r="K40" i="3"/>
  <c r="N40" i="3" s="1"/>
  <c r="O40" i="3" s="1"/>
  <c r="E40" i="3"/>
  <c r="F40" i="3" s="1"/>
  <c r="B40" i="3"/>
  <c r="AD39" i="3"/>
  <c r="AC39" i="3"/>
  <c r="AA39" i="3"/>
  <c r="X39" i="3"/>
  <c r="W39" i="3"/>
  <c r="U39" i="3"/>
  <c r="R39" i="3"/>
  <c r="N39" i="3"/>
  <c r="O39" i="3" s="1"/>
  <c r="L39" i="3"/>
  <c r="I39" i="3"/>
  <c r="H39" i="3"/>
  <c r="F39" i="3"/>
  <c r="C39" i="3"/>
  <c r="AC38" i="3"/>
  <c r="AD38" i="3" s="1"/>
  <c r="AA38" i="3"/>
  <c r="X38" i="3"/>
  <c r="W38" i="3"/>
  <c r="U38" i="3"/>
  <c r="R38" i="3"/>
  <c r="O38" i="3"/>
  <c r="N38" i="3"/>
  <c r="L38" i="3"/>
  <c r="H38" i="3"/>
  <c r="I38" i="3" s="1"/>
  <c r="F38" i="3"/>
  <c r="C38" i="3"/>
  <c r="AC37" i="3"/>
  <c r="AD37" i="3" s="1"/>
  <c r="AA37" i="3"/>
  <c r="X37" i="3"/>
  <c r="W37" i="3"/>
  <c r="U37" i="3"/>
  <c r="R37" i="3"/>
  <c r="O37" i="3"/>
  <c r="N37" i="3"/>
  <c r="L37" i="3"/>
  <c r="H37" i="3"/>
  <c r="I37" i="3" s="1"/>
  <c r="F37" i="3"/>
  <c r="C37" i="3"/>
  <c r="AD36" i="3"/>
  <c r="AC36" i="3"/>
  <c r="AA36" i="3"/>
  <c r="X36" i="3"/>
  <c r="W36" i="3"/>
  <c r="U36" i="3"/>
  <c r="R36" i="3"/>
  <c r="O36" i="3"/>
  <c r="N36" i="3"/>
  <c r="L36" i="3"/>
  <c r="H36" i="3"/>
  <c r="I36" i="3" s="1"/>
  <c r="F36" i="3"/>
  <c r="C36" i="3"/>
  <c r="AD35" i="3"/>
  <c r="AC35" i="3"/>
  <c r="AA35" i="3"/>
  <c r="X35" i="3"/>
  <c r="W35" i="3"/>
  <c r="U35" i="3"/>
  <c r="R35" i="3"/>
  <c r="N35" i="3"/>
  <c r="O35" i="3" s="1"/>
  <c r="L35" i="3"/>
  <c r="I35" i="3"/>
  <c r="H35" i="3"/>
  <c r="F35" i="3"/>
  <c r="C35" i="3"/>
  <c r="AC34" i="3"/>
  <c r="AD34" i="3" s="1"/>
  <c r="AA34" i="3"/>
  <c r="X34" i="3"/>
  <c r="W34" i="3"/>
  <c r="U34" i="3"/>
  <c r="R34" i="3"/>
  <c r="O34" i="3"/>
  <c r="N34" i="3"/>
  <c r="L34" i="3"/>
  <c r="H34" i="3"/>
  <c r="I34" i="3" s="1"/>
  <c r="F34" i="3"/>
  <c r="C34" i="3"/>
  <c r="AC33" i="3"/>
  <c r="AD33" i="3" s="1"/>
  <c r="AA33" i="3"/>
  <c r="W33" i="3"/>
  <c r="X33" i="3" s="1"/>
  <c r="U33" i="3"/>
  <c r="R33" i="3"/>
  <c r="O33" i="3"/>
  <c r="N33" i="3"/>
  <c r="L33" i="3"/>
  <c r="H33" i="3"/>
  <c r="I33" i="3" s="1"/>
  <c r="F33" i="3"/>
  <c r="C33" i="3"/>
  <c r="AD32" i="3"/>
  <c r="AC32" i="3"/>
  <c r="AA32" i="3"/>
  <c r="X32" i="3"/>
  <c r="W32" i="3"/>
  <c r="U32" i="3"/>
  <c r="R32" i="3"/>
  <c r="O32" i="3"/>
  <c r="N32" i="3"/>
  <c r="L32" i="3"/>
  <c r="H32" i="3"/>
  <c r="I32" i="3" s="1"/>
  <c r="F32" i="3"/>
  <c r="C32" i="3"/>
  <c r="AD31" i="3"/>
  <c r="AC31" i="3"/>
  <c r="AA31" i="3"/>
  <c r="X31" i="3"/>
  <c r="W31" i="3"/>
  <c r="U31" i="3"/>
  <c r="R31" i="3"/>
  <c r="N31" i="3"/>
  <c r="O31" i="3" s="1"/>
  <c r="L31" i="3"/>
  <c r="I31" i="3"/>
  <c r="H31" i="3"/>
  <c r="F31" i="3"/>
  <c r="C31" i="3"/>
  <c r="Z29" i="3"/>
  <c r="AA29" i="3" s="1"/>
  <c r="T29" i="3"/>
  <c r="U29" i="3" s="1"/>
  <c r="Q29" i="3"/>
  <c r="AC29" i="3" s="1"/>
  <c r="AD29" i="3" s="1"/>
  <c r="L29" i="3"/>
  <c r="K29" i="3"/>
  <c r="E29" i="3"/>
  <c r="F29" i="3" s="1"/>
  <c r="B29" i="3"/>
  <c r="H29" i="3" s="1"/>
  <c r="I29" i="3" s="1"/>
  <c r="AD28" i="3"/>
  <c r="AC28" i="3"/>
  <c r="AA28" i="3"/>
  <c r="X28" i="3"/>
  <c r="W28" i="3"/>
  <c r="U28" i="3"/>
  <c r="R28" i="3"/>
  <c r="O28" i="3"/>
  <c r="N28" i="3"/>
  <c r="L28" i="3"/>
  <c r="H28" i="3"/>
  <c r="I28" i="3" s="1"/>
  <c r="F28" i="3"/>
  <c r="C28" i="3"/>
  <c r="AD27" i="3"/>
  <c r="AC27" i="3"/>
  <c r="AA27" i="3"/>
  <c r="X27" i="3"/>
  <c r="W27" i="3"/>
  <c r="U27" i="3"/>
  <c r="R27" i="3"/>
  <c r="N27" i="3"/>
  <c r="O27" i="3" s="1"/>
  <c r="L27" i="3"/>
  <c r="I27" i="3"/>
  <c r="H27" i="3"/>
  <c r="F27" i="3"/>
  <c r="C27" i="3"/>
  <c r="AC26" i="3"/>
  <c r="AD26" i="3" s="1"/>
  <c r="AA26" i="3"/>
  <c r="X26" i="3"/>
  <c r="W26" i="3"/>
  <c r="U26" i="3"/>
  <c r="R26" i="3"/>
  <c r="O26" i="3"/>
  <c r="N26" i="3"/>
  <c r="L26" i="3"/>
  <c r="H26" i="3"/>
  <c r="I26" i="3" s="1"/>
  <c r="F26" i="3"/>
  <c r="C26" i="3"/>
  <c r="AC25" i="3"/>
  <c r="AD25" i="3" s="1"/>
  <c r="AA25" i="3"/>
  <c r="X25" i="3"/>
  <c r="W25" i="3"/>
  <c r="U25" i="3"/>
  <c r="R25" i="3"/>
  <c r="O25" i="3"/>
  <c r="N25" i="3"/>
  <c r="L25" i="3"/>
  <c r="H25" i="3"/>
  <c r="I25" i="3" s="1"/>
  <c r="F25" i="3"/>
  <c r="C25" i="3"/>
  <c r="AD24" i="3"/>
  <c r="AC24" i="3"/>
  <c r="AA24" i="3"/>
  <c r="X24" i="3"/>
  <c r="W24" i="3"/>
  <c r="U24" i="3"/>
  <c r="R24" i="3"/>
  <c r="O24" i="3"/>
  <c r="N24" i="3"/>
  <c r="L24" i="3"/>
  <c r="H24" i="3"/>
  <c r="I24" i="3" s="1"/>
  <c r="F24" i="3"/>
  <c r="C24" i="3"/>
  <c r="AD23" i="3"/>
  <c r="AC23" i="3"/>
  <c r="AA23" i="3"/>
  <c r="X23" i="3"/>
  <c r="W23" i="3"/>
  <c r="U23" i="3"/>
  <c r="R23" i="3"/>
  <c r="N23" i="3"/>
  <c r="O23" i="3" s="1"/>
  <c r="L23" i="3"/>
  <c r="I23" i="3"/>
  <c r="H23" i="3"/>
  <c r="F23" i="3"/>
  <c r="C23" i="3"/>
  <c r="AC22" i="3"/>
  <c r="AD22" i="3" s="1"/>
  <c r="AA22" i="3"/>
  <c r="X22" i="3"/>
  <c r="W22" i="3"/>
  <c r="U22" i="3"/>
  <c r="R22" i="3"/>
  <c r="O22" i="3"/>
  <c r="N22" i="3"/>
  <c r="L22" i="3"/>
  <c r="H22" i="3"/>
  <c r="I22" i="3" s="1"/>
  <c r="F22" i="3"/>
  <c r="C22" i="3"/>
  <c r="AC21" i="3"/>
  <c r="AD21" i="3" s="1"/>
  <c r="AA21" i="3"/>
  <c r="W21" i="3"/>
  <c r="X21" i="3" s="1"/>
  <c r="U21" i="3"/>
  <c r="R21" i="3"/>
  <c r="O21" i="3"/>
  <c r="N21" i="3"/>
  <c r="L21" i="3"/>
  <c r="H21" i="3"/>
  <c r="I21" i="3" s="1"/>
  <c r="F21" i="3"/>
  <c r="C21" i="3"/>
  <c r="AD19" i="3"/>
  <c r="AC19" i="3"/>
  <c r="AA19" i="3"/>
  <c r="X19" i="3"/>
  <c r="W19" i="3"/>
  <c r="U19" i="3"/>
  <c r="R19" i="3"/>
  <c r="O19" i="3"/>
  <c r="N19" i="3"/>
  <c r="L19" i="3"/>
  <c r="H19" i="3"/>
  <c r="I19" i="3" s="1"/>
  <c r="F19" i="3"/>
  <c r="C19" i="3"/>
  <c r="AA18" i="3"/>
  <c r="Z18" i="3"/>
  <c r="T18" i="3"/>
  <c r="U18" i="3" s="1"/>
  <c r="R18" i="3"/>
  <c r="Q18" i="3"/>
  <c r="K18" i="3"/>
  <c r="L18" i="3" s="1"/>
  <c r="F18" i="3"/>
  <c r="E18" i="3"/>
  <c r="H18" i="3" s="1"/>
  <c r="I18" i="3" s="1"/>
  <c r="C18" i="3"/>
  <c r="B18" i="3"/>
  <c r="N18" i="3" s="1"/>
  <c r="O18" i="3" s="1"/>
  <c r="AC17" i="3"/>
  <c r="AD17" i="3" s="1"/>
  <c r="AA17" i="3"/>
  <c r="X17" i="3"/>
  <c r="W17" i="3"/>
  <c r="U17" i="3"/>
  <c r="R17" i="3"/>
  <c r="O17" i="3"/>
  <c r="N17" i="3"/>
  <c r="L17" i="3"/>
  <c r="H17" i="3"/>
  <c r="I17" i="3" s="1"/>
  <c r="F17" i="3"/>
  <c r="C17" i="3"/>
  <c r="AD16" i="3"/>
  <c r="AC16" i="3"/>
  <c r="AA16" i="3"/>
  <c r="X16" i="3"/>
  <c r="W16" i="3"/>
  <c r="U16" i="3"/>
  <c r="R16" i="3"/>
  <c r="N16" i="3"/>
  <c r="O16" i="3" s="1"/>
  <c r="L16" i="3"/>
  <c r="H16" i="3"/>
  <c r="I16" i="3" s="1"/>
  <c r="F16" i="3"/>
  <c r="C16" i="3"/>
  <c r="AC15" i="3"/>
  <c r="AD15" i="3" s="1"/>
  <c r="AA15" i="3"/>
  <c r="X15" i="3"/>
  <c r="W15" i="3"/>
  <c r="U15" i="3"/>
  <c r="R15" i="3"/>
  <c r="O15" i="3"/>
  <c r="N15" i="3"/>
  <c r="L15" i="3"/>
  <c r="I15" i="3"/>
  <c r="H15" i="3"/>
  <c r="F15" i="3"/>
  <c r="C15" i="3"/>
  <c r="AC14" i="3"/>
  <c r="AD14" i="3" s="1"/>
  <c r="AA14" i="3"/>
  <c r="W14" i="3"/>
  <c r="X14" i="3" s="1"/>
  <c r="U14" i="3"/>
  <c r="R14" i="3"/>
  <c r="O14" i="3"/>
  <c r="N14" i="3"/>
  <c r="L14" i="3"/>
  <c r="I14" i="3"/>
  <c r="H14" i="3"/>
  <c r="F14" i="3"/>
  <c r="C14" i="3"/>
  <c r="AC13" i="3"/>
  <c r="AD13" i="3" s="1"/>
  <c r="AA13" i="3"/>
  <c r="X13" i="3"/>
  <c r="W13" i="3"/>
  <c r="U13" i="3"/>
  <c r="R13" i="3"/>
  <c r="O13" i="3"/>
  <c r="N13" i="3"/>
  <c r="L13" i="3"/>
  <c r="H13" i="3"/>
  <c r="I13" i="3" s="1"/>
  <c r="F13" i="3"/>
  <c r="C13" i="3"/>
  <c r="AD12" i="3"/>
  <c r="AC12" i="3"/>
  <c r="AA12" i="3"/>
  <c r="X12" i="3"/>
  <c r="W12" i="3"/>
  <c r="U12" i="3"/>
  <c r="R12" i="3"/>
  <c r="O12" i="3"/>
  <c r="N12" i="3"/>
  <c r="L12" i="3"/>
  <c r="H12" i="3"/>
  <c r="I12" i="3" s="1"/>
  <c r="F12" i="3"/>
  <c r="C12" i="3"/>
  <c r="AC11" i="3"/>
  <c r="AD11" i="3" s="1"/>
  <c r="AA11" i="3"/>
  <c r="X11" i="3"/>
  <c r="W11" i="3"/>
  <c r="U11" i="3"/>
  <c r="R11" i="3"/>
  <c r="O11" i="3"/>
  <c r="N11" i="3"/>
  <c r="L11" i="3"/>
  <c r="I11" i="3"/>
  <c r="H11" i="3"/>
  <c r="F11" i="3"/>
  <c r="C11" i="3"/>
  <c r="AC10" i="3"/>
  <c r="AD10" i="3" s="1"/>
  <c r="AA10" i="3"/>
  <c r="W10" i="3"/>
  <c r="X10" i="3" s="1"/>
  <c r="U10" i="3"/>
  <c r="R10" i="3"/>
  <c r="O10" i="3"/>
  <c r="N10" i="3"/>
  <c r="L10" i="3"/>
  <c r="I10" i="3"/>
  <c r="H10" i="3"/>
  <c r="F10" i="3"/>
  <c r="C10" i="3"/>
  <c r="AC8" i="3"/>
  <c r="AD8" i="3" s="1"/>
  <c r="AA8" i="3"/>
  <c r="X8" i="3"/>
  <c r="W8" i="3"/>
  <c r="U8" i="3"/>
  <c r="R8" i="3"/>
  <c r="O8" i="3"/>
  <c r="N8" i="3"/>
  <c r="L8" i="3"/>
  <c r="H8" i="3"/>
  <c r="I8" i="3" s="1"/>
  <c r="F8" i="3"/>
  <c r="C8" i="3"/>
  <c r="AC444" i="2"/>
  <c r="AD412" i="2" s="1"/>
  <c r="W444" i="2"/>
  <c r="X440" i="2" s="1"/>
  <c r="N444" i="2"/>
  <c r="H444" i="2"/>
  <c r="Z442" i="2"/>
  <c r="AA442" i="2" s="1"/>
  <c r="W442" i="2"/>
  <c r="X442" i="2" s="1"/>
  <c r="T442" i="2"/>
  <c r="U442" i="2" s="1"/>
  <c r="R442" i="2"/>
  <c r="Q442" i="2"/>
  <c r="AC442" i="2" s="1"/>
  <c r="K442" i="2"/>
  <c r="L442" i="2" s="1"/>
  <c r="H442" i="2"/>
  <c r="I442" i="2" s="1"/>
  <c r="F442" i="2"/>
  <c r="E442" i="2"/>
  <c r="B442" i="2"/>
  <c r="C442" i="2" s="1"/>
  <c r="Z441" i="2"/>
  <c r="AA441" i="2" s="1"/>
  <c r="T441" i="2"/>
  <c r="U441" i="2" s="1"/>
  <c r="Q441" i="2"/>
  <c r="AC441" i="2" s="1"/>
  <c r="AD441" i="2" s="1"/>
  <c r="L441" i="2"/>
  <c r="K441" i="2"/>
  <c r="E441" i="2"/>
  <c r="F441" i="2" s="1"/>
  <c r="B441" i="2"/>
  <c r="H441" i="2" s="1"/>
  <c r="I441" i="2" s="1"/>
  <c r="AD440" i="2"/>
  <c r="AC440" i="2"/>
  <c r="AA440" i="2"/>
  <c r="W440" i="2"/>
  <c r="U440" i="2"/>
  <c r="R440" i="2"/>
  <c r="N440" i="2"/>
  <c r="O440" i="2" s="1"/>
  <c r="L440" i="2"/>
  <c r="H440" i="2"/>
  <c r="I440" i="2" s="1"/>
  <c r="F440" i="2"/>
  <c r="C440" i="2"/>
  <c r="AC439" i="2"/>
  <c r="AD439" i="2" s="1"/>
  <c r="AA439" i="2"/>
  <c r="X439" i="2"/>
  <c r="W439" i="2"/>
  <c r="U439" i="2"/>
  <c r="R439" i="2"/>
  <c r="O439" i="2"/>
  <c r="N439" i="2"/>
  <c r="L439" i="2"/>
  <c r="I439" i="2"/>
  <c r="H439" i="2"/>
  <c r="F439" i="2"/>
  <c r="C439" i="2"/>
  <c r="AC438" i="2"/>
  <c r="AD438" i="2" s="1"/>
  <c r="AA438" i="2"/>
  <c r="W438" i="2"/>
  <c r="X438" i="2" s="1"/>
  <c r="U438" i="2"/>
  <c r="R438" i="2"/>
  <c r="O438" i="2"/>
  <c r="N438" i="2"/>
  <c r="L438" i="2"/>
  <c r="I438" i="2"/>
  <c r="H438" i="2"/>
  <c r="F438" i="2"/>
  <c r="C438" i="2"/>
  <c r="AC437" i="2"/>
  <c r="AD437" i="2" s="1"/>
  <c r="AA437" i="2"/>
  <c r="W437" i="2"/>
  <c r="X437" i="2" s="1"/>
  <c r="U437" i="2"/>
  <c r="R437" i="2"/>
  <c r="O437" i="2"/>
  <c r="N437" i="2"/>
  <c r="L437" i="2"/>
  <c r="H437" i="2"/>
  <c r="I437" i="2" s="1"/>
  <c r="F437" i="2"/>
  <c r="C437" i="2"/>
  <c r="AC436" i="2"/>
  <c r="AA436" i="2"/>
  <c r="W436" i="2"/>
  <c r="U436" i="2"/>
  <c r="R436" i="2"/>
  <c r="N436" i="2"/>
  <c r="O436" i="2" s="1"/>
  <c r="L436" i="2"/>
  <c r="H436" i="2"/>
  <c r="I436" i="2" s="1"/>
  <c r="F436" i="2"/>
  <c r="C436" i="2"/>
  <c r="AD435" i="2"/>
  <c r="AC435" i="2"/>
  <c r="AA435" i="2"/>
  <c r="X435" i="2"/>
  <c r="W435" i="2"/>
  <c r="U435" i="2"/>
  <c r="R435" i="2"/>
  <c r="N435" i="2"/>
  <c r="O435" i="2" s="1"/>
  <c r="L435" i="2"/>
  <c r="I435" i="2"/>
  <c r="H435" i="2"/>
  <c r="F435" i="2"/>
  <c r="C435" i="2"/>
  <c r="AC434" i="2"/>
  <c r="AA434" i="2"/>
  <c r="W434" i="2"/>
  <c r="X434" i="2" s="1"/>
  <c r="U434" i="2"/>
  <c r="R434" i="2"/>
  <c r="O434" i="2"/>
  <c r="N434" i="2"/>
  <c r="L434" i="2"/>
  <c r="H434" i="2"/>
  <c r="I434" i="2" s="1"/>
  <c r="F434" i="2"/>
  <c r="C434" i="2"/>
  <c r="AC433" i="2"/>
  <c r="AD433" i="2" s="1"/>
  <c r="AA433" i="2"/>
  <c r="W433" i="2"/>
  <c r="X433" i="2" s="1"/>
  <c r="U433" i="2"/>
  <c r="R433" i="2"/>
  <c r="O433" i="2"/>
  <c r="N433" i="2"/>
  <c r="L433" i="2"/>
  <c r="H433" i="2"/>
  <c r="I433" i="2" s="1"/>
  <c r="F433" i="2"/>
  <c r="C433" i="2"/>
  <c r="AC432" i="2"/>
  <c r="AA432" i="2"/>
  <c r="W432" i="2"/>
  <c r="U432" i="2"/>
  <c r="R432" i="2"/>
  <c r="N432" i="2"/>
  <c r="O432" i="2" s="1"/>
  <c r="L432" i="2"/>
  <c r="H432" i="2"/>
  <c r="I432" i="2" s="1"/>
  <c r="F432" i="2"/>
  <c r="C432" i="2"/>
  <c r="AA429" i="2"/>
  <c r="Z429" i="2"/>
  <c r="T429" i="2"/>
  <c r="U429" i="2" s="1"/>
  <c r="R429" i="2"/>
  <c r="Q429" i="2"/>
  <c r="W429" i="2" s="1"/>
  <c r="X429" i="2" s="1"/>
  <c r="K429" i="2"/>
  <c r="L429" i="2" s="1"/>
  <c r="E429" i="2"/>
  <c r="F429" i="2" s="1"/>
  <c r="C429" i="2"/>
  <c r="B429" i="2"/>
  <c r="N429" i="2" s="1"/>
  <c r="O429" i="2" s="1"/>
  <c r="Z428" i="2"/>
  <c r="AA428" i="2" s="1"/>
  <c r="W428" i="2"/>
  <c r="X428" i="2" s="1"/>
  <c r="U428" i="2"/>
  <c r="T428" i="2"/>
  <c r="Q428" i="2"/>
  <c r="R428" i="2" s="1"/>
  <c r="K428" i="2"/>
  <c r="L428" i="2" s="1"/>
  <c r="E428" i="2"/>
  <c r="F428" i="2" s="1"/>
  <c r="B428" i="2"/>
  <c r="AC427" i="2"/>
  <c r="AD427" i="2" s="1"/>
  <c r="AA427" i="2"/>
  <c r="X427" i="2"/>
  <c r="W427" i="2"/>
  <c r="U427" i="2"/>
  <c r="R427" i="2"/>
  <c r="O427" i="2"/>
  <c r="N427" i="2"/>
  <c r="L427" i="2"/>
  <c r="I427" i="2"/>
  <c r="H427" i="2"/>
  <c r="F427" i="2"/>
  <c r="C427" i="2"/>
  <c r="AC426" i="2"/>
  <c r="AD426" i="2" s="1"/>
  <c r="AA426" i="2"/>
  <c r="W426" i="2"/>
  <c r="X426" i="2" s="1"/>
  <c r="U426" i="2"/>
  <c r="R426" i="2"/>
  <c r="O426" i="2"/>
  <c r="N426" i="2"/>
  <c r="L426" i="2"/>
  <c r="I426" i="2"/>
  <c r="H426" i="2"/>
  <c r="F426" i="2"/>
  <c r="C426" i="2"/>
  <c r="AC425" i="2"/>
  <c r="AD425" i="2" s="1"/>
  <c r="AA425" i="2"/>
  <c r="W425" i="2"/>
  <c r="X425" i="2" s="1"/>
  <c r="U425" i="2"/>
  <c r="R425" i="2"/>
  <c r="O425" i="2"/>
  <c r="N425" i="2"/>
  <c r="L425" i="2"/>
  <c r="H425" i="2"/>
  <c r="I425" i="2" s="1"/>
  <c r="F425" i="2"/>
  <c r="C425" i="2"/>
  <c r="AC424" i="2"/>
  <c r="AA424" i="2"/>
  <c r="W424" i="2"/>
  <c r="U424" i="2"/>
  <c r="R424" i="2"/>
  <c r="N424" i="2"/>
  <c r="O424" i="2" s="1"/>
  <c r="L424" i="2"/>
  <c r="H424" i="2"/>
  <c r="I424" i="2" s="1"/>
  <c r="F424" i="2"/>
  <c r="C424" i="2"/>
  <c r="AC423" i="2"/>
  <c r="AD423" i="2" s="1"/>
  <c r="AA423" i="2"/>
  <c r="X423" i="2"/>
  <c r="W423" i="2"/>
  <c r="U423" i="2"/>
  <c r="R423" i="2"/>
  <c r="N423" i="2"/>
  <c r="O423" i="2" s="1"/>
  <c r="L423" i="2"/>
  <c r="I423" i="2"/>
  <c r="H423" i="2"/>
  <c r="F423" i="2"/>
  <c r="C423" i="2"/>
  <c r="AC422" i="2"/>
  <c r="AA422" i="2"/>
  <c r="W422" i="2"/>
  <c r="X422" i="2" s="1"/>
  <c r="U422" i="2"/>
  <c r="R422" i="2"/>
  <c r="O422" i="2"/>
  <c r="N422" i="2"/>
  <c r="L422" i="2"/>
  <c r="H422" i="2"/>
  <c r="I422" i="2" s="1"/>
  <c r="F422" i="2"/>
  <c r="C422" i="2"/>
  <c r="AC421" i="2"/>
  <c r="AD421" i="2" s="1"/>
  <c r="AA421" i="2"/>
  <c r="W421" i="2"/>
  <c r="X421" i="2" s="1"/>
  <c r="U421" i="2"/>
  <c r="R421" i="2"/>
  <c r="O421" i="2"/>
  <c r="N421" i="2"/>
  <c r="L421" i="2"/>
  <c r="H421" i="2"/>
  <c r="I421" i="2" s="1"/>
  <c r="F421" i="2"/>
  <c r="C421" i="2"/>
  <c r="AC420" i="2"/>
  <c r="AA420" i="2"/>
  <c r="W420" i="2"/>
  <c r="U420" i="2"/>
  <c r="R420" i="2"/>
  <c r="N420" i="2"/>
  <c r="O420" i="2" s="1"/>
  <c r="L420" i="2"/>
  <c r="H420" i="2"/>
  <c r="I420" i="2" s="1"/>
  <c r="F420" i="2"/>
  <c r="C420" i="2"/>
  <c r="AD419" i="2"/>
  <c r="AC419" i="2"/>
  <c r="AA419" i="2"/>
  <c r="X419" i="2"/>
  <c r="W419" i="2"/>
  <c r="U419" i="2"/>
  <c r="R419" i="2"/>
  <c r="N419" i="2"/>
  <c r="O419" i="2" s="1"/>
  <c r="L419" i="2"/>
  <c r="I419" i="2"/>
  <c r="H419" i="2"/>
  <c r="F419" i="2"/>
  <c r="C419" i="2"/>
  <c r="AC418" i="2"/>
  <c r="AD418" i="2" s="1"/>
  <c r="AA418" i="2"/>
  <c r="X418" i="2"/>
  <c r="W418" i="2"/>
  <c r="U418" i="2"/>
  <c r="R418" i="2"/>
  <c r="O418" i="2"/>
  <c r="N418" i="2"/>
  <c r="L418" i="2"/>
  <c r="H418" i="2"/>
  <c r="I418" i="2" s="1"/>
  <c r="F418" i="2"/>
  <c r="C418" i="2"/>
  <c r="AC417" i="2"/>
  <c r="AA417" i="2"/>
  <c r="W417" i="2"/>
  <c r="X417" i="2" s="1"/>
  <c r="U417" i="2"/>
  <c r="R417" i="2"/>
  <c r="O417" i="2"/>
  <c r="N417" i="2"/>
  <c r="L417" i="2"/>
  <c r="H417" i="2"/>
  <c r="I417" i="2" s="1"/>
  <c r="F417" i="2"/>
  <c r="C417" i="2"/>
  <c r="AD416" i="2"/>
  <c r="AC416" i="2"/>
  <c r="AA416" i="2"/>
  <c r="W416" i="2"/>
  <c r="U416" i="2"/>
  <c r="R416" i="2"/>
  <c r="N416" i="2"/>
  <c r="O416" i="2" s="1"/>
  <c r="L416" i="2"/>
  <c r="H416" i="2"/>
  <c r="I416" i="2" s="1"/>
  <c r="F416" i="2"/>
  <c r="C416" i="2"/>
  <c r="AC415" i="2"/>
  <c r="AA415" i="2"/>
  <c r="X415" i="2"/>
  <c r="W415" i="2"/>
  <c r="U415" i="2"/>
  <c r="R415" i="2"/>
  <c r="N415" i="2"/>
  <c r="O415" i="2" s="1"/>
  <c r="L415" i="2"/>
  <c r="I415" i="2"/>
  <c r="H415" i="2"/>
  <c r="F415" i="2"/>
  <c r="C415" i="2"/>
  <c r="AC414" i="2"/>
  <c r="AA414" i="2"/>
  <c r="X414" i="2"/>
  <c r="W414" i="2"/>
  <c r="U414" i="2"/>
  <c r="R414" i="2"/>
  <c r="O414" i="2"/>
  <c r="N414" i="2"/>
  <c r="L414" i="2"/>
  <c r="H414" i="2"/>
  <c r="I414" i="2" s="1"/>
  <c r="F414" i="2"/>
  <c r="C414" i="2"/>
  <c r="AC413" i="2"/>
  <c r="AD413" i="2" s="1"/>
  <c r="AA413" i="2"/>
  <c r="X413" i="2"/>
  <c r="W413" i="2"/>
  <c r="U413" i="2"/>
  <c r="R413" i="2"/>
  <c r="O413" i="2"/>
  <c r="N413" i="2"/>
  <c r="L413" i="2"/>
  <c r="H413" i="2"/>
  <c r="I413" i="2" s="1"/>
  <c r="F413" i="2"/>
  <c r="C413" i="2"/>
  <c r="AC412" i="2"/>
  <c r="AA412" i="2"/>
  <c r="W412" i="2"/>
  <c r="U412" i="2"/>
  <c r="R412" i="2"/>
  <c r="O412" i="2"/>
  <c r="N412" i="2"/>
  <c r="L412" i="2"/>
  <c r="H412" i="2"/>
  <c r="I412" i="2" s="1"/>
  <c r="F412" i="2"/>
  <c r="C412" i="2"/>
  <c r="AD411" i="2"/>
  <c r="AC411" i="2"/>
  <c r="AA411" i="2"/>
  <c r="X411" i="2"/>
  <c r="W411" i="2"/>
  <c r="U411" i="2"/>
  <c r="R411" i="2"/>
  <c r="N411" i="2"/>
  <c r="O411" i="2" s="1"/>
  <c r="L411" i="2"/>
  <c r="I411" i="2"/>
  <c r="H411" i="2"/>
  <c r="F411" i="2"/>
  <c r="C411" i="2"/>
  <c r="AC410" i="2"/>
  <c r="AA410" i="2"/>
  <c r="X410" i="2"/>
  <c r="W410" i="2"/>
  <c r="U410" i="2"/>
  <c r="R410" i="2"/>
  <c r="O410" i="2"/>
  <c r="N410" i="2"/>
  <c r="L410" i="2"/>
  <c r="H410" i="2"/>
  <c r="I410" i="2" s="1"/>
  <c r="F410" i="2"/>
  <c r="C410" i="2"/>
  <c r="AC409" i="2"/>
  <c r="AA409" i="2"/>
  <c r="X409" i="2"/>
  <c r="W409" i="2"/>
  <c r="U409" i="2"/>
  <c r="R409" i="2"/>
  <c r="O409" i="2"/>
  <c r="N409" i="2"/>
  <c r="L409" i="2"/>
  <c r="H409" i="2"/>
  <c r="I409" i="2" s="1"/>
  <c r="F409" i="2"/>
  <c r="C409" i="2"/>
  <c r="AD408" i="2"/>
  <c r="AC408" i="2"/>
  <c r="AA408" i="2"/>
  <c r="X408" i="2"/>
  <c r="W408" i="2"/>
  <c r="U408" i="2"/>
  <c r="R408" i="2"/>
  <c r="N408" i="2"/>
  <c r="O408" i="2" s="1"/>
  <c r="L408" i="2"/>
  <c r="H408" i="2"/>
  <c r="I408" i="2" s="1"/>
  <c r="F408" i="2"/>
  <c r="C408" i="2"/>
  <c r="AC407" i="2"/>
  <c r="AD407" i="2" s="1"/>
  <c r="AA407" i="2"/>
  <c r="X407" i="2"/>
  <c r="W407" i="2"/>
  <c r="U407" i="2"/>
  <c r="R407" i="2"/>
  <c r="O407" i="2"/>
  <c r="N407" i="2"/>
  <c r="L407" i="2"/>
  <c r="I407" i="2"/>
  <c r="H407" i="2"/>
  <c r="F407" i="2"/>
  <c r="C407" i="2"/>
  <c r="Z403" i="2"/>
  <c r="AA403" i="2" s="1"/>
  <c r="T403" i="2"/>
  <c r="W403" i="2" s="1"/>
  <c r="X403" i="2" s="1"/>
  <c r="R403" i="2"/>
  <c r="Q403" i="2"/>
  <c r="AC403" i="2" s="1"/>
  <c r="K403" i="2"/>
  <c r="L403" i="2" s="1"/>
  <c r="I403" i="2"/>
  <c r="H403" i="2"/>
  <c r="F403" i="2"/>
  <c r="E403" i="2"/>
  <c r="B403" i="2"/>
  <c r="C403" i="2" s="1"/>
  <c r="AC402" i="2"/>
  <c r="AD402" i="2" s="1"/>
  <c r="AA402" i="2"/>
  <c r="W402" i="2"/>
  <c r="X402" i="2" s="1"/>
  <c r="U402" i="2"/>
  <c r="R402" i="2"/>
  <c r="O402" i="2"/>
  <c r="N402" i="2"/>
  <c r="L402" i="2"/>
  <c r="I402" i="2"/>
  <c r="H402" i="2"/>
  <c r="F402" i="2"/>
  <c r="C402" i="2"/>
  <c r="AC401" i="2"/>
  <c r="AD401" i="2" s="1"/>
  <c r="AA401" i="2"/>
  <c r="W401" i="2"/>
  <c r="X401" i="2" s="1"/>
  <c r="U401" i="2"/>
  <c r="R401" i="2"/>
  <c r="O401" i="2"/>
  <c r="N401" i="2"/>
  <c r="L401" i="2"/>
  <c r="H401" i="2"/>
  <c r="I401" i="2" s="1"/>
  <c r="F401" i="2"/>
  <c r="C401" i="2"/>
  <c r="AC400" i="2"/>
  <c r="AA400" i="2"/>
  <c r="X400" i="2"/>
  <c r="W400" i="2"/>
  <c r="U400" i="2"/>
  <c r="R400" i="2"/>
  <c r="O400" i="2"/>
  <c r="N400" i="2"/>
  <c r="L400" i="2"/>
  <c r="H400" i="2"/>
  <c r="I400" i="2" s="1"/>
  <c r="F400" i="2"/>
  <c r="C400" i="2"/>
  <c r="AC399" i="2"/>
  <c r="AD399" i="2" s="1"/>
  <c r="AA399" i="2"/>
  <c r="X399" i="2"/>
  <c r="W399" i="2"/>
  <c r="U399" i="2"/>
  <c r="R399" i="2"/>
  <c r="N399" i="2"/>
  <c r="O399" i="2" s="1"/>
  <c r="L399" i="2"/>
  <c r="I399" i="2"/>
  <c r="H399" i="2"/>
  <c r="F399" i="2"/>
  <c r="C399" i="2"/>
  <c r="AC398" i="2"/>
  <c r="AA398" i="2"/>
  <c r="W398" i="2"/>
  <c r="X398" i="2" s="1"/>
  <c r="U398" i="2"/>
  <c r="R398" i="2"/>
  <c r="O398" i="2"/>
  <c r="N398" i="2"/>
  <c r="L398" i="2"/>
  <c r="H398" i="2"/>
  <c r="I398" i="2" s="1"/>
  <c r="F398" i="2"/>
  <c r="C398" i="2"/>
  <c r="AC397" i="2"/>
  <c r="AA397" i="2"/>
  <c r="X397" i="2"/>
  <c r="W397" i="2"/>
  <c r="U397" i="2"/>
  <c r="R397" i="2"/>
  <c r="O397" i="2"/>
  <c r="N397" i="2"/>
  <c r="L397" i="2"/>
  <c r="H397" i="2"/>
  <c r="I397" i="2" s="1"/>
  <c r="F397" i="2"/>
  <c r="C397" i="2"/>
  <c r="AD396" i="2"/>
  <c r="Z396" i="2"/>
  <c r="AA396" i="2" s="1"/>
  <c r="W396" i="2"/>
  <c r="X396" i="2" s="1"/>
  <c r="U396" i="2"/>
  <c r="T396" i="2"/>
  <c r="R396" i="2"/>
  <c r="Q396" i="2"/>
  <c r="AC396" i="2" s="1"/>
  <c r="K396" i="2"/>
  <c r="L396" i="2" s="1"/>
  <c r="H396" i="2"/>
  <c r="I396" i="2" s="1"/>
  <c r="F396" i="2"/>
  <c r="E396" i="2"/>
  <c r="B396" i="2"/>
  <c r="C396" i="2" s="1"/>
  <c r="AC395" i="2"/>
  <c r="AA395" i="2"/>
  <c r="W395" i="2"/>
  <c r="X395" i="2" s="1"/>
  <c r="U395" i="2"/>
  <c r="R395" i="2"/>
  <c r="O395" i="2"/>
  <c r="N395" i="2"/>
  <c r="L395" i="2"/>
  <c r="I395" i="2"/>
  <c r="H395" i="2"/>
  <c r="F395" i="2"/>
  <c r="C395" i="2"/>
  <c r="AC394" i="2"/>
  <c r="AD394" i="2" s="1"/>
  <c r="AA394" i="2"/>
  <c r="X394" i="2"/>
  <c r="W394" i="2"/>
  <c r="U394" i="2"/>
  <c r="R394" i="2"/>
  <c r="O394" i="2"/>
  <c r="N394" i="2"/>
  <c r="L394" i="2"/>
  <c r="H394" i="2"/>
  <c r="I394" i="2" s="1"/>
  <c r="F394" i="2"/>
  <c r="C394" i="2"/>
  <c r="Z393" i="2"/>
  <c r="AA393" i="2" s="1"/>
  <c r="T393" i="2"/>
  <c r="W393" i="2" s="1"/>
  <c r="X393" i="2" s="1"/>
  <c r="R393" i="2"/>
  <c r="Q393" i="2"/>
  <c r="AC393" i="2" s="1"/>
  <c r="K393" i="2"/>
  <c r="L393" i="2" s="1"/>
  <c r="I393" i="2"/>
  <c r="H393" i="2"/>
  <c r="F393" i="2"/>
  <c r="E393" i="2"/>
  <c r="B393" i="2"/>
  <c r="C393" i="2" s="1"/>
  <c r="AC392" i="2"/>
  <c r="AD392" i="2" s="1"/>
  <c r="AA392" i="2"/>
  <c r="W392" i="2"/>
  <c r="X392" i="2" s="1"/>
  <c r="U392" i="2"/>
  <c r="R392" i="2"/>
  <c r="O392" i="2"/>
  <c r="N392" i="2"/>
  <c r="L392" i="2"/>
  <c r="I392" i="2"/>
  <c r="H392" i="2"/>
  <c r="F392" i="2"/>
  <c r="C392" i="2"/>
  <c r="AC391" i="2"/>
  <c r="AD391" i="2" s="1"/>
  <c r="AA391" i="2"/>
  <c r="W391" i="2"/>
  <c r="X391" i="2" s="1"/>
  <c r="U391" i="2"/>
  <c r="R391" i="2"/>
  <c r="O391" i="2"/>
  <c r="N391" i="2"/>
  <c r="L391" i="2"/>
  <c r="H391" i="2"/>
  <c r="I391" i="2" s="1"/>
  <c r="F391" i="2"/>
  <c r="C391" i="2"/>
  <c r="AC390" i="2"/>
  <c r="AA390" i="2"/>
  <c r="X390" i="2"/>
  <c r="W390" i="2"/>
  <c r="U390" i="2"/>
  <c r="R390" i="2"/>
  <c r="O390" i="2"/>
  <c r="N390" i="2"/>
  <c r="L390" i="2"/>
  <c r="H390" i="2"/>
  <c r="I390" i="2" s="1"/>
  <c r="F390" i="2"/>
  <c r="C390" i="2"/>
  <c r="AD389" i="2"/>
  <c r="AC389" i="2"/>
  <c r="AA389" i="2"/>
  <c r="X389" i="2"/>
  <c r="W389" i="2"/>
  <c r="U389" i="2"/>
  <c r="R389" i="2"/>
  <c r="N389" i="2"/>
  <c r="O389" i="2" s="1"/>
  <c r="L389" i="2"/>
  <c r="I389" i="2"/>
  <c r="H389" i="2"/>
  <c r="F389" i="2"/>
  <c r="C389" i="2"/>
  <c r="AC388" i="2"/>
  <c r="AA388" i="2"/>
  <c r="X388" i="2"/>
  <c r="W388" i="2"/>
  <c r="U388" i="2"/>
  <c r="R388" i="2"/>
  <c r="O388" i="2"/>
  <c r="N388" i="2"/>
  <c r="L388" i="2"/>
  <c r="H388" i="2"/>
  <c r="I388" i="2" s="1"/>
  <c r="F388" i="2"/>
  <c r="C388" i="2"/>
  <c r="AC386" i="2"/>
  <c r="AA386" i="2"/>
  <c r="X386" i="2"/>
  <c r="W386" i="2"/>
  <c r="U386" i="2"/>
  <c r="R386" i="2"/>
  <c r="O386" i="2"/>
  <c r="N386" i="2"/>
  <c r="L386" i="2"/>
  <c r="H386" i="2"/>
  <c r="I386" i="2" s="1"/>
  <c r="F386" i="2"/>
  <c r="C386" i="2"/>
  <c r="AD385" i="2"/>
  <c r="AC385" i="2"/>
  <c r="AA385" i="2"/>
  <c r="X385" i="2"/>
  <c r="W385" i="2"/>
  <c r="U385" i="2"/>
  <c r="R385" i="2"/>
  <c r="N385" i="2"/>
  <c r="O385" i="2" s="1"/>
  <c r="L385" i="2"/>
  <c r="H385" i="2"/>
  <c r="I385" i="2" s="1"/>
  <c r="F385" i="2"/>
  <c r="C385" i="2"/>
  <c r="AC383" i="2"/>
  <c r="AD383" i="2" s="1"/>
  <c r="AA383" i="2"/>
  <c r="X383" i="2"/>
  <c r="W383" i="2"/>
  <c r="U383" i="2"/>
  <c r="R383" i="2"/>
  <c r="O383" i="2"/>
  <c r="N383" i="2"/>
  <c r="L383" i="2"/>
  <c r="I383" i="2"/>
  <c r="H383" i="2"/>
  <c r="F383" i="2"/>
  <c r="C383" i="2"/>
  <c r="AC382" i="2"/>
  <c r="AD382" i="2" s="1"/>
  <c r="AA382" i="2"/>
  <c r="W382" i="2"/>
  <c r="X382" i="2" s="1"/>
  <c r="U382" i="2"/>
  <c r="R382" i="2"/>
  <c r="O382" i="2"/>
  <c r="N382" i="2"/>
  <c r="L382" i="2"/>
  <c r="I382" i="2"/>
  <c r="H382" i="2"/>
  <c r="F382" i="2"/>
  <c r="C382" i="2"/>
  <c r="AC381" i="2"/>
  <c r="AD381" i="2" s="1"/>
  <c r="AA381" i="2"/>
  <c r="W381" i="2"/>
  <c r="X381" i="2" s="1"/>
  <c r="U381" i="2"/>
  <c r="R381" i="2"/>
  <c r="O381" i="2"/>
  <c r="N381" i="2"/>
  <c r="L381" i="2"/>
  <c r="H381" i="2"/>
  <c r="I381" i="2" s="1"/>
  <c r="F381" i="2"/>
  <c r="C381" i="2"/>
  <c r="AC380" i="2"/>
  <c r="AA380" i="2"/>
  <c r="X380" i="2"/>
  <c r="W380" i="2"/>
  <c r="U380" i="2"/>
  <c r="R380" i="2"/>
  <c r="O380" i="2"/>
  <c r="N380" i="2"/>
  <c r="L380" i="2"/>
  <c r="H380" i="2"/>
  <c r="I380" i="2" s="1"/>
  <c r="F380" i="2"/>
  <c r="C380" i="2"/>
  <c r="AD379" i="2"/>
  <c r="AC379" i="2"/>
  <c r="AA379" i="2"/>
  <c r="X379" i="2"/>
  <c r="W379" i="2"/>
  <c r="U379" i="2"/>
  <c r="R379" i="2"/>
  <c r="N379" i="2"/>
  <c r="O379" i="2" s="1"/>
  <c r="L379" i="2"/>
  <c r="I379" i="2"/>
  <c r="H379" i="2"/>
  <c r="F379" i="2"/>
  <c r="C379" i="2"/>
  <c r="AC378" i="2"/>
  <c r="AA378" i="2"/>
  <c r="X378" i="2"/>
  <c r="W378" i="2"/>
  <c r="U378" i="2"/>
  <c r="R378" i="2"/>
  <c r="O378" i="2"/>
  <c r="N378" i="2"/>
  <c r="L378" i="2"/>
  <c r="H378" i="2"/>
  <c r="I378" i="2" s="1"/>
  <c r="F378" i="2"/>
  <c r="C378" i="2"/>
  <c r="AC377" i="2"/>
  <c r="AA377" i="2"/>
  <c r="X377" i="2"/>
  <c r="W377" i="2"/>
  <c r="U377" i="2"/>
  <c r="R377" i="2"/>
  <c r="O377" i="2"/>
  <c r="N377" i="2"/>
  <c r="L377" i="2"/>
  <c r="H377" i="2"/>
  <c r="I377" i="2" s="1"/>
  <c r="F377" i="2"/>
  <c r="C377" i="2"/>
  <c r="AD376" i="2"/>
  <c r="AC376" i="2"/>
  <c r="AA376" i="2"/>
  <c r="X376" i="2"/>
  <c r="W376" i="2"/>
  <c r="U376" i="2"/>
  <c r="R376" i="2"/>
  <c r="N376" i="2"/>
  <c r="O376" i="2" s="1"/>
  <c r="L376" i="2"/>
  <c r="H376" i="2"/>
  <c r="I376" i="2" s="1"/>
  <c r="F376" i="2"/>
  <c r="C376" i="2"/>
  <c r="AC375" i="2"/>
  <c r="AD375" i="2" s="1"/>
  <c r="AA375" i="2"/>
  <c r="X375" i="2"/>
  <c r="W375" i="2"/>
  <c r="U375" i="2"/>
  <c r="R375" i="2"/>
  <c r="O375" i="2"/>
  <c r="N375" i="2"/>
  <c r="L375" i="2"/>
  <c r="I375" i="2"/>
  <c r="H375" i="2"/>
  <c r="F375" i="2"/>
  <c r="C375" i="2"/>
  <c r="AC374" i="2"/>
  <c r="AD374" i="2" s="1"/>
  <c r="AA374" i="2"/>
  <c r="W374" i="2"/>
  <c r="X374" i="2" s="1"/>
  <c r="U374" i="2"/>
  <c r="R374" i="2"/>
  <c r="O374" i="2"/>
  <c r="N374" i="2"/>
  <c r="L374" i="2"/>
  <c r="I374" i="2"/>
  <c r="H374" i="2"/>
  <c r="F374" i="2"/>
  <c r="C374" i="2"/>
  <c r="AC373" i="2"/>
  <c r="AD373" i="2" s="1"/>
  <c r="AA373" i="2"/>
  <c r="W373" i="2"/>
  <c r="X373" i="2" s="1"/>
  <c r="U373" i="2"/>
  <c r="R373" i="2"/>
  <c r="O373" i="2"/>
  <c r="N373" i="2"/>
  <c r="L373" i="2"/>
  <c r="H373" i="2"/>
  <c r="I373" i="2" s="1"/>
  <c r="F373" i="2"/>
  <c r="C373" i="2"/>
  <c r="AC372" i="2"/>
  <c r="AA372" i="2"/>
  <c r="X372" i="2"/>
  <c r="W372" i="2"/>
  <c r="U372" i="2"/>
  <c r="R372" i="2"/>
  <c r="O372" i="2"/>
  <c r="N372" i="2"/>
  <c r="L372" i="2"/>
  <c r="H372" i="2"/>
  <c r="I372" i="2" s="1"/>
  <c r="F372" i="2"/>
  <c r="C372" i="2"/>
  <c r="AC371" i="2"/>
  <c r="AD371" i="2" s="1"/>
  <c r="AA371" i="2"/>
  <c r="X371" i="2"/>
  <c r="W371" i="2"/>
  <c r="U371" i="2"/>
  <c r="R371" i="2"/>
  <c r="N371" i="2"/>
  <c r="O371" i="2" s="1"/>
  <c r="L371" i="2"/>
  <c r="I371" i="2"/>
  <c r="H371" i="2"/>
  <c r="F371" i="2"/>
  <c r="C371" i="2"/>
  <c r="AC370" i="2"/>
  <c r="AA370" i="2"/>
  <c r="W370" i="2"/>
  <c r="X370" i="2" s="1"/>
  <c r="U370" i="2"/>
  <c r="R370" i="2"/>
  <c r="O370" i="2"/>
  <c r="N370" i="2"/>
  <c r="L370" i="2"/>
  <c r="H370" i="2"/>
  <c r="I370" i="2" s="1"/>
  <c r="F370" i="2"/>
  <c r="C370" i="2"/>
  <c r="AC369" i="2"/>
  <c r="AA369" i="2"/>
  <c r="X369" i="2"/>
  <c r="W369" i="2"/>
  <c r="U369" i="2"/>
  <c r="R369" i="2"/>
  <c r="O369" i="2"/>
  <c r="N369" i="2"/>
  <c r="L369" i="2"/>
  <c r="H369" i="2"/>
  <c r="I369" i="2" s="1"/>
  <c r="F369" i="2"/>
  <c r="C369" i="2"/>
  <c r="AD368" i="2"/>
  <c r="Z368" i="2"/>
  <c r="AA368" i="2" s="1"/>
  <c r="W368" i="2"/>
  <c r="X368" i="2" s="1"/>
  <c r="U368" i="2"/>
  <c r="T368" i="2"/>
  <c r="R368" i="2"/>
  <c r="Q368" i="2"/>
  <c r="AC368" i="2" s="1"/>
  <c r="K368" i="2"/>
  <c r="L368" i="2" s="1"/>
  <c r="H368" i="2"/>
  <c r="I368" i="2" s="1"/>
  <c r="F368" i="2"/>
  <c r="E368" i="2"/>
  <c r="B368" i="2"/>
  <c r="C368" i="2" s="1"/>
  <c r="AC367" i="2"/>
  <c r="AA367" i="2"/>
  <c r="W367" i="2"/>
  <c r="X367" i="2" s="1"/>
  <c r="U367" i="2"/>
  <c r="R367" i="2"/>
  <c r="O367" i="2"/>
  <c r="N367" i="2"/>
  <c r="L367" i="2"/>
  <c r="I367" i="2"/>
  <c r="H367" i="2"/>
  <c r="F367" i="2"/>
  <c r="C367" i="2"/>
  <c r="AC366" i="2"/>
  <c r="AD366" i="2" s="1"/>
  <c r="AA366" i="2"/>
  <c r="X366" i="2"/>
  <c r="W366" i="2"/>
  <c r="U366" i="2"/>
  <c r="R366" i="2"/>
  <c r="O366" i="2"/>
  <c r="N366" i="2"/>
  <c r="L366" i="2"/>
  <c r="H366" i="2"/>
  <c r="I366" i="2" s="1"/>
  <c r="F366" i="2"/>
  <c r="C366" i="2"/>
  <c r="AC365" i="2"/>
  <c r="AA365" i="2"/>
  <c r="X365" i="2"/>
  <c r="W365" i="2"/>
  <c r="U365" i="2"/>
  <c r="R365" i="2"/>
  <c r="N365" i="2"/>
  <c r="O365" i="2" s="1"/>
  <c r="L365" i="2"/>
  <c r="H365" i="2"/>
  <c r="I365" i="2" s="1"/>
  <c r="F365" i="2"/>
  <c r="C365" i="2"/>
  <c r="AD364" i="2"/>
  <c r="AC364" i="2"/>
  <c r="AA364" i="2"/>
  <c r="X364" i="2"/>
  <c r="W364" i="2"/>
  <c r="U364" i="2"/>
  <c r="R364" i="2"/>
  <c r="N364" i="2"/>
  <c r="O364" i="2" s="1"/>
  <c r="L364" i="2"/>
  <c r="I364" i="2"/>
  <c r="H364" i="2"/>
  <c r="F364" i="2"/>
  <c r="C364" i="2"/>
  <c r="AC363" i="2"/>
  <c r="AD363" i="2" s="1"/>
  <c r="AA363" i="2"/>
  <c r="X363" i="2"/>
  <c r="W363" i="2"/>
  <c r="U363" i="2"/>
  <c r="R363" i="2"/>
  <c r="O363" i="2"/>
  <c r="N363" i="2"/>
  <c r="L363" i="2"/>
  <c r="H363" i="2"/>
  <c r="I363" i="2" s="1"/>
  <c r="F363" i="2"/>
  <c r="C363" i="2"/>
  <c r="AC362" i="2"/>
  <c r="AA362" i="2"/>
  <c r="W362" i="2"/>
  <c r="X362" i="2" s="1"/>
  <c r="U362" i="2"/>
  <c r="R362" i="2"/>
  <c r="O362" i="2"/>
  <c r="N362" i="2"/>
  <c r="L362" i="2"/>
  <c r="H362" i="2"/>
  <c r="I362" i="2" s="1"/>
  <c r="F362" i="2"/>
  <c r="C362" i="2"/>
  <c r="AD361" i="2"/>
  <c r="AC361" i="2"/>
  <c r="AA361" i="2"/>
  <c r="X361" i="2"/>
  <c r="W361" i="2"/>
  <c r="U361" i="2"/>
  <c r="R361" i="2"/>
  <c r="N361" i="2"/>
  <c r="O361" i="2" s="1"/>
  <c r="L361" i="2"/>
  <c r="H361" i="2"/>
  <c r="I361" i="2" s="1"/>
  <c r="F361" i="2"/>
  <c r="C361" i="2"/>
  <c r="AC360" i="2"/>
  <c r="AD360" i="2" s="1"/>
  <c r="AA360" i="2"/>
  <c r="X360" i="2"/>
  <c r="W360" i="2"/>
  <c r="U360" i="2"/>
  <c r="R360" i="2"/>
  <c r="O360" i="2"/>
  <c r="N360" i="2"/>
  <c r="L360" i="2"/>
  <c r="I360" i="2"/>
  <c r="H360" i="2"/>
  <c r="F360" i="2"/>
  <c r="C360" i="2"/>
  <c r="AA358" i="2"/>
  <c r="Z358" i="2"/>
  <c r="T358" i="2"/>
  <c r="U358" i="2" s="1"/>
  <c r="Q358" i="2"/>
  <c r="L358" i="2"/>
  <c r="K358" i="2"/>
  <c r="E358" i="2"/>
  <c r="F358" i="2" s="1"/>
  <c r="B358" i="2"/>
  <c r="H358" i="2" s="1"/>
  <c r="I358" i="2" s="1"/>
  <c r="AD357" i="2"/>
  <c r="AC357" i="2"/>
  <c r="AA357" i="2"/>
  <c r="X357" i="2"/>
  <c r="W357" i="2"/>
  <c r="U357" i="2"/>
  <c r="R357" i="2"/>
  <c r="N357" i="2"/>
  <c r="O357" i="2" s="1"/>
  <c r="L357" i="2"/>
  <c r="H357" i="2"/>
  <c r="I357" i="2" s="1"/>
  <c r="F357" i="2"/>
  <c r="C357" i="2"/>
  <c r="AC356" i="2"/>
  <c r="AD356" i="2" s="1"/>
  <c r="AA356" i="2"/>
  <c r="X356" i="2"/>
  <c r="W356" i="2"/>
  <c r="U356" i="2"/>
  <c r="R356" i="2"/>
  <c r="O356" i="2"/>
  <c r="N356" i="2"/>
  <c r="L356" i="2"/>
  <c r="I356" i="2"/>
  <c r="H356" i="2"/>
  <c r="F356" i="2"/>
  <c r="C356" i="2"/>
  <c r="AC355" i="2"/>
  <c r="AA355" i="2"/>
  <c r="W355" i="2"/>
  <c r="X355" i="2" s="1"/>
  <c r="U355" i="2"/>
  <c r="R355" i="2"/>
  <c r="O355" i="2"/>
  <c r="N355" i="2"/>
  <c r="L355" i="2"/>
  <c r="I355" i="2"/>
  <c r="H355" i="2"/>
  <c r="F355" i="2"/>
  <c r="C355" i="2"/>
  <c r="AC354" i="2"/>
  <c r="AD354" i="2" s="1"/>
  <c r="AA354" i="2"/>
  <c r="X354" i="2"/>
  <c r="W354" i="2"/>
  <c r="U354" i="2"/>
  <c r="R354" i="2"/>
  <c r="O354" i="2"/>
  <c r="N354" i="2"/>
  <c r="L354" i="2"/>
  <c r="H354" i="2"/>
  <c r="I354" i="2" s="1"/>
  <c r="F354" i="2"/>
  <c r="C354" i="2"/>
  <c r="AC353" i="2"/>
  <c r="AA353" i="2"/>
  <c r="X353" i="2"/>
  <c r="W353" i="2"/>
  <c r="U353" i="2"/>
  <c r="R353" i="2"/>
  <c r="N353" i="2"/>
  <c r="O353" i="2" s="1"/>
  <c r="L353" i="2"/>
  <c r="H353" i="2"/>
  <c r="I353" i="2" s="1"/>
  <c r="F353" i="2"/>
  <c r="C353" i="2"/>
  <c r="AD352" i="2"/>
  <c r="AC352" i="2"/>
  <c r="AA352" i="2"/>
  <c r="X352" i="2"/>
  <c r="W352" i="2"/>
  <c r="U352" i="2"/>
  <c r="R352" i="2"/>
  <c r="N352" i="2"/>
  <c r="O352" i="2" s="1"/>
  <c r="L352" i="2"/>
  <c r="I352" i="2"/>
  <c r="H352" i="2"/>
  <c r="F352" i="2"/>
  <c r="C352" i="2"/>
  <c r="AC351" i="2"/>
  <c r="AD351" i="2" s="1"/>
  <c r="AA351" i="2"/>
  <c r="X351" i="2"/>
  <c r="W351" i="2"/>
  <c r="U351" i="2"/>
  <c r="R351" i="2"/>
  <c r="O351" i="2"/>
  <c r="N351" i="2"/>
  <c r="L351" i="2"/>
  <c r="H351" i="2"/>
  <c r="I351" i="2" s="1"/>
  <c r="F351" i="2"/>
  <c r="C351" i="2"/>
  <c r="AC350" i="2"/>
  <c r="AA350" i="2"/>
  <c r="W350" i="2"/>
  <c r="X350" i="2" s="1"/>
  <c r="U350" i="2"/>
  <c r="R350" i="2"/>
  <c r="O350" i="2"/>
  <c r="N350" i="2"/>
  <c r="L350" i="2"/>
  <c r="H350" i="2"/>
  <c r="I350" i="2" s="1"/>
  <c r="F350" i="2"/>
  <c r="C350" i="2"/>
  <c r="AD349" i="2"/>
  <c r="AC349" i="2"/>
  <c r="AA349" i="2"/>
  <c r="X349" i="2"/>
  <c r="W349" i="2"/>
  <c r="U349" i="2"/>
  <c r="R349" i="2"/>
  <c r="N349" i="2"/>
  <c r="O349" i="2" s="1"/>
  <c r="L349" i="2"/>
  <c r="H349" i="2"/>
  <c r="I349" i="2" s="1"/>
  <c r="F349" i="2"/>
  <c r="C349" i="2"/>
  <c r="AC347" i="2"/>
  <c r="AD347" i="2" s="1"/>
  <c r="AA347" i="2"/>
  <c r="X347" i="2"/>
  <c r="W347" i="2"/>
  <c r="U347" i="2"/>
  <c r="R347" i="2"/>
  <c r="O347" i="2"/>
  <c r="N347" i="2"/>
  <c r="L347" i="2"/>
  <c r="I347" i="2"/>
  <c r="H347" i="2"/>
  <c r="F347" i="2"/>
  <c r="C347" i="2"/>
  <c r="AD344" i="2"/>
  <c r="Z344" i="2"/>
  <c r="AA344" i="2" s="1"/>
  <c r="W344" i="2"/>
  <c r="X344" i="2" s="1"/>
  <c r="U344" i="2"/>
  <c r="T344" i="2"/>
  <c r="R344" i="2"/>
  <c r="Q344" i="2"/>
  <c r="AC344" i="2" s="1"/>
  <c r="K344" i="2"/>
  <c r="L344" i="2" s="1"/>
  <c r="H344" i="2"/>
  <c r="I344" i="2" s="1"/>
  <c r="F344" i="2"/>
  <c r="E344" i="2"/>
  <c r="B344" i="2"/>
  <c r="C344" i="2" s="1"/>
  <c r="AA343" i="2"/>
  <c r="Z343" i="2"/>
  <c r="T343" i="2"/>
  <c r="U343" i="2" s="1"/>
  <c r="Q343" i="2"/>
  <c r="L343" i="2"/>
  <c r="K343" i="2"/>
  <c r="E343" i="2"/>
  <c r="F343" i="2" s="1"/>
  <c r="B343" i="2"/>
  <c r="H343" i="2" s="1"/>
  <c r="I343" i="2" s="1"/>
  <c r="AD342" i="2"/>
  <c r="Z342" i="2"/>
  <c r="AA342" i="2" s="1"/>
  <c r="T342" i="2"/>
  <c r="U342" i="2" s="1"/>
  <c r="R342" i="2"/>
  <c r="Q342" i="2"/>
  <c r="AC342" i="2" s="1"/>
  <c r="K342" i="2"/>
  <c r="L342" i="2" s="1"/>
  <c r="I342" i="2"/>
  <c r="H342" i="2"/>
  <c r="F342" i="2"/>
  <c r="E342" i="2"/>
  <c r="B342" i="2"/>
  <c r="C342" i="2" s="1"/>
  <c r="AC341" i="2"/>
  <c r="AA341" i="2"/>
  <c r="X341" i="2"/>
  <c r="W341" i="2"/>
  <c r="U341" i="2"/>
  <c r="R341" i="2"/>
  <c r="O341" i="2"/>
  <c r="N341" i="2"/>
  <c r="L341" i="2"/>
  <c r="H341" i="2"/>
  <c r="I341" i="2" s="1"/>
  <c r="F341" i="2"/>
  <c r="C341" i="2"/>
  <c r="AC340" i="2"/>
  <c r="AA340" i="2"/>
  <c r="W340" i="2"/>
  <c r="X340" i="2" s="1"/>
  <c r="U340" i="2"/>
  <c r="R340" i="2"/>
  <c r="O340" i="2"/>
  <c r="N340" i="2"/>
  <c r="L340" i="2"/>
  <c r="H340" i="2"/>
  <c r="I340" i="2" s="1"/>
  <c r="F340" i="2"/>
  <c r="C340" i="2"/>
  <c r="AD339" i="2"/>
  <c r="AC339" i="2"/>
  <c r="AA339" i="2"/>
  <c r="X339" i="2"/>
  <c r="W339" i="2"/>
  <c r="U339" i="2"/>
  <c r="R339" i="2"/>
  <c r="N339" i="2"/>
  <c r="O339" i="2" s="1"/>
  <c r="L339" i="2"/>
  <c r="H339" i="2"/>
  <c r="I339" i="2" s="1"/>
  <c r="F339" i="2"/>
  <c r="C339" i="2"/>
  <c r="AC338" i="2"/>
  <c r="AD338" i="2" s="1"/>
  <c r="AA338" i="2"/>
  <c r="X338" i="2"/>
  <c r="W338" i="2"/>
  <c r="U338" i="2"/>
  <c r="R338" i="2"/>
  <c r="O338" i="2"/>
  <c r="N338" i="2"/>
  <c r="L338" i="2"/>
  <c r="I338" i="2"/>
  <c r="H338" i="2"/>
  <c r="F338" i="2"/>
  <c r="C338" i="2"/>
  <c r="AC337" i="2"/>
  <c r="AD337" i="2" s="1"/>
  <c r="AA337" i="2"/>
  <c r="W337" i="2"/>
  <c r="X337" i="2" s="1"/>
  <c r="U337" i="2"/>
  <c r="R337" i="2"/>
  <c r="O337" i="2"/>
  <c r="N337" i="2"/>
  <c r="L337" i="2"/>
  <c r="I337" i="2"/>
  <c r="H337" i="2"/>
  <c r="F337" i="2"/>
  <c r="C337" i="2"/>
  <c r="AC335" i="2"/>
  <c r="AD335" i="2" s="1"/>
  <c r="AA335" i="2"/>
  <c r="X335" i="2"/>
  <c r="W335" i="2"/>
  <c r="U335" i="2"/>
  <c r="R335" i="2"/>
  <c r="O335" i="2"/>
  <c r="N335" i="2"/>
  <c r="L335" i="2"/>
  <c r="H335" i="2"/>
  <c r="I335" i="2" s="1"/>
  <c r="F335" i="2"/>
  <c r="C335" i="2"/>
  <c r="AC334" i="2"/>
  <c r="AA334" i="2"/>
  <c r="X334" i="2"/>
  <c r="W334" i="2"/>
  <c r="U334" i="2"/>
  <c r="R334" i="2"/>
  <c r="O334" i="2"/>
  <c r="N334" i="2"/>
  <c r="L334" i="2"/>
  <c r="H334" i="2"/>
  <c r="I334" i="2" s="1"/>
  <c r="F334" i="2"/>
  <c r="C334" i="2"/>
  <c r="AD333" i="2"/>
  <c r="AC333" i="2"/>
  <c r="AA333" i="2"/>
  <c r="X333" i="2"/>
  <c r="W333" i="2"/>
  <c r="U333" i="2"/>
  <c r="R333" i="2"/>
  <c r="N333" i="2"/>
  <c r="O333" i="2" s="1"/>
  <c r="L333" i="2"/>
  <c r="I333" i="2"/>
  <c r="H333" i="2"/>
  <c r="F333" i="2"/>
  <c r="C333" i="2"/>
  <c r="AC332" i="2"/>
  <c r="AA332" i="2"/>
  <c r="X332" i="2"/>
  <c r="W332" i="2"/>
  <c r="U332" i="2"/>
  <c r="R332" i="2"/>
  <c r="O332" i="2"/>
  <c r="N332" i="2"/>
  <c r="L332" i="2"/>
  <c r="H332" i="2"/>
  <c r="I332" i="2" s="1"/>
  <c r="F332" i="2"/>
  <c r="C332" i="2"/>
  <c r="AC331" i="2"/>
  <c r="AA331" i="2"/>
  <c r="X331" i="2"/>
  <c r="W331" i="2"/>
  <c r="U331" i="2"/>
  <c r="R331" i="2"/>
  <c r="O331" i="2"/>
  <c r="N331" i="2"/>
  <c r="L331" i="2"/>
  <c r="H331" i="2"/>
  <c r="I331" i="2" s="1"/>
  <c r="F331" i="2"/>
  <c r="C331" i="2"/>
  <c r="AC330" i="2"/>
  <c r="AD330" i="2" s="1"/>
  <c r="AA330" i="2"/>
  <c r="X330" i="2"/>
  <c r="W330" i="2"/>
  <c r="U330" i="2"/>
  <c r="R330" i="2"/>
  <c r="N330" i="2"/>
  <c r="O330" i="2" s="1"/>
  <c r="L330" i="2"/>
  <c r="H330" i="2"/>
  <c r="I330" i="2" s="1"/>
  <c r="F330" i="2"/>
  <c r="C330" i="2"/>
  <c r="AC329" i="2"/>
  <c r="AD329" i="2" s="1"/>
  <c r="AA329" i="2"/>
  <c r="X329" i="2"/>
  <c r="W329" i="2"/>
  <c r="U329" i="2"/>
  <c r="R329" i="2"/>
  <c r="O329" i="2"/>
  <c r="N329" i="2"/>
  <c r="L329" i="2"/>
  <c r="H329" i="2"/>
  <c r="I329" i="2" s="1"/>
  <c r="F329" i="2"/>
  <c r="C329" i="2"/>
  <c r="AC328" i="2"/>
  <c r="AD328" i="2" s="1"/>
  <c r="AA328" i="2"/>
  <c r="W328" i="2"/>
  <c r="X328" i="2" s="1"/>
  <c r="U328" i="2"/>
  <c r="R328" i="2"/>
  <c r="O328" i="2"/>
  <c r="N328" i="2"/>
  <c r="L328" i="2"/>
  <c r="I328" i="2"/>
  <c r="H328" i="2"/>
  <c r="F328" i="2"/>
  <c r="C328" i="2"/>
  <c r="Z325" i="2"/>
  <c r="AA325" i="2" s="1"/>
  <c r="X325" i="2"/>
  <c r="W325" i="2"/>
  <c r="U325" i="2"/>
  <c r="T325" i="2"/>
  <c r="Q325" i="2"/>
  <c r="R325" i="2" s="1"/>
  <c r="K325" i="2"/>
  <c r="L325" i="2" s="1"/>
  <c r="I325" i="2"/>
  <c r="H325" i="2"/>
  <c r="E325" i="2"/>
  <c r="F325" i="2" s="1"/>
  <c r="B325" i="2"/>
  <c r="C325" i="2" s="1"/>
  <c r="Z324" i="2"/>
  <c r="AA324" i="2" s="1"/>
  <c r="T324" i="2"/>
  <c r="U324" i="2" s="1"/>
  <c r="Q324" i="2"/>
  <c r="K324" i="2"/>
  <c r="L324" i="2" s="1"/>
  <c r="F324" i="2"/>
  <c r="E324" i="2"/>
  <c r="B324" i="2"/>
  <c r="N324" i="2" s="1"/>
  <c r="O324" i="2" s="1"/>
  <c r="AC323" i="2"/>
  <c r="AA323" i="2"/>
  <c r="X323" i="2"/>
  <c r="W323" i="2"/>
  <c r="U323" i="2"/>
  <c r="R323" i="2"/>
  <c r="O323" i="2"/>
  <c r="N323" i="2"/>
  <c r="L323" i="2"/>
  <c r="H323" i="2"/>
  <c r="I323" i="2" s="1"/>
  <c r="F323" i="2"/>
  <c r="C323" i="2"/>
  <c r="AD322" i="2"/>
  <c r="AC322" i="2"/>
  <c r="AA322" i="2"/>
  <c r="X322" i="2"/>
  <c r="W322" i="2"/>
  <c r="U322" i="2"/>
  <c r="R322" i="2"/>
  <c r="N322" i="2"/>
  <c r="O322" i="2" s="1"/>
  <c r="L322" i="2"/>
  <c r="H322" i="2"/>
  <c r="I322" i="2" s="1"/>
  <c r="F322" i="2"/>
  <c r="C322" i="2"/>
  <c r="AC321" i="2"/>
  <c r="AD321" i="2" s="1"/>
  <c r="AA321" i="2"/>
  <c r="X321" i="2"/>
  <c r="W321" i="2"/>
  <c r="U321" i="2"/>
  <c r="R321" i="2"/>
  <c r="O321" i="2"/>
  <c r="N321" i="2"/>
  <c r="L321" i="2"/>
  <c r="H321" i="2"/>
  <c r="I321" i="2" s="1"/>
  <c r="F321" i="2"/>
  <c r="C321" i="2"/>
  <c r="AC320" i="2"/>
  <c r="AD320" i="2" s="1"/>
  <c r="AA320" i="2"/>
  <c r="W320" i="2"/>
  <c r="X320" i="2" s="1"/>
  <c r="U320" i="2"/>
  <c r="R320" i="2"/>
  <c r="O320" i="2"/>
  <c r="N320" i="2"/>
  <c r="L320" i="2"/>
  <c r="I320" i="2"/>
  <c r="H320" i="2"/>
  <c r="F320" i="2"/>
  <c r="C320" i="2"/>
  <c r="AC319" i="2"/>
  <c r="AD319" i="2" s="1"/>
  <c r="AA319" i="2"/>
  <c r="W319" i="2"/>
  <c r="X319" i="2" s="1"/>
  <c r="U319" i="2"/>
  <c r="R319" i="2"/>
  <c r="O319" i="2"/>
  <c r="N319" i="2"/>
  <c r="L319" i="2"/>
  <c r="H319" i="2"/>
  <c r="I319" i="2" s="1"/>
  <c r="F319" i="2"/>
  <c r="C319" i="2"/>
  <c r="AC318" i="2"/>
  <c r="AA318" i="2"/>
  <c r="X318" i="2"/>
  <c r="W318" i="2"/>
  <c r="U318" i="2"/>
  <c r="R318" i="2"/>
  <c r="O318" i="2"/>
  <c r="N318" i="2"/>
  <c r="L318" i="2"/>
  <c r="H318" i="2"/>
  <c r="I318" i="2" s="1"/>
  <c r="F318" i="2"/>
  <c r="C318" i="2"/>
  <c r="AD317" i="2"/>
  <c r="AC317" i="2"/>
  <c r="AA317" i="2"/>
  <c r="X317" i="2"/>
  <c r="W317" i="2"/>
  <c r="U317" i="2"/>
  <c r="R317" i="2"/>
  <c r="O317" i="2"/>
  <c r="N317" i="2"/>
  <c r="L317" i="2"/>
  <c r="I317" i="2"/>
  <c r="H317" i="2"/>
  <c r="F317" i="2"/>
  <c r="C317" i="2"/>
  <c r="AC316" i="2"/>
  <c r="AA316" i="2"/>
  <c r="X316" i="2"/>
  <c r="W316" i="2"/>
  <c r="U316" i="2"/>
  <c r="R316" i="2"/>
  <c r="O316" i="2"/>
  <c r="N316" i="2"/>
  <c r="L316" i="2"/>
  <c r="I316" i="2"/>
  <c r="H316" i="2"/>
  <c r="F316" i="2"/>
  <c r="C316" i="2"/>
  <c r="AC315" i="2"/>
  <c r="AA315" i="2"/>
  <c r="X315" i="2"/>
  <c r="W315" i="2"/>
  <c r="U315" i="2"/>
  <c r="R315" i="2"/>
  <c r="O315" i="2"/>
  <c r="N315" i="2"/>
  <c r="L315" i="2"/>
  <c r="H315" i="2"/>
  <c r="I315" i="2" s="1"/>
  <c r="F315" i="2"/>
  <c r="C315" i="2"/>
  <c r="AD314" i="2"/>
  <c r="AC314" i="2"/>
  <c r="AA314" i="2"/>
  <c r="X314" i="2"/>
  <c r="W314" i="2"/>
  <c r="U314" i="2"/>
  <c r="R314" i="2"/>
  <c r="N314" i="2"/>
  <c r="O314" i="2" s="1"/>
  <c r="L314" i="2"/>
  <c r="H314" i="2"/>
  <c r="I314" i="2" s="1"/>
  <c r="F314" i="2"/>
  <c r="C314" i="2"/>
  <c r="AC313" i="2"/>
  <c r="AD313" i="2" s="1"/>
  <c r="AA313" i="2"/>
  <c r="X313" i="2"/>
  <c r="W313" i="2"/>
  <c r="U313" i="2"/>
  <c r="R313" i="2"/>
  <c r="O313" i="2"/>
  <c r="N313" i="2"/>
  <c r="L313" i="2"/>
  <c r="H313" i="2"/>
  <c r="I313" i="2" s="1"/>
  <c r="F313" i="2"/>
  <c r="C313" i="2"/>
  <c r="AC312" i="2"/>
  <c r="AD312" i="2" s="1"/>
  <c r="AA312" i="2"/>
  <c r="W312" i="2"/>
  <c r="X312" i="2" s="1"/>
  <c r="U312" i="2"/>
  <c r="R312" i="2"/>
  <c r="O312" i="2"/>
  <c r="N312" i="2"/>
  <c r="L312" i="2"/>
  <c r="I312" i="2"/>
  <c r="H312" i="2"/>
  <c r="F312" i="2"/>
  <c r="C312" i="2"/>
  <c r="AC311" i="2"/>
  <c r="AD311" i="2" s="1"/>
  <c r="AA311" i="2"/>
  <c r="W311" i="2"/>
  <c r="X311" i="2" s="1"/>
  <c r="U311" i="2"/>
  <c r="R311" i="2"/>
  <c r="O311" i="2"/>
  <c r="N311" i="2"/>
  <c r="L311" i="2"/>
  <c r="H311" i="2"/>
  <c r="I311" i="2" s="1"/>
  <c r="F311" i="2"/>
  <c r="C311" i="2"/>
  <c r="AC310" i="2"/>
  <c r="AA310" i="2"/>
  <c r="X310" i="2"/>
  <c r="W310" i="2"/>
  <c r="U310" i="2"/>
  <c r="R310" i="2"/>
  <c r="O310" i="2"/>
  <c r="N310" i="2"/>
  <c r="L310" i="2"/>
  <c r="H310" i="2"/>
  <c r="I310" i="2" s="1"/>
  <c r="F310" i="2"/>
  <c r="C310" i="2"/>
  <c r="AD309" i="2"/>
  <c r="AC309" i="2"/>
  <c r="AA309" i="2"/>
  <c r="X309" i="2"/>
  <c r="W309" i="2"/>
  <c r="U309" i="2"/>
  <c r="R309" i="2"/>
  <c r="O309" i="2"/>
  <c r="N309" i="2"/>
  <c r="L309" i="2"/>
  <c r="I309" i="2"/>
  <c r="H309" i="2"/>
  <c r="F309" i="2"/>
  <c r="C309" i="2"/>
  <c r="AC308" i="2"/>
  <c r="AA308" i="2"/>
  <c r="X308" i="2"/>
  <c r="W308" i="2"/>
  <c r="U308" i="2"/>
  <c r="R308" i="2"/>
  <c r="O308" i="2"/>
  <c r="N308" i="2"/>
  <c r="L308" i="2"/>
  <c r="I308" i="2"/>
  <c r="H308" i="2"/>
  <c r="F308" i="2"/>
  <c r="C308" i="2"/>
  <c r="AC307" i="2"/>
  <c r="AA307" i="2"/>
  <c r="X307" i="2"/>
  <c r="W307" i="2"/>
  <c r="U307" i="2"/>
  <c r="R307" i="2"/>
  <c r="O307" i="2"/>
  <c r="N307" i="2"/>
  <c r="L307" i="2"/>
  <c r="H307" i="2"/>
  <c r="I307" i="2" s="1"/>
  <c r="F307" i="2"/>
  <c r="C307" i="2"/>
  <c r="AD306" i="2"/>
  <c r="AC306" i="2"/>
  <c r="AA306" i="2"/>
  <c r="X306" i="2"/>
  <c r="W306" i="2"/>
  <c r="U306" i="2"/>
  <c r="R306" i="2"/>
  <c r="N306" i="2"/>
  <c r="O306" i="2" s="1"/>
  <c r="L306" i="2"/>
  <c r="H306" i="2"/>
  <c r="I306" i="2" s="1"/>
  <c r="F306" i="2"/>
  <c r="C306" i="2"/>
  <c r="AC305" i="2"/>
  <c r="AD305" i="2" s="1"/>
  <c r="AA305" i="2"/>
  <c r="X305" i="2"/>
  <c r="W305" i="2"/>
  <c r="U305" i="2"/>
  <c r="R305" i="2"/>
  <c r="O305" i="2"/>
  <c r="N305" i="2"/>
  <c r="L305" i="2"/>
  <c r="H305" i="2"/>
  <c r="I305" i="2" s="1"/>
  <c r="F305" i="2"/>
  <c r="C305" i="2"/>
  <c r="AC304" i="2"/>
  <c r="AD304" i="2" s="1"/>
  <c r="AA304" i="2"/>
  <c r="W304" i="2"/>
  <c r="X304" i="2" s="1"/>
  <c r="U304" i="2"/>
  <c r="R304" i="2"/>
  <c r="O304" i="2"/>
  <c r="N304" i="2"/>
  <c r="L304" i="2"/>
  <c r="I304" i="2"/>
  <c r="H304" i="2"/>
  <c r="F304" i="2"/>
  <c r="C304" i="2"/>
  <c r="AC303" i="2"/>
  <c r="AD303" i="2" s="1"/>
  <c r="AA303" i="2"/>
  <c r="W303" i="2"/>
  <c r="X303" i="2" s="1"/>
  <c r="U303" i="2"/>
  <c r="R303" i="2"/>
  <c r="O303" i="2"/>
  <c r="N303" i="2"/>
  <c r="L303" i="2"/>
  <c r="H303" i="2"/>
  <c r="I303" i="2" s="1"/>
  <c r="F303" i="2"/>
  <c r="C303" i="2"/>
  <c r="AC302" i="2"/>
  <c r="AA302" i="2"/>
  <c r="X302" i="2"/>
  <c r="W302" i="2"/>
  <c r="U302" i="2"/>
  <c r="R302" i="2"/>
  <c r="O302" i="2"/>
  <c r="N302" i="2"/>
  <c r="L302" i="2"/>
  <c r="H302" i="2"/>
  <c r="I302" i="2" s="1"/>
  <c r="F302" i="2"/>
  <c r="C302" i="2"/>
  <c r="AD301" i="2"/>
  <c r="AC301" i="2"/>
  <c r="AA301" i="2"/>
  <c r="X301" i="2"/>
  <c r="W301" i="2"/>
  <c r="U301" i="2"/>
  <c r="R301" i="2"/>
  <c r="O301" i="2"/>
  <c r="N301" i="2"/>
  <c r="L301" i="2"/>
  <c r="I301" i="2"/>
  <c r="H301" i="2"/>
  <c r="F301" i="2"/>
  <c r="C301" i="2"/>
  <c r="AC300" i="2"/>
  <c r="AA300" i="2"/>
  <c r="X300" i="2"/>
  <c r="W300" i="2"/>
  <c r="U300" i="2"/>
  <c r="R300" i="2"/>
  <c r="O300" i="2"/>
  <c r="N300" i="2"/>
  <c r="L300" i="2"/>
  <c r="I300" i="2"/>
  <c r="H300" i="2"/>
  <c r="F300" i="2"/>
  <c r="C300" i="2"/>
  <c r="AC299" i="2"/>
  <c r="AA299" i="2"/>
  <c r="X299" i="2"/>
  <c r="W299" i="2"/>
  <c r="U299" i="2"/>
  <c r="R299" i="2"/>
  <c r="O299" i="2"/>
  <c r="N299" i="2"/>
  <c r="L299" i="2"/>
  <c r="H299" i="2"/>
  <c r="I299" i="2" s="1"/>
  <c r="F299" i="2"/>
  <c r="C299" i="2"/>
  <c r="AD298" i="2"/>
  <c r="AC298" i="2"/>
  <c r="AA298" i="2"/>
  <c r="X298" i="2"/>
  <c r="W298" i="2"/>
  <c r="U298" i="2"/>
  <c r="R298" i="2"/>
  <c r="N298" i="2"/>
  <c r="O298" i="2" s="1"/>
  <c r="L298" i="2"/>
  <c r="H298" i="2"/>
  <c r="I298" i="2" s="1"/>
  <c r="F298" i="2"/>
  <c r="C298" i="2"/>
  <c r="AC297" i="2"/>
  <c r="AD297" i="2" s="1"/>
  <c r="AA297" i="2"/>
  <c r="X297" i="2"/>
  <c r="W297" i="2"/>
  <c r="U297" i="2"/>
  <c r="R297" i="2"/>
  <c r="O297" i="2"/>
  <c r="N297" i="2"/>
  <c r="L297" i="2"/>
  <c r="H297" i="2"/>
  <c r="I297" i="2" s="1"/>
  <c r="F297" i="2"/>
  <c r="C297" i="2"/>
  <c r="AA295" i="2"/>
  <c r="Z295" i="2"/>
  <c r="T295" i="2"/>
  <c r="U295" i="2" s="1"/>
  <c r="Q295" i="2"/>
  <c r="R295" i="2" s="1"/>
  <c r="L295" i="2"/>
  <c r="K295" i="2"/>
  <c r="E295" i="2"/>
  <c r="F295" i="2" s="1"/>
  <c r="C295" i="2"/>
  <c r="B295" i="2"/>
  <c r="H295" i="2" s="1"/>
  <c r="I295" i="2" s="1"/>
  <c r="AC294" i="2"/>
  <c r="AD294" i="2" s="1"/>
  <c r="AA294" i="2"/>
  <c r="X294" i="2"/>
  <c r="W294" i="2"/>
  <c r="U294" i="2"/>
  <c r="R294" i="2"/>
  <c r="O294" i="2"/>
  <c r="N294" i="2"/>
  <c r="L294" i="2"/>
  <c r="H294" i="2"/>
  <c r="I294" i="2" s="1"/>
  <c r="F294" i="2"/>
  <c r="C294" i="2"/>
  <c r="AC293" i="2"/>
  <c r="AD293" i="2" s="1"/>
  <c r="AA293" i="2"/>
  <c r="X293" i="2"/>
  <c r="W293" i="2"/>
  <c r="U293" i="2"/>
  <c r="R293" i="2"/>
  <c r="O293" i="2"/>
  <c r="N293" i="2"/>
  <c r="L293" i="2"/>
  <c r="I293" i="2"/>
  <c r="H293" i="2"/>
  <c r="F293" i="2"/>
  <c r="C293" i="2"/>
  <c r="AC292" i="2"/>
  <c r="AA292" i="2"/>
  <c r="W292" i="2"/>
  <c r="X292" i="2" s="1"/>
  <c r="U292" i="2"/>
  <c r="R292" i="2"/>
  <c r="O292" i="2"/>
  <c r="N292" i="2"/>
  <c r="L292" i="2"/>
  <c r="I292" i="2"/>
  <c r="H292" i="2"/>
  <c r="F292" i="2"/>
  <c r="C292" i="2"/>
  <c r="AC291" i="2"/>
  <c r="AD291" i="2" s="1"/>
  <c r="AA291" i="2"/>
  <c r="X291" i="2"/>
  <c r="W291" i="2"/>
  <c r="U291" i="2"/>
  <c r="R291" i="2"/>
  <c r="O291" i="2"/>
  <c r="N291" i="2"/>
  <c r="L291" i="2"/>
  <c r="H291" i="2"/>
  <c r="I291" i="2" s="1"/>
  <c r="F291" i="2"/>
  <c r="C291" i="2"/>
  <c r="AC290" i="2"/>
  <c r="AA290" i="2"/>
  <c r="X290" i="2"/>
  <c r="W290" i="2"/>
  <c r="U290" i="2"/>
  <c r="R290" i="2"/>
  <c r="N290" i="2"/>
  <c r="O290" i="2" s="1"/>
  <c r="L290" i="2"/>
  <c r="H290" i="2"/>
  <c r="I290" i="2" s="1"/>
  <c r="F290" i="2"/>
  <c r="C290" i="2"/>
  <c r="AD289" i="2"/>
  <c r="AC289" i="2"/>
  <c r="AA289" i="2"/>
  <c r="X289" i="2"/>
  <c r="W289" i="2"/>
  <c r="U289" i="2"/>
  <c r="R289" i="2"/>
  <c r="N289" i="2"/>
  <c r="O289" i="2" s="1"/>
  <c r="L289" i="2"/>
  <c r="H289" i="2"/>
  <c r="I289" i="2" s="1"/>
  <c r="F289" i="2"/>
  <c r="C289" i="2"/>
  <c r="AC288" i="2"/>
  <c r="AD288" i="2" s="1"/>
  <c r="AA288" i="2"/>
  <c r="X288" i="2"/>
  <c r="W288" i="2"/>
  <c r="U288" i="2"/>
  <c r="R288" i="2"/>
  <c r="O288" i="2"/>
  <c r="N288" i="2"/>
  <c r="L288" i="2"/>
  <c r="H288" i="2"/>
  <c r="I288" i="2" s="1"/>
  <c r="F288" i="2"/>
  <c r="C288" i="2"/>
  <c r="AC287" i="2"/>
  <c r="AA287" i="2"/>
  <c r="X287" i="2"/>
  <c r="W287" i="2"/>
  <c r="U287" i="2"/>
  <c r="R287" i="2"/>
  <c r="O287" i="2"/>
  <c r="N287" i="2"/>
  <c r="L287" i="2"/>
  <c r="H287" i="2"/>
  <c r="I287" i="2" s="1"/>
  <c r="F287" i="2"/>
  <c r="C287" i="2"/>
  <c r="AC286" i="2"/>
  <c r="AD286" i="2" s="1"/>
  <c r="AA286" i="2"/>
  <c r="X286" i="2"/>
  <c r="W286" i="2"/>
  <c r="U286" i="2"/>
  <c r="R286" i="2"/>
  <c r="O286" i="2"/>
  <c r="N286" i="2"/>
  <c r="L286" i="2"/>
  <c r="H286" i="2"/>
  <c r="I286" i="2" s="1"/>
  <c r="F286" i="2"/>
  <c r="C286" i="2"/>
  <c r="AC284" i="2"/>
  <c r="AD284" i="2" s="1"/>
  <c r="AA284" i="2"/>
  <c r="Z284" i="2"/>
  <c r="W284" i="2"/>
  <c r="X284" i="2" s="1"/>
  <c r="T284" i="2"/>
  <c r="U284" i="2" s="1"/>
  <c r="Q284" i="2"/>
  <c r="R284" i="2" s="1"/>
  <c r="N284" i="2"/>
  <c r="O284" i="2" s="1"/>
  <c r="K284" i="2"/>
  <c r="L284" i="2" s="1"/>
  <c r="H284" i="2"/>
  <c r="I284" i="2" s="1"/>
  <c r="F284" i="2"/>
  <c r="E284" i="2"/>
  <c r="B284" i="2"/>
  <c r="C284" i="2" s="1"/>
  <c r="AC283" i="2"/>
  <c r="AA283" i="2"/>
  <c r="X283" i="2"/>
  <c r="W283" i="2"/>
  <c r="U283" i="2"/>
  <c r="R283" i="2"/>
  <c r="O283" i="2"/>
  <c r="N283" i="2"/>
  <c r="L283" i="2"/>
  <c r="H283" i="2"/>
  <c r="I283" i="2" s="1"/>
  <c r="F283" i="2"/>
  <c r="C283" i="2"/>
  <c r="AD282" i="2"/>
  <c r="AC282" i="2"/>
  <c r="AA282" i="2"/>
  <c r="X282" i="2"/>
  <c r="W282" i="2"/>
  <c r="U282" i="2"/>
  <c r="R282" i="2"/>
  <c r="N282" i="2"/>
  <c r="O282" i="2" s="1"/>
  <c r="L282" i="2"/>
  <c r="H282" i="2"/>
  <c r="I282" i="2" s="1"/>
  <c r="F282" i="2"/>
  <c r="C282" i="2"/>
  <c r="AD281" i="2"/>
  <c r="AC281" i="2"/>
  <c r="AA281" i="2"/>
  <c r="X281" i="2"/>
  <c r="W281" i="2"/>
  <c r="U281" i="2"/>
  <c r="R281" i="2"/>
  <c r="N281" i="2"/>
  <c r="O281" i="2" s="1"/>
  <c r="L281" i="2"/>
  <c r="H281" i="2"/>
  <c r="I281" i="2" s="1"/>
  <c r="F281" i="2"/>
  <c r="C281" i="2"/>
  <c r="AC280" i="2"/>
  <c r="AA280" i="2"/>
  <c r="X280" i="2"/>
  <c r="W280" i="2"/>
  <c r="U280" i="2"/>
  <c r="R280" i="2"/>
  <c r="O280" i="2"/>
  <c r="N280" i="2"/>
  <c r="L280" i="2"/>
  <c r="H280" i="2"/>
  <c r="I280" i="2" s="1"/>
  <c r="F280" i="2"/>
  <c r="C280" i="2"/>
  <c r="AC279" i="2"/>
  <c r="AD279" i="2" s="1"/>
  <c r="AA279" i="2"/>
  <c r="W279" i="2"/>
  <c r="X279" i="2" s="1"/>
  <c r="U279" i="2"/>
  <c r="R279" i="2"/>
  <c r="O279" i="2"/>
  <c r="N279" i="2"/>
  <c r="L279" i="2"/>
  <c r="H279" i="2"/>
  <c r="I279" i="2" s="1"/>
  <c r="F279" i="2"/>
  <c r="C279" i="2"/>
  <c r="AC278" i="2"/>
  <c r="AD278" i="2" s="1"/>
  <c r="AA278" i="2"/>
  <c r="X278" i="2"/>
  <c r="W278" i="2"/>
  <c r="U278" i="2"/>
  <c r="R278" i="2"/>
  <c r="O278" i="2"/>
  <c r="N278" i="2"/>
  <c r="L278" i="2"/>
  <c r="H278" i="2"/>
  <c r="I278" i="2" s="1"/>
  <c r="F278" i="2"/>
  <c r="C278" i="2"/>
  <c r="AC277" i="2"/>
  <c r="AA277" i="2"/>
  <c r="X277" i="2"/>
  <c r="W277" i="2"/>
  <c r="U277" i="2"/>
  <c r="R277" i="2"/>
  <c r="O277" i="2"/>
  <c r="N277" i="2"/>
  <c r="L277" i="2"/>
  <c r="I277" i="2"/>
  <c r="H277" i="2"/>
  <c r="F277" i="2"/>
  <c r="C277" i="2"/>
  <c r="AC276" i="2"/>
  <c r="AD276" i="2" s="1"/>
  <c r="AA276" i="2"/>
  <c r="X276" i="2"/>
  <c r="W276" i="2"/>
  <c r="U276" i="2"/>
  <c r="R276" i="2"/>
  <c r="O276" i="2"/>
  <c r="N276" i="2"/>
  <c r="L276" i="2"/>
  <c r="I276" i="2"/>
  <c r="H276" i="2"/>
  <c r="F276" i="2"/>
  <c r="C276" i="2"/>
  <c r="AC275" i="2"/>
  <c r="AA275" i="2"/>
  <c r="X275" i="2"/>
  <c r="W275" i="2"/>
  <c r="U275" i="2"/>
  <c r="R275" i="2"/>
  <c r="O275" i="2"/>
  <c r="N275" i="2"/>
  <c r="L275" i="2"/>
  <c r="H275" i="2"/>
  <c r="I275" i="2" s="1"/>
  <c r="F275" i="2"/>
  <c r="C275" i="2"/>
  <c r="Z273" i="2"/>
  <c r="AA273" i="2" s="1"/>
  <c r="T273" i="2"/>
  <c r="U273" i="2" s="1"/>
  <c r="R273" i="2"/>
  <c r="Q273" i="2"/>
  <c r="W273" i="2" s="1"/>
  <c r="X273" i="2" s="1"/>
  <c r="K273" i="2"/>
  <c r="L273" i="2" s="1"/>
  <c r="E273" i="2"/>
  <c r="F273" i="2" s="1"/>
  <c r="B273" i="2"/>
  <c r="C273" i="2" s="1"/>
  <c r="AC272" i="2"/>
  <c r="AD272" i="2" s="1"/>
  <c r="AA272" i="2"/>
  <c r="X272" i="2"/>
  <c r="W272" i="2"/>
  <c r="U272" i="2"/>
  <c r="R272" i="2"/>
  <c r="O272" i="2"/>
  <c r="N272" i="2"/>
  <c r="L272" i="2"/>
  <c r="I272" i="2"/>
  <c r="H272" i="2"/>
  <c r="F272" i="2"/>
  <c r="C272" i="2"/>
  <c r="AC271" i="2"/>
  <c r="AA271" i="2"/>
  <c r="X271" i="2"/>
  <c r="W271" i="2"/>
  <c r="U271" i="2"/>
  <c r="R271" i="2"/>
  <c r="O271" i="2"/>
  <c r="N271" i="2"/>
  <c r="L271" i="2"/>
  <c r="H271" i="2"/>
  <c r="I271" i="2" s="1"/>
  <c r="F271" i="2"/>
  <c r="C271" i="2"/>
  <c r="AD270" i="2"/>
  <c r="AC270" i="2"/>
  <c r="AA270" i="2"/>
  <c r="X270" i="2"/>
  <c r="W270" i="2"/>
  <c r="U270" i="2"/>
  <c r="R270" i="2"/>
  <c r="N270" i="2"/>
  <c r="O270" i="2" s="1"/>
  <c r="L270" i="2"/>
  <c r="H270" i="2"/>
  <c r="I270" i="2" s="1"/>
  <c r="F270" i="2"/>
  <c r="C270" i="2"/>
  <c r="AD269" i="2"/>
  <c r="AC269" i="2"/>
  <c r="AA269" i="2"/>
  <c r="X269" i="2"/>
  <c r="W269" i="2"/>
  <c r="U269" i="2"/>
  <c r="R269" i="2"/>
  <c r="N269" i="2"/>
  <c r="O269" i="2" s="1"/>
  <c r="L269" i="2"/>
  <c r="H269" i="2"/>
  <c r="I269" i="2" s="1"/>
  <c r="F269" i="2"/>
  <c r="C269" i="2"/>
  <c r="Z267" i="2"/>
  <c r="AA267" i="2" s="1"/>
  <c r="T267" i="2"/>
  <c r="U267" i="2" s="1"/>
  <c r="Q267" i="2"/>
  <c r="R267" i="2" s="1"/>
  <c r="K267" i="2"/>
  <c r="L267" i="2" s="1"/>
  <c r="H267" i="2"/>
  <c r="I267" i="2" s="1"/>
  <c r="E267" i="2"/>
  <c r="F267" i="2" s="1"/>
  <c r="C267" i="2"/>
  <c r="B267" i="2"/>
  <c r="N267" i="2" s="1"/>
  <c r="O267" i="2" s="1"/>
  <c r="AC266" i="2"/>
  <c r="AD266" i="2" s="1"/>
  <c r="AA266" i="2"/>
  <c r="X266" i="2"/>
  <c r="W266" i="2"/>
  <c r="U266" i="2"/>
  <c r="R266" i="2"/>
  <c r="O266" i="2"/>
  <c r="N266" i="2"/>
  <c r="L266" i="2"/>
  <c r="H266" i="2"/>
  <c r="I266" i="2" s="1"/>
  <c r="F266" i="2"/>
  <c r="C266" i="2"/>
  <c r="AC265" i="2"/>
  <c r="AD265" i="2" s="1"/>
  <c r="AA265" i="2"/>
  <c r="X265" i="2"/>
  <c r="W265" i="2"/>
  <c r="U265" i="2"/>
  <c r="R265" i="2"/>
  <c r="O265" i="2"/>
  <c r="N265" i="2"/>
  <c r="L265" i="2"/>
  <c r="I265" i="2"/>
  <c r="H265" i="2"/>
  <c r="F265" i="2"/>
  <c r="C265" i="2"/>
  <c r="AC263" i="2"/>
  <c r="AD263" i="2" s="1"/>
  <c r="Z263" i="2"/>
  <c r="AA263" i="2" s="1"/>
  <c r="X263" i="2"/>
  <c r="W263" i="2"/>
  <c r="T263" i="2"/>
  <c r="U263" i="2" s="1"/>
  <c r="Q263" i="2"/>
  <c r="R263" i="2" s="1"/>
  <c r="N263" i="2"/>
  <c r="O263" i="2" s="1"/>
  <c r="K263" i="2"/>
  <c r="L263" i="2" s="1"/>
  <c r="H263" i="2"/>
  <c r="I263" i="2" s="1"/>
  <c r="E263" i="2"/>
  <c r="F263" i="2" s="1"/>
  <c r="B263" i="2"/>
  <c r="C263" i="2" s="1"/>
  <c r="AC262" i="2"/>
  <c r="AD262" i="2" s="1"/>
  <c r="Z262" i="2"/>
  <c r="AA262" i="2" s="1"/>
  <c r="W262" i="2"/>
  <c r="X262" i="2" s="1"/>
  <c r="U262" i="2"/>
  <c r="T262" i="2"/>
  <c r="Q262" i="2"/>
  <c r="R262" i="2" s="1"/>
  <c r="K262" i="2"/>
  <c r="L262" i="2" s="1"/>
  <c r="H262" i="2"/>
  <c r="I262" i="2" s="1"/>
  <c r="F262" i="2"/>
  <c r="E262" i="2"/>
  <c r="B262" i="2"/>
  <c r="C262" i="2" s="1"/>
  <c r="AC261" i="2"/>
  <c r="AA261" i="2"/>
  <c r="X261" i="2"/>
  <c r="W261" i="2"/>
  <c r="U261" i="2"/>
  <c r="R261" i="2"/>
  <c r="O261" i="2"/>
  <c r="N261" i="2"/>
  <c r="L261" i="2"/>
  <c r="H261" i="2"/>
  <c r="I261" i="2" s="1"/>
  <c r="F261" i="2"/>
  <c r="C261" i="2"/>
  <c r="AC260" i="2"/>
  <c r="AD260" i="2" s="1"/>
  <c r="AA260" i="2"/>
  <c r="W260" i="2"/>
  <c r="X260" i="2" s="1"/>
  <c r="U260" i="2"/>
  <c r="R260" i="2"/>
  <c r="O260" i="2"/>
  <c r="N260" i="2"/>
  <c r="L260" i="2"/>
  <c r="H260" i="2"/>
  <c r="I260" i="2" s="1"/>
  <c r="F260" i="2"/>
  <c r="C260" i="2"/>
  <c r="AC259" i="2"/>
  <c r="AD259" i="2" s="1"/>
  <c r="AA259" i="2"/>
  <c r="X259" i="2"/>
  <c r="W259" i="2"/>
  <c r="U259" i="2"/>
  <c r="R259" i="2"/>
  <c r="O259" i="2"/>
  <c r="N259" i="2"/>
  <c r="L259" i="2"/>
  <c r="H259" i="2"/>
  <c r="I259" i="2" s="1"/>
  <c r="F259" i="2"/>
  <c r="C259" i="2"/>
  <c r="AC258" i="2"/>
  <c r="AA258" i="2"/>
  <c r="X258" i="2"/>
  <c r="W258" i="2"/>
  <c r="U258" i="2"/>
  <c r="R258" i="2"/>
  <c r="O258" i="2"/>
  <c r="N258" i="2"/>
  <c r="L258" i="2"/>
  <c r="I258" i="2"/>
  <c r="H258" i="2"/>
  <c r="F258" i="2"/>
  <c r="C258" i="2"/>
  <c r="AC257" i="2"/>
  <c r="AD257" i="2" s="1"/>
  <c r="AA257" i="2"/>
  <c r="X257" i="2"/>
  <c r="W257" i="2"/>
  <c r="U257" i="2"/>
  <c r="R257" i="2"/>
  <c r="O257" i="2"/>
  <c r="N257" i="2"/>
  <c r="L257" i="2"/>
  <c r="I257" i="2"/>
  <c r="H257" i="2"/>
  <c r="F257" i="2"/>
  <c r="C257" i="2"/>
  <c r="AC256" i="2"/>
  <c r="AA256" i="2"/>
  <c r="W256" i="2"/>
  <c r="X256" i="2" s="1"/>
  <c r="U256" i="2"/>
  <c r="R256" i="2"/>
  <c r="O256" i="2"/>
  <c r="N256" i="2"/>
  <c r="L256" i="2"/>
  <c r="H256" i="2"/>
  <c r="I256" i="2" s="1"/>
  <c r="F256" i="2"/>
  <c r="C256" i="2"/>
  <c r="AD255" i="2"/>
  <c r="AC255" i="2"/>
  <c r="AA255" i="2"/>
  <c r="X255" i="2"/>
  <c r="W255" i="2"/>
  <c r="U255" i="2"/>
  <c r="R255" i="2"/>
  <c r="N255" i="2"/>
  <c r="O255" i="2" s="1"/>
  <c r="L255" i="2"/>
  <c r="H255" i="2"/>
  <c r="I255" i="2" s="1"/>
  <c r="F255" i="2"/>
  <c r="C255" i="2"/>
  <c r="AD254" i="2"/>
  <c r="AC254" i="2"/>
  <c r="AA254" i="2"/>
  <c r="X254" i="2"/>
  <c r="W254" i="2"/>
  <c r="U254" i="2"/>
  <c r="R254" i="2"/>
  <c r="N254" i="2"/>
  <c r="O254" i="2" s="1"/>
  <c r="L254" i="2"/>
  <c r="H254" i="2"/>
  <c r="I254" i="2" s="1"/>
  <c r="F254" i="2"/>
  <c r="C254" i="2"/>
  <c r="AC253" i="2"/>
  <c r="AA253" i="2"/>
  <c r="W253" i="2"/>
  <c r="X253" i="2" s="1"/>
  <c r="U253" i="2"/>
  <c r="R253" i="2"/>
  <c r="O253" i="2"/>
  <c r="N253" i="2"/>
  <c r="L253" i="2"/>
  <c r="H253" i="2"/>
  <c r="I253" i="2" s="1"/>
  <c r="F253" i="2"/>
  <c r="C253" i="2"/>
  <c r="AC252" i="2"/>
  <c r="AD252" i="2" s="1"/>
  <c r="AA252" i="2"/>
  <c r="W252" i="2"/>
  <c r="X252" i="2" s="1"/>
  <c r="U252" i="2"/>
  <c r="R252" i="2"/>
  <c r="O252" i="2"/>
  <c r="N252" i="2"/>
  <c r="L252" i="2"/>
  <c r="H252" i="2"/>
  <c r="I252" i="2" s="1"/>
  <c r="F252" i="2"/>
  <c r="C252" i="2"/>
  <c r="AC251" i="2"/>
  <c r="AD251" i="2" s="1"/>
  <c r="AA251" i="2"/>
  <c r="X251" i="2"/>
  <c r="W251" i="2"/>
  <c r="U251" i="2"/>
  <c r="R251" i="2"/>
  <c r="O251" i="2"/>
  <c r="N251" i="2"/>
  <c r="L251" i="2"/>
  <c r="H251" i="2"/>
  <c r="I251" i="2" s="1"/>
  <c r="F251" i="2"/>
  <c r="C251" i="2"/>
  <c r="AC250" i="2"/>
  <c r="AA250" i="2"/>
  <c r="X250" i="2"/>
  <c r="W250" i="2"/>
  <c r="U250" i="2"/>
  <c r="R250" i="2"/>
  <c r="O250" i="2"/>
  <c r="N250" i="2"/>
  <c r="L250" i="2"/>
  <c r="I250" i="2"/>
  <c r="H250" i="2"/>
  <c r="F250" i="2"/>
  <c r="C250" i="2"/>
  <c r="AC249" i="2"/>
  <c r="AD249" i="2" s="1"/>
  <c r="AA249" i="2"/>
  <c r="X249" i="2"/>
  <c r="W249" i="2"/>
  <c r="U249" i="2"/>
  <c r="R249" i="2"/>
  <c r="O249" i="2"/>
  <c r="N249" i="2"/>
  <c r="L249" i="2"/>
  <c r="I249" i="2"/>
  <c r="H249" i="2"/>
  <c r="F249" i="2"/>
  <c r="C249" i="2"/>
  <c r="AC248" i="2"/>
  <c r="AA248" i="2"/>
  <c r="X248" i="2"/>
  <c r="W248" i="2"/>
  <c r="U248" i="2"/>
  <c r="R248" i="2"/>
  <c r="O248" i="2"/>
  <c r="N248" i="2"/>
  <c r="L248" i="2"/>
  <c r="H248" i="2"/>
  <c r="I248" i="2" s="1"/>
  <c r="F248" i="2"/>
  <c r="C248" i="2"/>
  <c r="AD247" i="2"/>
  <c r="AC247" i="2"/>
  <c r="AA247" i="2"/>
  <c r="X247" i="2"/>
  <c r="W247" i="2"/>
  <c r="U247" i="2"/>
  <c r="R247" i="2"/>
  <c r="N247" i="2"/>
  <c r="O247" i="2" s="1"/>
  <c r="L247" i="2"/>
  <c r="H247" i="2"/>
  <c r="I247" i="2" s="1"/>
  <c r="F247" i="2"/>
  <c r="C247" i="2"/>
  <c r="AC246" i="2"/>
  <c r="AD246" i="2" s="1"/>
  <c r="AA246" i="2"/>
  <c r="X246" i="2"/>
  <c r="W246" i="2"/>
  <c r="U246" i="2"/>
  <c r="R246" i="2"/>
  <c r="N246" i="2"/>
  <c r="O246" i="2" s="1"/>
  <c r="L246" i="2"/>
  <c r="H246" i="2"/>
  <c r="I246" i="2" s="1"/>
  <c r="F246" i="2"/>
  <c r="C246" i="2"/>
  <c r="AC245" i="2"/>
  <c r="AA245" i="2"/>
  <c r="W245" i="2"/>
  <c r="X245" i="2" s="1"/>
  <c r="U245" i="2"/>
  <c r="R245" i="2"/>
  <c r="O245" i="2"/>
  <c r="N245" i="2"/>
  <c r="L245" i="2"/>
  <c r="H245" i="2"/>
  <c r="I245" i="2" s="1"/>
  <c r="F245" i="2"/>
  <c r="C245" i="2"/>
  <c r="AC244" i="2"/>
  <c r="AD244" i="2" s="1"/>
  <c r="AA244" i="2"/>
  <c r="W244" i="2"/>
  <c r="X244" i="2" s="1"/>
  <c r="U244" i="2"/>
  <c r="R244" i="2"/>
  <c r="O244" i="2"/>
  <c r="N244" i="2"/>
  <c r="L244" i="2"/>
  <c r="H244" i="2"/>
  <c r="I244" i="2" s="1"/>
  <c r="F244" i="2"/>
  <c r="C244" i="2"/>
  <c r="AC243" i="2"/>
  <c r="AD243" i="2" s="1"/>
  <c r="AA243" i="2"/>
  <c r="X243" i="2"/>
  <c r="W243" i="2"/>
  <c r="U243" i="2"/>
  <c r="R243" i="2"/>
  <c r="O243" i="2"/>
  <c r="N243" i="2"/>
  <c r="L243" i="2"/>
  <c r="H243" i="2"/>
  <c r="I243" i="2" s="1"/>
  <c r="F243" i="2"/>
  <c r="C243" i="2"/>
  <c r="AC242" i="2"/>
  <c r="AA242" i="2"/>
  <c r="X242" i="2"/>
  <c r="W242" i="2"/>
  <c r="U242" i="2"/>
  <c r="R242" i="2"/>
  <c r="O242" i="2"/>
  <c r="N242" i="2"/>
  <c r="L242" i="2"/>
  <c r="I242" i="2"/>
  <c r="H242" i="2"/>
  <c r="F242" i="2"/>
  <c r="C242" i="2"/>
  <c r="AC241" i="2"/>
  <c r="AD241" i="2" s="1"/>
  <c r="AA241" i="2"/>
  <c r="X241" i="2"/>
  <c r="W241" i="2"/>
  <c r="U241" i="2"/>
  <c r="R241" i="2"/>
  <c r="O241" i="2"/>
  <c r="N241" i="2"/>
  <c r="L241" i="2"/>
  <c r="I241" i="2"/>
  <c r="H241" i="2"/>
  <c r="F241" i="2"/>
  <c r="C241" i="2"/>
  <c r="AC240" i="2"/>
  <c r="AA240" i="2"/>
  <c r="X240" i="2"/>
  <c r="W240" i="2"/>
  <c r="U240" i="2"/>
  <c r="R240" i="2"/>
  <c r="O240" i="2"/>
  <c r="N240" i="2"/>
  <c r="L240" i="2"/>
  <c r="H240" i="2"/>
  <c r="I240" i="2" s="1"/>
  <c r="F240" i="2"/>
  <c r="C240" i="2"/>
  <c r="AD238" i="2"/>
  <c r="AC238" i="2"/>
  <c r="AA238" i="2"/>
  <c r="X238" i="2"/>
  <c r="W238" i="2"/>
  <c r="U238" i="2"/>
  <c r="R238" i="2"/>
  <c r="N238" i="2"/>
  <c r="O238" i="2" s="1"/>
  <c r="L238" i="2"/>
  <c r="H238" i="2"/>
  <c r="I238" i="2" s="1"/>
  <c r="F238" i="2"/>
  <c r="C238" i="2"/>
  <c r="Z236" i="2"/>
  <c r="AC236" i="2" s="1"/>
  <c r="AD236" i="2" s="1"/>
  <c r="W236" i="2"/>
  <c r="X236" i="2" s="1"/>
  <c r="T236" i="2"/>
  <c r="U236" i="2" s="1"/>
  <c r="R236" i="2"/>
  <c r="Q236" i="2"/>
  <c r="N236" i="2"/>
  <c r="O236" i="2" s="1"/>
  <c r="K236" i="2"/>
  <c r="L236" i="2" s="1"/>
  <c r="H236" i="2"/>
  <c r="I236" i="2" s="1"/>
  <c r="F236" i="2"/>
  <c r="E236" i="2"/>
  <c r="C236" i="2"/>
  <c r="B236" i="2"/>
  <c r="AC235" i="2"/>
  <c r="AD235" i="2" s="1"/>
  <c r="AA235" i="2"/>
  <c r="W235" i="2"/>
  <c r="X235" i="2" s="1"/>
  <c r="U235" i="2"/>
  <c r="R235" i="2"/>
  <c r="O235" i="2"/>
  <c r="N235" i="2"/>
  <c r="L235" i="2"/>
  <c r="H235" i="2"/>
  <c r="I235" i="2" s="1"/>
  <c r="F235" i="2"/>
  <c r="C235" i="2"/>
  <c r="AC234" i="2"/>
  <c r="AA234" i="2"/>
  <c r="X234" i="2"/>
  <c r="W234" i="2"/>
  <c r="U234" i="2"/>
  <c r="R234" i="2"/>
  <c r="O234" i="2"/>
  <c r="N234" i="2"/>
  <c r="L234" i="2"/>
  <c r="H234" i="2"/>
  <c r="I234" i="2" s="1"/>
  <c r="F234" i="2"/>
  <c r="C234" i="2"/>
  <c r="AD233" i="2"/>
  <c r="AC233" i="2"/>
  <c r="AA233" i="2"/>
  <c r="X233" i="2"/>
  <c r="W233" i="2"/>
  <c r="U233" i="2"/>
  <c r="R233" i="2"/>
  <c r="N233" i="2"/>
  <c r="O233" i="2" s="1"/>
  <c r="L233" i="2"/>
  <c r="I233" i="2"/>
  <c r="H233" i="2"/>
  <c r="F233" i="2"/>
  <c r="C233" i="2"/>
  <c r="AC232" i="2"/>
  <c r="AA232" i="2"/>
  <c r="X232" i="2"/>
  <c r="W232" i="2"/>
  <c r="U232" i="2"/>
  <c r="R232" i="2"/>
  <c r="O232" i="2"/>
  <c r="N232" i="2"/>
  <c r="L232" i="2"/>
  <c r="H232" i="2"/>
  <c r="I232" i="2" s="1"/>
  <c r="F232" i="2"/>
  <c r="C232" i="2"/>
  <c r="AC231" i="2"/>
  <c r="AA231" i="2"/>
  <c r="X231" i="2"/>
  <c r="W231" i="2"/>
  <c r="U231" i="2"/>
  <c r="R231" i="2"/>
  <c r="O231" i="2"/>
  <c r="N231" i="2"/>
  <c r="L231" i="2"/>
  <c r="H231" i="2"/>
  <c r="I231" i="2" s="1"/>
  <c r="F231" i="2"/>
  <c r="C231" i="2"/>
  <c r="AC230" i="2"/>
  <c r="AD230" i="2" s="1"/>
  <c r="AA230" i="2"/>
  <c r="X230" i="2"/>
  <c r="W230" i="2"/>
  <c r="U230" i="2"/>
  <c r="R230" i="2"/>
  <c r="N230" i="2"/>
  <c r="O230" i="2" s="1"/>
  <c r="L230" i="2"/>
  <c r="H230" i="2"/>
  <c r="I230" i="2" s="1"/>
  <c r="F230" i="2"/>
  <c r="C230" i="2"/>
  <c r="AC229" i="2"/>
  <c r="AA229" i="2"/>
  <c r="X229" i="2"/>
  <c r="W229" i="2"/>
  <c r="U229" i="2"/>
  <c r="R229" i="2"/>
  <c r="N229" i="2"/>
  <c r="O229" i="2" s="1"/>
  <c r="L229" i="2"/>
  <c r="H229" i="2"/>
  <c r="I229" i="2" s="1"/>
  <c r="F229" i="2"/>
  <c r="C229" i="2"/>
  <c r="AA227" i="2"/>
  <c r="Z227" i="2"/>
  <c r="T227" i="2"/>
  <c r="W227" i="2" s="1"/>
  <c r="X227" i="2" s="1"/>
  <c r="R227" i="2"/>
  <c r="Q227" i="2"/>
  <c r="AC227" i="2" s="1"/>
  <c r="AD227" i="2" s="1"/>
  <c r="K227" i="2"/>
  <c r="L227" i="2" s="1"/>
  <c r="H227" i="2"/>
  <c r="I227" i="2" s="1"/>
  <c r="F227" i="2"/>
  <c r="E227" i="2"/>
  <c r="C227" i="2"/>
  <c r="B227" i="2"/>
  <c r="N227" i="2" s="1"/>
  <c r="O227" i="2" s="1"/>
  <c r="AC226" i="2"/>
  <c r="AD226" i="2" s="1"/>
  <c r="AA226" i="2"/>
  <c r="X226" i="2"/>
  <c r="W226" i="2"/>
  <c r="U226" i="2"/>
  <c r="R226" i="2"/>
  <c r="N226" i="2"/>
  <c r="O226" i="2" s="1"/>
  <c r="L226" i="2"/>
  <c r="H226" i="2"/>
  <c r="I226" i="2" s="1"/>
  <c r="F226" i="2"/>
  <c r="C226" i="2"/>
  <c r="AC225" i="2"/>
  <c r="AA225" i="2"/>
  <c r="X225" i="2"/>
  <c r="W225" i="2"/>
  <c r="U225" i="2"/>
  <c r="R225" i="2"/>
  <c r="N225" i="2"/>
  <c r="O225" i="2" s="1"/>
  <c r="L225" i="2"/>
  <c r="H225" i="2"/>
  <c r="I225" i="2" s="1"/>
  <c r="F225" i="2"/>
  <c r="C225" i="2"/>
  <c r="AC224" i="2"/>
  <c r="AA224" i="2"/>
  <c r="W224" i="2"/>
  <c r="X224" i="2" s="1"/>
  <c r="U224" i="2"/>
  <c r="R224" i="2"/>
  <c r="O224" i="2"/>
  <c r="N224" i="2"/>
  <c r="L224" i="2"/>
  <c r="I224" i="2"/>
  <c r="H224" i="2"/>
  <c r="F224" i="2"/>
  <c r="C224" i="2"/>
  <c r="AC223" i="2"/>
  <c r="AD223" i="2" s="1"/>
  <c r="AA223" i="2"/>
  <c r="W223" i="2"/>
  <c r="X223" i="2" s="1"/>
  <c r="U223" i="2"/>
  <c r="R223" i="2"/>
  <c r="O223" i="2"/>
  <c r="N223" i="2"/>
  <c r="L223" i="2"/>
  <c r="I223" i="2"/>
  <c r="H223" i="2"/>
  <c r="F223" i="2"/>
  <c r="C223" i="2"/>
  <c r="AC222" i="2"/>
  <c r="AD222" i="2" s="1"/>
  <c r="AA222" i="2"/>
  <c r="X222" i="2"/>
  <c r="W222" i="2"/>
  <c r="U222" i="2"/>
  <c r="R222" i="2"/>
  <c r="N222" i="2"/>
  <c r="O222" i="2" s="1"/>
  <c r="L222" i="2"/>
  <c r="H222" i="2"/>
  <c r="I222" i="2" s="1"/>
  <c r="F222" i="2"/>
  <c r="C222" i="2"/>
  <c r="AC221" i="2"/>
  <c r="AA221" i="2"/>
  <c r="X221" i="2"/>
  <c r="W221" i="2"/>
  <c r="U221" i="2"/>
  <c r="R221" i="2"/>
  <c r="N221" i="2"/>
  <c r="O221" i="2" s="1"/>
  <c r="L221" i="2"/>
  <c r="H221" i="2"/>
  <c r="I221" i="2" s="1"/>
  <c r="F221" i="2"/>
  <c r="C221" i="2"/>
  <c r="AC220" i="2"/>
  <c r="AA220" i="2"/>
  <c r="W220" i="2"/>
  <c r="X220" i="2" s="1"/>
  <c r="U220" i="2"/>
  <c r="R220" i="2"/>
  <c r="O220" i="2"/>
  <c r="N220" i="2"/>
  <c r="L220" i="2"/>
  <c r="I220" i="2"/>
  <c r="H220" i="2"/>
  <c r="F220" i="2"/>
  <c r="C220" i="2"/>
  <c r="AC219" i="2"/>
  <c r="AD219" i="2" s="1"/>
  <c r="AA219" i="2"/>
  <c r="W219" i="2"/>
  <c r="X219" i="2" s="1"/>
  <c r="U219" i="2"/>
  <c r="R219" i="2"/>
  <c r="O219" i="2"/>
  <c r="N219" i="2"/>
  <c r="L219" i="2"/>
  <c r="I219" i="2"/>
  <c r="H219" i="2"/>
  <c r="F219" i="2"/>
  <c r="C219" i="2"/>
  <c r="Z218" i="2"/>
  <c r="AA218" i="2" s="1"/>
  <c r="U218" i="2"/>
  <c r="T218" i="2"/>
  <c r="Q218" i="2"/>
  <c r="W218" i="2" s="1"/>
  <c r="X218" i="2" s="1"/>
  <c r="L218" i="2"/>
  <c r="K218" i="2"/>
  <c r="E218" i="2"/>
  <c r="F218" i="2" s="1"/>
  <c r="B218" i="2"/>
  <c r="H218" i="2" s="1"/>
  <c r="I218" i="2" s="1"/>
  <c r="AC217" i="2"/>
  <c r="AA217" i="2"/>
  <c r="W217" i="2"/>
  <c r="X217" i="2" s="1"/>
  <c r="U217" i="2"/>
  <c r="R217" i="2"/>
  <c r="O217" i="2"/>
  <c r="N217" i="2"/>
  <c r="L217" i="2"/>
  <c r="I217" i="2"/>
  <c r="H217" i="2"/>
  <c r="F217" i="2"/>
  <c r="C217" i="2"/>
  <c r="AC216" i="2"/>
  <c r="AD216" i="2" s="1"/>
  <c r="AA216" i="2"/>
  <c r="W216" i="2"/>
  <c r="X216" i="2" s="1"/>
  <c r="U216" i="2"/>
  <c r="R216" i="2"/>
  <c r="O216" i="2"/>
  <c r="N216" i="2"/>
  <c r="L216" i="2"/>
  <c r="I216" i="2"/>
  <c r="H216" i="2"/>
  <c r="F216" i="2"/>
  <c r="C216" i="2"/>
  <c r="AC215" i="2"/>
  <c r="AD215" i="2" s="1"/>
  <c r="AA215" i="2"/>
  <c r="X215" i="2"/>
  <c r="W215" i="2"/>
  <c r="U215" i="2"/>
  <c r="R215" i="2"/>
  <c r="N215" i="2"/>
  <c r="O215" i="2" s="1"/>
  <c r="L215" i="2"/>
  <c r="H215" i="2"/>
  <c r="I215" i="2" s="1"/>
  <c r="F215" i="2"/>
  <c r="C215" i="2"/>
  <c r="AC214" i="2"/>
  <c r="AA214" i="2"/>
  <c r="X214" i="2"/>
  <c r="W214" i="2"/>
  <c r="U214" i="2"/>
  <c r="R214" i="2"/>
  <c r="N214" i="2"/>
  <c r="O214" i="2" s="1"/>
  <c r="L214" i="2"/>
  <c r="H214" i="2"/>
  <c r="I214" i="2" s="1"/>
  <c r="F214" i="2"/>
  <c r="C214" i="2"/>
  <c r="AC213" i="2"/>
  <c r="AA213" i="2"/>
  <c r="W213" i="2"/>
  <c r="X213" i="2" s="1"/>
  <c r="U213" i="2"/>
  <c r="R213" i="2"/>
  <c r="O213" i="2"/>
  <c r="N213" i="2"/>
  <c r="L213" i="2"/>
  <c r="I213" i="2"/>
  <c r="H213" i="2"/>
  <c r="F213" i="2"/>
  <c r="C213" i="2"/>
  <c r="AC211" i="2"/>
  <c r="AD211" i="2" s="1"/>
  <c r="AA211" i="2"/>
  <c r="W211" i="2"/>
  <c r="X211" i="2" s="1"/>
  <c r="U211" i="2"/>
  <c r="R211" i="2"/>
  <c r="O211" i="2"/>
  <c r="N211" i="2"/>
  <c r="L211" i="2"/>
  <c r="I211" i="2"/>
  <c r="H211" i="2"/>
  <c r="F211" i="2"/>
  <c r="C211" i="2"/>
  <c r="Z209" i="2"/>
  <c r="AA209" i="2" s="1"/>
  <c r="U209" i="2"/>
  <c r="T209" i="2"/>
  <c r="Q209" i="2"/>
  <c r="W209" i="2" s="1"/>
  <c r="X209" i="2" s="1"/>
  <c r="L209" i="2"/>
  <c r="K209" i="2"/>
  <c r="E209" i="2"/>
  <c r="F209" i="2" s="1"/>
  <c r="B209" i="2"/>
  <c r="H209" i="2" s="1"/>
  <c r="I209" i="2" s="1"/>
  <c r="AC208" i="2"/>
  <c r="AA208" i="2"/>
  <c r="W208" i="2"/>
  <c r="X208" i="2" s="1"/>
  <c r="U208" i="2"/>
  <c r="R208" i="2"/>
  <c r="O208" i="2"/>
  <c r="N208" i="2"/>
  <c r="L208" i="2"/>
  <c r="I208" i="2"/>
  <c r="H208" i="2"/>
  <c r="F208" i="2"/>
  <c r="C208" i="2"/>
  <c r="AC207" i="2"/>
  <c r="AD207" i="2" s="1"/>
  <c r="AA207" i="2"/>
  <c r="W207" i="2"/>
  <c r="X207" i="2" s="1"/>
  <c r="U207" i="2"/>
  <c r="R207" i="2"/>
  <c r="O207" i="2"/>
  <c r="N207" i="2"/>
  <c r="L207" i="2"/>
  <c r="I207" i="2"/>
  <c r="H207" i="2"/>
  <c r="F207" i="2"/>
  <c r="C207" i="2"/>
  <c r="AC206" i="2"/>
  <c r="AD206" i="2" s="1"/>
  <c r="AA206" i="2"/>
  <c r="X206" i="2"/>
  <c r="W206" i="2"/>
  <c r="U206" i="2"/>
  <c r="R206" i="2"/>
  <c r="N206" i="2"/>
  <c r="O206" i="2" s="1"/>
  <c r="L206" i="2"/>
  <c r="H206" i="2"/>
  <c r="I206" i="2" s="1"/>
  <c r="F206" i="2"/>
  <c r="C206" i="2"/>
  <c r="AC205" i="2"/>
  <c r="AA205" i="2"/>
  <c r="X205" i="2"/>
  <c r="W205" i="2"/>
  <c r="U205" i="2"/>
  <c r="R205" i="2"/>
  <c r="N205" i="2"/>
  <c r="O205" i="2" s="1"/>
  <c r="L205" i="2"/>
  <c r="H205" i="2"/>
  <c r="I205" i="2" s="1"/>
  <c r="F205" i="2"/>
  <c r="C205" i="2"/>
  <c r="AC204" i="2"/>
  <c r="AA204" i="2"/>
  <c r="W204" i="2"/>
  <c r="X204" i="2" s="1"/>
  <c r="U204" i="2"/>
  <c r="R204" i="2"/>
  <c r="O204" i="2"/>
  <c r="N204" i="2"/>
  <c r="L204" i="2"/>
  <c r="I204" i="2"/>
  <c r="H204" i="2"/>
  <c r="F204" i="2"/>
  <c r="C204" i="2"/>
  <c r="AC203" i="2"/>
  <c r="AD203" i="2" s="1"/>
  <c r="AA203" i="2"/>
  <c r="W203" i="2"/>
  <c r="X203" i="2" s="1"/>
  <c r="U203" i="2"/>
  <c r="R203" i="2"/>
  <c r="O203" i="2"/>
  <c r="N203" i="2"/>
  <c r="L203" i="2"/>
  <c r="I203" i="2"/>
  <c r="H203" i="2"/>
  <c r="F203" i="2"/>
  <c r="C203" i="2"/>
  <c r="AC202" i="2"/>
  <c r="AD202" i="2" s="1"/>
  <c r="AA202" i="2"/>
  <c r="X202" i="2"/>
  <c r="W202" i="2"/>
  <c r="U202" i="2"/>
  <c r="R202" i="2"/>
  <c r="N202" i="2"/>
  <c r="O202" i="2" s="1"/>
  <c r="L202" i="2"/>
  <c r="H202" i="2"/>
  <c r="I202" i="2" s="1"/>
  <c r="F202" i="2"/>
  <c r="C202" i="2"/>
  <c r="AC201" i="2"/>
  <c r="AA201" i="2"/>
  <c r="X201" i="2"/>
  <c r="W201" i="2"/>
  <c r="U201" i="2"/>
  <c r="R201" i="2"/>
  <c r="N201" i="2"/>
  <c r="O201" i="2" s="1"/>
  <c r="L201" i="2"/>
  <c r="H201" i="2"/>
  <c r="I201" i="2" s="1"/>
  <c r="F201" i="2"/>
  <c r="C201" i="2"/>
  <c r="Z197" i="2"/>
  <c r="AA197" i="2" s="1"/>
  <c r="U197" i="2"/>
  <c r="T197" i="2"/>
  <c r="Q197" i="2"/>
  <c r="W197" i="2" s="1"/>
  <c r="X197" i="2" s="1"/>
  <c r="L197" i="2"/>
  <c r="K197" i="2"/>
  <c r="E197" i="2"/>
  <c r="F197" i="2" s="1"/>
  <c r="B197" i="2"/>
  <c r="H197" i="2" s="1"/>
  <c r="I197" i="2" s="1"/>
  <c r="AA196" i="2"/>
  <c r="Z196" i="2"/>
  <c r="T196" i="2"/>
  <c r="W196" i="2" s="1"/>
  <c r="X196" i="2" s="1"/>
  <c r="R196" i="2"/>
  <c r="Q196" i="2"/>
  <c r="AC196" i="2" s="1"/>
  <c r="AD196" i="2" s="1"/>
  <c r="K196" i="2"/>
  <c r="L196" i="2" s="1"/>
  <c r="H196" i="2"/>
  <c r="I196" i="2" s="1"/>
  <c r="F196" i="2"/>
  <c r="E196" i="2"/>
  <c r="C196" i="2"/>
  <c r="B196" i="2"/>
  <c r="N196" i="2" s="1"/>
  <c r="O196" i="2" s="1"/>
  <c r="AC195" i="2"/>
  <c r="AD195" i="2" s="1"/>
  <c r="AA195" i="2"/>
  <c r="X195" i="2"/>
  <c r="W195" i="2"/>
  <c r="U195" i="2"/>
  <c r="R195" i="2"/>
  <c r="N195" i="2"/>
  <c r="O195" i="2" s="1"/>
  <c r="L195" i="2"/>
  <c r="H195" i="2"/>
  <c r="I195" i="2" s="1"/>
  <c r="F195" i="2"/>
  <c r="C195" i="2"/>
  <c r="AC194" i="2"/>
  <c r="AA194" i="2"/>
  <c r="X194" i="2"/>
  <c r="W194" i="2"/>
  <c r="U194" i="2"/>
  <c r="R194" i="2"/>
  <c r="N194" i="2"/>
  <c r="O194" i="2" s="1"/>
  <c r="L194" i="2"/>
  <c r="H194" i="2"/>
  <c r="I194" i="2" s="1"/>
  <c r="F194" i="2"/>
  <c r="C194" i="2"/>
  <c r="AA193" i="2"/>
  <c r="Z193" i="2"/>
  <c r="T193" i="2"/>
  <c r="W193" i="2" s="1"/>
  <c r="X193" i="2" s="1"/>
  <c r="R193" i="2"/>
  <c r="Q193" i="2"/>
  <c r="AC193" i="2" s="1"/>
  <c r="AD193" i="2" s="1"/>
  <c r="K193" i="2"/>
  <c r="L193" i="2" s="1"/>
  <c r="H193" i="2"/>
  <c r="I193" i="2" s="1"/>
  <c r="F193" i="2"/>
  <c r="E193" i="2"/>
  <c r="C193" i="2"/>
  <c r="B193" i="2"/>
  <c r="N193" i="2" s="1"/>
  <c r="O193" i="2" s="1"/>
  <c r="AC192" i="2"/>
  <c r="AD192" i="2" s="1"/>
  <c r="AA192" i="2"/>
  <c r="X192" i="2"/>
  <c r="W192" i="2"/>
  <c r="U192" i="2"/>
  <c r="R192" i="2"/>
  <c r="N192" i="2"/>
  <c r="O192" i="2" s="1"/>
  <c r="L192" i="2"/>
  <c r="H192" i="2"/>
  <c r="I192" i="2" s="1"/>
  <c r="F192" i="2"/>
  <c r="C192" i="2"/>
  <c r="AC191" i="2"/>
  <c r="AA191" i="2"/>
  <c r="X191" i="2"/>
  <c r="W191" i="2"/>
  <c r="U191" i="2"/>
  <c r="R191" i="2"/>
  <c r="N191" i="2"/>
  <c r="O191" i="2" s="1"/>
  <c r="L191" i="2"/>
  <c r="H191" i="2"/>
  <c r="I191" i="2" s="1"/>
  <c r="F191" i="2"/>
  <c r="C191" i="2"/>
  <c r="AC190" i="2"/>
  <c r="AA190" i="2"/>
  <c r="W190" i="2"/>
  <c r="X190" i="2" s="1"/>
  <c r="U190" i="2"/>
  <c r="R190" i="2"/>
  <c r="O190" i="2"/>
  <c r="N190" i="2"/>
  <c r="L190" i="2"/>
  <c r="I190" i="2"/>
  <c r="H190" i="2"/>
  <c r="F190" i="2"/>
  <c r="C190" i="2"/>
  <c r="AC189" i="2"/>
  <c r="AD189" i="2" s="1"/>
  <c r="AA189" i="2"/>
  <c r="W189" i="2"/>
  <c r="X189" i="2" s="1"/>
  <c r="U189" i="2"/>
  <c r="R189" i="2"/>
  <c r="O189" i="2"/>
  <c r="N189" i="2"/>
  <c r="L189" i="2"/>
  <c r="I189" i="2"/>
  <c r="H189" i="2"/>
  <c r="F189" i="2"/>
  <c r="C189" i="2"/>
  <c r="AC188" i="2"/>
  <c r="AD188" i="2" s="1"/>
  <c r="AA188" i="2"/>
  <c r="X188" i="2"/>
  <c r="W188" i="2"/>
  <c r="U188" i="2"/>
  <c r="R188" i="2"/>
  <c r="N188" i="2"/>
  <c r="O188" i="2" s="1"/>
  <c r="L188" i="2"/>
  <c r="H188" i="2"/>
  <c r="I188" i="2" s="1"/>
  <c r="F188" i="2"/>
  <c r="C188" i="2"/>
  <c r="AC187" i="2"/>
  <c r="AA187" i="2"/>
  <c r="X187" i="2"/>
  <c r="W187" i="2"/>
  <c r="U187" i="2"/>
  <c r="R187" i="2"/>
  <c r="N187" i="2"/>
  <c r="O187" i="2" s="1"/>
  <c r="L187" i="2"/>
  <c r="H187" i="2"/>
  <c r="I187" i="2" s="1"/>
  <c r="F187" i="2"/>
  <c r="C187" i="2"/>
  <c r="AC186" i="2"/>
  <c r="AA186" i="2"/>
  <c r="W186" i="2"/>
  <c r="X186" i="2" s="1"/>
  <c r="U186" i="2"/>
  <c r="R186" i="2"/>
  <c r="O186" i="2"/>
  <c r="N186" i="2"/>
  <c r="L186" i="2"/>
  <c r="I186" i="2"/>
  <c r="H186" i="2"/>
  <c r="F186" i="2"/>
  <c r="C186" i="2"/>
  <c r="AC184" i="2"/>
  <c r="AD184" i="2" s="1"/>
  <c r="AA184" i="2"/>
  <c r="W184" i="2"/>
  <c r="X184" i="2" s="1"/>
  <c r="U184" i="2"/>
  <c r="R184" i="2"/>
  <c r="O184" i="2"/>
  <c r="N184" i="2"/>
  <c r="L184" i="2"/>
  <c r="I184" i="2"/>
  <c r="H184" i="2"/>
  <c r="F184" i="2"/>
  <c r="C184" i="2"/>
  <c r="AC183" i="2"/>
  <c r="AD183" i="2" s="1"/>
  <c r="AA183" i="2"/>
  <c r="X183" i="2"/>
  <c r="W183" i="2"/>
  <c r="U183" i="2"/>
  <c r="R183" i="2"/>
  <c r="N183" i="2"/>
  <c r="O183" i="2" s="1"/>
  <c r="L183" i="2"/>
  <c r="H183" i="2"/>
  <c r="I183" i="2" s="1"/>
  <c r="F183" i="2"/>
  <c r="C183" i="2"/>
  <c r="Z182" i="2"/>
  <c r="AA182" i="2" s="1"/>
  <c r="W182" i="2"/>
  <c r="X182" i="2" s="1"/>
  <c r="U182" i="2"/>
  <c r="T182" i="2"/>
  <c r="R182" i="2"/>
  <c r="Q182" i="2"/>
  <c r="AC182" i="2" s="1"/>
  <c r="AD182" i="2" s="1"/>
  <c r="K182" i="2"/>
  <c r="L182" i="2" s="1"/>
  <c r="F182" i="2"/>
  <c r="E182" i="2"/>
  <c r="B182" i="2"/>
  <c r="H182" i="2" s="1"/>
  <c r="I182" i="2" s="1"/>
  <c r="AC181" i="2"/>
  <c r="AD181" i="2" s="1"/>
  <c r="AA181" i="2"/>
  <c r="W181" i="2"/>
  <c r="X181" i="2" s="1"/>
  <c r="U181" i="2"/>
  <c r="R181" i="2"/>
  <c r="O181" i="2"/>
  <c r="N181" i="2"/>
  <c r="L181" i="2"/>
  <c r="I181" i="2"/>
  <c r="H181" i="2"/>
  <c r="F181" i="2"/>
  <c r="C181" i="2"/>
  <c r="AC180" i="2"/>
  <c r="AD180" i="2" s="1"/>
  <c r="AA180" i="2"/>
  <c r="X180" i="2"/>
  <c r="W180" i="2"/>
  <c r="U180" i="2"/>
  <c r="R180" i="2"/>
  <c r="N180" i="2"/>
  <c r="O180" i="2" s="1"/>
  <c r="L180" i="2"/>
  <c r="H180" i="2"/>
  <c r="I180" i="2" s="1"/>
  <c r="F180" i="2"/>
  <c r="C180" i="2"/>
  <c r="AC179" i="2"/>
  <c r="AA179" i="2"/>
  <c r="X179" i="2"/>
  <c r="W179" i="2"/>
  <c r="U179" i="2"/>
  <c r="R179" i="2"/>
  <c r="N179" i="2"/>
  <c r="O179" i="2" s="1"/>
  <c r="L179" i="2"/>
  <c r="H179" i="2"/>
  <c r="I179" i="2" s="1"/>
  <c r="F179" i="2"/>
  <c r="C179" i="2"/>
  <c r="AC178" i="2"/>
  <c r="AA178" i="2"/>
  <c r="W178" i="2"/>
  <c r="X178" i="2" s="1"/>
  <c r="U178" i="2"/>
  <c r="R178" i="2"/>
  <c r="O178" i="2"/>
  <c r="N178" i="2"/>
  <c r="L178" i="2"/>
  <c r="I178" i="2"/>
  <c r="H178" i="2"/>
  <c r="F178" i="2"/>
  <c r="C178" i="2"/>
  <c r="AC177" i="2"/>
  <c r="AD177" i="2" s="1"/>
  <c r="AA177" i="2"/>
  <c r="W177" i="2"/>
  <c r="X177" i="2" s="1"/>
  <c r="U177" i="2"/>
  <c r="R177" i="2"/>
  <c r="O177" i="2"/>
  <c r="N177" i="2"/>
  <c r="L177" i="2"/>
  <c r="I177" i="2"/>
  <c r="H177" i="2"/>
  <c r="F177" i="2"/>
  <c r="C177" i="2"/>
  <c r="AC175" i="2"/>
  <c r="AD175" i="2" s="1"/>
  <c r="AA175" i="2"/>
  <c r="X175" i="2"/>
  <c r="W175" i="2"/>
  <c r="U175" i="2"/>
  <c r="R175" i="2"/>
  <c r="N175" i="2"/>
  <c r="O175" i="2" s="1"/>
  <c r="L175" i="2"/>
  <c r="H175" i="2"/>
  <c r="I175" i="2" s="1"/>
  <c r="F175" i="2"/>
  <c r="C175" i="2"/>
  <c r="Z172" i="2"/>
  <c r="B172" i="2"/>
  <c r="AC171" i="2"/>
  <c r="AD171" i="2" s="1"/>
  <c r="AA171" i="2"/>
  <c r="Z171" i="2"/>
  <c r="T171" i="2"/>
  <c r="U171" i="2" s="1"/>
  <c r="Q171" i="2"/>
  <c r="L171" i="2"/>
  <c r="K171" i="2"/>
  <c r="E171" i="2"/>
  <c r="F171" i="2" s="1"/>
  <c r="C171" i="2"/>
  <c r="B171" i="2"/>
  <c r="N171" i="2" s="1"/>
  <c r="O171" i="2" s="1"/>
  <c r="Z170" i="2"/>
  <c r="AA170" i="2" s="1"/>
  <c r="W170" i="2"/>
  <c r="X170" i="2" s="1"/>
  <c r="U170" i="2"/>
  <c r="T170" i="2"/>
  <c r="R170" i="2"/>
  <c r="Q170" i="2"/>
  <c r="AC170" i="2" s="1"/>
  <c r="AD170" i="2" s="1"/>
  <c r="N170" i="2"/>
  <c r="O170" i="2" s="1"/>
  <c r="K170" i="2"/>
  <c r="L170" i="2" s="1"/>
  <c r="F170" i="2"/>
  <c r="E170" i="2"/>
  <c r="B170" i="2"/>
  <c r="AC169" i="2"/>
  <c r="AD169" i="2" s="1"/>
  <c r="AA169" i="2"/>
  <c r="W169" i="2"/>
  <c r="X169" i="2" s="1"/>
  <c r="U169" i="2"/>
  <c r="R169" i="2"/>
  <c r="O169" i="2"/>
  <c r="N169" i="2"/>
  <c r="L169" i="2"/>
  <c r="I169" i="2"/>
  <c r="H169" i="2"/>
  <c r="F169" i="2"/>
  <c r="C169" i="2"/>
  <c r="AC168" i="2"/>
  <c r="AD168" i="2" s="1"/>
  <c r="AA168" i="2"/>
  <c r="X168" i="2"/>
  <c r="W168" i="2"/>
  <c r="U168" i="2"/>
  <c r="R168" i="2"/>
  <c r="N168" i="2"/>
  <c r="O168" i="2" s="1"/>
  <c r="L168" i="2"/>
  <c r="H168" i="2"/>
  <c r="I168" i="2" s="1"/>
  <c r="F168" i="2"/>
  <c r="C168" i="2"/>
  <c r="AD167" i="2"/>
  <c r="AC167" i="2"/>
  <c r="AA167" i="2"/>
  <c r="X167" i="2"/>
  <c r="W167" i="2"/>
  <c r="U167" i="2"/>
  <c r="R167" i="2"/>
  <c r="N167" i="2"/>
  <c r="O167" i="2" s="1"/>
  <c r="L167" i="2"/>
  <c r="H167" i="2"/>
  <c r="I167" i="2" s="1"/>
  <c r="F167" i="2"/>
  <c r="C167" i="2"/>
  <c r="AA166" i="2"/>
  <c r="Z166" i="2"/>
  <c r="T166" i="2"/>
  <c r="W166" i="2" s="1"/>
  <c r="X166" i="2" s="1"/>
  <c r="R166" i="2"/>
  <c r="Q166" i="2"/>
  <c r="AC166" i="2" s="1"/>
  <c r="AD166" i="2" s="1"/>
  <c r="L166" i="2"/>
  <c r="K166" i="2"/>
  <c r="H166" i="2"/>
  <c r="I166" i="2" s="1"/>
  <c r="F166" i="2"/>
  <c r="E166" i="2"/>
  <c r="C166" i="2"/>
  <c r="B166" i="2"/>
  <c r="N166" i="2" s="1"/>
  <c r="O166" i="2" s="1"/>
  <c r="AD165" i="2"/>
  <c r="AC165" i="2"/>
  <c r="AA165" i="2"/>
  <c r="X165" i="2"/>
  <c r="W165" i="2"/>
  <c r="U165" i="2"/>
  <c r="R165" i="2"/>
  <c r="N165" i="2"/>
  <c r="O165" i="2" s="1"/>
  <c r="L165" i="2"/>
  <c r="H165" i="2"/>
  <c r="I165" i="2" s="1"/>
  <c r="F165" i="2"/>
  <c r="C165" i="2"/>
  <c r="AD164" i="2"/>
  <c r="AC164" i="2"/>
  <c r="AA164" i="2"/>
  <c r="X164" i="2"/>
  <c r="W164" i="2"/>
  <c r="U164" i="2"/>
  <c r="R164" i="2"/>
  <c r="N164" i="2"/>
  <c r="O164" i="2" s="1"/>
  <c r="L164" i="2"/>
  <c r="H164" i="2"/>
  <c r="I164" i="2" s="1"/>
  <c r="F164" i="2"/>
  <c r="C164" i="2"/>
  <c r="AD163" i="2"/>
  <c r="AC163" i="2"/>
  <c r="AA163" i="2"/>
  <c r="W163" i="2"/>
  <c r="X163" i="2" s="1"/>
  <c r="U163" i="2"/>
  <c r="R163" i="2"/>
  <c r="O163" i="2"/>
  <c r="N163" i="2"/>
  <c r="L163" i="2"/>
  <c r="I163" i="2"/>
  <c r="H163" i="2"/>
  <c r="F163" i="2"/>
  <c r="C163" i="2"/>
  <c r="AD162" i="2"/>
  <c r="AC162" i="2"/>
  <c r="AA162" i="2"/>
  <c r="W162" i="2"/>
  <c r="X162" i="2" s="1"/>
  <c r="U162" i="2"/>
  <c r="R162" i="2"/>
  <c r="O162" i="2"/>
  <c r="N162" i="2"/>
  <c r="L162" i="2"/>
  <c r="I162" i="2"/>
  <c r="H162" i="2"/>
  <c r="F162" i="2"/>
  <c r="C162" i="2"/>
  <c r="AC161" i="2"/>
  <c r="AD161" i="2" s="1"/>
  <c r="AA161" i="2"/>
  <c r="X161" i="2"/>
  <c r="W161" i="2"/>
  <c r="U161" i="2"/>
  <c r="R161" i="2"/>
  <c r="N161" i="2"/>
  <c r="O161" i="2" s="1"/>
  <c r="L161" i="2"/>
  <c r="I161" i="2"/>
  <c r="H161" i="2"/>
  <c r="F161" i="2"/>
  <c r="C161" i="2"/>
  <c r="AD160" i="2"/>
  <c r="AC160" i="2"/>
  <c r="AA160" i="2"/>
  <c r="W160" i="2"/>
  <c r="X160" i="2" s="1"/>
  <c r="U160" i="2"/>
  <c r="R160" i="2"/>
  <c r="N160" i="2"/>
  <c r="O160" i="2" s="1"/>
  <c r="L160" i="2"/>
  <c r="H160" i="2"/>
  <c r="I160" i="2" s="1"/>
  <c r="F160" i="2"/>
  <c r="C160" i="2"/>
  <c r="AA158" i="2"/>
  <c r="Z158" i="2"/>
  <c r="T158" i="2"/>
  <c r="U158" i="2" s="1"/>
  <c r="R158" i="2"/>
  <c r="Q158" i="2"/>
  <c r="AC158" i="2" s="1"/>
  <c r="AD158" i="2" s="1"/>
  <c r="K158" i="2"/>
  <c r="L158" i="2" s="1"/>
  <c r="I158" i="2"/>
  <c r="H158" i="2"/>
  <c r="F158" i="2"/>
  <c r="E158" i="2"/>
  <c r="C158" i="2"/>
  <c r="B158" i="2"/>
  <c r="AC157" i="2"/>
  <c r="AD157" i="2" s="1"/>
  <c r="AA157" i="2"/>
  <c r="X157" i="2"/>
  <c r="W157" i="2"/>
  <c r="U157" i="2"/>
  <c r="R157" i="2"/>
  <c r="N157" i="2"/>
  <c r="O157" i="2" s="1"/>
  <c r="L157" i="2"/>
  <c r="I157" i="2"/>
  <c r="H157" i="2"/>
  <c r="F157" i="2"/>
  <c r="C157" i="2"/>
  <c r="AD156" i="2"/>
  <c r="AC156" i="2"/>
  <c r="AA156" i="2"/>
  <c r="W156" i="2"/>
  <c r="X156" i="2" s="1"/>
  <c r="U156" i="2"/>
  <c r="R156" i="2"/>
  <c r="N156" i="2"/>
  <c r="O156" i="2" s="1"/>
  <c r="L156" i="2"/>
  <c r="H156" i="2"/>
  <c r="I156" i="2" s="1"/>
  <c r="F156" i="2"/>
  <c r="C156" i="2"/>
  <c r="AD155" i="2"/>
  <c r="AC155" i="2"/>
  <c r="AA155" i="2"/>
  <c r="W155" i="2"/>
  <c r="X155" i="2" s="1"/>
  <c r="U155" i="2"/>
  <c r="R155" i="2"/>
  <c r="O155" i="2"/>
  <c r="N155" i="2"/>
  <c r="L155" i="2"/>
  <c r="I155" i="2"/>
  <c r="H155" i="2"/>
  <c r="F155" i="2"/>
  <c r="C155" i="2"/>
  <c r="AD154" i="2"/>
  <c r="AC154" i="2"/>
  <c r="AA154" i="2"/>
  <c r="W154" i="2"/>
  <c r="X154" i="2" s="1"/>
  <c r="U154" i="2"/>
  <c r="R154" i="2"/>
  <c r="O154" i="2"/>
  <c r="N154" i="2"/>
  <c r="L154" i="2"/>
  <c r="I154" i="2"/>
  <c r="H154" i="2"/>
  <c r="F154" i="2"/>
  <c r="C154" i="2"/>
  <c r="AC153" i="2"/>
  <c r="AD153" i="2" s="1"/>
  <c r="AA153" i="2"/>
  <c r="X153" i="2"/>
  <c r="W153" i="2"/>
  <c r="U153" i="2"/>
  <c r="R153" i="2"/>
  <c r="N153" i="2"/>
  <c r="O153" i="2" s="1"/>
  <c r="L153" i="2"/>
  <c r="I153" i="2"/>
  <c r="H153" i="2"/>
  <c r="F153" i="2"/>
  <c r="C153" i="2"/>
  <c r="AD151" i="2"/>
  <c r="AC151" i="2"/>
  <c r="AA151" i="2"/>
  <c r="W151" i="2"/>
  <c r="X151" i="2" s="1"/>
  <c r="U151" i="2"/>
  <c r="R151" i="2"/>
  <c r="N151" i="2"/>
  <c r="O151" i="2" s="1"/>
  <c r="L151" i="2"/>
  <c r="I151" i="2"/>
  <c r="H151" i="2"/>
  <c r="F151" i="2"/>
  <c r="C151" i="2"/>
  <c r="AA149" i="2"/>
  <c r="Z149" i="2"/>
  <c r="W149" i="2"/>
  <c r="X149" i="2" s="1"/>
  <c r="U149" i="2"/>
  <c r="T149" i="2"/>
  <c r="R149" i="2"/>
  <c r="Q149" i="2"/>
  <c r="AC149" i="2" s="1"/>
  <c r="AD149" i="2" s="1"/>
  <c r="K149" i="2"/>
  <c r="L149" i="2" s="1"/>
  <c r="H149" i="2"/>
  <c r="I149" i="2" s="1"/>
  <c r="F149" i="2"/>
  <c r="E149" i="2"/>
  <c r="C149" i="2"/>
  <c r="B149" i="2"/>
  <c r="Z148" i="2"/>
  <c r="AC148" i="2" s="1"/>
  <c r="AD148" i="2" s="1"/>
  <c r="U148" i="2"/>
  <c r="T148" i="2"/>
  <c r="Q148" i="2"/>
  <c r="W148" i="2" s="1"/>
  <c r="X148" i="2" s="1"/>
  <c r="N148" i="2"/>
  <c r="O148" i="2" s="1"/>
  <c r="L148" i="2"/>
  <c r="K148" i="2"/>
  <c r="F148" i="2"/>
  <c r="E148" i="2"/>
  <c r="B148" i="2"/>
  <c r="H148" i="2" s="1"/>
  <c r="I148" i="2" s="1"/>
  <c r="AD147" i="2"/>
  <c r="AC147" i="2"/>
  <c r="AA147" i="2"/>
  <c r="W147" i="2"/>
  <c r="X147" i="2" s="1"/>
  <c r="U147" i="2"/>
  <c r="R147" i="2"/>
  <c r="O147" i="2"/>
  <c r="N147" i="2"/>
  <c r="L147" i="2"/>
  <c r="I147" i="2"/>
  <c r="H147" i="2"/>
  <c r="F147" i="2"/>
  <c r="C147" i="2"/>
  <c r="AC146" i="2"/>
  <c r="AD146" i="2" s="1"/>
  <c r="AA146" i="2"/>
  <c r="W146" i="2"/>
  <c r="X146" i="2" s="1"/>
  <c r="U146" i="2"/>
  <c r="R146" i="2"/>
  <c r="O146" i="2"/>
  <c r="N146" i="2"/>
  <c r="L146" i="2"/>
  <c r="I146" i="2"/>
  <c r="H146" i="2"/>
  <c r="F146" i="2"/>
  <c r="C146" i="2"/>
  <c r="AC145" i="2"/>
  <c r="AD145" i="2" s="1"/>
  <c r="AA145" i="2"/>
  <c r="X145" i="2"/>
  <c r="W145" i="2"/>
  <c r="U145" i="2"/>
  <c r="R145" i="2"/>
  <c r="N145" i="2"/>
  <c r="O145" i="2" s="1"/>
  <c r="L145" i="2"/>
  <c r="I145" i="2"/>
  <c r="H145" i="2"/>
  <c r="F145" i="2"/>
  <c r="C145" i="2"/>
  <c r="AD144" i="2"/>
  <c r="AC144" i="2"/>
  <c r="AA144" i="2"/>
  <c r="W144" i="2"/>
  <c r="X144" i="2" s="1"/>
  <c r="U144" i="2"/>
  <c r="R144" i="2"/>
  <c r="N144" i="2"/>
  <c r="O144" i="2" s="1"/>
  <c r="L144" i="2"/>
  <c r="H144" i="2"/>
  <c r="I144" i="2" s="1"/>
  <c r="F144" i="2"/>
  <c r="C144" i="2"/>
  <c r="AD143" i="2"/>
  <c r="AC143" i="2"/>
  <c r="AA143" i="2"/>
  <c r="W143" i="2"/>
  <c r="X143" i="2" s="1"/>
  <c r="U143" i="2"/>
  <c r="R143" i="2"/>
  <c r="O143" i="2"/>
  <c r="N143" i="2"/>
  <c r="L143" i="2"/>
  <c r="I143" i="2"/>
  <c r="H143" i="2"/>
  <c r="F143" i="2"/>
  <c r="C143" i="2"/>
  <c r="AD141" i="2"/>
  <c r="AC141" i="2"/>
  <c r="AA141" i="2"/>
  <c r="Z141" i="2"/>
  <c r="T141" i="2"/>
  <c r="U141" i="2" s="1"/>
  <c r="R141" i="2"/>
  <c r="Q141" i="2"/>
  <c r="L141" i="2"/>
  <c r="K141" i="2"/>
  <c r="I141" i="2"/>
  <c r="H141" i="2"/>
  <c r="E141" i="2"/>
  <c r="F141" i="2" s="1"/>
  <c r="C141" i="2"/>
  <c r="B141" i="2"/>
  <c r="N141" i="2" s="1"/>
  <c r="O141" i="2" s="1"/>
  <c r="AD140" i="2"/>
  <c r="AC140" i="2"/>
  <c r="AA140" i="2"/>
  <c r="X140" i="2"/>
  <c r="W140" i="2"/>
  <c r="U140" i="2"/>
  <c r="R140" i="2"/>
  <c r="N140" i="2"/>
  <c r="O140" i="2" s="1"/>
  <c r="L140" i="2"/>
  <c r="H140" i="2"/>
  <c r="I140" i="2" s="1"/>
  <c r="F140" i="2"/>
  <c r="C140" i="2"/>
  <c r="AD139" i="2"/>
  <c r="AC139" i="2"/>
  <c r="AA139" i="2"/>
  <c r="W139" i="2"/>
  <c r="X139" i="2" s="1"/>
  <c r="U139" i="2"/>
  <c r="R139" i="2"/>
  <c r="O139" i="2"/>
  <c r="N139" i="2"/>
  <c r="L139" i="2"/>
  <c r="I139" i="2"/>
  <c r="H139" i="2"/>
  <c r="F139" i="2"/>
  <c r="C139" i="2"/>
  <c r="AD138" i="2"/>
  <c r="AC138" i="2"/>
  <c r="AA138" i="2"/>
  <c r="W138" i="2"/>
  <c r="X138" i="2" s="1"/>
  <c r="U138" i="2"/>
  <c r="R138" i="2"/>
  <c r="O138" i="2"/>
  <c r="N138" i="2"/>
  <c r="L138" i="2"/>
  <c r="I138" i="2"/>
  <c r="H138" i="2"/>
  <c r="F138" i="2"/>
  <c r="C138" i="2"/>
  <c r="AC137" i="2"/>
  <c r="AD137" i="2" s="1"/>
  <c r="AA137" i="2"/>
  <c r="X137" i="2"/>
  <c r="W137" i="2"/>
  <c r="U137" i="2"/>
  <c r="R137" i="2"/>
  <c r="N137" i="2"/>
  <c r="O137" i="2" s="1"/>
  <c r="L137" i="2"/>
  <c r="I137" i="2"/>
  <c r="H137" i="2"/>
  <c r="F137" i="2"/>
  <c r="C137" i="2"/>
  <c r="AD136" i="2"/>
  <c r="AC136" i="2"/>
  <c r="AA136" i="2"/>
  <c r="W136" i="2"/>
  <c r="X136" i="2" s="1"/>
  <c r="U136" i="2"/>
  <c r="R136" i="2"/>
  <c r="N136" i="2"/>
  <c r="O136" i="2" s="1"/>
  <c r="L136" i="2"/>
  <c r="H136" i="2"/>
  <c r="I136" i="2" s="1"/>
  <c r="F136" i="2"/>
  <c r="C136" i="2"/>
  <c r="AD135" i="2"/>
  <c r="AC135" i="2"/>
  <c r="AA135" i="2"/>
  <c r="W135" i="2"/>
  <c r="X135" i="2" s="1"/>
  <c r="U135" i="2"/>
  <c r="R135" i="2"/>
  <c r="O135" i="2"/>
  <c r="N135" i="2"/>
  <c r="L135" i="2"/>
  <c r="I135" i="2"/>
  <c r="H135" i="2"/>
  <c r="F135" i="2"/>
  <c r="C135" i="2"/>
  <c r="AD134" i="2"/>
  <c r="AC134" i="2"/>
  <c r="AA134" i="2"/>
  <c r="W134" i="2"/>
  <c r="X134" i="2" s="1"/>
  <c r="U134" i="2"/>
  <c r="R134" i="2"/>
  <c r="N134" i="2"/>
  <c r="O134" i="2" s="1"/>
  <c r="L134" i="2"/>
  <c r="I134" i="2"/>
  <c r="H134" i="2"/>
  <c r="F134" i="2"/>
  <c r="C134" i="2"/>
  <c r="AD133" i="2"/>
  <c r="AC133" i="2"/>
  <c r="AA133" i="2"/>
  <c r="X133" i="2"/>
  <c r="W133" i="2"/>
  <c r="U133" i="2"/>
  <c r="R133" i="2"/>
  <c r="N133" i="2"/>
  <c r="O133" i="2" s="1"/>
  <c r="L133" i="2"/>
  <c r="H133" i="2"/>
  <c r="I133" i="2" s="1"/>
  <c r="F133" i="2"/>
  <c r="C133" i="2"/>
  <c r="AD132" i="2"/>
  <c r="AC132" i="2"/>
  <c r="AA132" i="2"/>
  <c r="X132" i="2"/>
  <c r="W132" i="2"/>
  <c r="U132" i="2"/>
  <c r="R132" i="2"/>
  <c r="N132" i="2"/>
  <c r="O132" i="2" s="1"/>
  <c r="L132" i="2"/>
  <c r="H132" i="2"/>
  <c r="I132" i="2" s="1"/>
  <c r="F132" i="2"/>
  <c r="C132" i="2"/>
  <c r="AD131" i="2"/>
  <c r="AC131" i="2"/>
  <c r="AA131" i="2"/>
  <c r="W131" i="2"/>
  <c r="X131" i="2" s="1"/>
  <c r="U131" i="2"/>
  <c r="R131" i="2"/>
  <c r="O131" i="2"/>
  <c r="N131" i="2"/>
  <c r="L131" i="2"/>
  <c r="I131" i="2"/>
  <c r="H131" i="2"/>
  <c r="F131" i="2"/>
  <c r="C131" i="2"/>
  <c r="AD130" i="2"/>
  <c r="AC130" i="2"/>
  <c r="AA130" i="2"/>
  <c r="W130" i="2"/>
  <c r="X130" i="2" s="1"/>
  <c r="U130" i="2"/>
  <c r="R130" i="2"/>
  <c r="O130" i="2"/>
  <c r="N130" i="2"/>
  <c r="L130" i="2"/>
  <c r="I130" i="2"/>
  <c r="H130" i="2"/>
  <c r="F130" i="2"/>
  <c r="C130" i="2"/>
  <c r="AC129" i="2"/>
  <c r="AD129" i="2" s="1"/>
  <c r="AA129" i="2"/>
  <c r="X129" i="2"/>
  <c r="W129" i="2"/>
  <c r="U129" i="2"/>
  <c r="R129" i="2"/>
  <c r="N129" i="2"/>
  <c r="O129" i="2" s="1"/>
  <c r="L129" i="2"/>
  <c r="I129" i="2"/>
  <c r="H129" i="2"/>
  <c r="F129" i="2"/>
  <c r="C129" i="2"/>
  <c r="AD127" i="2"/>
  <c r="AC127" i="2"/>
  <c r="AA127" i="2"/>
  <c r="W127" i="2"/>
  <c r="X127" i="2" s="1"/>
  <c r="U127" i="2"/>
  <c r="R127" i="2"/>
  <c r="N127" i="2"/>
  <c r="O127" i="2" s="1"/>
  <c r="L127" i="2"/>
  <c r="H127" i="2"/>
  <c r="I127" i="2" s="1"/>
  <c r="F127" i="2"/>
  <c r="C127" i="2"/>
  <c r="AA124" i="2"/>
  <c r="Z124" i="2"/>
  <c r="T124" i="2"/>
  <c r="T172" i="2" s="1"/>
  <c r="R124" i="2"/>
  <c r="Q124" i="2"/>
  <c r="AC124" i="2" s="1"/>
  <c r="AD124" i="2" s="1"/>
  <c r="K124" i="2"/>
  <c r="K172" i="2" s="1"/>
  <c r="I124" i="2"/>
  <c r="H124" i="2"/>
  <c r="F124" i="2"/>
  <c r="E124" i="2"/>
  <c r="C124" i="2"/>
  <c r="B124" i="2"/>
  <c r="N124" i="2" s="1"/>
  <c r="O124" i="2" s="1"/>
  <c r="AC123" i="2"/>
  <c r="AD123" i="2" s="1"/>
  <c r="AA123" i="2"/>
  <c r="X123" i="2"/>
  <c r="W123" i="2"/>
  <c r="U123" i="2"/>
  <c r="R123" i="2"/>
  <c r="N123" i="2"/>
  <c r="O123" i="2" s="1"/>
  <c r="L123" i="2"/>
  <c r="I123" i="2"/>
  <c r="H123" i="2"/>
  <c r="F123" i="2"/>
  <c r="C123" i="2"/>
  <c r="AA122" i="2"/>
  <c r="Z122" i="2"/>
  <c r="X122" i="2"/>
  <c r="W122" i="2"/>
  <c r="U122" i="2"/>
  <c r="T122" i="2"/>
  <c r="R122" i="2"/>
  <c r="Q122" i="2"/>
  <c r="AC122" i="2" s="1"/>
  <c r="AD122" i="2" s="1"/>
  <c r="K122" i="2"/>
  <c r="N122" i="2" s="1"/>
  <c r="O122" i="2" s="1"/>
  <c r="E122" i="2"/>
  <c r="F122" i="2" s="1"/>
  <c r="C122" i="2"/>
  <c r="B122" i="2"/>
  <c r="H122" i="2" s="1"/>
  <c r="I122" i="2" s="1"/>
  <c r="AC121" i="2"/>
  <c r="AD121" i="2" s="1"/>
  <c r="AA121" i="2"/>
  <c r="W121" i="2"/>
  <c r="X121" i="2" s="1"/>
  <c r="U121" i="2"/>
  <c r="R121" i="2"/>
  <c r="O121" i="2"/>
  <c r="N121" i="2"/>
  <c r="L121" i="2"/>
  <c r="I121" i="2"/>
  <c r="H121" i="2"/>
  <c r="F121" i="2"/>
  <c r="C121" i="2"/>
  <c r="AD120" i="2"/>
  <c r="AC120" i="2"/>
  <c r="AA120" i="2"/>
  <c r="X120" i="2"/>
  <c r="W120" i="2"/>
  <c r="U120" i="2"/>
  <c r="R120" i="2"/>
  <c r="N120" i="2"/>
  <c r="O120" i="2" s="1"/>
  <c r="L120" i="2"/>
  <c r="I120" i="2"/>
  <c r="H120" i="2"/>
  <c r="F120" i="2"/>
  <c r="C120" i="2"/>
  <c r="AC119" i="2"/>
  <c r="AD119" i="2" s="1"/>
  <c r="AA119" i="2"/>
  <c r="W119" i="2"/>
  <c r="X119" i="2" s="1"/>
  <c r="U119" i="2"/>
  <c r="R119" i="2"/>
  <c r="N119" i="2"/>
  <c r="O119" i="2" s="1"/>
  <c r="L119" i="2"/>
  <c r="H119" i="2"/>
  <c r="I119" i="2" s="1"/>
  <c r="F119" i="2"/>
  <c r="C119" i="2"/>
  <c r="Z118" i="2"/>
  <c r="AA118" i="2" s="1"/>
  <c r="W118" i="2"/>
  <c r="X118" i="2" s="1"/>
  <c r="U118" i="2"/>
  <c r="T118" i="2"/>
  <c r="R118" i="2"/>
  <c r="Q118" i="2"/>
  <c r="AC118" i="2" s="1"/>
  <c r="AD118" i="2" s="1"/>
  <c r="L118" i="2"/>
  <c r="K118" i="2"/>
  <c r="H118" i="2"/>
  <c r="I118" i="2" s="1"/>
  <c r="F118" i="2"/>
  <c r="E118" i="2"/>
  <c r="B118" i="2"/>
  <c r="C118" i="2" s="1"/>
  <c r="AC117" i="2"/>
  <c r="AD117" i="2" s="1"/>
  <c r="AA117" i="2"/>
  <c r="X117" i="2"/>
  <c r="W117" i="2"/>
  <c r="U117" i="2"/>
  <c r="R117" i="2"/>
  <c r="N117" i="2"/>
  <c r="O117" i="2" s="1"/>
  <c r="L117" i="2"/>
  <c r="I117" i="2"/>
  <c r="H117" i="2"/>
  <c r="F117" i="2"/>
  <c r="C117" i="2"/>
  <c r="AC116" i="2"/>
  <c r="AD116" i="2" s="1"/>
  <c r="AA116" i="2"/>
  <c r="W116" i="2"/>
  <c r="X116" i="2" s="1"/>
  <c r="U116" i="2"/>
  <c r="R116" i="2"/>
  <c r="N116" i="2"/>
  <c r="O116" i="2" s="1"/>
  <c r="L116" i="2"/>
  <c r="I116" i="2"/>
  <c r="H116" i="2"/>
  <c r="F116" i="2"/>
  <c r="C116" i="2"/>
  <c r="AD115" i="2"/>
  <c r="AC115" i="2"/>
  <c r="AA115" i="2"/>
  <c r="W115" i="2"/>
  <c r="X115" i="2" s="1"/>
  <c r="U115" i="2"/>
  <c r="R115" i="2"/>
  <c r="O115" i="2"/>
  <c r="N115" i="2"/>
  <c r="L115" i="2"/>
  <c r="H115" i="2"/>
  <c r="I115" i="2" s="1"/>
  <c r="F115" i="2"/>
  <c r="C115" i="2"/>
  <c r="AD114" i="2"/>
  <c r="AC114" i="2"/>
  <c r="AA114" i="2"/>
  <c r="W114" i="2"/>
  <c r="X114" i="2" s="1"/>
  <c r="U114" i="2"/>
  <c r="R114" i="2"/>
  <c r="N114" i="2"/>
  <c r="O114" i="2" s="1"/>
  <c r="L114" i="2"/>
  <c r="I114" i="2"/>
  <c r="H114" i="2"/>
  <c r="F114" i="2"/>
  <c r="C114" i="2"/>
  <c r="AD113" i="2"/>
  <c r="AC113" i="2"/>
  <c r="AA113" i="2"/>
  <c r="X113" i="2"/>
  <c r="W113" i="2"/>
  <c r="U113" i="2"/>
  <c r="R113" i="2"/>
  <c r="N113" i="2"/>
  <c r="O113" i="2" s="1"/>
  <c r="L113" i="2"/>
  <c r="H113" i="2"/>
  <c r="I113" i="2" s="1"/>
  <c r="F113" i="2"/>
  <c r="C113" i="2"/>
  <c r="AC112" i="2"/>
  <c r="AD112" i="2" s="1"/>
  <c r="AA112" i="2"/>
  <c r="X112" i="2"/>
  <c r="W112" i="2"/>
  <c r="U112" i="2"/>
  <c r="R112" i="2"/>
  <c r="N112" i="2"/>
  <c r="O112" i="2" s="1"/>
  <c r="L112" i="2"/>
  <c r="H112" i="2"/>
  <c r="I112" i="2" s="1"/>
  <c r="F112" i="2"/>
  <c r="C112" i="2"/>
  <c r="AD111" i="2"/>
  <c r="AC111" i="2"/>
  <c r="AA111" i="2"/>
  <c r="W111" i="2"/>
  <c r="X111" i="2" s="1"/>
  <c r="U111" i="2"/>
  <c r="R111" i="2"/>
  <c r="O111" i="2"/>
  <c r="N111" i="2"/>
  <c r="L111" i="2"/>
  <c r="H111" i="2"/>
  <c r="I111" i="2" s="1"/>
  <c r="F111" i="2"/>
  <c r="C111" i="2"/>
  <c r="AC110" i="2"/>
  <c r="AD110" i="2" s="1"/>
  <c r="AA110" i="2"/>
  <c r="W110" i="2"/>
  <c r="X110" i="2" s="1"/>
  <c r="U110" i="2"/>
  <c r="R110" i="2"/>
  <c r="O110" i="2"/>
  <c r="N110" i="2"/>
  <c r="L110" i="2"/>
  <c r="I110" i="2"/>
  <c r="H110" i="2"/>
  <c r="F110" i="2"/>
  <c r="C110" i="2"/>
  <c r="AC109" i="2"/>
  <c r="AD109" i="2" s="1"/>
  <c r="AA109" i="2"/>
  <c r="X109" i="2"/>
  <c r="W109" i="2"/>
  <c r="U109" i="2"/>
  <c r="R109" i="2"/>
  <c r="N109" i="2"/>
  <c r="O109" i="2" s="1"/>
  <c r="L109" i="2"/>
  <c r="I109" i="2"/>
  <c r="H109" i="2"/>
  <c r="F109" i="2"/>
  <c r="C109" i="2"/>
  <c r="AC108" i="2"/>
  <c r="AD108" i="2" s="1"/>
  <c r="AA108" i="2"/>
  <c r="W108" i="2"/>
  <c r="X108" i="2" s="1"/>
  <c r="U108" i="2"/>
  <c r="R108" i="2"/>
  <c r="N108" i="2"/>
  <c r="O108" i="2" s="1"/>
  <c r="L108" i="2"/>
  <c r="I108" i="2"/>
  <c r="H108" i="2"/>
  <c r="F108" i="2"/>
  <c r="C108" i="2"/>
  <c r="AD107" i="2"/>
  <c r="AC107" i="2"/>
  <c r="AA107" i="2"/>
  <c r="W107" i="2"/>
  <c r="X107" i="2" s="1"/>
  <c r="U107" i="2"/>
  <c r="R107" i="2"/>
  <c r="O107" i="2"/>
  <c r="N107" i="2"/>
  <c r="L107" i="2"/>
  <c r="H107" i="2"/>
  <c r="I107" i="2" s="1"/>
  <c r="F107" i="2"/>
  <c r="C107" i="2"/>
  <c r="AD106" i="2"/>
  <c r="AC106" i="2"/>
  <c r="AA106" i="2"/>
  <c r="W106" i="2"/>
  <c r="X106" i="2" s="1"/>
  <c r="U106" i="2"/>
  <c r="R106" i="2"/>
  <c r="N106" i="2"/>
  <c r="O106" i="2" s="1"/>
  <c r="L106" i="2"/>
  <c r="I106" i="2"/>
  <c r="H106" i="2"/>
  <c r="F106" i="2"/>
  <c r="C106" i="2"/>
  <c r="AC105" i="2"/>
  <c r="AD105" i="2" s="1"/>
  <c r="AA105" i="2"/>
  <c r="X105" i="2"/>
  <c r="W105" i="2"/>
  <c r="U105" i="2"/>
  <c r="R105" i="2"/>
  <c r="N105" i="2"/>
  <c r="O105" i="2" s="1"/>
  <c r="L105" i="2"/>
  <c r="I105" i="2"/>
  <c r="H105" i="2"/>
  <c r="F105" i="2"/>
  <c r="C105" i="2"/>
  <c r="AC104" i="2"/>
  <c r="AD104" i="2" s="1"/>
  <c r="AA104" i="2"/>
  <c r="X104" i="2"/>
  <c r="W104" i="2"/>
  <c r="U104" i="2"/>
  <c r="R104" i="2"/>
  <c r="N104" i="2"/>
  <c r="O104" i="2" s="1"/>
  <c r="L104" i="2"/>
  <c r="H104" i="2"/>
  <c r="I104" i="2" s="1"/>
  <c r="F104" i="2"/>
  <c r="C104" i="2"/>
  <c r="AD103" i="2"/>
  <c r="AC103" i="2"/>
  <c r="AA103" i="2"/>
  <c r="W103" i="2"/>
  <c r="X103" i="2" s="1"/>
  <c r="U103" i="2"/>
  <c r="R103" i="2"/>
  <c r="O103" i="2"/>
  <c r="N103" i="2"/>
  <c r="L103" i="2"/>
  <c r="H103" i="2"/>
  <c r="I103" i="2" s="1"/>
  <c r="F103" i="2"/>
  <c r="C103" i="2"/>
  <c r="AC102" i="2"/>
  <c r="AD102" i="2" s="1"/>
  <c r="AA102" i="2"/>
  <c r="W102" i="2"/>
  <c r="X102" i="2" s="1"/>
  <c r="U102" i="2"/>
  <c r="R102" i="2"/>
  <c r="O102" i="2"/>
  <c r="N102" i="2"/>
  <c r="L102" i="2"/>
  <c r="I102" i="2"/>
  <c r="H102" i="2"/>
  <c r="F102" i="2"/>
  <c r="C102" i="2"/>
  <c r="AC101" i="2"/>
  <c r="AD101" i="2" s="1"/>
  <c r="AA101" i="2"/>
  <c r="X101" i="2"/>
  <c r="W101" i="2"/>
  <c r="U101" i="2"/>
  <c r="R101" i="2"/>
  <c r="N101" i="2"/>
  <c r="O101" i="2" s="1"/>
  <c r="L101" i="2"/>
  <c r="I101" i="2"/>
  <c r="H101" i="2"/>
  <c r="F101" i="2"/>
  <c r="C101" i="2"/>
  <c r="AC100" i="2"/>
  <c r="AD100" i="2" s="1"/>
  <c r="AA100" i="2"/>
  <c r="X100" i="2"/>
  <c r="W100" i="2"/>
  <c r="U100" i="2"/>
  <c r="R100" i="2"/>
  <c r="N100" i="2"/>
  <c r="O100" i="2" s="1"/>
  <c r="L100" i="2"/>
  <c r="I100" i="2"/>
  <c r="H100" i="2"/>
  <c r="F100" i="2"/>
  <c r="C100" i="2"/>
  <c r="AD99" i="2"/>
  <c r="AC99" i="2"/>
  <c r="AA99" i="2"/>
  <c r="W99" i="2"/>
  <c r="X99" i="2" s="1"/>
  <c r="U99" i="2"/>
  <c r="R99" i="2"/>
  <c r="O99" i="2"/>
  <c r="N99" i="2"/>
  <c r="L99" i="2"/>
  <c r="H99" i="2"/>
  <c r="I99" i="2" s="1"/>
  <c r="F99" i="2"/>
  <c r="C99" i="2"/>
  <c r="AD98" i="2"/>
  <c r="AC98" i="2"/>
  <c r="AA98" i="2"/>
  <c r="W98" i="2"/>
  <c r="X98" i="2" s="1"/>
  <c r="U98" i="2"/>
  <c r="R98" i="2"/>
  <c r="N98" i="2"/>
  <c r="O98" i="2" s="1"/>
  <c r="L98" i="2"/>
  <c r="I98" i="2"/>
  <c r="H98" i="2"/>
  <c r="F98" i="2"/>
  <c r="C98" i="2"/>
  <c r="AD97" i="2"/>
  <c r="AC97" i="2"/>
  <c r="AA97" i="2"/>
  <c r="X97" i="2"/>
  <c r="W97" i="2"/>
  <c r="U97" i="2"/>
  <c r="R97" i="2"/>
  <c r="N97" i="2"/>
  <c r="O97" i="2" s="1"/>
  <c r="L97" i="2"/>
  <c r="H97" i="2"/>
  <c r="I97" i="2" s="1"/>
  <c r="F97" i="2"/>
  <c r="C97" i="2"/>
  <c r="AC96" i="2"/>
  <c r="AD96" i="2" s="1"/>
  <c r="AA96" i="2"/>
  <c r="X96" i="2"/>
  <c r="W96" i="2"/>
  <c r="U96" i="2"/>
  <c r="R96" i="2"/>
  <c r="N96" i="2"/>
  <c r="O96" i="2" s="1"/>
  <c r="L96" i="2"/>
  <c r="H96" i="2"/>
  <c r="I96" i="2" s="1"/>
  <c r="F96" i="2"/>
  <c r="C96" i="2"/>
  <c r="AD95" i="2"/>
  <c r="AC95" i="2"/>
  <c r="AA95" i="2"/>
  <c r="W95" i="2"/>
  <c r="X95" i="2" s="1"/>
  <c r="U95" i="2"/>
  <c r="R95" i="2"/>
  <c r="O95" i="2"/>
  <c r="N95" i="2"/>
  <c r="L95" i="2"/>
  <c r="H95" i="2"/>
  <c r="I95" i="2" s="1"/>
  <c r="F95" i="2"/>
  <c r="C95" i="2"/>
  <c r="AC94" i="2"/>
  <c r="AD94" i="2" s="1"/>
  <c r="AA94" i="2"/>
  <c r="W94" i="2"/>
  <c r="X94" i="2" s="1"/>
  <c r="U94" i="2"/>
  <c r="R94" i="2"/>
  <c r="O94" i="2"/>
  <c r="N94" i="2"/>
  <c r="L94" i="2"/>
  <c r="I94" i="2"/>
  <c r="H94" i="2"/>
  <c r="F94" i="2"/>
  <c r="C94" i="2"/>
  <c r="AC92" i="2"/>
  <c r="AD92" i="2" s="1"/>
  <c r="AA92" i="2"/>
  <c r="X92" i="2"/>
  <c r="W92" i="2"/>
  <c r="U92" i="2"/>
  <c r="R92" i="2"/>
  <c r="N92" i="2"/>
  <c r="O92" i="2" s="1"/>
  <c r="L92" i="2"/>
  <c r="I92" i="2"/>
  <c r="H92" i="2"/>
  <c r="F92" i="2"/>
  <c r="C92" i="2"/>
  <c r="AC91" i="2"/>
  <c r="AD91" i="2" s="1"/>
  <c r="AA91" i="2"/>
  <c r="W91" i="2"/>
  <c r="X91" i="2" s="1"/>
  <c r="U91" i="2"/>
  <c r="R91" i="2"/>
  <c r="N91" i="2"/>
  <c r="O91" i="2" s="1"/>
  <c r="L91" i="2"/>
  <c r="I91" i="2"/>
  <c r="H91" i="2"/>
  <c r="F91" i="2"/>
  <c r="C91" i="2"/>
  <c r="AD90" i="2"/>
  <c r="AC90" i="2"/>
  <c r="AA90" i="2"/>
  <c r="W90" i="2"/>
  <c r="X90" i="2" s="1"/>
  <c r="U90" i="2"/>
  <c r="R90" i="2"/>
  <c r="O90" i="2"/>
  <c r="N90" i="2"/>
  <c r="L90" i="2"/>
  <c r="H90" i="2"/>
  <c r="I90" i="2" s="1"/>
  <c r="F90" i="2"/>
  <c r="C90" i="2"/>
  <c r="AD89" i="2"/>
  <c r="AC89" i="2"/>
  <c r="AA89" i="2"/>
  <c r="W89" i="2"/>
  <c r="X89" i="2" s="1"/>
  <c r="U89" i="2"/>
  <c r="R89" i="2"/>
  <c r="N89" i="2"/>
  <c r="O89" i="2" s="1"/>
  <c r="L89" i="2"/>
  <c r="I89" i="2"/>
  <c r="H89" i="2"/>
  <c r="F89" i="2"/>
  <c r="C89" i="2"/>
  <c r="Z88" i="2"/>
  <c r="AC88" i="2" s="1"/>
  <c r="AD88" i="2" s="1"/>
  <c r="T88" i="2"/>
  <c r="U88" i="2" s="1"/>
  <c r="Q88" i="2"/>
  <c r="W88" i="2" s="1"/>
  <c r="X88" i="2" s="1"/>
  <c r="L88" i="2"/>
  <c r="K88" i="2"/>
  <c r="F88" i="2"/>
  <c r="E88" i="2"/>
  <c r="B88" i="2"/>
  <c r="N88" i="2" s="1"/>
  <c r="O88" i="2" s="1"/>
  <c r="AD87" i="2"/>
  <c r="AC87" i="2"/>
  <c r="AA87" i="2"/>
  <c r="W87" i="2"/>
  <c r="X87" i="2" s="1"/>
  <c r="U87" i="2"/>
  <c r="R87" i="2"/>
  <c r="O87" i="2"/>
  <c r="N87" i="2"/>
  <c r="L87" i="2"/>
  <c r="H87" i="2"/>
  <c r="I87" i="2" s="1"/>
  <c r="F87" i="2"/>
  <c r="C87" i="2"/>
  <c r="AD86" i="2"/>
  <c r="AC86" i="2"/>
  <c r="AA86" i="2"/>
  <c r="W86" i="2"/>
  <c r="X86" i="2" s="1"/>
  <c r="U86" i="2"/>
  <c r="R86" i="2"/>
  <c r="N86" i="2"/>
  <c r="O86" i="2" s="1"/>
  <c r="L86" i="2"/>
  <c r="I86" i="2"/>
  <c r="H86" i="2"/>
  <c r="F86" i="2"/>
  <c r="C86" i="2"/>
  <c r="AC85" i="2"/>
  <c r="AD85" i="2" s="1"/>
  <c r="AA85" i="2"/>
  <c r="X85" i="2"/>
  <c r="W85" i="2"/>
  <c r="U85" i="2"/>
  <c r="R85" i="2"/>
  <c r="N85" i="2"/>
  <c r="O85" i="2" s="1"/>
  <c r="L85" i="2"/>
  <c r="H85" i="2"/>
  <c r="I85" i="2" s="1"/>
  <c r="F85" i="2"/>
  <c r="C85" i="2"/>
  <c r="AC84" i="2"/>
  <c r="AD84" i="2" s="1"/>
  <c r="AA84" i="2"/>
  <c r="X84" i="2"/>
  <c r="W84" i="2"/>
  <c r="U84" i="2"/>
  <c r="R84" i="2"/>
  <c r="N84" i="2"/>
  <c r="O84" i="2" s="1"/>
  <c r="L84" i="2"/>
  <c r="H84" i="2"/>
  <c r="I84" i="2" s="1"/>
  <c r="F84" i="2"/>
  <c r="C84" i="2"/>
  <c r="AD83" i="2"/>
  <c r="AC83" i="2"/>
  <c r="AA83" i="2"/>
  <c r="W83" i="2"/>
  <c r="X83" i="2" s="1"/>
  <c r="U83" i="2"/>
  <c r="R83" i="2"/>
  <c r="O83" i="2"/>
  <c r="N83" i="2"/>
  <c r="L83" i="2"/>
  <c r="I83" i="2"/>
  <c r="H83" i="2"/>
  <c r="F83" i="2"/>
  <c r="C83" i="2"/>
  <c r="AC82" i="2"/>
  <c r="AD82" i="2" s="1"/>
  <c r="AA82" i="2"/>
  <c r="W82" i="2"/>
  <c r="X82" i="2" s="1"/>
  <c r="U82" i="2"/>
  <c r="R82" i="2"/>
  <c r="O82" i="2"/>
  <c r="N82" i="2"/>
  <c r="L82" i="2"/>
  <c r="I82" i="2"/>
  <c r="H82" i="2"/>
  <c r="F82" i="2"/>
  <c r="C82" i="2"/>
  <c r="AD81" i="2"/>
  <c r="AC81" i="2"/>
  <c r="AA81" i="2"/>
  <c r="X81" i="2"/>
  <c r="W81" i="2"/>
  <c r="U81" i="2"/>
  <c r="R81" i="2"/>
  <c r="N81" i="2"/>
  <c r="O81" i="2" s="1"/>
  <c r="L81" i="2"/>
  <c r="I81" i="2"/>
  <c r="H81" i="2"/>
  <c r="F81" i="2"/>
  <c r="C81" i="2"/>
  <c r="AD80" i="2"/>
  <c r="AC80" i="2"/>
  <c r="AA80" i="2"/>
  <c r="X80" i="2"/>
  <c r="W80" i="2"/>
  <c r="U80" i="2"/>
  <c r="R80" i="2"/>
  <c r="N80" i="2"/>
  <c r="O80" i="2" s="1"/>
  <c r="L80" i="2"/>
  <c r="H80" i="2"/>
  <c r="I80" i="2" s="1"/>
  <c r="F80" i="2"/>
  <c r="C80" i="2"/>
  <c r="AD79" i="2"/>
  <c r="AC79" i="2"/>
  <c r="AA79" i="2"/>
  <c r="W79" i="2"/>
  <c r="X79" i="2" s="1"/>
  <c r="U79" i="2"/>
  <c r="R79" i="2"/>
  <c r="O79" i="2"/>
  <c r="N79" i="2"/>
  <c r="L79" i="2"/>
  <c r="I79" i="2"/>
  <c r="H79" i="2"/>
  <c r="F79" i="2"/>
  <c r="C79" i="2"/>
  <c r="AC78" i="2"/>
  <c r="AD78" i="2" s="1"/>
  <c r="AA78" i="2"/>
  <c r="W78" i="2"/>
  <c r="X78" i="2" s="1"/>
  <c r="U78" i="2"/>
  <c r="R78" i="2"/>
  <c r="N78" i="2"/>
  <c r="O78" i="2" s="1"/>
  <c r="L78" i="2"/>
  <c r="I78" i="2"/>
  <c r="H78" i="2"/>
  <c r="F78" i="2"/>
  <c r="C78" i="2"/>
  <c r="AD77" i="2"/>
  <c r="AC77" i="2"/>
  <c r="AA77" i="2"/>
  <c r="X77" i="2"/>
  <c r="W77" i="2"/>
  <c r="U77" i="2"/>
  <c r="R77" i="2"/>
  <c r="N77" i="2"/>
  <c r="O77" i="2" s="1"/>
  <c r="L77" i="2"/>
  <c r="H77" i="2"/>
  <c r="I77" i="2" s="1"/>
  <c r="F77" i="2"/>
  <c r="C77" i="2"/>
  <c r="AD76" i="2"/>
  <c r="AC76" i="2"/>
  <c r="AA76" i="2"/>
  <c r="X76" i="2"/>
  <c r="W76" i="2"/>
  <c r="U76" i="2"/>
  <c r="R76" i="2"/>
  <c r="N76" i="2"/>
  <c r="O76" i="2" s="1"/>
  <c r="L76" i="2"/>
  <c r="H76" i="2"/>
  <c r="I76" i="2" s="1"/>
  <c r="F76" i="2"/>
  <c r="C76" i="2"/>
  <c r="AD75" i="2"/>
  <c r="AC75" i="2"/>
  <c r="AA75" i="2"/>
  <c r="W75" i="2"/>
  <c r="X75" i="2" s="1"/>
  <c r="U75" i="2"/>
  <c r="R75" i="2"/>
  <c r="O75" i="2"/>
  <c r="N75" i="2"/>
  <c r="L75" i="2"/>
  <c r="I75" i="2"/>
  <c r="H75" i="2"/>
  <c r="F75" i="2"/>
  <c r="C75" i="2"/>
  <c r="AC73" i="2"/>
  <c r="AD73" i="2" s="1"/>
  <c r="AA73" i="2"/>
  <c r="Z73" i="2"/>
  <c r="T73" i="2"/>
  <c r="U73" i="2" s="1"/>
  <c r="R73" i="2"/>
  <c r="Q73" i="2"/>
  <c r="L73" i="2"/>
  <c r="K73" i="2"/>
  <c r="E73" i="2"/>
  <c r="H73" i="2" s="1"/>
  <c r="I73" i="2" s="1"/>
  <c r="C73" i="2"/>
  <c r="B73" i="2"/>
  <c r="N73" i="2" s="1"/>
  <c r="O73" i="2" s="1"/>
  <c r="AD72" i="2"/>
  <c r="AC72" i="2"/>
  <c r="AA72" i="2"/>
  <c r="W72" i="2"/>
  <c r="X72" i="2" s="1"/>
  <c r="U72" i="2"/>
  <c r="R72" i="2"/>
  <c r="N72" i="2"/>
  <c r="O72" i="2" s="1"/>
  <c r="L72" i="2"/>
  <c r="I72" i="2"/>
  <c r="H72" i="2"/>
  <c r="F72" i="2"/>
  <c r="C72" i="2"/>
  <c r="AD71" i="2"/>
  <c r="AC71" i="2"/>
  <c r="AA71" i="2"/>
  <c r="W71" i="2"/>
  <c r="X71" i="2" s="1"/>
  <c r="U71" i="2"/>
  <c r="R71" i="2"/>
  <c r="O71" i="2"/>
  <c r="N71" i="2"/>
  <c r="L71" i="2"/>
  <c r="I71" i="2"/>
  <c r="H71" i="2"/>
  <c r="F71" i="2"/>
  <c r="C71" i="2"/>
  <c r="AC70" i="2"/>
  <c r="AD70" i="2" s="1"/>
  <c r="AA70" i="2"/>
  <c r="W70" i="2"/>
  <c r="X70" i="2" s="1"/>
  <c r="U70" i="2"/>
  <c r="R70" i="2"/>
  <c r="N70" i="2"/>
  <c r="O70" i="2" s="1"/>
  <c r="L70" i="2"/>
  <c r="I70" i="2"/>
  <c r="H70" i="2"/>
  <c r="F70" i="2"/>
  <c r="C70" i="2"/>
  <c r="AC69" i="2"/>
  <c r="AD69" i="2" s="1"/>
  <c r="AA69" i="2"/>
  <c r="X69" i="2"/>
  <c r="W69" i="2"/>
  <c r="U69" i="2"/>
  <c r="R69" i="2"/>
  <c r="N69" i="2"/>
  <c r="O69" i="2" s="1"/>
  <c r="L69" i="2"/>
  <c r="H69" i="2"/>
  <c r="I69" i="2" s="1"/>
  <c r="F69" i="2"/>
  <c r="C69" i="2"/>
  <c r="AD68" i="2"/>
  <c r="AC68" i="2"/>
  <c r="AA68" i="2"/>
  <c r="W68" i="2"/>
  <c r="X68" i="2" s="1"/>
  <c r="U68" i="2"/>
  <c r="R68" i="2"/>
  <c r="N68" i="2"/>
  <c r="O68" i="2" s="1"/>
  <c r="L68" i="2"/>
  <c r="I68" i="2"/>
  <c r="H68" i="2"/>
  <c r="F68" i="2"/>
  <c r="C68" i="2"/>
  <c r="AD67" i="2"/>
  <c r="AC67" i="2"/>
  <c r="AA67" i="2"/>
  <c r="W67" i="2"/>
  <c r="X67" i="2" s="1"/>
  <c r="U67" i="2"/>
  <c r="R67" i="2"/>
  <c r="O67" i="2"/>
  <c r="N67" i="2"/>
  <c r="L67" i="2"/>
  <c r="I67" i="2"/>
  <c r="H67" i="2"/>
  <c r="F67" i="2"/>
  <c r="C67" i="2"/>
  <c r="AD66" i="2"/>
  <c r="AC66" i="2"/>
  <c r="AA66" i="2"/>
  <c r="W66" i="2"/>
  <c r="X66" i="2" s="1"/>
  <c r="U66" i="2"/>
  <c r="R66" i="2"/>
  <c r="N66" i="2"/>
  <c r="O66" i="2" s="1"/>
  <c r="L66" i="2"/>
  <c r="I66" i="2"/>
  <c r="H66" i="2"/>
  <c r="F66" i="2"/>
  <c r="C66" i="2"/>
  <c r="AC65" i="2"/>
  <c r="AD65" i="2" s="1"/>
  <c r="AA65" i="2"/>
  <c r="X65" i="2"/>
  <c r="W65" i="2"/>
  <c r="U65" i="2"/>
  <c r="R65" i="2"/>
  <c r="N65" i="2"/>
  <c r="O65" i="2" s="1"/>
  <c r="L65" i="2"/>
  <c r="H65" i="2"/>
  <c r="I65" i="2" s="1"/>
  <c r="F65" i="2"/>
  <c r="C65" i="2"/>
  <c r="AD64" i="2"/>
  <c r="AC64" i="2"/>
  <c r="AA64" i="2"/>
  <c r="X64" i="2"/>
  <c r="W64" i="2"/>
  <c r="U64" i="2"/>
  <c r="R64" i="2"/>
  <c r="N64" i="2"/>
  <c r="O64" i="2" s="1"/>
  <c r="L64" i="2"/>
  <c r="I64" i="2"/>
  <c r="H64" i="2"/>
  <c r="F64" i="2"/>
  <c r="C64" i="2"/>
  <c r="AA62" i="2"/>
  <c r="Z62" i="2"/>
  <c r="W62" i="2"/>
  <c r="X62" i="2" s="1"/>
  <c r="U62" i="2"/>
  <c r="T62" i="2"/>
  <c r="R62" i="2"/>
  <c r="Q62" i="2"/>
  <c r="AC62" i="2" s="1"/>
  <c r="AD62" i="2" s="1"/>
  <c r="L62" i="2"/>
  <c r="K62" i="2"/>
  <c r="H62" i="2"/>
  <c r="I62" i="2" s="1"/>
  <c r="F62" i="2"/>
  <c r="E62" i="2"/>
  <c r="C62" i="2"/>
  <c r="B62" i="2"/>
  <c r="N62" i="2" s="1"/>
  <c r="O62" i="2" s="1"/>
  <c r="Z61" i="2"/>
  <c r="AA61" i="2" s="1"/>
  <c r="U61" i="2"/>
  <c r="T61" i="2"/>
  <c r="Q61" i="2"/>
  <c r="W61" i="2" s="1"/>
  <c r="X61" i="2" s="1"/>
  <c r="L61" i="2"/>
  <c r="K61" i="2"/>
  <c r="F61" i="2"/>
  <c r="E61" i="2"/>
  <c r="B61" i="2"/>
  <c r="H61" i="2" s="1"/>
  <c r="I61" i="2" s="1"/>
  <c r="AD60" i="2"/>
  <c r="AC60" i="2"/>
  <c r="AA60" i="2"/>
  <c r="W60" i="2"/>
  <c r="X60" i="2" s="1"/>
  <c r="U60" i="2"/>
  <c r="R60" i="2"/>
  <c r="O60" i="2"/>
  <c r="N60" i="2"/>
  <c r="L60" i="2"/>
  <c r="I60" i="2"/>
  <c r="H60" i="2"/>
  <c r="F60" i="2"/>
  <c r="C60" i="2"/>
  <c r="AC59" i="2"/>
  <c r="AD59" i="2" s="1"/>
  <c r="AA59" i="2"/>
  <c r="W59" i="2"/>
  <c r="X59" i="2" s="1"/>
  <c r="U59" i="2"/>
  <c r="R59" i="2"/>
  <c r="N59" i="2"/>
  <c r="O59" i="2" s="1"/>
  <c r="L59" i="2"/>
  <c r="I59" i="2"/>
  <c r="H59" i="2"/>
  <c r="F59" i="2"/>
  <c r="C59" i="2"/>
  <c r="AC58" i="2"/>
  <c r="AD58" i="2" s="1"/>
  <c r="AA58" i="2"/>
  <c r="X58" i="2"/>
  <c r="W58" i="2"/>
  <c r="U58" i="2"/>
  <c r="R58" i="2"/>
  <c r="N58" i="2"/>
  <c r="O58" i="2" s="1"/>
  <c r="L58" i="2"/>
  <c r="H58" i="2"/>
  <c r="I58" i="2" s="1"/>
  <c r="F58" i="2"/>
  <c r="C58" i="2"/>
  <c r="AD57" i="2"/>
  <c r="AC57" i="2"/>
  <c r="AA57" i="2"/>
  <c r="W57" i="2"/>
  <c r="X57" i="2" s="1"/>
  <c r="U57" i="2"/>
  <c r="R57" i="2"/>
  <c r="N57" i="2"/>
  <c r="O57" i="2" s="1"/>
  <c r="L57" i="2"/>
  <c r="I57" i="2"/>
  <c r="H57" i="2"/>
  <c r="F57" i="2"/>
  <c r="C57" i="2"/>
  <c r="AD56" i="2"/>
  <c r="AC56" i="2"/>
  <c r="AA56" i="2"/>
  <c r="W56" i="2"/>
  <c r="X56" i="2" s="1"/>
  <c r="U56" i="2"/>
  <c r="R56" i="2"/>
  <c r="O56" i="2"/>
  <c r="N56" i="2"/>
  <c r="L56" i="2"/>
  <c r="I56" i="2"/>
  <c r="H56" i="2"/>
  <c r="F56" i="2"/>
  <c r="C56" i="2"/>
  <c r="AD55" i="2"/>
  <c r="AC55" i="2"/>
  <c r="AA55" i="2"/>
  <c r="W55" i="2"/>
  <c r="X55" i="2" s="1"/>
  <c r="U55" i="2"/>
  <c r="R55" i="2"/>
  <c r="O55" i="2"/>
  <c r="N55" i="2"/>
  <c r="L55" i="2"/>
  <c r="I55" i="2"/>
  <c r="H55" i="2"/>
  <c r="F55" i="2"/>
  <c r="C55" i="2"/>
  <c r="AC54" i="2"/>
  <c r="AD54" i="2" s="1"/>
  <c r="AA54" i="2"/>
  <c r="X54" i="2"/>
  <c r="W54" i="2"/>
  <c r="U54" i="2"/>
  <c r="R54" i="2"/>
  <c r="N54" i="2"/>
  <c r="O54" i="2" s="1"/>
  <c r="L54" i="2"/>
  <c r="I54" i="2"/>
  <c r="H54" i="2"/>
  <c r="F54" i="2"/>
  <c r="C54" i="2"/>
  <c r="AD53" i="2"/>
  <c r="AC53" i="2"/>
  <c r="AA53" i="2"/>
  <c r="W53" i="2"/>
  <c r="X53" i="2" s="1"/>
  <c r="U53" i="2"/>
  <c r="R53" i="2"/>
  <c r="N53" i="2"/>
  <c r="O53" i="2" s="1"/>
  <c r="L53" i="2"/>
  <c r="I53" i="2"/>
  <c r="H53" i="2"/>
  <c r="F53" i="2"/>
  <c r="C53" i="2"/>
  <c r="AD52" i="2"/>
  <c r="AC52" i="2"/>
  <c r="AA52" i="2"/>
  <c r="W52" i="2"/>
  <c r="X52" i="2" s="1"/>
  <c r="U52" i="2"/>
  <c r="R52" i="2"/>
  <c r="O52" i="2"/>
  <c r="N52" i="2"/>
  <c r="L52" i="2"/>
  <c r="I52" i="2"/>
  <c r="H52" i="2"/>
  <c r="F52" i="2"/>
  <c r="C52" i="2"/>
  <c r="AC51" i="2"/>
  <c r="AD51" i="2" s="1"/>
  <c r="AA51" i="2"/>
  <c r="W51" i="2"/>
  <c r="X51" i="2" s="1"/>
  <c r="U51" i="2"/>
  <c r="R51" i="2"/>
  <c r="N51" i="2"/>
  <c r="O51" i="2" s="1"/>
  <c r="L51" i="2"/>
  <c r="I51" i="2"/>
  <c r="H51" i="2"/>
  <c r="F51" i="2"/>
  <c r="C51" i="2"/>
  <c r="AC50" i="2"/>
  <c r="AD50" i="2" s="1"/>
  <c r="AA50" i="2"/>
  <c r="X50" i="2"/>
  <c r="W50" i="2"/>
  <c r="U50" i="2"/>
  <c r="R50" i="2"/>
  <c r="N50" i="2"/>
  <c r="O50" i="2" s="1"/>
  <c r="L50" i="2"/>
  <c r="H50" i="2"/>
  <c r="I50" i="2" s="1"/>
  <c r="F50" i="2"/>
  <c r="C50" i="2"/>
  <c r="AD49" i="2"/>
  <c r="AC49" i="2"/>
  <c r="AA49" i="2"/>
  <c r="W49" i="2"/>
  <c r="X49" i="2" s="1"/>
  <c r="U49" i="2"/>
  <c r="R49" i="2"/>
  <c r="N49" i="2"/>
  <c r="O49" i="2" s="1"/>
  <c r="L49" i="2"/>
  <c r="I49" i="2"/>
  <c r="H49" i="2"/>
  <c r="F49" i="2"/>
  <c r="C49" i="2"/>
  <c r="AD48" i="2"/>
  <c r="AC48" i="2"/>
  <c r="AA48" i="2"/>
  <c r="W48" i="2"/>
  <c r="X48" i="2" s="1"/>
  <c r="U48" i="2"/>
  <c r="R48" i="2"/>
  <c r="O48" i="2"/>
  <c r="N48" i="2"/>
  <c r="L48" i="2"/>
  <c r="I48" i="2"/>
  <c r="H48" i="2"/>
  <c r="F48" i="2"/>
  <c r="C48" i="2"/>
  <c r="AD47" i="2"/>
  <c r="AC47" i="2"/>
  <c r="AA47" i="2"/>
  <c r="W47" i="2"/>
  <c r="X47" i="2" s="1"/>
  <c r="U47" i="2"/>
  <c r="R47" i="2"/>
  <c r="N47" i="2"/>
  <c r="O47" i="2" s="1"/>
  <c r="L47" i="2"/>
  <c r="I47" i="2"/>
  <c r="H47" i="2"/>
  <c r="F47" i="2"/>
  <c r="C47" i="2"/>
  <c r="AC46" i="2"/>
  <c r="AD46" i="2" s="1"/>
  <c r="AA46" i="2"/>
  <c r="X46" i="2"/>
  <c r="W46" i="2"/>
  <c r="U46" i="2"/>
  <c r="R46" i="2"/>
  <c r="N46" i="2"/>
  <c r="O46" i="2" s="1"/>
  <c r="L46" i="2"/>
  <c r="H46" i="2"/>
  <c r="I46" i="2" s="1"/>
  <c r="F46" i="2"/>
  <c r="C46" i="2"/>
  <c r="AD44" i="2"/>
  <c r="AC44" i="2"/>
  <c r="AA44" i="2"/>
  <c r="W44" i="2"/>
  <c r="X44" i="2" s="1"/>
  <c r="U44" i="2"/>
  <c r="R44" i="2"/>
  <c r="N44" i="2"/>
  <c r="O44" i="2" s="1"/>
  <c r="L44" i="2"/>
  <c r="I44" i="2"/>
  <c r="H44" i="2"/>
  <c r="F44" i="2"/>
  <c r="C44" i="2"/>
  <c r="AD43" i="2"/>
  <c r="AC43" i="2"/>
  <c r="AA43" i="2"/>
  <c r="W43" i="2"/>
  <c r="X43" i="2" s="1"/>
  <c r="U43" i="2"/>
  <c r="R43" i="2"/>
  <c r="O43" i="2"/>
  <c r="N43" i="2"/>
  <c r="L43" i="2"/>
  <c r="I43" i="2"/>
  <c r="H43" i="2"/>
  <c r="F43" i="2"/>
  <c r="C43" i="2"/>
  <c r="AC42" i="2"/>
  <c r="AD42" i="2" s="1"/>
  <c r="AA42" i="2"/>
  <c r="W42" i="2"/>
  <c r="X42" i="2" s="1"/>
  <c r="U42" i="2"/>
  <c r="R42" i="2"/>
  <c r="N42" i="2"/>
  <c r="O42" i="2" s="1"/>
  <c r="L42" i="2"/>
  <c r="I42" i="2"/>
  <c r="H42" i="2"/>
  <c r="F42" i="2"/>
  <c r="C42" i="2"/>
  <c r="AA40" i="2"/>
  <c r="Z40" i="2"/>
  <c r="U40" i="2"/>
  <c r="T40" i="2"/>
  <c r="R40" i="2"/>
  <c r="Q40" i="2"/>
  <c r="W40" i="2" s="1"/>
  <c r="X40" i="2" s="1"/>
  <c r="L40" i="2"/>
  <c r="K40" i="2"/>
  <c r="E40" i="2"/>
  <c r="F40" i="2" s="1"/>
  <c r="C40" i="2"/>
  <c r="B40" i="2"/>
  <c r="AD39" i="2"/>
  <c r="AC39" i="2"/>
  <c r="AA39" i="2"/>
  <c r="W39" i="2"/>
  <c r="X39" i="2" s="1"/>
  <c r="U39" i="2"/>
  <c r="R39" i="2"/>
  <c r="O39" i="2"/>
  <c r="N39" i="2"/>
  <c r="L39" i="2"/>
  <c r="I39" i="2"/>
  <c r="H39" i="2"/>
  <c r="F39" i="2"/>
  <c r="C39" i="2"/>
  <c r="AC38" i="2"/>
  <c r="AD38" i="2" s="1"/>
  <c r="AA38" i="2"/>
  <c r="W38" i="2"/>
  <c r="X38" i="2" s="1"/>
  <c r="U38" i="2"/>
  <c r="R38" i="2"/>
  <c r="N38" i="2"/>
  <c r="O38" i="2" s="1"/>
  <c r="L38" i="2"/>
  <c r="I38" i="2"/>
  <c r="H38" i="2"/>
  <c r="F38" i="2"/>
  <c r="C38" i="2"/>
  <c r="AD37" i="2"/>
  <c r="AC37" i="2"/>
  <c r="AA37" i="2"/>
  <c r="X37" i="2"/>
  <c r="W37" i="2"/>
  <c r="U37" i="2"/>
  <c r="R37" i="2"/>
  <c r="N37" i="2"/>
  <c r="O37" i="2" s="1"/>
  <c r="L37" i="2"/>
  <c r="H37" i="2"/>
  <c r="I37" i="2" s="1"/>
  <c r="F37" i="2"/>
  <c r="C37" i="2"/>
  <c r="AD36" i="2"/>
  <c r="AC36" i="2"/>
  <c r="AA36" i="2"/>
  <c r="X36" i="2"/>
  <c r="W36" i="2"/>
  <c r="U36" i="2"/>
  <c r="R36" i="2"/>
  <c r="N36" i="2"/>
  <c r="O36" i="2" s="1"/>
  <c r="L36" i="2"/>
  <c r="H36" i="2"/>
  <c r="I36" i="2" s="1"/>
  <c r="F36" i="2"/>
  <c r="C36" i="2"/>
  <c r="AD35" i="2"/>
  <c r="AC35" i="2"/>
  <c r="AA35" i="2"/>
  <c r="W35" i="2"/>
  <c r="X35" i="2" s="1"/>
  <c r="U35" i="2"/>
  <c r="R35" i="2"/>
  <c r="O35" i="2"/>
  <c r="N35" i="2"/>
  <c r="L35" i="2"/>
  <c r="I35" i="2"/>
  <c r="H35" i="2"/>
  <c r="F35" i="2"/>
  <c r="C35" i="2"/>
  <c r="AC34" i="2"/>
  <c r="AD34" i="2" s="1"/>
  <c r="AA34" i="2"/>
  <c r="W34" i="2"/>
  <c r="X34" i="2" s="1"/>
  <c r="U34" i="2"/>
  <c r="R34" i="2"/>
  <c r="O34" i="2"/>
  <c r="N34" i="2"/>
  <c r="L34" i="2"/>
  <c r="I34" i="2"/>
  <c r="H34" i="2"/>
  <c r="F34" i="2"/>
  <c r="C34" i="2"/>
  <c r="AD33" i="2"/>
  <c r="AC33" i="2"/>
  <c r="AA33" i="2"/>
  <c r="X33" i="2"/>
  <c r="W33" i="2"/>
  <c r="U33" i="2"/>
  <c r="R33" i="2"/>
  <c r="N33" i="2"/>
  <c r="O33" i="2" s="1"/>
  <c r="L33" i="2"/>
  <c r="I33" i="2"/>
  <c r="H33" i="2"/>
  <c r="F33" i="2"/>
  <c r="C33" i="2"/>
  <c r="AD32" i="2"/>
  <c r="AC32" i="2"/>
  <c r="AA32" i="2"/>
  <c r="X32" i="2"/>
  <c r="W32" i="2"/>
  <c r="U32" i="2"/>
  <c r="R32" i="2"/>
  <c r="N32" i="2"/>
  <c r="O32" i="2" s="1"/>
  <c r="L32" i="2"/>
  <c r="H32" i="2"/>
  <c r="I32" i="2" s="1"/>
  <c r="F32" i="2"/>
  <c r="C32" i="2"/>
  <c r="AD31" i="2"/>
  <c r="AC31" i="2"/>
  <c r="AA31" i="2"/>
  <c r="W31" i="2"/>
  <c r="X31" i="2" s="1"/>
  <c r="U31" i="2"/>
  <c r="R31" i="2"/>
  <c r="O31" i="2"/>
  <c r="N31" i="2"/>
  <c r="L31" i="2"/>
  <c r="I31" i="2"/>
  <c r="H31" i="2"/>
  <c r="F31" i="2"/>
  <c r="C31" i="2"/>
  <c r="AC29" i="2"/>
  <c r="AD29" i="2" s="1"/>
  <c r="AA29" i="2"/>
  <c r="Z29" i="2"/>
  <c r="T29" i="2"/>
  <c r="U29" i="2" s="1"/>
  <c r="Q29" i="2"/>
  <c r="W29" i="2" s="1"/>
  <c r="X29" i="2" s="1"/>
  <c r="L29" i="2"/>
  <c r="K29" i="2"/>
  <c r="E29" i="2"/>
  <c r="F29" i="2" s="1"/>
  <c r="C29" i="2"/>
  <c r="B29" i="2"/>
  <c r="N29" i="2" s="1"/>
  <c r="O29" i="2" s="1"/>
  <c r="AD28" i="2"/>
  <c r="AC28" i="2"/>
  <c r="AA28" i="2"/>
  <c r="W28" i="2"/>
  <c r="X28" i="2" s="1"/>
  <c r="U28" i="2"/>
  <c r="R28" i="2"/>
  <c r="N28" i="2"/>
  <c r="O28" i="2" s="1"/>
  <c r="L28" i="2"/>
  <c r="I28" i="2"/>
  <c r="H28" i="2"/>
  <c r="F28" i="2"/>
  <c r="C28" i="2"/>
  <c r="AD27" i="2"/>
  <c r="AC27" i="2"/>
  <c r="AA27" i="2"/>
  <c r="W27" i="2"/>
  <c r="X27" i="2" s="1"/>
  <c r="U27" i="2"/>
  <c r="R27" i="2"/>
  <c r="O27" i="2"/>
  <c r="N27" i="2"/>
  <c r="L27" i="2"/>
  <c r="I27" i="2"/>
  <c r="H27" i="2"/>
  <c r="F27" i="2"/>
  <c r="C27" i="2"/>
  <c r="AD26" i="2"/>
  <c r="AC26" i="2"/>
  <c r="AA26" i="2"/>
  <c r="W26" i="2"/>
  <c r="X26" i="2" s="1"/>
  <c r="U26" i="2"/>
  <c r="R26" i="2"/>
  <c r="N26" i="2"/>
  <c r="O26" i="2" s="1"/>
  <c r="L26" i="2"/>
  <c r="I26" i="2"/>
  <c r="H26" i="2"/>
  <c r="F26" i="2"/>
  <c r="C26" i="2"/>
  <c r="AC25" i="2"/>
  <c r="AD25" i="2" s="1"/>
  <c r="AA25" i="2"/>
  <c r="X25" i="2"/>
  <c r="W25" i="2"/>
  <c r="U25" i="2"/>
  <c r="R25" i="2"/>
  <c r="N25" i="2"/>
  <c r="O25" i="2" s="1"/>
  <c r="L25" i="2"/>
  <c r="I25" i="2"/>
  <c r="H25" i="2"/>
  <c r="F25" i="2"/>
  <c r="C25" i="2"/>
  <c r="AD24" i="2"/>
  <c r="AC24" i="2"/>
  <c r="AA24" i="2"/>
  <c r="W24" i="2"/>
  <c r="X24" i="2" s="1"/>
  <c r="U24" i="2"/>
  <c r="R24" i="2"/>
  <c r="N24" i="2"/>
  <c r="O24" i="2" s="1"/>
  <c r="L24" i="2"/>
  <c r="I24" i="2"/>
  <c r="H24" i="2"/>
  <c r="F24" i="2"/>
  <c r="C24" i="2"/>
  <c r="AD23" i="2"/>
  <c r="AC23" i="2"/>
  <c r="AA23" i="2"/>
  <c r="W23" i="2"/>
  <c r="X23" i="2" s="1"/>
  <c r="U23" i="2"/>
  <c r="R23" i="2"/>
  <c r="O23" i="2"/>
  <c r="N23" i="2"/>
  <c r="L23" i="2"/>
  <c r="I23" i="2"/>
  <c r="H23" i="2"/>
  <c r="F23" i="2"/>
  <c r="C23" i="2"/>
  <c r="AC22" i="2"/>
  <c r="AD22" i="2" s="1"/>
  <c r="AA22" i="2"/>
  <c r="W22" i="2"/>
  <c r="X22" i="2" s="1"/>
  <c r="U22" i="2"/>
  <c r="R22" i="2"/>
  <c r="N22" i="2"/>
  <c r="O22" i="2" s="1"/>
  <c r="L22" i="2"/>
  <c r="I22" i="2"/>
  <c r="H22" i="2"/>
  <c r="F22" i="2"/>
  <c r="C22" i="2"/>
  <c r="AC21" i="2"/>
  <c r="AD21" i="2" s="1"/>
  <c r="AA21" i="2"/>
  <c r="X21" i="2"/>
  <c r="W21" i="2"/>
  <c r="U21" i="2"/>
  <c r="R21" i="2"/>
  <c r="N21" i="2"/>
  <c r="O21" i="2" s="1"/>
  <c r="L21" i="2"/>
  <c r="H21" i="2"/>
  <c r="I21" i="2" s="1"/>
  <c r="F21" i="2"/>
  <c r="C21" i="2"/>
  <c r="AD19" i="2"/>
  <c r="AC19" i="2"/>
  <c r="AA19" i="2"/>
  <c r="W19" i="2"/>
  <c r="X19" i="2" s="1"/>
  <c r="U19" i="2"/>
  <c r="R19" i="2"/>
  <c r="N19" i="2"/>
  <c r="O19" i="2" s="1"/>
  <c r="L19" i="2"/>
  <c r="H19" i="2"/>
  <c r="I19" i="2" s="1"/>
  <c r="F19" i="2"/>
  <c r="C19" i="2"/>
  <c r="AA18" i="2"/>
  <c r="Z18" i="2"/>
  <c r="T18" i="2"/>
  <c r="R18" i="2"/>
  <c r="Q18" i="2"/>
  <c r="AC18" i="2" s="1"/>
  <c r="AD18" i="2" s="1"/>
  <c r="L18" i="2"/>
  <c r="K18" i="2"/>
  <c r="H18" i="2"/>
  <c r="I18" i="2" s="1"/>
  <c r="F18" i="2"/>
  <c r="E18" i="2"/>
  <c r="C18" i="2"/>
  <c r="B18" i="2"/>
  <c r="AD17" i="2"/>
  <c r="AC17" i="2"/>
  <c r="AA17" i="2"/>
  <c r="X17" i="2"/>
  <c r="W17" i="2"/>
  <c r="U17" i="2"/>
  <c r="R17" i="2"/>
  <c r="N17" i="2"/>
  <c r="O17" i="2" s="1"/>
  <c r="L17" i="2"/>
  <c r="H17" i="2"/>
  <c r="I17" i="2" s="1"/>
  <c r="F17" i="2"/>
  <c r="C17" i="2"/>
  <c r="AD16" i="2"/>
  <c r="AC16" i="2"/>
  <c r="AA16" i="2"/>
  <c r="X16" i="2"/>
  <c r="W16" i="2"/>
  <c r="U16" i="2"/>
  <c r="R16" i="2"/>
  <c r="N16" i="2"/>
  <c r="O16" i="2" s="1"/>
  <c r="L16" i="2"/>
  <c r="H16" i="2"/>
  <c r="I16" i="2" s="1"/>
  <c r="F16" i="2"/>
  <c r="C16" i="2"/>
  <c r="AD15" i="2"/>
  <c r="AC15" i="2"/>
  <c r="AA15" i="2"/>
  <c r="W15" i="2"/>
  <c r="X15" i="2" s="1"/>
  <c r="U15" i="2"/>
  <c r="R15" i="2"/>
  <c r="O15" i="2"/>
  <c r="N15" i="2"/>
  <c r="L15" i="2"/>
  <c r="I15" i="2"/>
  <c r="H15" i="2"/>
  <c r="F15" i="2"/>
  <c r="C15" i="2"/>
  <c r="AC14" i="2"/>
  <c r="AD14" i="2" s="1"/>
  <c r="AA14" i="2"/>
  <c r="W14" i="2"/>
  <c r="X14" i="2" s="1"/>
  <c r="U14" i="2"/>
  <c r="R14" i="2"/>
  <c r="O14" i="2"/>
  <c r="N14" i="2"/>
  <c r="L14" i="2"/>
  <c r="I14" i="2"/>
  <c r="H14" i="2"/>
  <c r="F14" i="2"/>
  <c r="C14" i="2"/>
  <c r="AC13" i="2"/>
  <c r="AD13" i="2" s="1"/>
  <c r="AA13" i="2"/>
  <c r="X13" i="2"/>
  <c r="W13" i="2"/>
  <c r="U13" i="2"/>
  <c r="R13" i="2"/>
  <c r="N13" i="2"/>
  <c r="O13" i="2" s="1"/>
  <c r="L13" i="2"/>
  <c r="I13" i="2"/>
  <c r="H13" i="2"/>
  <c r="F13" i="2"/>
  <c r="C13" i="2"/>
  <c r="AD12" i="2"/>
  <c r="AC12" i="2"/>
  <c r="AA12" i="2"/>
  <c r="W12" i="2"/>
  <c r="X12" i="2" s="1"/>
  <c r="U12" i="2"/>
  <c r="R12" i="2"/>
  <c r="N12" i="2"/>
  <c r="O12" i="2" s="1"/>
  <c r="L12" i="2"/>
  <c r="H12" i="2"/>
  <c r="I12" i="2" s="1"/>
  <c r="F12" i="2"/>
  <c r="C12" i="2"/>
  <c r="AD11" i="2"/>
  <c r="AC11" i="2"/>
  <c r="AA11" i="2"/>
  <c r="W11" i="2"/>
  <c r="X11" i="2" s="1"/>
  <c r="U11" i="2"/>
  <c r="R11" i="2"/>
  <c r="O11" i="2"/>
  <c r="N11" i="2"/>
  <c r="L11" i="2"/>
  <c r="I11" i="2"/>
  <c r="H11" i="2"/>
  <c r="F11" i="2"/>
  <c r="C11" i="2"/>
  <c r="AD10" i="2"/>
  <c r="AC10" i="2"/>
  <c r="AA10" i="2"/>
  <c r="W10" i="2"/>
  <c r="X10" i="2" s="1"/>
  <c r="U10" i="2"/>
  <c r="R10" i="2"/>
  <c r="N10" i="2"/>
  <c r="O10" i="2" s="1"/>
  <c r="L10" i="2"/>
  <c r="I10" i="2"/>
  <c r="H10" i="2"/>
  <c r="F10" i="2"/>
  <c r="C10" i="2"/>
  <c r="AD8" i="2"/>
  <c r="AC8" i="2"/>
  <c r="AA8" i="2"/>
  <c r="X8" i="2"/>
  <c r="W8" i="2"/>
  <c r="U8" i="2"/>
  <c r="R8" i="2"/>
  <c r="N8" i="2"/>
  <c r="O8" i="2" s="1"/>
  <c r="L8" i="2"/>
  <c r="H8" i="2"/>
  <c r="I8" i="2" s="1"/>
  <c r="F8" i="2"/>
  <c r="C8" i="2"/>
  <c r="AC444" i="1"/>
  <c r="W444" i="1"/>
  <c r="N444" i="1"/>
  <c r="O439" i="1" s="1"/>
  <c r="H444" i="1"/>
  <c r="AA442" i="1"/>
  <c r="Z442" i="1"/>
  <c r="X442" i="1"/>
  <c r="W442" i="1"/>
  <c r="U442" i="1"/>
  <c r="T442" i="1"/>
  <c r="R442" i="1"/>
  <c r="Q442" i="1"/>
  <c r="O442" i="1"/>
  <c r="N442" i="1"/>
  <c r="L442" i="1"/>
  <c r="K442" i="1"/>
  <c r="F442" i="1"/>
  <c r="E442" i="1"/>
  <c r="B442" i="1"/>
  <c r="H442" i="1" s="1"/>
  <c r="I442" i="1" s="1"/>
  <c r="AD441" i="1"/>
  <c r="AC441" i="1"/>
  <c r="AA441" i="1"/>
  <c r="Z441" i="1"/>
  <c r="T441" i="1"/>
  <c r="U441" i="1" s="1"/>
  <c r="Q441" i="1"/>
  <c r="W441" i="1" s="1"/>
  <c r="X441" i="1" s="1"/>
  <c r="L441" i="1"/>
  <c r="K441" i="1"/>
  <c r="E441" i="1"/>
  <c r="F441" i="1" s="1"/>
  <c r="C441" i="1"/>
  <c r="B441" i="1"/>
  <c r="N441" i="1" s="1"/>
  <c r="O441" i="1" s="1"/>
  <c r="AD440" i="1"/>
  <c r="AC440" i="1"/>
  <c r="AA440" i="1"/>
  <c r="W440" i="1"/>
  <c r="X440" i="1" s="1"/>
  <c r="U440" i="1"/>
  <c r="R440" i="1"/>
  <c r="N440" i="1"/>
  <c r="O440" i="1" s="1"/>
  <c r="L440" i="1"/>
  <c r="H440" i="1"/>
  <c r="I440" i="1" s="1"/>
  <c r="F440" i="1"/>
  <c r="C440" i="1"/>
  <c r="AD439" i="1"/>
  <c r="AC439" i="1"/>
  <c r="AA439" i="1"/>
  <c r="W439" i="1"/>
  <c r="X439" i="1" s="1"/>
  <c r="U439" i="1"/>
  <c r="R439" i="1"/>
  <c r="N439" i="1"/>
  <c r="L439" i="1"/>
  <c r="H439" i="1"/>
  <c r="F439" i="1"/>
  <c r="C439" i="1"/>
  <c r="AC438" i="1"/>
  <c r="AD438" i="1" s="1"/>
  <c r="AA438" i="1"/>
  <c r="W438" i="1"/>
  <c r="X438" i="1" s="1"/>
  <c r="U438" i="1"/>
  <c r="R438" i="1"/>
  <c r="N438" i="1"/>
  <c r="O438" i="1" s="1"/>
  <c r="L438" i="1"/>
  <c r="H438" i="1"/>
  <c r="F438" i="1"/>
  <c r="C438" i="1"/>
  <c r="AD437" i="1"/>
  <c r="AC437" i="1"/>
  <c r="AA437" i="1"/>
  <c r="X437" i="1"/>
  <c r="W437" i="1"/>
  <c r="U437" i="1"/>
  <c r="R437" i="1"/>
  <c r="N437" i="1"/>
  <c r="O437" i="1" s="1"/>
  <c r="L437" i="1"/>
  <c r="H437" i="1"/>
  <c r="I437" i="1" s="1"/>
  <c r="F437" i="1"/>
  <c r="C437" i="1"/>
  <c r="AD436" i="1"/>
  <c r="AC436" i="1"/>
  <c r="AA436" i="1"/>
  <c r="X436" i="1"/>
  <c r="W436" i="1"/>
  <c r="U436" i="1"/>
  <c r="R436" i="1"/>
  <c r="N436" i="1"/>
  <c r="O436" i="1" s="1"/>
  <c r="L436" i="1"/>
  <c r="H436" i="1"/>
  <c r="I436" i="1" s="1"/>
  <c r="F436" i="1"/>
  <c r="C436" i="1"/>
  <c r="AD435" i="1"/>
  <c r="AC435" i="1"/>
  <c r="AA435" i="1"/>
  <c r="W435" i="1"/>
  <c r="X435" i="1" s="1"/>
  <c r="U435" i="1"/>
  <c r="R435" i="1"/>
  <c r="O435" i="1"/>
  <c r="N435" i="1"/>
  <c r="L435" i="1"/>
  <c r="H435" i="1"/>
  <c r="F435" i="1"/>
  <c r="C435" i="1"/>
  <c r="AC434" i="1"/>
  <c r="AD434" i="1" s="1"/>
  <c r="AA434" i="1"/>
  <c r="W434" i="1"/>
  <c r="X434" i="1" s="1"/>
  <c r="U434" i="1"/>
  <c r="R434" i="1"/>
  <c r="N434" i="1"/>
  <c r="O434" i="1" s="1"/>
  <c r="L434" i="1"/>
  <c r="H434" i="1"/>
  <c r="F434" i="1"/>
  <c r="C434" i="1"/>
  <c r="AC433" i="1"/>
  <c r="AD433" i="1" s="1"/>
  <c r="AA433" i="1"/>
  <c r="X433" i="1"/>
  <c r="W433" i="1"/>
  <c r="U433" i="1"/>
  <c r="R433" i="1"/>
  <c r="N433" i="1"/>
  <c r="O433" i="1" s="1"/>
  <c r="L433" i="1"/>
  <c r="I433" i="1"/>
  <c r="H433" i="1"/>
  <c r="F433" i="1"/>
  <c r="C433" i="1"/>
  <c r="AD432" i="1"/>
  <c r="AC432" i="1"/>
  <c r="AA432" i="1"/>
  <c r="W432" i="1"/>
  <c r="X432" i="1" s="1"/>
  <c r="U432" i="1"/>
  <c r="R432" i="1"/>
  <c r="N432" i="1"/>
  <c r="L432" i="1"/>
  <c r="I432" i="1"/>
  <c r="H432" i="1"/>
  <c r="F432" i="1"/>
  <c r="C432" i="1"/>
  <c r="AA429" i="1"/>
  <c r="Z429" i="1"/>
  <c r="U429" i="1"/>
  <c r="T429" i="1"/>
  <c r="W429" i="1" s="1"/>
  <c r="X429" i="1" s="1"/>
  <c r="R429" i="1"/>
  <c r="Q429" i="1"/>
  <c r="AC429" i="1" s="1"/>
  <c r="AD429" i="1" s="1"/>
  <c r="K429" i="1"/>
  <c r="L429" i="1" s="1"/>
  <c r="H429" i="1"/>
  <c r="I429" i="1" s="1"/>
  <c r="F429" i="1"/>
  <c r="E429" i="1"/>
  <c r="C429" i="1"/>
  <c r="B429" i="1"/>
  <c r="N429" i="1" s="1"/>
  <c r="O429" i="1" s="1"/>
  <c r="Z428" i="1"/>
  <c r="AA428" i="1" s="1"/>
  <c r="U428" i="1"/>
  <c r="T428" i="1"/>
  <c r="Q428" i="1"/>
  <c r="L428" i="1"/>
  <c r="K428" i="1"/>
  <c r="F428" i="1"/>
  <c r="E428" i="1"/>
  <c r="B428" i="1"/>
  <c r="N428" i="1" s="1"/>
  <c r="O428" i="1" s="1"/>
  <c r="AD427" i="1"/>
  <c r="AC427" i="1"/>
  <c r="AA427" i="1"/>
  <c r="W427" i="1"/>
  <c r="X427" i="1" s="1"/>
  <c r="U427" i="1"/>
  <c r="R427" i="1"/>
  <c r="O427" i="1"/>
  <c r="N427" i="1"/>
  <c r="L427" i="1"/>
  <c r="H427" i="1"/>
  <c r="F427" i="1"/>
  <c r="C427" i="1"/>
  <c r="AD426" i="1"/>
  <c r="AC426" i="1"/>
  <c r="AA426" i="1"/>
  <c r="W426" i="1"/>
  <c r="X426" i="1" s="1"/>
  <c r="U426" i="1"/>
  <c r="R426" i="1"/>
  <c r="N426" i="1"/>
  <c r="O426" i="1" s="1"/>
  <c r="L426" i="1"/>
  <c r="H426" i="1"/>
  <c r="F426" i="1"/>
  <c r="C426" i="1"/>
  <c r="AC425" i="1"/>
  <c r="AD425" i="1" s="1"/>
  <c r="AA425" i="1"/>
  <c r="X425" i="1"/>
  <c r="W425" i="1"/>
  <c r="U425" i="1"/>
  <c r="R425" i="1"/>
  <c r="N425" i="1"/>
  <c r="O425" i="1" s="1"/>
  <c r="L425" i="1"/>
  <c r="I425" i="1"/>
  <c r="H425" i="1"/>
  <c r="F425" i="1"/>
  <c r="C425" i="1"/>
  <c r="AD424" i="1"/>
  <c r="AC424" i="1"/>
  <c r="AA424" i="1"/>
  <c r="W424" i="1"/>
  <c r="X424" i="1" s="1"/>
  <c r="U424" i="1"/>
  <c r="R424" i="1"/>
  <c r="N424" i="1"/>
  <c r="O424" i="1" s="1"/>
  <c r="L424" i="1"/>
  <c r="H424" i="1"/>
  <c r="I424" i="1" s="1"/>
  <c r="F424" i="1"/>
  <c r="C424" i="1"/>
  <c r="AD423" i="1"/>
  <c r="AC423" i="1"/>
  <c r="AA423" i="1"/>
  <c r="W423" i="1"/>
  <c r="X423" i="1" s="1"/>
  <c r="U423" i="1"/>
  <c r="R423" i="1"/>
  <c r="O423" i="1"/>
  <c r="N423" i="1"/>
  <c r="L423" i="1"/>
  <c r="H423" i="1"/>
  <c r="F423" i="1"/>
  <c r="C423" i="1"/>
  <c r="AC422" i="1"/>
  <c r="AD422" i="1" s="1"/>
  <c r="AA422" i="1"/>
  <c r="W422" i="1"/>
  <c r="X422" i="1" s="1"/>
  <c r="U422" i="1"/>
  <c r="R422" i="1"/>
  <c r="O422" i="1"/>
  <c r="N422" i="1"/>
  <c r="L422" i="1"/>
  <c r="H422" i="1"/>
  <c r="F422" i="1"/>
  <c r="C422" i="1"/>
  <c r="AC421" i="1"/>
  <c r="AD421" i="1" s="1"/>
  <c r="AA421" i="1"/>
  <c r="X421" i="1"/>
  <c r="W421" i="1"/>
  <c r="U421" i="1"/>
  <c r="R421" i="1"/>
  <c r="N421" i="1"/>
  <c r="O421" i="1" s="1"/>
  <c r="L421" i="1"/>
  <c r="H421" i="1"/>
  <c r="I421" i="1" s="1"/>
  <c r="F421" i="1"/>
  <c r="C421" i="1"/>
  <c r="AD420" i="1"/>
  <c r="AC420" i="1"/>
  <c r="AA420" i="1"/>
  <c r="W420" i="1"/>
  <c r="X420" i="1" s="1"/>
  <c r="U420" i="1"/>
  <c r="R420" i="1"/>
  <c r="N420" i="1"/>
  <c r="O420" i="1" s="1"/>
  <c r="L420" i="1"/>
  <c r="H420" i="1"/>
  <c r="I420" i="1" s="1"/>
  <c r="F420" i="1"/>
  <c r="C420" i="1"/>
  <c r="AD419" i="1"/>
  <c r="AC419" i="1"/>
  <c r="AA419" i="1"/>
  <c r="W419" i="1"/>
  <c r="X419" i="1" s="1"/>
  <c r="U419" i="1"/>
  <c r="R419" i="1"/>
  <c r="N419" i="1"/>
  <c r="L419" i="1"/>
  <c r="H419" i="1"/>
  <c r="F419" i="1"/>
  <c r="C419" i="1"/>
  <c r="AC418" i="1"/>
  <c r="AD418" i="1" s="1"/>
  <c r="AA418" i="1"/>
  <c r="W418" i="1"/>
  <c r="X418" i="1" s="1"/>
  <c r="U418" i="1"/>
  <c r="R418" i="1"/>
  <c r="N418" i="1"/>
  <c r="O418" i="1" s="1"/>
  <c r="L418" i="1"/>
  <c r="H418" i="1"/>
  <c r="F418" i="1"/>
  <c r="C418" i="1"/>
  <c r="AD417" i="1"/>
  <c r="AC417" i="1"/>
  <c r="AA417" i="1"/>
  <c r="X417" i="1"/>
  <c r="W417" i="1"/>
  <c r="U417" i="1"/>
  <c r="R417" i="1"/>
  <c r="N417" i="1"/>
  <c r="O417" i="1" s="1"/>
  <c r="L417" i="1"/>
  <c r="H417" i="1"/>
  <c r="I417" i="1" s="1"/>
  <c r="F417" i="1"/>
  <c r="C417" i="1"/>
  <c r="AD416" i="1"/>
  <c r="AC416" i="1"/>
  <c r="AA416" i="1"/>
  <c r="X416" i="1"/>
  <c r="W416" i="1"/>
  <c r="U416" i="1"/>
  <c r="R416" i="1"/>
  <c r="N416" i="1"/>
  <c r="O416" i="1" s="1"/>
  <c r="L416" i="1"/>
  <c r="H416" i="1"/>
  <c r="I416" i="1" s="1"/>
  <c r="F416" i="1"/>
  <c r="C416" i="1"/>
  <c r="AD415" i="1"/>
  <c r="AC415" i="1"/>
  <c r="AA415" i="1"/>
  <c r="W415" i="1"/>
  <c r="X415" i="1" s="1"/>
  <c r="U415" i="1"/>
  <c r="R415" i="1"/>
  <c r="O415" i="1"/>
  <c r="N415" i="1"/>
  <c r="L415" i="1"/>
  <c r="H415" i="1"/>
  <c r="F415" i="1"/>
  <c r="C415" i="1"/>
  <c r="AC414" i="1"/>
  <c r="AD414" i="1" s="1"/>
  <c r="AA414" i="1"/>
  <c r="W414" i="1"/>
  <c r="X414" i="1" s="1"/>
  <c r="U414" i="1"/>
  <c r="R414" i="1"/>
  <c r="N414" i="1"/>
  <c r="O414" i="1" s="1"/>
  <c r="L414" i="1"/>
  <c r="H414" i="1"/>
  <c r="F414" i="1"/>
  <c r="C414" i="1"/>
  <c r="AC413" i="1"/>
  <c r="AD413" i="1" s="1"/>
  <c r="AA413" i="1"/>
  <c r="X413" i="1"/>
  <c r="W413" i="1"/>
  <c r="U413" i="1"/>
  <c r="R413" i="1"/>
  <c r="N413" i="1"/>
  <c r="O413" i="1" s="1"/>
  <c r="L413" i="1"/>
  <c r="I413" i="1"/>
  <c r="H413" i="1"/>
  <c r="F413" i="1"/>
  <c r="C413" i="1"/>
  <c r="AD412" i="1"/>
  <c r="AC412" i="1"/>
  <c r="AA412" i="1"/>
  <c r="W412" i="1"/>
  <c r="X412" i="1" s="1"/>
  <c r="U412" i="1"/>
  <c r="R412" i="1"/>
  <c r="N412" i="1"/>
  <c r="L412" i="1"/>
  <c r="I412" i="1"/>
  <c r="H412" i="1"/>
  <c r="F412" i="1"/>
  <c r="C412" i="1"/>
  <c r="AD411" i="1"/>
  <c r="AC411" i="1"/>
  <c r="AA411" i="1"/>
  <c r="W411" i="1"/>
  <c r="X411" i="1" s="1"/>
  <c r="U411" i="1"/>
  <c r="R411" i="1"/>
  <c r="O411" i="1"/>
  <c r="N411" i="1"/>
  <c r="L411" i="1"/>
  <c r="H411" i="1"/>
  <c r="F411" i="1"/>
  <c r="C411" i="1"/>
  <c r="AD410" i="1"/>
  <c r="AC410" i="1"/>
  <c r="AA410" i="1"/>
  <c r="W410" i="1"/>
  <c r="X410" i="1" s="1"/>
  <c r="U410" i="1"/>
  <c r="R410" i="1"/>
  <c r="N410" i="1"/>
  <c r="O410" i="1" s="1"/>
  <c r="L410" i="1"/>
  <c r="H410" i="1"/>
  <c r="F410" i="1"/>
  <c r="C410" i="1"/>
  <c r="AC409" i="1"/>
  <c r="AD409" i="1" s="1"/>
  <c r="AA409" i="1"/>
  <c r="X409" i="1"/>
  <c r="W409" i="1"/>
  <c r="U409" i="1"/>
  <c r="R409" i="1"/>
  <c r="N409" i="1"/>
  <c r="O409" i="1" s="1"/>
  <c r="L409" i="1"/>
  <c r="I409" i="1"/>
  <c r="H409" i="1"/>
  <c r="F409" i="1"/>
  <c r="C409" i="1"/>
  <c r="AD408" i="1"/>
  <c r="AC408" i="1"/>
  <c r="AA408" i="1"/>
  <c r="W408" i="1"/>
  <c r="X408" i="1" s="1"/>
  <c r="U408" i="1"/>
  <c r="R408" i="1"/>
  <c r="N408" i="1"/>
  <c r="O408" i="1" s="1"/>
  <c r="L408" i="1"/>
  <c r="H408" i="1"/>
  <c r="I408" i="1" s="1"/>
  <c r="F408" i="1"/>
  <c r="C408" i="1"/>
  <c r="AD407" i="1"/>
  <c r="AC407" i="1"/>
  <c r="AA407" i="1"/>
  <c r="W407" i="1"/>
  <c r="X407" i="1" s="1"/>
  <c r="U407" i="1"/>
  <c r="R407" i="1"/>
  <c r="O407" i="1"/>
  <c r="N407" i="1"/>
  <c r="L407" i="1"/>
  <c r="H407" i="1"/>
  <c r="F407" i="1"/>
  <c r="C407" i="1"/>
  <c r="Z403" i="1"/>
  <c r="AA403" i="1" s="1"/>
  <c r="W403" i="1"/>
  <c r="X403" i="1" s="1"/>
  <c r="U403" i="1"/>
  <c r="T403" i="1"/>
  <c r="R403" i="1"/>
  <c r="Q403" i="1"/>
  <c r="N403" i="1"/>
  <c r="O403" i="1" s="1"/>
  <c r="K403" i="1"/>
  <c r="L403" i="1" s="1"/>
  <c r="F403" i="1"/>
  <c r="E403" i="1"/>
  <c r="B403" i="1"/>
  <c r="AC402" i="1"/>
  <c r="AD402" i="1" s="1"/>
  <c r="AA402" i="1"/>
  <c r="W402" i="1"/>
  <c r="X402" i="1" s="1"/>
  <c r="U402" i="1"/>
  <c r="R402" i="1"/>
  <c r="N402" i="1"/>
  <c r="O402" i="1" s="1"/>
  <c r="L402" i="1"/>
  <c r="H402" i="1"/>
  <c r="F402" i="1"/>
  <c r="C402" i="1"/>
  <c r="AD401" i="1"/>
  <c r="AC401" i="1"/>
  <c r="AA401" i="1"/>
  <c r="X401" i="1"/>
  <c r="W401" i="1"/>
  <c r="U401" i="1"/>
  <c r="R401" i="1"/>
  <c r="N401" i="1"/>
  <c r="O401" i="1" s="1"/>
  <c r="L401" i="1"/>
  <c r="H401" i="1"/>
  <c r="I401" i="1" s="1"/>
  <c r="F401" i="1"/>
  <c r="C401" i="1"/>
  <c r="AD400" i="1"/>
  <c r="AC400" i="1"/>
  <c r="AA400" i="1"/>
  <c r="X400" i="1"/>
  <c r="W400" i="1"/>
  <c r="U400" i="1"/>
  <c r="R400" i="1"/>
  <c r="N400" i="1"/>
  <c r="O400" i="1" s="1"/>
  <c r="L400" i="1"/>
  <c r="H400" i="1"/>
  <c r="I400" i="1" s="1"/>
  <c r="F400" i="1"/>
  <c r="C400" i="1"/>
  <c r="AD399" i="1"/>
  <c r="AC399" i="1"/>
  <c r="AA399" i="1"/>
  <c r="W399" i="1"/>
  <c r="X399" i="1" s="1"/>
  <c r="U399" i="1"/>
  <c r="R399" i="1"/>
  <c r="O399" i="1"/>
  <c r="N399" i="1"/>
  <c r="L399" i="1"/>
  <c r="H399" i="1"/>
  <c r="F399" i="1"/>
  <c r="C399" i="1"/>
  <c r="AC398" i="1"/>
  <c r="AD398" i="1" s="1"/>
  <c r="AA398" i="1"/>
  <c r="W398" i="1"/>
  <c r="X398" i="1" s="1"/>
  <c r="U398" i="1"/>
  <c r="R398" i="1"/>
  <c r="N398" i="1"/>
  <c r="O398" i="1" s="1"/>
  <c r="L398" i="1"/>
  <c r="H398" i="1"/>
  <c r="F398" i="1"/>
  <c r="C398" i="1"/>
  <c r="AC397" i="1"/>
  <c r="AD397" i="1" s="1"/>
  <c r="AA397" i="1"/>
  <c r="X397" i="1"/>
  <c r="W397" i="1"/>
  <c r="U397" i="1"/>
  <c r="R397" i="1"/>
  <c r="N397" i="1"/>
  <c r="O397" i="1" s="1"/>
  <c r="L397" i="1"/>
  <c r="I397" i="1"/>
  <c r="H397" i="1"/>
  <c r="F397" i="1"/>
  <c r="C397" i="1"/>
  <c r="Z396" i="1"/>
  <c r="AA396" i="1" s="1"/>
  <c r="W396" i="1"/>
  <c r="X396" i="1" s="1"/>
  <c r="U396" i="1"/>
  <c r="T396" i="1"/>
  <c r="R396" i="1"/>
  <c r="Q396" i="1"/>
  <c r="K396" i="1"/>
  <c r="N396" i="1" s="1"/>
  <c r="O396" i="1" s="1"/>
  <c r="F396" i="1"/>
  <c r="E396" i="1"/>
  <c r="C396" i="1"/>
  <c r="B396" i="1"/>
  <c r="H396" i="1" s="1"/>
  <c r="AC395" i="1"/>
  <c r="AD395" i="1" s="1"/>
  <c r="AA395" i="1"/>
  <c r="W395" i="1"/>
  <c r="X395" i="1" s="1"/>
  <c r="U395" i="1"/>
  <c r="R395" i="1"/>
  <c r="O395" i="1"/>
  <c r="N395" i="1"/>
  <c r="L395" i="1"/>
  <c r="H395" i="1"/>
  <c r="F395" i="1"/>
  <c r="C395" i="1"/>
  <c r="AD394" i="1"/>
  <c r="AC394" i="1"/>
  <c r="AA394" i="1"/>
  <c r="X394" i="1"/>
  <c r="W394" i="1"/>
  <c r="U394" i="1"/>
  <c r="R394" i="1"/>
  <c r="N394" i="1"/>
  <c r="O394" i="1" s="1"/>
  <c r="L394" i="1"/>
  <c r="H394" i="1"/>
  <c r="I394" i="1" s="1"/>
  <c r="F394" i="1"/>
  <c r="C394" i="1"/>
  <c r="AA393" i="1"/>
  <c r="Z393" i="1"/>
  <c r="W393" i="1"/>
  <c r="X393" i="1" s="1"/>
  <c r="U393" i="1"/>
  <c r="T393" i="1"/>
  <c r="R393" i="1"/>
  <c r="Q393" i="1"/>
  <c r="AC393" i="1" s="1"/>
  <c r="AD393" i="1" s="1"/>
  <c r="K393" i="1"/>
  <c r="L393" i="1" s="1"/>
  <c r="F393" i="1"/>
  <c r="E393" i="1"/>
  <c r="B393" i="1"/>
  <c r="H393" i="1" s="1"/>
  <c r="I393" i="1" s="1"/>
  <c r="AD392" i="1"/>
  <c r="AC392" i="1"/>
  <c r="AA392" i="1"/>
  <c r="W392" i="1"/>
  <c r="X392" i="1" s="1"/>
  <c r="U392" i="1"/>
  <c r="R392" i="1"/>
  <c r="N392" i="1"/>
  <c r="O392" i="1" s="1"/>
  <c r="L392" i="1"/>
  <c r="H392" i="1"/>
  <c r="F392" i="1"/>
  <c r="C392" i="1"/>
  <c r="AC391" i="1"/>
  <c r="AD391" i="1" s="1"/>
  <c r="AA391" i="1"/>
  <c r="X391" i="1"/>
  <c r="W391" i="1"/>
  <c r="U391" i="1"/>
  <c r="R391" i="1"/>
  <c r="N391" i="1"/>
  <c r="O391" i="1" s="1"/>
  <c r="L391" i="1"/>
  <c r="I391" i="1"/>
  <c r="H391" i="1"/>
  <c r="F391" i="1"/>
  <c r="C391" i="1"/>
  <c r="AD390" i="1"/>
  <c r="AC390" i="1"/>
  <c r="AA390" i="1"/>
  <c r="W390" i="1"/>
  <c r="X390" i="1" s="1"/>
  <c r="U390" i="1"/>
  <c r="R390" i="1"/>
  <c r="N390" i="1"/>
  <c r="O390" i="1" s="1"/>
  <c r="L390" i="1"/>
  <c r="H390" i="1"/>
  <c r="I390" i="1" s="1"/>
  <c r="F390" i="1"/>
  <c r="C390" i="1"/>
  <c r="AD389" i="1"/>
  <c r="AC389" i="1"/>
  <c r="AA389" i="1"/>
  <c r="W389" i="1"/>
  <c r="X389" i="1" s="1"/>
  <c r="U389" i="1"/>
  <c r="R389" i="1"/>
  <c r="O389" i="1"/>
  <c r="N389" i="1"/>
  <c r="L389" i="1"/>
  <c r="H389" i="1"/>
  <c r="F389" i="1"/>
  <c r="C389" i="1"/>
  <c r="AC388" i="1"/>
  <c r="AD388" i="1" s="1"/>
  <c r="AA388" i="1"/>
  <c r="W388" i="1"/>
  <c r="X388" i="1" s="1"/>
  <c r="U388" i="1"/>
  <c r="R388" i="1"/>
  <c r="O388" i="1"/>
  <c r="N388" i="1"/>
  <c r="L388" i="1"/>
  <c r="H388" i="1"/>
  <c r="F388" i="1"/>
  <c r="C388" i="1"/>
  <c r="AC386" i="1"/>
  <c r="AD386" i="1" s="1"/>
  <c r="AA386" i="1"/>
  <c r="X386" i="1"/>
  <c r="W386" i="1"/>
  <c r="U386" i="1"/>
  <c r="R386" i="1"/>
  <c r="N386" i="1"/>
  <c r="O386" i="1" s="1"/>
  <c r="L386" i="1"/>
  <c r="H386" i="1"/>
  <c r="I386" i="1" s="1"/>
  <c r="F386" i="1"/>
  <c r="C386" i="1"/>
  <c r="AD385" i="1"/>
  <c r="AC385" i="1"/>
  <c r="AA385" i="1"/>
  <c r="W385" i="1"/>
  <c r="X385" i="1" s="1"/>
  <c r="U385" i="1"/>
  <c r="R385" i="1"/>
  <c r="N385" i="1"/>
  <c r="O385" i="1" s="1"/>
  <c r="L385" i="1"/>
  <c r="H385" i="1"/>
  <c r="I385" i="1" s="1"/>
  <c r="F385" i="1"/>
  <c r="C385" i="1"/>
  <c r="AD383" i="1"/>
  <c r="AC383" i="1"/>
  <c r="AA383" i="1"/>
  <c r="W383" i="1"/>
  <c r="X383" i="1" s="1"/>
  <c r="U383" i="1"/>
  <c r="R383" i="1"/>
  <c r="O383" i="1"/>
  <c r="N383" i="1"/>
  <c r="L383" i="1"/>
  <c r="H383" i="1"/>
  <c r="F383" i="1"/>
  <c r="C383" i="1"/>
  <c r="AC382" i="1"/>
  <c r="AD382" i="1" s="1"/>
  <c r="AA382" i="1"/>
  <c r="W382" i="1"/>
  <c r="X382" i="1" s="1"/>
  <c r="U382" i="1"/>
  <c r="R382" i="1"/>
  <c r="N382" i="1"/>
  <c r="O382" i="1" s="1"/>
  <c r="L382" i="1"/>
  <c r="H382" i="1"/>
  <c r="F382" i="1"/>
  <c r="C382" i="1"/>
  <c r="AD381" i="1"/>
  <c r="AC381" i="1"/>
  <c r="AA381" i="1"/>
  <c r="X381" i="1"/>
  <c r="W381" i="1"/>
  <c r="U381" i="1"/>
  <c r="R381" i="1"/>
  <c r="N381" i="1"/>
  <c r="O381" i="1" s="1"/>
  <c r="L381" i="1"/>
  <c r="H381" i="1"/>
  <c r="I381" i="1" s="1"/>
  <c r="F381" i="1"/>
  <c r="C381" i="1"/>
  <c r="AD380" i="1"/>
  <c r="AC380" i="1"/>
  <c r="AA380" i="1"/>
  <c r="X380" i="1"/>
  <c r="W380" i="1"/>
  <c r="U380" i="1"/>
  <c r="R380" i="1"/>
  <c r="N380" i="1"/>
  <c r="O380" i="1" s="1"/>
  <c r="L380" i="1"/>
  <c r="H380" i="1"/>
  <c r="I380" i="1" s="1"/>
  <c r="F380" i="1"/>
  <c r="C380" i="1"/>
  <c r="AD379" i="1"/>
  <c r="AC379" i="1"/>
  <c r="AA379" i="1"/>
  <c r="W379" i="1"/>
  <c r="X379" i="1" s="1"/>
  <c r="U379" i="1"/>
  <c r="R379" i="1"/>
  <c r="O379" i="1"/>
  <c r="N379" i="1"/>
  <c r="L379" i="1"/>
  <c r="H379" i="1"/>
  <c r="F379" i="1"/>
  <c r="C379" i="1"/>
  <c r="AC378" i="1"/>
  <c r="AD378" i="1" s="1"/>
  <c r="AA378" i="1"/>
  <c r="W378" i="1"/>
  <c r="X378" i="1" s="1"/>
  <c r="U378" i="1"/>
  <c r="R378" i="1"/>
  <c r="N378" i="1"/>
  <c r="O378" i="1" s="1"/>
  <c r="L378" i="1"/>
  <c r="H378" i="1"/>
  <c r="F378" i="1"/>
  <c r="C378" i="1"/>
  <c r="AC377" i="1"/>
  <c r="AD377" i="1" s="1"/>
  <c r="AA377" i="1"/>
  <c r="X377" i="1"/>
  <c r="W377" i="1"/>
  <c r="U377" i="1"/>
  <c r="R377" i="1"/>
  <c r="N377" i="1"/>
  <c r="O377" i="1" s="1"/>
  <c r="L377" i="1"/>
  <c r="I377" i="1"/>
  <c r="H377" i="1"/>
  <c r="F377" i="1"/>
  <c r="C377" i="1"/>
  <c r="AD376" i="1"/>
  <c r="AC376" i="1"/>
  <c r="AA376" i="1"/>
  <c r="W376" i="1"/>
  <c r="X376" i="1" s="1"/>
  <c r="U376" i="1"/>
  <c r="R376" i="1"/>
  <c r="N376" i="1"/>
  <c r="O376" i="1" s="1"/>
  <c r="L376" i="1"/>
  <c r="I376" i="1"/>
  <c r="H376" i="1"/>
  <c r="F376" i="1"/>
  <c r="C376" i="1"/>
  <c r="AD375" i="1"/>
  <c r="AC375" i="1"/>
  <c r="AA375" i="1"/>
  <c r="W375" i="1"/>
  <c r="X375" i="1" s="1"/>
  <c r="U375" i="1"/>
  <c r="R375" i="1"/>
  <c r="O375" i="1"/>
  <c r="N375" i="1"/>
  <c r="L375" i="1"/>
  <c r="H375" i="1"/>
  <c r="F375" i="1"/>
  <c r="C375" i="1"/>
  <c r="AD374" i="1"/>
  <c r="AC374" i="1"/>
  <c r="AA374" i="1"/>
  <c r="W374" i="1"/>
  <c r="X374" i="1" s="1"/>
  <c r="U374" i="1"/>
  <c r="R374" i="1"/>
  <c r="N374" i="1"/>
  <c r="O374" i="1" s="1"/>
  <c r="L374" i="1"/>
  <c r="H374" i="1"/>
  <c r="F374" i="1"/>
  <c r="C374" i="1"/>
  <c r="AC373" i="1"/>
  <c r="AD373" i="1" s="1"/>
  <c r="AA373" i="1"/>
  <c r="X373" i="1"/>
  <c r="W373" i="1"/>
  <c r="U373" i="1"/>
  <c r="R373" i="1"/>
  <c r="N373" i="1"/>
  <c r="O373" i="1" s="1"/>
  <c r="L373" i="1"/>
  <c r="I373" i="1"/>
  <c r="H373" i="1"/>
  <c r="F373" i="1"/>
  <c r="C373" i="1"/>
  <c r="AD372" i="1"/>
  <c r="AC372" i="1"/>
  <c r="AA372" i="1"/>
  <c r="W372" i="1"/>
  <c r="X372" i="1" s="1"/>
  <c r="U372" i="1"/>
  <c r="R372" i="1"/>
  <c r="N372" i="1"/>
  <c r="O372" i="1" s="1"/>
  <c r="L372" i="1"/>
  <c r="H372" i="1"/>
  <c r="I372" i="1" s="1"/>
  <c r="F372" i="1"/>
  <c r="C372" i="1"/>
  <c r="AD371" i="1"/>
  <c r="AC371" i="1"/>
  <c r="AA371" i="1"/>
  <c r="W371" i="1"/>
  <c r="X371" i="1" s="1"/>
  <c r="U371" i="1"/>
  <c r="R371" i="1"/>
  <c r="O371" i="1"/>
  <c r="N371" i="1"/>
  <c r="L371" i="1"/>
  <c r="H371" i="1"/>
  <c r="F371" i="1"/>
  <c r="C371" i="1"/>
  <c r="AC370" i="1"/>
  <c r="AD370" i="1" s="1"/>
  <c r="AA370" i="1"/>
  <c r="W370" i="1"/>
  <c r="X370" i="1" s="1"/>
  <c r="U370" i="1"/>
  <c r="R370" i="1"/>
  <c r="O370" i="1"/>
  <c r="N370" i="1"/>
  <c r="L370" i="1"/>
  <c r="H370" i="1"/>
  <c r="F370" i="1"/>
  <c r="C370" i="1"/>
  <c r="AC369" i="1"/>
  <c r="AD369" i="1" s="1"/>
  <c r="AA369" i="1"/>
  <c r="X369" i="1"/>
  <c r="W369" i="1"/>
  <c r="U369" i="1"/>
  <c r="R369" i="1"/>
  <c r="N369" i="1"/>
  <c r="O369" i="1" s="1"/>
  <c r="L369" i="1"/>
  <c r="H369" i="1"/>
  <c r="I369" i="1" s="1"/>
  <c r="F369" i="1"/>
  <c r="C369" i="1"/>
  <c r="AA368" i="1"/>
  <c r="Z368" i="1"/>
  <c r="X368" i="1"/>
  <c r="W368" i="1"/>
  <c r="U368" i="1"/>
  <c r="T368" i="1"/>
  <c r="R368" i="1"/>
  <c r="Q368" i="1"/>
  <c r="O368" i="1"/>
  <c r="N368" i="1"/>
  <c r="L368" i="1"/>
  <c r="K368" i="1"/>
  <c r="F368" i="1"/>
  <c r="E368" i="1"/>
  <c r="B368" i="1"/>
  <c r="H368" i="1" s="1"/>
  <c r="I368" i="1" s="1"/>
  <c r="AD367" i="1"/>
  <c r="AC367" i="1"/>
  <c r="AA367" i="1"/>
  <c r="W367" i="1"/>
  <c r="X367" i="1" s="1"/>
  <c r="U367" i="1"/>
  <c r="R367" i="1"/>
  <c r="N367" i="1"/>
  <c r="O367" i="1" s="1"/>
  <c r="L367" i="1"/>
  <c r="H367" i="1"/>
  <c r="F367" i="1"/>
  <c r="C367" i="1"/>
  <c r="AC366" i="1"/>
  <c r="AD366" i="1" s="1"/>
  <c r="AA366" i="1"/>
  <c r="X366" i="1"/>
  <c r="W366" i="1"/>
  <c r="U366" i="1"/>
  <c r="R366" i="1"/>
  <c r="N366" i="1"/>
  <c r="O366" i="1" s="1"/>
  <c r="L366" i="1"/>
  <c r="I366" i="1"/>
  <c r="H366" i="1"/>
  <c r="F366" i="1"/>
  <c r="C366" i="1"/>
  <c r="AD365" i="1"/>
  <c r="AC365" i="1"/>
  <c r="AA365" i="1"/>
  <c r="W365" i="1"/>
  <c r="X365" i="1" s="1"/>
  <c r="U365" i="1"/>
  <c r="R365" i="1"/>
  <c r="N365" i="1"/>
  <c r="O365" i="1" s="1"/>
  <c r="L365" i="1"/>
  <c r="I365" i="1"/>
  <c r="H365" i="1"/>
  <c r="F365" i="1"/>
  <c r="C365" i="1"/>
  <c r="AD364" i="1"/>
  <c r="AC364" i="1"/>
  <c r="AA364" i="1"/>
  <c r="W364" i="1"/>
  <c r="X364" i="1" s="1"/>
  <c r="U364" i="1"/>
  <c r="R364" i="1"/>
  <c r="O364" i="1"/>
  <c r="N364" i="1"/>
  <c r="L364" i="1"/>
  <c r="H364" i="1"/>
  <c r="F364" i="1"/>
  <c r="C364" i="1"/>
  <c r="AD363" i="1"/>
  <c r="AC363" i="1"/>
  <c r="AA363" i="1"/>
  <c r="W363" i="1"/>
  <c r="X363" i="1" s="1"/>
  <c r="U363" i="1"/>
  <c r="R363" i="1"/>
  <c r="O363" i="1"/>
  <c r="N363" i="1"/>
  <c r="L363" i="1"/>
  <c r="H363" i="1"/>
  <c r="F363" i="1"/>
  <c r="C363" i="1"/>
  <c r="AC362" i="1"/>
  <c r="AD362" i="1" s="1"/>
  <c r="AA362" i="1"/>
  <c r="X362" i="1"/>
  <c r="W362" i="1"/>
  <c r="U362" i="1"/>
  <c r="R362" i="1"/>
  <c r="N362" i="1"/>
  <c r="O362" i="1" s="1"/>
  <c r="L362" i="1"/>
  <c r="H362" i="1"/>
  <c r="I362" i="1" s="1"/>
  <c r="F362" i="1"/>
  <c r="C362" i="1"/>
  <c r="AD361" i="1"/>
  <c r="AC361" i="1"/>
  <c r="AA361" i="1"/>
  <c r="W361" i="1"/>
  <c r="X361" i="1" s="1"/>
  <c r="U361" i="1"/>
  <c r="R361" i="1"/>
  <c r="N361" i="1"/>
  <c r="O361" i="1" s="1"/>
  <c r="L361" i="1"/>
  <c r="H361" i="1"/>
  <c r="I361" i="1" s="1"/>
  <c r="F361" i="1"/>
  <c r="C361" i="1"/>
  <c r="AD360" i="1"/>
  <c r="AC360" i="1"/>
  <c r="AA360" i="1"/>
  <c r="W360" i="1"/>
  <c r="X360" i="1" s="1"/>
  <c r="U360" i="1"/>
  <c r="R360" i="1"/>
  <c r="O360" i="1"/>
  <c r="N360" i="1"/>
  <c r="L360" i="1"/>
  <c r="H360" i="1"/>
  <c r="F360" i="1"/>
  <c r="C360" i="1"/>
  <c r="AC358" i="1"/>
  <c r="AD358" i="1" s="1"/>
  <c r="AA358" i="1"/>
  <c r="Z358" i="1"/>
  <c r="U358" i="1"/>
  <c r="T358" i="1"/>
  <c r="R358" i="1"/>
  <c r="Q358" i="1"/>
  <c r="L358" i="1"/>
  <c r="K358" i="1"/>
  <c r="F358" i="1"/>
  <c r="E358" i="1"/>
  <c r="H358" i="1" s="1"/>
  <c r="I358" i="1" s="1"/>
  <c r="C358" i="1"/>
  <c r="B358" i="1"/>
  <c r="N358" i="1" s="1"/>
  <c r="O358" i="1" s="1"/>
  <c r="AD357" i="1"/>
  <c r="AC357" i="1"/>
  <c r="AA357" i="1"/>
  <c r="W357" i="1"/>
  <c r="X357" i="1" s="1"/>
  <c r="U357" i="1"/>
  <c r="R357" i="1"/>
  <c r="N357" i="1"/>
  <c r="O357" i="1" s="1"/>
  <c r="L357" i="1"/>
  <c r="I357" i="1"/>
  <c r="H357" i="1"/>
  <c r="F357" i="1"/>
  <c r="C357" i="1"/>
  <c r="AD356" i="1"/>
  <c r="AC356" i="1"/>
  <c r="AA356" i="1"/>
  <c r="W356" i="1"/>
  <c r="X356" i="1" s="1"/>
  <c r="U356" i="1"/>
  <c r="R356" i="1"/>
  <c r="O356" i="1"/>
  <c r="N356" i="1"/>
  <c r="L356" i="1"/>
  <c r="H356" i="1"/>
  <c r="F356" i="1"/>
  <c r="C356" i="1"/>
  <c r="AD355" i="1"/>
  <c r="AC355" i="1"/>
  <c r="AA355" i="1"/>
  <c r="W355" i="1"/>
  <c r="X355" i="1" s="1"/>
  <c r="U355" i="1"/>
  <c r="R355" i="1"/>
  <c r="N355" i="1"/>
  <c r="O355" i="1" s="1"/>
  <c r="L355" i="1"/>
  <c r="H355" i="1"/>
  <c r="F355" i="1"/>
  <c r="C355" i="1"/>
  <c r="AC354" i="1"/>
  <c r="AD354" i="1" s="1"/>
  <c r="AA354" i="1"/>
  <c r="X354" i="1"/>
  <c r="W354" i="1"/>
  <c r="U354" i="1"/>
  <c r="R354" i="1"/>
  <c r="N354" i="1"/>
  <c r="O354" i="1" s="1"/>
  <c r="L354" i="1"/>
  <c r="I354" i="1"/>
  <c r="H354" i="1"/>
  <c r="F354" i="1"/>
  <c r="C354" i="1"/>
  <c r="AD353" i="1"/>
  <c r="AC353" i="1"/>
  <c r="AA353" i="1"/>
  <c r="W353" i="1"/>
  <c r="X353" i="1" s="1"/>
  <c r="U353" i="1"/>
  <c r="R353" i="1"/>
  <c r="N353" i="1"/>
  <c r="O353" i="1" s="1"/>
  <c r="L353" i="1"/>
  <c r="H353" i="1"/>
  <c r="I353" i="1" s="1"/>
  <c r="F353" i="1"/>
  <c r="C353" i="1"/>
  <c r="AD352" i="1"/>
  <c r="AC352" i="1"/>
  <c r="AA352" i="1"/>
  <c r="W352" i="1"/>
  <c r="X352" i="1" s="1"/>
  <c r="U352" i="1"/>
  <c r="R352" i="1"/>
  <c r="O352" i="1"/>
  <c r="N352" i="1"/>
  <c r="L352" i="1"/>
  <c r="H352" i="1"/>
  <c r="F352" i="1"/>
  <c r="C352" i="1"/>
  <c r="AC351" i="1"/>
  <c r="AD351" i="1" s="1"/>
  <c r="AA351" i="1"/>
  <c r="W351" i="1"/>
  <c r="X351" i="1" s="1"/>
  <c r="U351" i="1"/>
  <c r="R351" i="1"/>
  <c r="O351" i="1"/>
  <c r="N351" i="1"/>
  <c r="L351" i="1"/>
  <c r="H351" i="1"/>
  <c r="F351" i="1"/>
  <c r="C351" i="1"/>
  <c r="AC350" i="1"/>
  <c r="AD350" i="1" s="1"/>
  <c r="AA350" i="1"/>
  <c r="X350" i="1"/>
  <c r="W350" i="1"/>
  <c r="U350" i="1"/>
  <c r="R350" i="1"/>
  <c r="N350" i="1"/>
  <c r="O350" i="1" s="1"/>
  <c r="L350" i="1"/>
  <c r="H350" i="1"/>
  <c r="I350" i="1" s="1"/>
  <c r="F350" i="1"/>
  <c r="C350" i="1"/>
  <c r="AD349" i="1"/>
  <c r="AC349" i="1"/>
  <c r="AA349" i="1"/>
  <c r="W349" i="1"/>
  <c r="X349" i="1" s="1"/>
  <c r="U349" i="1"/>
  <c r="R349" i="1"/>
  <c r="N349" i="1"/>
  <c r="O349" i="1" s="1"/>
  <c r="L349" i="1"/>
  <c r="H349" i="1"/>
  <c r="I349" i="1" s="1"/>
  <c r="F349" i="1"/>
  <c r="C349" i="1"/>
  <c r="AD347" i="1"/>
  <c r="AC347" i="1"/>
  <c r="AA347" i="1"/>
  <c r="W347" i="1"/>
  <c r="X347" i="1" s="1"/>
  <c r="U347" i="1"/>
  <c r="R347" i="1"/>
  <c r="O347" i="1"/>
  <c r="N347" i="1"/>
  <c r="L347" i="1"/>
  <c r="H347" i="1"/>
  <c r="F347" i="1"/>
  <c r="C347" i="1"/>
  <c r="Z344" i="1"/>
  <c r="AA344" i="1" s="1"/>
  <c r="X344" i="1"/>
  <c r="W344" i="1"/>
  <c r="U344" i="1"/>
  <c r="T344" i="1"/>
  <c r="R344" i="1"/>
  <c r="Q344" i="1"/>
  <c r="AC344" i="1" s="1"/>
  <c r="AD344" i="1" s="1"/>
  <c r="L344" i="1"/>
  <c r="K344" i="1"/>
  <c r="F344" i="1"/>
  <c r="E344" i="1"/>
  <c r="B344" i="1"/>
  <c r="AA343" i="1"/>
  <c r="Z343" i="1"/>
  <c r="T343" i="1"/>
  <c r="U343" i="1" s="1"/>
  <c r="Q343" i="1"/>
  <c r="L343" i="1"/>
  <c r="K343" i="1"/>
  <c r="E343" i="1"/>
  <c r="C343" i="1"/>
  <c r="B343" i="1"/>
  <c r="N343" i="1" s="1"/>
  <c r="O343" i="1" s="1"/>
  <c r="Z342" i="1"/>
  <c r="AA342" i="1" s="1"/>
  <c r="W342" i="1"/>
  <c r="X342" i="1" s="1"/>
  <c r="U342" i="1"/>
  <c r="T342" i="1"/>
  <c r="R342" i="1"/>
  <c r="Q342" i="1"/>
  <c r="AC342" i="1" s="1"/>
  <c r="AD342" i="1" s="1"/>
  <c r="K342" i="1"/>
  <c r="L342" i="1" s="1"/>
  <c r="F342" i="1"/>
  <c r="E342" i="1"/>
  <c r="B342" i="1"/>
  <c r="AC341" i="1"/>
  <c r="AD341" i="1" s="1"/>
  <c r="AA341" i="1"/>
  <c r="W341" i="1"/>
  <c r="X341" i="1" s="1"/>
  <c r="U341" i="1"/>
  <c r="R341" i="1"/>
  <c r="N341" i="1"/>
  <c r="O341" i="1" s="1"/>
  <c r="L341" i="1"/>
  <c r="H341" i="1"/>
  <c r="F341" i="1"/>
  <c r="C341" i="1"/>
  <c r="AC340" i="1"/>
  <c r="AD340" i="1" s="1"/>
  <c r="AA340" i="1"/>
  <c r="X340" i="1"/>
  <c r="W340" i="1"/>
  <c r="U340" i="1"/>
  <c r="R340" i="1"/>
  <c r="N340" i="1"/>
  <c r="O340" i="1" s="1"/>
  <c r="L340" i="1"/>
  <c r="I340" i="1"/>
  <c r="H340" i="1"/>
  <c r="F340" i="1"/>
  <c r="C340" i="1"/>
  <c r="AD339" i="1"/>
  <c r="AC339" i="1"/>
  <c r="AA339" i="1"/>
  <c r="W339" i="1"/>
  <c r="X339" i="1" s="1"/>
  <c r="U339" i="1"/>
  <c r="R339" i="1"/>
  <c r="N339" i="1"/>
  <c r="O339" i="1" s="1"/>
  <c r="L339" i="1"/>
  <c r="H339" i="1"/>
  <c r="I339" i="1" s="1"/>
  <c r="F339" i="1"/>
  <c r="C339" i="1"/>
  <c r="AD338" i="1"/>
  <c r="AC338" i="1"/>
  <c r="AA338" i="1"/>
  <c r="W338" i="1"/>
  <c r="X338" i="1" s="1"/>
  <c r="U338" i="1"/>
  <c r="R338" i="1"/>
  <c r="O338" i="1"/>
  <c r="N338" i="1"/>
  <c r="L338" i="1"/>
  <c r="H338" i="1"/>
  <c r="I338" i="1" s="1"/>
  <c r="F338" i="1"/>
  <c r="C338" i="1"/>
  <c r="AC337" i="1"/>
  <c r="AD337" i="1" s="1"/>
  <c r="AA337" i="1"/>
  <c r="W337" i="1"/>
  <c r="X337" i="1" s="1"/>
  <c r="U337" i="1"/>
  <c r="R337" i="1"/>
  <c r="N337" i="1"/>
  <c r="O337" i="1" s="1"/>
  <c r="L337" i="1"/>
  <c r="H337" i="1"/>
  <c r="F337" i="1"/>
  <c r="C337" i="1"/>
  <c r="AC335" i="1"/>
  <c r="AD335" i="1" s="1"/>
  <c r="AA335" i="1"/>
  <c r="X335" i="1"/>
  <c r="W335" i="1"/>
  <c r="U335" i="1"/>
  <c r="R335" i="1"/>
  <c r="N335" i="1"/>
  <c r="O335" i="1" s="1"/>
  <c r="L335" i="1"/>
  <c r="I335" i="1"/>
  <c r="H335" i="1"/>
  <c r="F335" i="1"/>
  <c r="C335" i="1"/>
  <c r="AC334" i="1"/>
  <c r="AD334" i="1" s="1"/>
  <c r="AA334" i="1"/>
  <c r="X334" i="1"/>
  <c r="W334" i="1"/>
  <c r="U334" i="1"/>
  <c r="R334" i="1"/>
  <c r="N334" i="1"/>
  <c r="O334" i="1" s="1"/>
  <c r="L334" i="1"/>
  <c r="H334" i="1"/>
  <c r="I334" i="1" s="1"/>
  <c r="F334" i="1"/>
  <c r="C334" i="1"/>
  <c r="AD333" i="1"/>
  <c r="AC333" i="1"/>
  <c r="AA333" i="1"/>
  <c r="W333" i="1"/>
  <c r="X333" i="1" s="1"/>
  <c r="U333" i="1"/>
  <c r="R333" i="1"/>
  <c r="O333" i="1"/>
  <c r="N333" i="1"/>
  <c r="L333" i="1"/>
  <c r="H333" i="1"/>
  <c r="I333" i="1" s="1"/>
  <c r="F333" i="1"/>
  <c r="C333" i="1"/>
  <c r="AC332" i="1"/>
  <c r="AD332" i="1" s="1"/>
  <c r="AA332" i="1"/>
  <c r="W332" i="1"/>
  <c r="X332" i="1" s="1"/>
  <c r="U332" i="1"/>
  <c r="R332" i="1"/>
  <c r="N332" i="1"/>
  <c r="O332" i="1" s="1"/>
  <c r="L332" i="1"/>
  <c r="H332" i="1"/>
  <c r="F332" i="1"/>
  <c r="C332" i="1"/>
  <c r="AD331" i="1"/>
  <c r="AC331" i="1"/>
  <c r="AA331" i="1"/>
  <c r="X331" i="1"/>
  <c r="W331" i="1"/>
  <c r="U331" i="1"/>
  <c r="R331" i="1"/>
  <c r="N331" i="1"/>
  <c r="O331" i="1" s="1"/>
  <c r="L331" i="1"/>
  <c r="H331" i="1"/>
  <c r="I331" i="1" s="1"/>
  <c r="F331" i="1"/>
  <c r="C331" i="1"/>
  <c r="AD330" i="1"/>
  <c r="AC330" i="1"/>
  <c r="AA330" i="1"/>
  <c r="X330" i="1"/>
  <c r="W330" i="1"/>
  <c r="U330" i="1"/>
  <c r="R330" i="1"/>
  <c r="N330" i="1"/>
  <c r="O330" i="1" s="1"/>
  <c r="L330" i="1"/>
  <c r="I330" i="1"/>
  <c r="H330" i="1"/>
  <c r="F330" i="1"/>
  <c r="C330" i="1"/>
  <c r="AD329" i="1"/>
  <c r="AC329" i="1"/>
  <c r="AA329" i="1"/>
  <c r="W329" i="1"/>
  <c r="X329" i="1" s="1"/>
  <c r="U329" i="1"/>
  <c r="R329" i="1"/>
  <c r="O329" i="1"/>
  <c r="N329" i="1"/>
  <c r="L329" i="1"/>
  <c r="H329" i="1"/>
  <c r="F329" i="1"/>
  <c r="C329" i="1"/>
  <c r="AD328" i="1"/>
  <c r="AC328" i="1"/>
  <c r="AA328" i="1"/>
  <c r="W328" i="1"/>
  <c r="X328" i="1" s="1"/>
  <c r="U328" i="1"/>
  <c r="R328" i="1"/>
  <c r="N328" i="1"/>
  <c r="O328" i="1" s="1"/>
  <c r="L328" i="1"/>
  <c r="H328" i="1"/>
  <c r="F328" i="1"/>
  <c r="C328" i="1"/>
  <c r="Z325" i="1"/>
  <c r="AA325" i="1" s="1"/>
  <c r="T325" i="1"/>
  <c r="U325" i="1" s="1"/>
  <c r="Q325" i="1"/>
  <c r="L325" i="1"/>
  <c r="K325" i="1"/>
  <c r="E325" i="1"/>
  <c r="F325" i="1" s="1"/>
  <c r="B325" i="1"/>
  <c r="Z324" i="1"/>
  <c r="AA324" i="1" s="1"/>
  <c r="T324" i="1"/>
  <c r="W324" i="1" s="1"/>
  <c r="X324" i="1" s="1"/>
  <c r="R324" i="1"/>
  <c r="Q324" i="1"/>
  <c r="AC324" i="1" s="1"/>
  <c r="AD324" i="1" s="1"/>
  <c r="L324" i="1"/>
  <c r="K324" i="1"/>
  <c r="H324" i="1"/>
  <c r="I324" i="1" s="1"/>
  <c r="E324" i="1"/>
  <c r="F324" i="1" s="1"/>
  <c r="B324" i="1"/>
  <c r="C324" i="1" s="1"/>
  <c r="AD323" i="1"/>
  <c r="AC323" i="1"/>
  <c r="AA323" i="1"/>
  <c r="X323" i="1"/>
  <c r="W323" i="1"/>
  <c r="U323" i="1"/>
  <c r="R323" i="1"/>
  <c r="N323" i="1"/>
  <c r="O323" i="1" s="1"/>
  <c r="L323" i="1"/>
  <c r="H323" i="1"/>
  <c r="I323" i="1" s="1"/>
  <c r="F323" i="1"/>
  <c r="C323" i="1"/>
  <c r="AC322" i="1"/>
  <c r="AD322" i="1" s="1"/>
  <c r="AA322" i="1"/>
  <c r="W322" i="1"/>
  <c r="X322" i="1" s="1"/>
  <c r="U322" i="1"/>
  <c r="R322" i="1"/>
  <c r="N322" i="1"/>
  <c r="L322" i="1"/>
  <c r="H322" i="1"/>
  <c r="I322" i="1" s="1"/>
  <c r="F322" i="1"/>
  <c r="C322" i="1"/>
  <c r="AC321" i="1"/>
  <c r="AD321" i="1" s="1"/>
  <c r="AA321" i="1"/>
  <c r="W321" i="1"/>
  <c r="X321" i="1" s="1"/>
  <c r="U321" i="1"/>
  <c r="R321" i="1"/>
  <c r="O321" i="1"/>
  <c r="N321" i="1"/>
  <c r="L321" i="1"/>
  <c r="H321" i="1"/>
  <c r="I321" i="1" s="1"/>
  <c r="F321" i="1"/>
  <c r="C321" i="1"/>
  <c r="AC320" i="1"/>
  <c r="AD320" i="1" s="1"/>
  <c r="AA320" i="1"/>
  <c r="X320" i="1"/>
  <c r="W320" i="1"/>
  <c r="U320" i="1"/>
  <c r="R320" i="1"/>
  <c r="N320" i="1"/>
  <c r="O320" i="1" s="1"/>
  <c r="L320" i="1"/>
  <c r="H320" i="1"/>
  <c r="I320" i="1" s="1"/>
  <c r="F320" i="1"/>
  <c r="C320" i="1"/>
  <c r="AC319" i="1"/>
  <c r="AD319" i="1" s="1"/>
  <c r="AA319" i="1"/>
  <c r="X319" i="1"/>
  <c r="W319" i="1"/>
  <c r="U319" i="1"/>
  <c r="R319" i="1"/>
  <c r="N319" i="1"/>
  <c r="O319" i="1" s="1"/>
  <c r="L319" i="1"/>
  <c r="I319" i="1"/>
  <c r="H319" i="1"/>
  <c r="F319" i="1"/>
  <c r="C319" i="1"/>
  <c r="AC318" i="1"/>
  <c r="AD318" i="1" s="1"/>
  <c r="AA318" i="1"/>
  <c r="X318" i="1"/>
  <c r="W318" i="1"/>
  <c r="U318" i="1"/>
  <c r="R318" i="1"/>
  <c r="N318" i="1"/>
  <c r="L318" i="1"/>
  <c r="H318" i="1"/>
  <c r="I318" i="1" s="1"/>
  <c r="F318" i="1"/>
  <c r="C318" i="1"/>
  <c r="AC317" i="1"/>
  <c r="AD317" i="1" s="1"/>
  <c r="AA317" i="1"/>
  <c r="W317" i="1"/>
  <c r="X317" i="1" s="1"/>
  <c r="U317" i="1"/>
  <c r="R317" i="1"/>
  <c r="O317" i="1"/>
  <c r="N317" i="1"/>
  <c r="L317" i="1"/>
  <c r="H317" i="1"/>
  <c r="I317" i="1" s="1"/>
  <c r="F317" i="1"/>
  <c r="C317" i="1"/>
  <c r="AC316" i="1"/>
  <c r="AD316" i="1" s="1"/>
  <c r="AA316" i="1"/>
  <c r="X316" i="1"/>
  <c r="W316" i="1"/>
  <c r="U316" i="1"/>
  <c r="R316" i="1"/>
  <c r="N316" i="1"/>
  <c r="O316" i="1" s="1"/>
  <c r="L316" i="1"/>
  <c r="H316" i="1"/>
  <c r="F316" i="1"/>
  <c r="C316" i="1"/>
  <c r="AD315" i="1"/>
  <c r="AC315" i="1"/>
  <c r="AA315" i="1"/>
  <c r="X315" i="1"/>
  <c r="W315" i="1"/>
  <c r="U315" i="1"/>
  <c r="R315" i="1"/>
  <c r="N315" i="1"/>
  <c r="O315" i="1" s="1"/>
  <c r="L315" i="1"/>
  <c r="H315" i="1"/>
  <c r="I315" i="1" s="1"/>
  <c r="F315" i="1"/>
  <c r="C315" i="1"/>
  <c r="AC314" i="1"/>
  <c r="AD314" i="1" s="1"/>
  <c r="AA314" i="1"/>
  <c r="W314" i="1"/>
  <c r="X314" i="1" s="1"/>
  <c r="U314" i="1"/>
  <c r="R314" i="1"/>
  <c r="N314" i="1"/>
  <c r="L314" i="1"/>
  <c r="H314" i="1"/>
  <c r="I314" i="1" s="1"/>
  <c r="F314" i="1"/>
  <c r="C314" i="1"/>
  <c r="AC313" i="1"/>
  <c r="AD313" i="1" s="1"/>
  <c r="AA313" i="1"/>
  <c r="W313" i="1"/>
  <c r="X313" i="1" s="1"/>
  <c r="U313" i="1"/>
  <c r="R313" i="1"/>
  <c r="O313" i="1"/>
  <c r="N313" i="1"/>
  <c r="L313" i="1"/>
  <c r="H313" i="1"/>
  <c r="I313" i="1" s="1"/>
  <c r="F313" i="1"/>
  <c r="C313" i="1"/>
  <c r="AC312" i="1"/>
  <c r="AD312" i="1" s="1"/>
  <c r="AA312" i="1"/>
  <c r="X312" i="1"/>
  <c r="W312" i="1"/>
  <c r="U312" i="1"/>
  <c r="R312" i="1"/>
  <c r="N312" i="1"/>
  <c r="O312" i="1" s="1"/>
  <c r="L312" i="1"/>
  <c r="H312" i="1"/>
  <c r="F312" i="1"/>
  <c r="C312" i="1"/>
  <c r="AC311" i="1"/>
  <c r="AD311" i="1" s="1"/>
  <c r="AA311" i="1"/>
  <c r="X311" i="1"/>
  <c r="W311" i="1"/>
  <c r="U311" i="1"/>
  <c r="R311" i="1"/>
  <c r="N311" i="1"/>
  <c r="O311" i="1" s="1"/>
  <c r="L311" i="1"/>
  <c r="H311" i="1"/>
  <c r="I311" i="1" s="1"/>
  <c r="F311" i="1"/>
  <c r="C311" i="1"/>
  <c r="AC310" i="1"/>
  <c r="AD310" i="1" s="1"/>
  <c r="AA310" i="1"/>
  <c r="X310" i="1"/>
  <c r="W310" i="1"/>
  <c r="U310" i="1"/>
  <c r="R310" i="1"/>
  <c r="N310" i="1"/>
  <c r="L310" i="1"/>
  <c r="I310" i="1"/>
  <c r="H310" i="1"/>
  <c r="F310" i="1"/>
  <c r="C310" i="1"/>
  <c r="AD309" i="1"/>
  <c r="AC309" i="1"/>
  <c r="AA309" i="1"/>
  <c r="W309" i="1"/>
  <c r="X309" i="1" s="1"/>
  <c r="U309" i="1"/>
  <c r="R309" i="1"/>
  <c r="O309" i="1"/>
  <c r="N309" i="1"/>
  <c r="L309" i="1"/>
  <c r="H309" i="1"/>
  <c r="I309" i="1" s="1"/>
  <c r="F309" i="1"/>
  <c r="C309" i="1"/>
  <c r="AD308" i="1"/>
  <c r="AC308" i="1"/>
  <c r="AA308" i="1"/>
  <c r="X308" i="1"/>
  <c r="W308" i="1"/>
  <c r="U308" i="1"/>
  <c r="R308" i="1"/>
  <c r="N308" i="1"/>
  <c r="O308" i="1" s="1"/>
  <c r="L308" i="1"/>
  <c r="H308" i="1"/>
  <c r="F308" i="1"/>
  <c r="C308" i="1"/>
  <c r="AC307" i="1"/>
  <c r="AD307" i="1" s="1"/>
  <c r="AA307" i="1"/>
  <c r="X307" i="1"/>
  <c r="W307" i="1"/>
  <c r="U307" i="1"/>
  <c r="R307" i="1"/>
  <c r="N307" i="1"/>
  <c r="O307" i="1" s="1"/>
  <c r="L307" i="1"/>
  <c r="H307" i="1"/>
  <c r="I307" i="1" s="1"/>
  <c r="F307" i="1"/>
  <c r="C307" i="1"/>
  <c r="AC306" i="1"/>
  <c r="AD306" i="1" s="1"/>
  <c r="AA306" i="1"/>
  <c r="W306" i="1"/>
  <c r="X306" i="1" s="1"/>
  <c r="U306" i="1"/>
  <c r="R306" i="1"/>
  <c r="N306" i="1"/>
  <c r="L306" i="1"/>
  <c r="I306" i="1"/>
  <c r="H306" i="1"/>
  <c r="F306" i="1"/>
  <c r="C306" i="1"/>
  <c r="AD305" i="1"/>
  <c r="AC305" i="1"/>
  <c r="AA305" i="1"/>
  <c r="W305" i="1"/>
  <c r="X305" i="1" s="1"/>
  <c r="U305" i="1"/>
  <c r="R305" i="1"/>
  <c r="O305" i="1"/>
  <c r="N305" i="1"/>
  <c r="L305" i="1"/>
  <c r="H305" i="1"/>
  <c r="I305" i="1" s="1"/>
  <c r="F305" i="1"/>
  <c r="C305" i="1"/>
  <c r="AD304" i="1"/>
  <c r="AC304" i="1"/>
  <c r="AA304" i="1"/>
  <c r="X304" i="1"/>
  <c r="W304" i="1"/>
  <c r="U304" i="1"/>
  <c r="R304" i="1"/>
  <c r="N304" i="1"/>
  <c r="O304" i="1" s="1"/>
  <c r="L304" i="1"/>
  <c r="H304" i="1"/>
  <c r="F304" i="1"/>
  <c r="C304" i="1"/>
  <c r="AC303" i="1"/>
  <c r="AD303" i="1" s="1"/>
  <c r="AA303" i="1"/>
  <c r="X303" i="1"/>
  <c r="W303" i="1"/>
  <c r="U303" i="1"/>
  <c r="R303" i="1"/>
  <c r="N303" i="1"/>
  <c r="O303" i="1" s="1"/>
  <c r="L303" i="1"/>
  <c r="I303" i="1"/>
  <c r="H303" i="1"/>
  <c r="F303" i="1"/>
  <c r="C303" i="1"/>
  <c r="AC302" i="1"/>
  <c r="AD302" i="1" s="1"/>
  <c r="AA302" i="1"/>
  <c r="W302" i="1"/>
  <c r="X302" i="1" s="1"/>
  <c r="U302" i="1"/>
  <c r="R302" i="1"/>
  <c r="N302" i="1"/>
  <c r="L302" i="1"/>
  <c r="H302" i="1"/>
  <c r="I302" i="1" s="1"/>
  <c r="F302" i="1"/>
  <c r="C302" i="1"/>
  <c r="AD301" i="1"/>
  <c r="AC301" i="1"/>
  <c r="AA301" i="1"/>
  <c r="W301" i="1"/>
  <c r="X301" i="1" s="1"/>
  <c r="U301" i="1"/>
  <c r="R301" i="1"/>
  <c r="O301" i="1"/>
  <c r="N301" i="1"/>
  <c r="L301" i="1"/>
  <c r="H301" i="1"/>
  <c r="I301" i="1" s="1"/>
  <c r="F301" i="1"/>
  <c r="C301" i="1"/>
  <c r="AC300" i="1"/>
  <c r="AD300" i="1" s="1"/>
  <c r="AA300" i="1"/>
  <c r="X300" i="1"/>
  <c r="W300" i="1"/>
  <c r="U300" i="1"/>
  <c r="R300" i="1"/>
  <c r="N300" i="1"/>
  <c r="O300" i="1" s="1"/>
  <c r="L300" i="1"/>
  <c r="H300" i="1"/>
  <c r="F300" i="1"/>
  <c r="C300" i="1"/>
  <c r="AC299" i="1"/>
  <c r="AD299" i="1" s="1"/>
  <c r="AA299" i="1"/>
  <c r="X299" i="1"/>
  <c r="W299" i="1"/>
  <c r="U299" i="1"/>
  <c r="R299" i="1"/>
  <c r="N299" i="1"/>
  <c r="O299" i="1" s="1"/>
  <c r="L299" i="1"/>
  <c r="I299" i="1"/>
  <c r="H299" i="1"/>
  <c r="F299" i="1"/>
  <c r="C299" i="1"/>
  <c r="AC298" i="1"/>
  <c r="AD298" i="1" s="1"/>
  <c r="AA298" i="1"/>
  <c r="X298" i="1"/>
  <c r="W298" i="1"/>
  <c r="U298" i="1"/>
  <c r="R298" i="1"/>
  <c r="N298" i="1"/>
  <c r="L298" i="1"/>
  <c r="H298" i="1"/>
  <c r="I298" i="1" s="1"/>
  <c r="F298" i="1"/>
  <c r="C298" i="1"/>
  <c r="AC297" i="1"/>
  <c r="AD297" i="1" s="1"/>
  <c r="AA297" i="1"/>
  <c r="W297" i="1"/>
  <c r="X297" i="1" s="1"/>
  <c r="U297" i="1"/>
  <c r="R297" i="1"/>
  <c r="O297" i="1"/>
  <c r="N297" i="1"/>
  <c r="L297" i="1"/>
  <c r="H297" i="1"/>
  <c r="I297" i="1" s="1"/>
  <c r="F297" i="1"/>
  <c r="C297" i="1"/>
  <c r="AC295" i="1"/>
  <c r="AD295" i="1" s="1"/>
  <c r="Z295" i="1"/>
  <c r="AA295" i="1" s="1"/>
  <c r="U295" i="1"/>
  <c r="T295" i="1"/>
  <c r="R295" i="1"/>
  <c r="Q295" i="1"/>
  <c r="K295" i="1"/>
  <c r="L295" i="1" s="1"/>
  <c r="E295" i="1"/>
  <c r="B295" i="1"/>
  <c r="N295" i="1" s="1"/>
  <c r="O295" i="1" s="1"/>
  <c r="AC294" i="1"/>
  <c r="AD294" i="1" s="1"/>
  <c r="AA294" i="1"/>
  <c r="W294" i="1"/>
  <c r="X294" i="1" s="1"/>
  <c r="U294" i="1"/>
  <c r="R294" i="1"/>
  <c r="N294" i="1"/>
  <c r="L294" i="1"/>
  <c r="I294" i="1"/>
  <c r="H294" i="1"/>
  <c r="F294" i="1"/>
  <c r="C294" i="1"/>
  <c r="AC293" i="1"/>
  <c r="AD293" i="1" s="1"/>
  <c r="AA293" i="1"/>
  <c r="W293" i="1"/>
  <c r="X293" i="1" s="1"/>
  <c r="U293" i="1"/>
  <c r="R293" i="1"/>
  <c r="O293" i="1"/>
  <c r="N293" i="1"/>
  <c r="L293" i="1"/>
  <c r="H293" i="1"/>
  <c r="I293" i="1" s="1"/>
  <c r="F293" i="1"/>
  <c r="C293" i="1"/>
  <c r="AC292" i="1"/>
  <c r="AD292" i="1" s="1"/>
  <c r="AA292" i="1"/>
  <c r="X292" i="1"/>
  <c r="W292" i="1"/>
  <c r="U292" i="1"/>
  <c r="R292" i="1"/>
  <c r="O292" i="1"/>
  <c r="N292" i="1"/>
  <c r="L292" i="1"/>
  <c r="H292" i="1"/>
  <c r="I292" i="1" s="1"/>
  <c r="F292" i="1"/>
  <c r="C292" i="1"/>
  <c r="AC291" i="1"/>
  <c r="AD291" i="1" s="1"/>
  <c r="AA291" i="1"/>
  <c r="X291" i="1"/>
  <c r="W291" i="1"/>
  <c r="U291" i="1"/>
  <c r="R291" i="1"/>
  <c r="N291" i="1"/>
  <c r="O291" i="1" s="1"/>
  <c r="L291" i="1"/>
  <c r="H291" i="1"/>
  <c r="I291" i="1" s="1"/>
  <c r="F291" i="1"/>
  <c r="C291" i="1"/>
  <c r="AC290" i="1"/>
  <c r="AD290" i="1" s="1"/>
  <c r="AA290" i="1"/>
  <c r="W290" i="1"/>
  <c r="X290" i="1" s="1"/>
  <c r="U290" i="1"/>
  <c r="R290" i="1"/>
  <c r="N290" i="1"/>
  <c r="L290" i="1"/>
  <c r="H290" i="1"/>
  <c r="I290" i="1" s="1"/>
  <c r="F290" i="1"/>
  <c r="C290" i="1"/>
  <c r="AD289" i="1"/>
  <c r="AC289" i="1"/>
  <c r="AA289" i="1"/>
  <c r="W289" i="1"/>
  <c r="X289" i="1" s="1"/>
  <c r="U289" i="1"/>
  <c r="R289" i="1"/>
  <c r="N289" i="1"/>
  <c r="O289" i="1" s="1"/>
  <c r="L289" i="1"/>
  <c r="H289" i="1"/>
  <c r="I289" i="1" s="1"/>
  <c r="F289" i="1"/>
  <c r="C289" i="1"/>
  <c r="AC288" i="1"/>
  <c r="AD288" i="1" s="1"/>
  <c r="AA288" i="1"/>
  <c r="X288" i="1"/>
  <c r="W288" i="1"/>
  <c r="U288" i="1"/>
  <c r="R288" i="1"/>
  <c r="O288" i="1"/>
  <c r="N288" i="1"/>
  <c r="L288" i="1"/>
  <c r="H288" i="1"/>
  <c r="I288" i="1" s="1"/>
  <c r="F288" i="1"/>
  <c r="C288" i="1"/>
  <c r="AC287" i="1"/>
  <c r="AD287" i="1" s="1"/>
  <c r="AA287" i="1"/>
  <c r="W287" i="1"/>
  <c r="X287" i="1" s="1"/>
  <c r="U287" i="1"/>
  <c r="R287" i="1"/>
  <c r="O287" i="1"/>
  <c r="N287" i="1"/>
  <c r="L287" i="1"/>
  <c r="H287" i="1"/>
  <c r="I287" i="1" s="1"/>
  <c r="F287" i="1"/>
  <c r="C287" i="1"/>
  <c r="AC286" i="1"/>
  <c r="AD286" i="1" s="1"/>
  <c r="AA286" i="1"/>
  <c r="W286" i="1"/>
  <c r="X286" i="1" s="1"/>
  <c r="U286" i="1"/>
  <c r="R286" i="1"/>
  <c r="O286" i="1"/>
  <c r="N286" i="1"/>
  <c r="L286" i="1"/>
  <c r="I286" i="1"/>
  <c r="H286" i="1"/>
  <c r="F286" i="1"/>
  <c r="C286" i="1"/>
  <c r="Z284" i="1"/>
  <c r="AA284" i="1" s="1"/>
  <c r="W284" i="1"/>
  <c r="X284" i="1" s="1"/>
  <c r="T284" i="1"/>
  <c r="U284" i="1" s="1"/>
  <c r="Q284" i="1"/>
  <c r="R284" i="1" s="1"/>
  <c r="K284" i="1"/>
  <c r="N284" i="1" s="1"/>
  <c r="O284" i="1" s="1"/>
  <c r="I284" i="1"/>
  <c r="H284" i="1"/>
  <c r="F284" i="1"/>
  <c r="E284" i="1"/>
  <c r="B284" i="1"/>
  <c r="C284" i="1" s="1"/>
  <c r="AC283" i="1"/>
  <c r="AD283" i="1" s="1"/>
  <c r="AA283" i="1"/>
  <c r="X283" i="1"/>
  <c r="W283" i="1"/>
  <c r="U283" i="1"/>
  <c r="R283" i="1"/>
  <c r="N283" i="1"/>
  <c r="O283" i="1" s="1"/>
  <c r="L283" i="1"/>
  <c r="H283" i="1"/>
  <c r="I283" i="1" s="1"/>
  <c r="F283" i="1"/>
  <c r="C283" i="1"/>
  <c r="AC282" i="1"/>
  <c r="AD282" i="1" s="1"/>
  <c r="AA282" i="1"/>
  <c r="W282" i="1"/>
  <c r="X282" i="1" s="1"/>
  <c r="U282" i="1"/>
  <c r="R282" i="1"/>
  <c r="O282" i="1"/>
  <c r="N282" i="1"/>
  <c r="L282" i="1"/>
  <c r="H282" i="1"/>
  <c r="I282" i="1" s="1"/>
  <c r="F282" i="1"/>
  <c r="C282" i="1"/>
  <c r="AD281" i="1"/>
  <c r="AC281" i="1"/>
  <c r="AA281" i="1"/>
  <c r="W281" i="1"/>
  <c r="X281" i="1" s="1"/>
  <c r="U281" i="1"/>
  <c r="R281" i="1"/>
  <c r="N281" i="1"/>
  <c r="O281" i="1" s="1"/>
  <c r="L281" i="1"/>
  <c r="H281" i="1"/>
  <c r="I281" i="1" s="1"/>
  <c r="F281" i="1"/>
  <c r="C281" i="1"/>
  <c r="AC280" i="1"/>
  <c r="AD280" i="1" s="1"/>
  <c r="AA280" i="1"/>
  <c r="X280" i="1"/>
  <c r="W280" i="1"/>
  <c r="U280" i="1"/>
  <c r="R280" i="1"/>
  <c r="N280" i="1"/>
  <c r="O280" i="1" s="1"/>
  <c r="L280" i="1"/>
  <c r="H280" i="1"/>
  <c r="I280" i="1" s="1"/>
  <c r="F280" i="1"/>
  <c r="C280" i="1"/>
  <c r="AC279" i="1"/>
  <c r="AD279" i="1" s="1"/>
  <c r="AA279" i="1"/>
  <c r="W279" i="1"/>
  <c r="X279" i="1" s="1"/>
  <c r="U279" i="1"/>
  <c r="R279" i="1"/>
  <c r="O279" i="1"/>
  <c r="N279" i="1"/>
  <c r="L279" i="1"/>
  <c r="H279" i="1"/>
  <c r="I279" i="1" s="1"/>
  <c r="F279" i="1"/>
  <c r="C279" i="1"/>
  <c r="AC278" i="1"/>
  <c r="AD278" i="1" s="1"/>
  <c r="AA278" i="1"/>
  <c r="W278" i="1"/>
  <c r="X278" i="1" s="1"/>
  <c r="U278" i="1"/>
  <c r="R278" i="1"/>
  <c r="O278" i="1"/>
  <c r="N278" i="1"/>
  <c r="L278" i="1"/>
  <c r="I278" i="1"/>
  <c r="H278" i="1"/>
  <c r="F278" i="1"/>
  <c r="C278" i="1"/>
  <c r="AC277" i="1"/>
  <c r="AD277" i="1" s="1"/>
  <c r="AA277" i="1"/>
  <c r="W277" i="1"/>
  <c r="X277" i="1" s="1"/>
  <c r="U277" i="1"/>
  <c r="R277" i="1"/>
  <c r="N277" i="1"/>
  <c r="O277" i="1" s="1"/>
  <c r="L277" i="1"/>
  <c r="H277" i="1"/>
  <c r="I277" i="1" s="1"/>
  <c r="F277" i="1"/>
  <c r="C277" i="1"/>
  <c r="AC276" i="1"/>
  <c r="AD276" i="1" s="1"/>
  <c r="AA276" i="1"/>
  <c r="X276" i="1"/>
  <c r="W276" i="1"/>
  <c r="U276" i="1"/>
  <c r="R276" i="1"/>
  <c r="O276" i="1"/>
  <c r="N276" i="1"/>
  <c r="L276" i="1"/>
  <c r="H276" i="1"/>
  <c r="I276" i="1" s="1"/>
  <c r="F276" i="1"/>
  <c r="C276" i="1"/>
  <c r="AC275" i="1"/>
  <c r="AD275" i="1" s="1"/>
  <c r="AA275" i="1"/>
  <c r="W275" i="1"/>
  <c r="X275" i="1" s="1"/>
  <c r="U275" i="1"/>
  <c r="R275" i="1"/>
  <c r="O275" i="1"/>
  <c r="N275" i="1"/>
  <c r="L275" i="1"/>
  <c r="H275" i="1"/>
  <c r="I275" i="1" s="1"/>
  <c r="F275" i="1"/>
  <c r="C275" i="1"/>
  <c r="AA273" i="1"/>
  <c r="Z273" i="1"/>
  <c r="AC273" i="1" s="1"/>
  <c r="AD273" i="1" s="1"/>
  <c r="T273" i="1"/>
  <c r="U273" i="1" s="1"/>
  <c r="Q273" i="1"/>
  <c r="R273" i="1" s="1"/>
  <c r="K273" i="1"/>
  <c r="L273" i="1" s="1"/>
  <c r="E273" i="1"/>
  <c r="F273" i="1" s="1"/>
  <c r="B273" i="1"/>
  <c r="H273" i="1" s="1"/>
  <c r="I273" i="1" s="1"/>
  <c r="AD272" i="1"/>
  <c r="AC272" i="1"/>
  <c r="AA272" i="1"/>
  <c r="W272" i="1"/>
  <c r="X272" i="1" s="1"/>
  <c r="U272" i="1"/>
  <c r="R272" i="1"/>
  <c r="N272" i="1"/>
  <c r="O272" i="1" s="1"/>
  <c r="L272" i="1"/>
  <c r="I272" i="1"/>
  <c r="H272" i="1"/>
  <c r="F272" i="1"/>
  <c r="C272" i="1"/>
  <c r="AC271" i="1"/>
  <c r="AD271" i="1" s="1"/>
  <c r="AA271" i="1"/>
  <c r="W271" i="1"/>
  <c r="X271" i="1" s="1"/>
  <c r="U271" i="1"/>
  <c r="R271" i="1"/>
  <c r="N271" i="1"/>
  <c r="O271" i="1" s="1"/>
  <c r="L271" i="1"/>
  <c r="I271" i="1"/>
  <c r="H271" i="1"/>
  <c r="F271" i="1"/>
  <c r="C271" i="1"/>
  <c r="AC270" i="1"/>
  <c r="AD270" i="1" s="1"/>
  <c r="AA270" i="1"/>
  <c r="W270" i="1"/>
  <c r="X270" i="1" s="1"/>
  <c r="U270" i="1"/>
  <c r="R270" i="1"/>
  <c r="N270" i="1"/>
  <c r="O270" i="1" s="1"/>
  <c r="L270" i="1"/>
  <c r="H270" i="1"/>
  <c r="I270" i="1" s="1"/>
  <c r="F270" i="1"/>
  <c r="C270" i="1"/>
  <c r="AD269" i="1"/>
  <c r="AC269" i="1"/>
  <c r="AA269" i="1"/>
  <c r="W269" i="1"/>
  <c r="X269" i="1" s="1"/>
  <c r="U269" i="1"/>
  <c r="R269" i="1"/>
  <c r="N269" i="1"/>
  <c r="O269" i="1" s="1"/>
  <c r="L269" i="1"/>
  <c r="H269" i="1"/>
  <c r="I269" i="1" s="1"/>
  <c r="F269" i="1"/>
  <c r="C269" i="1"/>
  <c r="AA267" i="1"/>
  <c r="Z267" i="1"/>
  <c r="T267" i="1"/>
  <c r="U267" i="1" s="1"/>
  <c r="R267" i="1"/>
  <c r="Q267" i="1"/>
  <c r="W267" i="1" s="1"/>
  <c r="X267" i="1" s="1"/>
  <c r="O267" i="1"/>
  <c r="K267" i="1"/>
  <c r="L267" i="1" s="1"/>
  <c r="F267" i="1"/>
  <c r="E267" i="1"/>
  <c r="H267" i="1" s="1"/>
  <c r="I267" i="1" s="1"/>
  <c r="C267" i="1"/>
  <c r="B267" i="1"/>
  <c r="N267" i="1" s="1"/>
  <c r="AC266" i="1"/>
  <c r="AD266" i="1" s="1"/>
  <c r="AA266" i="1"/>
  <c r="W266" i="1"/>
  <c r="X266" i="1" s="1"/>
  <c r="U266" i="1"/>
  <c r="R266" i="1"/>
  <c r="N266" i="1"/>
  <c r="O266" i="1" s="1"/>
  <c r="L266" i="1"/>
  <c r="H266" i="1"/>
  <c r="I266" i="1" s="1"/>
  <c r="F266" i="1"/>
  <c r="C266" i="1"/>
  <c r="AD265" i="1"/>
  <c r="AC265" i="1"/>
  <c r="AA265" i="1"/>
  <c r="W265" i="1"/>
  <c r="X265" i="1" s="1"/>
  <c r="U265" i="1"/>
  <c r="R265" i="1"/>
  <c r="N265" i="1"/>
  <c r="O265" i="1" s="1"/>
  <c r="L265" i="1"/>
  <c r="H265" i="1"/>
  <c r="I265" i="1" s="1"/>
  <c r="F265" i="1"/>
  <c r="C265" i="1"/>
  <c r="AA263" i="1"/>
  <c r="Z263" i="1"/>
  <c r="T263" i="1"/>
  <c r="U263" i="1" s="1"/>
  <c r="R263" i="1"/>
  <c r="Q263" i="1"/>
  <c r="W263" i="1" s="1"/>
  <c r="X263" i="1" s="1"/>
  <c r="K263" i="1"/>
  <c r="L263" i="1" s="1"/>
  <c r="F263" i="1"/>
  <c r="E263" i="1"/>
  <c r="H263" i="1" s="1"/>
  <c r="I263" i="1" s="1"/>
  <c r="C263" i="1"/>
  <c r="B263" i="1"/>
  <c r="N263" i="1" s="1"/>
  <c r="O263" i="1" s="1"/>
  <c r="Z262" i="1"/>
  <c r="AA262" i="1" s="1"/>
  <c r="X262" i="1"/>
  <c r="W262" i="1"/>
  <c r="U262" i="1"/>
  <c r="T262" i="1"/>
  <c r="Q262" i="1"/>
  <c r="R262" i="1" s="1"/>
  <c r="L262" i="1"/>
  <c r="K262" i="1"/>
  <c r="E262" i="1"/>
  <c r="F262" i="1" s="1"/>
  <c r="B262" i="1"/>
  <c r="N262" i="1" s="1"/>
  <c r="O262" i="1" s="1"/>
  <c r="AD261" i="1"/>
  <c r="AC261" i="1"/>
  <c r="AA261" i="1"/>
  <c r="W261" i="1"/>
  <c r="X261" i="1" s="1"/>
  <c r="U261" i="1"/>
  <c r="R261" i="1"/>
  <c r="N261" i="1"/>
  <c r="O261" i="1" s="1"/>
  <c r="L261" i="1"/>
  <c r="I261" i="1"/>
  <c r="H261" i="1"/>
  <c r="F261" i="1"/>
  <c r="C261" i="1"/>
  <c r="AC260" i="1"/>
  <c r="AD260" i="1" s="1"/>
  <c r="AA260" i="1"/>
  <c r="W260" i="1"/>
  <c r="X260" i="1" s="1"/>
  <c r="U260" i="1"/>
  <c r="R260" i="1"/>
  <c r="O260" i="1"/>
  <c r="N260" i="1"/>
  <c r="L260" i="1"/>
  <c r="I260" i="1"/>
  <c r="H260" i="1"/>
  <c r="F260" i="1"/>
  <c r="C260" i="1"/>
  <c r="AC259" i="1"/>
  <c r="AD259" i="1" s="1"/>
  <c r="AA259" i="1"/>
  <c r="W259" i="1"/>
  <c r="X259" i="1" s="1"/>
  <c r="U259" i="1"/>
  <c r="R259" i="1"/>
  <c r="N259" i="1"/>
  <c r="O259" i="1" s="1"/>
  <c r="L259" i="1"/>
  <c r="H259" i="1"/>
  <c r="I259" i="1" s="1"/>
  <c r="F259" i="1"/>
  <c r="C259" i="1"/>
  <c r="AD258" i="1"/>
  <c r="AC258" i="1"/>
  <c r="AA258" i="1"/>
  <c r="X258" i="1"/>
  <c r="W258" i="1"/>
  <c r="U258" i="1"/>
  <c r="R258" i="1"/>
  <c r="N258" i="1"/>
  <c r="O258" i="1" s="1"/>
  <c r="L258" i="1"/>
  <c r="H258" i="1"/>
  <c r="I258" i="1" s="1"/>
  <c r="F258" i="1"/>
  <c r="C258" i="1"/>
  <c r="AC257" i="1"/>
  <c r="AD257" i="1" s="1"/>
  <c r="AA257" i="1"/>
  <c r="W257" i="1"/>
  <c r="X257" i="1" s="1"/>
  <c r="U257" i="1"/>
  <c r="R257" i="1"/>
  <c r="N257" i="1"/>
  <c r="O257" i="1" s="1"/>
  <c r="L257" i="1"/>
  <c r="I257" i="1"/>
  <c r="H257" i="1"/>
  <c r="F257" i="1"/>
  <c r="C257" i="1"/>
  <c r="AC256" i="1"/>
  <c r="AD256" i="1" s="1"/>
  <c r="AA256" i="1"/>
  <c r="W256" i="1"/>
  <c r="X256" i="1" s="1"/>
  <c r="U256" i="1"/>
  <c r="R256" i="1"/>
  <c r="O256" i="1"/>
  <c r="N256" i="1"/>
  <c r="L256" i="1"/>
  <c r="H256" i="1"/>
  <c r="I256" i="1" s="1"/>
  <c r="F256" i="1"/>
  <c r="C256" i="1"/>
  <c r="AC255" i="1"/>
  <c r="AD255" i="1" s="1"/>
  <c r="AA255" i="1"/>
  <c r="W255" i="1"/>
  <c r="X255" i="1" s="1"/>
  <c r="U255" i="1"/>
  <c r="R255" i="1"/>
  <c r="N255" i="1"/>
  <c r="O255" i="1" s="1"/>
  <c r="L255" i="1"/>
  <c r="H255" i="1"/>
  <c r="I255" i="1" s="1"/>
  <c r="F255" i="1"/>
  <c r="C255" i="1"/>
  <c r="AD254" i="1"/>
  <c r="AC254" i="1"/>
  <c r="AA254" i="1"/>
  <c r="X254" i="1"/>
  <c r="W254" i="1"/>
  <c r="U254" i="1"/>
  <c r="R254" i="1"/>
  <c r="N254" i="1"/>
  <c r="O254" i="1" s="1"/>
  <c r="L254" i="1"/>
  <c r="H254" i="1"/>
  <c r="I254" i="1" s="1"/>
  <c r="F254" i="1"/>
  <c r="C254" i="1"/>
  <c r="AC253" i="1"/>
  <c r="AD253" i="1" s="1"/>
  <c r="AA253" i="1"/>
  <c r="W253" i="1"/>
  <c r="X253" i="1" s="1"/>
  <c r="U253" i="1"/>
  <c r="R253" i="1"/>
  <c r="N253" i="1"/>
  <c r="O253" i="1" s="1"/>
  <c r="L253" i="1"/>
  <c r="I253" i="1"/>
  <c r="H253" i="1"/>
  <c r="F253" i="1"/>
  <c r="C253" i="1"/>
  <c r="AC252" i="1"/>
  <c r="AD252" i="1" s="1"/>
  <c r="AA252" i="1"/>
  <c r="W252" i="1"/>
  <c r="X252" i="1" s="1"/>
  <c r="U252" i="1"/>
  <c r="R252" i="1"/>
  <c r="O252" i="1"/>
  <c r="N252" i="1"/>
  <c r="L252" i="1"/>
  <c r="H252" i="1"/>
  <c r="I252" i="1" s="1"/>
  <c r="F252" i="1"/>
  <c r="C252" i="1"/>
  <c r="AC251" i="1"/>
  <c r="AD251" i="1" s="1"/>
  <c r="AA251" i="1"/>
  <c r="W251" i="1"/>
  <c r="X251" i="1" s="1"/>
  <c r="U251" i="1"/>
  <c r="R251" i="1"/>
  <c r="N251" i="1"/>
  <c r="O251" i="1" s="1"/>
  <c r="L251" i="1"/>
  <c r="H251" i="1"/>
  <c r="I251" i="1" s="1"/>
  <c r="F251" i="1"/>
  <c r="C251" i="1"/>
  <c r="AD250" i="1"/>
  <c r="AC250" i="1"/>
  <c r="AA250" i="1"/>
  <c r="X250" i="1"/>
  <c r="W250" i="1"/>
  <c r="U250" i="1"/>
  <c r="R250" i="1"/>
  <c r="N250" i="1"/>
  <c r="O250" i="1" s="1"/>
  <c r="L250" i="1"/>
  <c r="H250" i="1"/>
  <c r="I250" i="1" s="1"/>
  <c r="F250" i="1"/>
  <c r="C250" i="1"/>
  <c r="AC249" i="1"/>
  <c r="AD249" i="1" s="1"/>
  <c r="AA249" i="1"/>
  <c r="W249" i="1"/>
  <c r="X249" i="1" s="1"/>
  <c r="U249" i="1"/>
  <c r="R249" i="1"/>
  <c r="N249" i="1"/>
  <c r="O249" i="1" s="1"/>
  <c r="L249" i="1"/>
  <c r="I249" i="1"/>
  <c r="H249" i="1"/>
  <c r="F249" i="1"/>
  <c r="C249" i="1"/>
  <c r="AC248" i="1"/>
  <c r="AD248" i="1" s="1"/>
  <c r="AA248" i="1"/>
  <c r="W248" i="1"/>
  <c r="X248" i="1" s="1"/>
  <c r="U248" i="1"/>
  <c r="R248" i="1"/>
  <c r="O248" i="1"/>
  <c r="N248" i="1"/>
  <c r="L248" i="1"/>
  <c r="H248" i="1"/>
  <c r="I248" i="1" s="1"/>
  <c r="F248" i="1"/>
  <c r="C248" i="1"/>
  <c r="AC247" i="1"/>
  <c r="AD247" i="1" s="1"/>
  <c r="AA247" i="1"/>
  <c r="W247" i="1"/>
  <c r="X247" i="1" s="1"/>
  <c r="U247" i="1"/>
  <c r="R247" i="1"/>
  <c r="N247" i="1"/>
  <c r="O247" i="1" s="1"/>
  <c r="L247" i="1"/>
  <c r="H247" i="1"/>
  <c r="I247" i="1" s="1"/>
  <c r="F247" i="1"/>
  <c r="C247" i="1"/>
  <c r="AD246" i="1"/>
  <c r="AC246" i="1"/>
  <c r="AA246" i="1"/>
  <c r="X246" i="1"/>
  <c r="W246" i="1"/>
  <c r="U246" i="1"/>
  <c r="R246" i="1"/>
  <c r="O246" i="1"/>
  <c r="N246" i="1"/>
  <c r="L246" i="1"/>
  <c r="H246" i="1"/>
  <c r="I246" i="1" s="1"/>
  <c r="F246" i="1"/>
  <c r="C246" i="1"/>
  <c r="AC245" i="1"/>
  <c r="AD245" i="1" s="1"/>
  <c r="AA245" i="1"/>
  <c r="W245" i="1"/>
  <c r="X245" i="1" s="1"/>
  <c r="U245" i="1"/>
  <c r="R245" i="1"/>
  <c r="N245" i="1"/>
  <c r="O245" i="1" s="1"/>
  <c r="L245" i="1"/>
  <c r="I245" i="1"/>
  <c r="H245" i="1"/>
  <c r="F245" i="1"/>
  <c r="C245" i="1"/>
  <c r="AC244" i="1"/>
  <c r="AD244" i="1" s="1"/>
  <c r="AA244" i="1"/>
  <c r="W244" i="1"/>
  <c r="X244" i="1" s="1"/>
  <c r="U244" i="1"/>
  <c r="R244" i="1"/>
  <c r="O244" i="1"/>
  <c r="N244" i="1"/>
  <c r="L244" i="1"/>
  <c r="H244" i="1"/>
  <c r="I244" i="1" s="1"/>
  <c r="F244" i="1"/>
  <c r="C244" i="1"/>
  <c r="AC243" i="1"/>
  <c r="AD243" i="1" s="1"/>
  <c r="AA243" i="1"/>
  <c r="W243" i="1"/>
  <c r="X243" i="1" s="1"/>
  <c r="U243" i="1"/>
  <c r="R243" i="1"/>
  <c r="N243" i="1"/>
  <c r="O243" i="1" s="1"/>
  <c r="L243" i="1"/>
  <c r="H243" i="1"/>
  <c r="I243" i="1" s="1"/>
  <c r="F243" i="1"/>
  <c r="C243" i="1"/>
  <c r="AD242" i="1"/>
  <c r="AC242" i="1"/>
  <c r="AA242" i="1"/>
  <c r="X242" i="1"/>
  <c r="W242" i="1"/>
  <c r="U242" i="1"/>
  <c r="R242" i="1"/>
  <c r="O242" i="1"/>
  <c r="N242" i="1"/>
  <c r="L242" i="1"/>
  <c r="H242" i="1"/>
  <c r="I242" i="1" s="1"/>
  <c r="F242" i="1"/>
  <c r="C242" i="1"/>
  <c r="AC241" i="1"/>
  <c r="AD241" i="1" s="1"/>
  <c r="AA241" i="1"/>
  <c r="W241" i="1"/>
  <c r="X241" i="1" s="1"/>
  <c r="U241" i="1"/>
  <c r="R241" i="1"/>
  <c r="N241" i="1"/>
  <c r="O241" i="1" s="1"/>
  <c r="L241" i="1"/>
  <c r="I241" i="1"/>
  <c r="H241" i="1"/>
  <c r="F241" i="1"/>
  <c r="C241" i="1"/>
  <c r="AC240" i="1"/>
  <c r="AD240" i="1" s="1"/>
  <c r="AA240" i="1"/>
  <c r="W240" i="1"/>
  <c r="X240" i="1" s="1"/>
  <c r="U240" i="1"/>
  <c r="R240" i="1"/>
  <c r="O240" i="1"/>
  <c r="N240" i="1"/>
  <c r="L240" i="1"/>
  <c r="H240" i="1"/>
  <c r="I240" i="1" s="1"/>
  <c r="F240" i="1"/>
  <c r="C240" i="1"/>
  <c r="AC238" i="1"/>
  <c r="AD238" i="1" s="1"/>
  <c r="AA238" i="1"/>
  <c r="W238" i="1"/>
  <c r="X238" i="1" s="1"/>
  <c r="U238" i="1"/>
  <c r="R238" i="1"/>
  <c r="N238" i="1"/>
  <c r="O238" i="1" s="1"/>
  <c r="L238" i="1"/>
  <c r="H238" i="1"/>
  <c r="I238" i="1" s="1"/>
  <c r="F238" i="1"/>
  <c r="C238" i="1"/>
  <c r="AD236" i="1"/>
  <c r="Z236" i="1"/>
  <c r="AA236" i="1" s="1"/>
  <c r="T236" i="1"/>
  <c r="W236" i="1" s="1"/>
  <c r="X236" i="1" s="1"/>
  <c r="R236" i="1"/>
  <c r="Q236" i="1"/>
  <c r="AC236" i="1" s="1"/>
  <c r="K236" i="1"/>
  <c r="L236" i="1" s="1"/>
  <c r="I236" i="1"/>
  <c r="H236" i="1"/>
  <c r="F236" i="1"/>
  <c r="E236" i="1"/>
  <c r="B236" i="1"/>
  <c r="C236" i="1" s="1"/>
  <c r="AC235" i="1"/>
  <c r="AD235" i="1" s="1"/>
  <c r="AA235" i="1"/>
  <c r="W235" i="1"/>
  <c r="X235" i="1" s="1"/>
  <c r="U235" i="1"/>
  <c r="R235" i="1"/>
  <c r="O235" i="1"/>
  <c r="N235" i="1"/>
  <c r="L235" i="1"/>
  <c r="H235" i="1"/>
  <c r="I235" i="1" s="1"/>
  <c r="F235" i="1"/>
  <c r="C235" i="1"/>
  <c r="AC234" i="1"/>
  <c r="AD234" i="1" s="1"/>
  <c r="AA234" i="1"/>
  <c r="W234" i="1"/>
  <c r="X234" i="1" s="1"/>
  <c r="U234" i="1"/>
  <c r="R234" i="1"/>
  <c r="N234" i="1"/>
  <c r="O234" i="1" s="1"/>
  <c r="L234" i="1"/>
  <c r="H234" i="1"/>
  <c r="I234" i="1" s="1"/>
  <c r="F234" i="1"/>
  <c r="C234" i="1"/>
  <c r="AD233" i="1"/>
  <c r="AC233" i="1"/>
  <c r="AA233" i="1"/>
  <c r="X233" i="1"/>
  <c r="W233" i="1"/>
  <c r="U233" i="1"/>
  <c r="R233" i="1"/>
  <c r="N233" i="1"/>
  <c r="O233" i="1" s="1"/>
  <c r="L233" i="1"/>
  <c r="H233" i="1"/>
  <c r="I233" i="1" s="1"/>
  <c r="F233" i="1"/>
  <c r="C233" i="1"/>
  <c r="AC232" i="1"/>
  <c r="AD232" i="1" s="1"/>
  <c r="AA232" i="1"/>
  <c r="W232" i="1"/>
  <c r="X232" i="1" s="1"/>
  <c r="U232" i="1"/>
  <c r="R232" i="1"/>
  <c r="N232" i="1"/>
  <c r="O232" i="1" s="1"/>
  <c r="L232" i="1"/>
  <c r="I232" i="1"/>
  <c r="H232" i="1"/>
  <c r="F232" i="1"/>
  <c r="C232" i="1"/>
  <c r="AC231" i="1"/>
  <c r="AD231" i="1" s="1"/>
  <c r="AA231" i="1"/>
  <c r="W231" i="1"/>
  <c r="X231" i="1" s="1"/>
  <c r="U231" i="1"/>
  <c r="R231" i="1"/>
  <c r="N231" i="1"/>
  <c r="O231" i="1" s="1"/>
  <c r="L231" i="1"/>
  <c r="I231" i="1"/>
  <c r="H231" i="1"/>
  <c r="F231" i="1"/>
  <c r="C231" i="1"/>
  <c r="AC230" i="1"/>
  <c r="AD230" i="1" s="1"/>
  <c r="AA230" i="1"/>
  <c r="W230" i="1"/>
  <c r="X230" i="1" s="1"/>
  <c r="U230" i="1"/>
  <c r="R230" i="1"/>
  <c r="N230" i="1"/>
  <c r="O230" i="1" s="1"/>
  <c r="L230" i="1"/>
  <c r="H230" i="1"/>
  <c r="I230" i="1" s="1"/>
  <c r="F230" i="1"/>
  <c r="C230" i="1"/>
  <c r="AD229" i="1"/>
  <c r="AC229" i="1"/>
  <c r="AA229" i="1"/>
  <c r="W229" i="1"/>
  <c r="X229" i="1" s="1"/>
  <c r="U229" i="1"/>
  <c r="R229" i="1"/>
  <c r="N229" i="1"/>
  <c r="O229" i="1" s="1"/>
  <c r="L229" i="1"/>
  <c r="H229" i="1"/>
  <c r="I229" i="1" s="1"/>
  <c r="F229" i="1"/>
  <c r="C229" i="1"/>
  <c r="AA227" i="1"/>
  <c r="Z227" i="1"/>
  <c r="T227" i="1"/>
  <c r="U227" i="1" s="1"/>
  <c r="Q227" i="1"/>
  <c r="W227" i="1" s="1"/>
  <c r="X227" i="1" s="1"/>
  <c r="K227" i="1"/>
  <c r="L227" i="1" s="1"/>
  <c r="E227" i="1"/>
  <c r="H227" i="1" s="1"/>
  <c r="I227" i="1" s="1"/>
  <c r="C227" i="1"/>
  <c r="B227" i="1"/>
  <c r="N227" i="1" s="1"/>
  <c r="O227" i="1" s="1"/>
  <c r="AC226" i="1"/>
  <c r="AD226" i="1" s="1"/>
  <c r="AA226" i="1"/>
  <c r="W226" i="1"/>
  <c r="X226" i="1" s="1"/>
  <c r="U226" i="1"/>
  <c r="R226" i="1"/>
  <c r="N226" i="1"/>
  <c r="O226" i="1" s="1"/>
  <c r="L226" i="1"/>
  <c r="H226" i="1"/>
  <c r="I226" i="1" s="1"/>
  <c r="F226" i="1"/>
  <c r="C226" i="1"/>
  <c r="AD225" i="1"/>
  <c r="AC225" i="1"/>
  <c r="AA225" i="1"/>
  <c r="X225" i="1"/>
  <c r="W225" i="1"/>
  <c r="U225" i="1"/>
  <c r="R225" i="1"/>
  <c r="N225" i="1"/>
  <c r="O225" i="1" s="1"/>
  <c r="L225" i="1"/>
  <c r="H225" i="1"/>
  <c r="I225" i="1" s="1"/>
  <c r="F225" i="1"/>
  <c r="C225" i="1"/>
  <c r="AC224" i="1"/>
  <c r="AD224" i="1" s="1"/>
  <c r="AA224" i="1"/>
  <c r="W224" i="1"/>
  <c r="X224" i="1" s="1"/>
  <c r="U224" i="1"/>
  <c r="R224" i="1"/>
  <c r="N224" i="1"/>
  <c r="O224" i="1" s="1"/>
  <c r="L224" i="1"/>
  <c r="I224" i="1"/>
  <c r="H224" i="1"/>
  <c r="F224" i="1"/>
  <c r="C224" i="1"/>
  <c r="AC223" i="1"/>
  <c r="AD223" i="1" s="1"/>
  <c r="AA223" i="1"/>
  <c r="X223" i="1"/>
  <c r="W223" i="1"/>
  <c r="U223" i="1"/>
  <c r="R223" i="1"/>
  <c r="O223" i="1"/>
  <c r="N223" i="1"/>
  <c r="L223" i="1"/>
  <c r="H223" i="1"/>
  <c r="I223" i="1" s="1"/>
  <c r="F223" i="1"/>
  <c r="C223" i="1"/>
  <c r="AC222" i="1"/>
  <c r="AD222" i="1" s="1"/>
  <c r="AA222" i="1"/>
  <c r="W222" i="1"/>
  <c r="X222" i="1" s="1"/>
  <c r="U222" i="1"/>
  <c r="R222" i="1"/>
  <c r="N222" i="1"/>
  <c r="O222" i="1" s="1"/>
  <c r="L222" i="1"/>
  <c r="H222" i="1"/>
  <c r="I222" i="1" s="1"/>
  <c r="F222" i="1"/>
  <c r="C222" i="1"/>
  <c r="AD221" i="1"/>
  <c r="AC221" i="1"/>
  <c r="AA221" i="1"/>
  <c r="X221" i="1"/>
  <c r="W221" i="1"/>
  <c r="U221" i="1"/>
  <c r="R221" i="1"/>
  <c r="N221" i="1"/>
  <c r="O221" i="1" s="1"/>
  <c r="L221" i="1"/>
  <c r="H221" i="1"/>
  <c r="I221" i="1" s="1"/>
  <c r="F221" i="1"/>
  <c r="C221" i="1"/>
  <c r="AC220" i="1"/>
  <c r="AD220" i="1" s="1"/>
  <c r="AA220" i="1"/>
  <c r="W220" i="1"/>
  <c r="X220" i="1" s="1"/>
  <c r="U220" i="1"/>
  <c r="R220" i="1"/>
  <c r="N220" i="1"/>
  <c r="O220" i="1" s="1"/>
  <c r="L220" i="1"/>
  <c r="I220" i="1"/>
  <c r="H220" i="1"/>
  <c r="F220" i="1"/>
  <c r="C220" i="1"/>
  <c r="AC219" i="1"/>
  <c r="AD219" i="1" s="1"/>
  <c r="AA219" i="1"/>
  <c r="X219" i="1"/>
  <c r="W219" i="1"/>
  <c r="U219" i="1"/>
  <c r="R219" i="1"/>
  <c r="O219" i="1"/>
  <c r="N219" i="1"/>
  <c r="L219" i="1"/>
  <c r="H219" i="1"/>
  <c r="I219" i="1" s="1"/>
  <c r="F219" i="1"/>
  <c r="C219" i="1"/>
  <c r="Z218" i="1"/>
  <c r="AA218" i="1" s="1"/>
  <c r="W218" i="1"/>
  <c r="X218" i="1" s="1"/>
  <c r="U218" i="1"/>
  <c r="T218" i="1"/>
  <c r="Q218" i="1"/>
  <c r="R218" i="1" s="1"/>
  <c r="K218" i="1"/>
  <c r="L218" i="1" s="1"/>
  <c r="E218" i="1"/>
  <c r="F218" i="1" s="1"/>
  <c r="B218" i="1"/>
  <c r="AD217" i="1"/>
  <c r="AC217" i="1"/>
  <c r="AA217" i="1"/>
  <c r="W217" i="1"/>
  <c r="X217" i="1" s="1"/>
  <c r="U217" i="1"/>
  <c r="R217" i="1"/>
  <c r="N217" i="1"/>
  <c r="O217" i="1" s="1"/>
  <c r="L217" i="1"/>
  <c r="I217" i="1"/>
  <c r="H217" i="1"/>
  <c r="F217" i="1"/>
  <c r="C217" i="1"/>
  <c r="AC216" i="1"/>
  <c r="AD216" i="1" s="1"/>
  <c r="AA216" i="1"/>
  <c r="W216" i="1"/>
  <c r="X216" i="1" s="1"/>
  <c r="U216" i="1"/>
  <c r="R216" i="1"/>
  <c r="N216" i="1"/>
  <c r="O216" i="1" s="1"/>
  <c r="L216" i="1"/>
  <c r="H216" i="1"/>
  <c r="I216" i="1" s="1"/>
  <c r="F216" i="1"/>
  <c r="C216" i="1"/>
  <c r="AC215" i="1"/>
  <c r="AD215" i="1" s="1"/>
  <c r="AA215" i="1"/>
  <c r="W215" i="1"/>
  <c r="X215" i="1" s="1"/>
  <c r="U215" i="1"/>
  <c r="R215" i="1"/>
  <c r="N215" i="1"/>
  <c r="O215" i="1" s="1"/>
  <c r="L215" i="1"/>
  <c r="H215" i="1"/>
  <c r="I215" i="1" s="1"/>
  <c r="F215" i="1"/>
  <c r="C215" i="1"/>
  <c r="AD214" i="1"/>
  <c r="AC214" i="1"/>
  <c r="AA214" i="1"/>
  <c r="W214" i="1"/>
  <c r="X214" i="1" s="1"/>
  <c r="U214" i="1"/>
  <c r="R214" i="1"/>
  <c r="O214" i="1"/>
  <c r="N214" i="1"/>
  <c r="L214" i="1"/>
  <c r="H214" i="1"/>
  <c r="I214" i="1" s="1"/>
  <c r="F214" i="1"/>
  <c r="C214" i="1"/>
  <c r="AC213" i="1"/>
  <c r="AD213" i="1" s="1"/>
  <c r="AA213" i="1"/>
  <c r="W213" i="1"/>
  <c r="X213" i="1" s="1"/>
  <c r="U213" i="1"/>
  <c r="R213" i="1"/>
  <c r="N213" i="1"/>
  <c r="O213" i="1" s="1"/>
  <c r="L213" i="1"/>
  <c r="I213" i="1"/>
  <c r="H213" i="1"/>
  <c r="F213" i="1"/>
  <c r="C213" i="1"/>
  <c r="AC211" i="1"/>
  <c r="AD211" i="1" s="1"/>
  <c r="AA211" i="1"/>
  <c r="W211" i="1"/>
  <c r="X211" i="1" s="1"/>
  <c r="U211" i="1"/>
  <c r="R211" i="1"/>
  <c r="N211" i="1"/>
  <c r="O211" i="1" s="1"/>
  <c r="L211" i="1"/>
  <c r="I211" i="1"/>
  <c r="H211" i="1"/>
  <c r="F211" i="1"/>
  <c r="C211" i="1"/>
  <c r="Z209" i="1"/>
  <c r="AA209" i="1" s="1"/>
  <c r="W209" i="1"/>
  <c r="X209" i="1" s="1"/>
  <c r="U209" i="1"/>
  <c r="T209" i="1"/>
  <c r="Q209" i="1"/>
  <c r="R209" i="1" s="1"/>
  <c r="K209" i="1"/>
  <c r="L209" i="1" s="1"/>
  <c r="E209" i="1"/>
  <c r="F209" i="1" s="1"/>
  <c r="B209" i="1"/>
  <c r="AC208" i="1"/>
  <c r="AD208" i="1" s="1"/>
  <c r="AA208" i="1"/>
  <c r="W208" i="1"/>
  <c r="X208" i="1" s="1"/>
  <c r="U208" i="1"/>
  <c r="R208" i="1"/>
  <c r="N208" i="1"/>
  <c r="O208" i="1" s="1"/>
  <c r="L208" i="1"/>
  <c r="I208" i="1"/>
  <c r="H208" i="1"/>
  <c r="F208" i="1"/>
  <c r="C208" i="1"/>
  <c r="AC207" i="1"/>
  <c r="AD207" i="1" s="1"/>
  <c r="AA207" i="1"/>
  <c r="W207" i="1"/>
  <c r="X207" i="1" s="1"/>
  <c r="U207" i="1"/>
  <c r="R207" i="1"/>
  <c r="O207" i="1"/>
  <c r="N207" i="1"/>
  <c r="L207" i="1"/>
  <c r="H207" i="1"/>
  <c r="I207" i="1" s="1"/>
  <c r="F207" i="1"/>
  <c r="C207" i="1"/>
  <c r="AC206" i="1"/>
  <c r="AD206" i="1" s="1"/>
  <c r="AA206" i="1"/>
  <c r="W206" i="1"/>
  <c r="X206" i="1" s="1"/>
  <c r="U206" i="1"/>
  <c r="R206" i="1"/>
  <c r="N206" i="1"/>
  <c r="O206" i="1" s="1"/>
  <c r="L206" i="1"/>
  <c r="H206" i="1"/>
  <c r="I206" i="1" s="1"/>
  <c r="F206" i="1"/>
  <c r="C206" i="1"/>
  <c r="AD205" i="1"/>
  <c r="AC205" i="1"/>
  <c r="AA205" i="1"/>
  <c r="X205" i="1"/>
  <c r="W205" i="1"/>
  <c r="U205" i="1"/>
  <c r="R205" i="1"/>
  <c r="N205" i="1"/>
  <c r="O205" i="1" s="1"/>
  <c r="L205" i="1"/>
  <c r="H205" i="1"/>
  <c r="I205" i="1" s="1"/>
  <c r="F205" i="1"/>
  <c r="C205" i="1"/>
  <c r="AC204" i="1"/>
  <c r="AD204" i="1" s="1"/>
  <c r="AA204" i="1"/>
  <c r="W204" i="1"/>
  <c r="X204" i="1" s="1"/>
  <c r="U204" i="1"/>
  <c r="R204" i="1"/>
  <c r="N204" i="1"/>
  <c r="O204" i="1" s="1"/>
  <c r="L204" i="1"/>
  <c r="I204" i="1"/>
  <c r="H204" i="1"/>
  <c r="F204" i="1"/>
  <c r="C204" i="1"/>
  <c r="AC203" i="1"/>
  <c r="AD203" i="1" s="1"/>
  <c r="AA203" i="1"/>
  <c r="W203" i="1"/>
  <c r="X203" i="1" s="1"/>
  <c r="U203" i="1"/>
  <c r="R203" i="1"/>
  <c r="O203" i="1"/>
  <c r="N203" i="1"/>
  <c r="L203" i="1"/>
  <c r="H203" i="1"/>
  <c r="I203" i="1" s="1"/>
  <c r="F203" i="1"/>
  <c r="C203" i="1"/>
  <c r="AC202" i="1"/>
  <c r="AD202" i="1" s="1"/>
  <c r="AA202" i="1"/>
  <c r="W202" i="1"/>
  <c r="X202" i="1" s="1"/>
  <c r="U202" i="1"/>
  <c r="R202" i="1"/>
  <c r="N202" i="1"/>
  <c r="O202" i="1" s="1"/>
  <c r="L202" i="1"/>
  <c r="H202" i="1"/>
  <c r="I202" i="1" s="1"/>
  <c r="F202" i="1"/>
  <c r="C202" i="1"/>
  <c r="AD201" i="1"/>
  <c r="AC201" i="1"/>
  <c r="AA201" i="1"/>
  <c r="X201" i="1"/>
  <c r="W201" i="1"/>
  <c r="U201" i="1"/>
  <c r="R201" i="1"/>
  <c r="N201" i="1"/>
  <c r="O201" i="1" s="1"/>
  <c r="L201" i="1"/>
  <c r="H201" i="1"/>
  <c r="I201" i="1" s="1"/>
  <c r="F201" i="1"/>
  <c r="C201" i="1"/>
  <c r="Z197" i="1"/>
  <c r="AA197" i="1" s="1"/>
  <c r="W197" i="1"/>
  <c r="X197" i="1" s="1"/>
  <c r="U197" i="1"/>
  <c r="T197" i="1"/>
  <c r="Q197" i="1"/>
  <c r="R197" i="1" s="1"/>
  <c r="K197" i="1"/>
  <c r="N197" i="1" s="1"/>
  <c r="O197" i="1" s="1"/>
  <c r="E197" i="1"/>
  <c r="F197" i="1" s="1"/>
  <c r="B197" i="1"/>
  <c r="C197" i="1" s="1"/>
  <c r="AA196" i="1"/>
  <c r="Z196" i="1"/>
  <c r="T196" i="1"/>
  <c r="U196" i="1" s="1"/>
  <c r="Q196" i="1"/>
  <c r="W196" i="1" s="1"/>
  <c r="X196" i="1" s="1"/>
  <c r="O196" i="1"/>
  <c r="K196" i="1"/>
  <c r="L196" i="1" s="1"/>
  <c r="E196" i="1"/>
  <c r="H196" i="1" s="1"/>
  <c r="I196" i="1" s="1"/>
  <c r="C196" i="1"/>
  <c r="B196" i="1"/>
  <c r="N196" i="1" s="1"/>
  <c r="AC195" i="1"/>
  <c r="AD195" i="1" s="1"/>
  <c r="AA195" i="1"/>
  <c r="W195" i="1"/>
  <c r="X195" i="1" s="1"/>
  <c r="U195" i="1"/>
  <c r="R195" i="1"/>
  <c r="N195" i="1"/>
  <c r="O195" i="1" s="1"/>
  <c r="L195" i="1"/>
  <c r="H195" i="1"/>
  <c r="I195" i="1" s="1"/>
  <c r="F195" i="1"/>
  <c r="C195" i="1"/>
  <c r="AD194" i="1"/>
  <c r="AC194" i="1"/>
  <c r="AA194" i="1"/>
  <c r="X194" i="1"/>
  <c r="W194" i="1"/>
  <c r="U194" i="1"/>
  <c r="R194" i="1"/>
  <c r="N194" i="1"/>
  <c r="O194" i="1" s="1"/>
  <c r="L194" i="1"/>
  <c r="H194" i="1"/>
  <c r="I194" i="1" s="1"/>
  <c r="F194" i="1"/>
  <c r="C194" i="1"/>
  <c r="AA193" i="1"/>
  <c r="Z193" i="1"/>
  <c r="T193" i="1"/>
  <c r="U193" i="1" s="1"/>
  <c r="Q193" i="1"/>
  <c r="W193" i="1" s="1"/>
  <c r="X193" i="1" s="1"/>
  <c r="O193" i="1"/>
  <c r="K193" i="1"/>
  <c r="L193" i="1" s="1"/>
  <c r="E193" i="1"/>
  <c r="H193" i="1" s="1"/>
  <c r="I193" i="1" s="1"/>
  <c r="C193" i="1"/>
  <c r="B193" i="1"/>
  <c r="N193" i="1" s="1"/>
  <c r="AC192" i="1"/>
  <c r="AD192" i="1" s="1"/>
  <c r="AA192" i="1"/>
  <c r="W192" i="1"/>
  <c r="X192" i="1" s="1"/>
  <c r="U192" i="1"/>
  <c r="R192" i="1"/>
  <c r="N192" i="1"/>
  <c r="O192" i="1" s="1"/>
  <c r="L192" i="1"/>
  <c r="H192" i="1"/>
  <c r="I192" i="1" s="1"/>
  <c r="F192" i="1"/>
  <c r="C192" i="1"/>
  <c r="AD191" i="1"/>
  <c r="AC191" i="1"/>
  <c r="AA191" i="1"/>
  <c r="W191" i="1"/>
  <c r="X191" i="1" s="1"/>
  <c r="U191" i="1"/>
  <c r="R191" i="1"/>
  <c r="O191" i="1"/>
  <c r="N191" i="1"/>
  <c r="L191" i="1"/>
  <c r="H191" i="1"/>
  <c r="I191" i="1" s="1"/>
  <c r="F191" i="1"/>
  <c r="C191" i="1"/>
  <c r="AC190" i="1"/>
  <c r="AD190" i="1" s="1"/>
  <c r="AA190" i="1"/>
  <c r="W190" i="1"/>
  <c r="X190" i="1" s="1"/>
  <c r="U190" i="1"/>
  <c r="R190" i="1"/>
  <c r="N190" i="1"/>
  <c r="O190" i="1" s="1"/>
  <c r="L190" i="1"/>
  <c r="I190" i="1"/>
  <c r="H190" i="1"/>
  <c r="F190" i="1"/>
  <c r="C190" i="1"/>
  <c r="AC189" i="1"/>
  <c r="AD189" i="1" s="1"/>
  <c r="AA189" i="1"/>
  <c r="X189" i="1"/>
  <c r="W189" i="1"/>
  <c r="U189" i="1"/>
  <c r="R189" i="1"/>
  <c r="N189" i="1"/>
  <c r="O189" i="1" s="1"/>
  <c r="L189" i="1"/>
  <c r="H189" i="1"/>
  <c r="I189" i="1" s="1"/>
  <c r="F189" i="1"/>
  <c r="C189" i="1"/>
  <c r="AC188" i="1"/>
  <c r="AD188" i="1" s="1"/>
  <c r="AA188" i="1"/>
  <c r="W188" i="1"/>
  <c r="X188" i="1" s="1"/>
  <c r="U188" i="1"/>
  <c r="R188" i="1"/>
  <c r="N188" i="1"/>
  <c r="O188" i="1" s="1"/>
  <c r="L188" i="1"/>
  <c r="H188" i="1"/>
  <c r="I188" i="1" s="1"/>
  <c r="F188" i="1"/>
  <c r="C188" i="1"/>
  <c r="AD187" i="1"/>
  <c r="AC187" i="1"/>
  <c r="AA187" i="1"/>
  <c r="W187" i="1"/>
  <c r="X187" i="1" s="1"/>
  <c r="U187" i="1"/>
  <c r="R187" i="1"/>
  <c r="O187" i="1"/>
  <c r="N187" i="1"/>
  <c r="L187" i="1"/>
  <c r="H187" i="1"/>
  <c r="I187" i="1" s="1"/>
  <c r="F187" i="1"/>
  <c r="C187" i="1"/>
  <c r="AC186" i="1"/>
  <c r="AD186" i="1" s="1"/>
  <c r="AA186" i="1"/>
  <c r="W186" i="1"/>
  <c r="X186" i="1" s="1"/>
  <c r="U186" i="1"/>
  <c r="R186" i="1"/>
  <c r="N186" i="1"/>
  <c r="O186" i="1" s="1"/>
  <c r="L186" i="1"/>
  <c r="I186" i="1"/>
  <c r="H186" i="1"/>
  <c r="F186" i="1"/>
  <c r="C186" i="1"/>
  <c r="AC184" i="1"/>
  <c r="AD184" i="1" s="1"/>
  <c r="AA184" i="1"/>
  <c r="X184" i="1"/>
  <c r="W184" i="1"/>
  <c r="U184" i="1"/>
  <c r="R184" i="1"/>
  <c r="N184" i="1"/>
  <c r="O184" i="1" s="1"/>
  <c r="L184" i="1"/>
  <c r="H184" i="1"/>
  <c r="I184" i="1" s="1"/>
  <c r="F184" i="1"/>
  <c r="C184" i="1"/>
  <c r="AC183" i="1"/>
  <c r="AD183" i="1" s="1"/>
  <c r="AA183" i="1"/>
  <c r="W183" i="1"/>
  <c r="X183" i="1" s="1"/>
  <c r="U183" i="1"/>
  <c r="R183" i="1"/>
  <c r="N183" i="1"/>
  <c r="O183" i="1" s="1"/>
  <c r="L183" i="1"/>
  <c r="H183" i="1"/>
  <c r="I183" i="1" s="1"/>
  <c r="F183" i="1"/>
  <c r="C183" i="1"/>
  <c r="AD182" i="1"/>
  <c r="Z182" i="1"/>
  <c r="AA182" i="1" s="1"/>
  <c r="W182" i="1"/>
  <c r="X182" i="1" s="1"/>
  <c r="U182" i="1"/>
  <c r="T182" i="1"/>
  <c r="R182" i="1"/>
  <c r="Q182" i="1"/>
  <c r="AC182" i="1" s="1"/>
  <c r="K182" i="1"/>
  <c r="L182" i="1" s="1"/>
  <c r="I182" i="1"/>
  <c r="H182" i="1"/>
  <c r="F182" i="1"/>
  <c r="E182" i="1"/>
  <c r="B182" i="1"/>
  <c r="C182" i="1" s="1"/>
  <c r="AC181" i="1"/>
  <c r="AD181" i="1" s="1"/>
  <c r="AA181" i="1"/>
  <c r="W181" i="1"/>
  <c r="X181" i="1" s="1"/>
  <c r="U181" i="1"/>
  <c r="R181" i="1"/>
  <c r="O181" i="1"/>
  <c r="N181" i="1"/>
  <c r="L181" i="1"/>
  <c r="I181" i="1"/>
  <c r="H181" i="1"/>
  <c r="F181" i="1"/>
  <c r="C181" i="1"/>
  <c r="AC180" i="1"/>
  <c r="AD180" i="1" s="1"/>
  <c r="AA180" i="1"/>
  <c r="W180" i="1"/>
  <c r="X180" i="1" s="1"/>
  <c r="U180" i="1"/>
  <c r="R180" i="1"/>
  <c r="N180" i="1"/>
  <c r="O180" i="1" s="1"/>
  <c r="L180" i="1"/>
  <c r="H180" i="1"/>
  <c r="I180" i="1" s="1"/>
  <c r="F180" i="1"/>
  <c r="C180" i="1"/>
  <c r="AD179" i="1"/>
  <c r="AC179" i="1"/>
  <c r="AA179" i="1"/>
  <c r="W179" i="1"/>
  <c r="X179" i="1" s="1"/>
  <c r="U179" i="1"/>
  <c r="R179" i="1"/>
  <c r="O179" i="1"/>
  <c r="N179" i="1"/>
  <c r="L179" i="1"/>
  <c r="H179" i="1"/>
  <c r="I179" i="1" s="1"/>
  <c r="F179" i="1"/>
  <c r="C179" i="1"/>
  <c r="AC178" i="1"/>
  <c r="AD178" i="1" s="1"/>
  <c r="AA178" i="1"/>
  <c r="W178" i="1"/>
  <c r="X178" i="1" s="1"/>
  <c r="U178" i="1"/>
  <c r="R178" i="1"/>
  <c r="N178" i="1"/>
  <c r="O178" i="1" s="1"/>
  <c r="L178" i="1"/>
  <c r="I178" i="1"/>
  <c r="H178" i="1"/>
  <c r="F178" i="1"/>
  <c r="C178" i="1"/>
  <c r="AC177" i="1"/>
  <c r="AD177" i="1" s="1"/>
  <c r="AA177" i="1"/>
  <c r="X177" i="1"/>
  <c r="W177" i="1"/>
  <c r="U177" i="1"/>
  <c r="R177" i="1"/>
  <c r="O177" i="1"/>
  <c r="N177" i="1"/>
  <c r="L177" i="1"/>
  <c r="H177" i="1"/>
  <c r="I177" i="1" s="1"/>
  <c r="F177" i="1"/>
  <c r="C177" i="1"/>
  <c r="AC175" i="1"/>
  <c r="AD175" i="1" s="1"/>
  <c r="AA175" i="1"/>
  <c r="W175" i="1"/>
  <c r="X175" i="1" s="1"/>
  <c r="U175" i="1"/>
  <c r="R175" i="1"/>
  <c r="N175" i="1"/>
  <c r="O175" i="1" s="1"/>
  <c r="L175" i="1"/>
  <c r="H175" i="1"/>
  <c r="I175" i="1" s="1"/>
  <c r="F175" i="1"/>
  <c r="C175" i="1"/>
  <c r="K172" i="1"/>
  <c r="AC171" i="1"/>
  <c r="AD171" i="1" s="1"/>
  <c r="AA171" i="1"/>
  <c r="Z171" i="1"/>
  <c r="T171" i="1"/>
  <c r="U171" i="1" s="1"/>
  <c r="Q171" i="1"/>
  <c r="L171" i="1"/>
  <c r="K171" i="1"/>
  <c r="E171" i="1"/>
  <c r="F171" i="1" s="1"/>
  <c r="B171" i="1"/>
  <c r="H171" i="1" s="1"/>
  <c r="I171" i="1" s="1"/>
  <c r="Z170" i="1"/>
  <c r="AA170" i="1" s="1"/>
  <c r="T170" i="1"/>
  <c r="W170" i="1" s="1"/>
  <c r="X170" i="1" s="1"/>
  <c r="R170" i="1"/>
  <c r="Q170" i="1"/>
  <c r="AC170" i="1" s="1"/>
  <c r="AD170" i="1" s="1"/>
  <c r="K170" i="1"/>
  <c r="L170" i="1" s="1"/>
  <c r="H170" i="1"/>
  <c r="I170" i="1" s="1"/>
  <c r="F170" i="1"/>
  <c r="E170" i="1"/>
  <c r="B170" i="1"/>
  <c r="C170" i="1" s="1"/>
  <c r="AC169" i="1"/>
  <c r="AD169" i="1" s="1"/>
  <c r="AA169" i="1"/>
  <c r="X169" i="1"/>
  <c r="W169" i="1"/>
  <c r="U169" i="1"/>
  <c r="R169" i="1"/>
  <c r="O169" i="1"/>
  <c r="N169" i="1"/>
  <c r="L169" i="1"/>
  <c r="H169" i="1"/>
  <c r="I169" i="1" s="1"/>
  <c r="F169" i="1"/>
  <c r="C169" i="1"/>
  <c r="AC168" i="1"/>
  <c r="AD168" i="1" s="1"/>
  <c r="AA168" i="1"/>
  <c r="X168" i="1"/>
  <c r="W168" i="1"/>
  <c r="U168" i="1"/>
  <c r="R168" i="1"/>
  <c r="O168" i="1"/>
  <c r="N168" i="1"/>
  <c r="L168" i="1"/>
  <c r="H168" i="1"/>
  <c r="I168" i="1" s="1"/>
  <c r="F168" i="1"/>
  <c r="C168" i="1"/>
  <c r="AD167" i="1"/>
  <c r="AC167" i="1"/>
  <c r="AA167" i="1"/>
  <c r="X167" i="1"/>
  <c r="W167" i="1"/>
  <c r="U167" i="1"/>
  <c r="R167" i="1"/>
  <c r="N167" i="1"/>
  <c r="O167" i="1" s="1"/>
  <c r="L167" i="1"/>
  <c r="H167" i="1"/>
  <c r="I167" i="1" s="1"/>
  <c r="F167" i="1"/>
  <c r="C167" i="1"/>
  <c r="AC166" i="1"/>
  <c r="AD166" i="1" s="1"/>
  <c r="AA166" i="1"/>
  <c r="Z166" i="1"/>
  <c r="T166" i="1"/>
  <c r="U166" i="1" s="1"/>
  <c r="Q166" i="1"/>
  <c r="O166" i="1"/>
  <c r="K166" i="1"/>
  <c r="L166" i="1" s="1"/>
  <c r="E166" i="1"/>
  <c r="H166" i="1" s="1"/>
  <c r="I166" i="1" s="1"/>
  <c r="C166" i="1"/>
  <c r="B166" i="1"/>
  <c r="N166" i="1" s="1"/>
  <c r="AC165" i="1"/>
  <c r="AD165" i="1" s="1"/>
  <c r="AA165" i="1"/>
  <c r="W165" i="1"/>
  <c r="X165" i="1" s="1"/>
  <c r="U165" i="1"/>
  <c r="R165" i="1"/>
  <c r="O165" i="1"/>
  <c r="N165" i="1"/>
  <c r="L165" i="1"/>
  <c r="H165" i="1"/>
  <c r="I165" i="1" s="1"/>
  <c r="F165" i="1"/>
  <c r="C165" i="1"/>
  <c r="AD164" i="1"/>
  <c r="AC164" i="1"/>
  <c r="AA164" i="1"/>
  <c r="X164" i="1"/>
  <c r="W164" i="1"/>
  <c r="U164" i="1"/>
  <c r="R164" i="1"/>
  <c r="O164" i="1"/>
  <c r="N164" i="1"/>
  <c r="L164" i="1"/>
  <c r="H164" i="1"/>
  <c r="I164" i="1" s="1"/>
  <c r="F164" i="1"/>
  <c r="C164" i="1"/>
  <c r="AD163" i="1"/>
  <c r="AC163" i="1"/>
  <c r="AA163" i="1"/>
  <c r="X163" i="1"/>
  <c r="W163" i="1"/>
  <c r="U163" i="1"/>
  <c r="R163" i="1"/>
  <c r="N163" i="1"/>
  <c r="O163" i="1" s="1"/>
  <c r="L163" i="1"/>
  <c r="I163" i="1"/>
  <c r="H163" i="1"/>
  <c r="F163" i="1"/>
  <c r="C163" i="1"/>
  <c r="AC162" i="1"/>
  <c r="AD162" i="1" s="1"/>
  <c r="AA162" i="1"/>
  <c r="X162" i="1"/>
  <c r="W162" i="1"/>
  <c r="U162" i="1"/>
  <c r="R162" i="1"/>
  <c r="O162" i="1"/>
  <c r="N162" i="1"/>
  <c r="L162" i="1"/>
  <c r="H162" i="1"/>
  <c r="I162" i="1" s="1"/>
  <c r="F162" i="1"/>
  <c r="C162" i="1"/>
  <c r="AC161" i="1"/>
  <c r="AD161" i="1" s="1"/>
  <c r="AA161" i="1"/>
  <c r="X161" i="1"/>
  <c r="W161" i="1"/>
  <c r="U161" i="1"/>
  <c r="R161" i="1"/>
  <c r="O161" i="1"/>
  <c r="N161" i="1"/>
  <c r="L161" i="1"/>
  <c r="H161" i="1"/>
  <c r="I161" i="1" s="1"/>
  <c r="F161" i="1"/>
  <c r="C161" i="1"/>
  <c r="AD160" i="1"/>
  <c r="AC160" i="1"/>
  <c r="AA160" i="1"/>
  <c r="X160" i="1"/>
  <c r="W160" i="1"/>
  <c r="U160" i="1"/>
  <c r="R160" i="1"/>
  <c r="N160" i="1"/>
  <c r="O160" i="1" s="1"/>
  <c r="L160" i="1"/>
  <c r="H160" i="1"/>
  <c r="I160" i="1" s="1"/>
  <c r="F160" i="1"/>
  <c r="C160" i="1"/>
  <c r="AC158" i="1"/>
  <c r="AD158" i="1" s="1"/>
  <c r="AA158" i="1"/>
  <c r="Z158" i="1"/>
  <c r="T158" i="1"/>
  <c r="U158" i="1" s="1"/>
  <c r="Q158" i="1"/>
  <c r="W158" i="1" s="1"/>
  <c r="X158" i="1" s="1"/>
  <c r="K158" i="1"/>
  <c r="L158" i="1" s="1"/>
  <c r="H158" i="1"/>
  <c r="I158" i="1" s="1"/>
  <c r="E158" i="1"/>
  <c r="F158" i="1" s="1"/>
  <c r="C158" i="1"/>
  <c r="B158" i="1"/>
  <c r="N158" i="1" s="1"/>
  <c r="O158" i="1" s="1"/>
  <c r="AC157" i="1"/>
  <c r="AD157" i="1" s="1"/>
  <c r="AA157" i="1"/>
  <c r="W157" i="1"/>
  <c r="X157" i="1" s="1"/>
  <c r="U157" i="1"/>
  <c r="R157" i="1"/>
  <c r="O157" i="1"/>
  <c r="N157" i="1"/>
  <c r="L157" i="1"/>
  <c r="H157" i="1"/>
  <c r="I157" i="1" s="1"/>
  <c r="F157" i="1"/>
  <c r="C157" i="1"/>
  <c r="AD156" i="1"/>
  <c r="AC156" i="1"/>
  <c r="AA156" i="1"/>
  <c r="X156" i="1"/>
  <c r="W156" i="1"/>
  <c r="U156" i="1"/>
  <c r="R156" i="1"/>
  <c r="O156" i="1"/>
  <c r="N156" i="1"/>
  <c r="L156" i="1"/>
  <c r="H156" i="1"/>
  <c r="I156" i="1" s="1"/>
  <c r="F156" i="1"/>
  <c r="C156" i="1"/>
  <c r="AC155" i="1"/>
  <c r="AD155" i="1" s="1"/>
  <c r="AA155" i="1"/>
  <c r="X155" i="1"/>
  <c r="W155" i="1"/>
  <c r="U155" i="1"/>
  <c r="R155" i="1"/>
  <c r="O155" i="1"/>
  <c r="N155" i="1"/>
  <c r="L155" i="1"/>
  <c r="I155" i="1"/>
  <c r="H155" i="1"/>
  <c r="F155" i="1"/>
  <c r="C155" i="1"/>
  <c r="AC154" i="1"/>
  <c r="AD154" i="1" s="1"/>
  <c r="AA154" i="1"/>
  <c r="W154" i="1"/>
  <c r="X154" i="1" s="1"/>
  <c r="U154" i="1"/>
  <c r="R154" i="1"/>
  <c r="O154" i="1"/>
  <c r="N154" i="1"/>
  <c r="L154" i="1"/>
  <c r="I154" i="1"/>
  <c r="H154" i="1"/>
  <c r="F154" i="1"/>
  <c r="C154" i="1"/>
  <c r="AC153" i="1"/>
  <c r="AD153" i="1" s="1"/>
  <c r="AA153" i="1"/>
  <c r="X153" i="1"/>
  <c r="W153" i="1"/>
  <c r="U153" i="1"/>
  <c r="R153" i="1"/>
  <c r="O153" i="1"/>
  <c r="N153" i="1"/>
  <c r="L153" i="1"/>
  <c r="H153" i="1"/>
  <c r="I153" i="1" s="1"/>
  <c r="F153" i="1"/>
  <c r="C153" i="1"/>
  <c r="AD151" i="1"/>
  <c r="AC151" i="1"/>
  <c r="AA151" i="1"/>
  <c r="X151" i="1"/>
  <c r="W151" i="1"/>
  <c r="U151" i="1"/>
  <c r="R151" i="1"/>
  <c r="N151" i="1"/>
  <c r="O151" i="1" s="1"/>
  <c r="L151" i="1"/>
  <c r="H151" i="1"/>
  <c r="I151" i="1" s="1"/>
  <c r="F151" i="1"/>
  <c r="C151" i="1"/>
  <c r="AA149" i="1"/>
  <c r="Z149" i="1"/>
  <c r="T149" i="1"/>
  <c r="U149" i="1" s="1"/>
  <c r="Q149" i="1"/>
  <c r="W149" i="1" s="1"/>
  <c r="X149" i="1" s="1"/>
  <c r="K149" i="1"/>
  <c r="L149" i="1" s="1"/>
  <c r="E149" i="1"/>
  <c r="H149" i="1" s="1"/>
  <c r="I149" i="1" s="1"/>
  <c r="C149" i="1"/>
  <c r="B149" i="1"/>
  <c r="N149" i="1" s="1"/>
  <c r="O149" i="1" s="1"/>
  <c r="Z148" i="1"/>
  <c r="AA148" i="1" s="1"/>
  <c r="W148" i="1"/>
  <c r="X148" i="1" s="1"/>
  <c r="U148" i="1"/>
  <c r="T148" i="1"/>
  <c r="Q148" i="1"/>
  <c r="R148" i="1" s="1"/>
  <c r="K148" i="1"/>
  <c r="L148" i="1" s="1"/>
  <c r="E148" i="1"/>
  <c r="F148" i="1" s="1"/>
  <c r="B148" i="1"/>
  <c r="N148" i="1" s="1"/>
  <c r="O148" i="1" s="1"/>
  <c r="AC147" i="1"/>
  <c r="AD147" i="1" s="1"/>
  <c r="AA147" i="1"/>
  <c r="X147" i="1"/>
  <c r="W147" i="1"/>
  <c r="U147" i="1"/>
  <c r="R147" i="1"/>
  <c r="O147" i="1"/>
  <c r="N147" i="1"/>
  <c r="L147" i="1"/>
  <c r="I147" i="1"/>
  <c r="H147" i="1"/>
  <c r="F147" i="1"/>
  <c r="C147" i="1"/>
  <c r="AC146" i="1"/>
  <c r="AD146" i="1" s="1"/>
  <c r="AA146" i="1"/>
  <c r="W146" i="1"/>
  <c r="X146" i="1" s="1"/>
  <c r="U146" i="1"/>
  <c r="R146" i="1"/>
  <c r="O146" i="1"/>
  <c r="N146" i="1"/>
  <c r="L146" i="1"/>
  <c r="I146" i="1"/>
  <c r="H146" i="1"/>
  <c r="F146" i="1"/>
  <c r="C146" i="1"/>
  <c r="AC145" i="1"/>
  <c r="AD145" i="1" s="1"/>
  <c r="AA145" i="1"/>
  <c r="W145" i="1"/>
  <c r="X145" i="1" s="1"/>
  <c r="U145" i="1"/>
  <c r="R145" i="1"/>
  <c r="O145" i="1"/>
  <c r="N145" i="1"/>
  <c r="L145" i="1"/>
  <c r="H145" i="1"/>
  <c r="I145" i="1" s="1"/>
  <c r="F145" i="1"/>
  <c r="C145" i="1"/>
  <c r="AD144" i="1"/>
  <c r="AC144" i="1"/>
  <c r="AA144" i="1"/>
  <c r="X144" i="1"/>
  <c r="W144" i="1"/>
  <c r="U144" i="1"/>
  <c r="R144" i="1"/>
  <c r="N144" i="1"/>
  <c r="O144" i="1" s="1"/>
  <c r="L144" i="1"/>
  <c r="H144" i="1"/>
  <c r="I144" i="1" s="1"/>
  <c r="F144" i="1"/>
  <c r="C144" i="1"/>
  <c r="AD143" i="1"/>
  <c r="AC143" i="1"/>
  <c r="AA143" i="1"/>
  <c r="X143" i="1"/>
  <c r="W143" i="1"/>
  <c r="U143" i="1"/>
  <c r="R143" i="1"/>
  <c r="N143" i="1"/>
  <c r="O143" i="1" s="1"/>
  <c r="L143" i="1"/>
  <c r="I143" i="1"/>
  <c r="H143" i="1"/>
  <c r="F143" i="1"/>
  <c r="C143" i="1"/>
  <c r="Z141" i="1"/>
  <c r="AA141" i="1" s="1"/>
  <c r="T141" i="1"/>
  <c r="U141" i="1" s="1"/>
  <c r="Q141" i="1"/>
  <c r="AC141" i="1" s="1"/>
  <c r="AD141" i="1" s="1"/>
  <c r="N141" i="1"/>
  <c r="O141" i="1" s="1"/>
  <c r="L141" i="1"/>
  <c r="K141" i="1"/>
  <c r="E141" i="1"/>
  <c r="F141" i="1" s="1"/>
  <c r="B141" i="1"/>
  <c r="AD140" i="1"/>
  <c r="AC140" i="1"/>
  <c r="AA140" i="1"/>
  <c r="X140" i="1"/>
  <c r="W140" i="1"/>
  <c r="U140" i="1"/>
  <c r="R140" i="1"/>
  <c r="N140" i="1"/>
  <c r="O140" i="1" s="1"/>
  <c r="L140" i="1"/>
  <c r="H140" i="1"/>
  <c r="I140" i="1" s="1"/>
  <c r="F140" i="1"/>
  <c r="C140" i="1"/>
  <c r="AD139" i="1"/>
  <c r="AC139" i="1"/>
  <c r="AA139" i="1"/>
  <c r="X139" i="1"/>
  <c r="W139" i="1"/>
  <c r="U139" i="1"/>
  <c r="R139" i="1"/>
  <c r="N139" i="1"/>
  <c r="O139" i="1" s="1"/>
  <c r="L139" i="1"/>
  <c r="I139" i="1"/>
  <c r="H139" i="1"/>
  <c r="F139" i="1"/>
  <c r="C139" i="1"/>
  <c r="AC138" i="1"/>
  <c r="AD138" i="1" s="1"/>
  <c r="AA138" i="1"/>
  <c r="X138" i="1"/>
  <c r="W138" i="1"/>
  <c r="U138" i="1"/>
  <c r="R138" i="1"/>
  <c r="O138" i="1"/>
  <c r="N138" i="1"/>
  <c r="L138" i="1"/>
  <c r="H138" i="1"/>
  <c r="I138" i="1" s="1"/>
  <c r="F138" i="1"/>
  <c r="C138" i="1"/>
  <c r="AC137" i="1"/>
  <c r="AD137" i="1" s="1"/>
  <c r="AA137" i="1"/>
  <c r="X137" i="1"/>
  <c r="W137" i="1"/>
  <c r="U137" i="1"/>
  <c r="R137" i="1"/>
  <c r="O137" i="1"/>
  <c r="N137" i="1"/>
  <c r="L137" i="1"/>
  <c r="H137" i="1"/>
  <c r="I137" i="1" s="1"/>
  <c r="F137" i="1"/>
  <c r="C137" i="1"/>
  <c r="AD136" i="1"/>
  <c r="AC136" i="1"/>
  <c r="AA136" i="1"/>
  <c r="X136" i="1"/>
  <c r="W136" i="1"/>
  <c r="U136" i="1"/>
  <c r="R136" i="1"/>
  <c r="N136" i="1"/>
  <c r="O136" i="1" s="1"/>
  <c r="L136" i="1"/>
  <c r="H136" i="1"/>
  <c r="I136" i="1" s="1"/>
  <c r="F136" i="1"/>
  <c r="C136" i="1"/>
  <c r="AC135" i="1"/>
  <c r="AD135" i="1" s="1"/>
  <c r="AA135" i="1"/>
  <c r="X135" i="1"/>
  <c r="W135" i="1"/>
  <c r="U135" i="1"/>
  <c r="R135" i="1"/>
  <c r="O135" i="1"/>
  <c r="N135" i="1"/>
  <c r="L135" i="1"/>
  <c r="I135" i="1"/>
  <c r="H135" i="1"/>
  <c r="F135" i="1"/>
  <c r="C135" i="1"/>
  <c r="AC134" i="1"/>
  <c r="AD134" i="1" s="1"/>
  <c r="AA134" i="1"/>
  <c r="W134" i="1"/>
  <c r="X134" i="1" s="1"/>
  <c r="U134" i="1"/>
  <c r="R134" i="1"/>
  <c r="O134" i="1"/>
  <c r="N134" i="1"/>
  <c r="L134" i="1"/>
  <c r="I134" i="1"/>
  <c r="H134" i="1"/>
  <c r="F134" i="1"/>
  <c r="C134" i="1"/>
  <c r="AC133" i="1"/>
  <c r="AD133" i="1" s="1"/>
  <c r="AA133" i="1"/>
  <c r="W133" i="1"/>
  <c r="X133" i="1" s="1"/>
  <c r="U133" i="1"/>
  <c r="R133" i="1"/>
  <c r="O133" i="1"/>
  <c r="N133" i="1"/>
  <c r="L133" i="1"/>
  <c r="H133" i="1"/>
  <c r="I133" i="1" s="1"/>
  <c r="F133" i="1"/>
  <c r="C133" i="1"/>
  <c r="AD132" i="1"/>
  <c r="AC132" i="1"/>
  <c r="AA132" i="1"/>
  <c r="X132" i="1"/>
  <c r="W132" i="1"/>
  <c r="U132" i="1"/>
  <c r="R132" i="1"/>
  <c r="N132" i="1"/>
  <c r="O132" i="1" s="1"/>
  <c r="L132" i="1"/>
  <c r="H132" i="1"/>
  <c r="I132" i="1" s="1"/>
  <c r="F132" i="1"/>
  <c r="C132" i="1"/>
  <c r="AD131" i="1"/>
  <c r="AC131" i="1"/>
  <c r="AA131" i="1"/>
  <c r="X131" i="1"/>
  <c r="W131" i="1"/>
  <c r="U131" i="1"/>
  <c r="R131" i="1"/>
  <c r="N131" i="1"/>
  <c r="O131" i="1" s="1"/>
  <c r="L131" i="1"/>
  <c r="I131" i="1"/>
  <c r="H131" i="1"/>
  <c r="F131" i="1"/>
  <c r="C131" i="1"/>
  <c r="AC130" i="1"/>
  <c r="AD130" i="1" s="1"/>
  <c r="AA130" i="1"/>
  <c r="X130" i="1"/>
  <c r="W130" i="1"/>
  <c r="U130" i="1"/>
  <c r="R130" i="1"/>
  <c r="O130" i="1"/>
  <c r="N130" i="1"/>
  <c r="L130" i="1"/>
  <c r="H130" i="1"/>
  <c r="I130" i="1" s="1"/>
  <c r="F130" i="1"/>
  <c r="C130" i="1"/>
  <c r="AC129" i="1"/>
  <c r="AD129" i="1" s="1"/>
  <c r="AA129" i="1"/>
  <c r="X129" i="1"/>
  <c r="W129" i="1"/>
  <c r="U129" i="1"/>
  <c r="R129" i="1"/>
  <c r="O129" i="1"/>
  <c r="N129" i="1"/>
  <c r="L129" i="1"/>
  <c r="H129" i="1"/>
  <c r="I129" i="1" s="1"/>
  <c r="F129" i="1"/>
  <c r="C129" i="1"/>
  <c r="AD127" i="1"/>
  <c r="AC127" i="1"/>
  <c r="AA127" i="1"/>
  <c r="X127" i="1"/>
  <c r="W127" i="1"/>
  <c r="U127" i="1"/>
  <c r="R127" i="1"/>
  <c r="N127" i="1"/>
  <c r="O127" i="1" s="1"/>
  <c r="L127" i="1"/>
  <c r="H127" i="1"/>
  <c r="I127" i="1" s="1"/>
  <c r="F127" i="1"/>
  <c r="C127" i="1"/>
  <c r="AC124" i="1"/>
  <c r="AD124" i="1" s="1"/>
  <c r="AA124" i="1"/>
  <c r="Z124" i="1"/>
  <c r="Z172" i="1" s="1"/>
  <c r="T124" i="1"/>
  <c r="U124" i="1" s="1"/>
  <c r="Q124" i="1"/>
  <c r="K124" i="1"/>
  <c r="L124" i="1" s="1"/>
  <c r="E124" i="1"/>
  <c r="E172" i="1" s="1"/>
  <c r="E198" i="1" s="1"/>
  <c r="C124" i="1"/>
  <c r="B124" i="1"/>
  <c r="AC123" i="1"/>
  <c r="AD123" i="1" s="1"/>
  <c r="AA123" i="1"/>
  <c r="W123" i="1"/>
  <c r="X123" i="1" s="1"/>
  <c r="U123" i="1"/>
  <c r="R123" i="1"/>
  <c r="O123" i="1"/>
  <c r="N123" i="1"/>
  <c r="L123" i="1"/>
  <c r="H123" i="1"/>
  <c r="I123" i="1" s="1"/>
  <c r="F123" i="1"/>
  <c r="C123" i="1"/>
  <c r="Z122" i="1"/>
  <c r="AA122" i="1" s="1"/>
  <c r="W122" i="1"/>
  <c r="X122" i="1" s="1"/>
  <c r="T122" i="1"/>
  <c r="U122" i="1" s="1"/>
  <c r="R122" i="1"/>
  <c r="Q122" i="1"/>
  <c r="AC122" i="1" s="1"/>
  <c r="AD122" i="1" s="1"/>
  <c r="K122" i="1"/>
  <c r="L122" i="1" s="1"/>
  <c r="H122" i="1"/>
  <c r="I122" i="1" s="1"/>
  <c r="F122" i="1"/>
  <c r="E122" i="1"/>
  <c r="B122" i="1"/>
  <c r="C122" i="1" s="1"/>
  <c r="AC121" i="1"/>
  <c r="AD121" i="1" s="1"/>
  <c r="AA121" i="1"/>
  <c r="X121" i="1"/>
  <c r="W121" i="1"/>
  <c r="U121" i="1"/>
  <c r="R121" i="1"/>
  <c r="O121" i="1"/>
  <c r="N121" i="1"/>
  <c r="L121" i="1"/>
  <c r="H121" i="1"/>
  <c r="I121" i="1" s="1"/>
  <c r="F121" i="1"/>
  <c r="C121" i="1"/>
  <c r="AC120" i="1"/>
  <c r="AD120" i="1" s="1"/>
  <c r="AA120" i="1"/>
  <c r="W120" i="1"/>
  <c r="X120" i="1" s="1"/>
  <c r="U120" i="1"/>
  <c r="R120" i="1"/>
  <c r="O120" i="1"/>
  <c r="N120" i="1"/>
  <c r="L120" i="1"/>
  <c r="H120" i="1"/>
  <c r="I120" i="1" s="1"/>
  <c r="F120" i="1"/>
  <c r="C120" i="1"/>
  <c r="AD119" i="1"/>
  <c r="AC119" i="1"/>
  <c r="AA119" i="1"/>
  <c r="X119" i="1"/>
  <c r="W119" i="1"/>
  <c r="U119" i="1"/>
  <c r="R119" i="1"/>
  <c r="O119" i="1"/>
  <c r="N119" i="1"/>
  <c r="L119" i="1"/>
  <c r="H119" i="1"/>
  <c r="I119" i="1" s="1"/>
  <c r="F119" i="1"/>
  <c r="C119" i="1"/>
  <c r="AA118" i="1"/>
  <c r="Z118" i="1"/>
  <c r="T118" i="1"/>
  <c r="U118" i="1" s="1"/>
  <c r="Q118" i="1"/>
  <c r="W118" i="1" s="1"/>
  <c r="X118" i="1" s="1"/>
  <c r="O118" i="1"/>
  <c r="K118" i="1"/>
  <c r="L118" i="1" s="1"/>
  <c r="F118" i="1"/>
  <c r="E118" i="1"/>
  <c r="H118" i="1" s="1"/>
  <c r="I118" i="1" s="1"/>
  <c r="C118" i="1"/>
  <c r="B118" i="1"/>
  <c r="N118" i="1" s="1"/>
  <c r="AC117" i="1"/>
  <c r="AD117" i="1" s="1"/>
  <c r="AA117" i="1"/>
  <c r="W117" i="1"/>
  <c r="X117" i="1" s="1"/>
  <c r="U117" i="1"/>
  <c r="R117" i="1"/>
  <c r="O117" i="1"/>
  <c r="N117" i="1"/>
  <c r="L117" i="1"/>
  <c r="H117" i="1"/>
  <c r="I117" i="1" s="1"/>
  <c r="F117" i="1"/>
  <c r="C117" i="1"/>
  <c r="AD116" i="1"/>
  <c r="AC116" i="1"/>
  <c r="AA116" i="1"/>
  <c r="X116" i="1"/>
  <c r="W116" i="1"/>
  <c r="U116" i="1"/>
  <c r="R116" i="1"/>
  <c r="N116" i="1"/>
  <c r="O116" i="1" s="1"/>
  <c r="L116" i="1"/>
  <c r="H116" i="1"/>
  <c r="I116" i="1" s="1"/>
  <c r="F116" i="1"/>
  <c r="C116" i="1"/>
  <c r="AD115" i="1"/>
  <c r="AC115" i="1"/>
  <c r="AA115" i="1"/>
  <c r="X115" i="1"/>
  <c r="W115" i="1"/>
  <c r="U115" i="1"/>
  <c r="R115" i="1"/>
  <c r="N115" i="1"/>
  <c r="O115" i="1" s="1"/>
  <c r="L115" i="1"/>
  <c r="I115" i="1"/>
  <c r="H115" i="1"/>
  <c r="F115" i="1"/>
  <c r="C115" i="1"/>
  <c r="AC114" i="1"/>
  <c r="AD114" i="1" s="1"/>
  <c r="AA114" i="1"/>
  <c r="X114" i="1"/>
  <c r="W114" i="1"/>
  <c r="U114" i="1"/>
  <c r="R114" i="1"/>
  <c r="O114" i="1"/>
  <c r="N114" i="1"/>
  <c r="L114" i="1"/>
  <c r="H114" i="1"/>
  <c r="I114" i="1" s="1"/>
  <c r="F114" i="1"/>
  <c r="C114" i="1"/>
  <c r="AC113" i="1"/>
  <c r="AD113" i="1" s="1"/>
  <c r="AA113" i="1"/>
  <c r="X113" i="1"/>
  <c r="W113" i="1"/>
  <c r="U113" i="1"/>
  <c r="R113" i="1"/>
  <c r="O113" i="1"/>
  <c r="N113" i="1"/>
  <c r="L113" i="1"/>
  <c r="H113" i="1"/>
  <c r="I113" i="1" s="1"/>
  <c r="F113" i="1"/>
  <c r="C113" i="1"/>
  <c r="AD112" i="1"/>
  <c r="AC112" i="1"/>
  <c r="AA112" i="1"/>
  <c r="X112" i="1"/>
  <c r="W112" i="1"/>
  <c r="U112" i="1"/>
  <c r="R112" i="1"/>
  <c r="N112" i="1"/>
  <c r="O112" i="1" s="1"/>
  <c r="L112" i="1"/>
  <c r="H112" i="1"/>
  <c r="I112" i="1" s="1"/>
  <c r="F112" i="1"/>
  <c r="C112" i="1"/>
  <c r="AC111" i="1"/>
  <c r="AD111" i="1" s="1"/>
  <c r="AA111" i="1"/>
  <c r="X111" i="1"/>
  <c r="W111" i="1"/>
  <c r="U111" i="1"/>
  <c r="R111" i="1"/>
  <c r="O111" i="1"/>
  <c r="N111" i="1"/>
  <c r="L111" i="1"/>
  <c r="I111" i="1"/>
  <c r="H111" i="1"/>
  <c r="F111" i="1"/>
  <c r="C111" i="1"/>
  <c r="AC110" i="1"/>
  <c r="AD110" i="1" s="1"/>
  <c r="AA110" i="1"/>
  <c r="W110" i="1"/>
  <c r="X110" i="1" s="1"/>
  <c r="U110" i="1"/>
  <c r="R110" i="1"/>
  <c r="O110" i="1"/>
  <c r="N110" i="1"/>
  <c r="L110" i="1"/>
  <c r="I110" i="1"/>
  <c r="H110" i="1"/>
  <c r="F110" i="1"/>
  <c r="C110" i="1"/>
  <c r="AC109" i="1"/>
  <c r="AD109" i="1" s="1"/>
  <c r="AA109" i="1"/>
  <c r="W109" i="1"/>
  <c r="X109" i="1" s="1"/>
  <c r="U109" i="1"/>
  <c r="R109" i="1"/>
  <c r="O109" i="1"/>
  <c r="N109" i="1"/>
  <c r="L109" i="1"/>
  <c r="H109" i="1"/>
  <c r="I109" i="1" s="1"/>
  <c r="F109" i="1"/>
  <c r="C109" i="1"/>
  <c r="AD108" i="1"/>
  <c r="AC108" i="1"/>
  <c r="AA108" i="1"/>
  <c r="X108" i="1"/>
  <c r="W108" i="1"/>
  <c r="U108" i="1"/>
  <c r="R108" i="1"/>
  <c r="N108" i="1"/>
  <c r="O108" i="1" s="1"/>
  <c r="L108" i="1"/>
  <c r="H108" i="1"/>
  <c r="I108" i="1" s="1"/>
  <c r="F108" i="1"/>
  <c r="C108" i="1"/>
  <c r="AD107" i="1"/>
  <c r="AC107" i="1"/>
  <c r="AA107" i="1"/>
  <c r="X107" i="1"/>
  <c r="W107" i="1"/>
  <c r="U107" i="1"/>
  <c r="R107" i="1"/>
  <c r="N107" i="1"/>
  <c r="O107" i="1" s="1"/>
  <c r="L107" i="1"/>
  <c r="I107" i="1"/>
  <c r="H107" i="1"/>
  <c r="F107" i="1"/>
  <c r="C107" i="1"/>
  <c r="AC106" i="1"/>
  <c r="AD106" i="1" s="1"/>
  <c r="AA106" i="1"/>
  <c r="X106" i="1"/>
  <c r="W106" i="1"/>
  <c r="U106" i="1"/>
  <c r="R106" i="1"/>
  <c r="O106" i="1"/>
  <c r="N106" i="1"/>
  <c r="L106" i="1"/>
  <c r="H106" i="1"/>
  <c r="I106" i="1" s="1"/>
  <c r="F106" i="1"/>
  <c r="C106" i="1"/>
  <c r="AC105" i="1"/>
  <c r="AD105" i="1" s="1"/>
  <c r="AA105" i="1"/>
  <c r="X105" i="1"/>
  <c r="W105" i="1"/>
  <c r="U105" i="1"/>
  <c r="R105" i="1"/>
  <c r="O105" i="1"/>
  <c r="N105" i="1"/>
  <c r="L105" i="1"/>
  <c r="H105" i="1"/>
  <c r="I105" i="1" s="1"/>
  <c r="F105" i="1"/>
  <c r="C105" i="1"/>
  <c r="AD104" i="1"/>
  <c r="AC104" i="1"/>
  <c r="AA104" i="1"/>
  <c r="X104" i="1"/>
  <c r="W104" i="1"/>
  <c r="U104" i="1"/>
  <c r="R104" i="1"/>
  <c r="N104" i="1"/>
  <c r="O104" i="1" s="1"/>
  <c r="L104" i="1"/>
  <c r="H104" i="1"/>
  <c r="I104" i="1" s="1"/>
  <c r="F104" i="1"/>
  <c r="C104" i="1"/>
  <c r="AC103" i="1"/>
  <c r="AD103" i="1" s="1"/>
  <c r="AA103" i="1"/>
  <c r="X103" i="1"/>
  <c r="W103" i="1"/>
  <c r="U103" i="1"/>
  <c r="R103" i="1"/>
  <c r="O103" i="1"/>
  <c r="N103" i="1"/>
  <c r="L103" i="1"/>
  <c r="I103" i="1"/>
  <c r="H103" i="1"/>
  <c r="F103" i="1"/>
  <c r="C103" i="1"/>
  <c r="AC102" i="1"/>
  <c r="AD102" i="1" s="1"/>
  <c r="AA102" i="1"/>
  <c r="W102" i="1"/>
  <c r="X102" i="1" s="1"/>
  <c r="U102" i="1"/>
  <c r="R102" i="1"/>
  <c r="O102" i="1"/>
  <c r="N102" i="1"/>
  <c r="L102" i="1"/>
  <c r="I102" i="1"/>
  <c r="H102" i="1"/>
  <c r="F102" i="1"/>
  <c r="C102" i="1"/>
  <c r="AC101" i="1"/>
  <c r="AD101" i="1" s="1"/>
  <c r="AA101" i="1"/>
  <c r="W101" i="1"/>
  <c r="X101" i="1" s="1"/>
  <c r="U101" i="1"/>
  <c r="R101" i="1"/>
  <c r="O101" i="1"/>
  <c r="N101" i="1"/>
  <c r="L101" i="1"/>
  <c r="H101" i="1"/>
  <c r="I101" i="1" s="1"/>
  <c r="F101" i="1"/>
  <c r="C101" i="1"/>
  <c r="AD100" i="1"/>
  <c r="AC100" i="1"/>
  <c r="AA100" i="1"/>
  <c r="X100" i="1"/>
  <c r="W100" i="1"/>
  <c r="U100" i="1"/>
  <c r="R100" i="1"/>
  <c r="N100" i="1"/>
  <c r="O100" i="1" s="1"/>
  <c r="L100" i="1"/>
  <c r="H100" i="1"/>
  <c r="I100" i="1" s="1"/>
  <c r="F100" i="1"/>
  <c r="C100" i="1"/>
  <c r="AD99" i="1"/>
  <c r="AC99" i="1"/>
  <c r="AA99" i="1"/>
  <c r="X99" i="1"/>
  <c r="W99" i="1"/>
  <c r="U99" i="1"/>
  <c r="R99" i="1"/>
  <c r="N99" i="1"/>
  <c r="O99" i="1" s="1"/>
  <c r="L99" i="1"/>
  <c r="I99" i="1"/>
  <c r="H99" i="1"/>
  <c r="F99" i="1"/>
  <c r="C99" i="1"/>
  <c r="AC98" i="1"/>
  <c r="AD98" i="1" s="1"/>
  <c r="AA98" i="1"/>
  <c r="X98" i="1"/>
  <c r="W98" i="1"/>
  <c r="U98" i="1"/>
  <c r="R98" i="1"/>
  <c r="O98" i="1"/>
  <c r="N98" i="1"/>
  <c r="L98" i="1"/>
  <c r="H98" i="1"/>
  <c r="I98" i="1" s="1"/>
  <c r="F98" i="1"/>
  <c r="C98" i="1"/>
  <c r="AC97" i="1"/>
  <c r="AD97" i="1" s="1"/>
  <c r="AA97" i="1"/>
  <c r="X97" i="1"/>
  <c r="W97" i="1"/>
  <c r="U97" i="1"/>
  <c r="R97" i="1"/>
  <c r="O97" i="1"/>
  <c r="N97" i="1"/>
  <c r="L97" i="1"/>
  <c r="H97" i="1"/>
  <c r="I97" i="1" s="1"/>
  <c r="F97" i="1"/>
  <c r="C97" i="1"/>
  <c r="AD96" i="1"/>
  <c r="AC96" i="1"/>
  <c r="AA96" i="1"/>
  <c r="X96" i="1"/>
  <c r="W96" i="1"/>
  <c r="U96" i="1"/>
  <c r="R96" i="1"/>
  <c r="N96" i="1"/>
  <c r="O96" i="1" s="1"/>
  <c r="L96" i="1"/>
  <c r="H96" i="1"/>
  <c r="I96" i="1" s="1"/>
  <c r="F96" i="1"/>
  <c r="C96" i="1"/>
  <c r="AC95" i="1"/>
  <c r="AD95" i="1" s="1"/>
  <c r="AA95" i="1"/>
  <c r="X95" i="1"/>
  <c r="W95" i="1"/>
  <c r="U95" i="1"/>
  <c r="R95" i="1"/>
  <c r="O95" i="1"/>
  <c r="N95" i="1"/>
  <c r="L95" i="1"/>
  <c r="I95" i="1"/>
  <c r="H95" i="1"/>
  <c r="F95" i="1"/>
  <c r="C95" i="1"/>
  <c r="AC94" i="1"/>
  <c r="AD94" i="1" s="1"/>
  <c r="AA94" i="1"/>
  <c r="W94" i="1"/>
  <c r="X94" i="1" s="1"/>
  <c r="U94" i="1"/>
  <c r="R94" i="1"/>
  <c r="O94" i="1"/>
  <c r="N94" i="1"/>
  <c r="L94" i="1"/>
  <c r="I94" i="1"/>
  <c r="H94" i="1"/>
  <c r="F94" i="1"/>
  <c r="C94" i="1"/>
  <c r="AC92" i="1"/>
  <c r="AD92" i="1" s="1"/>
  <c r="AA92" i="1"/>
  <c r="W92" i="1"/>
  <c r="X92" i="1" s="1"/>
  <c r="U92" i="1"/>
  <c r="R92" i="1"/>
  <c r="O92" i="1"/>
  <c r="N92" i="1"/>
  <c r="L92" i="1"/>
  <c r="H92" i="1"/>
  <c r="I92" i="1" s="1"/>
  <c r="F92" i="1"/>
  <c r="C92" i="1"/>
  <c r="AD91" i="1"/>
  <c r="AC91" i="1"/>
  <c r="AA91" i="1"/>
  <c r="X91" i="1"/>
  <c r="W91" i="1"/>
  <c r="U91" i="1"/>
  <c r="R91" i="1"/>
  <c r="N91" i="1"/>
  <c r="O91" i="1" s="1"/>
  <c r="L91" i="1"/>
  <c r="H91" i="1"/>
  <c r="I91" i="1" s="1"/>
  <c r="F91" i="1"/>
  <c r="C91" i="1"/>
  <c r="AD90" i="1"/>
  <c r="AC90" i="1"/>
  <c r="AA90" i="1"/>
  <c r="X90" i="1"/>
  <c r="W90" i="1"/>
  <c r="U90" i="1"/>
  <c r="R90" i="1"/>
  <c r="N90" i="1"/>
  <c r="O90" i="1" s="1"/>
  <c r="L90" i="1"/>
  <c r="I90" i="1"/>
  <c r="H90" i="1"/>
  <c r="F90" i="1"/>
  <c r="C90" i="1"/>
  <c r="AC89" i="1"/>
  <c r="AD89" i="1" s="1"/>
  <c r="AA89" i="1"/>
  <c r="X89" i="1"/>
  <c r="W89" i="1"/>
  <c r="U89" i="1"/>
  <c r="R89" i="1"/>
  <c r="O89" i="1"/>
  <c r="N89" i="1"/>
  <c r="L89" i="1"/>
  <c r="H89" i="1"/>
  <c r="I89" i="1" s="1"/>
  <c r="F89" i="1"/>
  <c r="C89" i="1"/>
  <c r="Z88" i="1"/>
  <c r="AA88" i="1" s="1"/>
  <c r="W88" i="1"/>
  <c r="X88" i="1" s="1"/>
  <c r="U88" i="1"/>
  <c r="T88" i="1"/>
  <c r="Q88" i="1"/>
  <c r="R88" i="1" s="1"/>
  <c r="K88" i="1"/>
  <c r="L88" i="1" s="1"/>
  <c r="E88" i="1"/>
  <c r="F88" i="1" s="1"/>
  <c r="B88" i="1"/>
  <c r="AC87" i="1"/>
  <c r="AD87" i="1" s="1"/>
  <c r="AA87" i="1"/>
  <c r="X87" i="1"/>
  <c r="W87" i="1"/>
  <c r="U87" i="1"/>
  <c r="R87" i="1"/>
  <c r="N87" i="1"/>
  <c r="O87" i="1" s="1"/>
  <c r="L87" i="1"/>
  <c r="I87" i="1"/>
  <c r="H87" i="1"/>
  <c r="F87" i="1"/>
  <c r="C87" i="1"/>
  <c r="AC86" i="1"/>
  <c r="AD86" i="1" s="1"/>
  <c r="AA86" i="1"/>
  <c r="W86" i="1"/>
  <c r="X86" i="1" s="1"/>
  <c r="U86" i="1"/>
  <c r="R86" i="1"/>
  <c r="O86" i="1"/>
  <c r="N86" i="1"/>
  <c r="L86" i="1"/>
  <c r="H86" i="1"/>
  <c r="I86" i="1" s="1"/>
  <c r="F86" i="1"/>
  <c r="C86" i="1"/>
  <c r="AC85" i="1"/>
  <c r="AD85" i="1" s="1"/>
  <c r="AA85" i="1"/>
  <c r="W85" i="1"/>
  <c r="X85" i="1" s="1"/>
  <c r="U85" i="1"/>
  <c r="R85" i="1"/>
  <c r="O85" i="1"/>
  <c r="N85" i="1"/>
  <c r="L85" i="1"/>
  <c r="H85" i="1"/>
  <c r="I85" i="1" s="1"/>
  <c r="F85" i="1"/>
  <c r="C85" i="1"/>
  <c r="AD84" i="1"/>
  <c r="AC84" i="1"/>
  <c r="AA84" i="1"/>
  <c r="X84" i="1"/>
  <c r="W84" i="1"/>
  <c r="U84" i="1"/>
  <c r="R84" i="1"/>
  <c r="O84" i="1"/>
  <c r="N84" i="1"/>
  <c r="L84" i="1"/>
  <c r="H84" i="1"/>
  <c r="I84" i="1" s="1"/>
  <c r="F84" i="1"/>
  <c r="C84" i="1"/>
  <c r="AD83" i="1"/>
  <c r="AC83" i="1"/>
  <c r="AA83" i="1"/>
  <c r="X83" i="1"/>
  <c r="W83" i="1"/>
  <c r="U83" i="1"/>
  <c r="R83" i="1"/>
  <c r="N83" i="1"/>
  <c r="O83" i="1" s="1"/>
  <c r="L83" i="1"/>
  <c r="I83" i="1"/>
  <c r="H83" i="1"/>
  <c r="F83" i="1"/>
  <c r="C83" i="1"/>
  <c r="AC82" i="1"/>
  <c r="AD82" i="1" s="1"/>
  <c r="AA82" i="1"/>
  <c r="X82" i="1"/>
  <c r="W82" i="1"/>
  <c r="U82" i="1"/>
  <c r="R82" i="1"/>
  <c r="O82" i="1"/>
  <c r="N82" i="1"/>
  <c r="L82" i="1"/>
  <c r="H82" i="1"/>
  <c r="I82" i="1" s="1"/>
  <c r="F82" i="1"/>
  <c r="C82" i="1"/>
  <c r="AC81" i="1"/>
  <c r="AD81" i="1" s="1"/>
  <c r="AA81" i="1"/>
  <c r="X81" i="1"/>
  <c r="W81" i="1"/>
  <c r="U81" i="1"/>
  <c r="R81" i="1"/>
  <c r="O81" i="1"/>
  <c r="N81" i="1"/>
  <c r="L81" i="1"/>
  <c r="H81" i="1"/>
  <c r="I81" i="1" s="1"/>
  <c r="F81" i="1"/>
  <c r="C81" i="1"/>
  <c r="AD80" i="1"/>
  <c r="AC80" i="1"/>
  <c r="AA80" i="1"/>
  <c r="X80" i="1"/>
  <c r="W80" i="1"/>
  <c r="U80" i="1"/>
  <c r="R80" i="1"/>
  <c r="N80" i="1"/>
  <c r="O80" i="1" s="1"/>
  <c r="L80" i="1"/>
  <c r="H80" i="1"/>
  <c r="I80" i="1" s="1"/>
  <c r="F80" i="1"/>
  <c r="C80" i="1"/>
  <c r="AC79" i="1"/>
  <c r="AD79" i="1" s="1"/>
  <c r="AA79" i="1"/>
  <c r="X79" i="1"/>
  <c r="W79" i="1"/>
  <c r="U79" i="1"/>
  <c r="R79" i="1"/>
  <c r="N79" i="1"/>
  <c r="O79" i="1" s="1"/>
  <c r="L79" i="1"/>
  <c r="I79" i="1"/>
  <c r="H79" i="1"/>
  <c r="F79" i="1"/>
  <c r="C79" i="1"/>
  <c r="AC78" i="1"/>
  <c r="AD78" i="1" s="1"/>
  <c r="AA78" i="1"/>
  <c r="W78" i="1"/>
  <c r="X78" i="1" s="1"/>
  <c r="U78" i="1"/>
  <c r="R78" i="1"/>
  <c r="O78" i="1"/>
  <c r="N78" i="1"/>
  <c r="L78" i="1"/>
  <c r="H78" i="1"/>
  <c r="I78" i="1" s="1"/>
  <c r="F78" i="1"/>
  <c r="C78" i="1"/>
  <c r="AC77" i="1"/>
  <c r="AD77" i="1" s="1"/>
  <c r="AA77" i="1"/>
  <c r="W77" i="1"/>
  <c r="X77" i="1" s="1"/>
  <c r="U77" i="1"/>
  <c r="R77" i="1"/>
  <c r="O77" i="1"/>
  <c r="N77" i="1"/>
  <c r="L77" i="1"/>
  <c r="H77" i="1"/>
  <c r="I77" i="1" s="1"/>
  <c r="F77" i="1"/>
  <c r="C77" i="1"/>
  <c r="AD76" i="1"/>
  <c r="AC76" i="1"/>
  <c r="AA76" i="1"/>
  <c r="X76" i="1"/>
  <c r="W76" i="1"/>
  <c r="U76" i="1"/>
  <c r="R76" i="1"/>
  <c r="O76" i="1"/>
  <c r="N76" i="1"/>
  <c r="L76" i="1"/>
  <c r="H76" i="1"/>
  <c r="I76" i="1" s="1"/>
  <c r="F76" i="1"/>
  <c r="C76" i="1"/>
  <c r="AD75" i="1"/>
  <c r="AC75" i="1"/>
  <c r="AA75" i="1"/>
  <c r="X75" i="1"/>
  <c r="W75" i="1"/>
  <c r="U75" i="1"/>
  <c r="R75" i="1"/>
  <c r="N75" i="1"/>
  <c r="O75" i="1" s="1"/>
  <c r="L75" i="1"/>
  <c r="I75" i="1"/>
  <c r="H75" i="1"/>
  <c r="F75" i="1"/>
  <c r="C75" i="1"/>
  <c r="Z73" i="1"/>
  <c r="AA73" i="1" s="1"/>
  <c r="T73" i="1"/>
  <c r="U73" i="1" s="1"/>
  <c r="Q73" i="1"/>
  <c r="N73" i="1"/>
  <c r="O73" i="1" s="1"/>
  <c r="L73" i="1"/>
  <c r="K73" i="1"/>
  <c r="E73" i="1"/>
  <c r="F73" i="1" s="1"/>
  <c r="B73" i="1"/>
  <c r="H73" i="1" s="1"/>
  <c r="I73" i="1" s="1"/>
  <c r="AD72" i="1"/>
  <c r="AC72" i="1"/>
  <c r="AA72" i="1"/>
  <c r="X72" i="1"/>
  <c r="W72" i="1"/>
  <c r="U72" i="1"/>
  <c r="R72" i="1"/>
  <c r="O72" i="1"/>
  <c r="N72" i="1"/>
  <c r="L72" i="1"/>
  <c r="H72" i="1"/>
  <c r="I72" i="1" s="1"/>
  <c r="F72" i="1"/>
  <c r="C72" i="1"/>
  <c r="AD71" i="1"/>
  <c r="AC71" i="1"/>
  <c r="AA71" i="1"/>
  <c r="X71" i="1"/>
  <c r="W71" i="1"/>
  <c r="U71" i="1"/>
  <c r="R71" i="1"/>
  <c r="N71" i="1"/>
  <c r="O71" i="1" s="1"/>
  <c r="L71" i="1"/>
  <c r="I71" i="1"/>
  <c r="H71" i="1"/>
  <c r="F71" i="1"/>
  <c r="C71" i="1"/>
  <c r="AC70" i="1"/>
  <c r="AD70" i="1" s="1"/>
  <c r="AA70" i="1"/>
  <c r="X70" i="1"/>
  <c r="W70" i="1"/>
  <c r="U70" i="1"/>
  <c r="R70" i="1"/>
  <c r="O70" i="1"/>
  <c r="N70" i="1"/>
  <c r="L70" i="1"/>
  <c r="H70" i="1"/>
  <c r="I70" i="1" s="1"/>
  <c r="F70" i="1"/>
  <c r="C70" i="1"/>
  <c r="AC69" i="1"/>
  <c r="AD69" i="1" s="1"/>
  <c r="AA69" i="1"/>
  <c r="X69" i="1"/>
  <c r="W69" i="1"/>
  <c r="U69" i="1"/>
  <c r="R69" i="1"/>
  <c r="O69" i="1"/>
  <c r="N69" i="1"/>
  <c r="L69" i="1"/>
  <c r="H69" i="1"/>
  <c r="I69" i="1" s="1"/>
  <c r="F69" i="1"/>
  <c r="C69" i="1"/>
  <c r="AD68" i="1"/>
  <c r="AC68" i="1"/>
  <c r="AA68" i="1"/>
  <c r="X68" i="1"/>
  <c r="W68" i="1"/>
  <c r="U68" i="1"/>
  <c r="R68" i="1"/>
  <c r="N68" i="1"/>
  <c r="O68" i="1" s="1"/>
  <c r="L68" i="1"/>
  <c r="H68" i="1"/>
  <c r="I68" i="1" s="1"/>
  <c r="F68" i="1"/>
  <c r="C68" i="1"/>
  <c r="AC67" i="1"/>
  <c r="AD67" i="1" s="1"/>
  <c r="AA67" i="1"/>
  <c r="X67" i="1"/>
  <c r="W67" i="1"/>
  <c r="U67" i="1"/>
  <c r="R67" i="1"/>
  <c r="N67" i="1"/>
  <c r="O67" i="1" s="1"/>
  <c r="L67" i="1"/>
  <c r="I67" i="1"/>
  <c r="H67" i="1"/>
  <c r="F67" i="1"/>
  <c r="C67" i="1"/>
  <c r="AC66" i="1"/>
  <c r="AD66" i="1" s="1"/>
  <c r="AA66" i="1"/>
  <c r="W66" i="1"/>
  <c r="X66" i="1" s="1"/>
  <c r="U66" i="1"/>
  <c r="R66" i="1"/>
  <c r="O66" i="1"/>
  <c r="N66" i="1"/>
  <c r="L66" i="1"/>
  <c r="H66" i="1"/>
  <c r="I66" i="1" s="1"/>
  <c r="F66" i="1"/>
  <c r="C66" i="1"/>
  <c r="AC65" i="1"/>
  <c r="AD65" i="1" s="1"/>
  <c r="AA65" i="1"/>
  <c r="W65" i="1"/>
  <c r="X65" i="1" s="1"/>
  <c r="U65" i="1"/>
  <c r="R65" i="1"/>
  <c r="O65" i="1"/>
  <c r="N65" i="1"/>
  <c r="L65" i="1"/>
  <c r="H65" i="1"/>
  <c r="I65" i="1" s="1"/>
  <c r="F65" i="1"/>
  <c r="C65" i="1"/>
  <c r="AD64" i="1"/>
  <c r="AC64" i="1"/>
  <c r="AA64" i="1"/>
  <c r="X64" i="1"/>
  <c r="W64" i="1"/>
  <c r="U64" i="1"/>
  <c r="R64" i="1"/>
  <c r="O64" i="1"/>
  <c r="N64" i="1"/>
  <c r="L64" i="1"/>
  <c r="H64" i="1"/>
  <c r="I64" i="1" s="1"/>
  <c r="F64" i="1"/>
  <c r="C64" i="1"/>
  <c r="AD62" i="1"/>
  <c r="AC62" i="1"/>
  <c r="AA62" i="1"/>
  <c r="Z62" i="1"/>
  <c r="T62" i="1"/>
  <c r="U62" i="1" s="1"/>
  <c r="R62" i="1"/>
  <c r="Q62" i="1"/>
  <c r="K62" i="1"/>
  <c r="L62" i="1" s="1"/>
  <c r="H62" i="1"/>
  <c r="I62" i="1" s="1"/>
  <c r="F62" i="1"/>
  <c r="E62" i="1"/>
  <c r="C62" i="1"/>
  <c r="B62" i="1"/>
  <c r="N62" i="1" s="1"/>
  <c r="O62" i="1" s="1"/>
  <c r="Z61" i="1"/>
  <c r="AA61" i="1" s="1"/>
  <c r="W61" i="1"/>
  <c r="X61" i="1" s="1"/>
  <c r="U61" i="1"/>
  <c r="T61" i="1"/>
  <c r="Q61" i="1"/>
  <c r="R61" i="1" s="1"/>
  <c r="N61" i="1"/>
  <c r="O61" i="1" s="1"/>
  <c r="L61" i="1"/>
  <c r="K61" i="1"/>
  <c r="E61" i="1"/>
  <c r="F61" i="1" s="1"/>
  <c r="B61" i="1"/>
  <c r="AD60" i="1"/>
  <c r="AC60" i="1"/>
  <c r="AA60" i="1"/>
  <c r="X60" i="1"/>
  <c r="W60" i="1"/>
  <c r="U60" i="1"/>
  <c r="R60" i="1"/>
  <c r="N60" i="1"/>
  <c r="O60" i="1" s="1"/>
  <c r="L60" i="1"/>
  <c r="I60" i="1"/>
  <c r="H60" i="1"/>
  <c r="F60" i="1"/>
  <c r="C60" i="1"/>
  <c r="AC59" i="1"/>
  <c r="AD59" i="1" s="1"/>
  <c r="AA59" i="1"/>
  <c r="X59" i="1"/>
  <c r="W59" i="1"/>
  <c r="U59" i="1"/>
  <c r="R59" i="1"/>
  <c r="O59" i="1"/>
  <c r="N59" i="1"/>
  <c r="L59" i="1"/>
  <c r="H59" i="1"/>
  <c r="I59" i="1" s="1"/>
  <c r="F59" i="1"/>
  <c r="C59" i="1"/>
  <c r="AC58" i="1"/>
  <c r="AD58" i="1" s="1"/>
  <c r="AA58" i="1"/>
  <c r="W58" i="1"/>
  <c r="X58" i="1" s="1"/>
  <c r="U58" i="1"/>
  <c r="R58" i="1"/>
  <c r="O58" i="1"/>
  <c r="N58" i="1"/>
  <c r="L58" i="1"/>
  <c r="H58" i="1"/>
  <c r="I58" i="1" s="1"/>
  <c r="F58" i="1"/>
  <c r="C58" i="1"/>
  <c r="AD57" i="1"/>
  <c r="AC57" i="1"/>
  <c r="AA57" i="1"/>
  <c r="X57" i="1"/>
  <c r="W57" i="1"/>
  <c r="U57" i="1"/>
  <c r="R57" i="1"/>
  <c r="O57" i="1"/>
  <c r="N57" i="1"/>
  <c r="L57" i="1"/>
  <c r="H57" i="1"/>
  <c r="I57" i="1" s="1"/>
  <c r="F57" i="1"/>
  <c r="C57" i="1"/>
  <c r="AC56" i="1"/>
  <c r="AD56" i="1" s="1"/>
  <c r="AA56" i="1"/>
  <c r="X56" i="1"/>
  <c r="W56" i="1"/>
  <c r="U56" i="1"/>
  <c r="R56" i="1"/>
  <c r="O56" i="1"/>
  <c r="N56" i="1"/>
  <c r="L56" i="1"/>
  <c r="I56" i="1"/>
  <c r="H56" i="1"/>
  <c r="F56" i="1"/>
  <c r="C56" i="1"/>
  <c r="AC55" i="1"/>
  <c r="AD55" i="1" s="1"/>
  <c r="AA55" i="1"/>
  <c r="W55" i="1"/>
  <c r="X55" i="1" s="1"/>
  <c r="U55" i="1"/>
  <c r="R55" i="1"/>
  <c r="O55" i="1"/>
  <c r="N55" i="1"/>
  <c r="L55" i="1"/>
  <c r="I55" i="1"/>
  <c r="H55" i="1"/>
  <c r="F55" i="1"/>
  <c r="C55" i="1"/>
  <c r="AC54" i="1"/>
  <c r="AD54" i="1" s="1"/>
  <c r="AA54" i="1"/>
  <c r="W54" i="1"/>
  <c r="X54" i="1" s="1"/>
  <c r="U54" i="1"/>
  <c r="R54" i="1"/>
  <c r="O54" i="1"/>
  <c r="N54" i="1"/>
  <c r="L54" i="1"/>
  <c r="H54" i="1"/>
  <c r="I54" i="1" s="1"/>
  <c r="F54" i="1"/>
  <c r="C54" i="1"/>
  <c r="AD53" i="1"/>
  <c r="AC53" i="1"/>
  <c r="AA53" i="1"/>
  <c r="X53" i="1"/>
  <c r="W53" i="1"/>
  <c r="U53" i="1"/>
  <c r="R53" i="1"/>
  <c r="N53" i="1"/>
  <c r="O53" i="1" s="1"/>
  <c r="L53" i="1"/>
  <c r="H53" i="1"/>
  <c r="I53" i="1" s="1"/>
  <c r="F53" i="1"/>
  <c r="C53" i="1"/>
  <c r="AD52" i="1"/>
  <c r="AC52" i="1"/>
  <c r="AA52" i="1"/>
  <c r="X52" i="1"/>
  <c r="W52" i="1"/>
  <c r="U52" i="1"/>
  <c r="R52" i="1"/>
  <c r="N52" i="1"/>
  <c r="O52" i="1" s="1"/>
  <c r="L52" i="1"/>
  <c r="I52" i="1"/>
  <c r="H52" i="1"/>
  <c r="F52" i="1"/>
  <c r="C52" i="1"/>
  <c r="AC51" i="1"/>
  <c r="AD51" i="1" s="1"/>
  <c r="AA51" i="1"/>
  <c r="X51" i="1"/>
  <c r="W51" i="1"/>
  <c r="U51" i="1"/>
  <c r="R51" i="1"/>
  <c r="O51" i="1"/>
  <c r="N51" i="1"/>
  <c r="L51" i="1"/>
  <c r="H51" i="1"/>
  <c r="I51" i="1" s="1"/>
  <c r="F51" i="1"/>
  <c r="C51" i="1"/>
  <c r="AC50" i="1"/>
  <c r="AD50" i="1" s="1"/>
  <c r="AA50" i="1"/>
  <c r="W50" i="1"/>
  <c r="X50" i="1" s="1"/>
  <c r="U50" i="1"/>
  <c r="R50" i="1"/>
  <c r="O50" i="1"/>
  <c r="N50" i="1"/>
  <c r="L50" i="1"/>
  <c r="H50" i="1"/>
  <c r="I50" i="1" s="1"/>
  <c r="F50" i="1"/>
  <c r="C50" i="1"/>
  <c r="AD49" i="1"/>
  <c r="AC49" i="1"/>
  <c r="AA49" i="1"/>
  <c r="X49" i="1"/>
  <c r="W49" i="1"/>
  <c r="U49" i="1"/>
  <c r="R49" i="1"/>
  <c r="O49" i="1"/>
  <c r="N49" i="1"/>
  <c r="L49" i="1"/>
  <c r="H49" i="1"/>
  <c r="I49" i="1" s="1"/>
  <c r="F49" i="1"/>
  <c r="C49" i="1"/>
  <c r="AC48" i="1"/>
  <c r="AD48" i="1" s="1"/>
  <c r="AA48" i="1"/>
  <c r="X48" i="1"/>
  <c r="W48" i="1"/>
  <c r="U48" i="1"/>
  <c r="R48" i="1"/>
  <c r="O48" i="1"/>
  <c r="N48" i="1"/>
  <c r="L48" i="1"/>
  <c r="I48" i="1"/>
  <c r="H48" i="1"/>
  <c r="F48" i="1"/>
  <c r="C48" i="1"/>
  <c r="AC47" i="1"/>
  <c r="AD47" i="1" s="1"/>
  <c r="AA47" i="1"/>
  <c r="W47" i="1"/>
  <c r="X47" i="1" s="1"/>
  <c r="U47" i="1"/>
  <c r="R47" i="1"/>
  <c r="O47" i="1"/>
  <c r="N47" i="1"/>
  <c r="L47" i="1"/>
  <c r="I47" i="1"/>
  <c r="H47" i="1"/>
  <c r="F47" i="1"/>
  <c r="C47" i="1"/>
  <c r="AC46" i="1"/>
  <c r="AD46" i="1" s="1"/>
  <c r="AA46" i="1"/>
  <c r="W46" i="1"/>
  <c r="X46" i="1" s="1"/>
  <c r="U46" i="1"/>
  <c r="R46" i="1"/>
  <c r="O46" i="1"/>
  <c r="N46" i="1"/>
  <c r="L46" i="1"/>
  <c r="H46" i="1"/>
  <c r="I46" i="1" s="1"/>
  <c r="F46" i="1"/>
  <c r="C46" i="1"/>
  <c r="AD44" i="1"/>
  <c r="AC44" i="1"/>
  <c r="AA44" i="1"/>
  <c r="X44" i="1"/>
  <c r="W44" i="1"/>
  <c r="U44" i="1"/>
  <c r="R44" i="1"/>
  <c r="N44" i="1"/>
  <c r="O44" i="1" s="1"/>
  <c r="L44" i="1"/>
  <c r="H44" i="1"/>
  <c r="I44" i="1" s="1"/>
  <c r="F44" i="1"/>
  <c r="C44" i="1"/>
  <c r="AD43" i="1"/>
  <c r="AC43" i="1"/>
  <c r="AA43" i="1"/>
  <c r="X43" i="1"/>
  <c r="W43" i="1"/>
  <c r="U43" i="1"/>
  <c r="R43" i="1"/>
  <c r="N43" i="1"/>
  <c r="O43" i="1" s="1"/>
  <c r="L43" i="1"/>
  <c r="I43" i="1"/>
  <c r="H43" i="1"/>
  <c r="F43" i="1"/>
  <c r="C43" i="1"/>
  <c r="AC42" i="1"/>
  <c r="AD42" i="1" s="1"/>
  <c r="AA42" i="1"/>
  <c r="X42" i="1"/>
  <c r="W42" i="1"/>
  <c r="U42" i="1"/>
  <c r="R42" i="1"/>
  <c r="O42" i="1"/>
  <c r="N42" i="1"/>
  <c r="L42" i="1"/>
  <c r="H42" i="1"/>
  <c r="I42" i="1" s="1"/>
  <c r="F42" i="1"/>
  <c r="C42" i="1"/>
  <c r="Z40" i="1"/>
  <c r="AA40" i="1" s="1"/>
  <c r="W40" i="1"/>
  <c r="X40" i="1" s="1"/>
  <c r="U40" i="1"/>
  <c r="T40" i="1"/>
  <c r="Q40" i="1"/>
  <c r="R40" i="1" s="1"/>
  <c r="K40" i="1"/>
  <c r="L40" i="1" s="1"/>
  <c r="E40" i="1"/>
  <c r="F40" i="1" s="1"/>
  <c r="B40" i="1"/>
  <c r="N40" i="1" s="1"/>
  <c r="O40" i="1" s="1"/>
  <c r="AC39" i="1"/>
  <c r="AD39" i="1" s="1"/>
  <c r="AA39" i="1"/>
  <c r="X39" i="1"/>
  <c r="W39" i="1"/>
  <c r="U39" i="1"/>
  <c r="R39" i="1"/>
  <c r="O39" i="1"/>
  <c r="N39" i="1"/>
  <c r="L39" i="1"/>
  <c r="I39" i="1"/>
  <c r="H39" i="1"/>
  <c r="F39" i="1"/>
  <c r="C39" i="1"/>
  <c r="AC38" i="1"/>
  <c r="AD38" i="1" s="1"/>
  <c r="AA38" i="1"/>
  <c r="W38" i="1"/>
  <c r="X38" i="1" s="1"/>
  <c r="U38" i="1"/>
  <c r="R38" i="1"/>
  <c r="O38" i="1"/>
  <c r="N38" i="1"/>
  <c r="L38" i="1"/>
  <c r="I38" i="1"/>
  <c r="H38" i="1"/>
  <c r="F38" i="1"/>
  <c r="C38" i="1"/>
  <c r="AC37" i="1"/>
  <c r="AD37" i="1" s="1"/>
  <c r="AA37" i="1"/>
  <c r="W37" i="1"/>
  <c r="X37" i="1" s="1"/>
  <c r="U37" i="1"/>
  <c r="R37" i="1"/>
  <c r="O37" i="1"/>
  <c r="N37" i="1"/>
  <c r="L37" i="1"/>
  <c r="H37" i="1"/>
  <c r="I37" i="1" s="1"/>
  <c r="F37" i="1"/>
  <c r="C37" i="1"/>
  <c r="AD36" i="1"/>
  <c r="AC36" i="1"/>
  <c r="AA36" i="1"/>
  <c r="X36" i="1"/>
  <c r="W36" i="1"/>
  <c r="U36" i="1"/>
  <c r="R36" i="1"/>
  <c r="N36" i="1"/>
  <c r="O36" i="1" s="1"/>
  <c r="L36" i="1"/>
  <c r="H36" i="1"/>
  <c r="I36" i="1" s="1"/>
  <c r="F36" i="1"/>
  <c r="C36" i="1"/>
  <c r="AD35" i="1"/>
  <c r="AC35" i="1"/>
  <c r="AA35" i="1"/>
  <c r="X35" i="1"/>
  <c r="W35" i="1"/>
  <c r="U35" i="1"/>
  <c r="R35" i="1"/>
  <c r="N35" i="1"/>
  <c r="O35" i="1" s="1"/>
  <c r="L35" i="1"/>
  <c r="I35" i="1"/>
  <c r="H35" i="1"/>
  <c r="F35" i="1"/>
  <c r="C35" i="1"/>
  <c r="AC34" i="1"/>
  <c r="AD34" i="1" s="1"/>
  <c r="AA34" i="1"/>
  <c r="X34" i="1"/>
  <c r="W34" i="1"/>
  <c r="U34" i="1"/>
  <c r="R34" i="1"/>
  <c r="O34" i="1"/>
  <c r="N34" i="1"/>
  <c r="L34" i="1"/>
  <c r="H34" i="1"/>
  <c r="I34" i="1" s="1"/>
  <c r="F34" i="1"/>
  <c r="C34" i="1"/>
  <c r="AC33" i="1"/>
  <c r="AD33" i="1" s="1"/>
  <c r="AA33" i="1"/>
  <c r="X33" i="1"/>
  <c r="W33" i="1"/>
  <c r="U33" i="1"/>
  <c r="R33" i="1"/>
  <c r="O33" i="1"/>
  <c r="N33" i="1"/>
  <c r="L33" i="1"/>
  <c r="H33" i="1"/>
  <c r="I33" i="1" s="1"/>
  <c r="F33" i="1"/>
  <c r="C33" i="1"/>
  <c r="AD32" i="1"/>
  <c r="AC32" i="1"/>
  <c r="AA32" i="1"/>
  <c r="X32" i="1"/>
  <c r="W32" i="1"/>
  <c r="U32" i="1"/>
  <c r="R32" i="1"/>
  <c r="N32" i="1"/>
  <c r="O32" i="1" s="1"/>
  <c r="L32" i="1"/>
  <c r="H32" i="1"/>
  <c r="I32" i="1" s="1"/>
  <c r="F32" i="1"/>
  <c r="C32" i="1"/>
  <c r="AC31" i="1"/>
  <c r="AD31" i="1" s="1"/>
  <c r="AA31" i="1"/>
  <c r="X31" i="1"/>
  <c r="W31" i="1"/>
  <c r="U31" i="1"/>
  <c r="R31" i="1"/>
  <c r="O31" i="1"/>
  <c r="N31" i="1"/>
  <c r="L31" i="1"/>
  <c r="I31" i="1"/>
  <c r="H31" i="1"/>
  <c r="F31" i="1"/>
  <c r="C31" i="1"/>
  <c r="AA29" i="1"/>
  <c r="Z29" i="1"/>
  <c r="T29" i="1"/>
  <c r="U29" i="1" s="1"/>
  <c r="Q29" i="1"/>
  <c r="L29" i="1"/>
  <c r="K29" i="1"/>
  <c r="E29" i="1"/>
  <c r="F29" i="1" s="1"/>
  <c r="C29" i="1"/>
  <c r="B29" i="1"/>
  <c r="AD28" i="1"/>
  <c r="AC28" i="1"/>
  <c r="AA28" i="1"/>
  <c r="X28" i="1"/>
  <c r="W28" i="1"/>
  <c r="U28" i="1"/>
  <c r="R28" i="1"/>
  <c r="N28" i="1"/>
  <c r="O28" i="1" s="1"/>
  <c r="L28" i="1"/>
  <c r="H28" i="1"/>
  <c r="I28" i="1" s="1"/>
  <c r="F28" i="1"/>
  <c r="C28" i="1"/>
  <c r="AC27" i="1"/>
  <c r="AD27" i="1" s="1"/>
  <c r="AA27" i="1"/>
  <c r="X27" i="1"/>
  <c r="W27" i="1"/>
  <c r="U27" i="1"/>
  <c r="R27" i="1"/>
  <c r="O27" i="1"/>
  <c r="N27" i="1"/>
  <c r="L27" i="1"/>
  <c r="I27" i="1"/>
  <c r="H27" i="1"/>
  <c r="F27" i="1"/>
  <c r="C27" i="1"/>
  <c r="AC26" i="1"/>
  <c r="AD26" i="1" s="1"/>
  <c r="AA26" i="1"/>
  <c r="W26" i="1"/>
  <c r="X26" i="1" s="1"/>
  <c r="U26" i="1"/>
  <c r="R26" i="1"/>
  <c r="O26" i="1"/>
  <c r="N26" i="1"/>
  <c r="L26" i="1"/>
  <c r="I26" i="1"/>
  <c r="H26" i="1"/>
  <c r="F26" i="1"/>
  <c r="C26" i="1"/>
  <c r="AC25" i="1"/>
  <c r="AD25" i="1" s="1"/>
  <c r="AA25" i="1"/>
  <c r="W25" i="1"/>
  <c r="X25" i="1" s="1"/>
  <c r="U25" i="1"/>
  <c r="R25" i="1"/>
  <c r="O25" i="1"/>
  <c r="N25" i="1"/>
  <c r="L25" i="1"/>
  <c r="H25" i="1"/>
  <c r="I25" i="1" s="1"/>
  <c r="F25" i="1"/>
  <c r="C25" i="1"/>
  <c r="AD24" i="1"/>
  <c r="AC24" i="1"/>
  <c r="AA24" i="1"/>
  <c r="X24" i="1"/>
  <c r="W24" i="1"/>
  <c r="U24" i="1"/>
  <c r="R24" i="1"/>
  <c r="N24" i="1"/>
  <c r="O24" i="1" s="1"/>
  <c r="L24" i="1"/>
  <c r="H24" i="1"/>
  <c r="I24" i="1" s="1"/>
  <c r="F24" i="1"/>
  <c r="C24" i="1"/>
  <c r="AD23" i="1"/>
  <c r="AC23" i="1"/>
  <c r="AA23" i="1"/>
  <c r="X23" i="1"/>
  <c r="W23" i="1"/>
  <c r="U23" i="1"/>
  <c r="R23" i="1"/>
  <c r="N23" i="1"/>
  <c r="O23" i="1" s="1"/>
  <c r="L23" i="1"/>
  <c r="I23" i="1"/>
  <c r="H23" i="1"/>
  <c r="F23" i="1"/>
  <c r="C23" i="1"/>
  <c r="AC22" i="1"/>
  <c r="AD22" i="1" s="1"/>
  <c r="AA22" i="1"/>
  <c r="X22" i="1"/>
  <c r="W22" i="1"/>
  <c r="U22" i="1"/>
  <c r="R22" i="1"/>
  <c r="O22" i="1"/>
  <c r="N22" i="1"/>
  <c r="L22" i="1"/>
  <c r="H22" i="1"/>
  <c r="I22" i="1" s="1"/>
  <c r="F22" i="1"/>
  <c r="C22" i="1"/>
  <c r="AC21" i="1"/>
  <c r="AD21" i="1" s="1"/>
  <c r="AA21" i="1"/>
  <c r="X21" i="1"/>
  <c r="W21" i="1"/>
  <c r="U21" i="1"/>
  <c r="R21" i="1"/>
  <c r="O21" i="1"/>
  <c r="N21" i="1"/>
  <c r="L21" i="1"/>
  <c r="H21" i="1"/>
  <c r="I21" i="1" s="1"/>
  <c r="F21" i="1"/>
  <c r="C21" i="1"/>
  <c r="AD19" i="1"/>
  <c r="AC19" i="1"/>
  <c r="AA19" i="1"/>
  <c r="X19" i="1"/>
  <c r="W19" i="1"/>
  <c r="U19" i="1"/>
  <c r="R19" i="1"/>
  <c r="N19" i="1"/>
  <c r="O19" i="1" s="1"/>
  <c r="L19" i="1"/>
  <c r="H19" i="1"/>
  <c r="I19" i="1" s="1"/>
  <c r="F19" i="1"/>
  <c r="C19" i="1"/>
  <c r="AC18" i="1"/>
  <c r="AD18" i="1" s="1"/>
  <c r="AA18" i="1"/>
  <c r="Z18" i="1"/>
  <c r="T18" i="1"/>
  <c r="U18" i="1" s="1"/>
  <c r="Q18" i="1"/>
  <c r="O18" i="1"/>
  <c r="K18" i="1"/>
  <c r="L18" i="1" s="1"/>
  <c r="E18" i="1"/>
  <c r="H18" i="1" s="1"/>
  <c r="I18" i="1" s="1"/>
  <c r="C18" i="1"/>
  <c r="B18" i="1"/>
  <c r="N18" i="1" s="1"/>
  <c r="AC17" i="1"/>
  <c r="AD17" i="1" s="1"/>
  <c r="AA17" i="1"/>
  <c r="W17" i="1"/>
  <c r="X17" i="1" s="1"/>
  <c r="U17" i="1"/>
  <c r="R17" i="1"/>
  <c r="O17" i="1"/>
  <c r="N17" i="1"/>
  <c r="L17" i="1"/>
  <c r="H17" i="1"/>
  <c r="I17" i="1" s="1"/>
  <c r="F17" i="1"/>
  <c r="C17" i="1"/>
  <c r="AD16" i="1"/>
  <c r="AC16" i="1"/>
  <c r="AA16" i="1"/>
  <c r="X16" i="1"/>
  <c r="W16" i="1"/>
  <c r="U16" i="1"/>
  <c r="R16" i="1"/>
  <c r="O16" i="1"/>
  <c r="N16" i="1"/>
  <c r="L16" i="1"/>
  <c r="H16" i="1"/>
  <c r="I16" i="1" s="1"/>
  <c r="F16" i="1"/>
  <c r="C16" i="1"/>
  <c r="AD15" i="1"/>
  <c r="AC15" i="1"/>
  <c r="AA15" i="1"/>
  <c r="X15" i="1"/>
  <c r="W15" i="1"/>
  <c r="U15" i="1"/>
  <c r="R15" i="1"/>
  <c r="N15" i="1"/>
  <c r="O15" i="1" s="1"/>
  <c r="L15" i="1"/>
  <c r="I15" i="1"/>
  <c r="H15" i="1"/>
  <c r="F15" i="1"/>
  <c r="C15" i="1"/>
  <c r="AC14" i="1"/>
  <c r="AD14" i="1" s="1"/>
  <c r="AA14" i="1"/>
  <c r="X14" i="1"/>
  <c r="W14" i="1"/>
  <c r="U14" i="1"/>
  <c r="R14" i="1"/>
  <c r="O14" i="1"/>
  <c r="N14" i="1"/>
  <c r="L14" i="1"/>
  <c r="H14" i="1"/>
  <c r="I14" i="1" s="1"/>
  <c r="F14" i="1"/>
  <c r="C14" i="1"/>
  <c r="AC13" i="1"/>
  <c r="AD13" i="1" s="1"/>
  <c r="AA13" i="1"/>
  <c r="X13" i="1"/>
  <c r="W13" i="1"/>
  <c r="U13" i="1"/>
  <c r="R13" i="1"/>
  <c r="O13" i="1"/>
  <c r="N13" i="1"/>
  <c r="L13" i="1"/>
  <c r="H13" i="1"/>
  <c r="I13" i="1" s="1"/>
  <c r="F13" i="1"/>
  <c r="C13" i="1"/>
  <c r="AD12" i="1"/>
  <c r="AC12" i="1"/>
  <c r="AA12" i="1"/>
  <c r="X12" i="1"/>
  <c r="W12" i="1"/>
  <c r="U12" i="1"/>
  <c r="R12" i="1"/>
  <c r="N12" i="1"/>
  <c r="O12" i="1" s="1"/>
  <c r="L12" i="1"/>
  <c r="H12" i="1"/>
  <c r="I12" i="1" s="1"/>
  <c r="F12" i="1"/>
  <c r="C12" i="1"/>
  <c r="AC11" i="1"/>
  <c r="AD11" i="1" s="1"/>
  <c r="AA11" i="1"/>
  <c r="X11" i="1"/>
  <c r="W11" i="1"/>
  <c r="U11" i="1"/>
  <c r="R11" i="1"/>
  <c r="N11" i="1"/>
  <c r="O11" i="1" s="1"/>
  <c r="L11" i="1"/>
  <c r="I11" i="1"/>
  <c r="H11" i="1"/>
  <c r="F11" i="1"/>
  <c r="C11" i="1"/>
  <c r="AC10" i="1"/>
  <c r="AD10" i="1" s="1"/>
  <c r="AA10" i="1"/>
  <c r="W10" i="1"/>
  <c r="X10" i="1" s="1"/>
  <c r="U10" i="1"/>
  <c r="R10" i="1"/>
  <c r="O10" i="1"/>
  <c r="N10" i="1"/>
  <c r="L10" i="1"/>
  <c r="H10" i="1"/>
  <c r="I10" i="1" s="1"/>
  <c r="F10" i="1"/>
  <c r="C10" i="1"/>
  <c r="AC8" i="1"/>
  <c r="AD8" i="1" s="1"/>
  <c r="AA8" i="1"/>
  <c r="W8" i="1"/>
  <c r="X8" i="1" s="1"/>
  <c r="U8" i="1"/>
  <c r="R8" i="1"/>
  <c r="O8" i="1"/>
  <c r="N8" i="1"/>
  <c r="L8" i="1"/>
  <c r="H8" i="1"/>
  <c r="I8" i="1" s="1"/>
  <c r="F8" i="1"/>
  <c r="C8" i="1"/>
  <c r="F198" i="1" l="1"/>
  <c r="E345" i="1"/>
  <c r="F18" i="1"/>
  <c r="H29" i="1"/>
  <c r="I29" i="1" s="1"/>
  <c r="R73" i="1"/>
  <c r="W73" i="1"/>
  <c r="X73" i="1" s="1"/>
  <c r="C88" i="1"/>
  <c r="H88" i="1"/>
  <c r="I88" i="1" s="1"/>
  <c r="R118" i="1"/>
  <c r="F124" i="1"/>
  <c r="F166" i="1"/>
  <c r="T172" i="1"/>
  <c r="F193" i="1"/>
  <c r="AC193" i="1"/>
  <c r="AD193" i="1" s="1"/>
  <c r="R196" i="1"/>
  <c r="U236" i="1"/>
  <c r="H325" i="1"/>
  <c r="I325" i="1" s="1"/>
  <c r="N325" i="1"/>
  <c r="O325" i="1" s="1"/>
  <c r="C325" i="1"/>
  <c r="W428" i="1"/>
  <c r="X428" i="1" s="1"/>
  <c r="R428" i="1"/>
  <c r="H124" i="1"/>
  <c r="I124" i="1" s="1"/>
  <c r="C61" i="1"/>
  <c r="H61" i="1"/>
  <c r="I61" i="1" s="1"/>
  <c r="C73" i="1"/>
  <c r="F149" i="1"/>
  <c r="R158" i="1"/>
  <c r="U170" i="1"/>
  <c r="L197" i="1"/>
  <c r="F227" i="1"/>
  <c r="W343" i="1"/>
  <c r="X343" i="1" s="1"/>
  <c r="AC343" i="1"/>
  <c r="AD343" i="1" s="1"/>
  <c r="R343" i="1"/>
  <c r="AC403" i="1"/>
  <c r="AD403" i="1" s="1"/>
  <c r="H342" i="1"/>
  <c r="I342" i="1" s="1"/>
  <c r="N342" i="1"/>
  <c r="O342" i="1" s="1"/>
  <c r="C342" i="1"/>
  <c r="H428" i="1"/>
  <c r="I428" i="1" s="1"/>
  <c r="C428" i="1"/>
  <c r="K198" i="2"/>
  <c r="L172" i="2"/>
  <c r="K198" i="1"/>
  <c r="L172" i="1"/>
  <c r="F295" i="1"/>
  <c r="H295" i="1"/>
  <c r="I295" i="1" s="1"/>
  <c r="H344" i="1"/>
  <c r="I344" i="1" s="1"/>
  <c r="N344" i="1"/>
  <c r="O344" i="1" s="1"/>
  <c r="C344" i="1"/>
  <c r="R29" i="1"/>
  <c r="W29" i="1"/>
  <c r="X29" i="1" s="1"/>
  <c r="AA172" i="1"/>
  <c r="Z198" i="1"/>
  <c r="R149" i="1"/>
  <c r="C171" i="1"/>
  <c r="R227" i="1"/>
  <c r="F343" i="1"/>
  <c r="H343" i="1"/>
  <c r="I343" i="1" s="1"/>
  <c r="W18" i="2"/>
  <c r="X18" i="2" s="1"/>
  <c r="U18" i="2"/>
  <c r="C40" i="1"/>
  <c r="H40" i="1"/>
  <c r="I40" i="1" s="1"/>
  <c r="R141" i="1"/>
  <c r="W141" i="1"/>
  <c r="X141" i="1" s="1"/>
  <c r="C148" i="1"/>
  <c r="H148" i="1"/>
  <c r="I148" i="1" s="1"/>
  <c r="AC149" i="1"/>
  <c r="AD149" i="1" s="1"/>
  <c r="N171" i="1"/>
  <c r="O171" i="1" s="1"/>
  <c r="F172" i="1"/>
  <c r="N209" i="1"/>
  <c r="O209" i="1" s="1"/>
  <c r="AC227" i="1"/>
  <c r="AD227" i="1" s="1"/>
  <c r="W18" i="1"/>
  <c r="X18" i="1" s="1"/>
  <c r="AC29" i="1"/>
  <c r="AD29" i="1" s="1"/>
  <c r="AC118" i="1"/>
  <c r="AD118" i="1" s="1"/>
  <c r="W124" i="1"/>
  <c r="X124" i="1" s="1"/>
  <c r="Q172" i="1"/>
  <c r="H141" i="1"/>
  <c r="I141" i="1" s="1"/>
  <c r="W166" i="1"/>
  <c r="X166" i="1" s="1"/>
  <c r="R193" i="1"/>
  <c r="F196" i="1"/>
  <c r="AC196" i="1"/>
  <c r="AD196" i="1" s="1"/>
  <c r="N218" i="1"/>
  <c r="O218" i="1" s="1"/>
  <c r="N273" i="1"/>
  <c r="O273" i="1" s="1"/>
  <c r="W325" i="1"/>
  <c r="X325" i="1" s="1"/>
  <c r="AC325" i="1"/>
  <c r="AD325" i="1" s="1"/>
  <c r="R325" i="1"/>
  <c r="R18" i="1"/>
  <c r="N29" i="1"/>
  <c r="O29" i="1" s="1"/>
  <c r="W62" i="1"/>
  <c r="X62" i="1" s="1"/>
  <c r="AC73" i="1"/>
  <c r="AD73" i="1" s="1"/>
  <c r="N88" i="1"/>
  <c r="O88" i="1" s="1"/>
  <c r="B172" i="1"/>
  <c r="R124" i="1"/>
  <c r="C141" i="1"/>
  <c r="R166" i="1"/>
  <c r="R171" i="1"/>
  <c r="W171" i="1"/>
  <c r="X171" i="1" s="1"/>
  <c r="H403" i="1"/>
  <c r="I403" i="1" s="1"/>
  <c r="C403" i="1"/>
  <c r="AC428" i="1"/>
  <c r="AD428" i="1" s="1"/>
  <c r="N124" i="1"/>
  <c r="O124" i="1" s="1"/>
  <c r="H197" i="1"/>
  <c r="I197" i="1" s="1"/>
  <c r="H209" i="1"/>
  <c r="I209" i="1" s="1"/>
  <c r="H218" i="1"/>
  <c r="I218" i="1" s="1"/>
  <c r="H262" i="1"/>
  <c r="I262" i="1" s="1"/>
  <c r="W273" i="1"/>
  <c r="X273" i="1" s="1"/>
  <c r="W295" i="1"/>
  <c r="X295" i="1" s="1"/>
  <c r="W358" i="1"/>
  <c r="X358" i="1" s="1"/>
  <c r="C393" i="1"/>
  <c r="I396" i="1"/>
  <c r="AC396" i="1"/>
  <c r="AD396" i="1" s="1"/>
  <c r="O412" i="1"/>
  <c r="O419" i="1"/>
  <c r="O432" i="1"/>
  <c r="H441" i="1"/>
  <c r="I441" i="1" s="1"/>
  <c r="H29" i="2"/>
  <c r="I29" i="2" s="1"/>
  <c r="W73" i="2"/>
  <c r="X73" i="2" s="1"/>
  <c r="C88" i="2"/>
  <c r="R88" i="2"/>
  <c r="W124" i="2"/>
  <c r="X124" i="2" s="1"/>
  <c r="W158" i="2"/>
  <c r="X158" i="2" s="1"/>
  <c r="H40" i="2"/>
  <c r="I40" i="2" s="1"/>
  <c r="N61" i="2"/>
  <c r="O61" i="2" s="1"/>
  <c r="AC61" i="2"/>
  <c r="AD61" i="2" s="1"/>
  <c r="AC263" i="1"/>
  <c r="AD263" i="1" s="1"/>
  <c r="AC267" i="1"/>
  <c r="AD267" i="1" s="1"/>
  <c r="F73" i="2"/>
  <c r="AA88" i="2"/>
  <c r="L124" i="2"/>
  <c r="AA148" i="2"/>
  <c r="H171" i="2"/>
  <c r="I171" i="2" s="1"/>
  <c r="B198" i="2"/>
  <c r="C172" i="2"/>
  <c r="C61" i="2"/>
  <c r="R61" i="2"/>
  <c r="L122" i="2"/>
  <c r="N158" i="2"/>
  <c r="O158" i="2" s="1"/>
  <c r="AC442" i="1"/>
  <c r="AD442" i="1" s="1"/>
  <c r="C209" i="1"/>
  <c r="C218" i="1"/>
  <c r="C262" i="1"/>
  <c r="C273" i="1"/>
  <c r="L284" i="1"/>
  <c r="U324" i="1"/>
  <c r="C368" i="1"/>
  <c r="N393" i="1"/>
  <c r="O393" i="1" s="1"/>
  <c r="L396" i="1"/>
  <c r="R441" i="1"/>
  <c r="C442" i="1"/>
  <c r="R29" i="2"/>
  <c r="W141" i="2"/>
  <c r="X141" i="2" s="1"/>
  <c r="U166" i="2"/>
  <c r="H170" i="2"/>
  <c r="I170" i="2" s="1"/>
  <c r="C170" i="2"/>
  <c r="N172" i="2"/>
  <c r="O172" i="2" s="1"/>
  <c r="AC40" i="1"/>
  <c r="AD40" i="1" s="1"/>
  <c r="AC61" i="1"/>
  <c r="AD61" i="1" s="1"/>
  <c r="AC88" i="1"/>
  <c r="AD88" i="1" s="1"/>
  <c r="N122" i="1"/>
  <c r="O122" i="1" s="1"/>
  <c r="AC148" i="1"/>
  <c r="AD148" i="1" s="1"/>
  <c r="N170" i="1"/>
  <c r="O170" i="1" s="1"/>
  <c r="N182" i="1"/>
  <c r="O182" i="1" s="1"/>
  <c r="AC197" i="1"/>
  <c r="AD197" i="1" s="1"/>
  <c r="AC209" i="1"/>
  <c r="AD209" i="1" s="1"/>
  <c r="AC218" i="1"/>
  <c r="AD218" i="1" s="1"/>
  <c r="N236" i="1"/>
  <c r="O236" i="1" s="1"/>
  <c r="AC262" i="1"/>
  <c r="AD262" i="1" s="1"/>
  <c r="AC284" i="1"/>
  <c r="AD284" i="1" s="1"/>
  <c r="I439" i="1"/>
  <c r="I435" i="1"/>
  <c r="I427" i="1"/>
  <c r="I423" i="1"/>
  <c r="I419" i="1"/>
  <c r="I415" i="1"/>
  <c r="I411" i="1"/>
  <c r="I407" i="1"/>
  <c r="I399" i="1"/>
  <c r="I389" i="1"/>
  <c r="I383" i="1"/>
  <c r="I379" i="1"/>
  <c r="I375" i="1"/>
  <c r="I371" i="1"/>
  <c r="I364" i="1"/>
  <c r="I360" i="1"/>
  <c r="I356" i="1"/>
  <c r="I352" i="1"/>
  <c r="I347" i="1"/>
  <c r="I329" i="1"/>
  <c r="I438" i="1"/>
  <c r="I434" i="1"/>
  <c r="I426" i="1"/>
  <c r="I422" i="1"/>
  <c r="I418" i="1"/>
  <c r="I414" i="1"/>
  <c r="I410" i="1"/>
  <c r="I402" i="1"/>
  <c r="I398" i="1"/>
  <c r="I395" i="1"/>
  <c r="I392" i="1"/>
  <c r="I388" i="1"/>
  <c r="I382" i="1"/>
  <c r="I378" i="1"/>
  <c r="I374" i="1"/>
  <c r="I370" i="1"/>
  <c r="I367" i="1"/>
  <c r="I363" i="1"/>
  <c r="I355" i="1"/>
  <c r="I351" i="1"/>
  <c r="I341" i="1"/>
  <c r="I337" i="1"/>
  <c r="I332" i="1"/>
  <c r="I328" i="1"/>
  <c r="I316" i="1"/>
  <c r="I312" i="1"/>
  <c r="I308" i="1"/>
  <c r="I304" i="1"/>
  <c r="I300" i="1"/>
  <c r="E172" i="2"/>
  <c r="H172" i="2" s="1"/>
  <c r="I172" i="2" s="1"/>
  <c r="T198" i="2"/>
  <c r="U172" i="2"/>
  <c r="N149" i="2"/>
  <c r="O149" i="2" s="1"/>
  <c r="W171" i="2"/>
  <c r="X171" i="2" s="1"/>
  <c r="R171" i="2"/>
  <c r="AC368" i="1"/>
  <c r="AD368" i="1" s="1"/>
  <c r="O322" i="1"/>
  <c r="O318" i="1"/>
  <c r="O314" i="1"/>
  <c r="O310" i="1"/>
  <c r="O306" i="1"/>
  <c r="O302" i="1"/>
  <c r="O298" i="1"/>
  <c r="O294" i="1"/>
  <c r="O290" i="1"/>
  <c r="N18" i="2"/>
  <c r="O18" i="2" s="1"/>
  <c r="N40" i="2"/>
  <c r="O40" i="2" s="1"/>
  <c r="AC40" i="2"/>
  <c r="AD40" i="2" s="1"/>
  <c r="H88" i="2"/>
  <c r="I88" i="2" s="1"/>
  <c r="U124" i="2"/>
  <c r="C148" i="2"/>
  <c r="R148" i="2"/>
  <c r="Z198" i="2"/>
  <c r="AA172" i="2"/>
  <c r="C295" i="1"/>
  <c r="AD178" i="2"/>
  <c r="AD186" i="2"/>
  <c r="AD190" i="2"/>
  <c r="AD204" i="2"/>
  <c r="AD208" i="2"/>
  <c r="AD213" i="2"/>
  <c r="AD217" i="2"/>
  <c r="AD220" i="2"/>
  <c r="AD224" i="2"/>
  <c r="AD231" i="2"/>
  <c r="AD234" i="2"/>
  <c r="AD242" i="2"/>
  <c r="AD250" i="2"/>
  <c r="AD258" i="2"/>
  <c r="AC273" i="2"/>
  <c r="AD273" i="2" s="1"/>
  <c r="AD277" i="2"/>
  <c r="AD299" i="2"/>
  <c r="AD302" i="2"/>
  <c r="AD307" i="2"/>
  <c r="AD310" i="2"/>
  <c r="AD315" i="2"/>
  <c r="AD318" i="2"/>
  <c r="AD323" i="2"/>
  <c r="AD331" i="2"/>
  <c r="AD334" i="2"/>
  <c r="AD340" i="2"/>
  <c r="W342" i="2"/>
  <c r="X342" i="2" s="1"/>
  <c r="N343" i="2"/>
  <c r="O343" i="2" s="1"/>
  <c r="N358" i="2"/>
  <c r="O358" i="2" s="1"/>
  <c r="AD369" i="2"/>
  <c r="AD372" i="2"/>
  <c r="AD377" i="2"/>
  <c r="AD380" i="2"/>
  <c r="AD386" i="2"/>
  <c r="AD390" i="2"/>
  <c r="AD397" i="2"/>
  <c r="AD400" i="2"/>
  <c r="AD409" i="2"/>
  <c r="AD414" i="2"/>
  <c r="AD424" i="2"/>
  <c r="C428" i="2"/>
  <c r="H428" i="2"/>
  <c r="I428" i="2" s="1"/>
  <c r="H429" i="2"/>
  <c r="I429" i="2" s="1"/>
  <c r="AC429" i="2"/>
  <c r="AD429" i="2" s="1"/>
  <c r="AD436" i="2"/>
  <c r="W18" i="3"/>
  <c r="X18" i="3" s="1"/>
  <c r="AA172" i="3"/>
  <c r="Z198" i="3"/>
  <c r="N197" i="2"/>
  <c r="O197" i="2" s="1"/>
  <c r="N209" i="2"/>
  <c r="O209" i="2" s="1"/>
  <c r="N218" i="2"/>
  <c r="O218" i="2" s="1"/>
  <c r="N273" i="2"/>
  <c r="O273" i="2" s="1"/>
  <c r="N295" i="2"/>
  <c r="O295" i="2" s="1"/>
  <c r="AC295" i="2"/>
  <c r="AD295" i="2" s="1"/>
  <c r="W324" i="2"/>
  <c r="X324" i="2" s="1"/>
  <c r="N441" i="2"/>
  <c r="O441" i="2" s="1"/>
  <c r="N29" i="3"/>
  <c r="O29" i="3" s="1"/>
  <c r="U193" i="2"/>
  <c r="U196" i="2"/>
  <c r="C197" i="2"/>
  <c r="C209" i="2"/>
  <c r="C218" i="2"/>
  <c r="U227" i="2"/>
  <c r="AA236" i="2"/>
  <c r="W267" i="2"/>
  <c r="X267" i="2" s="1"/>
  <c r="C324" i="2"/>
  <c r="R324" i="2"/>
  <c r="R343" i="2"/>
  <c r="W343" i="2"/>
  <c r="X343" i="2" s="1"/>
  <c r="R358" i="2"/>
  <c r="W358" i="2"/>
  <c r="X358" i="2" s="1"/>
  <c r="W62" i="3"/>
  <c r="X62" i="3" s="1"/>
  <c r="R62" i="3"/>
  <c r="C172" i="3"/>
  <c r="N172" i="3"/>
  <c r="O172" i="3" s="1"/>
  <c r="H172" i="3"/>
  <c r="I172" i="3" s="1"/>
  <c r="B198" i="3"/>
  <c r="N182" i="2"/>
  <c r="O182" i="2" s="1"/>
  <c r="AC197" i="2"/>
  <c r="AD197" i="2" s="1"/>
  <c r="AC209" i="2"/>
  <c r="AD209" i="2" s="1"/>
  <c r="AC218" i="2"/>
  <c r="AD218" i="2" s="1"/>
  <c r="U393" i="2"/>
  <c r="U403" i="2"/>
  <c r="R441" i="2"/>
  <c r="W441" i="2"/>
  <c r="X441" i="2" s="1"/>
  <c r="R29" i="3"/>
  <c r="W29" i="3"/>
  <c r="X29" i="3" s="1"/>
  <c r="L40" i="3"/>
  <c r="C182" i="2"/>
  <c r="R197" i="2"/>
  <c r="R209" i="2"/>
  <c r="R218" i="2"/>
  <c r="C343" i="2"/>
  <c r="C358" i="2"/>
  <c r="C61" i="3"/>
  <c r="H61" i="3"/>
  <c r="I61" i="3" s="1"/>
  <c r="N324" i="1"/>
  <c r="O324" i="1" s="1"/>
  <c r="N118" i="2"/>
  <c r="O118" i="2" s="1"/>
  <c r="Q172" i="2"/>
  <c r="AD232" i="2"/>
  <c r="AD240" i="2"/>
  <c r="AD248" i="2"/>
  <c r="AD256" i="2"/>
  <c r="N262" i="2"/>
  <c r="O262" i="2" s="1"/>
  <c r="AD271" i="2"/>
  <c r="AD275" i="2"/>
  <c r="AD283" i="2"/>
  <c r="W295" i="2"/>
  <c r="X295" i="2" s="1"/>
  <c r="AD300" i="2"/>
  <c r="AD308" i="2"/>
  <c r="AD316" i="2"/>
  <c r="H324" i="2"/>
  <c r="I324" i="2" s="1"/>
  <c r="AD332" i="2"/>
  <c r="AD341" i="2"/>
  <c r="AD370" i="2"/>
  <c r="AD378" i="2"/>
  <c r="AD388" i="2"/>
  <c r="AD398" i="2"/>
  <c r="AD410" i="2"/>
  <c r="AD420" i="2"/>
  <c r="N428" i="2"/>
  <c r="O428" i="2" s="1"/>
  <c r="AD432" i="2"/>
  <c r="C441" i="2"/>
  <c r="AD442" i="2"/>
  <c r="AC18" i="3"/>
  <c r="AD18" i="3" s="1"/>
  <c r="C29" i="3"/>
  <c r="AD179" i="2"/>
  <c r="AD187" i="2"/>
  <c r="AD191" i="2"/>
  <c r="AD194" i="2"/>
  <c r="AD201" i="2"/>
  <c r="AD205" i="2"/>
  <c r="AD214" i="2"/>
  <c r="AD221" i="2"/>
  <c r="AD225" i="2"/>
  <c r="AD229" i="2"/>
  <c r="AD245" i="2"/>
  <c r="AD253" i="2"/>
  <c r="AD261" i="2"/>
  <c r="AC267" i="2"/>
  <c r="AD267" i="2" s="1"/>
  <c r="H273" i="2"/>
  <c r="I273" i="2" s="1"/>
  <c r="AD280" i="2"/>
  <c r="AD287" i="2"/>
  <c r="AD290" i="2"/>
  <c r="AC324" i="2"/>
  <c r="AD324" i="2" s="1"/>
  <c r="N325" i="2"/>
  <c r="O325" i="2" s="1"/>
  <c r="AD350" i="2"/>
  <c r="AD353" i="2"/>
  <c r="AD362" i="2"/>
  <c r="AD365" i="2"/>
  <c r="AD393" i="2"/>
  <c r="AD403" i="2"/>
  <c r="AD415" i="2"/>
  <c r="AD417" i="2"/>
  <c r="AD422" i="2"/>
  <c r="AD434" i="2"/>
  <c r="AC62" i="3"/>
  <c r="AD62" i="3" s="1"/>
  <c r="L198" i="3"/>
  <c r="K345" i="3"/>
  <c r="AD292" i="2"/>
  <c r="AC343" i="2"/>
  <c r="AD343" i="2" s="1"/>
  <c r="AD355" i="2"/>
  <c r="AC358" i="2"/>
  <c r="AD358" i="2" s="1"/>
  <c r="AD367" i="2"/>
  <c r="AD395" i="2"/>
  <c r="C40" i="3"/>
  <c r="H40" i="3"/>
  <c r="I40" i="3" s="1"/>
  <c r="N61" i="3"/>
  <c r="O61" i="3" s="1"/>
  <c r="W73" i="3"/>
  <c r="X73" i="3" s="1"/>
  <c r="H88" i="3"/>
  <c r="I88" i="3" s="1"/>
  <c r="N124" i="3"/>
  <c r="O124" i="3" s="1"/>
  <c r="W141" i="3"/>
  <c r="X141" i="3" s="1"/>
  <c r="H148" i="3"/>
  <c r="I148" i="3" s="1"/>
  <c r="W171" i="3"/>
  <c r="X171" i="3" s="1"/>
  <c r="E172" i="3"/>
  <c r="Q172" i="3"/>
  <c r="H197" i="3"/>
  <c r="I197" i="3" s="1"/>
  <c r="N236" i="3"/>
  <c r="O236" i="3" s="1"/>
  <c r="AC236" i="3"/>
  <c r="AD236" i="3" s="1"/>
  <c r="AC262" i="3"/>
  <c r="AD262" i="3" s="1"/>
  <c r="W344" i="3"/>
  <c r="X344" i="3" s="1"/>
  <c r="AC403" i="3"/>
  <c r="AD403" i="3" s="1"/>
  <c r="C267" i="3"/>
  <c r="H267" i="3"/>
  <c r="I267" i="3" s="1"/>
  <c r="C295" i="3"/>
  <c r="H295" i="3"/>
  <c r="I295" i="3" s="1"/>
  <c r="R324" i="3"/>
  <c r="W324" i="3"/>
  <c r="X324" i="3" s="1"/>
  <c r="C358" i="3"/>
  <c r="H358" i="3"/>
  <c r="I358" i="3" s="1"/>
  <c r="N73" i="3"/>
  <c r="O73" i="3" s="1"/>
  <c r="AC118" i="3"/>
  <c r="AD118" i="3" s="1"/>
  <c r="AC124" i="3"/>
  <c r="AD124" i="3" s="1"/>
  <c r="N141" i="3"/>
  <c r="O141" i="3" s="1"/>
  <c r="AC149" i="3"/>
  <c r="AD149" i="3" s="1"/>
  <c r="AC158" i="3"/>
  <c r="AD158" i="3" s="1"/>
  <c r="AC166" i="3"/>
  <c r="AD166" i="3" s="1"/>
  <c r="N171" i="3"/>
  <c r="O171" i="3" s="1"/>
  <c r="T172" i="3"/>
  <c r="AC193" i="3"/>
  <c r="AD193" i="3" s="1"/>
  <c r="AC196" i="3"/>
  <c r="AD196" i="3" s="1"/>
  <c r="H227" i="3"/>
  <c r="I227" i="3" s="1"/>
  <c r="C263" i="3"/>
  <c r="H263" i="3"/>
  <c r="I263" i="3" s="1"/>
  <c r="AA284" i="3"/>
  <c r="H324" i="3"/>
  <c r="I324" i="3" s="1"/>
  <c r="F342" i="3"/>
  <c r="R393" i="3"/>
  <c r="F396" i="3"/>
  <c r="L441" i="3"/>
  <c r="C73" i="3"/>
  <c r="F118" i="3"/>
  <c r="R118" i="3"/>
  <c r="U122" i="3"/>
  <c r="F124" i="3"/>
  <c r="R124" i="3"/>
  <c r="C141" i="3"/>
  <c r="R149" i="3"/>
  <c r="R158" i="3"/>
  <c r="R166" i="3"/>
  <c r="C171" i="3"/>
  <c r="R193" i="3"/>
  <c r="R196" i="3"/>
  <c r="W218" i="3"/>
  <c r="X218" i="3" s="1"/>
  <c r="C236" i="3"/>
  <c r="R262" i="3"/>
  <c r="C324" i="3"/>
  <c r="R429" i="3"/>
  <c r="W429" i="3"/>
  <c r="X429" i="3" s="1"/>
  <c r="AC73" i="3"/>
  <c r="AD73" i="3" s="1"/>
  <c r="N88" i="3"/>
  <c r="O88" i="3" s="1"/>
  <c r="AC141" i="3"/>
  <c r="AD141" i="3" s="1"/>
  <c r="N148" i="3"/>
  <c r="O148" i="3" s="1"/>
  <c r="AC171" i="3"/>
  <c r="AD171" i="3" s="1"/>
  <c r="N197" i="3"/>
  <c r="O197" i="3" s="1"/>
  <c r="F344" i="3"/>
  <c r="R403" i="3"/>
  <c r="H442" i="3"/>
  <c r="I442" i="3" s="1"/>
  <c r="L172" i="3"/>
  <c r="AC227" i="3"/>
  <c r="AD227" i="3" s="1"/>
  <c r="R273" i="3"/>
  <c r="C343" i="3"/>
  <c r="H343" i="3"/>
  <c r="I343" i="3" s="1"/>
  <c r="AC344" i="3"/>
  <c r="AD344" i="3" s="1"/>
  <c r="R368" i="3"/>
  <c r="F393" i="3"/>
  <c r="C429" i="3"/>
  <c r="AC325" i="2"/>
  <c r="AD325" i="2" s="1"/>
  <c r="N342" i="2"/>
  <c r="O342" i="2" s="1"/>
  <c r="N344" i="2"/>
  <c r="O344" i="2" s="1"/>
  <c r="N368" i="2"/>
  <c r="O368" i="2" s="1"/>
  <c r="N393" i="2"/>
  <c r="O393" i="2" s="1"/>
  <c r="N396" i="2"/>
  <c r="O396" i="2" s="1"/>
  <c r="N403" i="2"/>
  <c r="O403" i="2" s="1"/>
  <c r="X412" i="2"/>
  <c r="X416" i="2"/>
  <c r="X420" i="2"/>
  <c r="X424" i="2"/>
  <c r="AC428" i="2"/>
  <c r="AD428" i="2" s="1"/>
  <c r="X432" i="2"/>
  <c r="X436" i="2"/>
  <c r="N442" i="2"/>
  <c r="O442" i="2" s="1"/>
  <c r="AC40" i="3"/>
  <c r="AD40" i="3" s="1"/>
  <c r="AC61" i="3"/>
  <c r="AD61" i="3" s="1"/>
  <c r="AC88" i="3"/>
  <c r="AD88" i="3" s="1"/>
  <c r="N122" i="3"/>
  <c r="O122" i="3" s="1"/>
  <c r="N227" i="3"/>
  <c r="O227" i="3" s="1"/>
  <c r="AC263" i="3"/>
  <c r="AD263" i="3" s="1"/>
  <c r="N267" i="3"/>
  <c r="O267" i="3" s="1"/>
  <c r="R284" i="3"/>
  <c r="W284" i="3"/>
  <c r="X284" i="3" s="1"/>
  <c r="N295" i="3"/>
  <c r="O295" i="3" s="1"/>
  <c r="AC324" i="3"/>
  <c r="AD324" i="3" s="1"/>
  <c r="W342" i="3"/>
  <c r="X342" i="3" s="1"/>
  <c r="N358" i="3"/>
  <c r="O358" i="3" s="1"/>
  <c r="AC393" i="3"/>
  <c r="AD393" i="3" s="1"/>
  <c r="W396" i="3"/>
  <c r="X396" i="3" s="1"/>
  <c r="C441" i="3"/>
  <c r="H441" i="3"/>
  <c r="I441" i="3" s="1"/>
  <c r="O439" i="3"/>
  <c r="O435" i="3"/>
  <c r="O427" i="3"/>
  <c r="O423" i="3"/>
  <c r="O419" i="3"/>
  <c r="O415" i="3"/>
  <c r="O411" i="3"/>
  <c r="O407" i="3"/>
  <c r="O399" i="3"/>
  <c r="O389" i="3"/>
  <c r="O383" i="3"/>
  <c r="O379" i="3"/>
  <c r="O375" i="3"/>
  <c r="O371" i="3"/>
  <c r="O364" i="3"/>
  <c r="O360" i="3"/>
  <c r="O356" i="3"/>
  <c r="O352" i="3"/>
  <c r="O347" i="3"/>
  <c r="O338" i="3"/>
  <c r="O333" i="3"/>
  <c r="O329" i="3"/>
  <c r="O321" i="3"/>
  <c r="O317" i="3"/>
  <c r="O313" i="3"/>
  <c r="O309" i="3"/>
  <c r="O305" i="3"/>
  <c r="O301" i="3"/>
  <c r="O297" i="3"/>
  <c r="O293" i="3"/>
  <c r="O289" i="3"/>
  <c r="O281" i="3"/>
  <c r="O277" i="3"/>
  <c r="O269" i="3"/>
  <c r="O438" i="3"/>
  <c r="O434" i="3"/>
  <c r="O426" i="3"/>
  <c r="O422" i="3"/>
  <c r="O418" i="3"/>
  <c r="O414" i="3"/>
  <c r="O410" i="3"/>
  <c r="O402" i="3"/>
  <c r="O398" i="3"/>
  <c r="O395" i="3"/>
  <c r="O392" i="3"/>
  <c r="O388" i="3"/>
  <c r="O382" i="3"/>
  <c r="O378" i="3"/>
  <c r="O374" i="3"/>
  <c r="O370" i="3"/>
  <c r="O367" i="3"/>
  <c r="O363" i="3"/>
  <c r="O355" i="3"/>
  <c r="O351" i="3"/>
  <c r="O341" i="3"/>
  <c r="O337" i="3"/>
  <c r="O332" i="3"/>
  <c r="O328" i="3"/>
  <c r="O320" i="3"/>
  <c r="O316" i="3"/>
  <c r="O312" i="3"/>
  <c r="O308" i="3"/>
  <c r="O304" i="3"/>
  <c r="O300" i="3"/>
  <c r="O292" i="3"/>
  <c r="O288" i="3"/>
  <c r="O280" i="3"/>
  <c r="O276" i="3"/>
  <c r="O272" i="3"/>
  <c r="O261" i="3"/>
  <c r="O257" i="3"/>
  <c r="O253" i="3"/>
  <c r="O249" i="3"/>
  <c r="O245" i="3"/>
  <c r="N263" i="3"/>
  <c r="O263" i="3" s="1"/>
  <c r="R267" i="3"/>
  <c r="AC267" i="3"/>
  <c r="AD267" i="3" s="1"/>
  <c r="H284" i="3"/>
  <c r="I284" i="3" s="1"/>
  <c r="N324" i="3"/>
  <c r="O324" i="3" s="1"/>
  <c r="X247" i="3"/>
  <c r="X251" i="3"/>
  <c r="X255" i="3"/>
  <c r="X259" i="3"/>
  <c r="X266" i="3"/>
  <c r="X270" i="3"/>
  <c r="X278" i="3"/>
  <c r="X282" i="3"/>
  <c r="X286" i="3"/>
  <c r="X290" i="3"/>
  <c r="X294" i="3"/>
  <c r="X298" i="3"/>
  <c r="X302" i="3"/>
  <c r="X306" i="3"/>
  <c r="X310" i="3"/>
  <c r="X314" i="3"/>
  <c r="X318" i="3"/>
  <c r="X322" i="3"/>
  <c r="X330" i="3"/>
  <c r="X334" i="3"/>
  <c r="X339" i="3"/>
  <c r="X349" i="3"/>
  <c r="X353" i="3"/>
  <c r="X357" i="3"/>
  <c r="X361" i="3"/>
  <c r="X365" i="3"/>
  <c r="X372" i="3"/>
  <c r="X376" i="3"/>
  <c r="X380" i="3"/>
  <c r="X385" i="3"/>
  <c r="X390" i="3"/>
  <c r="X400" i="3"/>
  <c r="X408" i="3"/>
  <c r="X412" i="3"/>
  <c r="X416" i="3"/>
  <c r="X420" i="3"/>
  <c r="X424" i="3"/>
  <c r="X432" i="3"/>
  <c r="X436" i="3"/>
  <c r="X440" i="3"/>
  <c r="W18" i="4"/>
  <c r="X18" i="4" s="1"/>
  <c r="H29" i="4"/>
  <c r="I29" i="4" s="1"/>
  <c r="N61" i="4"/>
  <c r="O61" i="4" s="1"/>
  <c r="K172" i="4"/>
  <c r="N227" i="4"/>
  <c r="O227" i="4" s="1"/>
  <c r="N273" i="4"/>
  <c r="O273" i="4" s="1"/>
  <c r="AC273" i="4"/>
  <c r="AD273" i="4" s="1"/>
  <c r="N284" i="4"/>
  <c r="O284" i="4" s="1"/>
  <c r="AC442" i="3"/>
  <c r="AD442" i="3" s="1"/>
  <c r="N18" i="4"/>
  <c r="O18" i="4" s="1"/>
  <c r="C61" i="4"/>
  <c r="N62" i="4"/>
  <c r="O62" i="4" s="1"/>
  <c r="U88" i="4"/>
  <c r="C122" i="4"/>
  <c r="H148" i="4"/>
  <c r="I148" i="4" s="1"/>
  <c r="R148" i="4"/>
  <c r="U149" i="4"/>
  <c r="C170" i="4"/>
  <c r="F171" i="4"/>
  <c r="C197" i="4"/>
  <c r="R442" i="3"/>
  <c r="C18" i="4"/>
  <c r="R61" i="4"/>
  <c r="AC62" i="4"/>
  <c r="AD62" i="4" s="1"/>
  <c r="L236" i="4"/>
  <c r="R273" i="4"/>
  <c r="C284" i="4"/>
  <c r="AC18" i="4"/>
  <c r="AD18" i="4" s="1"/>
  <c r="N29" i="4"/>
  <c r="O29" i="4" s="1"/>
  <c r="U158" i="4"/>
  <c r="C182" i="4"/>
  <c r="U193" i="4"/>
  <c r="R209" i="4"/>
  <c r="R262" i="4"/>
  <c r="U263" i="4"/>
  <c r="U267" i="4"/>
  <c r="N73" i="4"/>
  <c r="O73" i="4" s="1"/>
  <c r="AC73" i="4"/>
  <c r="AD73" i="4" s="1"/>
  <c r="N88" i="4"/>
  <c r="O88" i="4" s="1"/>
  <c r="AA88" i="4"/>
  <c r="N118" i="4"/>
  <c r="O118" i="4" s="1"/>
  <c r="N124" i="4"/>
  <c r="O124" i="4" s="1"/>
  <c r="T172" i="4"/>
  <c r="N166" i="4"/>
  <c r="O166" i="4" s="1"/>
  <c r="AA197" i="4"/>
  <c r="C209" i="4"/>
  <c r="R218" i="4"/>
  <c r="C262" i="4"/>
  <c r="X271" i="3"/>
  <c r="X275" i="3"/>
  <c r="X279" i="3"/>
  <c r="X283" i="3"/>
  <c r="X287" i="3"/>
  <c r="X291" i="3"/>
  <c r="AC295" i="3"/>
  <c r="AD295" i="3" s="1"/>
  <c r="X299" i="3"/>
  <c r="X303" i="3"/>
  <c r="X307" i="3"/>
  <c r="X311" i="3"/>
  <c r="X315" i="3"/>
  <c r="X319" i="3"/>
  <c r="X323" i="3"/>
  <c r="N325" i="3"/>
  <c r="O325" i="3" s="1"/>
  <c r="X331" i="3"/>
  <c r="X335" i="3"/>
  <c r="X340" i="3"/>
  <c r="AC343" i="3"/>
  <c r="AD343" i="3" s="1"/>
  <c r="X350" i="3"/>
  <c r="X354" i="3"/>
  <c r="AC358" i="3"/>
  <c r="AD358" i="3" s="1"/>
  <c r="X362" i="3"/>
  <c r="X366" i="3"/>
  <c r="X369" i="3"/>
  <c r="X373" i="3"/>
  <c r="X377" i="3"/>
  <c r="X381" i="3"/>
  <c r="X386" i="3"/>
  <c r="X391" i="3"/>
  <c r="X394" i="3"/>
  <c r="X397" i="3"/>
  <c r="X401" i="3"/>
  <c r="X409" i="3"/>
  <c r="X413" i="3"/>
  <c r="X417" i="3"/>
  <c r="X421" i="3"/>
  <c r="X425" i="3"/>
  <c r="N428" i="3"/>
  <c r="O428" i="3" s="1"/>
  <c r="X433" i="3"/>
  <c r="AC441" i="3"/>
  <c r="AD441" i="3" s="1"/>
  <c r="AC29" i="4"/>
  <c r="AD29" i="4" s="1"/>
  <c r="N40" i="4"/>
  <c r="O40" i="4" s="1"/>
  <c r="H172" i="4"/>
  <c r="I172" i="4" s="1"/>
  <c r="B198" i="4"/>
  <c r="Z198" i="4"/>
  <c r="N197" i="4"/>
  <c r="O197" i="4" s="1"/>
  <c r="AC236" i="4"/>
  <c r="AD236" i="4" s="1"/>
  <c r="W62" i="4"/>
  <c r="X62" i="4" s="1"/>
  <c r="N122" i="4"/>
  <c r="O122" i="4" s="1"/>
  <c r="E172" i="4"/>
  <c r="W124" i="4"/>
  <c r="X124" i="4" s="1"/>
  <c r="N148" i="4"/>
  <c r="O148" i="4" s="1"/>
  <c r="AC148" i="4"/>
  <c r="AD148" i="4" s="1"/>
  <c r="N170" i="4"/>
  <c r="O170" i="4" s="1"/>
  <c r="W171" i="4"/>
  <c r="X171" i="4" s="1"/>
  <c r="C172" i="4"/>
  <c r="AA172" i="4"/>
  <c r="C236" i="4"/>
  <c r="R118" i="4"/>
  <c r="F124" i="4"/>
  <c r="R124" i="4"/>
  <c r="C141" i="4"/>
  <c r="R149" i="4"/>
  <c r="R158" i="4"/>
  <c r="R166" i="4"/>
  <c r="C171" i="4"/>
  <c r="R193" i="4"/>
  <c r="R196" i="4"/>
  <c r="R227" i="4"/>
  <c r="R263" i="4"/>
  <c r="R267" i="4"/>
  <c r="R295" i="4"/>
  <c r="C325" i="4"/>
  <c r="N342" i="4"/>
  <c r="O342" i="4" s="1"/>
  <c r="H344" i="4"/>
  <c r="I344" i="4" s="1"/>
  <c r="O383" i="4"/>
  <c r="I426" i="4"/>
  <c r="O427" i="4"/>
  <c r="W29" i="5"/>
  <c r="X29" i="5" s="1"/>
  <c r="AC73" i="5"/>
  <c r="AD73" i="5" s="1"/>
  <c r="AC171" i="5"/>
  <c r="AD171" i="5" s="1"/>
  <c r="AC325" i="4"/>
  <c r="AD325" i="4" s="1"/>
  <c r="T198" i="5"/>
  <c r="U172" i="5"/>
  <c r="W141" i="5"/>
  <c r="X141" i="5" s="1"/>
  <c r="F325" i="4"/>
  <c r="R325" i="4"/>
  <c r="C342" i="4"/>
  <c r="N343" i="4"/>
  <c r="O343" i="4" s="1"/>
  <c r="AC343" i="4"/>
  <c r="AD343" i="4" s="1"/>
  <c r="N368" i="4"/>
  <c r="O368" i="4" s="1"/>
  <c r="AA368" i="4"/>
  <c r="W393" i="4"/>
  <c r="X393" i="4" s="1"/>
  <c r="N396" i="4"/>
  <c r="O396" i="4" s="1"/>
  <c r="W403" i="4"/>
  <c r="X403" i="4" s="1"/>
  <c r="N442" i="4"/>
  <c r="O442" i="4" s="1"/>
  <c r="AA61" i="5"/>
  <c r="U118" i="5"/>
  <c r="L122" i="5"/>
  <c r="U124" i="5"/>
  <c r="R141" i="5"/>
  <c r="AA148" i="5"/>
  <c r="H172" i="5"/>
  <c r="I172" i="5" s="1"/>
  <c r="B198" i="5"/>
  <c r="C172" i="5"/>
  <c r="N324" i="4"/>
  <c r="O324" i="4" s="1"/>
  <c r="N344" i="4"/>
  <c r="O344" i="4" s="1"/>
  <c r="AC396" i="4"/>
  <c r="AD396" i="4" s="1"/>
  <c r="U18" i="5"/>
  <c r="F29" i="5"/>
  <c r="AA40" i="5"/>
  <c r="E198" i="5"/>
  <c r="F172" i="5"/>
  <c r="W124" i="5"/>
  <c r="X124" i="5" s="1"/>
  <c r="K345" i="5"/>
  <c r="L198" i="5"/>
  <c r="C324" i="4"/>
  <c r="R343" i="4"/>
  <c r="C368" i="4"/>
  <c r="R73" i="5"/>
  <c r="R88" i="5"/>
  <c r="F141" i="5"/>
  <c r="R171" i="5"/>
  <c r="Q172" i="4"/>
  <c r="N358" i="4"/>
  <c r="O358" i="4" s="1"/>
  <c r="AC358" i="4"/>
  <c r="AD358" i="4" s="1"/>
  <c r="R368" i="4"/>
  <c r="N393" i="4"/>
  <c r="O393" i="4" s="1"/>
  <c r="AA393" i="4"/>
  <c r="R396" i="4"/>
  <c r="N403" i="4"/>
  <c r="O403" i="4" s="1"/>
  <c r="AA403" i="4"/>
  <c r="O411" i="4"/>
  <c r="O416" i="4"/>
  <c r="C442" i="4"/>
  <c r="N62" i="5"/>
  <c r="O62" i="5" s="1"/>
  <c r="C88" i="5"/>
  <c r="AC122" i="5"/>
  <c r="AD122" i="5" s="1"/>
  <c r="N149" i="5"/>
  <c r="O149" i="5" s="1"/>
  <c r="AC170" i="5"/>
  <c r="AD170" i="5" s="1"/>
  <c r="N172" i="5"/>
  <c r="O172" i="5" s="1"/>
  <c r="H343" i="4"/>
  <c r="I343" i="4" s="1"/>
  <c r="N429" i="4"/>
  <c r="O429" i="4" s="1"/>
  <c r="AC141" i="5"/>
  <c r="AD141" i="5" s="1"/>
  <c r="O420" i="4"/>
  <c r="C428" i="4"/>
  <c r="R428" i="4"/>
  <c r="O433" i="4"/>
  <c r="H40" i="5"/>
  <c r="I40" i="5" s="1"/>
  <c r="R40" i="5"/>
  <c r="C61" i="5"/>
  <c r="C148" i="5"/>
  <c r="N158" i="5"/>
  <c r="O158" i="5" s="1"/>
  <c r="Z198" i="5"/>
  <c r="AA172" i="5"/>
  <c r="R429" i="4"/>
  <c r="C441" i="4"/>
  <c r="R18" i="5"/>
  <c r="C29" i="5"/>
  <c r="R62" i="5"/>
  <c r="C73" i="5"/>
  <c r="R118" i="5"/>
  <c r="F124" i="5"/>
  <c r="R124" i="5"/>
  <c r="C141" i="5"/>
  <c r="R149" i="5"/>
  <c r="R158" i="5"/>
  <c r="R166" i="5"/>
  <c r="C171" i="5"/>
  <c r="R193" i="5"/>
  <c r="R196" i="5"/>
  <c r="H263" i="5"/>
  <c r="I263" i="5" s="1"/>
  <c r="W263" i="5"/>
  <c r="X263" i="5" s="1"/>
  <c r="AC342" i="5"/>
  <c r="AD342" i="5" s="1"/>
  <c r="H393" i="5"/>
  <c r="I393" i="5" s="1"/>
  <c r="R393" i="5"/>
  <c r="N197" i="5"/>
  <c r="O197" i="5" s="1"/>
  <c r="N209" i="5"/>
  <c r="O209" i="5" s="1"/>
  <c r="N342" i="5"/>
  <c r="O342" i="5" s="1"/>
  <c r="U193" i="5"/>
  <c r="U196" i="5"/>
  <c r="C197" i="5"/>
  <c r="C209" i="5"/>
  <c r="N227" i="5"/>
  <c r="O227" i="5" s="1"/>
  <c r="N236" i="5"/>
  <c r="O236" i="5" s="1"/>
  <c r="C273" i="5"/>
  <c r="R273" i="5"/>
  <c r="U343" i="5"/>
  <c r="AC368" i="5"/>
  <c r="AD368" i="5" s="1"/>
  <c r="AA396" i="5"/>
  <c r="AC403" i="5"/>
  <c r="AD403" i="5" s="1"/>
  <c r="N182" i="5"/>
  <c r="O182" i="5" s="1"/>
  <c r="AC197" i="5"/>
  <c r="AD197" i="5" s="1"/>
  <c r="AC209" i="5"/>
  <c r="AD209" i="5" s="1"/>
  <c r="AC227" i="5"/>
  <c r="AD227" i="5" s="1"/>
  <c r="AC236" i="5"/>
  <c r="AD236" i="5" s="1"/>
  <c r="AA262" i="5"/>
  <c r="L263" i="5"/>
  <c r="AC263" i="5"/>
  <c r="AD263" i="5" s="1"/>
  <c r="C284" i="5"/>
  <c r="F325" i="5"/>
  <c r="C182" i="5"/>
  <c r="R197" i="5"/>
  <c r="R209" i="5"/>
  <c r="C236" i="5"/>
  <c r="N262" i="5"/>
  <c r="O262" i="5" s="1"/>
  <c r="L267" i="5"/>
  <c r="AC267" i="5"/>
  <c r="AD267" i="5" s="1"/>
  <c r="W273" i="5"/>
  <c r="X273" i="5" s="1"/>
  <c r="Q172" i="5"/>
  <c r="AC218" i="5"/>
  <c r="AD218" i="5" s="1"/>
  <c r="R236" i="5"/>
  <c r="H273" i="5"/>
  <c r="I273" i="5" s="1"/>
  <c r="C324" i="5"/>
  <c r="C342" i="5"/>
  <c r="H368" i="5"/>
  <c r="I368" i="5" s="1"/>
  <c r="R368" i="5"/>
  <c r="AC393" i="5"/>
  <c r="AD393" i="5" s="1"/>
  <c r="H403" i="5"/>
  <c r="I403" i="5" s="1"/>
  <c r="R403" i="5"/>
  <c r="R344" i="5"/>
  <c r="W227" i="5"/>
  <c r="X227" i="5" s="1"/>
  <c r="N284" i="5"/>
  <c r="O284" i="5" s="1"/>
  <c r="W325" i="5"/>
  <c r="X325" i="5" s="1"/>
  <c r="C344" i="5"/>
  <c r="C396" i="5"/>
  <c r="R295" i="5"/>
  <c r="C325" i="5"/>
  <c r="R343" i="5"/>
  <c r="R358" i="5"/>
  <c r="I407" i="5"/>
  <c r="I427" i="5"/>
  <c r="AC429" i="5"/>
  <c r="AD429" i="5" s="1"/>
  <c r="C442" i="5"/>
  <c r="H442" i="5"/>
  <c r="I442" i="5" s="1"/>
  <c r="H166" i="6"/>
  <c r="I166" i="6" s="1"/>
  <c r="R40" i="6"/>
  <c r="W40" i="6"/>
  <c r="X40" i="6" s="1"/>
  <c r="L124" i="6"/>
  <c r="K172" i="6"/>
  <c r="R428" i="5"/>
  <c r="W428" i="5"/>
  <c r="X428" i="5" s="1"/>
  <c r="U429" i="5"/>
  <c r="W441" i="5"/>
  <c r="X441" i="5" s="1"/>
  <c r="U62" i="6"/>
  <c r="U118" i="6"/>
  <c r="U170" i="6"/>
  <c r="H429" i="5"/>
  <c r="I429" i="5" s="1"/>
  <c r="F441" i="5"/>
  <c r="X438" i="5"/>
  <c r="X434" i="5"/>
  <c r="X426" i="5"/>
  <c r="X422" i="5"/>
  <c r="X418" i="5"/>
  <c r="X414" i="5"/>
  <c r="H40" i="6"/>
  <c r="I40" i="6" s="1"/>
  <c r="R61" i="6"/>
  <c r="W61" i="6"/>
  <c r="X61" i="6" s="1"/>
  <c r="C122" i="6"/>
  <c r="H122" i="6"/>
  <c r="I122" i="6" s="1"/>
  <c r="W149" i="6"/>
  <c r="X149" i="6" s="1"/>
  <c r="AC149" i="6"/>
  <c r="AD149" i="6" s="1"/>
  <c r="AC284" i="5"/>
  <c r="AD284" i="5" s="1"/>
  <c r="N295" i="5"/>
  <c r="O295" i="5" s="1"/>
  <c r="AC324" i="5"/>
  <c r="AD324" i="5" s="1"/>
  <c r="N343" i="5"/>
  <c r="O343" i="5" s="1"/>
  <c r="N358" i="5"/>
  <c r="O358" i="5" s="1"/>
  <c r="I408" i="5"/>
  <c r="I423" i="5"/>
  <c r="U18" i="6"/>
  <c r="N29" i="6"/>
  <c r="O29" i="6" s="1"/>
  <c r="R29" i="6"/>
  <c r="H61" i="6"/>
  <c r="I61" i="6" s="1"/>
  <c r="W73" i="6"/>
  <c r="X73" i="6" s="1"/>
  <c r="T198" i="6"/>
  <c r="U172" i="6"/>
  <c r="R149" i="6"/>
  <c r="F158" i="6"/>
  <c r="W171" i="6"/>
  <c r="X171" i="6" s="1"/>
  <c r="AC171" i="6"/>
  <c r="AD171" i="6" s="1"/>
  <c r="I367" i="5"/>
  <c r="I370" i="5"/>
  <c r="I374" i="5"/>
  <c r="I378" i="5"/>
  <c r="I382" i="5"/>
  <c r="I388" i="5"/>
  <c r="I392" i="5"/>
  <c r="I395" i="5"/>
  <c r="I398" i="5"/>
  <c r="I402" i="5"/>
  <c r="X410" i="5"/>
  <c r="I413" i="5"/>
  <c r="X415" i="5"/>
  <c r="I418" i="5"/>
  <c r="X420" i="5"/>
  <c r="X425" i="5"/>
  <c r="I433" i="5"/>
  <c r="X435" i="5"/>
  <c r="X440" i="5"/>
  <c r="H18" i="6"/>
  <c r="I18" i="6" s="1"/>
  <c r="AC40" i="6"/>
  <c r="AD40" i="6" s="1"/>
  <c r="C61" i="6"/>
  <c r="R73" i="6"/>
  <c r="R88" i="6"/>
  <c r="W88" i="6"/>
  <c r="X88" i="6" s="1"/>
  <c r="U124" i="6"/>
  <c r="W141" i="6"/>
  <c r="X141" i="6" s="1"/>
  <c r="R141" i="6"/>
  <c r="R171" i="6"/>
  <c r="X315" i="5"/>
  <c r="X319" i="5"/>
  <c r="X323" i="5"/>
  <c r="X331" i="5"/>
  <c r="X335" i="5"/>
  <c r="X340" i="5"/>
  <c r="X350" i="5"/>
  <c r="X354" i="5"/>
  <c r="X407" i="5"/>
  <c r="I415" i="5"/>
  <c r="I420" i="5"/>
  <c r="X427" i="5"/>
  <c r="N429" i="5"/>
  <c r="O429" i="5" s="1"/>
  <c r="I435" i="5"/>
  <c r="I440" i="5"/>
  <c r="H88" i="6"/>
  <c r="I88" i="6" s="1"/>
  <c r="C141" i="6"/>
  <c r="E172" i="6"/>
  <c r="Q172" i="6"/>
  <c r="W124" i="6"/>
  <c r="X124" i="6" s="1"/>
  <c r="W158" i="6"/>
  <c r="X158" i="6" s="1"/>
  <c r="H171" i="6"/>
  <c r="I171" i="6" s="1"/>
  <c r="W193" i="6"/>
  <c r="X193" i="6" s="1"/>
  <c r="AC218" i="6"/>
  <c r="AD218" i="6" s="1"/>
  <c r="AC227" i="6"/>
  <c r="AD227" i="6" s="1"/>
  <c r="N273" i="6"/>
  <c r="O273" i="6" s="1"/>
  <c r="H295" i="6"/>
  <c r="I295" i="6" s="1"/>
  <c r="W342" i="6"/>
  <c r="X342" i="6" s="1"/>
  <c r="AC263" i="6"/>
  <c r="AD263" i="6" s="1"/>
  <c r="W343" i="6"/>
  <c r="X343" i="6" s="1"/>
  <c r="AC343" i="6"/>
  <c r="AD343" i="6" s="1"/>
  <c r="N197" i="6"/>
  <c r="O197" i="6" s="1"/>
  <c r="C209" i="6"/>
  <c r="F342" i="6"/>
  <c r="R343" i="6"/>
  <c r="F193" i="6"/>
  <c r="R263" i="6"/>
  <c r="C273" i="6"/>
  <c r="U325" i="6"/>
  <c r="AC197" i="6"/>
  <c r="AD197" i="6" s="1"/>
  <c r="F227" i="6"/>
  <c r="N342" i="6"/>
  <c r="O342" i="6" s="1"/>
  <c r="L342" i="6"/>
  <c r="C343" i="6"/>
  <c r="N343" i="6"/>
  <c r="O343" i="6" s="1"/>
  <c r="Z198" i="6"/>
  <c r="N148" i="6"/>
  <c r="O148" i="6" s="1"/>
  <c r="C197" i="6"/>
  <c r="L218" i="6"/>
  <c r="N236" i="6"/>
  <c r="O236" i="6" s="1"/>
  <c r="F263" i="6"/>
  <c r="W267" i="6"/>
  <c r="X267" i="6" s="1"/>
  <c r="R295" i="6"/>
  <c r="AC325" i="6"/>
  <c r="AD325" i="6" s="1"/>
  <c r="AA325" i="6"/>
  <c r="N62" i="6"/>
  <c r="O62" i="6" s="1"/>
  <c r="N118" i="6"/>
  <c r="O118" i="6" s="1"/>
  <c r="AC122" i="6"/>
  <c r="AD122" i="6" s="1"/>
  <c r="B198" i="6"/>
  <c r="N172" i="6"/>
  <c r="O172" i="6" s="1"/>
  <c r="N124" i="6"/>
  <c r="O124" i="6" s="1"/>
  <c r="C124" i="6"/>
  <c r="C148" i="6"/>
  <c r="W166" i="6"/>
  <c r="X166" i="6" s="1"/>
  <c r="N170" i="6"/>
  <c r="O170" i="6" s="1"/>
  <c r="N209" i="6"/>
  <c r="O209" i="6" s="1"/>
  <c r="N262" i="6"/>
  <c r="O262" i="6" s="1"/>
  <c r="H343" i="6"/>
  <c r="I343" i="6" s="1"/>
  <c r="H344" i="6"/>
  <c r="I344" i="6" s="1"/>
  <c r="R344" i="6"/>
  <c r="I329" i="6"/>
  <c r="O330" i="6"/>
  <c r="I332" i="6"/>
  <c r="I347" i="6"/>
  <c r="O349" i="6"/>
  <c r="I351" i="6"/>
  <c r="I364" i="6"/>
  <c r="O367" i="6"/>
  <c r="I374" i="6"/>
  <c r="I381" i="6"/>
  <c r="AD390" i="6"/>
  <c r="I392" i="6"/>
  <c r="AC393" i="6"/>
  <c r="AD393" i="6" s="1"/>
  <c r="O394" i="6"/>
  <c r="AC396" i="6"/>
  <c r="AD396" i="6" s="1"/>
  <c r="I398" i="6"/>
  <c r="I400" i="6"/>
  <c r="I402" i="6"/>
  <c r="AD408" i="6"/>
  <c r="AD412" i="6"/>
  <c r="AD416" i="6"/>
  <c r="AD420" i="6"/>
  <c r="H428" i="6"/>
  <c r="I428" i="6" s="1"/>
  <c r="N429" i="6"/>
  <c r="O429" i="6" s="1"/>
  <c r="I435" i="6"/>
  <c r="AD435" i="6"/>
  <c r="AD439" i="6"/>
  <c r="O424" i="6"/>
  <c r="AC428" i="6"/>
  <c r="AD428" i="6" s="1"/>
  <c r="AC442" i="6"/>
  <c r="AD442" i="6" s="1"/>
  <c r="N62" i="7"/>
  <c r="O62" i="7" s="1"/>
  <c r="H393" i="6"/>
  <c r="I393" i="6" s="1"/>
  <c r="C403" i="6"/>
  <c r="R403" i="6"/>
  <c r="N442" i="6"/>
  <c r="O442" i="6" s="1"/>
  <c r="U29" i="7"/>
  <c r="W40" i="7"/>
  <c r="X40" i="7" s="1"/>
  <c r="H73" i="7"/>
  <c r="I73" i="7" s="1"/>
  <c r="N73" i="7"/>
  <c r="O73" i="7" s="1"/>
  <c r="I437" i="6"/>
  <c r="I433" i="6"/>
  <c r="I425" i="6"/>
  <c r="I421" i="6"/>
  <c r="I417" i="6"/>
  <c r="I413" i="6"/>
  <c r="I409" i="6"/>
  <c r="I401" i="6"/>
  <c r="I397" i="6"/>
  <c r="R40" i="7"/>
  <c r="C73" i="7"/>
  <c r="C358" i="6"/>
  <c r="N358" i="6"/>
  <c r="O358" i="6" s="1"/>
  <c r="O439" i="6"/>
  <c r="O435" i="6"/>
  <c r="O427" i="6"/>
  <c r="O423" i="6"/>
  <c r="O419" i="6"/>
  <c r="O415" i="6"/>
  <c r="O411" i="6"/>
  <c r="O407" i="6"/>
  <c r="O399" i="6"/>
  <c r="O389" i="6"/>
  <c r="O383" i="6"/>
  <c r="O379" i="6"/>
  <c r="O375" i="6"/>
  <c r="O371" i="6"/>
  <c r="O364" i="6"/>
  <c r="O360" i="6"/>
  <c r="AC324" i="6"/>
  <c r="AD324" i="6" s="1"/>
  <c r="N325" i="6"/>
  <c r="O325" i="6" s="1"/>
  <c r="I367" i="6"/>
  <c r="AC368" i="6"/>
  <c r="AD368" i="6" s="1"/>
  <c r="O380" i="6"/>
  <c r="I394" i="6"/>
  <c r="AD441" i="6"/>
  <c r="C442" i="6"/>
  <c r="R442" i="6"/>
  <c r="X437" i="6"/>
  <c r="X433" i="6"/>
  <c r="X425" i="6"/>
  <c r="X421" i="6"/>
  <c r="X417" i="6"/>
  <c r="X413" i="6"/>
  <c r="X409" i="6"/>
  <c r="X401" i="6"/>
  <c r="X397" i="6"/>
  <c r="X394" i="6"/>
  <c r="X391" i="6"/>
  <c r="X386" i="6"/>
  <c r="X381" i="6"/>
  <c r="X377" i="6"/>
  <c r="X373" i="6"/>
  <c r="X369" i="6"/>
  <c r="X366" i="6"/>
  <c r="X362" i="6"/>
  <c r="C62" i="7"/>
  <c r="O350" i="6"/>
  <c r="O353" i="6"/>
  <c r="O363" i="6"/>
  <c r="O365" i="6"/>
  <c r="I388" i="6"/>
  <c r="AC403" i="6"/>
  <c r="AD403" i="6" s="1"/>
  <c r="O409" i="6"/>
  <c r="O413" i="6"/>
  <c r="O417" i="6"/>
  <c r="O421" i="6"/>
  <c r="O425" i="6"/>
  <c r="O432" i="6"/>
  <c r="O436" i="6"/>
  <c r="O440" i="6"/>
  <c r="AD438" i="6"/>
  <c r="AD434" i="6"/>
  <c r="AD426" i="6"/>
  <c r="AD422" i="6"/>
  <c r="AD418" i="6"/>
  <c r="AD414" i="6"/>
  <c r="AD410" i="6"/>
  <c r="AD402" i="6"/>
  <c r="AD398" i="6"/>
  <c r="O338" i="6"/>
  <c r="O356" i="6"/>
  <c r="H358" i="6"/>
  <c r="I358" i="6" s="1"/>
  <c r="W358" i="6"/>
  <c r="X358" i="6" s="1"/>
  <c r="I362" i="6"/>
  <c r="H368" i="6"/>
  <c r="I368" i="6" s="1"/>
  <c r="O385" i="6"/>
  <c r="AD388" i="6"/>
  <c r="N403" i="6"/>
  <c r="O403" i="6" s="1"/>
  <c r="I410" i="6"/>
  <c r="I414" i="6"/>
  <c r="I418" i="6"/>
  <c r="I422" i="6"/>
  <c r="I426" i="6"/>
  <c r="O434" i="6"/>
  <c r="O438" i="6"/>
  <c r="H118" i="7"/>
  <c r="I118" i="7" s="1"/>
  <c r="AA172" i="7"/>
  <c r="Z198" i="7"/>
  <c r="W158" i="7"/>
  <c r="X158" i="7" s="1"/>
  <c r="AC158" i="7"/>
  <c r="AD158" i="7" s="1"/>
  <c r="W193" i="7"/>
  <c r="X193" i="7" s="1"/>
  <c r="R193" i="7"/>
  <c r="F122" i="7"/>
  <c r="AC124" i="7"/>
  <c r="AD124" i="7" s="1"/>
  <c r="L171" i="7"/>
  <c r="K172" i="7"/>
  <c r="N88" i="7"/>
  <c r="O88" i="7" s="1"/>
  <c r="C166" i="7"/>
  <c r="H166" i="7"/>
  <c r="I166" i="7" s="1"/>
  <c r="N166" i="7"/>
  <c r="O166" i="7" s="1"/>
  <c r="T345" i="7"/>
  <c r="U198" i="7"/>
  <c r="B172" i="7"/>
  <c r="H124" i="7"/>
  <c r="I124" i="7" s="1"/>
  <c r="C158" i="7"/>
  <c r="N158" i="7"/>
  <c r="O158" i="7" s="1"/>
  <c r="C193" i="7"/>
  <c r="H193" i="7"/>
  <c r="I193" i="7" s="1"/>
  <c r="N193" i="7"/>
  <c r="O193" i="7" s="1"/>
  <c r="AC196" i="7"/>
  <c r="AD196" i="7" s="1"/>
  <c r="AC429" i="6"/>
  <c r="AD429" i="6" s="1"/>
  <c r="N441" i="6"/>
  <c r="O441" i="6" s="1"/>
  <c r="AC18" i="7"/>
  <c r="AD18" i="7" s="1"/>
  <c r="N29" i="7"/>
  <c r="O29" i="7" s="1"/>
  <c r="C124" i="7"/>
  <c r="R124" i="7"/>
  <c r="AC141" i="7"/>
  <c r="AD141" i="7" s="1"/>
  <c r="R171" i="7"/>
  <c r="W171" i="7"/>
  <c r="X171" i="7" s="1"/>
  <c r="Q172" i="7"/>
  <c r="C197" i="7"/>
  <c r="N197" i="7"/>
  <c r="O197" i="7" s="1"/>
  <c r="H197" i="7"/>
  <c r="I197" i="7" s="1"/>
  <c r="U88" i="7"/>
  <c r="N118" i="7"/>
  <c r="O118" i="7" s="1"/>
  <c r="AC118" i="7"/>
  <c r="AD118" i="7" s="1"/>
  <c r="F172" i="7"/>
  <c r="E198" i="7"/>
  <c r="C141" i="7"/>
  <c r="N148" i="7"/>
  <c r="O148" i="7" s="1"/>
  <c r="H149" i="7"/>
  <c r="I149" i="7" s="1"/>
  <c r="W122" i="7"/>
  <c r="X122" i="7" s="1"/>
  <c r="F124" i="7"/>
  <c r="C149" i="7"/>
  <c r="H158" i="7"/>
  <c r="I158" i="7" s="1"/>
  <c r="W166" i="7"/>
  <c r="X166" i="7" s="1"/>
  <c r="AC166" i="7"/>
  <c r="AD166" i="7" s="1"/>
  <c r="N209" i="7"/>
  <c r="O209" i="7" s="1"/>
  <c r="W284" i="7"/>
  <c r="X284" i="7" s="1"/>
  <c r="R284" i="7"/>
  <c r="N267" i="7"/>
  <c r="O267" i="7" s="1"/>
  <c r="H284" i="7"/>
  <c r="I284" i="7" s="1"/>
  <c r="C284" i="7"/>
  <c r="AC182" i="7"/>
  <c r="AD182" i="7" s="1"/>
  <c r="AC197" i="7"/>
  <c r="AD197" i="7" s="1"/>
  <c r="W209" i="7"/>
  <c r="X209" i="7" s="1"/>
  <c r="R227" i="7"/>
  <c r="AC227" i="7"/>
  <c r="AD227" i="7" s="1"/>
  <c r="C267" i="7"/>
  <c r="N170" i="7"/>
  <c r="O170" i="7" s="1"/>
  <c r="H218" i="7"/>
  <c r="I218" i="7" s="1"/>
  <c r="U263" i="7"/>
  <c r="N284" i="7"/>
  <c r="O284" i="7" s="1"/>
  <c r="N182" i="7"/>
  <c r="O182" i="7" s="1"/>
  <c r="C218" i="7"/>
  <c r="H295" i="7"/>
  <c r="I295" i="7" s="1"/>
  <c r="N295" i="7"/>
  <c r="O295" i="7" s="1"/>
  <c r="C262" i="7"/>
  <c r="W262" i="7"/>
  <c r="X262" i="7" s="1"/>
  <c r="C273" i="7"/>
  <c r="W273" i="7"/>
  <c r="X273" i="7" s="1"/>
  <c r="C324" i="7"/>
  <c r="R324" i="7"/>
  <c r="R343" i="7"/>
  <c r="W325" i="7"/>
  <c r="X325" i="7" s="1"/>
  <c r="R325" i="7"/>
  <c r="C343" i="7"/>
  <c r="H343" i="7"/>
  <c r="I343" i="7" s="1"/>
  <c r="R344" i="7"/>
  <c r="W344" i="7"/>
  <c r="X344" i="7" s="1"/>
  <c r="F358" i="7"/>
  <c r="C325" i="7"/>
  <c r="H325" i="7"/>
  <c r="I325" i="7" s="1"/>
  <c r="AC358" i="7"/>
  <c r="AD358" i="7" s="1"/>
  <c r="AC262" i="7"/>
  <c r="AD262" i="7" s="1"/>
  <c r="AC273" i="7"/>
  <c r="AD273" i="7" s="1"/>
  <c r="N343" i="7"/>
  <c r="O343" i="7" s="1"/>
  <c r="H368" i="7"/>
  <c r="I368" i="7" s="1"/>
  <c r="C368" i="7"/>
  <c r="N368" i="7"/>
  <c r="O368" i="7" s="1"/>
  <c r="H324" i="7"/>
  <c r="I324" i="7" s="1"/>
  <c r="AC325" i="7"/>
  <c r="AD325" i="7" s="1"/>
  <c r="N393" i="7"/>
  <c r="O393" i="7" s="1"/>
  <c r="N396" i="7"/>
  <c r="O396" i="7" s="1"/>
  <c r="H441" i="7"/>
  <c r="I441" i="7" s="1"/>
  <c r="C441" i="7"/>
  <c r="W368" i="7"/>
  <c r="X368" i="7" s="1"/>
  <c r="AC263" i="7"/>
  <c r="AD263" i="7" s="1"/>
  <c r="AC267" i="7"/>
  <c r="AD267" i="7" s="1"/>
  <c r="AC295" i="7"/>
  <c r="AD295" i="7" s="1"/>
  <c r="H429" i="7"/>
  <c r="I429" i="7" s="1"/>
  <c r="F429" i="7"/>
  <c r="N358" i="7"/>
  <c r="O358" i="7" s="1"/>
  <c r="H393" i="7"/>
  <c r="I393" i="7" s="1"/>
  <c r="H396" i="7"/>
  <c r="I396" i="7" s="1"/>
  <c r="N441" i="7"/>
  <c r="O441" i="7" s="1"/>
  <c r="W358" i="7"/>
  <c r="X358" i="7" s="1"/>
  <c r="W403" i="7"/>
  <c r="X403" i="7" s="1"/>
  <c r="U403" i="7"/>
  <c r="W429" i="7"/>
  <c r="X429" i="7" s="1"/>
  <c r="R429" i="7"/>
  <c r="W442" i="7"/>
  <c r="X442" i="7" s="1"/>
  <c r="U442" i="7"/>
  <c r="N428" i="7"/>
  <c r="O428" i="7" s="1"/>
  <c r="AC441" i="7"/>
  <c r="AD441" i="7" s="1"/>
  <c r="C428" i="7"/>
  <c r="R441" i="7"/>
  <c r="N403" i="7"/>
  <c r="O403" i="7" s="1"/>
  <c r="AC428" i="7"/>
  <c r="AD428" i="7" s="1"/>
  <c r="N442" i="7"/>
  <c r="O442" i="7" s="1"/>
  <c r="AC368" i="7"/>
  <c r="AD368" i="7" s="1"/>
  <c r="AC393" i="7"/>
  <c r="AD393" i="7" s="1"/>
  <c r="AC396" i="7"/>
  <c r="AD396" i="7" s="1"/>
  <c r="AC403" i="7"/>
  <c r="AD403" i="7" s="1"/>
  <c r="N429" i="7"/>
  <c r="O429" i="7" s="1"/>
  <c r="AC442" i="7"/>
  <c r="AD442" i="7" s="1"/>
  <c r="B345" i="3" l="1"/>
  <c r="C198" i="3"/>
  <c r="N198" i="3"/>
  <c r="O198" i="3" s="1"/>
  <c r="K345" i="2"/>
  <c r="L198" i="2"/>
  <c r="E345" i="7"/>
  <c r="F198" i="7"/>
  <c r="R172" i="7"/>
  <c r="AC172" i="7"/>
  <c r="AD172" i="7" s="1"/>
  <c r="W172" i="7"/>
  <c r="X172" i="7" s="1"/>
  <c r="Q198" i="7"/>
  <c r="K198" i="7"/>
  <c r="L172" i="7"/>
  <c r="Z345" i="7"/>
  <c r="AA198" i="7"/>
  <c r="AA198" i="4"/>
  <c r="Z345" i="4"/>
  <c r="C172" i="7"/>
  <c r="N172" i="7"/>
  <c r="O172" i="7" s="1"/>
  <c r="H172" i="7"/>
  <c r="I172" i="7" s="1"/>
  <c r="B198" i="7"/>
  <c r="Q198" i="4"/>
  <c r="R172" i="4"/>
  <c r="AC172" i="4"/>
  <c r="AD172" i="4" s="1"/>
  <c r="W172" i="4"/>
  <c r="X172" i="4" s="1"/>
  <c r="B345" i="4"/>
  <c r="C198" i="4"/>
  <c r="N198" i="4"/>
  <c r="O198" i="4" s="1"/>
  <c r="Q198" i="2"/>
  <c r="R172" i="2"/>
  <c r="AC172" i="2"/>
  <c r="AD172" i="2" s="1"/>
  <c r="W172" i="2"/>
  <c r="X172" i="2" s="1"/>
  <c r="T345" i="6"/>
  <c r="U198" i="6"/>
  <c r="L345" i="5"/>
  <c r="K404" i="5"/>
  <c r="U198" i="5"/>
  <c r="T345" i="5"/>
  <c r="K198" i="4"/>
  <c r="N172" i="4"/>
  <c r="O172" i="4" s="1"/>
  <c r="L172" i="4"/>
  <c r="Q198" i="5"/>
  <c r="R172" i="5"/>
  <c r="AC172" i="5"/>
  <c r="AD172" i="5" s="1"/>
  <c r="W172" i="5"/>
  <c r="X172" i="5" s="1"/>
  <c r="Z345" i="5"/>
  <c r="AA198" i="5"/>
  <c r="E198" i="4"/>
  <c r="H198" i="4" s="1"/>
  <c r="I198" i="4" s="1"/>
  <c r="F172" i="4"/>
  <c r="U172" i="4"/>
  <c r="T198" i="4"/>
  <c r="C198" i="2"/>
  <c r="B345" i="2"/>
  <c r="N198" i="2"/>
  <c r="O198" i="2" s="1"/>
  <c r="Z345" i="1"/>
  <c r="AA198" i="1"/>
  <c r="T198" i="1"/>
  <c r="U172" i="1"/>
  <c r="W172" i="3"/>
  <c r="X172" i="3" s="1"/>
  <c r="Q198" i="3"/>
  <c r="R172" i="3"/>
  <c r="AC172" i="3"/>
  <c r="AD172" i="3" s="1"/>
  <c r="AA198" i="3"/>
  <c r="Z345" i="3"/>
  <c r="T345" i="2"/>
  <c r="U198" i="2"/>
  <c r="C172" i="1"/>
  <c r="N172" i="1"/>
  <c r="O172" i="1" s="1"/>
  <c r="B198" i="1"/>
  <c r="H172" i="1"/>
  <c r="I172" i="1" s="1"/>
  <c r="AC172" i="1"/>
  <c r="AD172" i="1" s="1"/>
  <c r="R172" i="1"/>
  <c r="Q198" i="1"/>
  <c r="W172" i="1"/>
  <c r="X172" i="1" s="1"/>
  <c r="Z345" i="6"/>
  <c r="AA198" i="6"/>
  <c r="T404" i="7"/>
  <c r="U345" i="7"/>
  <c r="AC172" i="6"/>
  <c r="AD172" i="6" s="1"/>
  <c r="R172" i="6"/>
  <c r="Q198" i="6"/>
  <c r="W172" i="6"/>
  <c r="X172" i="6" s="1"/>
  <c r="K198" i="6"/>
  <c r="L172" i="6"/>
  <c r="E345" i="5"/>
  <c r="F198" i="5"/>
  <c r="B345" i="5"/>
  <c r="C198" i="5"/>
  <c r="N198" i="5"/>
  <c r="O198" i="5" s="1"/>
  <c r="H198" i="5"/>
  <c r="I198" i="5" s="1"/>
  <c r="T198" i="3"/>
  <c r="U172" i="3"/>
  <c r="E198" i="3"/>
  <c r="F172" i="3"/>
  <c r="K404" i="3"/>
  <c r="L345" i="3"/>
  <c r="E198" i="2"/>
  <c r="F172" i="2"/>
  <c r="K345" i="1"/>
  <c r="L198" i="1"/>
  <c r="F345" i="1"/>
  <c r="E404" i="1"/>
  <c r="C198" i="6"/>
  <c r="B345" i="6"/>
  <c r="F172" i="6"/>
  <c r="E198" i="6"/>
  <c r="H198" i="6" s="1"/>
  <c r="I198" i="6" s="1"/>
  <c r="H172" i="6"/>
  <c r="I172" i="6" s="1"/>
  <c r="AA198" i="2"/>
  <c r="Z345" i="2"/>
  <c r="E345" i="3" l="1"/>
  <c r="F198" i="3"/>
  <c r="E404" i="5"/>
  <c r="F345" i="5"/>
  <c r="U404" i="7"/>
  <c r="T443" i="7"/>
  <c r="U443" i="7" s="1"/>
  <c r="B345" i="1"/>
  <c r="H198" i="1"/>
  <c r="I198" i="1" s="1"/>
  <c r="N198" i="1"/>
  <c r="O198" i="1" s="1"/>
  <c r="C198" i="1"/>
  <c r="AA345" i="5"/>
  <c r="Z404" i="5"/>
  <c r="T404" i="5"/>
  <c r="U345" i="5"/>
  <c r="Q345" i="3"/>
  <c r="W198" i="3"/>
  <c r="X198" i="3" s="1"/>
  <c r="R198" i="3"/>
  <c r="AC198" i="3"/>
  <c r="AD198" i="3" s="1"/>
  <c r="B404" i="2"/>
  <c r="C345" i="2"/>
  <c r="N345" i="2"/>
  <c r="O345" i="2" s="1"/>
  <c r="AC198" i="2"/>
  <c r="AD198" i="2" s="1"/>
  <c r="Q345" i="2"/>
  <c r="W198" i="2"/>
  <c r="X198" i="2" s="1"/>
  <c r="R198" i="2"/>
  <c r="AC198" i="4"/>
  <c r="AD198" i="4" s="1"/>
  <c r="Q345" i="4"/>
  <c r="R198" i="4"/>
  <c r="W198" i="4"/>
  <c r="X198" i="4" s="1"/>
  <c r="AA345" i="7"/>
  <c r="Z404" i="7"/>
  <c r="E404" i="7"/>
  <c r="F345" i="7"/>
  <c r="L345" i="1"/>
  <c r="K404" i="1"/>
  <c r="AA345" i="6"/>
  <c r="Z404" i="6"/>
  <c r="L404" i="5"/>
  <c r="K443" i="5"/>
  <c r="L443" i="5" s="1"/>
  <c r="B345" i="7"/>
  <c r="C198" i="7"/>
  <c r="H198" i="7"/>
  <c r="I198" i="7" s="1"/>
  <c r="N198" i="7"/>
  <c r="O198" i="7" s="1"/>
  <c r="T345" i="4"/>
  <c r="U198" i="4"/>
  <c r="K345" i="7"/>
  <c r="L198" i="7"/>
  <c r="K404" i="2"/>
  <c r="L345" i="2"/>
  <c r="T345" i="3"/>
  <c r="U198" i="3"/>
  <c r="K345" i="6"/>
  <c r="L198" i="6"/>
  <c r="C345" i="6"/>
  <c r="B404" i="6"/>
  <c r="Q345" i="5"/>
  <c r="AC198" i="5"/>
  <c r="AD198" i="5" s="1"/>
  <c r="W198" i="5"/>
  <c r="X198" i="5" s="1"/>
  <c r="R198" i="5"/>
  <c r="W198" i="7"/>
  <c r="X198" i="7" s="1"/>
  <c r="Q345" i="7"/>
  <c r="AC198" i="7"/>
  <c r="AD198" i="7" s="1"/>
  <c r="R198" i="7"/>
  <c r="W198" i="1"/>
  <c r="X198" i="1" s="1"/>
  <c r="Q345" i="1"/>
  <c r="R198" i="1"/>
  <c r="AC198" i="1"/>
  <c r="AD198" i="1" s="1"/>
  <c r="T345" i="1"/>
  <c r="U198" i="1"/>
  <c r="AA345" i="3"/>
  <c r="Z404" i="3"/>
  <c r="U345" i="6"/>
  <c r="T404" i="6"/>
  <c r="C345" i="4"/>
  <c r="H345" i="4"/>
  <c r="I345" i="4" s="1"/>
  <c r="B404" i="4"/>
  <c r="E345" i="2"/>
  <c r="H345" i="2" s="1"/>
  <c r="I345" i="2" s="1"/>
  <c r="F198" i="2"/>
  <c r="W198" i="6"/>
  <c r="X198" i="6" s="1"/>
  <c r="AC198" i="6"/>
  <c r="AD198" i="6" s="1"/>
  <c r="R198" i="6"/>
  <c r="Q345" i="6"/>
  <c r="U345" i="2"/>
  <c r="T404" i="2"/>
  <c r="Z404" i="2"/>
  <c r="AA345" i="2"/>
  <c r="N198" i="6"/>
  <c r="O198" i="6" s="1"/>
  <c r="K443" i="3"/>
  <c r="L443" i="3" s="1"/>
  <c r="L404" i="3"/>
  <c r="C345" i="5"/>
  <c r="N345" i="5"/>
  <c r="O345" i="5" s="1"/>
  <c r="H345" i="5"/>
  <c r="I345" i="5" s="1"/>
  <c r="B404" i="5"/>
  <c r="Z404" i="1"/>
  <c r="AA345" i="1"/>
  <c r="E345" i="4"/>
  <c r="F198" i="4"/>
  <c r="AA345" i="4"/>
  <c r="Z404" i="4"/>
  <c r="H198" i="3"/>
  <c r="I198" i="3" s="1"/>
  <c r="E345" i="6"/>
  <c r="F198" i="6"/>
  <c r="F404" i="1"/>
  <c r="E443" i="1"/>
  <c r="F443" i="1" s="1"/>
  <c r="H198" i="2"/>
  <c r="I198" i="2" s="1"/>
  <c r="K345" i="4"/>
  <c r="L198" i="4"/>
  <c r="C345" i="3"/>
  <c r="H345" i="3"/>
  <c r="I345" i="3" s="1"/>
  <c r="N345" i="3"/>
  <c r="O345" i="3" s="1"/>
  <c r="B404" i="3"/>
  <c r="U404" i="2" l="1"/>
  <c r="T443" i="2"/>
  <c r="U443" i="2" s="1"/>
  <c r="B443" i="4"/>
  <c r="C404" i="4"/>
  <c r="Q404" i="7"/>
  <c r="AC345" i="7"/>
  <c r="AD345" i="7" s="1"/>
  <c r="W345" i="7"/>
  <c r="X345" i="7" s="1"/>
  <c r="R345" i="7"/>
  <c r="C404" i="6"/>
  <c r="B443" i="6"/>
  <c r="N404" i="6"/>
  <c r="O404" i="6" s="1"/>
  <c r="AA404" i="7"/>
  <c r="Z443" i="7"/>
  <c r="AA443" i="7" s="1"/>
  <c r="R345" i="2"/>
  <c r="W345" i="2"/>
  <c r="X345" i="2" s="1"/>
  <c r="AC345" i="2"/>
  <c r="AD345" i="2" s="1"/>
  <c r="Q404" i="2"/>
  <c r="R345" i="3"/>
  <c r="Q404" i="3"/>
  <c r="AC345" i="3"/>
  <c r="AD345" i="3" s="1"/>
  <c r="W345" i="3"/>
  <c r="X345" i="3" s="1"/>
  <c r="B404" i="1"/>
  <c r="N345" i="1"/>
  <c r="O345" i="1" s="1"/>
  <c r="C345" i="1"/>
  <c r="H345" i="1"/>
  <c r="I345" i="1" s="1"/>
  <c r="L345" i="7"/>
  <c r="K404" i="7"/>
  <c r="K404" i="4"/>
  <c r="L345" i="4"/>
  <c r="Q404" i="6"/>
  <c r="R345" i="6"/>
  <c r="W345" i="6"/>
  <c r="X345" i="6" s="1"/>
  <c r="AC345" i="6"/>
  <c r="AD345" i="6" s="1"/>
  <c r="N345" i="4"/>
  <c r="O345" i="4" s="1"/>
  <c r="AA404" i="6"/>
  <c r="Z443" i="6"/>
  <c r="AA443" i="6" s="1"/>
  <c r="K404" i="6"/>
  <c r="L345" i="6"/>
  <c r="T443" i="5"/>
  <c r="U443" i="5" s="1"/>
  <c r="U404" i="5"/>
  <c r="Z443" i="4"/>
  <c r="AA443" i="4" s="1"/>
  <c r="AA404" i="4"/>
  <c r="E404" i="4"/>
  <c r="F345" i="4"/>
  <c r="L404" i="1"/>
  <c r="K443" i="1"/>
  <c r="L443" i="1" s="1"/>
  <c r="R345" i="4"/>
  <c r="AC345" i="4"/>
  <c r="AD345" i="4" s="1"/>
  <c r="W345" i="4"/>
  <c r="X345" i="4" s="1"/>
  <c r="Q404" i="4"/>
  <c r="H404" i="2"/>
  <c r="I404" i="2" s="1"/>
  <c r="B443" i="2"/>
  <c r="N404" i="2"/>
  <c r="O404" i="2" s="1"/>
  <c r="C404" i="2"/>
  <c r="Z443" i="5"/>
  <c r="AA443" i="5" s="1"/>
  <c r="AA404" i="5"/>
  <c r="T443" i="6"/>
  <c r="U443" i="6" s="1"/>
  <c r="U404" i="6"/>
  <c r="W345" i="1"/>
  <c r="X345" i="1" s="1"/>
  <c r="Q404" i="1"/>
  <c r="R345" i="1"/>
  <c r="AC345" i="1"/>
  <c r="AD345" i="1" s="1"/>
  <c r="C404" i="3"/>
  <c r="B443" i="3"/>
  <c r="N404" i="3"/>
  <c r="O404" i="3" s="1"/>
  <c r="AC345" i="5"/>
  <c r="AD345" i="5" s="1"/>
  <c r="Q404" i="5"/>
  <c r="R345" i="5"/>
  <c r="W345" i="5"/>
  <c r="X345" i="5" s="1"/>
  <c r="T404" i="3"/>
  <c r="U345" i="3"/>
  <c r="F404" i="5"/>
  <c r="E443" i="5"/>
  <c r="F443" i="5" s="1"/>
  <c r="U345" i="1"/>
  <c r="T404" i="1"/>
  <c r="T404" i="4"/>
  <c r="U345" i="4"/>
  <c r="Z443" i="1"/>
  <c r="AA443" i="1" s="1"/>
  <c r="AA404" i="1"/>
  <c r="AA404" i="3"/>
  <c r="Z443" i="3"/>
  <c r="AA443" i="3" s="1"/>
  <c r="N345" i="6"/>
  <c r="O345" i="6" s="1"/>
  <c r="E404" i="6"/>
  <c r="H404" i="6" s="1"/>
  <c r="I404" i="6" s="1"/>
  <c r="F345" i="6"/>
  <c r="B443" i="5"/>
  <c r="C404" i="5"/>
  <c r="H404" i="5"/>
  <c r="I404" i="5" s="1"/>
  <c r="N404" i="5"/>
  <c r="O404" i="5" s="1"/>
  <c r="Z443" i="2"/>
  <c r="AA443" i="2" s="1"/>
  <c r="AA404" i="2"/>
  <c r="F345" i="2"/>
  <c r="E404" i="2"/>
  <c r="H345" i="6"/>
  <c r="I345" i="6" s="1"/>
  <c r="K443" i="2"/>
  <c r="L443" i="2" s="1"/>
  <c r="L404" i="2"/>
  <c r="C345" i="7"/>
  <c r="H345" i="7"/>
  <c r="I345" i="7" s="1"/>
  <c r="B404" i="7"/>
  <c r="N345" i="7"/>
  <c r="O345" i="7" s="1"/>
  <c r="F404" i="7"/>
  <c r="E443" i="7"/>
  <c r="F443" i="7" s="1"/>
  <c r="F345" i="3"/>
  <c r="E404" i="3"/>
  <c r="F404" i="3" l="1"/>
  <c r="E443" i="3"/>
  <c r="F443" i="3" s="1"/>
  <c r="C443" i="4"/>
  <c r="H443" i="4"/>
  <c r="I443" i="4" s="1"/>
  <c r="F404" i="2"/>
  <c r="E443" i="2"/>
  <c r="F443" i="2" s="1"/>
  <c r="U404" i="4"/>
  <c r="T443" i="4"/>
  <c r="U443" i="4" s="1"/>
  <c r="K443" i="6"/>
  <c r="L443" i="6" s="1"/>
  <c r="L404" i="6"/>
  <c r="W404" i="1"/>
  <c r="X404" i="1" s="1"/>
  <c r="Q443" i="1"/>
  <c r="R404" i="1"/>
  <c r="AC404" i="1"/>
  <c r="AD404" i="1" s="1"/>
  <c r="C443" i="2"/>
  <c r="N443" i="2"/>
  <c r="O443" i="2" s="1"/>
  <c r="K443" i="4"/>
  <c r="L443" i="4" s="1"/>
  <c r="L404" i="4"/>
  <c r="W404" i="7"/>
  <c r="X404" i="7" s="1"/>
  <c r="R404" i="7"/>
  <c r="Q443" i="7"/>
  <c r="AC404" i="7"/>
  <c r="AD404" i="7" s="1"/>
  <c r="T443" i="1"/>
  <c r="U443" i="1" s="1"/>
  <c r="U404" i="1"/>
  <c r="E443" i="4"/>
  <c r="F443" i="4" s="1"/>
  <c r="F404" i="4"/>
  <c r="L404" i="7"/>
  <c r="K443" i="7"/>
  <c r="L443" i="7" s="1"/>
  <c r="R404" i="3"/>
  <c r="Q443" i="3"/>
  <c r="AC404" i="3"/>
  <c r="AD404" i="3" s="1"/>
  <c r="W404" i="3"/>
  <c r="X404" i="3" s="1"/>
  <c r="H404" i="4"/>
  <c r="I404" i="4" s="1"/>
  <c r="H404" i="7"/>
  <c r="I404" i="7" s="1"/>
  <c r="C404" i="7"/>
  <c r="N404" i="7"/>
  <c r="O404" i="7" s="1"/>
  <c r="B443" i="7"/>
  <c r="Q443" i="4"/>
  <c r="AC404" i="4"/>
  <c r="AD404" i="4" s="1"/>
  <c r="W404" i="4"/>
  <c r="X404" i="4" s="1"/>
  <c r="R404" i="4"/>
  <c r="N404" i="4"/>
  <c r="O404" i="4" s="1"/>
  <c r="E443" i="6"/>
  <c r="F443" i="6" s="1"/>
  <c r="F404" i="6"/>
  <c r="R404" i="5"/>
  <c r="Q443" i="5"/>
  <c r="AC404" i="5"/>
  <c r="AD404" i="5" s="1"/>
  <c r="W404" i="5"/>
  <c r="X404" i="5" s="1"/>
  <c r="H404" i="3"/>
  <c r="I404" i="3" s="1"/>
  <c r="R404" i="2"/>
  <c r="W404" i="2"/>
  <c r="X404" i="2" s="1"/>
  <c r="Q443" i="2"/>
  <c r="AC404" i="2"/>
  <c r="AD404" i="2" s="1"/>
  <c r="C443" i="6"/>
  <c r="N443" i="6"/>
  <c r="O443" i="6" s="1"/>
  <c r="C443" i="3"/>
  <c r="N443" i="3"/>
  <c r="O443" i="3" s="1"/>
  <c r="H443" i="3"/>
  <c r="I443" i="3" s="1"/>
  <c r="T443" i="3"/>
  <c r="U443" i="3" s="1"/>
  <c r="U404" i="3"/>
  <c r="N443" i="5"/>
  <c r="O443" i="5" s="1"/>
  <c r="C443" i="5"/>
  <c r="H443" i="5"/>
  <c r="I443" i="5" s="1"/>
  <c r="Q443" i="6"/>
  <c r="AC404" i="6"/>
  <c r="AD404" i="6" s="1"/>
  <c r="R404" i="6"/>
  <c r="W404" i="6"/>
  <c r="X404" i="6" s="1"/>
  <c r="B443" i="1"/>
  <c r="N404" i="1"/>
  <c r="O404" i="1" s="1"/>
  <c r="C404" i="1"/>
  <c r="H404" i="1"/>
  <c r="I404" i="1" s="1"/>
  <c r="W443" i="4" l="1"/>
  <c r="X443" i="4" s="1"/>
  <c r="AC443" i="4"/>
  <c r="AD443" i="4" s="1"/>
  <c r="R443" i="4"/>
  <c r="R443" i="3"/>
  <c r="AC443" i="3"/>
  <c r="AD443" i="3" s="1"/>
  <c r="W443" i="3"/>
  <c r="X443" i="3" s="1"/>
  <c r="H443" i="2"/>
  <c r="I443" i="2" s="1"/>
  <c r="W443" i="5"/>
  <c r="X443" i="5" s="1"/>
  <c r="R443" i="5"/>
  <c r="AC443" i="5"/>
  <c r="AD443" i="5" s="1"/>
  <c r="W443" i="7"/>
  <c r="X443" i="7" s="1"/>
  <c r="R443" i="7"/>
  <c r="AC443" i="7"/>
  <c r="AD443" i="7" s="1"/>
  <c r="W443" i="1"/>
  <c r="X443" i="1" s="1"/>
  <c r="AC443" i="1"/>
  <c r="AD443" i="1" s="1"/>
  <c r="R443" i="1"/>
  <c r="H443" i="7"/>
  <c r="I443" i="7" s="1"/>
  <c r="C443" i="7"/>
  <c r="N443" i="7"/>
  <c r="O443" i="7" s="1"/>
  <c r="R443" i="2"/>
  <c r="W443" i="2"/>
  <c r="X443" i="2" s="1"/>
  <c r="AC443" i="2"/>
  <c r="AD443" i="2" s="1"/>
  <c r="AC443" i="6"/>
  <c r="AD443" i="6" s="1"/>
  <c r="R443" i="6"/>
  <c r="W443" i="6"/>
  <c r="X443" i="6" s="1"/>
  <c r="N443" i="4"/>
  <c r="O443" i="4" s="1"/>
  <c r="N443" i="1"/>
  <c r="O443" i="1" s="1"/>
  <c r="C443" i="1"/>
  <c r="H443" i="1"/>
  <c r="I443" i="1" s="1"/>
  <c r="H443" i="6"/>
  <c r="I443" i="6" s="1"/>
</calcChain>
</file>

<file path=xl/sharedStrings.xml><?xml version="1.0" encoding="utf-8"?>
<sst xmlns="http://schemas.openxmlformats.org/spreadsheetml/2006/main" count="3934" uniqueCount="417">
  <si>
    <t>P&amp;L - Per. &amp; YTD vs Budget and PY</t>
  </si>
  <si>
    <t>05/25/2025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</si>
  <si>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</si>
  <si>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</si>
  <si>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</si>
  <si>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</si>
  <si>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</si>
  <si>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</si>
  <si>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</si>
  <si>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</si>
  <si>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</si>
  <si>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</si>
  <si>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</si>
  <si>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</si>
  <si>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</si>
  <si>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</si>
  <si>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</si>
  <si>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</si>
  <si>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</si>
  <si>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</si>
  <si>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</si>
  <si>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</si>
  <si>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</si>
  <si>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</si>
  <si>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</si>
  <si>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</si>
  <si>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</si>
  <si>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</si>
  <si>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</si>
  <si>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</si>
  <si>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</si>
  <si>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</si>
  <si>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</si>
  <si>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</si>
  <si>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</si>
  <si>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</si>
  <si>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</si>
  <si>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</si>
  <si>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</si>
  <si>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</si>
  <si>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</si>
  <si>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</si>
  <si>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</si>
  <si>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</si>
  <si>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</si>
  <si>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</si>
  <si>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</si>
  <si>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</si>
  <si>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</si>
  <si>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</si>
  <si>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</si>
  <si>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</si>
  <si>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</si>
  <si>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</si>
  <si>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</si>
  <si>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</si>
  <si>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</si>
  <si>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</si>
  <si>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</si>
  <si>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</si>
  <si>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</si>
  <si>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</si>
  <si>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</si>
  <si>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</si>
  <si>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</si>
  <si>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</si>
  <si>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</si>
  <si>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</si>
  <si>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</si>
  <si>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</si>
  <si>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</si>
  <si>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</si>
  <si>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</si>
  <si>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</si>
  <si>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</si>
  <si>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</si>
  <si>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</si>
  <si>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</si>
  <si>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</si>
  <si>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</si>
  <si>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</si>
  <si>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</si>
  <si>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</si>
  <si>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</si>
  <si>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</si>
  <si>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</si>
  <si>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</si>
  <si>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</si>
  <si>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</si>
  <si>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</si>
  <si>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</si>
  <si>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</si>
  <si>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</si>
  <si>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</si>
  <si>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</si>
  <si>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</si>
  <si>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</si>
  <si>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</si>
  <si>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</si>
  <si>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</si>
  <si>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</si>
  <si>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</si>
  <si>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</si>
  <si>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</si>
  <si>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</si>
  <si>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</si>
  <si>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</si>
  <si>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</si>
  <si>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</si>
  <si>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</si>
  <si>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</si>
  <si>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</si>
  <si>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</si>
  <si>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</si>
  <si>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</si>
  <si>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</si>
  <si>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</si>
  <si>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</si>
  <si>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</si>
  <si>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</si>
  <si>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</si>
  <si>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</si>
  <si>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</si>
  <si>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</si>
  <si>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</si>
  <si>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</si>
  <si>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</si>
  <si>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</si>
  <si>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</si>
  <si>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</si>
  <si>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</si>
  <si>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</si>
  <si>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</si>
  <si>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</si>
  <si>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</si>
  <si>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</si>
  <si>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</si>
  <si>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</si>
  <si>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</si>
  <si>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</si>
  <si>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</si>
  <si>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</si>
  <si>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</si>
  <si>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</si>
  <si>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</si>
  <si>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</si>
  <si>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</si>
  <si>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</si>
  <si>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</si>
  <si>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</si>
  <si>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</si>
  <si>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</si>
  <si>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</si>
  <si>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</si>
  <si>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</si>
  <si>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</si>
  <si>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</si>
  <si>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</si>
  <si>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</si>
  <si>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</si>
  <si>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</si>
  <si>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</si>
  <si>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</si>
  <si>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</si>
  <si>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</si>
  <si>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</si>
  <si>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</si>
  <si>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</si>
  <si>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</si>
  <si>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</si>
  <si>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</si>
  <si>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</si>
  <si>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</si>
  <si>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</si>
  <si>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</si>
  <si>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</si>
  <si>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</si>
  <si>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</si>
  <si>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</si>
  <si>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</si>
  <si>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</si>
  <si>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</si>
  <si>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</si>
  <si>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</si>
  <si>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</si>
  <si>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</si>
  <si>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</si>
  <si>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</si>
  <si>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</si>
  <si>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</si>
  <si>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</si>
  <si>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</si>
  <si>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</si>
  <si>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</si>
  <si>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</si>
  <si>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</si>
  <si>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</si>
  <si>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</si>
  <si>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</si>
  <si>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</si>
  <si>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</si>
  <si>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</si>
  <si>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</si>
  <si>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</si>
  <si>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</si>
  <si>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</si>
  <si>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</si>
  <si>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</si>
  <si>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</si>
  <si>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</si>
  <si>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</si>
  <si>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</si>
  <si>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Thanx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</si>
  <si>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</si>
  <si>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</si>
  <si>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</si>
  <si>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</si>
  <si>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</si>
  <si>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</si>
  <si>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</si>
  <si>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</si>
  <si>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</si>
  <si>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</si>
  <si>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</si>
  <si>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</si>
  <si>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</si>
  <si>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</si>
  <si>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</si>
  <si>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</si>
  <si>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</si>
  <si>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</si>
  <si>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</si>
  <si>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</si>
  <si>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</si>
  <si>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</si>
  <si>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</si>
  <si>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</si>
  <si>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</si>
  <si>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</si>
  <si>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</si>
  <si>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</si>
  <si>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</si>
  <si>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</si>
  <si>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</si>
  <si>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</si>
  <si>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</si>
  <si>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</si>
  <si>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</si>
  <si>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</si>
  <si>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</si>
  <si>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</si>
  <si>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</si>
  <si>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</si>
  <si>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</si>
  <si>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</si>
  <si>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</si>
  <si>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</si>
  <si>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</si>
  <si>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</si>
  <si>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</si>
  <si>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</si>
  <si>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</si>
  <si>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</si>
  <si>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</si>
  <si>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</si>
  <si>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</si>
  <si>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</si>
  <si>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</si>
  <si>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</si>
  <si>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</si>
  <si>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</si>
  <si>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</si>
  <si>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</si>
  <si>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</si>
  <si>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</si>
  <si>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</si>
  <si>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</si>
  <si>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</si>
  <si>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</si>
  <si>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</si>
  <si>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</si>
  <si>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</si>
  <si>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</si>
  <si>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</si>
  <si>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</si>
  <si>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</si>
  <si>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</si>
  <si>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</si>
  <si>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</si>
  <si>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</si>
  <si>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</si>
  <si>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</si>
  <si>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</si>
  <si>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</si>
  <si>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</si>
  <si>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</si>
  <si>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</si>
  <si>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</si>
  <si>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</si>
  <si>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</si>
  <si>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</si>
  <si>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</si>
  <si>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</si>
  <si>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</si>
  <si>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</si>
  <si>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</si>
  <si>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</si>
  <si>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</si>
  <si>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</si>
  <si>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</si>
  <si>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</si>
  <si>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</si>
  <si>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</si>
  <si>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</si>
  <si>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</si>
  <si>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</si>
  <si>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</si>
  <si>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</si>
  <si>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</si>
  <si>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</si>
  <si>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</si>
  <si>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</si>
  <si>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</si>
  <si>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</si>
  <si>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</si>
  <si>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</si>
  <si>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</si>
  <si>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</si>
  <si>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</si>
  <si>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</si>
  <si>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</si>
  <si>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</si>
  <si>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</si>
  <si>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</si>
  <si>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</si>
  <si>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</si>
  <si>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</si>
  <si>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</si>
  <si>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</si>
  <si>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</si>
  <si>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</si>
  <si>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</si>
  <si>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</si>
  <si>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</si>
  <si>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</si>
  <si>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</si>
  <si>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</si>
  <si>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</si>
  <si>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</si>
  <si>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</si>
  <si>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</si>
  <si>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</si>
  <si>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</si>
  <si>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</si>
  <si>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</si>
  <si>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</si>
  <si>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</si>
  <si>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</si>
  <si>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</si>
  <si>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</si>
  <si>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</si>
  <si>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</si>
  <si>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</si>
  <si>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</si>
  <si>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</si>
  <si>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</si>
  <si>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</si>
  <si>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</si>
  <si>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</si>
  <si>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</si>
  <si>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</si>
  <si>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</si>
  <si>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</si>
  <si>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</si>
  <si>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</si>
  <si>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</si>
  <si>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</si>
  <si>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</si>
  <si>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</si>
  <si>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</si>
  <si>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</si>
  <si>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</si>
  <si>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</si>
  <si>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</si>
  <si>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</si>
  <si>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</si>
  <si>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</si>
  <si>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</si>
  <si>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</si>
  <si>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</si>
  <si>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</si>
  <si>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</si>
  <si>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</si>
  <si>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</si>
  <si>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</si>
  <si>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</si>
  <si>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</si>
  <si>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</si>
  <si>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</si>
  <si>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</si>
  <si>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</si>
  <si>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</si>
  <si>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</si>
  <si>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</si>
  <si>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</si>
  <si>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</si>
  <si>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</si>
  <si>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</si>
  <si>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</si>
  <si>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</si>
  <si>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04/06/2026 06:53 PM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</si>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</sst>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%"/>
    <numFmt numFmtId="165" formatCode="#,##0.0%;\(#,##0.0%\)"/>
    <numFmt numFmtId="166" formatCode="#,##0.0;\(#,##0.0\)"/>
  </numFmts>
  <fonts count="11" x14ac:knownFonts="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left" vertical="center" wrapText="1" indent="3"/>
    </xf>
    <xf numFmtId="0" fontId="4" fillId="0" borderId="0" xfId="0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D449"/>
  <sheetViews>
    <sheetView showGridLine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2</v>
      </c>
      <c r="B3" s="31" t="s">
        <v>2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1" t="s">
        <v>2</v>
      </c>
      <c r="I3" s="31" t="s">
        <v>2</v>
      </c>
      <c r="J3" s="31" t="s">
        <v>2</v>
      </c>
      <c r="K3" s="31" t="s">
        <v>2</v>
      </c>
      <c r="L3" s="31" t="s">
        <v>2</v>
      </c>
      <c r="M3" s="31" t="s">
        <v>2</v>
      </c>
      <c r="N3" s="31" t="s">
        <v>2</v>
      </c>
      <c r="O3" s="31" t="s">
        <v>2</v>
      </c>
      <c r="P3" s="31" t="s">
        <v>2</v>
      </c>
      <c r="Q3" s="31" t="s">
        <v>2</v>
      </c>
      <c r="R3" s="31" t="s">
        <v>2</v>
      </c>
      <c r="S3" s="31" t="s">
        <v>2</v>
      </c>
      <c r="T3" s="31" t="s">
        <v>2</v>
      </c>
      <c r="U3" s="31" t="s">
        <v>2</v>
      </c>
      <c r="V3" s="31" t="s">
        <v>2</v>
      </c>
      <c r="W3" s="31" t="s">
        <v>2</v>
      </c>
      <c r="X3" s="31" t="s">
        <v>2</v>
      </c>
      <c r="Y3" s="31" t="s">
        <v>2</v>
      </c>
      <c r="Z3" s="31" t="s">
        <v>2</v>
      </c>
      <c r="AA3" s="31" t="s">
        <v>2</v>
      </c>
      <c r="AB3" s="31" t="s">
        <v>2</v>
      </c>
      <c r="AC3" s="31" t="s">
        <v>2</v>
      </c>
      <c r="AD3" s="31" t="s">
        <v>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297993.08999999997</v>
      </c>
      <c r="F10" s="8">
        <f>IFERROR(E10/E444, "NA")</f>
        <v>0.45721208802279378</v>
      </c>
      <c r="G10" s="9"/>
      <c r="H10" s="10">
        <f t="shared" ref="H10:H19" si="0">IFERROR(B10-E10, "NA")</f>
        <v>-297993.08999999997</v>
      </c>
      <c r="I10" s="8">
        <f>IFERROR(H10/H444, "NA")</f>
        <v>5.1679526438072436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1291151.06</v>
      </c>
      <c r="U10" s="8">
        <f>IFERROR(T10/T444, "NA")</f>
        <v>0.45879687953990544</v>
      </c>
      <c r="V10" s="9"/>
      <c r="W10" s="10">
        <f t="shared" ref="W10:W19" si="2">IFERROR(Q10-T10, "NA")</f>
        <v>-1291151.06</v>
      </c>
      <c r="X10" s="8">
        <f>IFERROR(W10/W444, "NA")</f>
        <v>-30.408702136037661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242118.14</v>
      </c>
      <c r="C11" s="8">
        <f>IFERROR(B11/B444, "NA")</f>
        <v>0.40753806454458091</v>
      </c>
      <c r="D11" s="9"/>
      <c r="E11" s="7">
        <v>0</v>
      </c>
      <c r="F11" s="8">
        <f>IFERROR(E11/E444, "NA")</f>
        <v>0</v>
      </c>
      <c r="G11" s="9"/>
      <c r="H11" s="10">
        <f t="shared" si="0"/>
        <v>242118.14</v>
      </c>
      <c r="I11" s="8">
        <f>IFERROR(H11/H444, "NA")</f>
        <v>-4.1989399208105551</v>
      </c>
      <c r="J11" s="9"/>
      <c r="K11" s="7">
        <v>241323.56999999998</v>
      </c>
      <c r="L11" s="8">
        <f>IFERROR(K11/K444, "NA")</f>
        <v>0.4273713561649779</v>
      </c>
      <c r="M11" s="9"/>
      <c r="N11" s="10">
        <f t="shared" si="1"/>
        <v>794.57000000003609</v>
      </c>
      <c r="O11" s="8">
        <f>IFERROR(N11/N444, "NA")</f>
        <v>2.6998686712007235E-2</v>
      </c>
      <c r="P11" s="9"/>
      <c r="Q11" s="7">
        <v>1139070.08</v>
      </c>
      <c r="R11" s="8">
        <f>IFERROR(Q11/Q444, "NA")</f>
        <v>0.39874044138992354</v>
      </c>
      <c r="S11" s="9"/>
      <c r="T11" s="7">
        <v>0</v>
      </c>
      <c r="U11" s="8">
        <f>IFERROR(T11/T444, "NA")</f>
        <v>0</v>
      </c>
      <c r="V11" s="9"/>
      <c r="W11" s="10">
        <f t="shared" si="2"/>
        <v>1139070.08</v>
      </c>
      <c r="X11" s="8">
        <f>IFERROR(W11/W444, "NA")</f>
        <v>26.826948331508621</v>
      </c>
      <c r="Y11" s="9"/>
      <c r="Z11" s="7">
        <v>1129642.8399999999</v>
      </c>
      <c r="AA11" s="8">
        <f>IFERROR(Z11/Z444, "NA")</f>
        <v>0.45362768295128414</v>
      </c>
      <c r="AB11" s="9"/>
      <c r="AC11" s="10">
        <f t="shared" si="3"/>
        <v>9427.2400000002235</v>
      </c>
      <c r="AD11" s="8">
        <f>IFERROR(AC11/AC444, "NA")</f>
        <v>2.572738178743748E-2</v>
      </c>
    </row>
    <row r="12" spans="1:30" ht="16.5" customHeight="1" x14ac:dyDescent="0.45">
      <c r="A12" s="12" t="s">
        <v>14</v>
      </c>
      <c r="B12" s="7">
        <v>27533.15</v>
      </c>
      <c r="C12" s="8">
        <f>IFERROR(B12/B444, "NA")</f>
        <v>4.6344345210216915E-2</v>
      </c>
      <c r="D12" s="9"/>
      <c r="E12" s="7">
        <v>0</v>
      </c>
      <c r="F12" s="8">
        <f>IFERROR(E12/E444, "NA")</f>
        <v>0</v>
      </c>
      <c r="G12" s="9"/>
      <c r="H12" s="10">
        <f t="shared" si="0"/>
        <v>27533.15</v>
      </c>
      <c r="I12" s="8">
        <f>IFERROR(H12/H444, "NA")</f>
        <v>-0.47749434503612631</v>
      </c>
      <c r="J12" s="9"/>
      <c r="K12" s="7">
        <v>24794.649999999998</v>
      </c>
      <c r="L12" s="8">
        <f>IFERROR(K12/K444, "NA")</f>
        <v>4.3910021702960753E-2</v>
      </c>
      <c r="M12" s="9"/>
      <c r="N12" s="10">
        <f t="shared" si="1"/>
        <v>2738.5000000000036</v>
      </c>
      <c r="O12" s="8">
        <f>IFERROR(N12/N444, "NA")</f>
        <v>9.305146627840033E-2</v>
      </c>
      <c r="P12" s="9"/>
      <c r="Q12" s="7">
        <v>121658.73999999999</v>
      </c>
      <c r="R12" s="8">
        <f>IFERROR(Q12/Q444, "NA")</f>
        <v>4.2587598900448637E-2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121658.73999999999</v>
      </c>
      <c r="X12" s="8">
        <f>IFERROR(W12/W444, "NA")</f>
        <v>2.8652606976178681</v>
      </c>
      <c r="Y12" s="9"/>
      <c r="Z12" s="7">
        <v>109428.25</v>
      </c>
      <c r="AA12" s="8">
        <f>IFERROR(Z12/Z444, "NA")</f>
        <v>4.3942812488338236E-2</v>
      </c>
      <c r="AB12" s="9"/>
      <c r="AC12" s="10">
        <f t="shared" si="3"/>
        <v>12230.489999999991</v>
      </c>
      <c r="AD12" s="8">
        <f>IFERROR(AC12/AC444, "NA")</f>
        <v>3.3377583012358707E-2</v>
      </c>
    </row>
    <row r="13" spans="1:30" ht="16.5" customHeight="1" x14ac:dyDescent="0.45">
      <c r="A13" s="12" t="s">
        <v>15</v>
      </c>
      <c r="B13" s="7">
        <v>1117</v>
      </c>
      <c r="C13" s="8">
        <f>IFERROR(B13/B444, "NA")</f>
        <v>1.8801565966775429E-3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1117</v>
      </c>
      <c r="I13" s="8">
        <f>IFERROR(H13/H444, "NA")</f>
        <v>-1.9371600539907458E-2</v>
      </c>
      <c r="J13" s="9"/>
      <c r="K13" s="7">
        <v>1316.5</v>
      </c>
      <c r="L13" s="8">
        <f>IFERROR(K13/K444, "NA")</f>
        <v>2.3314522920044379E-3</v>
      </c>
      <c r="M13" s="9"/>
      <c r="N13" s="10">
        <f t="shared" si="1"/>
        <v>-199.5</v>
      </c>
      <c r="O13" s="8">
        <f>IFERROR(N13/N444, "NA")</f>
        <v>-6.778808662603923E-3</v>
      </c>
      <c r="P13" s="9"/>
      <c r="Q13" s="7">
        <v>6223</v>
      </c>
      <c r="R13" s="8">
        <f>IFERROR(Q13/Q444, "NA")</f>
        <v>2.1784100999031543E-3</v>
      </c>
      <c r="S13" s="9"/>
      <c r="T13" s="7">
        <v>0</v>
      </c>
      <c r="U13" s="8">
        <f>IFERROR(T13/T444, "NA")</f>
        <v>0</v>
      </c>
      <c r="V13" s="9"/>
      <c r="W13" s="10">
        <f t="shared" si="2"/>
        <v>6223</v>
      </c>
      <c r="X13" s="8">
        <f>IFERROR(W13/W444, "NA")</f>
        <v>0.14656174575929354</v>
      </c>
      <c r="Y13" s="9"/>
      <c r="Z13" s="7">
        <v>5259.26</v>
      </c>
      <c r="AA13" s="8">
        <f>IFERROR(Z13/Z444, "NA")</f>
        <v>2.1119471069620298E-3</v>
      </c>
      <c r="AB13" s="9"/>
      <c r="AC13" s="10">
        <f t="shared" si="3"/>
        <v>963.73999999999978</v>
      </c>
      <c r="AD13" s="8">
        <f>IFERROR(AC13/AC444, "NA")</f>
        <v>2.6300918321613114E-3</v>
      </c>
    </row>
    <row r="14" spans="1:30" ht="16.5" customHeight="1" x14ac:dyDescent="0.45">
      <c r="A14" s="12" t="s">
        <v>16</v>
      </c>
      <c r="B14" s="7">
        <v>2255</v>
      </c>
      <c r="C14" s="8">
        <f>IFERROR(B14/B444, "NA")</f>
        <v>3.7956608106605723E-3</v>
      </c>
      <c r="D14" s="9"/>
      <c r="E14" s="7">
        <v>0</v>
      </c>
      <c r="F14" s="8">
        <f>IFERROR(E14/E444, "NA")</f>
        <v>0</v>
      </c>
      <c r="G14" s="9"/>
      <c r="H14" s="10">
        <f t="shared" si="0"/>
        <v>2255</v>
      </c>
      <c r="I14" s="8">
        <f>IFERROR(H14/H444, "NA")</f>
        <v>-3.9107394106975217E-2</v>
      </c>
      <c r="J14" s="9"/>
      <c r="K14" s="7">
        <v>3336</v>
      </c>
      <c r="L14" s="8">
        <f>IFERROR(K14/K444, "NA")</f>
        <v>5.9078806275175127E-3</v>
      </c>
      <c r="M14" s="9"/>
      <c r="N14" s="10">
        <f t="shared" si="1"/>
        <v>-1081</v>
      </c>
      <c r="O14" s="8">
        <f>IFERROR(N14/N444, "NA")</f>
        <v>-3.6731289043984164E-2</v>
      </c>
      <c r="P14" s="9"/>
      <c r="Q14" s="7">
        <v>10225</v>
      </c>
      <c r="R14" s="8">
        <f>IFERROR(Q14/Q444, "NA")</f>
        <v>3.5793416794969875E-3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10225</v>
      </c>
      <c r="X14" s="8">
        <f>IFERROR(W14/W444, "NA")</f>
        <v>0.24081533832376287</v>
      </c>
      <c r="Y14" s="9"/>
      <c r="Z14" s="7">
        <v>14111.99</v>
      </c>
      <c r="AA14" s="8">
        <f>IFERROR(Z14/Z444, "NA")</f>
        <v>5.6669144430922021E-3</v>
      </c>
      <c r="AB14" s="9"/>
      <c r="AC14" s="10">
        <f t="shared" si="3"/>
        <v>-3886.99</v>
      </c>
      <c r="AD14" s="8">
        <f>IFERROR(AC14/AC444, "NA")</f>
        <v>-1.0607778706593789E-2</v>
      </c>
    </row>
    <row r="15" spans="1:30" ht="16.5" customHeight="1" x14ac:dyDescent="0.45">
      <c r="A15" s="12" t="s">
        <v>17</v>
      </c>
      <c r="B15" s="7">
        <v>349</v>
      </c>
      <c r="C15" s="8">
        <f>IFERROR(B15/B444, "NA")</f>
        <v>5.874437352197515E-4</v>
      </c>
      <c r="D15" s="9"/>
      <c r="E15" s="7">
        <v>0</v>
      </c>
      <c r="F15" s="8">
        <f>IFERROR(E15/E444, "NA")</f>
        <v>0</v>
      </c>
      <c r="G15" s="9"/>
      <c r="H15" s="10">
        <f t="shared" si="0"/>
        <v>349</v>
      </c>
      <c r="I15" s="8">
        <f>IFERROR(H15/H444, "NA")</f>
        <v>-6.0525412609021513E-3</v>
      </c>
      <c r="J15" s="9"/>
      <c r="K15" s="7">
        <v>579.5</v>
      </c>
      <c r="L15" s="8">
        <f>IFERROR(K15/K444, "NA")</f>
        <v>1.0262640358652273E-3</v>
      </c>
      <c r="M15" s="9"/>
      <c r="N15" s="10">
        <f t="shared" si="1"/>
        <v>-230.5</v>
      </c>
      <c r="O15" s="8">
        <f>IFERROR(N15/N444, "NA")</f>
        <v>-7.8321573770937548E-3</v>
      </c>
      <c r="P15" s="9"/>
      <c r="Q15" s="7">
        <v>1363</v>
      </c>
      <c r="R15" s="8">
        <f>IFERROR(Q15/Q444, "NA")</f>
        <v>4.7712887131094316E-4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1363</v>
      </c>
      <c r="X15" s="8">
        <f>IFERROR(W15/W444, "NA")</f>
        <v>3.2100861235725066E-2</v>
      </c>
      <c r="Y15" s="9"/>
      <c r="Z15" s="7">
        <v>1930</v>
      </c>
      <c r="AA15" s="8">
        <f>IFERROR(Z15/Z444, "NA")</f>
        <v>7.7502498762881426E-4</v>
      </c>
      <c r="AB15" s="9"/>
      <c r="AC15" s="10">
        <f t="shared" si="3"/>
        <v>-567</v>
      </c>
      <c r="AD15" s="8">
        <f>IFERROR(AC15/AC444, "NA")</f>
        <v>-1.5473696939376429E-3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3.0500000000000003</v>
      </c>
      <c r="R16" s="8">
        <f>IFERROR(Q16/Q444, "NA")</f>
        <v>1.0676764911947006E-6</v>
      </c>
      <c r="S16" s="9"/>
      <c r="T16" s="7">
        <v>0</v>
      </c>
      <c r="U16" s="8">
        <f>IFERROR(T16/T444, "NA")</f>
        <v>0</v>
      </c>
      <c r="V16" s="9"/>
      <c r="W16" s="10">
        <f t="shared" si="2"/>
        <v>3.0500000000000003</v>
      </c>
      <c r="X16" s="8">
        <f>IFERROR(W16/W444, "NA")</f>
        <v>7.1832448106354702E-5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3.0500000000000003</v>
      </c>
      <c r="AD16" s="8">
        <f>IFERROR(AC16/AC444, "NA")</f>
        <v>8.3235935917280625E-6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273372.29000000004</v>
      </c>
      <c r="C18" s="15">
        <f>IFERROR(B18/B444, "NA")</f>
        <v>0.46014567089735575</v>
      </c>
      <c r="D18" s="2"/>
      <c r="E18" s="14">
        <f>IFERROR(E10+E11+E12+E13+E14+E15+E16+E17, "NA")</f>
        <v>297993.08999999997</v>
      </c>
      <c r="F18" s="15">
        <f>IFERROR(E18/E444, "NA")</f>
        <v>0.45721208802279378</v>
      </c>
      <c r="G18" s="2"/>
      <c r="H18" s="14">
        <f t="shared" si="0"/>
        <v>-24620.79999999993</v>
      </c>
      <c r="I18" s="15">
        <f>IFERROR(H18/H444, "NA")</f>
        <v>0.42698684205277726</v>
      </c>
      <c r="J18" s="2"/>
      <c r="K18" s="14">
        <f>IFERROR(K10+K11+K12+K13+K14+K15+K16+K17, "NA")</f>
        <v>271350.21999999997</v>
      </c>
      <c r="L18" s="15">
        <f>IFERROR(K18/K444, "NA")</f>
        <v>0.48054697482332581</v>
      </c>
      <c r="M18" s="2"/>
      <c r="N18" s="14">
        <f t="shared" si="1"/>
        <v>2022.0700000000652</v>
      </c>
      <c r="O18" s="15">
        <f>IFERROR(N18/N444, "NA")</f>
        <v>6.87078979067266E-2</v>
      </c>
      <c r="P18" s="2"/>
      <c r="Q18" s="14">
        <f>IFERROR(Q10+Q11+Q12+Q13+Q14+Q15+Q16+Q17, "NA")</f>
        <v>1278542.8700000001</v>
      </c>
      <c r="R18" s="15">
        <f>IFERROR(Q18/Q444, "NA")</f>
        <v>0.44756398861757446</v>
      </c>
      <c r="S18" s="2"/>
      <c r="T18" s="14">
        <f>IFERROR(T10+T11+T12+T13+T14+T15+T16+T17, "NA")</f>
        <v>1291151.06</v>
      </c>
      <c r="U18" s="15">
        <f>IFERROR(T18/T444, "NA")</f>
        <v>0.45879687953990544</v>
      </c>
      <c r="V18" s="2"/>
      <c r="W18" s="14">
        <f t="shared" si="2"/>
        <v>-12608.189999999944</v>
      </c>
      <c r="X18" s="15">
        <f>IFERROR(W18/W444, "NA")</f>
        <v>-0.29694332914428073</v>
      </c>
      <c r="Y18" s="2"/>
      <c r="Z18" s="14">
        <f>IFERROR(Z10+Z11+Z12+Z13+Z14+Z15+Z16+Z17, "NA")</f>
        <v>1260372.3399999999</v>
      </c>
      <c r="AA18" s="15">
        <f>IFERROR(Z18/Z444, "NA")</f>
        <v>0.50612438197730547</v>
      </c>
      <c r="AB18" s="2"/>
      <c r="AC18" s="14">
        <f t="shared" si="3"/>
        <v>18170.530000000261</v>
      </c>
      <c r="AD18" s="15">
        <f>IFERROR(AC18/AC444, "NA")</f>
        <v>4.9588231825017919E-2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53991.41</v>
      </c>
      <c r="F21" s="8">
        <f>IFERROR(E21/E444, "NA")</f>
        <v>8.2839254096109247E-2</v>
      </c>
      <c r="G21" s="9"/>
      <c r="H21" s="10">
        <f t="shared" ref="H21:H29" si="4">IFERROR(B21-E21, "NA")</f>
        <v>-53991.41</v>
      </c>
      <c r="I21" s="8">
        <f>IFERROR(H21/H444, "NA")</f>
        <v>0.93634738326442701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232623.23</v>
      </c>
      <c r="U21" s="8">
        <f>IFERROR(T21/T444, "NA")</f>
        <v>8.2660205563006489E-2</v>
      </c>
      <c r="V21" s="9"/>
      <c r="W21" s="10">
        <f t="shared" ref="W21:W29" si="6">IFERROR(Q21-T21, "NA")</f>
        <v>-232623.23</v>
      </c>
      <c r="X21" s="8">
        <f>IFERROR(W21/W444, "NA")</f>
        <v>-5.4786544581336436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35025.800000000003</v>
      </c>
      <c r="C22" s="8">
        <f>IFERROR(B22/B444, "NA")</f>
        <v>5.8956122581833741E-2</v>
      </c>
      <c r="D22" s="9"/>
      <c r="E22" s="7">
        <v>0</v>
      </c>
      <c r="F22" s="8">
        <f>IFERROR(E22/E444, "NA")</f>
        <v>0</v>
      </c>
      <c r="G22" s="9"/>
      <c r="H22" s="10">
        <f t="shared" si="4"/>
        <v>35025.800000000003</v>
      </c>
      <c r="I22" s="8">
        <f>IFERROR(H22/H444, "NA")</f>
        <v>-0.60743581574815642</v>
      </c>
      <c r="J22" s="9"/>
      <c r="K22" s="7">
        <v>36926.660000000003</v>
      </c>
      <c r="L22" s="8">
        <f>IFERROR(K22/K444, "NA")</f>
        <v>6.5395173636968174E-2</v>
      </c>
      <c r="M22" s="9"/>
      <c r="N22" s="10">
        <f t="shared" si="5"/>
        <v>-1900.8600000000006</v>
      </c>
      <c r="O22" s="8">
        <f>IFERROR(N22/N444, "NA")</f>
        <v>-6.458930443306915E-2</v>
      </c>
      <c r="P22" s="9"/>
      <c r="Q22" s="7">
        <v>177656.9</v>
      </c>
      <c r="R22" s="8">
        <f>IFERROR(Q22/Q444, "NA")</f>
        <v>6.2190195288041893E-2</v>
      </c>
      <c r="S22" s="9"/>
      <c r="T22" s="7">
        <v>0</v>
      </c>
      <c r="U22" s="8">
        <f>IFERROR(T22/T444, "NA")</f>
        <v>0</v>
      </c>
      <c r="V22" s="9"/>
      <c r="W22" s="10">
        <f t="shared" si="6"/>
        <v>177656.9</v>
      </c>
      <c r="X22" s="8">
        <f>IFERROR(W22/W444, "NA")</f>
        <v>4.1841082131101128</v>
      </c>
      <c r="Y22" s="9"/>
      <c r="Z22" s="7">
        <v>171266.96</v>
      </c>
      <c r="AA22" s="8">
        <f>IFERROR(Z22/Z444, "NA")</f>
        <v>6.8775219458665604E-2</v>
      </c>
      <c r="AB22" s="9"/>
      <c r="AC22" s="10">
        <f t="shared" si="7"/>
        <v>6389.9400000000023</v>
      </c>
      <c r="AD22" s="8">
        <f>IFERROR(AC22/AC444, "NA")</f>
        <v>1.7438447093615354E-2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3294.88</v>
      </c>
      <c r="C24" s="8">
        <f>IFERROR(B24/B444, "NA")</f>
        <v>5.546007490833396E-3</v>
      </c>
      <c r="D24" s="9"/>
      <c r="E24" s="7">
        <v>0</v>
      </c>
      <c r="F24" s="8">
        <f>IFERROR(E24/E444, "NA")</f>
        <v>0</v>
      </c>
      <c r="G24" s="9"/>
      <c r="H24" s="10">
        <f t="shared" si="4"/>
        <v>3294.88</v>
      </c>
      <c r="I24" s="8">
        <f>IFERROR(H24/H444, "NA")</f>
        <v>-5.7141539110949227E-2</v>
      </c>
      <c r="J24" s="9"/>
      <c r="K24" s="7">
        <v>1722.16</v>
      </c>
      <c r="L24" s="8">
        <f>IFERROR(K24/K444, "NA")</f>
        <v>3.0498548265844006E-3</v>
      </c>
      <c r="M24" s="9"/>
      <c r="N24" s="10">
        <f t="shared" si="5"/>
        <v>1572.72</v>
      </c>
      <c r="O24" s="8">
        <f>IFERROR(N24/N444, "NA")</f>
        <v>5.3439438395240312E-2</v>
      </c>
      <c r="P24" s="9"/>
      <c r="Q24" s="7">
        <v>26665.949999999997</v>
      </c>
      <c r="R24" s="8">
        <f>IFERROR(Q24/Q444, "NA")</f>
        <v>9.3346255509420724E-3</v>
      </c>
      <c r="S24" s="9"/>
      <c r="T24" s="7">
        <v>0</v>
      </c>
      <c r="U24" s="8">
        <f>IFERROR(T24/T444, "NA")</f>
        <v>0</v>
      </c>
      <c r="V24" s="9"/>
      <c r="W24" s="10">
        <f t="shared" si="6"/>
        <v>26665.949999999997</v>
      </c>
      <c r="X24" s="8">
        <f>IFERROR(W24/W444, "NA")</f>
        <v>0.6280263834693931</v>
      </c>
      <c r="Y24" s="9"/>
      <c r="Z24" s="7">
        <v>8981.98</v>
      </c>
      <c r="AA24" s="8">
        <f>IFERROR(Z24/Z444, "NA")</f>
        <v>3.6068699162602365E-3</v>
      </c>
      <c r="AB24" s="9"/>
      <c r="AC24" s="10">
        <f t="shared" si="7"/>
        <v>17683.969999999998</v>
      </c>
      <c r="AD24" s="8">
        <f>IFERROR(AC24/AC444, "NA")</f>
        <v>4.8260386678134842E-2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2252.0300000000002</v>
      </c>
      <c r="C26" s="8">
        <f>IFERROR(B26/B444, "NA")</f>
        <v>3.7906616476416537E-3</v>
      </c>
      <c r="D26" s="9"/>
      <c r="E26" s="7">
        <v>0</v>
      </c>
      <c r="F26" s="8">
        <f>IFERROR(E26/E444, "NA")</f>
        <v>0</v>
      </c>
      <c r="G26" s="9"/>
      <c r="H26" s="10">
        <f t="shared" si="4"/>
        <v>2252.0300000000002</v>
      </c>
      <c r="I26" s="8">
        <f>IFERROR(H26/H444, "NA")</f>
        <v>-3.9055886807419692E-2</v>
      </c>
      <c r="J26" s="9"/>
      <c r="K26" s="7">
        <v>1104.48</v>
      </c>
      <c r="L26" s="8">
        <f>IFERROR(K26/K444, "NA")</f>
        <v>1.9559760178298989E-3</v>
      </c>
      <c r="M26" s="9"/>
      <c r="N26" s="10">
        <f t="shared" si="5"/>
        <v>1147.5500000000002</v>
      </c>
      <c r="O26" s="8">
        <f>IFERROR(N26/N444, "NA")</f>
        <v>3.899259088105831E-2</v>
      </c>
      <c r="P26" s="9"/>
      <c r="Q26" s="7">
        <v>13782.34</v>
      </c>
      <c r="R26" s="8">
        <f>IFERROR(Q26/Q444, "NA")</f>
        <v>4.8246165284106125E-3</v>
      </c>
      <c r="S26" s="9"/>
      <c r="T26" s="7">
        <v>0</v>
      </c>
      <c r="U26" s="8">
        <f>IFERROR(T26/T444, "NA")</f>
        <v>0</v>
      </c>
      <c r="V26" s="9"/>
      <c r="W26" s="10">
        <f t="shared" si="6"/>
        <v>13782.34</v>
      </c>
      <c r="X26" s="8">
        <f>IFERROR(W26/W444, "NA")</f>
        <v>0.32459646650299562</v>
      </c>
      <c r="Y26" s="9"/>
      <c r="Z26" s="7">
        <v>3077.96</v>
      </c>
      <c r="AA26" s="8">
        <f>IFERROR(Z26/Z444, "NA")</f>
        <v>1.2360082440010286E-3</v>
      </c>
      <c r="AB26" s="9"/>
      <c r="AC26" s="10">
        <f t="shared" si="7"/>
        <v>10704.380000000001</v>
      </c>
      <c r="AD26" s="8">
        <f>IFERROR(AC26/AC444, "NA")</f>
        <v>2.9212756974236732E-2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766.7399999999999</v>
      </c>
      <c r="L27" s="8">
        <f>IFERROR(K27/K444, "NA")</f>
        <v>1.3578562327166597E-3</v>
      </c>
      <c r="M27" s="9"/>
      <c r="N27" s="10">
        <f t="shared" si="5"/>
        <v>-766.7399999999999</v>
      </c>
      <c r="O27" s="8">
        <f>IFERROR(N27/N444, "NA")</f>
        <v>-2.6053051398320457E-2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3403.54</v>
      </c>
      <c r="AA27" s="8">
        <f>IFERROR(Z27/Z444, "NA")</f>
        <v>1.3667505421731472E-3</v>
      </c>
      <c r="AB27" s="9"/>
      <c r="AC27" s="10">
        <f t="shared" si="7"/>
        <v>-3403.54</v>
      </c>
      <c r="AD27" s="8">
        <f>IFERROR(AC27/AC444, "NA")</f>
        <v>-9.2884208961279101E-3</v>
      </c>
    </row>
    <row r="28" spans="1:30" ht="16.5" customHeight="1" x14ac:dyDescent="0.45">
      <c r="A28" s="12" t="s">
        <v>29</v>
      </c>
      <c r="B28" s="7">
        <v>4444.58</v>
      </c>
      <c r="C28" s="8">
        <f>IFERROR(B28/B444, "NA")</f>
        <v>7.4812053773151959E-3</v>
      </c>
      <c r="D28" s="9"/>
      <c r="E28" s="7">
        <v>0</v>
      </c>
      <c r="F28" s="8">
        <f>IFERROR(E28/E444, "NA")</f>
        <v>0</v>
      </c>
      <c r="G28" s="9"/>
      <c r="H28" s="10">
        <f t="shared" si="4"/>
        <v>4444.58</v>
      </c>
      <c r="I28" s="8">
        <f>IFERROR(H28/H444, "NA")</f>
        <v>-7.7080240221720581E-2</v>
      </c>
      <c r="J28" s="9"/>
      <c r="K28" s="7">
        <v>4429.4800000000005</v>
      </c>
      <c r="L28" s="8">
        <f>IFERROR(K28/K444, "NA")</f>
        <v>7.8443762236139903E-3</v>
      </c>
      <c r="M28" s="9"/>
      <c r="N28" s="10">
        <f t="shared" si="5"/>
        <v>15.099999999999454</v>
      </c>
      <c r="O28" s="8">
        <f>IFERROR(N28/N444, "NA")</f>
        <v>5.1308276092889996E-4</v>
      </c>
      <c r="P28" s="9"/>
      <c r="Q28" s="7">
        <v>21179.32</v>
      </c>
      <c r="R28" s="8">
        <f>IFERROR(Q28/Q444, "NA")</f>
        <v>7.4139875617999151E-3</v>
      </c>
      <c r="S28" s="9"/>
      <c r="T28" s="7">
        <v>0</v>
      </c>
      <c r="U28" s="8">
        <f>IFERROR(T28/T444, "NA")</f>
        <v>0</v>
      </c>
      <c r="V28" s="9"/>
      <c r="W28" s="10">
        <f t="shared" si="6"/>
        <v>21179.32</v>
      </c>
      <c r="X28" s="8">
        <f>IFERROR(W28/W444, "NA")</f>
        <v>0.49880734584520658</v>
      </c>
      <c r="Y28" s="9"/>
      <c r="Z28" s="7">
        <v>20558.68</v>
      </c>
      <c r="AA28" s="8">
        <f>IFERROR(Z28/Z444, "NA")</f>
        <v>8.2556946697744816E-3</v>
      </c>
      <c r="AB28" s="9"/>
      <c r="AC28" s="10">
        <f t="shared" si="7"/>
        <v>620.63999999999942</v>
      </c>
      <c r="AD28" s="8">
        <f>IFERROR(AC28/AC444, "NA")</f>
        <v>1.693755779268885E-3</v>
      </c>
    </row>
    <row r="29" spans="1:30" ht="16.5" customHeight="1" x14ac:dyDescent="0.45">
      <c r="A29" s="13" t="s">
        <v>30</v>
      </c>
      <c r="B29" s="14">
        <f>IFERROR(B21+B22+B23+B24+B25+B26+B27+B28, "NA")</f>
        <v>45017.29</v>
      </c>
      <c r="C29" s="15">
        <f>IFERROR(B29/B444, "NA")</f>
        <v>7.5773997097623988E-2</v>
      </c>
      <c r="D29" s="2"/>
      <c r="E29" s="14">
        <f>IFERROR(E21+E22+E23+E24+E25+E26+E27+E28, "NA")</f>
        <v>53991.41</v>
      </c>
      <c r="F29" s="15">
        <f>IFERROR(E29/E444, "NA")</f>
        <v>8.2839254096109247E-2</v>
      </c>
      <c r="G29" s="2"/>
      <c r="H29" s="14">
        <f t="shared" si="4"/>
        <v>-8974.1200000000026</v>
      </c>
      <c r="I29" s="15">
        <f>IFERROR(H29/H444, "NA")</f>
        <v>0.15563390137618119</v>
      </c>
      <c r="J29" s="2"/>
      <c r="K29" s="14">
        <f>IFERROR(K21+K22+K23+K24+K25+K26+K27+K28, "NA")</f>
        <v>44949.520000000011</v>
      </c>
      <c r="L29" s="15">
        <f>IFERROR(K29/K444, "NA")</f>
        <v>7.9603236937713137E-2</v>
      </c>
      <c r="M29" s="2"/>
      <c r="N29" s="14">
        <f t="shared" si="5"/>
        <v>67.769999999989523</v>
      </c>
      <c r="O29" s="15">
        <f>IFERROR(N29/N444, "NA")</f>
        <v>2.3027562058375779E-3</v>
      </c>
      <c r="P29" s="2"/>
      <c r="Q29" s="14">
        <f>IFERROR(Q21+Q22+Q23+Q24+Q25+Q26+Q27+Q28, "NA")</f>
        <v>239284.50999999998</v>
      </c>
      <c r="R29" s="15">
        <f>IFERROR(Q29/Q444, "NA")</f>
        <v>8.3763424929194488E-2</v>
      </c>
      <c r="S29" s="2"/>
      <c r="T29" s="14">
        <f>IFERROR(T21+T22+T23+T24+T25+T26+T27+T28, "NA")</f>
        <v>232623.23</v>
      </c>
      <c r="U29" s="15">
        <f>IFERROR(T29/T444, "NA")</f>
        <v>8.2660205563006489E-2</v>
      </c>
      <c r="V29" s="2"/>
      <c r="W29" s="14">
        <f t="shared" si="6"/>
        <v>6661.2799999999697</v>
      </c>
      <c r="X29" s="15">
        <f>IFERROR(W29/W444, "NA")</f>
        <v>0.15688395079406434</v>
      </c>
      <c r="Y29" s="2"/>
      <c r="Z29" s="14">
        <f>IFERROR(Z21+Z22+Z23+Z24+Z25+Z26+Z27+Z28, "NA")</f>
        <v>207289.12</v>
      </c>
      <c r="AA29" s="15">
        <f>IFERROR(Z29/Z444, "NA")</f>
        <v>8.3240542830874495E-2</v>
      </c>
      <c r="AB29" s="2"/>
      <c r="AC29" s="14">
        <f t="shared" si="7"/>
        <v>31995.389999999985</v>
      </c>
      <c r="AD29" s="15">
        <f>IFERROR(AC29/AC444, "NA")</f>
        <v>8.7316925629127864E-2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143127.34000000003</v>
      </c>
      <c r="F31" s="8">
        <f>IFERROR(E31/E444, "NA")</f>
        <v>0.21960089737164157</v>
      </c>
      <c r="G31" s="9"/>
      <c r="H31" s="10">
        <f t="shared" ref="H31:H40" si="8">IFERROR(B31-E31, "NA")</f>
        <v>-143127.34000000003</v>
      </c>
      <c r="I31" s="8">
        <f>IFERROR(H31/H444, "NA")</f>
        <v>2.4821894868572238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613706.05000000005</v>
      </c>
      <c r="U31" s="8">
        <f>IFERROR(T31/T444, "NA")</f>
        <v>0.21807395696577997</v>
      </c>
      <c r="V31" s="9"/>
      <c r="W31" s="10">
        <f t="shared" ref="W31:W40" si="10">IFERROR(Q31-T31, "NA")</f>
        <v>-613706.05000000005</v>
      </c>
      <c r="X31" s="8">
        <f>IFERROR(W31/W444, "NA")</f>
        <v>-14.453773111206861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36557.94</v>
      </c>
      <c r="C33" s="8">
        <f>IFERROR(B33/B444, "NA")</f>
        <v>6.1535051076044602E-2</v>
      </c>
      <c r="D33" s="9"/>
      <c r="E33" s="7">
        <v>0</v>
      </c>
      <c r="F33" s="8">
        <f>IFERROR(E33/E444, "NA")</f>
        <v>0</v>
      </c>
      <c r="G33" s="9"/>
      <c r="H33" s="10">
        <f t="shared" si="8"/>
        <v>36557.94</v>
      </c>
      <c r="I33" s="8">
        <f>IFERROR(H33/H444, "NA")</f>
        <v>-0.63400699215926992</v>
      </c>
      <c r="J33" s="9"/>
      <c r="K33" s="7">
        <v>34441.799999999996</v>
      </c>
      <c r="L33" s="8">
        <f>IFERROR(K33/K444, "NA")</f>
        <v>6.099461720528556E-2</v>
      </c>
      <c r="M33" s="9"/>
      <c r="N33" s="10">
        <f t="shared" si="9"/>
        <v>2116.1400000000067</v>
      </c>
      <c r="O33" s="8">
        <f>IFERROR(N33/N444, "NA")</f>
        <v>7.1904301570339405E-2</v>
      </c>
      <c r="P33" s="9"/>
      <c r="Q33" s="7">
        <v>255098.06999999998</v>
      </c>
      <c r="R33" s="8">
        <f>IFERROR(Q33/Q444, "NA")</f>
        <v>8.9299085996111485E-2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255098.06999999998</v>
      </c>
      <c r="X33" s="8">
        <f>IFERROR(W33/W444, "NA")</f>
        <v>6.0079734017397497</v>
      </c>
      <c r="Y33" s="9"/>
      <c r="Z33" s="7">
        <v>169243.3</v>
      </c>
      <c r="AA33" s="8">
        <f>IFERROR(Z33/Z444, "NA")</f>
        <v>6.7962583672932481E-2</v>
      </c>
      <c r="AB33" s="9"/>
      <c r="AC33" s="10">
        <f t="shared" si="11"/>
        <v>85854.76999999999</v>
      </c>
      <c r="AD33" s="8">
        <f>IFERROR(AC33/AC444, "NA")</f>
        <v>0.23430170930861854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6651.83</v>
      </c>
      <c r="C35" s="8">
        <f>IFERROR(B35/B444, "NA")</f>
        <v>1.1196492439102578E-2</v>
      </c>
      <c r="D35" s="9"/>
      <c r="E35" s="7">
        <v>0</v>
      </c>
      <c r="F35" s="8">
        <f>IFERROR(E35/E444, "NA")</f>
        <v>0</v>
      </c>
      <c r="G35" s="9"/>
      <c r="H35" s="10">
        <f t="shared" si="8"/>
        <v>6651.83</v>
      </c>
      <c r="I35" s="8">
        <f>IFERROR(H35/H444, "NA")</f>
        <v>-0.11535952875503369</v>
      </c>
      <c r="J35" s="9"/>
      <c r="K35" s="7">
        <v>0</v>
      </c>
      <c r="L35" s="8">
        <f>IFERROR(K35/K444, "NA")</f>
        <v>0</v>
      </c>
      <c r="M35" s="9"/>
      <c r="N35" s="10">
        <f t="shared" si="9"/>
        <v>6651.83</v>
      </c>
      <c r="O35" s="8">
        <f>IFERROR(N35/N444, "NA")</f>
        <v>0.22602247030660977</v>
      </c>
      <c r="P35" s="9"/>
      <c r="Q35" s="7">
        <v>33518.17</v>
      </c>
      <c r="R35" s="8">
        <f>IFERROR(Q35/Q444, "NA")</f>
        <v>1.1733299061268023E-2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33518.17</v>
      </c>
      <c r="X35" s="8">
        <f>IFERROR(W35/W444, "NA")</f>
        <v>0.78940728103113922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33518.17</v>
      </c>
      <c r="AD35" s="8">
        <f>IFERROR(AC35/AC444, "NA")</f>
        <v>9.1472663940475984E-2</v>
      </c>
    </row>
    <row r="36" spans="1:30" ht="16.5" customHeight="1" x14ac:dyDescent="0.45">
      <c r="A36" s="12" t="s">
        <v>36</v>
      </c>
      <c r="B36" s="7">
        <v>47460.14</v>
      </c>
      <c r="C36" s="8">
        <f>IFERROR(B36/B444, "NA")</f>
        <v>7.9885850761181487E-2</v>
      </c>
      <c r="D36" s="9"/>
      <c r="E36" s="7">
        <v>0</v>
      </c>
      <c r="F36" s="8">
        <f>IFERROR(E36/E444, "NA")</f>
        <v>0</v>
      </c>
      <c r="G36" s="9"/>
      <c r="H36" s="10">
        <f t="shared" si="8"/>
        <v>47460.14</v>
      </c>
      <c r="I36" s="8">
        <f>IFERROR(H36/H444, "NA")</f>
        <v>-0.82307866933579554</v>
      </c>
      <c r="J36" s="9"/>
      <c r="K36" s="7">
        <v>49903.63</v>
      </c>
      <c r="L36" s="8">
        <f>IFERROR(K36/K444, "NA")</f>
        <v>8.8376705311691173E-2</v>
      </c>
      <c r="M36" s="9"/>
      <c r="N36" s="10">
        <f t="shared" si="9"/>
        <v>-2443.489999999998</v>
      </c>
      <c r="O36" s="8">
        <f>IFERROR(N36/N444, "NA")</f>
        <v>-8.3027324205443842E-2</v>
      </c>
      <c r="P36" s="9"/>
      <c r="Q36" s="7">
        <v>334968.74</v>
      </c>
      <c r="R36" s="8">
        <f>IFERROR(Q36/Q444, "NA")</f>
        <v>0.11725844228954423</v>
      </c>
      <c r="S36" s="9"/>
      <c r="T36" s="7">
        <v>0</v>
      </c>
      <c r="U36" s="8">
        <f>IFERROR(T36/T444, "NA")</f>
        <v>0</v>
      </c>
      <c r="V36" s="9"/>
      <c r="W36" s="10">
        <f t="shared" si="10"/>
        <v>334968.74</v>
      </c>
      <c r="X36" s="8">
        <f>IFERROR(W36/W444, "NA")</f>
        <v>7.8890572568200055</v>
      </c>
      <c r="Y36" s="9"/>
      <c r="Z36" s="7">
        <v>216241.37000000002</v>
      </c>
      <c r="AA36" s="8">
        <f>IFERROR(Z36/Z444, "NA")</f>
        <v>8.6835474149786457E-2</v>
      </c>
      <c r="AB36" s="9"/>
      <c r="AC36" s="10">
        <f t="shared" si="11"/>
        <v>118727.36999999997</v>
      </c>
      <c r="AD36" s="8">
        <f>IFERROR(AC36/AC444, "NA")</f>
        <v>0.32401258232613972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5440.45</v>
      </c>
      <c r="C39" s="8">
        <f>IFERROR(B39/B444, "NA")</f>
        <v>9.1574735509349497E-3</v>
      </c>
      <c r="D39" s="9"/>
      <c r="E39" s="7">
        <v>0</v>
      </c>
      <c r="F39" s="8">
        <f>IFERROR(E39/E444, "NA")</f>
        <v>0</v>
      </c>
      <c r="G39" s="9"/>
      <c r="H39" s="10">
        <f t="shared" si="8"/>
        <v>5440.45</v>
      </c>
      <c r="I39" s="8">
        <f>IFERROR(H39/H444, "NA")</f>
        <v>-9.4351140695917213E-2</v>
      </c>
      <c r="J39" s="9"/>
      <c r="K39" s="7">
        <v>5817.51</v>
      </c>
      <c r="L39" s="8">
        <f>IFERROR(K39/K444, "NA")</f>
        <v>1.0302504385308575E-2</v>
      </c>
      <c r="M39" s="9"/>
      <c r="N39" s="10">
        <f t="shared" si="9"/>
        <v>-377.0600000000004</v>
      </c>
      <c r="O39" s="8">
        <f>IFERROR(N39/N444, "NA")</f>
        <v>-1.2812118267275378E-2</v>
      </c>
      <c r="P39" s="9"/>
      <c r="Q39" s="7">
        <v>28411.68</v>
      </c>
      <c r="R39" s="8">
        <f>IFERROR(Q39/Q444, "NA")</f>
        <v>9.9457320692939825E-3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28411.68</v>
      </c>
      <c r="X39" s="8">
        <f>IFERROR(W39/W444, "NA")</f>
        <v>0.66914115711946087</v>
      </c>
      <c r="Y39" s="9"/>
      <c r="Z39" s="7">
        <v>29049.239999999998</v>
      </c>
      <c r="AA39" s="8">
        <f>IFERROR(Z39/Z444, "NA")</f>
        <v>1.1665226358355676E-2</v>
      </c>
      <c r="AB39" s="9"/>
      <c r="AC39" s="10">
        <f t="shared" si="11"/>
        <v>-637.55999999999767</v>
      </c>
      <c r="AD39" s="8">
        <f>IFERROR(AC39/AC444, "NA")</f>
        <v>-1.7399312558498766E-3</v>
      </c>
    </row>
    <row r="40" spans="1:30" ht="16.5" customHeight="1" x14ac:dyDescent="0.45">
      <c r="A40" s="13" t="s">
        <v>40</v>
      </c>
      <c r="B40" s="14">
        <f>IFERROR(B31+B32+B33+B34+B35+B36+B37+B38+B39, "NA")</f>
        <v>96110.36</v>
      </c>
      <c r="C40" s="15">
        <f>IFERROR(B40/B444, "NA")</f>
        <v>0.16177486782726361</v>
      </c>
      <c r="D40" s="2"/>
      <c r="E40" s="14">
        <f>IFERROR(E31+E32+E33+E34+E35+E36+E37+E38+E39, "NA")</f>
        <v>143127.34000000003</v>
      </c>
      <c r="F40" s="15">
        <f>IFERROR(E40/E444, "NA")</f>
        <v>0.21960089737164157</v>
      </c>
      <c r="G40" s="2"/>
      <c r="H40" s="14">
        <f t="shared" si="8"/>
        <v>-47016.980000000025</v>
      </c>
      <c r="I40" s="15">
        <f>IFERROR(H40/H444, "NA")</f>
        <v>0.81539315591120742</v>
      </c>
      <c r="J40" s="2"/>
      <c r="K40" s="14">
        <f>IFERROR(K31+K32+K33+K34+K35+K36+K37+K38+K39, "NA")</f>
        <v>90162.939999999988</v>
      </c>
      <c r="L40" s="15">
        <f>IFERROR(K40/K444, "NA")</f>
        <v>0.15967382690228529</v>
      </c>
      <c r="M40" s="2"/>
      <c r="N40" s="14">
        <f t="shared" si="9"/>
        <v>5947.4200000000128</v>
      </c>
      <c r="O40" s="15">
        <f>IFERROR(N40/N444, "NA")</f>
        <v>0.20208732940423013</v>
      </c>
      <c r="P40" s="2"/>
      <c r="Q40" s="14">
        <f>IFERROR(Q31+Q32+Q33+Q34+Q35+Q36+Q37+Q38+Q39, "NA")</f>
        <v>651996.66</v>
      </c>
      <c r="R40" s="15">
        <f>IFERROR(Q40/Q444, "NA")</f>
        <v>0.22823655941621773</v>
      </c>
      <c r="S40" s="2"/>
      <c r="T40" s="14">
        <f>IFERROR(T31+T32+T33+T34+T35+T36+T37+T38+T39, "NA")</f>
        <v>613706.05000000005</v>
      </c>
      <c r="U40" s="15">
        <f>IFERROR(T40/T444, "NA")</f>
        <v>0.21807395696577997</v>
      </c>
      <c r="V40" s="2"/>
      <c r="W40" s="14">
        <f t="shared" si="10"/>
        <v>38290.609999999986</v>
      </c>
      <c r="X40" s="15">
        <f>IFERROR(W40/W444, "NA")</f>
        <v>0.90180598550349678</v>
      </c>
      <c r="Y40" s="2"/>
      <c r="Z40" s="14">
        <f>IFERROR(Z31+Z32+Z33+Z34+Z35+Z36+Z37+Z38+Z39, "NA")</f>
        <v>414533.91000000003</v>
      </c>
      <c r="AA40" s="15">
        <f>IFERROR(Z40/Z444, "NA")</f>
        <v>0.16646328418107462</v>
      </c>
      <c r="AB40" s="2"/>
      <c r="AC40" s="14">
        <f t="shared" si="11"/>
        <v>237462.75</v>
      </c>
      <c r="AD40" s="15">
        <f>IFERROR(AC40/AC444, "NA")</f>
        <v>0.64804702431938455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32314.53</v>
      </c>
      <c r="C43" s="8">
        <f>IFERROR(B43/B444, "NA")</f>
        <v>5.439245904031724E-2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32314.53</v>
      </c>
      <c r="I43" s="8">
        <f>IFERROR(H43/H444, "NA")</f>
        <v>-0.56041554771249391</v>
      </c>
      <c r="J43" s="9"/>
      <c r="K43" s="7">
        <v>3000</v>
      </c>
      <c r="L43" s="8">
        <f>IFERROR(K43/K444, "NA")</f>
        <v>5.3128422909330146E-3</v>
      </c>
      <c r="M43" s="9"/>
      <c r="N43" s="10">
        <f>IFERROR(B43-K43, "NA")</f>
        <v>29314.53</v>
      </c>
      <c r="O43" s="8">
        <f>IFERROR(N43/N444, "NA")</f>
        <v>0.99607814488302038</v>
      </c>
      <c r="P43" s="9"/>
      <c r="Q43" s="7">
        <v>149590.57999999999</v>
      </c>
      <c r="R43" s="8">
        <f>IFERROR(Q43/Q444, "NA")</f>
        <v>5.2365359203337743E-2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149590.57999999999</v>
      </c>
      <c r="X43" s="8">
        <f>IFERROR(W43/W444, "NA")</f>
        <v>3.5231008442785243</v>
      </c>
      <c r="Y43" s="9"/>
      <c r="Z43" s="7">
        <v>22902.2</v>
      </c>
      <c r="AA43" s="8">
        <f>IFERROR(Z43/Z444, "NA")</f>
        <v>9.1967757884314147E-3</v>
      </c>
      <c r="AB43" s="9"/>
      <c r="AC43" s="10">
        <f>IFERROR(Q43-Z43, "NA")</f>
        <v>126688.37999999999</v>
      </c>
      <c r="AD43" s="8">
        <f>IFERROR(AC43/AC444, "NA")</f>
        <v>0.34573855341456045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169403.88</v>
      </c>
      <c r="F46" s="8">
        <f>IFERROR(E46/E444, "NA")</f>
        <v>0.25991710644687366</v>
      </c>
      <c r="G46" s="9"/>
      <c r="H46" s="10">
        <f t="shared" ref="H46:H62" si="12">IFERROR(B46-E46, "NA")</f>
        <v>-169403.88</v>
      </c>
      <c r="I46" s="8">
        <f>IFERROR(H46/H444, "NA")</f>
        <v>2.9378910414238302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731674.42999999993</v>
      </c>
      <c r="U46" s="8">
        <f>IFERROR(T46/T444, "NA")</f>
        <v>0.25999277367524987</v>
      </c>
      <c r="V46" s="9"/>
      <c r="W46" s="10">
        <f t="shared" ref="W46:W62" si="14">IFERROR(Q46-T46, "NA")</f>
        <v>-731674.42999999993</v>
      </c>
      <c r="X46" s="8">
        <f>IFERROR(W46/W444, "NA")</f>
        <v>-17.232119843843162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860.07</v>
      </c>
      <c r="C47" s="8">
        <f>IFERROR(B47/B444, "NA")</f>
        <v>1.4476869150442744E-3</v>
      </c>
      <c r="D47" s="9"/>
      <c r="E47" s="7">
        <v>0</v>
      </c>
      <c r="F47" s="8">
        <f>IFERROR(E47/E444, "NA")</f>
        <v>0</v>
      </c>
      <c r="G47" s="9"/>
      <c r="H47" s="10">
        <f t="shared" si="12"/>
        <v>860.07</v>
      </c>
      <c r="I47" s="8">
        <f>IFERROR(H47/H444, "NA")</f>
        <v>-1.4915785565226686E-2</v>
      </c>
      <c r="J47" s="9"/>
      <c r="K47" s="7">
        <v>0</v>
      </c>
      <c r="L47" s="8">
        <f>IFERROR(K47/K444, "NA")</f>
        <v>0</v>
      </c>
      <c r="M47" s="9"/>
      <c r="N47" s="10">
        <f t="shared" si="13"/>
        <v>860.07</v>
      </c>
      <c r="O47" s="8">
        <f>IFERROR(N47/N444, "NA")</f>
        <v>2.9224310608750657E-2</v>
      </c>
      <c r="P47" s="9"/>
      <c r="Q47" s="7">
        <v>5411.31</v>
      </c>
      <c r="R47" s="8">
        <f>IFERROR(Q47/Q444, "NA")</f>
        <v>1.8942716306776376E-3</v>
      </c>
      <c r="S47" s="9"/>
      <c r="T47" s="7">
        <v>0</v>
      </c>
      <c r="U47" s="8">
        <f>IFERROR(T47/T444, "NA")</f>
        <v>0</v>
      </c>
      <c r="V47" s="9"/>
      <c r="W47" s="10">
        <f t="shared" si="14"/>
        <v>5411.31</v>
      </c>
      <c r="X47" s="8">
        <f>IFERROR(W47/W444, "NA")</f>
        <v>0.12744512943029451</v>
      </c>
      <c r="Y47" s="9"/>
      <c r="Z47" s="7">
        <v>1638.6</v>
      </c>
      <c r="AA47" s="8">
        <f>IFERROR(Z47/Z444, "NA")</f>
        <v>6.5800826151739635E-4</v>
      </c>
      <c r="AB47" s="9"/>
      <c r="AC47" s="10">
        <f t="shared" si="15"/>
        <v>3772.7100000000005</v>
      </c>
      <c r="AD47" s="8">
        <f>IFERROR(AC47/AC444, "NA")</f>
        <v>1.0295903206376517E-2</v>
      </c>
    </row>
    <row r="48" spans="1:30" ht="16.5" customHeight="1" x14ac:dyDescent="0.45">
      <c r="A48" s="17" t="s">
        <v>46</v>
      </c>
      <c r="B48" s="7">
        <v>95499.36</v>
      </c>
      <c r="C48" s="8">
        <f>IFERROR(B48/B444, "NA")</f>
        <v>0.16074642048566112</v>
      </c>
      <c r="D48" s="9"/>
      <c r="E48" s="7">
        <v>0</v>
      </c>
      <c r="F48" s="8">
        <f>IFERROR(E48/E444, "NA")</f>
        <v>0</v>
      </c>
      <c r="G48" s="9"/>
      <c r="H48" s="10">
        <f t="shared" si="12"/>
        <v>95499.36</v>
      </c>
      <c r="I48" s="8">
        <f>IFERROR(H48/H444, "NA")</f>
        <v>-1.6562000481081618</v>
      </c>
      <c r="J48" s="9"/>
      <c r="K48" s="7">
        <v>130821.63999999998</v>
      </c>
      <c r="L48" s="8">
        <f>IFERROR(K48/K444, "NA")</f>
        <v>0.23167824718707136</v>
      </c>
      <c r="M48" s="9"/>
      <c r="N48" s="10">
        <f t="shared" si="13"/>
        <v>-35322.279999999984</v>
      </c>
      <c r="O48" s="8">
        <f>IFERROR(N48/N444, "NA")</f>
        <v>-1.2002154268016099</v>
      </c>
      <c r="P48" s="9"/>
      <c r="Q48" s="7">
        <v>432999.31</v>
      </c>
      <c r="R48" s="8">
        <f>IFERROR(Q48/Q444, "NA")</f>
        <v>0.1515748144231234</v>
      </c>
      <c r="S48" s="9"/>
      <c r="T48" s="7">
        <v>0</v>
      </c>
      <c r="U48" s="8">
        <f>IFERROR(T48/T444, "NA")</f>
        <v>0</v>
      </c>
      <c r="V48" s="9"/>
      <c r="W48" s="10">
        <f t="shared" si="14"/>
        <v>432999.31</v>
      </c>
      <c r="X48" s="8">
        <f>IFERROR(W48/W444, "NA")</f>
        <v>10.197836218249964</v>
      </c>
      <c r="Y48" s="9"/>
      <c r="Z48" s="7">
        <v>514270.18999999994</v>
      </c>
      <c r="AA48" s="8">
        <f>IFERROR(Z48/Z444, "NA")</f>
        <v>0.20651411794954294</v>
      </c>
      <c r="AB48" s="9"/>
      <c r="AC48" s="10">
        <f t="shared" si="15"/>
        <v>-81270.879999999946</v>
      </c>
      <c r="AD48" s="8">
        <f>IFERROR(AC48/AC444, "NA")</f>
        <v>-0.22179205769249175</v>
      </c>
    </row>
    <row r="49" spans="1:30" ht="16.5" customHeight="1" x14ac:dyDescent="0.45">
      <c r="A49" s="17" t="s">
        <v>47</v>
      </c>
      <c r="B49" s="7">
        <v>18633.079999999998</v>
      </c>
      <c r="C49" s="8">
        <f>IFERROR(B49/B444, "NA")</f>
        <v>3.1363570526786379E-2</v>
      </c>
      <c r="D49" s="9"/>
      <c r="E49" s="7">
        <v>0</v>
      </c>
      <c r="F49" s="8">
        <f>IFERROR(E49/E444, "NA")</f>
        <v>0</v>
      </c>
      <c r="G49" s="9"/>
      <c r="H49" s="10">
        <f t="shared" si="12"/>
        <v>18633.079999999998</v>
      </c>
      <c r="I49" s="8">
        <f>IFERROR(H49/H444, "NA")</f>
        <v>-0.32314465764381273</v>
      </c>
      <c r="J49" s="9"/>
      <c r="K49" s="7">
        <v>0</v>
      </c>
      <c r="L49" s="8">
        <f>IFERROR(K49/K444, "NA")</f>
        <v>0</v>
      </c>
      <c r="M49" s="9"/>
      <c r="N49" s="10">
        <f t="shared" si="13"/>
        <v>18633.079999999998</v>
      </c>
      <c r="O49" s="8">
        <f>IFERROR(N49/N444, "NA")</f>
        <v>0.63313325370923257</v>
      </c>
      <c r="P49" s="9"/>
      <c r="Q49" s="7">
        <v>20810.609999999997</v>
      </c>
      <c r="R49" s="8">
        <f>IFERROR(Q49/Q444, "NA")</f>
        <v>7.284917726039784E-3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20810.609999999997</v>
      </c>
      <c r="X49" s="8">
        <f>IFERROR(W49/W444, "NA")</f>
        <v>0.49012362717592978</v>
      </c>
      <c r="Y49" s="9"/>
      <c r="Z49" s="7">
        <v>410.02</v>
      </c>
      <c r="AA49" s="8">
        <f>IFERROR(Z49/Z444, "NA")</f>
        <v>1.6465064529925719E-4</v>
      </c>
      <c r="AB49" s="9"/>
      <c r="AC49" s="10">
        <f t="shared" si="15"/>
        <v>20400.589999999997</v>
      </c>
      <c r="AD49" s="8">
        <f>IFERROR(AC49/AC444, "NA")</f>
        <v>5.5674170554580835E-2</v>
      </c>
    </row>
    <row r="50" spans="1:30" ht="16.5" customHeight="1" x14ac:dyDescent="0.45">
      <c r="A50" s="17" t="s">
        <v>48</v>
      </c>
      <c r="B50" s="7">
        <v>1340.65</v>
      </c>
      <c r="C50" s="8">
        <f>IFERROR(B50/B444, "NA")</f>
        <v>2.2566087209809739E-3</v>
      </c>
      <c r="D50" s="9"/>
      <c r="E50" s="7">
        <v>0</v>
      </c>
      <c r="F50" s="8">
        <f>IFERROR(E50/E444, "NA")</f>
        <v>0</v>
      </c>
      <c r="G50" s="9"/>
      <c r="H50" s="10">
        <f t="shared" si="12"/>
        <v>1340.65</v>
      </c>
      <c r="I50" s="8">
        <f>IFERROR(H50/H444, "NA")</f>
        <v>-2.3250256279164671E-2</v>
      </c>
      <c r="J50" s="9"/>
      <c r="K50" s="7">
        <v>4682.5</v>
      </c>
      <c r="L50" s="8">
        <f>IFERROR(K50/K444, "NA")</f>
        <v>8.2924613424312805E-3</v>
      </c>
      <c r="M50" s="9"/>
      <c r="N50" s="10">
        <f t="shared" si="13"/>
        <v>-3341.85</v>
      </c>
      <c r="O50" s="8">
        <f>IFERROR(N50/N444, "NA")</f>
        <v>-0.11355269037154345</v>
      </c>
      <c r="P50" s="9"/>
      <c r="Q50" s="7">
        <v>7890.57</v>
      </c>
      <c r="R50" s="8">
        <f>IFERROR(Q50/Q444, "NA")</f>
        <v>2.7621560954512025E-3</v>
      </c>
      <c r="S50" s="9"/>
      <c r="T50" s="7">
        <v>0</v>
      </c>
      <c r="U50" s="8">
        <f>IFERROR(T50/T444, "NA")</f>
        <v>0</v>
      </c>
      <c r="V50" s="9"/>
      <c r="W50" s="10">
        <f t="shared" si="14"/>
        <v>7890.57</v>
      </c>
      <c r="X50" s="8">
        <f>IFERROR(W50/W444, "NA")</f>
        <v>0.18583572460805217</v>
      </c>
      <c r="Y50" s="9"/>
      <c r="Z50" s="7">
        <v>16317.34</v>
      </c>
      <c r="AA50" s="8">
        <f>IFERROR(Z50/Z444, "NA")</f>
        <v>6.5525110008472307E-3</v>
      </c>
      <c r="AB50" s="9"/>
      <c r="AC50" s="10">
        <f t="shared" si="15"/>
        <v>-8426.77</v>
      </c>
      <c r="AD50" s="8">
        <f>IFERROR(AC50/AC444, "NA")</f>
        <v>-2.2997052056054519E-2</v>
      </c>
    </row>
    <row r="51" spans="1:30" ht="16.5" customHeight="1" x14ac:dyDescent="0.45">
      <c r="A51" s="17" t="s">
        <v>49</v>
      </c>
      <c r="B51" s="7">
        <v>3032.11</v>
      </c>
      <c r="C51" s="8">
        <f>IFERROR(B51/B444, "NA")</f>
        <v>5.1037078051494583E-3</v>
      </c>
      <c r="D51" s="9"/>
      <c r="E51" s="7">
        <v>0</v>
      </c>
      <c r="F51" s="8">
        <f>IFERROR(E51/E444, "NA")</f>
        <v>0</v>
      </c>
      <c r="G51" s="9"/>
      <c r="H51" s="10">
        <f t="shared" si="12"/>
        <v>3032.11</v>
      </c>
      <c r="I51" s="8">
        <f>IFERROR(H51/H444, "NA")</f>
        <v>-5.2584443789667687E-2</v>
      </c>
      <c r="J51" s="9"/>
      <c r="K51" s="7">
        <v>7207</v>
      </c>
      <c r="L51" s="8">
        <f>IFERROR(K51/K444, "NA")</f>
        <v>1.2763218130251412E-2</v>
      </c>
      <c r="M51" s="9"/>
      <c r="N51" s="10">
        <f t="shared" si="13"/>
        <v>-4174.8899999999994</v>
      </c>
      <c r="O51" s="8">
        <f>IFERROR(N51/N444, "NA")</f>
        <v>-0.14185854885924054</v>
      </c>
      <c r="P51" s="9"/>
      <c r="Q51" s="7">
        <v>16256.98</v>
      </c>
      <c r="R51" s="8">
        <f>IFERROR(Q51/Q444, "NA")</f>
        <v>5.6908837258434165E-3</v>
      </c>
      <c r="S51" s="9"/>
      <c r="T51" s="7">
        <v>0</v>
      </c>
      <c r="U51" s="8">
        <f>IFERROR(T51/T444, "NA")</f>
        <v>0</v>
      </c>
      <c r="V51" s="9"/>
      <c r="W51" s="10">
        <f t="shared" si="14"/>
        <v>16256.98</v>
      </c>
      <c r="X51" s="8">
        <f>IFERROR(W51/W444, "NA")</f>
        <v>0.38287825318558888</v>
      </c>
      <c r="Y51" s="9"/>
      <c r="Z51" s="7">
        <v>40007.89</v>
      </c>
      <c r="AA51" s="8">
        <f>IFERROR(Z51/Z444, "NA")</f>
        <v>1.6065862410520704E-2</v>
      </c>
      <c r="AB51" s="9"/>
      <c r="AC51" s="10">
        <f t="shared" si="15"/>
        <v>-23750.91</v>
      </c>
      <c r="AD51" s="8">
        <f>IFERROR(AC51/AC444, "NA")</f>
        <v>-6.4817351565150796E-2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4000</v>
      </c>
      <c r="C53" s="8">
        <f>IFERROR(B53/B444, "NA")</f>
        <v>6.7328794867593305E-3</v>
      </c>
      <c r="D53" s="9"/>
      <c r="E53" s="7">
        <v>0</v>
      </c>
      <c r="F53" s="8">
        <f>IFERROR(E53/E444, "NA")</f>
        <v>0</v>
      </c>
      <c r="G53" s="9"/>
      <c r="H53" s="10">
        <f t="shared" si="12"/>
        <v>4000</v>
      </c>
      <c r="I53" s="8">
        <f>IFERROR(H53/H444, "NA")</f>
        <v>-6.9370100411485974E-2</v>
      </c>
      <c r="J53" s="9"/>
      <c r="K53" s="7">
        <v>0</v>
      </c>
      <c r="L53" s="8">
        <f>IFERROR(K53/K444, "NA")</f>
        <v>0</v>
      </c>
      <c r="M53" s="9"/>
      <c r="N53" s="10">
        <f t="shared" si="13"/>
        <v>4000</v>
      </c>
      <c r="O53" s="8">
        <f>IFERROR(N53/N444, "NA")</f>
        <v>0.13591596315997839</v>
      </c>
      <c r="P53" s="9"/>
      <c r="Q53" s="7">
        <v>4000</v>
      </c>
      <c r="R53" s="8">
        <f>IFERROR(Q53/Q444, "NA")</f>
        <v>1.4002314638619023E-3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4000</v>
      </c>
      <c r="X53" s="8">
        <f>IFERROR(W53/W444, "NA")</f>
        <v>9.4206489319809433E-2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4000</v>
      </c>
      <c r="AD53" s="8">
        <f>IFERROR(AC53/AC444, "NA")</f>
        <v>1.0916188317020408E-2</v>
      </c>
    </row>
    <row r="54" spans="1:30" ht="16.5" customHeight="1" x14ac:dyDescent="0.45">
      <c r="A54" s="17" t="s">
        <v>52</v>
      </c>
      <c r="B54" s="7">
        <v>15.3</v>
      </c>
      <c r="C54" s="8">
        <f>IFERROR(B54/B444, "NA")</f>
        <v>2.5753264036854439E-5</v>
      </c>
      <c r="D54" s="9"/>
      <c r="E54" s="7">
        <v>0</v>
      </c>
      <c r="F54" s="8">
        <f>IFERROR(E54/E444, "NA")</f>
        <v>0</v>
      </c>
      <c r="G54" s="9"/>
      <c r="H54" s="10">
        <f t="shared" si="12"/>
        <v>15.3</v>
      </c>
      <c r="I54" s="8">
        <f>IFERROR(H54/H444, "NA")</f>
        <v>-2.6534063407393385E-4</v>
      </c>
      <c r="J54" s="9"/>
      <c r="K54" s="7">
        <v>324</v>
      </c>
      <c r="L54" s="8">
        <f>IFERROR(K54/K444, "NA")</f>
        <v>5.7378696742076563E-4</v>
      </c>
      <c r="M54" s="9"/>
      <c r="N54" s="10">
        <f t="shared" si="13"/>
        <v>-308.7</v>
      </c>
      <c r="O54" s="8">
        <f>IFERROR(N54/N444, "NA")</f>
        <v>-1.0489314456871332E-2</v>
      </c>
      <c r="P54" s="9"/>
      <c r="Q54" s="7">
        <v>77.75</v>
      </c>
      <c r="R54" s="8">
        <f>IFERROR(Q54/Q444, "NA")</f>
        <v>2.7216999078815726E-5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77.75</v>
      </c>
      <c r="X54" s="8">
        <f>IFERROR(W54/W444, "NA")</f>
        <v>1.831138636153796E-3</v>
      </c>
      <c r="Y54" s="9"/>
      <c r="Z54" s="7">
        <v>826.8</v>
      </c>
      <c r="AA54" s="8">
        <f>IFERROR(Z54/Z444, "NA")</f>
        <v>3.3201588589197074E-4</v>
      </c>
      <c r="AB54" s="9"/>
      <c r="AC54" s="10">
        <f t="shared" si="15"/>
        <v>-749.05</v>
      </c>
      <c r="AD54" s="8">
        <f>IFERROR(AC54/AC444, "NA")</f>
        <v>-2.044192714716034E-3</v>
      </c>
    </row>
    <row r="55" spans="1:30" ht="16.5" customHeight="1" x14ac:dyDescent="0.45">
      <c r="A55" s="17" t="s">
        <v>53</v>
      </c>
      <c r="B55" s="7">
        <v>196.2</v>
      </c>
      <c r="C55" s="8">
        <f>IFERROR(B55/B444, "NA")</f>
        <v>3.3024773882554511E-4</v>
      </c>
      <c r="D55" s="9"/>
      <c r="E55" s="7">
        <v>0</v>
      </c>
      <c r="F55" s="8">
        <f>IFERROR(E55/E444, "NA")</f>
        <v>0</v>
      </c>
      <c r="G55" s="9"/>
      <c r="H55" s="10">
        <f t="shared" si="12"/>
        <v>196.2</v>
      </c>
      <c r="I55" s="8">
        <f>IFERROR(H55/H444, "NA")</f>
        <v>-3.4026034251833869E-3</v>
      </c>
      <c r="J55" s="9"/>
      <c r="K55" s="7">
        <v>2040.23</v>
      </c>
      <c r="L55" s="8">
        <f>IFERROR(K55/K444, "NA")</f>
        <v>3.6131400757434214E-3</v>
      </c>
      <c r="M55" s="9"/>
      <c r="N55" s="10">
        <f t="shared" si="13"/>
        <v>-1844.03</v>
      </c>
      <c r="O55" s="8">
        <f>IFERROR(N55/N444, "NA")</f>
        <v>-6.265827838647374E-2</v>
      </c>
      <c r="P55" s="9"/>
      <c r="Q55" s="7">
        <v>1909.38</v>
      </c>
      <c r="R55" s="8">
        <f>IFERROR(Q55/Q444, "NA")</f>
        <v>6.6839348811715974E-4</v>
      </c>
      <c r="S55" s="9"/>
      <c r="T55" s="7">
        <v>0</v>
      </c>
      <c r="U55" s="8">
        <f>IFERROR(T55/T444, "NA")</f>
        <v>0</v>
      </c>
      <c r="V55" s="9"/>
      <c r="W55" s="10">
        <f t="shared" si="14"/>
        <v>1909.38</v>
      </c>
      <c r="X55" s="8">
        <f>IFERROR(W55/W444, "NA")</f>
        <v>4.4968996644364441E-2</v>
      </c>
      <c r="Y55" s="9"/>
      <c r="Z55" s="7">
        <v>3884.33</v>
      </c>
      <c r="AA55" s="8">
        <f>IFERROR(Z55/Z444, "NA")</f>
        <v>1.5598201089099648E-3</v>
      </c>
      <c r="AB55" s="9"/>
      <c r="AC55" s="10">
        <f t="shared" si="15"/>
        <v>-1974.9499999999998</v>
      </c>
      <c r="AD55" s="8">
        <f>IFERROR(AC55/AC444, "NA")</f>
        <v>-5.3897315291748637E-3</v>
      </c>
    </row>
    <row r="56" spans="1:30" ht="16.5" customHeight="1" x14ac:dyDescent="0.45">
      <c r="A56" s="17" t="s">
        <v>54</v>
      </c>
      <c r="B56" s="7">
        <v>16</v>
      </c>
      <c r="C56" s="8">
        <f>IFERROR(B56/B444, "NA")</f>
        <v>2.6931517947037321E-5</v>
      </c>
      <c r="D56" s="9"/>
      <c r="E56" s="7">
        <v>0</v>
      </c>
      <c r="F56" s="8">
        <f>IFERROR(E56/E444, "NA")</f>
        <v>0</v>
      </c>
      <c r="G56" s="9"/>
      <c r="H56" s="10">
        <f t="shared" si="12"/>
        <v>16</v>
      </c>
      <c r="I56" s="8">
        <f>IFERROR(H56/H444, "NA")</f>
        <v>-2.7748040164594391E-4</v>
      </c>
      <c r="J56" s="9"/>
      <c r="K56" s="7">
        <v>734.62</v>
      </c>
      <c r="L56" s="8">
        <f>IFERROR(K56/K444, "NA")</f>
        <v>1.3009734012550704E-3</v>
      </c>
      <c r="M56" s="9"/>
      <c r="N56" s="10">
        <f t="shared" si="13"/>
        <v>-718.62</v>
      </c>
      <c r="O56" s="8">
        <f>IFERROR(N56/N444, "NA")</f>
        <v>-2.441798236150592E-2</v>
      </c>
      <c r="P56" s="9"/>
      <c r="Q56" s="7">
        <v>155.60000000000002</v>
      </c>
      <c r="R56" s="8">
        <f>IFERROR(Q56/Q444, "NA")</f>
        <v>5.4469003944228004E-5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155.60000000000002</v>
      </c>
      <c r="X56" s="8">
        <f>IFERROR(W56/W444, "NA")</f>
        <v>3.6646324345405877E-3</v>
      </c>
      <c r="Y56" s="9"/>
      <c r="Z56" s="7">
        <v>2395.23</v>
      </c>
      <c r="AA56" s="8">
        <f>IFERROR(Z56/Z444, "NA")</f>
        <v>9.6184616638246871E-4</v>
      </c>
      <c r="AB56" s="9"/>
      <c r="AC56" s="10">
        <f t="shared" si="15"/>
        <v>-2239.63</v>
      </c>
      <c r="AD56" s="8">
        <f>IFERROR(AC56/AC444, "NA")</f>
        <v>-6.1120557101121045E-3</v>
      </c>
    </row>
    <row r="57" spans="1:30" ht="16.5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1617.97</v>
      </c>
      <c r="L57" s="8">
        <f>IFERROR(K57/K444, "NA")</f>
        <v>2.8653398138202969E-3</v>
      </c>
      <c r="M57" s="9"/>
      <c r="N57" s="10">
        <f t="shared" si="13"/>
        <v>-1617.97</v>
      </c>
      <c r="O57" s="8">
        <f>IFERROR(N57/N444, "NA")</f>
        <v>-5.4976987728487567E-2</v>
      </c>
      <c r="P57" s="9"/>
      <c r="Q57" s="7">
        <v>3139.49</v>
      </c>
      <c r="R57" s="8">
        <f>IFERROR(Q57/Q444, "NA")</f>
        <v>1.0990031696199508E-3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3139.49</v>
      </c>
      <c r="X57" s="8">
        <f>IFERROR(W57/W444, "NA")</f>
        <v>7.3940082788662126E-2</v>
      </c>
      <c r="Y57" s="9"/>
      <c r="Z57" s="7">
        <v>14356.41</v>
      </c>
      <c r="AA57" s="8">
        <f>IFERROR(Z57/Z444, "NA")</f>
        <v>5.7650655350488002E-3</v>
      </c>
      <c r="AB57" s="9"/>
      <c r="AC57" s="10">
        <f t="shared" si="15"/>
        <v>-11216.92</v>
      </c>
      <c r="AD57" s="8">
        <f>IFERROR(AC57/AC444, "NA")</f>
        <v>-3.061150276423814E-2</v>
      </c>
    </row>
    <row r="58" spans="1:30" ht="16.5" customHeight="1" x14ac:dyDescent="0.45">
      <c r="A58" s="17" t="s">
        <v>56</v>
      </c>
      <c r="B58" s="7">
        <v>155</v>
      </c>
      <c r="C58" s="8">
        <f>IFERROR(B58/B444, "NA")</f>
        <v>2.6089908011192402E-4</v>
      </c>
      <c r="D58" s="9"/>
      <c r="E58" s="7">
        <v>0</v>
      </c>
      <c r="F58" s="8">
        <f>IFERROR(E58/E444, "NA")</f>
        <v>0</v>
      </c>
      <c r="G58" s="9"/>
      <c r="H58" s="10">
        <f t="shared" si="12"/>
        <v>155</v>
      </c>
      <c r="I58" s="8">
        <f>IFERROR(H58/H444, "NA")</f>
        <v>-2.6880913909450815E-3</v>
      </c>
      <c r="J58" s="9"/>
      <c r="K58" s="7">
        <v>1378</v>
      </c>
      <c r="L58" s="8">
        <f>IFERROR(K58/K444, "NA")</f>
        <v>2.4403655589685649E-3</v>
      </c>
      <c r="M58" s="9"/>
      <c r="N58" s="10">
        <f t="shared" si="13"/>
        <v>-1223</v>
      </c>
      <c r="O58" s="8">
        <f>IFERROR(N58/N444, "NA")</f>
        <v>-4.1556305736163396E-2</v>
      </c>
      <c r="P58" s="9"/>
      <c r="Q58" s="7">
        <v>290</v>
      </c>
      <c r="R58" s="8">
        <f>IFERROR(Q58/Q444, "NA")</f>
        <v>1.015167811299879E-4</v>
      </c>
      <c r="S58" s="9"/>
      <c r="T58" s="7">
        <v>0</v>
      </c>
      <c r="U58" s="8">
        <f>IFERROR(T58/T444, "NA")</f>
        <v>0</v>
      </c>
      <c r="V58" s="9"/>
      <c r="W58" s="10">
        <f t="shared" si="14"/>
        <v>290</v>
      </c>
      <c r="X58" s="8">
        <f>IFERROR(W58/W444, "NA")</f>
        <v>6.8299704756861843E-3</v>
      </c>
      <c r="Y58" s="9"/>
      <c r="Z58" s="7">
        <v>3884.2</v>
      </c>
      <c r="AA58" s="8">
        <f>IFERROR(Z58/Z444, "NA")</f>
        <v>1.5597679051543212E-3</v>
      </c>
      <c r="AB58" s="9"/>
      <c r="AC58" s="10">
        <f t="shared" si="15"/>
        <v>-3594.2</v>
      </c>
      <c r="AD58" s="8">
        <f>IFERROR(AC58/AC444, "NA")</f>
        <v>-9.8087410122586881E-3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1122.93</v>
      </c>
      <c r="L59" s="8">
        <f>IFERROR(K59/K444, "NA")</f>
        <v>1.988649997919137E-3</v>
      </c>
      <c r="M59" s="9"/>
      <c r="N59" s="10">
        <f t="shared" si="13"/>
        <v>-1122.93</v>
      </c>
      <c r="O59" s="8">
        <f>IFERROR(N59/N444, "NA")</f>
        <v>-3.815602812780864E-2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3415.53</v>
      </c>
      <c r="AA59" s="8">
        <f>IFERROR(Z59/Z444, "NA")</f>
        <v>1.3715653347128726E-3</v>
      </c>
      <c r="AB59" s="9"/>
      <c r="AC59" s="10">
        <f t="shared" si="15"/>
        <v>-3415.53</v>
      </c>
      <c r="AD59" s="8">
        <f>IFERROR(AC59/AC444, "NA")</f>
        <v>-9.3211421706081796E-3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116.96</v>
      </c>
      <c r="AA60" s="8">
        <f>IFERROR(Z60/Z444, "NA")</f>
        <v>4.6967317385008343E-5</v>
      </c>
      <c r="AB60" s="9"/>
      <c r="AC60" s="10">
        <f t="shared" si="15"/>
        <v>-116.96</v>
      </c>
      <c r="AD60" s="8">
        <f>IFERROR(AC60/AC444, "NA")</f>
        <v>-3.191893463896767E-4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123747.77</v>
      </c>
      <c r="C61" s="15">
        <f>IFERROR(B61/B444, "NA")</f>
        <v>0.20829470554130292</v>
      </c>
      <c r="D61" s="2"/>
      <c r="E61" s="14">
        <f>IFERROR(E46+E47+E48+E49+E50+E51+E52+E53+E54+E55+E56+E57+E58+E59+E60, "NA")</f>
        <v>169403.88</v>
      </c>
      <c r="F61" s="15">
        <f>IFERROR(E61/E444, "NA")</f>
        <v>0.25991710644687366</v>
      </c>
      <c r="G61" s="2"/>
      <c r="H61" s="14">
        <f t="shared" si="12"/>
        <v>-45656.11</v>
      </c>
      <c r="I61" s="15">
        <f>IFERROR(H61/H444, "NA")</f>
        <v>0.79179223377446228</v>
      </c>
      <c r="J61" s="2"/>
      <c r="K61" s="14">
        <f>IFERROR(K46+K47+K48+K49+K50+K51+K52+K53+K54+K55+K56+K57+K58+K59+K60, "NA")</f>
        <v>149928.88999999998</v>
      </c>
      <c r="L61" s="15">
        <f>IFERROR(K61/K444, "NA")</f>
        <v>0.26551618247488129</v>
      </c>
      <c r="M61" s="2"/>
      <c r="N61" s="14">
        <f t="shared" si="13"/>
        <v>-26181.119999999981</v>
      </c>
      <c r="O61" s="15">
        <f>IFERROR(N61/N444, "NA")</f>
        <v>-0.88960803535174282</v>
      </c>
      <c r="P61" s="2"/>
      <c r="Q61" s="14">
        <f>IFERROR(Q46+Q47+Q48+Q49+Q50+Q51+Q52+Q53+Q54+Q55+Q56+Q57+Q58+Q59+Q60, "NA")</f>
        <v>492940.99999999994</v>
      </c>
      <c r="R61" s="15">
        <f>IFERROR(Q61/Q444, "NA")</f>
        <v>0.17255787450688748</v>
      </c>
      <c r="S61" s="2"/>
      <c r="T61" s="14">
        <f>IFERROR(T46+T47+T48+T49+T50+T51+T52+T53+T54+T55+T56+T57+T58+T59+T60, "NA")</f>
        <v>731674.42999999993</v>
      </c>
      <c r="U61" s="15">
        <f>IFERROR(T61/T444, "NA")</f>
        <v>0.25999277367524987</v>
      </c>
      <c r="V61" s="2"/>
      <c r="W61" s="14">
        <f t="shared" si="14"/>
        <v>-238733.43</v>
      </c>
      <c r="X61" s="15">
        <f>IFERROR(W61/W444, "NA")</f>
        <v>-5.6225595808941184</v>
      </c>
      <c r="Y61" s="2"/>
      <c r="Z61" s="14">
        <f>IFERROR(Z46+Z47+Z48+Z49+Z50+Z51+Z52+Z53+Z54+Z55+Z56+Z57+Z58+Z59+Z60, "NA")</f>
        <v>601523.49999999988</v>
      </c>
      <c r="AA61" s="15">
        <f>IFERROR(Z61/Z444, "NA")</f>
        <v>0.24155219852121293</v>
      </c>
      <c r="AB61" s="2"/>
      <c r="AC61" s="14">
        <f t="shared" si="15"/>
        <v>-108582.49999999994</v>
      </c>
      <c r="AD61" s="15">
        <f>IFERROR(AC61/AC444, "NA")</f>
        <v>-0.29632675448321699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156062.29999999996</v>
      </c>
      <c r="C62" s="15">
        <f>IFERROR(B62/B444, "NA")</f>
        <v>0.26268716458162006</v>
      </c>
      <c r="D62" s="2"/>
      <c r="E62" s="14">
        <f>IFERROR(E42+E43+E44+E46+E47+E48+E49+E50+E51+E52+E53+E54+E55+E56+E57+E58+E59+E60, "NA")</f>
        <v>169403.88</v>
      </c>
      <c r="F62" s="15">
        <f>IFERROR(E62/E444, "NA")</f>
        <v>0.25991710644687366</v>
      </c>
      <c r="G62" s="2"/>
      <c r="H62" s="14">
        <f t="shared" si="12"/>
        <v>-13341.580000000045</v>
      </c>
      <c r="I62" s="15">
        <f>IFERROR(H62/H444, "NA")</f>
        <v>0.23137668606196904</v>
      </c>
      <c r="J62" s="2"/>
      <c r="K62" s="14">
        <f>IFERROR(K42+K43+K44+K46+K47+K48+K49+K50+K51+K52+K53+K54+K55+K56+K57+K58+K59+K60, "NA")</f>
        <v>152928.88999999998</v>
      </c>
      <c r="L62" s="15">
        <f>IFERROR(K62/K444, "NA")</f>
        <v>0.27082902476581433</v>
      </c>
      <c r="M62" s="2"/>
      <c r="N62" s="14">
        <f t="shared" si="13"/>
        <v>3133.4099999999744</v>
      </c>
      <c r="O62" s="15">
        <f>IFERROR(N62/N444, "NA")</f>
        <v>0.10647010953127611</v>
      </c>
      <c r="P62" s="2"/>
      <c r="Q62" s="14">
        <f>IFERROR(Q42+Q43+Q44+Q46+Q47+Q48+Q49+Q50+Q51+Q52+Q53+Q54+Q55+Q56+Q57+Q58+Q59+Q60, "NA")</f>
        <v>642531.57999999984</v>
      </c>
      <c r="R62" s="15">
        <f>IFERROR(Q62/Q444, "NA")</f>
        <v>0.22492323371022518</v>
      </c>
      <c r="S62" s="2"/>
      <c r="T62" s="14">
        <f>IFERROR(T42+T43+T44+T46+T47+T48+T49+T50+T51+T52+T53+T54+T55+T56+T57+T58+T59+T60, "NA")</f>
        <v>731674.42999999993</v>
      </c>
      <c r="U62" s="15">
        <f>IFERROR(T62/T444, "NA")</f>
        <v>0.25999277367524987</v>
      </c>
      <c r="V62" s="2"/>
      <c r="W62" s="14">
        <f t="shared" si="14"/>
        <v>-89142.850000000093</v>
      </c>
      <c r="X62" s="15">
        <f>IFERROR(W62/W444, "NA")</f>
        <v>-2.0994587366155959</v>
      </c>
      <c r="Y62" s="2"/>
      <c r="Z62" s="14">
        <f>IFERROR(Z42+Z43+Z44+Z46+Z47+Z48+Z49+Z50+Z51+Z52+Z53+Z54+Z55+Z56+Z57+Z58+Z59+Z60, "NA")</f>
        <v>624425.69999999995</v>
      </c>
      <c r="AA62" s="15">
        <f>IFERROR(Z62/Z444, "NA")</f>
        <v>0.25074897430964438</v>
      </c>
      <c r="AB62" s="2"/>
      <c r="AC62" s="14">
        <f t="shared" si="15"/>
        <v>18105.879999999888</v>
      </c>
      <c r="AD62" s="15">
        <f>IFERROR(AC62/AC444, "NA")</f>
        <v>4.9411798931343065E-2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13756.070000000002</v>
      </c>
      <c r="C65" s="8">
        <f>IFERROR(B65/B444, "NA")</f>
        <v>2.3154490380356357E-2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13756.070000000002</v>
      </c>
      <c r="I65" s="8">
        <f>IFERROR(H65/H444, "NA")</f>
        <v>-0.23856498929185749</v>
      </c>
      <c r="J65" s="9"/>
      <c r="K65" s="7">
        <v>713.35</v>
      </c>
      <c r="L65" s="8">
        <f>IFERROR(K65/K444, "NA")</f>
        <v>1.2633053494123553E-3</v>
      </c>
      <c r="M65" s="9"/>
      <c r="N65" s="10">
        <f t="shared" si="17"/>
        <v>13042.720000000001</v>
      </c>
      <c r="O65" s="8">
        <f>IFERROR(N65/N444, "NA")</f>
        <v>0.44317846275647843</v>
      </c>
      <c r="P65" s="9"/>
      <c r="Q65" s="7">
        <v>30554.98</v>
      </c>
      <c r="R65" s="8">
        <f>IFERROR(Q65/Q444, "NA")</f>
        <v>1.0696011093417786E-2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30554.98</v>
      </c>
      <c r="X65" s="8">
        <f>IFERROR(W65/W444, "NA")</f>
        <v>0.71961934925924775</v>
      </c>
      <c r="Y65" s="9"/>
      <c r="Z65" s="7">
        <v>1546.3000000000002</v>
      </c>
      <c r="AA65" s="8">
        <f>IFERROR(Z65/Z444, "NA")</f>
        <v>6.2094359501058832E-4</v>
      </c>
      <c r="AB65" s="9"/>
      <c r="AC65" s="10">
        <f t="shared" si="19"/>
        <v>29008.68</v>
      </c>
      <c r="AD65" s="8">
        <f>IFERROR(AC65/AC444, "NA")</f>
        <v>7.9166053427045899E-2</v>
      </c>
    </row>
    <row r="66" spans="1:30" ht="16.5" customHeight="1" x14ac:dyDescent="0.45">
      <c r="A66" s="12" t="s">
        <v>63</v>
      </c>
      <c r="B66" s="7">
        <v>21855.66</v>
      </c>
      <c r="C66" s="8">
        <f>IFERROR(B66/B444, "NA")</f>
        <v>3.6787881220896608E-2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21855.66</v>
      </c>
      <c r="I66" s="8">
        <f>IFERROR(H66/H444, "NA")</f>
        <v>-0.37903233218982441</v>
      </c>
      <c r="J66" s="9"/>
      <c r="K66" s="7">
        <v>12961.62</v>
      </c>
      <c r="L66" s="8">
        <f>IFERROR(K66/K444, "NA")</f>
        <v>2.2954347631667728E-2</v>
      </c>
      <c r="M66" s="9"/>
      <c r="N66" s="10">
        <f t="shared" si="17"/>
        <v>8894.0399999999991</v>
      </c>
      <c r="O66" s="8">
        <f>IFERROR(N66/N444, "NA")</f>
        <v>0.30221050324584353</v>
      </c>
      <c r="P66" s="9"/>
      <c r="Q66" s="7">
        <v>92657.600000000006</v>
      </c>
      <c r="R66" s="8">
        <f>IFERROR(Q66/Q444, "NA")</f>
        <v>3.2435521721482646E-2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92657.600000000006</v>
      </c>
      <c r="X66" s="8">
        <f>IFERROR(W66/W444, "NA")</f>
        <v>2.1822368011997937</v>
      </c>
      <c r="Y66" s="9"/>
      <c r="Z66" s="7">
        <v>51867.4</v>
      </c>
      <c r="AA66" s="8">
        <f>IFERROR(Z66/Z444, "NA")</f>
        <v>2.0828254426600395E-2</v>
      </c>
      <c r="AB66" s="9"/>
      <c r="AC66" s="10">
        <f t="shared" si="19"/>
        <v>40790.200000000004</v>
      </c>
      <c r="AD66" s="8">
        <f>IFERROR(AC66/AC444, "NA")</f>
        <v>0.11131837617223148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3.4595343748703034E-3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0.23275479558133669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2.697049002250836E-2</v>
      </c>
    </row>
    <row r="68" spans="1:30" ht="16.5" customHeight="1" x14ac:dyDescent="0.45">
      <c r="A68" s="12" t="s">
        <v>65</v>
      </c>
      <c r="B68" s="7">
        <v>3016.0499999999997</v>
      </c>
      <c r="C68" s="8">
        <f>IFERROR(B68/B444, "NA")</f>
        <v>5.0766752940101193E-3</v>
      </c>
      <c r="D68" s="9"/>
      <c r="E68" s="7">
        <v>0</v>
      </c>
      <c r="F68" s="8">
        <f>IFERROR(E68/E444, "NA")</f>
        <v>0</v>
      </c>
      <c r="G68" s="9"/>
      <c r="H68" s="10">
        <f t="shared" si="16"/>
        <v>3016.0499999999997</v>
      </c>
      <c r="I68" s="8">
        <f>IFERROR(H68/H444, "NA")</f>
        <v>-5.2305922836515563E-2</v>
      </c>
      <c r="J68" s="9"/>
      <c r="K68" s="7">
        <v>0</v>
      </c>
      <c r="L68" s="8">
        <f>IFERROR(K68/K444, "NA")</f>
        <v>0</v>
      </c>
      <c r="M68" s="9"/>
      <c r="N68" s="10">
        <f t="shared" si="17"/>
        <v>3016.0499999999997</v>
      </c>
      <c r="O68" s="8">
        <f>IFERROR(N68/N444, "NA")</f>
        <v>0.10248233517216321</v>
      </c>
      <c r="P68" s="9"/>
      <c r="Q68" s="7">
        <v>3016.0499999999997</v>
      </c>
      <c r="R68" s="8">
        <f>IFERROR(Q68/Q444, "NA")</f>
        <v>1.0557920266451725E-3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3016.0499999999997</v>
      </c>
      <c r="X68" s="8">
        <f>IFERROR(W68/W444, "NA")</f>
        <v>7.1032870528252801E-2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3016.0499999999997</v>
      </c>
      <c r="AD68" s="8">
        <f>IFERROR(AC68/AC444, "NA")</f>
        <v>8.2309424433873492E-3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38627.780000000006</v>
      </c>
      <c r="C73" s="15">
        <f>IFERROR(B73/B444, "NA")</f>
        <v>6.5019046895263083E-2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38627.780000000006</v>
      </c>
      <c r="I73" s="15">
        <f>IFERROR(H73/H444, "NA")</f>
        <v>-0.66990324431819759</v>
      </c>
      <c r="J73" s="2"/>
      <c r="K73" s="14">
        <f>IFERROR(K64+K65+K66+K67+K68+K69+K70+K71+K72, "NA")</f>
        <v>13674.970000000001</v>
      </c>
      <c r="L73" s="15">
        <f>IFERROR(K73/K444, "NA")</f>
        <v>2.4217652981080084E-2</v>
      </c>
      <c r="M73" s="2"/>
      <c r="N73" s="14">
        <f t="shared" si="17"/>
        <v>24952.810000000005</v>
      </c>
      <c r="O73" s="15">
        <f>IFERROR(N73/N444, "NA")</f>
        <v>0.84787130117448528</v>
      </c>
      <c r="P73" s="2"/>
      <c r="Q73" s="14">
        <f>IFERROR(Q64+Q65+Q66+Q67+Q68+Q69+Q70+Q71+Q72, "NA")</f>
        <v>136111.38</v>
      </c>
      <c r="R73" s="15">
        <f>IFERROR(Q73/Q444, "NA")</f>
        <v>4.7646859216415913E-2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136111.38</v>
      </c>
      <c r="X73" s="15">
        <f>IFERROR(W73/W444, "NA")</f>
        <v>3.2056438165686312</v>
      </c>
      <c r="Y73" s="2"/>
      <c r="Z73" s="14">
        <f>IFERROR(Z64+Z65+Z66+Z67+Z68+Z69+Z70+Z71+Z72, "NA")</f>
        <v>53413.700000000004</v>
      </c>
      <c r="AA73" s="15">
        <f>IFERROR(Z73/Z444, "NA")</f>
        <v>2.1449198021610983E-2</v>
      </c>
      <c r="AB73" s="2"/>
      <c r="AC73" s="14">
        <f t="shared" si="19"/>
        <v>82697.679999999993</v>
      </c>
      <c r="AD73" s="15">
        <f>IFERROR(AC73/AC444, "NA")</f>
        <v>0.22568586206517305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11652.5</v>
      </c>
      <c r="F75" s="8">
        <f>IFERROR(E75/E444, "NA")</f>
        <v>1.7878481194599529E-2</v>
      </c>
      <c r="G75" s="9"/>
      <c r="H75" s="10">
        <f t="shared" ref="H75:H92" si="20">IFERROR(B75-E75, "NA")</f>
        <v>-11652.5</v>
      </c>
      <c r="I75" s="8">
        <f>IFERROR(H75/H444, "NA")</f>
        <v>0.20208377376121009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50260.7</v>
      </c>
      <c r="U75" s="8">
        <f>IFERROR(T75/T444, "NA")</f>
        <v>1.7859608405147671E-2</v>
      </c>
      <c r="V75" s="9"/>
      <c r="W75" s="10">
        <f t="shared" ref="W75:W92" si="22">IFERROR(Q75-T75, "NA")</f>
        <v>-50260.7</v>
      </c>
      <c r="X75" s="8">
        <f>IFERROR(W75/W444, "NA")</f>
        <v>-1.1837210244390366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2812.91</v>
      </c>
      <c r="C77" s="8">
        <f>IFERROR(B77/B444, "NA")</f>
        <v>4.7347460092750466E-3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2812.91</v>
      </c>
      <c r="I77" s="8">
        <f>IFERROR(H77/H444, "NA")</f>
        <v>-4.8782962287118252E-2</v>
      </c>
      <c r="J77" s="9"/>
      <c r="K77" s="7">
        <v>439.53</v>
      </c>
      <c r="L77" s="8">
        <f>IFERROR(K77/K444, "NA")</f>
        <v>7.7838452404459593E-4</v>
      </c>
      <c r="M77" s="9"/>
      <c r="N77" s="10">
        <f t="shared" si="21"/>
        <v>2373.38</v>
      </c>
      <c r="O77" s="8">
        <f>IFERROR(N77/N444, "NA")</f>
        <v>8.0645057161157385E-2</v>
      </c>
      <c r="P77" s="9"/>
      <c r="Q77" s="7">
        <v>12319.11</v>
      </c>
      <c r="R77" s="8">
        <f>IFERROR(Q77/Q444, "NA")</f>
        <v>4.3124013571939493E-3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12319.11</v>
      </c>
      <c r="X77" s="8">
        <f>IFERROR(W77/W444, "NA")</f>
        <v>0.2901350261611394</v>
      </c>
      <c r="Y77" s="9"/>
      <c r="Z77" s="7">
        <v>2170.7399999999998</v>
      </c>
      <c r="AA77" s="8">
        <f>IFERROR(Z77/Z444, "NA")</f>
        <v>8.7169831173335339E-4</v>
      </c>
      <c r="AB77" s="9"/>
      <c r="AC77" s="10">
        <f t="shared" si="23"/>
        <v>10148.370000000001</v>
      </c>
      <c r="AD77" s="8">
        <f>IFERROR(AC77/AC444, "NA")</f>
        <v>2.7695379507700103E-2</v>
      </c>
    </row>
    <row r="78" spans="1:30" ht="16.5" customHeight="1" x14ac:dyDescent="0.45">
      <c r="A78" s="12" t="s">
        <v>74</v>
      </c>
      <c r="B78" s="7">
        <v>50</v>
      </c>
      <c r="C78" s="8">
        <f>IFERROR(B78/B444, "NA")</f>
        <v>8.4160993584491626E-5</v>
      </c>
      <c r="D78" s="9"/>
      <c r="E78" s="7">
        <v>0</v>
      </c>
      <c r="F78" s="8">
        <f>IFERROR(E78/E444, "NA")</f>
        <v>0</v>
      </c>
      <c r="G78" s="9"/>
      <c r="H78" s="10">
        <f t="shared" si="20"/>
        <v>50</v>
      </c>
      <c r="I78" s="8">
        <f>IFERROR(H78/H444, "NA")</f>
        <v>-8.6712625514357474E-4</v>
      </c>
      <c r="J78" s="9"/>
      <c r="K78" s="7">
        <v>0</v>
      </c>
      <c r="L78" s="8">
        <f>IFERROR(K78/K444, "NA")</f>
        <v>0</v>
      </c>
      <c r="M78" s="9"/>
      <c r="N78" s="10">
        <f t="shared" si="21"/>
        <v>50</v>
      </c>
      <c r="O78" s="8">
        <f>IFERROR(N78/N444, "NA")</f>
        <v>1.69894953949973E-3</v>
      </c>
      <c r="P78" s="9"/>
      <c r="Q78" s="7">
        <v>275</v>
      </c>
      <c r="R78" s="8">
        <f>IFERROR(Q78/Q444, "NA")</f>
        <v>9.6265913140505783E-5</v>
      </c>
      <c r="S78" s="9"/>
      <c r="T78" s="7">
        <v>0</v>
      </c>
      <c r="U78" s="8">
        <f>IFERROR(T78/T444, "NA")</f>
        <v>0</v>
      </c>
      <c r="V78" s="9"/>
      <c r="W78" s="10">
        <f t="shared" si="22"/>
        <v>275</v>
      </c>
      <c r="X78" s="8">
        <f>IFERROR(W78/W444, "NA")</f>
        <v>6.4766961407368992E-3</v>
      </c>
      <c r="Y78" s="9"/>
      <c r="Z78" s="7">
        <v>200</v>
      </c>
      <c r="AA78" s="8">
        <f>IFERROR(Z78/Z444, "NA")</f>
        <v>8.0313470220602515E-5</v>
      </c>
      <c r="AB78" s="9"/>
      <c r="AC78" s="10">
        <f t="shared" si="23"/>
        <v>75</v>
      </c>
      <c r="AD78" s="8">
        <f>IFERROR(AC78/AC444, "NA")</f>
        <v>2.0467853094413265E-4</v>
      </c>
    </row>
    <row r="79" spans="1:30" ht="16.5" customHeight="1" x14ac:dyDescent="0.45">
      <c r="A79" s="12" t="s">
        <v>75</v>
      </c>
      <c r="B79" s="7">
        <v>5.1100000000000003</v>
      </c>
      <c r="C79" s="8">
        <f>IFERROR(B79/B444, "NA")</f>
        <v>8.6012535443350441E-6</v>
      </c>
      <c r="D79" s="9"/>
      <c r="E79" s="7">
        <v>0</v>
      </c>
      <c r="F79" s="8">
        <f>IFERROR(E79/E444, "NA")</f>
        <v>0</v>
      </c>
      <c r="G79" s="9"/>
      <c r="H79" s="10">
        <f t="shared" si="20"/>
        <v>5.1100000000000003</v>
      </c>
      <c r="I79" s="8">
        <f>IFERROR(H79/H444, "NA")</f>
        <v>-8.8620303275673335E-5</v>
      </c>
      <c r="J79" s="9"/>
      <c r="K79" s="7">
        <v>47.84</v>
      </c>
      <c r="L79" s="8">
        <f>IFERROR(K79/K444, "NA")</f>
        <v>8.4722125066078485E-5</v>
      </c>
      <c r="M79" s="9"/>
      <c r="N79" s="10">
        <f t="shared" si="21"/>
        <v>-42.730000000000004</v>
      </c>
      <c r="O79" s="8">
        <f>IFERROR(N79/N444, "NA")</f>
        <v>-1.4519222764564695E-3</v>
      </c>
      <c r="P79" s="9"/>
      <c r="Q79" s="7">
        <v>5.1100000000000003</v>
      </c>
      <c r="R79" s="8">
        <f>IFERROR(Q79/Q444, "NA")</f>
        <v>1.7887956950835802E-6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5.1100000000000003</v>
      </c>
      <c r="X79" s="8">
        <f>IFERROR(W79/W444, "NA")</f>
        <v>1.2034879010605657E-4</v>
      </c>
      <c r="Y79" s="9"/>
      <c r="Z79" s="7">
        <v>218.26999999999998</v>
      </c>
      <c r="AA79" s="8">
        <f>IFERROR(Z79/Z444, "NA")</f>
        <v>8.7650105725254536E-5</v>
      </c>
      <c r="AB79" s="9"/>
      <c r="AC79" s="10">
        <f t="shared" si="23"/>
        <v>-213.15999999999997</v>
      </c>
      <c r="AD79" s="8">
        <f>IFERROR(AC79/AC444, "NA")</f>
        <v>-5.8172367541401749E-4</v>
      </c>
    </row>
    <row r="80" spans="1:30" ht="16.5" customHeight="1" x14ac:dyDescent="0.45">
      <c r="A80" s="12" t="s">
        <v>76</v>
      </c>
      <c r="B80" s="7">
        <v>8636.1299999999992</v>
      </c>
      <c r="C80" s="8">
        <f>IFERROR(B80/B444, "NA")</f>
        <v>1.4536505630496712E-2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8636.1299999999992</v>
      </c>
      <c r="I80" s="8">
        <f>IFERROR(H80/H444, "NA")</f>
        <v>-0.14977230131666158</v>
      </c>
      <c r="J80" s="9"/>
      <c r="K80" s="7">
        <v>11154.390000000001</v>
      </c>
      <c r="L80" s="8">
        <f>IFERROR(K80/K444, "NA")</f>
        <v>1.9753838307186772E-2</v>
      </c>
      <c r="M80" s="9"/>
      <c r="N80" s="10">
        <f t="shared" si="21"/>
        <v>-2518.260000000002</v>
      </c>
      <c r="O80" s="8">
        <f>IFERROR(N80/N444, "NA")</f>
        <v>-8.556793334681187E-2</v>
      </c>
      <c r="P80" s="9"/>
      <c r="Q80" s="7">
        <v>38549.31</v>
      </c>
      <c r="R80" s="8">
        <f>IFERROR(Q80/Q444, "NA")</f>
        <v>1.3494489193041566E-2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38549.31</v>
      </c>
      <c r="X80" s="8">
        <f>IFERROR(W80/W444, "NA")</f>
        <v>0.90789879020025577</v>
      </c>
      <c r="Y80" s="9"/>
      <c r="Z80" s="7">
        <v>41845.729999999996</v>
      </c>
      <c r="AA80" s="8">
        <f>IFERROR(Z80/Z444, "NA")</f>
        <v>1.6803878951071865E-2</v>
      </c>
      <c r="AB80" s="9"/>
      <c r="AC80" s="10">
        <f t="shared" si="23"/>
        <v>-3296.4199999999983</v>
      </c>
      <c r="AD80" s="8">
        <f>IFERROR(AC80/AC444, "NA")</f>
        <v>-8.9960853729980986E-3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25</v>
      </c>
      <c r="L82" s="8">
        <f>IFERROR(K82/K444, "NA")</f>
        <v>4.4273685757775124E-5</v>
      </c>
      <c r="M82" s="9"/>
      <c r="N82" s="10">
        <f t="shared" si="21"/>
        <v>-25</v>
      </c>
      <c r="O82" s="8">
        <f>IFERROR(N82/N444, "NA")</f>
        <v>-8.49474769749865E-4</v>
      </c>
      <c r="P82" s="9"/>
      <c r="Q82" s="7">
        <v>25</v>
      </c>
      <c r="R82" s="8">
        <f>IFERROR(Q82/Q444, "NA")</f>
        <v>8.7514466491368889E-6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5.88790558248809E-4</v>
      </c>
      <c r="Y82" s="9"/>
      <c r="Z82" s="7">
        <v>75</v>
      </c>
      <c r="AA82" s="8">
        <f>IFERROR(Z82/Z444, "NA")</f>
        <v>3.011755133272594E-5</v>
      </c>
      <c r="AB82" s="9"/>
      <c r="AC82" s="10">
        <f t="shared" si="23"/>
        <v>-50</v>
      </c>
      <c r="AD82" s="8">
        <f>IFERROR(AC82/AC444, "NA")</f>
        <v>-1.3645235396275512E-4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30</v>
      </c>
      <c r="L85" s="8">
        <f>IFERROR(K85/K444, "NA")</f>
        <v>5.3128422909330145E-5</v>
      </c>
      <c r="M85" s="9"/>
      <c r="N85" s="10">
        <f t="shared" si="21"/>
        <v>-30</v>
      </c>
      <c r="O85" s="8">
        <f>IFERROR(N85/N444, "NA")</f>
        <v>-1.0193697236998379E-3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90</v>
      </c>
      <c r="AA85" s="8">
        <f>IFERROR(Z85/Z444, "NA")</f>
        <v>3.6141061599271126E-5</v>
      </c>
      <c r="AB85" s="9"/>
      <c r="AC85" s="10">
        <f t="shared" si="23"/>
        <v>-90</v>
      </c>
      <c r="AD85" s="8">
        <f>IFERROR(AC85/AC444, "NA")</f>
        <v>-2.4561423713295917E-4</v>
      </c>
    </row>
    <row r="86" spans="1:30" ht="16.5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175</v>
      </c>
      <c r="L86" s="8">
        <f>IFERROR(K86/K444, "NA")</f>
        <v>3.0991580030442588E-4</v>
      </c>
      <c r="M86" s="9"/>
      <c r="N86" s="10">
        <f t="shared" si="21"/>
        <v>-175</v>
      </c>
      <c r="O86" s="8">
        <f>IFERROR(N86/N444, "NA")</f>
        <v>-5.9463233882490552E-3</v>
      </c>
      <c r="P86" s="9"/>
      <c r="Q86" s="7">
        <v>50</v>
      </c>
      <c r="R86" s="8">
        <f>IFERROR(Q86/Q444, "NA")</f>
        <v>1.7502893298273778E-5</v>
      </c>
      <c r="S86" s="9"/>
      <c r="T86" s="7">
        <v>0</v>
      </c>
      <c r="U86" s="8">
        <f>IFERROR(T86/T444, "NA")</f>
        <v>0</v>
      </c>
      <c r="V86" s="9"/>
      <c r="W86" s="10">
        <f t="shared" si="22"/>
        <v>50</v>
      </c>
      <c r="X86" s="8">
        <f>IFERROR(W86/W444, "NA")</f>
        <v>1.177581116497618E-3</v>
      </c>
      <c r="Y86" s="9"/>
      <c r="Z86" s="7">
        <v>820</v>
      </c>
      <c r="AA86" s="8">
        <f>IFERROR(Z86/Z444, "NA")</f>
        <v>3.2928522790447027E-4</v>
      </c>
      <c r="AB86" s="9"/>
      <c r="AC86" s="10">
        <f t="shared" si="23"/>
        <v>-770</v>
      </c>
      <c r="AD86" s="8">
        <f>IFERROR(AC86/AC444, "NA")</f>
        <v>-2.1013662510264287E-3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3.4595518777636017E-4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2.3275597316245317E-2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2.6970626474862322E-3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11504.15</v>
      </c>
      <c r="C88" s="15">
        <f>IFERROR(B88/B444, "NA")</f>
        <v>1.9364013886900587E-2</v>
      </c>
      <c r="D88" s="2"/>
      <c r="E88" s="14">
        <f>IFERROR(E75+E76+E77+E78+E79+E80+E81+E82+E83+E84+E85+E86+E87, "NA")</f>
        <v>11652.5</v>
      </c>
      <c r="F88" s="15">
        <f>IFERROR(E88/E444, "NA")</f>
        <v>1.7878481194599529E-2</v>
      </c>
      <c r="G88" s="2"/>
      <c r="H88" s="14">
        <f t="shared" si="20"/>
        <v>-148.35000000000036</v>
      </c>
      <c r="I88" s="15">
        <f>IFERROR(H88/H444, "NA")</f>
        <v>2.5727635990109923E-3</v>
      </c>
      <c r="J88" s="2"/>
      <c r="K88" s="14">
        <f>IFERROR(K75+K76+K77+K78+K79+K80+K81+K82+K83+K84+K85+K86+K87, "NA")</f>
        <v>11871.760000000002</v>
      </c>
      <c r="L88" s="15">
        <f>IFERROR(K88/K444, "NA")</f>
        <v>2.102426286526898E-2</v>
      </c>
      <c r="M88" s="2"/>
      <c r="N88" s="14">
        <f t="shared" si="21"/>
        <v>-367.6100000000024</v>
      </c>
      <c r="O88" s="15">
        <f>IFERROR(N88/N444, "NA")</f>
        <v>-1.2491016804309996E-2</v>
      </c>
      <c r="P88" s="2"/>
      <c r="Q88" s="14">
        <f>IFERROR(Q75+Q76+Q77+Q78+Q79+Q80+Q81+Q82+Q83+Q84+Q85+Q86+Q87, "NA")</f>
        <v>52211.81</v>
      </c>
      <c r="R88" s="15">
        <f>IFERROR(Q88/Q444, "NA")</f>
        <v>1.8277154786794876E-2</v>
      </c>
      <c r="S88" s="2"/>
      <c r="T88" s="14">
        <f>IFERROR(T75+T76+T77+T78+T79+T80+T81+T82+T83+T84+T85+T86+T87, "NA")</f>
        <v>50260.7</v>
      </c>
      <c r="U88" s="15">
        <f>IFERROR(T88/T444, "NA")</f>
        <v>1.7859608405147671E-2</v>
      </c>
      <c r="V88" s="2"/>
      <c r="W88" s="14">
        <f t="shared" si="22"/>
        <v>1951.1100000000006</v>
      </c>
      <c r="X88" s="15">
        <f>IFERROR(W88/W444, "NA")</f>
        <v>4.5951805844193359E-2</v>
      </c>
      <c r="Y88" s="2"/>
      <c r="Z88" s="14">
        <f>IFERROR(Z75+Z76+Z77+Z78+Z79+Z80+Z81+Z82+Z83+Z84+Z85+Z86+Z87, "NA")</f>
        <v>45419.74</v>
      </c>
      <c r="AA88" s="15">
        <f>IFERROR(Z88/Z444, "NA")</f>
        <v>1.8239084679587542E-2</v>
      </c>
      <c r="AB88" s="2"/>
      <c r="AC88" s="14">
        <f t="shared" si="23"/>
        <v>6792.07</v>
      </c>
      <c r="AD88" s="15">
        <f>IFERROR(AC88/AC444, "NA")</f>
        <v>1.8535878795596202E-2</v>
      </c>
    </row>
    <row r="89" spans="1:30" ht="16.5" customHeight="1" x14ac:dyDescent="0.45">
      <c r="A89" s="6" t="s">
        <v>85</v>
      </c>
      <c r="B89" s="7">
        <v>30.290000000000003</v>
      </c>
      <c r="C89" s="8">
        <f>IFERROR(B89/B444, "NA")</f>
        <v>5.0984729913485033E-5</v>
      </c>
      <c r="D89" s="9"/>
      <c r="E89" s="7">
        <v>0</v>
      </c>
      <c r="F89" s="8">
        <f>IFERROR(E89/E444, "NA")</f>
        <v>0</v>
      </c>
      <c r="G89" s="9"/>
      <c r="H89" s="10">
        <f t="shared" si="20"/>
        <v>30.290000000000003</v>
      </c>
      <c r="I89" s="8">
        <f>IFERROR(H89/H444, "NA")</f>
        <v>-5.2530508536597763E-4</v>
      </c>
      <c r="J89" s="9"/>
      <c r="K89" s="7">
        <v>-827.98</v>
      </c>
      <c r="L89" s="8">
        <f>IFERROR(K89/K444, "NA")</f>
        <v>-1.4663090533489059E-3</v>
      </c>
      <c r="M89" s="9"/>
      <c r="N89" s="10">
        <f t="shared" si="21"/>
        <v>858.27</v>
      </c>
      <c r="O89" s="8">
        <f>IFERROR(N89/N444, "NA")</f>
        <v>2.9163148425328664E-2</v>
      </c>
      <c r="P89" s="9"/>
      <c r="Q89" s="7">
        <v>-268.99</v>
      </c>
      <c r="R89" s="8">
        <f>IFERROR(Q89/Q444, "NA")</f>
        <v>-9.4162065366053266E-5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-268.99</v>
      </c>
      <c r="X89" s="8">
        <f>IFERROR(W89/W444, "NA")</f>
        <v>-6.3351508905338857E-3</v>
      </c>
      <c r="Y89" s="9"/>
      <c r="Z89" s="7">
        <v>-2872.3199999999997</v>
      </c>
      <c r="AA89" s="8">
        <f>IFERROR(Z89/Z444, "NA")</f>
        <v>-1.1534299339202049E-3</v>
      </c>
      <c r="AB89" s="9"/>
      <c r="AC89" s="10">
        <f t="shared" si="23"/>
        <v>2603.33</v>
      </c>
      <c r="AD89" s="8">
        <f>IFERROR(AC89/AC444, "NA")</f>
        <v>7.1046101328371847E-3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-24407.040000000001</v>
      </c>
      <c r="F94" s="8">
        <f>IFERROR(E94/E444, "NA")</f>
        <v>-3.7447827132017893E-2</v>
      </c>
      <c r="G94" s="9"/>
      <c r="H94" s="10">
        <f t="shared" ref="H94:H124" si="24">IFERROR(B94-E94, "NA")</f>
        <v>24407.040000000001</v>
      </c>
      <c r="I94" s="8">
        <f>IFERROR(H94/H444, "NA")</f>
        <v>-0.42327970388678871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-105204.83</v>
      </c>
      <c r="U94" s="8">
        <f>IFERROR(T94/T444, "NA")</f>
        <v>-3.7383424149089288E-2</v>
      </c>
      <c r="V94" s="9"/>
      <c r="W94" s="10">
        <f t="shared" ref="W94:W124" si="26">IFERROR(Q94-T94, "NA")</f>
        <v>105204.83</v>
      </c>
      <c r="X94" s="8">
        <f>IFERROR(W94/W444, "NA")</f>
        <v>2.477744423446842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-6016.4</v>
      </c>
      <c r="C96" s="8">
        <f>IFERROR(B96/B444, "NA")</f>
        <v>-1.0126924036034707E-2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-6016.4</v>
      </c>
      <c r="I96" s="8">
        <f>IFERROR(H96/H444, "NA")</f>
        <v>0.10433956802891604</v>
      </c>
      <c r="J96" s="9"/>
      <c r="K96" s="7">
        <v>-1733.53</v>
      </c>
      <c r="L96" s="8">
        <f>IFERROR(K96/K444, "NA")</f>
        <v>-3.0699904988670365E-3</v>
      </c>
      <c r="M96" s="9"/>
      <c r="N96" s="10">
        <f t="shared" si="25"/>
        <v>-4282.87</v>
      </c>
      <c r="O96" s="8">
        <f>IFERROR(N96/N444, "NA")</f>
        <v>-0.14552760028474418</v>
      </c>
      <c r="P96" s="9"/>
      <c r="Q96" s="7">
        <v>-39075.159999999996</v>
      </c>
      <c r="R96" s="8">
        <f>IFERROR(Q96/Q444, "NA")</f>
        <v>-1.3678567121859509E-2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-39075.159999999996</v>
      </c>
      <c r="X96" s="8">
        <f>IFERROR(W96/W444, "NA")</f>
        <v>-0.92028341080246112</v>
      </c>
      <c r="Y96" s="9"/>
      <c r="Z96" s="7">
        <v>-13424.31</v>
      </c>
      <c r="AA96" s="8">
        <f>IFERROR(Z96/Z444, "NA")</f>
        <v>-5.3907646070856822E-3</v>
      </c>
      <c r="AB96" s="9"/>
      <c r="AC96" s="10">
        <f t="shared" si="27"/>
        <v>-25650.85</v>
      </c>
      <c r="AD96" s="8">
        <f>IFERROR(AC96/AC444, "NA")</f>
        <v>-7.0002377272910726E-2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-9774.31</v>
      </c>
      <c r="C98" s="8">
        <f>IFERROR(B98/B444, "NA")</f>
        <v>-1.6452312824056646E-2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-9774.31</v>
      </c>
      <c r="I98" s="8">
        <f>IFERROR(H98/H444, "NA")</f>
        <v>0.16951121653824786</v>
      </c>
      <c r="J98" s="9"/>
      <c r="K98" s="7">
        <v>-9592.2800000000007</v>
      </c>
      <c r="L98" s="8">
        <f>IFERROR(K98/K444, "NA")</f>
        <v>-1.6987423616823649E-2</v>
      </c>
      <c r="M98" s="9"/>
      <c r="N98" s="10">
        <f t="shared" si="25"/>
        <v>-182.02999999999884</v>
      </c>
      <c r="O98" s="8">
        <f>IFERROR(N98/N444, "NA")</f>
        <v>-6.1851956935026773E-3</v>
      </c>
      <c r="P98" s="9"/>
      <c r="Q98" s="7">
        <v>-48161.789999999994</v>
      </c>
      <c r="R98" s="8">
        <f>IFERROR(Q98/Q444, "NA")</f>
        <v>-1.6859413428477379E-2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-48161.789999999994</v>
      </c>
      <c r="X98" s="8">
        <f>IFERROR(W98/W444, "NA")</f>
        <v>-1.1342882888144761</v>
      </c>
      <c r="Y98" s="9"/>
      <c r="Z98" s="7">
        <v>-45566.58</v>
      </c>
      <c r="AA98" s="8">
        <f>IFERROR(Z98/Z444, "NA")</f>
        <v>-1.8298050829423509E-2</v>
      </c>
      <c r="AB98" s="9"/>
      <c r="AC98" s="10">
        <f t="shared" si="27"/>
        <v>-2595.2099999999919</v>
      </c>
      <c r="AD98" s="8">
        <f>IFERROR(AC98/AC444, "NA")</f>
        <v>-7.0824502705536113E-3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-1239.21</v>
      </c>
      <c r="C100" s="8">
        <f>IFERROR(B100/B444, "NA")</f>
        <v>-2.0858628971967574E-3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-1239.21</v>
      </c>
      <c r="I100" s="8">
        <f>IFERROR(H100/H444, "NA")</f>
        <v>2.1491030532729386E-2</v>
      </c>
      <c r="J100" s="9"/>
      <c r="K100" s="7">
        <v>-179.85000000000002</v>
      </c>
      <c r="L100" s="8">
        <f>IFERROR(K100/K444, "NA")</f>
        <v>-3.1850489534143429E-4</v>
      </c>
      <c r="M100" s="9"/>
      <c r="N100" s="10">
        <f t="shared" si="25"/>
        <v>-1059.3600000000001</v>
      </c>
      <c r="O100" s="8">
        <f>IFERROR(N100/N444, "NA")</f>
        <v>-3.5995983683288685E-2</v>
      </c>
      <c r="P100" s="9"/>
      <c r="Q100" s="7">
        <v>-9071.2999999999993</v>
      </c>
      <c r="R100" s="8">
        <f>IFERROR(Q100/Q444, "NA")</f>
        <v>-3.1754799195326182E-3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-9071.2999999999993</v>
      </c>
      <c r="X100" s="8">
        <f>IFERROR(W100/W444, "NA")</f>
        <v>-0.21364383164169681</v>
      </c>
      <c r="Y100" s="9"/>
      <c r="Z100" s="7">
        <v>-8346.130000000001</v>
      </c>
      <c r="AA100" s="8">
        <f>IFERROR(Z100/Z444, "NA")</f>
        <v>-3.3515333160613866E-3</v>
      </c>
      <c r="AB100" s="9"/>
      <c r="AC100" s="10">
        <f t="shared" si="27"/>
        <v>-725.16999999999825</v>
      </c>
      <c r="AD100" s="8">
        <f>IFERROR(AC100/AC444, "NA")</f>
        <v>-1.9790230704634175E-3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-5343.1999999999989</v>
      </c>
      <c r="C102" s="8">
        <f>IFERROR(B102/B444, "NA")</f>
        <v>-8.9937804184131113E-3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-5343.1999999999989</v>
      </c>
      <c r="I102" s="8">
        <f>IFERROR(H102/H444, "NA")</f>
        <v>9.2664580129662943E-2</v>
      </c>
      <c r="J102" s="9"/>
      <c r="K102" s="7">
        <v>-1597.1699999999998</v>
      </c>
      <c r="L102" s="8">
        <f>IFERROR(K102/K444, "NA")</f>
        <v>-2.8285041072698275E-3</v>
      </c>
      <c r="M102" s="9"/>
      <c r="N102" s="10">
        <f t="shared" si="25"/>
        <v>-3746.0299999999988</v>
      </c>
      <c r="O102" s="8">
        <f>IFERROR(N102/N444, "NA")</f>
        <v>-0.12728631886904343</v>
      </c>
      <c r="P102" s="9"/>
      <c r="Q102" s="7">
        <v>-26184.66</v>
      </c>
      <c r="R102" s="8">
        <f>IFERROR(Q102/Q444, "NA")</f>
        <v>-9.1661462006315496E-3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-26184.66</v>
      </c>
      <c r="X102" s="8">
        <f>IFERROR(W102/W444, "NA")</f>
        <v>-0.61669122315821034</v>
      </c>
      <c r="Y102" s="9"/>
      <c r="Z102" s="7">
        <v>-10091.289999999999</v>
      </c>
      <c r="AA102" s="8">
        <f>IFERROR(Z102/Z444, "NA")</f>
        <v>-4.0523325945123192E-3</v>
      </c>
      <c r="AB102" s="9"/>
      <c r="AC102" s="10">
        <f t="shared" si="27"/>
        <v>-16093.37</v>
      </c>
      <c r="AD102" s="8">
        <f>IFERROR(AC102/AC444, "NA")</f>
        <v>-4.3919564393871686E-2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-3225.92</v>
      </c>
      <c r="C104" s="8">
        <f>IFERROR(B104/B444, "NA")</f>
        <v>-5.4299326484816644E-3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-3225.92</v>
      </c>
      <c r="I104" s="8">
        <f>IFERROR(H104/H444, "NA")</f>
        <v>5.5945598579855212E-2</v>
      </c>
      <c r="J104" s="9"/>
      <c r="K104" s="7">
        <v>-2403.2200000000003</v>
      </c>
      <c r="L104" s="8">
        <f>IFERROR(K104/K444, "NA")</f>
        <v>-4.2559762834720139E-3</v>
      </c>
      <c r="M104" s="9"/>
      <c r="N104" s="10">
        <f t="shared" si="25"/>
        <v>-822.69999999999982</v>
      </c>
      <c r="O104" s="8">
        <f>IFERROR(N104/N444, "NA")</f>
        <v>-2.7954515722928553E-2</v>
      </c>
      <c r="P104" s="9"/>
      <c r="Q104" s="7">
        <v>-17312.61</v>
      </c>
      <c r="R104" s="8">
        <f>IFERROR(Q104/Q444, "NA")</f>
        <v>-6.0604153108925517E-3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-17312.61</v>
      </c>
      <c r="X104" s="8">
        <f>IFERROR(W104/W444, "NA")</f>
        <v>-0.40774005226575655</v>
      </c>
      <c r="Y104" s="9"/>
      <c r="Z104" s="7">
        <v>-16152.38</v>
      </c>
      <c r="AA104" s="8">
        <f>IFERROR(Z104/Z444, "NA")</f>
        <v>-6.4862684506092772E-3</v>
      </c>
      <c r="AB104" s="9"/>
      <c r="AC104" s="10">
        <f t="shared" si="27"/>
        <v>-1160.2300000000014</v>
      </c>
      <c r="AD104" s="8">
        <f>IFERROR(AC104/AC444, "NA")</f>
        <v>-3.1663222927641511E-3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-1025.97</v>
      </c>
      <c r="C106" s="8">
        <f>IFERROR(B106/B444, "NA")</f>
        <v>-1.7269330917576175E-3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-1025.97</v>
      </c>
      <c r="I106" s="8">
        <f>IFERROR(H106/H444, "NA")</f>
        <v>1.7792910479793068E-2</v>
      </c>
      <c r="J106" s="9"/>
      <c r="K106" s="7">
        <v>-3875.39</v>
      </c>
      <c r="L106" s="8">
        <f>IFERROR(K106/K444, "NA")</f>
        <v>-6.8631119619529651E-3</v>
      </c>
      <c r="M106" s="9"/>
      <c r="N106" s="10">
        <f t="shared" si="25"/>
        <v>2849.42</v>
      </c>
      <c r="O106" s="8">
        <f>IFERROR(N106/N444, "NA")</f>
        <v>9.6820415936826415E-2</v>
      </c>
      <c r="P106" s="9"/>
      <c r="Q106" s="7">
        <v>-3933.7400000000002</v>
      </c>
      <c r="R106" s="8">
        <f>IFERROR(Q106/Q444, "NA")</f>
        <v>-1.3770366296630299E-3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-3933.7400000000002</v>
      </c>
      <c r="X106" s="8">
        <f>IFERROR(W106/W444, "NA")</f>
        <v>-9.2645958824226798E-2</v>
      </c>
      <c r="Y106" s="9"/>
      <c r="Z106" s="7">
        <v>-18535.939999999999</v>
      </c>
      <c r="AA106" s="8">
        <f>IFERROR(Z106/Z444, "NA")</f>
        <v>-7.4434283260043739E-3</v>
      </c>
      <c r="AB106" s="9"/>
      <c r="AC106" s="10">
        <f t="shared" si="27"/>
        <v>14602.199999999999</v>
      </c>
      <c r="AD106" s="8">
        <f>IFERROR(AC106/AC444, "NA")</f>
        <v>3.9850091260698849E-2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-59.379999999999995</v>
      </c>
      <c r="L108" s="8">
        <f>IFERROR(K108/K444, "NA")</f>
        <v>-1.0515885841186747E-4</v>
      </c>
      <c r="M108" s="9"/>
      <c r="N108" s="10">
        <f t="shared" si="25"/>
        <v>59.379999999999995</v>
      </c>
      <c r="O108" s="8">
        <f>IFERROR(N108/N444, "NA")</f>
        <v>2.0176724731098793E-3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-211.72</v>
      </c>
      <c r="AA108" s="8">
        <f>IFERROR(Z108/Z444, "NA")</f>
        <v>-8.501983957552982E-5</v>
      </c>
      <c r="AB108" s="9"/>
      <c r="AC108" s="10">
        <f t="shared" si="27"/>
        <v>211.72</v>
      </c>
      <c r="AD108" s="8">
        <f>IFERROR(AC108/AC444, "NA")</f>
        <v>5.7779384761989024E-4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-4.6381029052397954E-6</v>
      </c>
      <c r="AB111" s="9"/>
      <c r="AC111" s="10">
        <f t="shared" si="27"/>
        <v>11.55</v>
      </c>
      <c r="AD111" s="8">
        <f>IFERROR(AC111/AC444, "NA")</f>
        <v>3.1520493765396432E-5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-26625.009999999995</v>
      </c>
      <c r="C118" s="15">
        <f>IFERROR(B118/B444, "NA")</f>
        <v>-4.4815745915940501E-2</v>
      </c>
      <c r="D118" s="2"/>
      <c r="E118" s="14">
        <f>IFERROR(E94+E95+E96+E97+E98+E99+E100+E101+E102+E103+E104+E105+E106+E107+E108+E109+E110+E111+E112+E113+E114+E115+E116+E117, "NA")</f>
        <v>-24407.040000000001</v>
      </c>
      <c r="F118" s="15">
        <f>IFERROR(E118/E444, "NA")</f>
        <v>-3.7447827132017893E-2</v>
      </c>
      <c r="G118" s="2"/>
      <c r="H118" s="14">
        <f t="shared" si="24"/>
        <v>-2217.9699999999939</v>
      </c>
      <c r="I118" s="15">
        <f>IFERROR(H118/H444, "NA")</f>
        <v>3.8465200402415779E-2</v>
      </c>
      <c r="J118" s="2"/>
      <c r="K118" s="14">
        <f>IFERROR(K94+K95+K96+K97+K98+K99+K100+K101+K102+K103+K104+K105+K106+K107+K108+K109+K110+K111+K112+K113+K114+K115+K116+K117, "NA")</f>
        <v>-19440.820000000003</v>
      </c>
      <c r="L118" s="15">
        <f>IFERROR(K118/K444, "NA")</f>
        <v>-3.4428670222138795E-2</v>
      </c>
      <c r="M118" s="2"/>
      <c r="N118" s="14">
        <f t="shared" si="25"/>
        <v>-7184.1899999999914</v>
      </c>
      <c r="O118" s="15">
        <f>IFERROR(N118/N444, "NA")</f>
        <v>-0.24411152584357101</v>
      </c>
      <c r="P118" s="2"/>
      <c r="Q118" s="14">
        <f>IFERROR(Q94+Q95+Q96+Q97+Q98+Q99+Q100+Q101+Q102+Q103+Q104+Q105+Q106+Q107+Q108+Q109+Q110+Q111+Q112+Q113+Q114+Q115+Q116+Q117, "NA")</f>
        <v>-143739.25999999998</v>
      </c>
      <c r="R118" s="15">
        <f>IFERROR(Q118/Q444, "NA")</f>
        <v>-5.0317058611056634E-2</v>
      </c>
      <c r="S118" s="2"/>
      <c r="T118" s="14">
        <f>IFERROR(T94+T95+T96+T97+T98+T99+T100+T101+T102+T103+T104+T105+T106+T107+T108+T109+T110+T111+T112+T113+T114+T115+T116+T117, "NA")</f>
        <v>-105204.83</v>
      </c>
      <c r="U118" s="15">
        <f>IFERROR(T118/T444, "NA")</f>
        <v>-3.7383424149089288E-2</v>
      </c>
      <c r="V118" s="2"/>
      <c r="W118" s="14">
        <f t="shared" si="26"/>
        <v>-38534.429999999978</v>
      </c>
      <c r="X118" s="15">
        <f>IFERROR(W118/W444, "NA")</f>
        <v>-0.90754834205998558</v>
      </c>
      <c r="Y118" s="2"/>
      <c r="Z118" s="14">
        <f>IFERROR(Z94+Z95+Z96+Z97+Z98+Z99+Z100+Z101+Z102+Z103+Z104+Z105+Z106+Z107+Z108+Z109+Z110+Z111+Z112+Z113+Z114+Z115+Z116+Z117, "NA")</f>
        <v>-112339.90000000001</v>
      </c>
      <c r="AA118" s="15">
        <f>IFERROR(Z118/Z444, "NA")</f>
        <v>-4.5112036066177322E-2</v>
      </c>
      <c r="AB118" s="2"/>
      <c r="AC118" s="14">
        <f t="shared" si="27"/>
        <v>-31399.359999999971</v>
      </c>
      <c r="AD118" s="15">
        <f>IFERROR(AC118/AC444, "NA")</f>
        <v>-8.5690331698479408E-2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594099.45000000019</v>
      </c>
      <c r="C122" s="15">
        <f>IFERROR(B122/B444, "NA")</f>
        <v>1.0000000000000004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651761.17999999993</v>
      </c>
      <c r="F122" s="15">
        <f>IFERROR(E122/E444, "NA")</f>
        <v>0.99999999999999978</v>
      </c>
      <c r="G122" s="2"/>
      <c r="H122" s="14">
        <f t="shared" si="24"/>
        <v>-57661.729999999749</v>
      </c>
      <c r="I122" s="15">
        <f>IFERROR(H122/H444, "NA")</f>
        <v>0.99999999999999389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564669.49999999988</v>
      </c>
      <c r="L122" s="15">
        <f>IFERROR(K122/K444, "NA")</f>
        <v>0.99999999999999978</v>
      </c>
      <c r="M122" s="2"/>
      <c r="N122" s="14">
        <f t="shared" si="25"/>
        <v>29429.950000000303</v>
      </c>
      <c r="O122" s="15">
        <f>IFERROR(N122/N444, "NA")</f>
        <v>1.0000000000000118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2856670.5599999996</v>
      </c>
      <c r="R122" s="15">
        <f>IFERROR(Q122/Q444, "NA")</f>
        <v>0.99999999999999989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2814210.6399999997</v>
      </c>
      <c r="U122" s="15">
        <f>IFERROR(T122/T444, "NA")</f>
        <v>1</v>
      </c>
      <c r="V122" s="2"/>
      <c r="W122" s="14">
        <f t="shared" si="26"/>
        <v>42459.919999999925</v>
      </c>
      <c r="X122" s="15">
        <f>IFERROR(W122/W444, "NA")</f>
        <v>0.99999999999998901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2490242.29</v>
      </c>
      <c r="AA122" s="15">
        <f>IFERROR(Z122/Z444, "NA")</f>
        <v>1</v>
      </c>
      <c r="AB122" s="2"/>
      <c r="AC122" s="14">
        <f t="shared" si="27"/>
        <v>366428.26999999955</v>
      </c>
      <c r="AD122" s="15">
        <f>IFERROR(AC122/AC444, "NA")</f>
        <v>0.99999999999999878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594099.45000000019</v>
      </c>
      <c r="C124" s="15">
        <f>IFERROR(B124/B444, "NA")</f>
        <v>1.0000000000000004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651761.17999999993</v>
      </c>
      <c r="F124" s="15">
        <f>IFERROR(E124/E444, "NA")</f>
        <v>0.99999999999999978</v>
      </c>
      <c r="G124" s="2"/>
      <c r="H124" s="14">
        <f t="shared" si="24"/>
        <v>-57661.729999999749</v>
      </c>
      <c r="I124" s="15">
        <f>IFERROR(H124/H444, "NA")</f>
        <v>0.99999999999999389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564669.49999999988</v>
      </c>
      <c r="L124" s="15">
        <f>IFERROR(K124/K444, "NA")</f>
        <v>0.99999999999999978</v>
      </c>
      <c r="M124" s="2"/>
      <c r="N124" s="14">
        <f t="shared" si="25"/>
        <v>29429.950000000303</v>
      </c>
      <c r="O124" s="15">
        <f>IFERROR(N124/N444, "NA")</f>
        <v>1.0000000000000118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2856670.5599999996</v>
      </c>
      <c r="R124" s="15">
        <f>IFERROR(Q124/Q444, "NA")</f>
        <v>0.99999999999999989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2814210.6399999997</v>
      </c>
      <c r="U124" s="15">
        <f>IFERROR(T124/T444, "NA")</f>
        <v>1</v>
      </c>
      <c r="V124" s="2"/>
      <c r="W124" s="14">
        <f t="shared" si="26"/>
        <v>42459.919999999925</v>
      </c>
      <c r="X124" s="15">
        <f>IFERROR(W124/W444, "NA")</f>
        <v>0.99999999999998901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2490242.29</v>
      </c>
      <c r="AA124" s="15">
        <f>IFERROR(Z124/Z444, "NA")</f>
        <v>1</v>
      </c>
      <c r="AB124" s="2"/>
      <c r="AC124" s="14">
        <f t="shared" si="27"/>
        <v>366428.26999999955</v>
      </c>
      <c r="AD124" s="15">
        <f>IFERROR(AC124/AC444, "NA")</f>
        <v>0.99999999999999878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148769.57</v>
      </c>
      <c r="F129" s="8">
        <f>IFERROR(E129/E444, "NA")</f>
        <v>0.2282577952863041</v>
      </c>
      <c r="G129" s="9"/>
      <c r="H129" s="10">
        <f t="shared" ref="H129:H141" si="28">IFERROR(-(B129-E129), "NA")</f>
        <v>148769.57</v>
      </c>
      <c r="I129" s="8">
        <f>IFERROR(H129/H444, "NA")</f>
        <v>-2.5800400022683982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661967.35999999999</v>
      </c>
      <c r="U129" s="8">
        <f>IFERROR(T129/T444, "NA")</f>
        <v>0.23522310327133156</v>
      </c>
      <c r="V129" s="9"/>
      <c r="W129" s="10">
        <f t="shared" ref="W129:W141" si="30">IFERROR(-(Q129-T129), "NA")</f>
        <v>661967.35999999999</v>
      </c>
      <c r="X129" s="8">
        <f>IFERROR(W129/W444, "NA")</f>
        <v>15.590405257475611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31670.840000000004</v>
      </c>
      <c r="C130" s="8">
        <f>IFERROR(B130/B444, "NA")</f>
        <v>5.3308987241109225E-2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-31670.840000000004</v>
      </c>
      <c r="I130" s="8">
        <f>IFERROR(H130/H444, "NA")</f>
        <v>0.54925233772902671</v>
      </c>
      <c r="J130" s="9"/>
      <c r="K130" s="7">
        <v>34998.43</v>
      </c>
      <c r="L130" s="8">
        <f>IFERROR(K130/K444, "NA")</f>
        <v>6.1980379673419586E-2</v>
      </c>
      <c r="M130" s="9"/>
      <c r="N130" s="10">
        <f t="shared" si="29"/>
        <v>3327.5899999999965</v>
      </c>
      <c r="O130" s="8">
        <f>IFERROR(N130/N444, "NA")</f>
        <v>0.11306814996287801</v>
      </c>
      <c r="P130" s="9"/>
      <c r="Q130" s="7">
        <v>160651.27000000002</v>
      </c>
      <c r="R130" s="8">
        <f>IFERROR(Q130/Q444, "NA")</f>
        <v>5.6237240740843429E-2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-160651.27000000002</v>
      </c>
      <c r="X130" s="8">
        <f>IFERROR(W130/W444, "NA")</f>
        <v>-3.7835980378672058</v>
      </c>
      <c r="Y130" s="9"/>
      <c r="Z130" s="7">
        <v>157095.76999999999</v>
      </c>
      <c r="AA130" s="8">
        <f>IFERROR(Z130/Z444, "NA")</f>
        <v>6.3084532228388099E-2</v>
      </c>
      <c r="AB130" s="9"/>
      <c r="AC130" s="10">
        <f t="shared" si="31"/>
        <v>-3555.5000000000291</v>
      </c>
      <c r="AD130" s="8">
        <f>IFERROR(AC130/AC444, "NA")</f>
        <v>-9.7031268902915951E-3</v>
      </c>
    </row>
    <row r="131" spans="1:30" ht="16.5" customHeight="1" x14ac:dyDescent="0.45">
      <c r="A131" s="12" t="s">
        <v>123</v>
      </c>
      <c r="B131" s="7">
        <v>19057.440000000002</v>
      </c>
      <c r="C131" s="8">
        <f>IFERROR(B131/B444, "NA")</f>
        <v>3.2077861711536683E-2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-19057.440000000002</v>
      </c>
      <c r="I131" s="8">
        <f>IFERROR(H131/H444, "NA")</f>
        <v>0.33050413159646735</v>
      </c>
      <c r="J131" s="9"/>
      <c r="K131" s="7">
        <v>16076.59</v>
      </c>
      <c r="L131" s="8">
        <f>IFERROR(K131/K444, "NA")</f>
        <v>2.84707957486636E-2</v>
      </c>
      <c r="M131" s="9"/>
      <c r="N131" s="10">
        <f t="shared" si="29"/>
        <v>-2980.8500000000022</v>
      </c>
      <c r="O131" s="8">
        <f>IFERROR(N131/N444, "NA")</f>
        <v>-0.10128627469635548</v>
      </c>
      <c r="P131" s="9"/>
      <c r="Q131" s="7">
        <v>88748.57</v>
      </c>
      <c r="R131" s="8">
        <f>IFERROR(Q131/Q444, "NA")</f>
        <v>3.1067135021687627E-2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-88748.57</v>
      </c>
      <c r="X131" s="8">
        <f>IFERROR(W131/W444, "NA")</f>
        <v>-2.0901728029633402</v>
      </c>
      <c r="Y131" s="9"/>
      <c r="Z131" s="7">
        <v>76401.649999999994</v>
      </c>
      <c r="AA131" s="8">
        <f>IFERROR(Z131/Z444, "NA")</f>
        <v>3.0680408210399475E-2</v>
      </c>
      <c r="AB131" s="9"/>
      <c r="AC131" s="10">
        <f t="shared" si="31"/>
        <v>-12346.920000000013</v>
      </c>
      <c r="AD131" s="8">
        <f>IFERROR(AC131/AC444, "NA")</f>
        <v>-3.3695325963796437E-2</v>
      </c>
    </row>
    <row r="132" spans="1:30" ht="16.5" customHeight="1" x14ac:dyDescent="0.45">
      <c r="A132" s="12" t="s">
        <v>124</v>
      </c>
      <c r="B132" s="7">
        <v>29635.140000000003</v>
      </c>
      <c r="C132" s="8">
        <f>IFERROR(B132/B444, "NA")</f>
        <v>4.9882456548310229E-2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-29635.140000000003</v>
      </c>
      <c r="I132" s="8">
        <f>IFERROR(H132/H444, "NA")</f>
        <v>0.51394815937711114</v>
      </c>
      <c r="J132" s="9"/>
      <c r="K132" s="7">
        <v>19395.16</v>
      </c>
      <c r="L132" s="8">
        <f>IFERROR(K132/K444, "NA")</f>
        <v>3.4347808762470788E-2</v>
      </c>
      <c r="M132" s="9"/>
      <c r="N132" s="10">
        <f t="shared" si="29"/>
        <v>-10239.980000000003</v>
      </c>
      <c r="O132" s="8">
        <f>IFERROR(N132/N444, "NA")</f>
        <v>-0.34794418610972899</v>
      </c>
      <c r="P132" s="9"/>
      <c r="Q132" s="7">
        <v>116142.09</v>
      </c>
      <c r="R132" s="8">
        <f>IFERROR(Q132/Q444, "NA")</f>
        <v>4.0656452174170195E-2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-116142.09</v>
      </c>
      <c r="X132" s="8">
        <f>IFERROR(W132/W444, "NA")</f>
        <v>-2.7353346402913363</v>
      </c>
      <c r="Y132" s="9"/>
      <c r="Z132" s="7">
        <v>84507.41</v>
      </c>
      <c r="AA132" s="8">
        <f>IFERROR(Z132/Z444, "NA")</f>
        <v>3.3935416782276233E-2</v>
      </c>
      <c r="AB132" s="9"/>
      <c r="AC132" s="10">
        <f t="shared" si="31"/>
        <v>-31634.679999999993</v>
      </c>
      <c r="AD132" s="8">
        <f>IFERROR(AC132/AC444, "NA")</f>
        <v>-8.6332531057169773E-2</v>
      </c>
    </row>
    <row r="133" spans="1:30" ht="16.5" customHeight="1" x14ac:dyDescent="0.45">
      <c r="A133" s="12" t="s">
        <v>125</v>
      </c>
      <c r="B133" s="7">
        <v>14197.13</v>
      </c>
      <c r="C133" s="8">
        <f>IFERROR(B133/B444, "NA")</f>
        <v>2.389689133696387E-2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-14197.13</v>
      </c>
      <c r="I133" s="8">
        <f>IFERROR(H133/H444, "NA")</f>
        <v>0.24621408341372997</v>
      </c>
      <c r="J133" s="9"/>
      <c r="K133" s="7">
        <v>12039.03</v>
      </c>
      <c r="L133" s="8">
        <f>IFERROR(K133/K444, "NA")</f>
        <v>2.13204892419371E-2</v>
      </c>
      <c r="M133" s="9"/>
      <c r="N133" s="10">
        <f t="shared" si="29"/>
        <v>-2158.0999999999985</v>
      </c>
      <c r="O133" s="8">
        <f>IFERROR(N133/N444, "NA")</f>
        <v>-7.3330060023887297E-2</v>
      </c>
      <c r="P133" s="9"/>
      <c r="Q133" s="7">
        <v>66301.87</v>
      </c>
      <c r="R133" s="8">
        <f>IFERROR(Q133/Q444, "NA")</f>
        <v>2.3209491121720383E-2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-66301.87</v>
      </c>
      <c r="X133" s="8">
        <f>IFERROR(W133/W444, "NA")</f>
        <v>-1.5615166020095983</v>
      </c>
      <c r="Y133" s="9"/>
      <c r="Z133" s="7">
        <v>53316.85</v>
      </c>
      <c r="AA133" s="8">
        <f>IFERROR(Z133/Z444, "NA")</f>
        <v>2.1410306223656653E-2</v>
      </c>
      <c r="AB133" s="9"/>
      <c r="AC133" s="10">
        <f t="shared" si="31"/>
        <v>-12985.019999999997</v>
      </c>
      <c r="AD133" s="8">
        <f>IFERROR(AC133/AC444, "NA")</f>
        <v>-3.5436730905069075E-2</v>
      </c>
    </row>
    <row r="134" spans="1:30" ht="16.5" customHeight="1" x14ac:dyDescent="0.45">
      <c r="A134" s="12" t="s">
        <v>126</v>
      </c>
      <c r="B134" s="7">
        <v>5375.61</v>
      </c>
      <c r="C134" s="8">
        <f>IFERROR(B134/B444, "NA")</f>
        <v>9.0483335744545798E-3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-5375.61</v>
      </c>
      <c r="I134" s="8">
        <f>IFERROR(H134/H444, "NA")</f>
        <v>9.3226651368247024E-2</v>
      </c>
      <c r="J134" s="9"/>
      <c r="K134" s="7">
        <v>5832.9</v>
      </c>
      <c r="L134" s="8">
        <f>IFERROR(K134/K444, "NA")</f>
        <v>1.0329759266261059E-2</v>
      </c>
      <c r="M134" s="9"/>
      <c r="N134" s="10">
        <f t="shared" si="29"/>
        <v>457.28999999999996</v>
      </c>
      <c r="O134" s="8">
        <f>IFERROR(N134/N444, "NA")</f>
        <v>1.553825269835663E-2</v>
      </c>
      <c r="P134" s="9"/>
      <c r="Q134" s="7">
        <v>24486.420000000002</v>
      </c>
      <c r="R134" s="8">
        <f>IFERROR(Q134/Q444, "NA")</f>
        <v>8.571663930334341E-3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-24486.420000000002</v>
      </c>
      <c r="X134" s="8">
        <f>IFERROR(W134/W444, "NA")</f>
        <v>-0.57669491605259204</v>
      </c>
      <c r="Y134" s="9"/>
      <c r="Z134" s="7">
        <v>28970.640000000003</v>
      </c>
      <c r="AA134" s="8">
        <f>IFERROR(Z134/Z444, "NA")</f>
        <v>1.163366316455898E-2</v>
      </c>
      <c r="AB134" s="9"/>
      <c r="AC134" s="10">
        <f t="shared" si="31"/>
        <v>4484.2200000000012</v>
      </c>
      <c r="AD134" s="8">
        <f>IFERROR(AC134/AC444, "NA")</f>
        <v>1.2237647493737317E-2</v>
      </c>
    </row>
    <row r="135" spans="1:30" ht="16.5" customHeight="1" x14ac:dyDescent="0.45">
      <c r="A135" s="12" t="s">
        <v>127</v>
      </c>
      <c r="B135" s="7">
        <v>4621.51</v>
      </c>
      <c r="C135" s="8">
        <f>IFERROR(B135/B444, "NA")</f>
        <v>7.7790174692132785E-3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-4621.51</v>
      </c>
      <c r="I135" s="8">
        <f>IFERROR(H135/H444, "NA")</f>
        <v>8.0148653188171645E-2</v>
      </c>
      <c r="J135" s="9"/>
      <c r="K135" s="7">
        <v>4972.3100000000004</v>
      </c>
      <c r="L135" s="8">
        <f>IFERROR(K135/K444, "NA")</f>
        <v>8.8056996172097141E-3</v>
      </c>
      <c r="M135" s="9"/>
      <c r="N135" s="10">
        <f t="shared" si="29"/>
        <v>350.80000000000018</v>
      </c>
      <c r="O135" s="8">
        <f>IFERROR(N135/N444, "NA")</f>
        <v>1.1919829969130111E-2</v>
      </c>
      <c r="P135" s="9"/>
      <c r="Q135" s="7">
        <v>23876.06</v>
      </c>
      <c r="R135" s="8">
        <f>IFERROR(Q135/Q444, "NA")</f>
        <v>8.3580026112636523E-3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-23876.06</v>
      </c>
      <c r="X135" s="8">
        <f>IFERROR(W135/W444, "NA")</f>
        <v>-0.56231994784728234</v>
      </c>
      <c r="Y135" s="9"/>
      <c r="Z135" s="7">
        <v>22737.409999999996</v>
      </c>
      <c r="AA135" s="8">
        <f>IFERROR(Z135/Z444, "NA")</f>
        <v>9.1306015046431471E-3</v>
      </c>
      <c r="AB135" s="9"/>
      <c r="AC135" s="10">
        <f t="shared" si="31"/>
        <v>-1138.6500000000051</v>
      </c>
      <c r="AD135" s="8">
        <f>IFERROR(AC135/AC444, "NA")</f>
        <v>-3.1074294567938359E-3</v>
      </c>
    </row>
    <row r="136" spans="1:30" ht="16.5" customHeight="1" x14ac:dyDescent="0.45">
      <c r="A136" s="12" t="s">
        <v>128</v>
      </c>
      <c r="B136" s="7">
        <v>3886.76</v>
      </c>
      <c r="C136" s="8">
        <f>IFERROR(B136/B444, "NA")</f>
        <v>6.5422716684891743E-3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-3886.76</v>
      </c>
      <c r="I136" s="8">
        <f>IFERROR(H136/H444, "NA")</f>
        <v>6.7406232868836805E-2</v>
      </c>
      <c r="J136" s="9"/>
      <c r="K136" s="7">
        <v>5459.5599999999995</v>
      </c>
      <c r="L136" s="8">
        <f>IFERROR(K136/K444, "NA")</f>
        <v>9.6685937526287489E-3</v>
      </c>
      <c r="M136" s="9"/>
      <c r="N136" s="10">
        <f t="shared" si="29"/>
        <v>1572.7999999999993</v>
      </c>
      <c r="O136" s="8">
        <f>IFERROR(N136/N444, "NA")</f>
        <v>5.3442156714503482E-2</v>
      </c>
      <c r="P136" s="9"/>
      <c r="Q136" s="7">
        <v>24929.230000000003</v>
      </c>
      <c r="R136" s="8">
        <f>IFERROR(Q136/Q444, "NA")</f>
        <v>8.7266730539625123E-3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-24929.230000000003</v>
      </c>
      <c r="X136" s="8">
        <f>IFERROR(W136/W444, "NA")</f>
        <v>-0.58712380993651836</v>
      </c>
      <c r="Y136" s="9"/>
      <c r="Z136" s="7">
        <v>24547.89</v>
      </c>
      <c r="AA136" s="8">
        <f>IFERROR(Z136/Z444, "NA")</f>
        <v>9.8576311624681296E-3</v>
      </c>
      <c r="AB136" s="9"/>
      <c r="AC136" s="10">
        <f t="shared" si="31"/>
        <v>-381.34000000000378</v>
      </c>
      <c r="AD136" s="8">
        <f>IFERROR(AC136/AC444, "NA")</f>
        <v>-1.0406948132031509E-3</v>
      </c>
    </row>
    <row r="137" spans="1:30" ht="16.5" customHeight="1" x14ac:dyDescent="0.45">
      <c r="A137" s="12" t="s">
        <v>129</v>
      </c>
      <c r="B137" s="7">
        <v>3333.5099999999998</v>
      </c>
      <c r="C137" s="8">
        <f>IFERROR(B137/B444, "NA")</f>
        <v>5.6110302744767733E-3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-3333.5099999999998</v>
      </c>
      <c r="I137" s="8">
        <f>IFERROR(H137/H444, "NA")</f>
        <v>5.7811480855673149E-2</v>
      </c>
      <c r="J137" s="9"/>
      <c r="K137" s="7">
        <v>2501.6399999999994</v>
      </c>
      <c r="L137" s="8">
        <f>IFERROR(K137/K444, "NA")</f>
        <v>4.4302729295632214E-3</v>
      </c>
      <c r="M137" s="9"/>
      <c r="N137" s="10">
        <f t="shared" si="29"/>
        <v>-831.87000000000035</v>
      </c>
      <c r="O137" s="8">
        <f>IFERROR(N137/N444, "NA")</f>
        <v>-2.8266103068472818E-2</v>
      </c>
      <c r="P137" s="9"/>
      <c r="Q137" s="7">
        <v>15138.03</v>
      </c>
      <c r="R137" s="8">
        <f>IFERROR(Q137/Q444, "NA")</f>
        <v>5.2991864767213482E-3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-15138.03</v>
      </c>
      <c r="X137" s="8">
        <f>IFERROR(W137/W444, "NA")</f>
        <v>-0.35652516537948875</v>
      </c>
      <c r="Y137" s="9"/>
      <c r="Z137" s="7">
        <v>12881.66</v>
      </c>
      <c r="AA137" s="8">
        <f>IFERROR(Z137/Z444, "NA")</f>
        <v>5.1728540840096328E-3</v>
      </c>
      <c r="AB137" s="9"/>
      <c r="AC137" s="10">
        <f t="shared" si="31"/>
        <v>-2256.3700000000008</v>
      </c>
      <c r="AD137" s="8">
        <f>IFERROR(AC137/AC444, "NA")</f>
        <v>-6.1577399582188365E-3</v>
      </c>
    </row>
    <row r="138" spans="1:30" ht="16.5" customHeight="1" x14ac:dyDescent="0.45">
      <c r="A138" s="12" t="s">
        <v>130</v>
      </c>
      <c r="B138" s="7">
        <v>37168.660000000003</v>
      </c>
      <c r="C138" s="8">
        <f>IFERROR(B138/B444, "NA")</f>
        <v>6.2563027116083011E-2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-37168.660000000003</v>
      </c>
      <c r="I138" s="8">
        <f>IFERROR(H138/H444, "NA")</f>
        <v>0.64459841909009563</v>
      </c>
      <c r="J138" s="9"/>
      <c r="K138" s="7">
        <v>28425.38</v>
      </c>
      <c r="L138" s="8">
        <f>IFERROR(K138/K444, "NA")</f>
        <v>5.0339853666613837E-2</v>
      </c>
      <c r="M138" s="9"/>
      <c r="N138" s="10">
        <f t="shared" si="29"/>
        <v>-8743.2800000000025</v>
      </c>
      <c r="O138" s="8">
        <f>IFERROR(N138/N444, "NA")</f>
        <v>-0.29708783059434407</v>
      </c>
      <c r="P138" s="9"/>
      <c r="Q138" s="7">
        <v>166370.04999999999</v>
      </c>
      <c r="R138" s="8">
        <f>IFERROR(Q138/Q444, "NA")</f>
        <v>5.8239144663569463E-2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-166370.04999999999</v>
      </c>
      <c r="X138" s="8">
        <f>IFERROR(W138/W444, "NA")</f>
        <v>-3.9182845846152903</v>
      </c>
      <c r="Y138" s="9"/>
      <c r="Z138" s="7">
        <v>126746.75</v>
      </c>
      <c r="AA138" s="8">
        <f>IFERROR(Z138/Z444, "NA")</f>
        <v>5.0897356658415757E-2</v>
      </c>
      <c r="AB138" s="9"/>
      <c r="AC138" s="10">
        <f t="shared" si="31"/>
        <v>-39623.299999999988</v>
      </c>
      <c r="AD138" s="8">
        <f>IFERROR(AC138/AC444, "NA")</f>
        <v>-0.10813385113544866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76.610000000000014</v>
      </c>
      <c r="L140" s="8">
        <f>IFERROR(K140/K444, "NA")</f>
        <v>1.356722826361261E-4</v>
      </c>
      <c r="M140" s="9"/>
      <c r="N140" s="10">
        <f t="shared" si="29"/>
        <v>76.610000000000014</v>
      </c>
      <c r="O140" s="8">
        <f>IFERROR(N140/N444, "NA")</f>
        <v>2.6031304844214868E-3</v>
      </c>
      <c r="P140" s="9"/>
      <c r="Q140" s="7">
        <v>71.56</v>
      </c>
      <c r="R140" s="8">
        <f>IFERROR(Q140/Q444, "NA")</f>
        <v>2.5050140888489432E-5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-71.56</v>
      </c>
      <c r="X140" s="8">
        <f>IFERROR(W140/W444, "NA")</f>
        <v>-1.6853540939313909E-3</v>
      </c>
      <c r="Y140" s="9"/>
      <c r="Z140" s="7">
        <v>194.94</v>
      </c>
      <c r="AA140" s="8">
        <f>IFERROR(Z140/Z444, "NA")</f>
        <v>7.8281539424021271E-5</v>
      </c>
      <c r="AB140" s="9"/>
      <c r="AC140" s="10">
        <f t="shared" si="31"/>
        <v>123.38</v>
      </c>
      <c r="AD140" s="8">
        <f>IFERROR(AC140/AC444, "NA")</f>
        <v>3.367098286384945E-4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148946.6</v>
      </c>
      <c r="C141" s="15">
        <f>IFERROR(B141/B444, "NA")</f>
        <v>0.25070987694063684</v>
      </c>
      <c r="D141" s="2"/>
      <c r="E141" s="14">
        <f>IFERROR(E129+E130+E131+E132+E133+E134+E135+E136+E137+E138+E139+E140, "NA")</f>
        <v>148769.57</v>
      </c>
      <c r="F141" s="15">
        <f>IFERROR(E141/E444, "NA")</f>
        <v>0.2282577952863041</v>
      </c>
      <c r="G141" s="2"/>
      <c r="H141" s="14">
        <f t="shared" si="28"/>
        <v>-177.02999999999884</v>
      </c>
      <c r="I141" s="15">
        <f>IFERROR(H141/H444, "NA")</f>
        <v>3.0701472189613205E-3</v>
      </c>
      <c r="J141" s="2"/>
      <c r="K141" s="14">
        <f>IFERROR(K129+K130+K131+K132+K133+K134+K135+K136+K137+K138+K139+K140, "NA")</f>
        <v>129777.61</v>
      </c>
      <c r="L141" s="15">
        <f>IFERROR(K141/K444, "NA")</f>
        <v>0.22982932494140379</v>
      </c>
      <c r="M141" s="2"/>
      <c r="N141" s="14">
        <f t="shared" si="29"/>
        <v>-19168.990000000005</v>
      </c>
      <c r="O141" s="15">
        <f>IFERROR(N141/N444, "NA")</f>
        <v>-0.6513429346634988</v>
      </c>
      <c r="P141" s="2"/>
      <c r="Q141" s="14">
        <f>IFERROR(Q129+Q130+Q131+Q132+Q133+Q134+Q135+Q136+Q137+Q138+Q139+Q140, "NA")</f>
        <v>686715.15000000014</v>
      </c>
      <c r="R141" s="15">
        <f>IFERROR(Q141/Q444, "NA")</f>
        <v>0.24039003993516148</v>
      </c>
      <c r="S141" s="2"/>
      <c r="T141" s="14">
        <f>IFERROR(T129+T130+T131+T132+T133+T134+T135+T136+T137+T138+T139+T140, "NA")</f>
        <v>661967.35999999999</v>
      </c>
      <c r="U141" s="15">
        <f>IFERROR(T141/T444, "NA")</f>
        <v>0.23522310327133156</v>
      </c>
      <c r="V141" s="2"/>
      <c r="W141" s="14">
        <f t="shared" si="30"/>
        <v>-24747.790000000154</v>
      </c>
      <c r="X141" s="15">
        <f>IFERROR(W141/W444, "NA")</f>
        <v>-0.58285060358097529</v>
      </c>
      <c r="Y141" s="2"/>
      <c r="Z141" s="14">
        <f>IFERROR(Z129+Z130+Z131+Z132+Z133+Z134+Z135+Z136+Z137+Z138+Z139+Z140, "NA")</f>
        <v>587400.96999999986</v>
      </c>
      <c r="AA141" s="15">
        <f>IFERROR(Z141/Z444, "NA")</f>
        <v>0.23588105155824007</v>
      </c>
      <c r="AB141" s="2"/>
      <c r="AC141" s="14">
        <f t="shared" si="31"/>
        <v>-99314.180000000284</v>
      </c>
      <c r="AD141" s="15">
        <f>IFERROR(AC141/AC444, "NA")</f>
        <v>-0.27103307285761624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8898.1</v>
      </c>
      <c r="C144" s="8">
        <f>IFERROR(B144/B444, "NA")</f>
        <v>1.4977458740283299E-2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-8898.1</v>
      </c>
      <c r="I144" s="8">
        <f>IFERROR(H144/H444, "NA")</f>
        <v>0.15431552261786086</v>
      </c>
      <c r="J144" s="9"/>
      <c r="K144" s="7">
        <v>6429.9400000000005</v>
      </c>
      <c r="L144" s="8">
        <f>IFERROR(K144/K444, "NA")</f>
        <v>1.1387085720053943E-2</v>
      </c>
      <c r="M144" s="9"/>
      <c r="N144" s="10">
        <f t="shared" si="33"/>
        <v>-2468.16</v>
      </c>
      <c r="O144" s="8">
        <f>IFERROR(N144/N444, "NA")</f>
        <v>-8.3865585908233065E-2</v>
      </c>
      <c r="P144" s="9"/>
      <c r="Q144" s="7">
        <v>36050.36</v>
      </c>
      <c r="R144" s="8">
        <f>IFERROR(Q144/Q444, "NA")</f>
        <v>1.2619712088887141E-2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-36050.36</v>
      </c>
      <c r="X144" s="8">
        <f>IFERROR(W144/W444, "NA")</f>
        <v>-0.84904446357882135</v>
      </c>
      <c r="Y144" s="9"/>
      <c r="Z144" s="7">
        <v>25647.799999999996</v>
      </c>
      <c r="AA144" s="8">
        <f>IFERROR(Z144/Z444, "NA")</f>
        <v>1.0299319107619843E-2</v>
      </c>
      <c r="AB144" s="9"/>
      <c r="AC144" s="10">
        <f t="shared" si="35"/>
        <v>-10402.560000000005</v>
      </c>
      <c r="AD144" s="8">
        <f>IFERROR(AC144/AC444, "NA")</f>
        <v>-2.8389075984775969E-2</v>
      </c>
    </row>
    <row r="145" spans="1:30" ht="16.5" customHeight="1" x14ac:dyDescent="0.45">
      <c r="A145" s="12" t="s">
        <v>136</v>
      </c>
      <c r="B145" s="7">
        <v>1804.92</v>
      </c>
      <c r="C145" s="8">
        <f>IFERROR(B145/B444, "NA")</f>
        <v>3.0380772108104127E-3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-1804.92</v>
      </c>
      <c r="I145" s="8">
        <f>IFERROR(H145/H444, "NA")</f>
        <v>3.1301870408674819E-2</v>
      </c>
      <c r="J145" s="9"/>
      <c r="K145" s="7">
        <v>689.32</v>
      </c>
      <c r="L145" s="8">
        <f>IFERROR(K145/K444, "NA")</f>
        <v>1.2207494826619819E-3</v>
      </c>
      <c r="M145" s="9"/>
      <c r="N145" s="10">
        <f t="shared" si="33"/>
        <v>-1115.5999999999999</v>
      </c>
      <c r="O145" s="8">
        <f>IFERROR(N145/N444, "NA")</f>
        <v>-3.7906962125317974E-2</v>
      </c>
      <c r="P145" s="9"/>
      <c r="Q145" s="7">
        <v>1937.98</v>
      </c>
      <c r="R145" s="8">
        <f>IFERROR(Q145/Q444, "NA")</f>
        <v>6.7840514308377235E-4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-1937.98</v>
      </c>
      <c r="X145" s="8">
        <f>IFERROR(W145/W444, "NA")</f>
        <v>-4.5642573043001074E-2</v>
      </c>
      <c r="Y145" s="9"/>
      <c r="Z145" s="7">
        <v>2106.87</v>
      </c>
      <c r="AA145" s="8">
        <f>IFERROR(Z145/Z444, "NA")</f>
        <v>8.4605020501840405E-4</v>
      </c>
      <c r="AB145" s="9"/>
      <c r="AC145" s="10">
        <f t="shared" si="35"/>
        <v>168.88999999999987</v>
      </c>
      <c r="AD145" s="8">
        <f>IFERROR(AC145/AC444, "NA")</f>
        <v>4.6090876121539383E-4</v>
      </c>
    </row>
    <row r="146" spans="1:30" ht="16.5" customHeight="1" x14ac:dyDescent="0.45">
      <c r="A146" s="12" t="s">
        <v>137</v>
      </c>
      <c r="B146" s="7">
        <v>783.43999999999994</v>
      </c>
      <c r="C146" s="8">
        <f>IFERROR(B146/B444, "NA")</f>
        <v>1.3187017762766823E-3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-783.43999999999994</v>
      </c>
      <c r="I146" s="8">
        <f>IFERROR(H146/H444, "NA")</f>
        <v>1.3586827866593642E-2</v>
      </c>
      <c r="J146" s="9"/>
      <c r="K146" s="7">
        <v>4266.47</v>
      </c>
      <c r="L146" s="8">
        <f>IFERROR(K146/K444, "NA")</f>
        <v>7.5556940829989939E-3</v>
      </c>
      <c r="M146" s="9"/>
      <c r="N146" s="10">
        <f t="shared" si="33"/>
        <v>3483.03</v>
      </c>
      <c r="O146" s="8">
        <f>IFERROR(N146/N444, "NA")</f>
        <v>0.1183498442912749</v>
      </c>
      <c r="P146" s="9"/>
      <c r="Q146" s="7">
        <v>2867.3</v>
      </c>
      <c r="R146" s="8">
        <f>IFERROR(Q146/Q444, "NA")</f>
        <v>1.0037209190828082E-3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-2867.3</v>
      </c>
      <c r="X146" s="8">
        <f>IFERROR(W146/W444, "NA")</f>
        <v>-6.75295667066724E-2</v>
      </c>
      <c r="Y146" s="9"/>
      <c r="Z146" s="7">
        <v>8914.89</v>
      </c>
      <c r="AA146" s="8">
        <f>IFERROR(Z146/Z444, "NA")</f>
        <v>3.5799287626747354E-3</v>
      </c>
      <c r="AB146" s="9"/>
      <c r="AC146" s="10">
        <f t="shared" si="35"/>
        <v>6047.5899999999992</v>
      </c>
      <c r="AD146" s="8">
        <f>IFERROR(AC146/AC444, "NA")</f>
        <v>1.6504157826032363E-2</v>
      </c>
    </row>
    <row r="147" spans="1:30" ht="16.5" customHeight="1" x14ac:dyDescent="0.45">
      <c r="A147" s="12" t="s">
        <v>138</v>
      </c>
      <c r="B147" s="7">
        <v>-35.83</v>
      </c>
      <c r="C147" s="8">
        <f>IFERROR(B147/B444, "NA")</f>
        <v>-6.0309768002646696E-5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35.83</v>
      </c>
      <c r="I147" s="8">
        <f>IFERROR(H147/H444, "NA")</f>
        <v>-6.2138267443588558E-4</v>
      </c>
      <c r="J147" s="9"/>
      <c r="K147" s="7">
        <v>-129.08000000000004</v>
      </c>
      <c r="L147" s="8">
        <f>IFERROR(K147/K444, "NA")</f>
        <v>-2.2859389430454459E-4</v>
      </c>
      <c r="M147" s="9"/>
      <c r="N147" s="10">
        <f t="shared" si="33"/>
        <v>-93.250000000000043</v>
      </c>
      <c r="O147" s="8">
        <f>IFERROR(N147/N444, "NA")</f>
        <v>-3.1685408911669979E-3</v>
      </c>
      <c r="P147" s="9"/>
      <c r="Q147" s="7">
        <v>506.59000000000003</v>
      </c>
      <c r="R147" s="8">
        <f>IFERROR(Q147/Q444, "NA")</f>
        <v>1.7733581431945026E-4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-506.59000000000003</v>
      </c>
      <c r="X147" s="8">
        <f>IFERROR(W147/W444, "NA")</f>
        <v>-1.1931016356130567E-2</v>
      </c>
      <c r="Y147" s="9"/>
      <c r="Z147" s="7">
        <v>80.36</v>
      </c>
      <c r="AA147" s="8">
        <f>IFERROR(Z147/Z444, "NA")</f>
        <v>3.2269952334638089E-5</v>
      </c>
      <c r="AB147" s="9"/>
      <c r="AC147" s="10">
        <f t="shared" si="35"/>
        <v>-426.23</v>
      </c>
      <c r="AD147" s="8">
        <f>IFERROR(AC147/AC444, "NA")</f>
        <v>-1.1632017365909022E-3</v>
      </c>
    </row>
    <row r="148" spans="1:30" ht="16.5" customHeight="1" x14ac:dyDescent="0.45">
      <c r="A148" s="13" t="s">
        <v>139</v>
      </c>
      <c r="B148" s="14">
        <f>IFERROR(B143+B144+B145+B146+B147, "NA")</f>
        <v>11450.630000000001</v>
      </c>
      <c r="C148" s="15">
        <f>IFERROR(B148/B444, "NA")</f>
        <v>1.9273927959367748E-2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-11450.630000000001</v>
      </c>
      <c r="I148" s="15">
        <f>IFERROR(H148/H444, "NA")</f>
        <v>0.19858283821869344</v>
      </c>
      <c r="J148" s="2"/>
      <c r="K148" s="14">
        <f>IFERROR(K143+K144+K145+K146+K147, "NA")</f>
        <v>11256.65</v>
      </c>
      <c r="L148" s="15">
        <f>IFERROR(K148/K444, "NA")</f>
        <v>1.9934935391410374E-2</v>
      </c>
      <c r="M148" s="2"/>
      <c r="N148" s="14">
        <f t="shared" si="33"/>
        <v>-193.98000000000138</v>
      </c>
      <c r="O148" s="15">
        <f>IFERROR(N148/N444, "NA")</f>
        <v>-6.5912446334431994E-3</v>
      </c>
      <c r="P148" s="2"/>
      <c r="Q148" s="14">
        <f>IFERROR(Q143+Q144+Q145+Q146+Q147, "NA")</f>
        <v>41362.230000000003</v>
      </c>
      <c r="R148" s="15">
        <f>IFERROR(Q148/Q444, "NA")</f>
        <v>1.4479173965373173E-2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-41362.230000000003</v>
      </c>
      <c r="X148" s="15">
        <f>IFERROR(W148/W444, "NA")</f>
        <v>-0.97414761968462549</v>
      </c>
      <c r="Y148" s="2"/>
      <c r="Z148" s="14">
        <f>IFERROR(Z143+Z144+Z145+Z146+Z147, "NA")</f>
        <v>36749.919999999998</v>
      </c>
      <c r="AA148" s="15">
        <f>IFERROR(Z148/Z444, "NA")</f>
        <v>1.4757568027647622E-2</v>
      </c>
      <c r="AB148" s="2"/>
      <c r="AC148" s="14">
        <f t="shared" si="35"/>
        <v>-4612.3100000000049</v>
      </c>
      <c r="AD148" s="15">
        <f>IFERROR(AC148/AC444, "NA")</f>
        <v>-1.2587211134119113E-2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160397.23000000004</v>
      </c>
      <c r="C149" s="15">
        <f>IFERROR(B149/B444, "NA")</f>
        <v>0.26998380490000462</v>
      </c>
      <c r="D149" s="2"/>
      <c r="E149" s="14">
        <f>IFERROR(E127+E129+E130+E131+E132+E133+E134+E135+E136+E137+E138+E139+E140+E143+E144+E145+E146+E147, "NA")</f>
        <v>148769.57</v>
      </c>
      <c r="F149" s="15">
        <f>IFERROR(E149/E444, "NA")</f>
        <v>0.2282577952863041</v>
      </c>
      <c r="G149" s="2"/>
      <c r="H149" s="14">
        <f t="shared" si="32"/>
        <v>-11627.660000000033</v>
      </c>
      <c r="I149" s="15">
        <f>IFERROR(H149/H444, "NA")</f>
        <v>0.20165298543765531</v>
      </c>
      <c r="J149" s="2"/>
      <c r="K149" s="14">
        <f>IFERROR(K127+K129+K130+K131+K132+K133+K134+K135+K136+K137+K138+K139+K140+K143+K144+K145+K146+K147, "NA")</f>
        <v>141034.26</v>
      </c>
      <c r="L149" s="15">
        <f>IFERROR(K149/K444, "NA")</f>
        <v>0.24976426033281418</v>
      </c>
      <c r="M149" s="2"/>
      <c r="N149" s="14">
        <f t="shared" si="33"/>
        <v>-19362.97000000003</v>
      </c>
      <c r="O149" s="15">
        <f>IFERROR(N149/N444, "NA")</f>
        <v>-0.65793417929694276</v>
      </c>
      <c r="P149" s="2"/>
      <c r="Q149" s="14">
        <f>IFERROR(Q127+Q129+Q130+Q131+Q132+Q133+Q134+Q135+Q136+Q137+Q138+Q139+Q140+Q143+Q144+Q145+Q146+Q147, "NA")</f>
        <v>728077.38000000012</v>
      </c>
      <c r="R149" s="15">
        <f>IFERROR(Q149/Q444, "NA")</f>
        <v>0.25486921390053463</v>
      </c>
      <c r="S149" s="2"/>
      <c r="T149" s="14">
        <f>IFERROR(T127+T129+T130+T131+T132+T133+T134+T135+T136+T137+T138+T139+T140+T143+T144+T145+T146+T147, "NA")</f>
        <v>661967.35999999999</v>
      </c>
      <c r="U149" s="15">
        <f>IFERROR(T149/T444, "NA")</f>
        <v>0.23522310327133156</v>
      </c>
      <c r="V149" s="2"/>
      <c r="W149" s="14">
        <f t="shared" si="34"/>
        <v>-66110.020000000135</v>
      </c>
      <c r="X149" s="15">
        <f>IFERROR(W149/W444, "NA")</f>
        <v>-1.5569982232656003</v>
      </c>
      <c r="Y149" s="2"/>
      <c r="Z149" s="14">
        <f>IFERROR(Z127+Z129+Z130+Z131+Z132+Z133+Z134+Z135+Z136+Z137+Z138+Z139+Z140+Z143+Z144+Z145+Z146+Z147, "NA")</f>
        <v>624150.8899999999</v>
      </c>
      <c r="AA149" s="15">
        <f>IFERROR(Z149/Z444, "NA")</f>
        <v>0.25063861958588773</v>
      </c>
      <c r="AB149" s="2"/>
      <c r="AC149" s="14">
        <f t="shared" si="35"/>
        <v>-103926.49000000022</v>
      </c>
      <c r="AD149" s="15">
        <f>IFERROR(AC149/AC444, "NA")</f>
        <v>-0.28362028399173517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10764.1</v>
      </c>
      <c r="F153" s="8">
        <f>IFERROR(E153/E444, "NA")</f>
        <v>1.6515405228645252E-2</v>
      </c>
      <c r="G153" s="9"/>
      <c r="H153" s="10">
        <f t="shared" ref="H153:H158" si="36">IFERROR(-(B153-E153), "NA")</f>
        <v>10764.1</v>
      </c>
      <c r="I153" s="8">
        <f>IFERROR(H153/H444, "NA")</f>
        <v>-0.18667667445981906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51390.93</v>
      </c>
      <c r="U153" s="8">
        <f>IFERROR(T153/T444, "NA")</f>
        <v>1.8261223687221936E-2</v>
      </c>
      <c r="V153" s="9"/>
      <c r="W153" s="10">
        <f t="shared" ref="W153:W158" si="38">IFERROR(-(Q153-T153), "NA")</f>
        <v>51390.93</v>
      </c>
      <c r="X153" s="8">
        <f>IFERROR(W153/W444, "NA")</f>
        <v>1.2103397745450186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18753.7</v>
      </c>
      <c r="C154" s="8">
        <f>IFERROR(B154/B444, "NA")</f>
        <v>3.1566600507709611E-2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-18753.7</v>
      </c>
      <c r="I154" s="8">
        <f>IFERROR(H154/H444, "NA")</f>
        <v>0.32523651302172113</v>
      </c>
      <c r="J154" s="9"/>
      <c r="K154" s="7">
        <v>16704.22</v>
      </c>
      <c r="L154" s="8">
        <f>IFERROR(K154/K444, "NA")</f>
        <v>2.9582295484349697E-2</v>
      </c>
      <c r="M154" s="9"/>
      <c r="N154" s="10">
        <f t="shared" si="37"/>
        <v>-2049.4799999999996</v>
      </c>
      <c r="O154" s="8">
        <f>IFERROR(N154/N444, "NA")</f>
        <v>-6.9639262044278116E-2</v>
      </c>
      <c r="P154" s="9"/>
      <c r="Q154" s="7">
        <v>90631.82</v>
      </c>
      <c r="R154" s="8">
        <f>IFERROR(Q154/Q444, "NA")</f>
        <v>3.172638149776711E-2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-90631.82</v>
      </c>
      <c r="X154" s="8">
        <f>IFERROR(W154/W444, "NA")</f>
        <v>-2.134526395716223</v>
      </c>
      <c r="Y154" s="9"/>
      <c r="Z154" s="7">
        <v>83901.98</v>
      </c>
      <c r="AA154" s="8">
        <f>IFERROR(Z154/Z444, "NA")</f>
        <v>3.3692295860897933E-2</v>
      </c>
      <c r="AB154" s="9"/>
      <c r="AC154" s="10">
        <f t="shared" si="39"/>
        <v>-6729.8400000000111</v>
      </c>
      <c r="AD154" s="8">
        <f>IFERROR(AC154/AC444, "NA")</f>
        <v>-1.8366050195854185E-2</v>
      </c>
    </row>
    <row r="155" spans="1:30" ht="16.5" customHeight="1" x14ac:dyDescent="0.45">
      <c r="A155" s="12" t="s">
        <v>144</v>
      </c>
      <c r="B155" s="7">
        <v>6326.26</v>
      </c>
      <c r="C155" s="8">
        <f>IFERROR(B155/B444, "NA")</f>
        <v>1.064848654547652E-2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-6326.26</v>
      </c>
      <c r="I155" s="8">
        <f>IFERROR(H155/H444, "NA")</f>
        <v>0.10971332285729182</v>
      </c>
      <c r="J155" s="9"/>
      <c r="K155" s="7">
        <v>7922.73</v>
      </c>
      <c r="L155" s="8">
        <f>IFERROR(K155/K444, "NA")</f>
        <v>1.4030738334547908E-2</v>
      </c>
      <c r="M155" s="9"/>
      <c r="N155" s="10">
        <f t="shared" si="37"/>
        <v>1596.4699999999993</v>
      </c>
      <c r="O155" s="8">
        <f>IFERROR(N155/N444, "NA")</f>
        <v>5.424643942650266E-2</v>
      </c>
      <c r="P155" s="9"/>
      <c r="Q155" s="7">
        <v>32289.9</v>
      </c>
      <c r="R155" s="8">
        <f>IFERROR(Q155/Q444, "NA")</f>
        <v>1.1303333486238609E-2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-32289.9</v>
      </c>
      <c r="X155" s="8">
        <f>IFERROR(W155/W444, "NA")</f>
        <v>-0.76047952987192868</v>
      </c>
      <c r="Y155" s="9"/>
      <c r="Z155" s="7">
        <v>32476.94</v>
      </c>
      <c r="AA155" s="8">
        <f>IFERROR(Z155/Z444, "NA")</f>
        <v>1.3041678767731471E-2</v>
      </c>
      <c r="AB155" s="9"/>
      <c r="AC155" s="10">
        <f t="shared" si="39"/>
        <v>187.03999999999724</v>
      </c>
      <c r="AD155" s="8">
        <f>IFERROR(AC155/AC444, "NA")</f>
        <v>5.1044096570386673E-4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-76.789999999999992</v>
      </c>
      <c r="L156" s="8">
        <f>IFERROR(K156/K444, "NA")</f>
        <v>-1.3599105317358207E-4</v>
      </c>
      <c r="M156" s="9"/>
      <c r="N156" s="10">
        <f t="shared" si="37"/>
        <v>-76.789999999999992</v>
      </c>
      <c r="O156" s="8">
        <f>IFERROR(N156/N444, "NA")</f>
        <v>-2.6092467027636849E-3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283.46999999999997</v>
      </c>
      <c r="AA156" s="8">
        <f>IFERROR(Z156/Z444, "NA")</f>
        <v>1.1383229701717095E-4</v>
      </c>
      <c r="AB156" s="9"/>
      <c r="AC156" s="10">
        <f t="shared" si="39"/>
        <v>283.46999999999997</v>
      </c>
      <c r="AD156" s="8">
        <f>IFERROR(AC156/AC444, "NA")</f>
        <v>7.7360297555644376E-4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25079.96</v>
      </c>
      <c r="C158" s="15">
        <f>IFERROR(B158/B444, "NA")</f>
        <v>4.2215087053186127E-2</v>
      </c>
      <c r="D158" s="2"/>
      <c r="E158" s="14">
        <f>IFERROR(E153+E154+E155+E156+E157, "NA")</f>
        <v>10764.1</v>
      </c>
      <c r="F158" s="15">
        <f>IFERROR(E158/E444, "NA")</f>
        <v>1.6515405228645252E-2</v>
      </c>
      <c r="G158" s="2"/>
      <c r="H158" s="14">
        <f t="shared" si="36"/>
        <v>-14315.859999999999</v>
      </c>
      <c r="I158" s="15">
        <f>IFERROR(H158/H444, "NA")</f>
        <v>0.24827316141919389</v>
      </c>
      <c r="J158" s="2"/>
      <c r="K158" s="14">
        <f>IFERROR(K153+K154+K155+K156+K157, "NA")</f>
        <v>24550.16</v>
      </c>
      <c r="L158" s="15">
        <f>IFERROR(K158/K444, "NA")</f>
        <v>4.3477042765724019E-2</v>
      </c>
      <c r="M158" s="2"/>
      <c r="N158" s="14">
        <f t="shared" si="37"/>
        <v>-529.79999999999927</v>
      </c>
      <c r="O158" s="15">
        <f>IFERROR(N158/N444, "NA")</f>
        <v>-1.8002069320539115E-2</v>
      </c>
      <c r="P158" s="2"/>
      <c r="Q158" s="14">
        <f>IFERROR(Q153+Q154+Q155+Q156+Q157, "NA")</f>
        <v>122921.72</v>
      </c>
      <c r="R158" s="15">
        <f>IFERROR(Q158/Q444, "NA")</f>
        <v>4.3029714984005714E-2</v>
      </c>
      <c r="S158" s="2"/>
      <c r="T158" s="14">
        <f>IFERROR(T153+T154+T155+T156+T157, "NA")</f>
        <v>51390.93</v>
      </c>
      <c r="U158" s="15">
        <f>IFERROR(T158/T444, "NA")</f>
        <v>1.8261223687221936E-2</v>
      </c>
      <c r="V158" s="2"/>
      <c r="W158" s="14">
        <f t="shared" si="38"/>
        <v>-71530.790000000008</v>
      </c>
      <c r="X158" s="15">
        <f>IFERROR(W158/W444, "NA")</f>
        <v>-1.6846661510431331</v>
      </c>
      <c r="Y158" s="2"/>
      <c r="Z158" s="14">
        <f>IFERROR(Z153+Z154+Z155+Z156+Z157, "NA")</f>
        <v>116662.39</v>
      </c>
      <c r="AA158" s="15">
        <f>IFERROR(Z158/Z444, "NA")</f>
        <v>4.6847806925646579E-2</v>
      </c>
      <c r="AB158" s="2"/>
      <c r="AC158" s="14">
        <f t="shared" si="39"/>
        <v>-6259.3300000000017</v>
      </c>
      <c r="AD158" s="15">
        <f>IFERROR(AC158/AC444, "NA")</f>
        <v>-1.7082006254593843E-2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1938.8500000000001</v>
      </c>
      <c r="C161" s="8">
        <f>IFERROR(B161/B444, "NA")</f>
        <v>3.2635108482258319E-3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-1938.8500000000001</v>
      </c>
      <c r="I161" s="8">
        <f>IFERROR(H161/H444, "NA")</f>
        <v>3.3624554795702401E-2</v>
      </c>
      <c r="J161" s="9"/>
      <c r="K161" s="7">
        <v>1561.6100000000001</v>
      </c>
      <c r="L161" s="8">
        <f>IFERROR(K161/K444, "NA")</f>
        <v>2.7655292166479687E-3</v>
      </c>
      <c r="M161" s="9"/>
      <c r="N161" s="10">
        <f t="shared" si="41"/>
        <v>-377.24</v>
      </c>
      <c r="O161" s="8">
        <f>IFERROR(N161/N444, "NA")</f>
        <v>-1.2818234485617563E-2</v>
      </c>
      <c r="P161" s="9"/>
      <c r="Q161" s="7">
        <v>7953.17</v>
      </c>
      <c r="R161" s="8">
        <f>IFERROR(Q161/Q444, "NA")</f>
        <v>2.7840697178606413E-3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-7953.17</v>
      </c>
      <c r="X161" s="8">
        <f>IFERROR(W161/W444, "NA")</f>
        <v>-0.18731005616590721</v>
      </c>
      <c r="Y161" s="9"/>
      <c r="Z161" s="7">
        <v>8475.7899999999991</v>
      </c>
      <c r="AA161" s="8">
        <f>IFERROR(Z161/Z444, "NA")</f>
        <v>3.4036005388054023E-3</v>
      </c>
      <c r="AB161" s="9"/>
      <c r="AC161" s="10">
        <f t="shared" si="43"/>
        <v>522.61999999999898</v>
      </c>
      <c r="AD161" s="8">
        <f>IFERROR(AC161/AC444, "NA")</f>
        <v>1.4262545845602987E-3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2.72</v>
      </c>
      <c r="L162" s="8">
        <f>IFERROR(K162/K444, "NA")</f>
        <v>4.8169770104459341E-6</v>
      </c>
      <c r="M162" s="9"/>
      <c r="N162" s="10">
        <f t="shared" si="41"/>
        <v>2.72</v>
      </c>
      <c r="O162" s="8">
        <f>IFERROR(N162/N444, "NA")</f>
        <v>9.2422854948785314E-5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1.0922631950001943E-6</v>
      </c>
      <c r="AB162" s="9"/>
      <c r="AC162" s="10">
        <f t="shared" si="43"/>
        <v>2.72</v>
      </c>
      <c r="AD162" s="8">
        <f>IFERROR(AC162/AC444, "NA")</f>
        <v>7.4230080555738784E-6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1938.8500000000001</v>
      </c>
      <c r="C166" s="15">
        <f>IFERROR(B166/B444, "NA")</f>
        <v>3.2635108482258319E-3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-1938.8500000000001</v>
      </c>
      <c r="I166" s="15">
        <f>IFERROR(H166/H444, "NA")</f>
        <v>3.3624554795702401E-2</v>
      </c>
      <c r="J166" s="2"/>
      <c r="K166" s="14">
        <f>IFERROR(K160+K161+K162+K163+K164+K165, "NA")</f>
        <v>1564.3300000000002</v>
      </c>
      <c r="L166" s="15">
        <f>IFERROR(K166/K444, "NA")</f>
        <v>2.7703461936584147E-3</v>
      </c>
      <c r="M166" s="2"/>
      <c r="N166" s="14">
        <f t="shared" si="41"/>
        <v>-374.52</v>
      </c>
      <c r="O166" s="15">
        <f>IFERROR(N166/N444, "NA")</f>
        <v>-1.2725811630668778E-2</v>
      </c>
      <c r="P166" s="2"/>
      <c r="Q166" s="14">
        <f>IFERROR(Q160+Q161+Q162+Q163+Q164+Q165, "NA")</f>
        <v>7953.17</v>
      </c>
      <c r="R166" s="15">
        <f>IFERROR(Q166/Q444, "NA")</f>
        <v>2.7840697178606413E-3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-7953.17</v>
      </c>
      <c r="X166" s="15">
        <f>IFERROR(W166/W444, "NA")</f>
        <v>-0.18731005616590721</v>
      </c>
      <c r="Y166" s="2"/>
      <c r="Z166" s="14">
        <f>IFERROR(Z160+Z161+Z162+Z163+Z164+Z165, "NA")</f>
        <v>8478.5099999999984</v>
      </c>
      <c r="AA166" s="15">
        <f>IFERROR(Z166/Z444, "NA")</f>
        <v>3.4046928020004022E-3</v>
      </c>
      <c r="AB166" s="2"/>
      <c r="AC166" s="14">
        <f t="shared" si="43"/>
        <v>525.33999999999833</v>
      </c>
      <c r="AD166" s="15">
        <f>IFERROR(AC166/AC444, "NA")</f>
        <v>1.4336775926158708E-3</v>
      </c>
    </row>
    <row r="167" spans="1:30" ht="16.5" customHeight="1" x14ac:dyDescent="0.45">
      <c r="A167" s="6" t="s">
        <v>155</v>
      </c>
      <c r="B167" s="7">
        <v>724.32999999999993</v>
      </c>
      <c r="C167" s="8">
        <f>IFERROR(B167/B444, "NA")</f>
        <v>1.2192066496610962E-3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-724.32999999999993</v>
      </c>
      <c r="I167" s="8">
        <f>IFERROR(H167/H444, "NA")</f>
        <v>1.2561711207762907E-2</v>
      </c>
      <c r="J167" s="9"/>
      <c r="K167" s="7">
        <v>896.53</v>
      </c>
      <c r="L167" s="8">
        <f>IFERROR(K167/K444, "NA")</f>
        <v>1.5877074996967252E-3</v>
      </c>
      <c r="M167" s="9"/>
      <c r="N167" s="10">
        <f t="shared" si="41"/>
        <v>172.20000000000005</v>
      </c>
      <c r="O167" s="8">
        <f>IFERROR(N167/N444, "NA")</f>
        <v>5.8511822140370718E-3</v>
      </c>
      <c r="P167" s="9"/>
      <c r="Q167" s="7">
        <v>3906.2100000000005</v>
      </c>
      <c r="R167" s="8">
        <f>IFERROR(Q167/Q444, "NA")</f>
        <v>1.3673995366130004E-3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-3906.2100000000005</v>
      </c>
      <c r="X167" s="8">
        <f>IFERROR(W167/W444, "NA")</f>
        <v>-9.1997582661483224E-2</v>
      </c>
      <c r="Y167" s="9"/>
      <c r="Z167" s="7">
        <v>4783.71</v>
      </c>
      <c r="AA167" s="8">
        <f>IFERROR(Z167/Z444, "NA")</f>
        <v>1.9209817531449921E-3</v>
      </c>
      <c r="AB167" s="9"/>
      <c r="AC167" s="10">
        <f t="shared" si="43"/>
        <v>877.49999999999955</v>
      </c>
      <c r="AD167" s="8">
        <f>IFERROR(AC167/AC444, "NA")</f>
        <v>2.3947388120463507E-3</v>
      </c>
    </row>
    <row r="168" spans="1:30" ht="16.5" customHeight="1" x14ac:dyDescent="0.45">
      <c r="A168" s="6" t="s">
        <v>156</v>
      </c>
      <c r="B168" s="7">
        <v>193.8</v>
      </c>
      <c r="C168" s="8">
        <f>IFERROR(B168/B444, "NA")</f>
        <v>3.2620801113348956E-4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-193.8</v>
      </c>
      <c r="I168" s="8">
        <f>IFERROR(H168/H444, "NA")</f>
        <v>3.3609813649364958E-3</v>
      </c>
      <c r="J168" s="9"/>
      <c r="K168" s="7">
        <v>192.4</v>
      </c>
      <c r="L168" s="8">
        <f>IFERROR(K168/K444, "NA")</f>
        <v>3.4073028559183737E-4</v>
      </c>
      <c r="M168" s="9"/>
      <c r="N168" s="10">
        <f t="shared" si="41"/>
        <v>-1.4000000000000057</v>
      </c>
      <c r="O168" s="8">
        <f>IFERROR(N168/N444, "NA")</f>
        <v>-4.7570587105992634E-5</v>
      </c>
      <c r="P168" s="9"/>
      <c r="Q168" s="7">
        <v>1010.5999999999999</v>
      </c>
      <c r="R168" s="8">
        <f>IFERROR(Q168/Q444, "NA")</f>
        <v>3.5376847934470956E-4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-1010.5999999999999</v>
      </c>
      <c r="X168" s="8">
        <f>IFERROR(W168/W444, "NA")</f>
        <v>-2.3801269526649852E-2</v>
      </c>
      <c r="Y168" s="9"/>
      <c r="Z168" s="7">
        <v>1103.99</v>
      </c>
      <c r="AA168" s="8">
        <f>IFERROR(Z168/Z444, "NA")</f>
        <v>4.4332633994421483E-4</v>
      </c>
      <c r="AB168" s="9"/>
      <c r="AC168" s="10">
        <f t="shared" si="43"/>
        <v>93.3900000000001</v>
      </c>
      <c r="AD168" s="8">
        <f>IFERROR(AC168/AC444, "NA")</f>
        <v>2.5486570673163427E-4</v>
      </c>
    </row>
    <row r="169" spans="1:30" ht="16.5" customHeight="1" x14ac:dyDescent="0.45">
      <c r="A169" s="6" t="s">
        <v>157</v>
      </c>
      <c r="B169" s="7">
        <v>-6647.9400000000005</v>
      </c>
      <c r="C169" s="8">
        <f>IFERROR(B169/B444, "NA")</f>
        <v>-1.1189944713801706E-2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6647.9400000000005</v>
      </c>
      <c r="I169" s="8">
        <f>IFERROR(H169/H444, "NA")</f>
        <v>-0.11529206633238352</v>
      </c>
      <c r="J169" s="9"/>
      <c r="K169" s="7">
        <v>-9470.6</v>
      </c>
      <c r="L169" s="8">
        <f>IFERROR(K169/K444, "NA")</f>
        <v>-1.6771934733503403E-2</v>
      </c>
      <c r="M169" s="9"/>
      <c r="N169" s="10">
        <f t="shared" si="41"/>
        <v>-2822.66</v>
      </c>
      <c r="O169" s="8">
        <f>IFERROR(N169/N444, "NA")</f>
        <v>-9.5911138143286154E-2</v>
      </c>
      <c r="P169" s="9"/>
      <c r="Q169" s="7">
        <v>-53840.44</v>
      </c>
      <c r="R169" s="8">
        <f>IFERROR(Q169/Q444, "NA")</f>
        <v>-1.884726952904223E-2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53840.44</v>
      </c>
      <c r="X169" s="8">
        <f>IFERROR(W169/W444, "NA")</f>
        <v>1.2680297089584602</v>
      </c>
      <c r="Y169" s="9"/>
      <c r="Z169" s="7">
        <v>-53621.969999999994</v>
      </c>
      <c r="AA169" s="8">
        <f>IFERROR(Z169/Z444, "NA")</f>
        <v>-2.1532832453825201E-2</v>
      </c>
      <c r="AB169" s="9"/>
      <c r="AC169" s="10">
        <f t="shared" si="43"/>
        <v>218.47000000000844</v>
      </c>
      <c r="AD169" s="8">
        <f>IFERROR(AC169/AC444, "NA")</f>
        <v>5.9621491540488522E-4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21289</v>
      </c>
      <c r="C170" s="15">
        <f>IFERROR(B170/B444, "NA")</f>
        <v>3.5834067848404844E-2</v>
      </c>
      <c r="D170" s="2"/>
      <c r="E170" s="14">
        <f>IFERROR(E151+E153+E154+E155+E156+E157+E160+E161+E162+E163+E164+E165+E167+E168+E169, "NA")</f>
        <v>10764.1</v>
      </c>
      <c r="F170" s="15">
        <f>IFERROR(E170/E444, "NA")</f>
        <v>1.6515405228645252E-2</v>
      </c>
      <c r="G170" s="2"/>
      <c r="H170" s="14">
        <f t="shared" si="40"/>
        <v>-10524.9</v>
      </c>
      <c r="I170" s="15">
        <f>IFERROR(H170/H444, "NA")</f>
        <v>0.18252834245521218</v>
      </c>
      <c r="J170" s="2"/>
      <c r="K170" s="14">
        <f>IFERROR(K151+K153+K154+K155+K156+K157+K160+K161+K162+K163+K164+K165+K167+K168+K169, "NA")</f>
        <v>17732.82</v>
      </c>
      <c r="L170" s="15">
        <f>IFERROR(K170/K444, "NA")</f>
        <v>3.1403892011167597E-2</v>
      </c>
      <c r="M170" s="2"/>
      <c r="N170" s="14">
        <f t="shared" si="41"/>
        <v>-3556.1800000000003</v>
      </c>
      <c r="O170" s="15">
        <f>IFERROR(N170/N444, "NA")</f>
        <v>-0.12083540746756301</v>
      </c>
      <c r="P170" s="2"/>
      <c r="Q170" s="14">
        <f>IFERROR(Q151+Q153+Q154+Q155+Q156+Q157+Q160+Q161+Q162+Q163+Q164+Q165+Q167+Q168+Q169, "NA")</f>
        <v>81951.260000000009</v>
      </c>
      <c r="R170" s="15">
        <f>IFERROR(Q170/Q444, "NA")</f>
        <v>2.8687683188781839E-2</v>
      </c>
      <c r="S170" s="2"/>
      <c r="T170" s="14">
        <f>IFERROR(T151+T153+T154+T155+T156+T157+T160+T161+T162+T163+T164+T165+T167+T168+T169, "NA")</f>
        <v>51390.93</v>
      </c>
      <c r="U170" s="15">
        <f>IFERROR(T170/T444, "NA")</f>
        <v>1.8261223687221936E-2</v>
      </c>
      <c r="V170" s="2"/>
      <c r="W170" s="14">
        <f t="shared" si="42"/>
        <v>-30560.330000000009</v>
      </c>
      <c r="X170" s="15">
        <f>IFERROR(W170/W444, "NA")</f>
        <v>-0.71974535043871324</v>
      </c>
      <c r="Y170" s="2"/>
      <c r="Z170" s="14">
        <f>IFERROR(Z151+Z153+Z154+Z155+Z156+Z157+Z160+Z161+Z162+Z163+Z164+Z165+Z167+Z168+Z169, "NA")</f>
        <v>77406.63</v>
      </c>
      <c r="AA170" s="15">
        <f>IFERROR(Z170/Z444, "NA")</f>
        <v>3.1083975366910988E-2</v>
      </c>
      <c r="AB170" s="2"/>
      <c r="AC170" s="14">
        <f t="shared" si="43"/>
        <v>-4544.6300000000047</v>
      </c>
      <c r="AD170" s="15">
        <f>IFERROR(AC170/AC444, "NA")</f>
        <v>-1.2402509227795127E-2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181686.23000000004</v>
      </c>
      <c r="C171" s="15">
        <f>IFERROR(B171/B444, "NA")</f>
        <v>0.30581787274840949</v>
      </c>
      <c r="D171" s="2"/>
      <c r="E171" s="14">
        <f>IFERROR(E127+E129+E130+E131+E132+E133+E134+E135+E136+E137+E138+E139+E140+E143+E144+E145+E146+E147+E151+E153+E154+E155+E156+E157+E160+E161+E162+E163+E164+E165+E167+E168+E169, "NA")</f>
        <v>159533.67000000001</v>
      </c>
      <c r="F171" s="15">
        <f>IFERROR(E171/E444, "NA")</f>
        <v>0.24477320051494936</v>
      </c>
      <c r="G171" s="2"/>
      <c r="H171" s="14">
        <f t="shared" si="40"/>
        <v>-22152.560000000027</v>
      </c>
      <c r="I171" s="15">
        <f>IFERROR(H171/H444, "NA")</f>
        <v>0.38418132789286741</v>
      </c>
      <c r="J171" s="2"/>
      <c r="K171" s="14">
        <f>IFERROR(K127+K129+K130+K131+K132+K133+K134+K135+K136+K137+K138+K139+K140+K143+K144+K145+K146+K147+K151+K153+K154+K155+K156+K157+K160+K161+K162+K163+K164+K165+K167+K168+K169, "NA")</f>
        <v>158767.07999999999</v>
      </c>
      <c r="L171" s="15">
        <f>IFERROR(K171/K444, "NA")</f>
        <v>0.28116815234398174</v>
      </c>
      <c r="M171" s="2"/>
      <c r="N171" s="14">
        <f t="shared" si="41"/>
        <v>-22919.150000000052</v>
      </c>
      <c r="O171" s="15">
        <f>IFERROR(N171/N444, "NA")</f>
        <v>-0.77876958676450647</v>
      </c>
      <c r="P171" s="2"/>
      <c r="Q171" s="14">
        <f>IFERROR(Q127+Q129+Q130+Q131+Q132+Q133+Q134+Q135+Q136+Q137+Q138+Q139+Q140+Q143+Q144+Q145+Q146+Q147+Q151+Q153+Q154+Q155+Q156+Q157+Q160+Q161+Q162+Q163+Q164+Q165+Q167+Q168+Q169, "NA")</f>
        <v>810028.64000000013</v>
      </c>
      <c r="R171" s="15">
        <f>IFERROR(Q171/Q444, "NA")</f>
        <v>0.28355689708931647</v>
      </c>
      <c r="S171" s="2"/>
      <c r="T171" s="14">
        <f>IFERROR(T127+T129+T130+T131+T132+T133+T134+T135+T136+T137+T138+T139+T140+T143+T144+T145+T146+T147+T151+T153+T154+T155+T156+T157+T160+T161+T162+T163+T164+T165+T167+T168+T169, "NA")</f>
        <v>713358.29</v>
      </c>
      <c r="U171" s="15">
        <f>IFERROR(T171/T444, "NA")</f>
        <v>0.2534843269585535</v>
      </c>
      <c r="V171" s="2"/>
      <c r="W171" s="14">
        <f t="shared" si="42"/>
        <v>-96670.350000000093</v>
      </c>
      <c r="X171" s="15">
        <f>IFERROR(W171/W444, "NA")</f>
        <v>-2.2767435737043122</v>
      </c>
      <c r="Y171" s="2"/>
      <c r="Z171" s="14">
        <f>IFERROR(Z127+Z129+Z130+Z131+Z132+Z133+Z134+Z135+Z136+Z137+Z138+Z139+Z140+Z143+Z144+Z145+Z146+Z147+Z151+Z153+Z154+Z155+Z156+Z157+Z160+Z161+Z162+Z163+Z164+Z165+Z167+Z168+Z169, "NA")</f>
        <v>701557.51999999979</v>
      </c>
      <c r="AA171" s="15">
        <f>IFERROR(Z171/Z444, "NA")</f>
        <v>0.28172259495279867</v>
      </c>
      <c r="AB171" s="2"/>
      <c r="AC171" s="14">
        <f t="shared" si="43"/>
        <v>-108471.12000000034</v>
      </c>
      <c r="AD171" s="15">
        <f>IFERROR(AC171/AC444, "NA")</f>
        <v>-0.29602279321953062</v>
      </c>
    </row>
    <row r="172" spans="1:30" ht="16.5" customHeight="1" x14ac:dyDescent="0.45">
      <c r="A172" s="22" t="s">
        <v>160</v>
      </c>
      <c r="B172" s="23">
        <f>IFERROR(B124-B171, "NA")</f>
        <v>412413.22000000015</v>
      </c>
      <c r="C172" s="24">
        <f>IFERROR(B172/B444, "NA")</f>
        <v>0.6941821272515909</v>
      </c>
      <c r="D172" s="25"/>
      <c r="E172" s="23">
        <f>IFERROR(E124-E171, "NA")</f>
        <v>492227.50999999989</v>
      </c>
      <c r="F172" s="24">
        <f>IFERROR(E172/E444, "NA")</f>
        <v>0.75522679948505045</v>
      </c>
      <c r="G172" s="25"/>
      <c r="H172" s="23">
        <f>IFERROR(B172-E172, "NA")</f>
        <v>-79814.289999999746</v>
      </c>
      <c r="I172" s="24">
        <f>IFERROR(H172/H444, "NA")</f>
        <v>1.3841813278928607</v>
      </c>
      <c r="J172" s="25"/>
      <c r="K172" s="23">
        <f>IFERROR(K124-K171, "NA")</f>
        <v>405902.41999999993</v>
      </c>
      <c r="L172" s="24">
        <f>IFERROR(K172/K444, "NA")</f>
        <v>0.71883184765601815</v>
      </c>
      <c r="M172" s="25"/>
      <c r="N172" s="23">
        <f>IFERROR(B172-K172, "NA")</f>
        <v>6510.8000000002212</v>
      </c>
      <c r="O172" s="24">
        <f>IFERROR(N172/N444, "NA")</f>
        <v>0.22123041323550435</v>
      </c>
      <c r="P172" s="25"/>
      <c r="Q172" s="23">
        <f>IFERROR(Q124-Q171, "NA")</f>
        <v>2046641.9199999995</v>
      </c>
      <c r="R172" s="24">
        <f>IFERROR(Q172/Q444, "NA")</f>
        <v>0.71644310291068336</v>
      </c>
      <c r="S172" s="25"/>
      <c r="T172" s="23">
        <f>IFERROR(T124-T171, "NA")</f>
        <v>2100852.3499999996</v>
      </c>
      <c r="U172" s="24">
        <f>IFERROR(T172/T444, "NA")</f>
        <v>0.7465156730414465</v>
      </c>
      <c r="V172" s="25"/>
      <c r="W172" s="23">
        <f>IFERROR(Q172-T172, "NA")</f>
        <v>-54210.430000000168</v>
      </c>
      <c r="X172" s="24">
        <f>IFERROR(W172/W444, "NA")</f>
        <v>-1.2767435737043233</v>
      </c>
      <c r="Y172" s="25"/>
      <c r="Z172" s="23">
        <f>IFERROR(Z124-Z171, "NA")</f>
        <v>1788684.7700000003</v>
      </c>
      <c r="AA172" s="24">
        <f>IFERROR(Z172/Z444, "NA")</f>
        <v>0.71827740504720139</v>
      </c>
      <c r="AB172" s="25"/>
      <c r="AC172" s="23">
        <f>IFERROR(Q172-Z172, "NA")</f>
        <v>257957.14999999921</v>
      </c>
      <c r="AD172" s="24">
        <f>IFERROR(AC172/AC444, "NA")</f>
        <v>0.70397720678046805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31370.799999999999</v>
      </c>
      <c r="C178" s="8">
        <f>IFERROR(B178/B444, "NA")</f>
        <v>5.2803953950807399E-2</v>
      </c>
      <c r="D178" s="9"/>
      <c r="E178" s="7">
        <v>32038.460000000003</v>
      </c>
      <c r="F178" s="8">
        <f>IFERROR(E178/E444, "NA")</f>
        <v>4.9156747875042206E-2</v>
      </c>
      <c r="G178" s="9"/>
      <c r="H178" s="10">
        <f t="shared" si="44"/>
        <v>667.66000000000349</v>
      </c>
      <c r="I178" s="8">
        <f>IFERROR(H178/H444, "NA")</f>
        <v>-1.1578910310183241E-2</v>
      </c>
      <c r="J178" s="9"/>
      <c r="K178" s="7">
        <v>25961.559999999998</v>
      </c>
      <c r="L178" s="8">
        <f>IFERROR(K178/K444, "NA")</f>
        <v>4.5976557968864969E-2</v>
      </c>
      <c r="M178" s="9"/>
      <c r="N178" s="10">
        <f t="shared" si="45"/>
        <v>-5409.2400000000016</v>
      </c>
      <c r="O178" s="8">
        <f>IFERROR(N178/N444, "NA")</f>
        <v>-0.18380051614087045</v>
      </c>
      <c r="P178" s="9"/>
      <c r="Q178" s="7">
        <v>164696.69999999998</v>
      </c>
      <c r="R178" s="8">
        <f>IFERROR(Q178/Q444, "NA")</f>
        <v>5.7653375333556134E-2</v>
      </c>
      <c r="S178" s="9"/>
      <c r="T178" s="7">
        <v>168201.91000000003</v>
      </c>
      <c r="U178" s="8">
        <f>IFERROR(T178/T444, "NA")</f>
        <v>5.9768770542350039E-2</v>
      </c>
      <c r="V178" s="9"/>
      <c r="W178" s="10">
        <f t="shared" si="46"/>
        <v>3505.2100000000501</v>
      </c>
      <c r="X178" s="8">
        <f>IFERROR(W178/W444, "NA")</f>
        <v>8.2553382107173487E-2</v>
      </c>
      <c r="Y178" s="9"/>
      <c r="Z178" s="7">
        <v>136298.19</v>
      </c>
      <c r="AA178" s="8">
        <f>IFERROR(Z178/Z444, "NA")</f>
        <v>5.4732903118435115E-2</v>
      </c>
      <c r="AB178" s="9"/>
      <c r="AC178" s="10">
        <f t="shared" si="47"/>
        <v>-28398.50999999998</v>
      </c>
      <c r="AD178" s="8">
        <f>IFERROR(AC178/AC444, "NA")</f>
        <v>-7.7500870770696756E-2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111972.41</v>
      </c>
      <c r="C180" s="8">
        <f>IFERROR(B180/B444, "NA")</f>
        <v>0.18847418559300133</v>
      </c>
      <c r="D180" s="9"/>
      <c r="E180" s="7">
        <v>117316.86</v>
      </c>
      <c r="F180" s="8">
        <f>IFERROR(E180/E444, "NA")</f>
        <v>0.17999976617202024</v>
      </c>
      <c r="G180" s="9"/>
      <c r="H180" s="10">
        <f t="shared" si="44"/>
        <v>5344.4499999999971</v>
      </c>
      <c r="I180" s="8">
        <f>IFERROR(H180/H444, "NA")</f>
        <v>-9.2686258286041504E-2</v>
      </c>
      <c r="J180" s="9"/>
      <c r="K180" s="7">
        <v>110682.90999999999</v>
      </c>
      <c r="L180" s="8">
        <f>IFERROR(K180/K444, "NA")</f>
        <v>0.19601361504384421</v>
      </c>
      <c r="M180" s="9"/>
      <c r="N180" s="10">
        <f t="shared" si="45"/>
        <v>-1289.5000000000146</v>
      </c>
      <c r="O180" s="8">
        <f>IFERROR(N180/N444, "NA")</f>
        <v>-4.3815908623698531E-2</v>
      </c>
      <c r="P180" s="9"/>
      <c r="Q180" s="7">
        <v>534763.32999999996</v>
      </c>
      <c r="R180" s="8">
        <f>IFERROR(Q180/Q444, "NA")</f>
        <v>0.18719811009639137</v>
      </c>
      <c r="S180" s="9"/>
      <c r="T180" s="7">
        <v>540553.47</v>
      </c>
      <c r="U180" s="8">
        <f>IFERROR(T180/T444, "NA")</f>
        <v>0.19207996100817815</v>
      </c>
      <c r="V180" s="9"/>
      <c r="W180" s="10">
        <f t="shared" si="46"/>
        <v>5790.140000000014</v>
      </c>
      <c r="X180" s="8">
        <f>IFERROR(W180/W444, "NA")</f>
        <v>0.1363671905175507</v>
      </c>
      <c r="Y180" s="9"/>
      <c r="Z180" s="7">
        <v>516131.3</v>
      </c>
      <c r="AA180" s="8">
        <f>IFERROR(Z180/Z444, "NA")</f>
        <v>0.20726147896235431</v>
      </c>
      <c r="AB180" s="9"/>
      <c r="AC180" s="10">
        <f t="shared" si="47"/>
        <v>-18632.02999999997</v>
      </c>
      <c r="AD180" s="8">
        <f>IFERROR(AC180/AC444, "NA")</f>
        <v>-5.084768705209336E-2</v>
      </c>
    </row>
    <row r="181" spans="1:30" ht="16.5" customHeight="1" x14ac:dyDescent="0.45">
      <c r="A181" s="12" t="s">
        <v>166</v>
      </c>
      <c r="B181" s="7">
        <v>2320.21</v>
      </c>
      <c r="C181" s="8">
        <f>IFERROR(B181/B444, "NA")</f>
        <v>3.9054235784934666E-3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-2320.21</v>
      </c>
      <c r="I181" s="8">
        <f>IFERROR(H181/H444, "NA")</f>
        <v>4.0238300168933469E-2</v>
      </c>
      <c r="J181" s="9"/>
      <c r="K181" s="7">
        <v>1525.15</v>
      </c>
      <c r="L181" s="8">
        <f>IFERROR(K181/K444, "NA")</f>
        <v>2.7009604733388291E-3</v>
      </c>
      <c r="M181" s="9"/>
      <c r="N181" s="10">
        <f t="shared" si="45"/>
        <v>-795.06</v>
      </c>
      <c r="O181" s="8">
        <f>IFERROR(N181/N444, "NA")</f>
        <v>-2.7015336417493103E-2</v>
      </c>
      <c r="P181" s="9"/>
      <c r="Q181" s="7">
        <v>6768.1100000000006</v>
      </c>
      <c r="R181" s="8">
        <f>IFERROR(Q181/Q444, "NA")</f>
        <v>2.369230143219595E-3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-6768.1100000000006</v>
      </c>
      <c r="X181" s="8">
        <f>IFERROR(W181/W444, "NA")</f>
        <v>-0.15939997060757388</v>
      </c>
      <c r="Y181" s="9"/>
      <c r="Z181" s="7">
        <v>5438.2000000000007</v>
      </c>
      <c r="AA181" s="8">
        <f>IFERROR(Z181/Z444, "NA")</f>
        <v>2.1838035687684033E-3</v>
      </c>
      <c r="AB181" s="9"/>
      <c r="AC181" s="10">
        <f t="shared" si="47"/>
        <v>-1329.9099999999999</v>
      </c>
      <c r="AD181" s="8">
        <f>IFERROR(AC181/AC444, "NA")</f>
        <v>-3.6293870011721526E-3</v>
      </c>
    </row>
    <row r="182" spans="1:30" ht="16.5" customHeight="1" x14ac:dyDescent="0.45">
      <c r="A182" s="13" t="s">
        <v>167</v>
      </c>
      <c r="B182" s="14">
        <f>IFERROR(B177+B178+B179+B180+B181, "NA")</f>
        <v>145663.41999999998</v>
      </c>
      <c r="C182" s="15">
        <f>IFERROR(B182/B444, "NA")</f>
        <v>0.24518356312230216</v>
      </c>
      <c r="D182" s="2"/>
      <c r="E182" s="14">
        <f>IFERROR(E177+E178+E179+E180+E181, "NA")</f>
        <v>149355.32</v>
      </c>
      <c r="F182" s="15">
        <f>IFERROR(E182/E444, "NA")</f>
        <v>0.22915651404706244</v>
      </c>
      <c r="G182" s="2"/>
      <c r="H182" s="14">
        <f t="shared" si="44"/>
        <v>3691.9000000000233</v>
      </c>
      <c r="I182" s="15">
        <f>IFERROR(H182/H444, "NA")</f>
        <v>-6.4026868427291675E-2</v>
      </c>
      <c r="J182" s="2"/>
      <c r="K182" s="14">
        <f>IFERROR(K177+K178+K179+K180+K181, "NA")</f>
        <v>138169.61999999997</v>
      </c>
      <c r="L182" s="15">
        <f>IFERROR(K182/K444, "NA")</f>
        <v>0.24469113348604798</v>
      </c>
      <c r="M182" s="2"/>
      <c r="N182" s="14">
        <f t="shared" si="45"/>
        <v>-7493.8000000000175</v>
      </c>
      <c r="O182" s="15">
        <f>IFERROR(N182/N444, "NA")</f>
        <v>-0.25463176118206216</v>
      </c>
      <c r="P182" s="2"/>
      <c r="Q182" s="14">
        <f>IFERROR(Q177+Q178+Q179+Q180+Q181, "NA")</f>
        <v>706228.1399999999</v>
      </c>
      <c r="R182" s="15">
        <f>IFERROR(Q182/Q444, "NA")</f>
        <v>0.24722071557316708</v>
      </c>
      <c r="S182" s="2"/>
      <c r="T182" s="14">
        <f>IFERROR(T177+T178+T179+T180+T181, "NA")</f>
        <v>708755.38</v>
      </c>
      <c r="U182" s="15">
        <f>IFERROR(T182/T444, "NA")</f>
        <v>0.25184873155052817</v>
      </c>
      <c r="V182" s="2"/>
      <c r="W182" s="14">
        <f t="shared" si="46"/>
        <v>2527.2400000001071</v>
      </c>
      <c r="X182" s="15">
        <f>IFERROR(W182/W444, "NA")</f>
        <v>5.9520602017151321E-2</v>
      </c>
      <c r="Y182" s="2"/>
      <c r="Z182" s="14">
        <f>IFERROR(Z177+Z178+Z179+Z180+Z181, "NA")</f>
        <v>657867.68999999994</v>
      </c>
      <c r="AA182" s="15">
        <f>IFERROR(Z182/Z444, "NA")</f>
        <v>0.26417818564955781</v>
      </c>
      <c r="AB182" s="2"/>
      <c r="AC182" s="14">
        <f t="shared" si="47"/>
        <v>-48360.449999999953</v>
      </c>
      <c r="AD182" s="15">
        <f>IFERROR(AC182/AC444, "NA")</f>
        <v>-0.13197794482396227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2950</v>
      </c>
      <c r="C184" s="8">
        <f>IFERROR(B184/B444, "NA")</f>
        <v>4.9654986214850063E-3</v>
      </c>
      <c r="D184" s="9"/>
      <c r="E184" s="7">
        <v>2950</v>
      </c>
      <c r="F184" s="8">
        <f>IFERROR(E184/E444, "NA")</f>
        <v>4.5261977707846913E-3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1500</v>
      </c>
      <c r="L184" s="8">
        <f>IFERROR(K184/K444, "NA")</f>
        <v>2.6564211454665073E-3</v>
      </c>
      <c r="M184" s="9"/>
      <c r="N184" s="10">
        <f t="shared" si="45"/>
        <v>-1450</v>
      </c>
      <c r="O184" s="8">
        <f>IFERROR(N184/N444, "NA")</f>
        <v>-4.9269536645492169E-2</v>
      </c>
      <c r="P184" s="9"/>
      <c r="Q184" s="7">
        <v>14750</v>
      </c>
      <c r="R184" s="8">
        <f>IFERROR(Q184/Q444, "NA")</f>
        <v>5.1633535229907643E-3</v>
      </c>
      <c r="S184" s="9"/>
      <c r="T184" s="7">
        <v>14750</v>
      </c>
      <c r="U184" s="8">
        <f>IFERROR(T184/T444, "NA")</f>
        <v>5.2412565677741885E-3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6400</v>
      </c>
      <c r="AA184" s="8">
        <f>IFERROR(Z184/Z444, "NA")</f>
        <v>2.5700310470592805E-3</v>
      </c>
      <c r="AB184" s="9"/>
      <c r="AC184" s="10">
        <f t="shared" si="47"/>
        <v>-8350</v>
      </c>
      <c r="AD184" s="8">
        <f>IFERROR(AC184/AC444, "NA")</f>
        <v>-2.2787543111780103E-2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14218.7</v>
      </c>
      <c r="C186" s="8">
        <f>IFERROR(B186/B444, "NA")</f>
        <v>2.3933198389596223E-2</v>
      </c>
      <c r="D186" s="9"/>
      <c r="E186" s="7">
        <v>15170.369999999999</v>
      </c>
      <c r="F186" s="8">
        <f>IFERROR(E186/E444, "NA")</f>
        <v>2.3275964364738628E-2</v>
      </c>
      <c r="G186" s="9"/>
      <c r="H186" s="10">
        <f t="shared" ref="H186:H197" si="48">IFERROR(-(B186-E186), "NA")</f>
        <v>951.66999999999825</v>
      </c>
      <c r="I186" s="8">
        <f>IFERROR(H186/H444, "NA")</f>
        <v>-1.6504360864649684E-2</v>
      </c>
      <c r="J186" s="9"/>
      <c r="K186" s="7">
        <v>13492.430000000002</v>
      </c>
      <c r="L186" s="8">
        <f>IFERROR(K186/K444, "NA")</f>
        <v>2.3894384237151116E-2</v>
      </c>
      <c r="M186" s="9"/>
      <c r="N186" s="10">
        <f t="shared" ref="N186:N197" si="49">IFERROR(-(B186-K186), "NA")</f>
        <v>-726.26999999999862</v>
      </c>
      <c r="O186" s="8">
        <f>IFERROR(N186/N444, "NA")</f>
        <v>-2.467792164104933E-2</v>
      </c>
      <c r="P186" s="9"/>
      <c r="Q186" s="7">
        <v>74272.81</v>
      </c>
      <c r="R186" s="8">
        <f>IFERROR(Q186/Q444, "NA")</f>
        <v>2.5999781367859232E-2</v>
      </c>
      <c r="S186" s="9"/>
      <c r="T186" s="7">
        <v>83846.850000000006</v>
      </c>
      <c r="U186" s="8">
        <f>IFERROR(T186/T444, "NA")</f>
        <v>2.9794091745740828E-2</v>
      </c>
      <c r="V186" s="9"/>
      <c r="W186" s="10">
        <f t="shared" ref="W186:W197" si="50">IFERROR(-(Q186-T186), "NA")</f>
        <v>9574.0400000000081</v>
      </c>
      <c r="X186" s="8">
        <f>IFERROR(W186/W444, "NA")</f>
        <v>0.22548417425185727</v>
      </c>
      <c r="Y186" s="9"/>
      <c r="Z186" s="7">
        <v>71800.149999999994</v>
      </c>
      <c r="AA186" s="8">
        <f>IFERROR(Z186/Z444, "NA")</f>
        <v>2.8832596044298962E-2</v>
      </c>
      <c r="AB186" s="9"/>
      <c r="AC186" s="10">
        <f t="shared" ref="AC186:AC197" si="51">IFERROR(-(Q186-Z186), "NA")</f>
        <v>-2472.6600000000035</v>
      </c>
      <c r="AD186" s="8">
        <f>IFERROR(AC186/AC444, "NA")</f>
        <v>-6.7480055509909305E-3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-1.9999999999999997E-2</v>
      </c>
      <c r="L187" s="8">
        <f>IFERROR(K187/K444, "NA")</f>
        <v>-3.5418948606220095E-8</v>
      </c>
      <c r="M187" s="9"/>
      <c r="N187" s="10">
        <f t="shared" si="49"/>
        <v>-1.9999999999999997E-2</v>
      </c>
      <c r="O187" s="8">
        <f>IFERROR(N187/N444, "NA")</f>
        <v>-6.7957981579989193E-7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7.0000000000000007E-2</v>
      </c>
      <c r="AA187" s="8">
        <f>IFERROR(Z187/Z444, "NA")</f>
        <v>2.810971457721088E-8</v>
      </c>
      <c r="AB187" s="9"/>
      <c r="AC187" s="10">
        <f t="shared" si="51"/>
        <v>7.0000000000000007E-2</v>
      </c>
      <c r="AD187" s="8">
        <f>IFERROR(AC187/AC444, "NA")</f>
        <v>1.9103329554785718E-7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14218.7</v>
      </c>
      <c r="C193" s="15">
        <f>IFERROR(B193/B444, "NA")</f>
        <v>2.3933198389596223E-2</v>
      </c>
      <c r="D193" s="2"/>
      <c r="E193" s="14">
        <f>IFERROR(E186+E187+E188+E189+E190+E191+E192, "NA")</f>
        <v>15170.369999999999</v>
      </c>
      <c r="F193" s="15">
        <f>IFERROR(E193/E444, "NA")</f>
        <v>2.3275964364738628E-2</v>
      </c>
      <c r="G193" s="2"/>
      <c r="H193" s="14">
        <f t="shared" si="48"/>
        <v>951.66999999999825</v>
      </c>
      <c r="I193" s="15">
        <f>IFERROR(H193/H444, "NA")</f>
        <v>-1.6504360864649684E-2</v>
      </c>
      <c r="J193" s="2"/>
      <c r="K193" s="14">
        <f>IFERROR(K186+K187+K188+K189+K190+K191+K192, "NA")</f>
        <v>13492.410000000002</v>
      </c>
      <c r="L193" s="15">
        <f>IFERROR(K193/K444, "NA")</f>
        <v>2.3894348818202508E-2</v>
      </c>
      <c r="M193" s="2"/>
      <c r="N193" s="14">
        <f t="shared" si="49"/>
        <v>-726.28999999999905</v>
      </c>
      <c r="O193" s="15">
        <f>IFERROR(N193/N444, "NA")</f>
        <v>-2.4678601220865147E-2</v>
      </c>
      <c r="P193" s="2"/>
      <c r="Q193" s="14">
        <f>IFERROR(Q186+Q187+Q188+Q189+Q190+Q191+Q192, "NA")</f>
        <v>74272.81</v>
      </c>
      <c r="R193" s="15">
        <f>IFERROR(Q193/Q444, "NA")</f>
        <v>2.5999781367859232E-2</v>
      </c>
      <c r="S193" s="2"/>
      <c r="T193" s="14">
        <f>IFERROR(T186+T187+T188+T189+T190+T191+T192, "NA")</f>
        <v>83846.850000000006</v>
      </c>
      <c r="U193" s="15">
        <f>IFERROR(T193/T444, "NA")</f>
        <v>2.9794091745740828E-2</v>
      </c>
      <c r="V193" s="2"/>
      <c r="W193" s="14">
        <f t="shared" si="50"/>
        <v>9574.0400000000081</v>
      </c>
      <c r="X193" s="15">
        <f>IFERROR(W193/W444, "NA")</f>
        <v>0.22548417425185727</v>
      </c>
      <c r="Y193" s="2"/>
      <c r="Z193" s="14">
        <f>IFERROR(Z186+Z187+Z188+Z189+Z190+Z191+Z192, "NA")</f>
        <v>71800.22</v>
      </c>
      <c r="AA193" s="15">
        <f>IFERROR(Z193/Z444, "NA")</f>
        <v>2.8832624154013543E-2</v>
      </c>
      <c r="AB193" s="2"/>
      <c r="AC193" s="14">
        <f t="shared" si="51"/>
        <v>-2472.5899999999965</v>
      </c>
      <c r="AD193" s="15">
        <f>IFERROR(AC193/AC444, "NA")</f>
        <v>-6.7478145176953636E-3</v>
      </c>
    </row>
    <row r="194" spans="1:30" ht="16.5" customHeight="1" x14ac:dyDescent="0.45">
      <c r="A194" s="6" t="s">
        <v>178</v>
      </c>
      <c r="B194" s="7">
        <v>1271.92</v>
      </c>
      <c r="C194" s="8">
        <f>IFERROR(B194/B444, "NA")</f>
        <v>2.1409210191997317E-3</v>
      </c>
      <c r="D194" s="9"/>
      <c r="E194" s="7">
        <v>1218.44</v>
      </c>
      <c r="F194" s="8">
        <f>IFERROR(E194/E444, "NA")</f>
        <v>1.8694577667236947E-3</v>
      </c>
      <c r="G194" s="9"/>
      <c r="H194" s="10">
        <f t="shared" si="48"/>
        <v>-53.480000000000018</v>
      </c>
      <c r="I194" s="8">
        <f>IFERROR(H194/H444, "NA")</f>
        <v>9.2747824250156779E-4</v>
      </c>
      <c r="J194" s="9"/>
      <c r="K194" s="7">
        <v>1224.6400000000001</v>
      </c>
      <c r="L194" s="8">
        <f>IFERROR(K194/K444, "NA")</f>
        <v>2.1687730610560692E-3</v>
      </c>
      <c r="M194" s="9"/>
      <c r="N194" s="10">
        <f t="shared" si="49"/>
        <v>-47.279999999999973</v>
      </c>
      <c r="O194" s="8">
        <f>IFERROR(N194/N444, "NA")</f>
        <v>-1.6065266845509438E-3</v>
      </c>
      <c r="P194" s="9"/>
      <c r="Q194" s="7">
        <v>6525.3600000000006</v>
      </c>
      <c r="R194" s="8">
        <f>IFERROR(Q194/Q444, "NA")</f>
        <v>2.2842535962564756E-3</v>
      </c>
      <c r="S194" s="9"/>
      <c r="T194" s="7">
        <v>5788.07</v>
      </c>
      <c r="U194" s="8">
        <f>IFERROR(T194/T444, "NA")</f>
        <v>2.0567294848974063E-3</v>
      </c>
      <c r="V194" s="9"/>
      <c r="W194" s="10">
        <f t="shared" si="50"/>
        <v>-737.29000000000087</v>
      </c>
      <c r="X194" s="8">
        <f>IFERROR(W194/W444, "NA")</f>
        <v>-1.7364375627650596E-2</v>
      </c>
      <c r="Y194" s="9"/>
      <c r="Z194" s="7">
        <v>5221.51</v>
      </c>
      <c r="AA194" s="8">
        <f>IFERROR(Z194/Z444, "NA")</f>
        <v>2.096787939457891E-3</v>
      </c>
      <c r="AB194" s="9"/>
      <c r="AC194" s="10">
        <f t="shared" si="51"/>
        <v>-1303.8500000000004</v>
      </c>
      <c r="AD194" s="8">
        <f>IFERROR(AC194/AC444, "NA")</f>
        <v>-3.558268034286766E-3</v>
      </c>
    </row>
    <row r="195" spans="1:30" ht="16.5" customHeight="1" x14ac:dyDescent="0.45">
      <c r="A195" s="6" t="s">
        <v>179</v>
      </c>
      <c r="B195" s="7">
        <v>1381.05</v>
      </c>
      <c r="C195" s="8">
        <f>IFERROR(B195/B444, "NA")</f>
        <v>2.3246108037972431E-3</v>
      </c>
      <c r="D195" s="9"/>
      <c r="E195" s="7">
        <v>584.53</v>
      </c>
      <c r="F195" s="8">
        <f>IFERROR(E195/E444, "NA")</f>
        <v>8.9684690947687302E-4</v>
      </c>
      <c r="G195" s="9"/>
      <c r="H195" s="10">
        <f t="shared" si="48"/>
        <v>-796.52</v>
      </c>
      <c r="I195" s="8">
        <f>IFERROR(H195/H444, "NA")</f>
        <v>1.3813668094939202E-2</v>
      </c>
      <c r="J195" s="9"/>
      <c r="K195" s="7">
        <v>1263.47</v>
      </c>
      <c r="L195" s="8">
        <f>IFERROR(K195/K444, "NA")</f>
        <v>2.2375389497750454E-3</v>
      </c>
      <c r="M195" s="9"/>
      <c r="N195" s="10">
        <f t="shared" si="49"/>
        <v>-117.57999999999993</v>
      </c>
      <c r="O195" s="8">
        <f>IFERROR(N195/N444, "NA")</f>
        <v>-3.9952497370875622E-3</v>
      </c>
      <c r="P195" s="9"/>
      <c r="Q195" s="7">
        <v>6941.2800000000007</v>
      </c>
      <c r="R195" s="8">
        <f>IFERROR(Q195/Q444, "NA")</f>
        <v>2.4298496638688362E-3</v>
      </c>
      <c r="S195" s="9"/>
      <c r="T195" s="7">
        <v>2820.13</v>
      </c>
      <c r="U195" s="8">
        <f>IFERROR(T195/T444, "NA")</f>
        <v>1.0021033819984423E-3</v>
      </c>
      <c r="V195" s="9"/>
      <c r="W195" s="10">
        <f t="shared" si="50"/>
        <v>-4121.1500000000005</v>
      </c>
      <c r="X195" s="8">
        <f>IFERROR(W195/W444, "NA")</f>
        <v>-9.7059768365083177E-2</v>
      </c>
      <c r="Y195" s="9"/>
      <c r="Z195" s="7">
        <v>5960.55</v>
      </c>
      <c r="AA195" s="8">
        <f>IFERROR(Z195/Z444, "NA")</f>
        <v>2.3935622746170614E-3</v>
      </c>
      <c r="AB195" s="9"/>
      <c r="AC195" s="10">
        <f t="shared" si="51"/>
        <v>-980.73000000000047</v>
      </c>
      <c r="AD195" s="8">
        <f>IFERROR(AC195/AC444, "NA")</f>
        <v>-2.6764583420378577E-3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165485.09</v>
      </c>
      <c r="C196" s="15">
        <f>IFERROR(B196/B444, "NA")</f>
        <v>0.27854779195638041</v>
      </c>
      <c r="D196" s="2"/>
      <c r="E196" s="14">
        <f>IFERROR(E175+E177+E178+E179+E180+E181+E183+E184+E186+E187+E188+E189+E190+E191+E192+E194+E195, "NA")</f>
        <v>169278.66</v>
      </c>
      <c r="F196" s="15">
        <f>IFERROR(E196/E444, "NA")</f>
        <v>0.25972498085878631</v>
      </c>
      <c r="G196" s="2"/>
      <c r="H196" s="14">
        <f t="shared" si="48"/>
        <v>3793.570000000007</v>
      </c>
      <c r="I196" s="15">
        <f>IFERROR(H196/H444, "NA")</f>
        <v>-6.579008295450034E-2</v>
      </c>
      <c r="J196" s="2"/>
      <c r="K196" s="14">
        <f>IFERROR(K175+K177+K178+K179+K180+K181+K183+K184+K186+K187+K188+K189+K190+K191+K192+K194+K195, "NA")</f>
        <v>155650.13999999998</v>
      </c>
      <c r="L196" s="15">
        <f>IFERROR(K196/K444, "NA")</f>
        <v>0.27564821546054813</v>
      </c>
      <c r="M196" s="2"/>
      <c r="N196" s="14">
        <f t="shared" si="49"/>
        <v>-9834.9500000000116</v>
      </c>
      <c r="O196" s="15">
        <f>IFERROR(N196/N444, "NA")</f>
        <v>-0.33418167547005778</v>
      </c>
      <c r="P196" s="2"/>
      <c r="Q196" s="14">
        <f>IFERROR(Q175+Q177+Q178+Q179+Q180+Q181+Q183+Q184+Q186+Q187+Q188+Q189+Q190+Q191+Q192+Q194+Q195, "NA")</f>
        <v>808717.59</v>
      </c>
      <c r="R196" s="15">
        <f>IFERROR(Q196/Q444, "NA")</f>
        <v>0.28309795372414243</v>
      </c>
      <c r="S196" s="2"/>
      <c r="T196" s="14">
        <f>IFERROR(T175+T177+T178+T179+T180+T181+T183+T184+T186+T187+T188+T189+T190+T191+T192+T194+T195, "NA")</f>
        <v>815960.42999999993</v>
      </c>
      <c r="U196" s="15">
        <f>IFERROR(T196/T444, "NA")</f>
        <v>0.28994291273093903</v>
      </c>
      <c r="V196" s="2"/>
      <c r="W196" s="14">
        <f t="shared" si="50"/>
        <v>7242.8399999999674</v>
      </c>
      <c r="X196" s="15">
        <f>IFERROR(W196/W444, "NA")</f>
        <v>0.17058063227627138</v>
      </c>
      <c r="Y196" s="2"/>
      <c r="Z196" s="14">
        <f>IFERROR(Z175+Z177+Z178+Z179+Z180+Z181+Z183+Z184+Z186+Z187+Z188+Z189+Z190+Z191+Z192+Z194+Z195, "NA")</f>
        <v>747249.97</v>
      </c>
      <c r="AA196" s="15">
        <f>IFERROR(Z196/Z444, "NA")</f>
        <v>0.30007119106470559</v>
      </c>
      <c r="AB196" s="2"/>
      <c r="AC196" s="14">
        <f t="shared" si="51"/>
        <v>-61467.619999999995</v>
      </c>
      <c r="AD196" s="15">
        <f>IFERROR(AC196/AC444, "NA")</f>
        <v>-0.16774802882976247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165485.09</v>
      </c>
      <c r="C197" s="15">
        <f>IFERROR(B197/B444, "NA")</f>
        <v>0.27854779195638041</v>
      </c>
      <c r="D197" s="2"/>
      <c r="E197" s="14">
        <f>IFERROR(E175+E177+E178+E179+E180+E181+E183+E184+E186+E187+E188+E189+E190+E191+E192+E194+E195, "NA")</f>
        <v>169278.66</v>
      </c>
      <c r="F197" s="15">
        <f>IFERROR(E197/E444, "NA")</f>
        <v>0.25972498085878631</v>
      </c>
      <c r="G197" s="2"/>
      <c r="H197" s="14">
        <f t="shared" si="48"/>
        <v>3793.570000000007</v>
      </c>
      <c r="I197" s="15">
        <f>IFERROR(H197/H444, "NA")</f>
        <v>-6.579008295450034E-2</v>
      </c>
      <c r="J197" s="2"/>
      <c r="K197" s="14">
        <f>IFERROR(K175+K177+K178+K179+K180+K181+K183+K184+K186+K187+K188+K189+K190+K191+K192+K194+K195, "NA")</f>
        <v>155650.13999999998</v>
      </c>
      <c r="L197" s="15">
        <f>IFERROR(K197/K444, "NA")</f>
        <v>0.27564821546054813</v>
      </c>
      <c r="M197" s="2"/>
      <c r="N197" s="14">
        <f t="shared" si="49"/>
        <v>-9834.9500000000116</v>
      </c>
      <c r="O197" s="15">
        <f>IFERROR(N197/N444, "NA")</f>
        <v>-0.33418167547005778</v>
      </c>
      <c r="P197" s="2"/>
      <c r="Q197" s="14">
        <f>IFERROR(Q175+Q177+Q178+Q179+Q180+Q181+Q183+Q184+Q186+Q187+Q188+Q189+Q190+Q191+Q192+Q194+Q195, "NA")</f>
        <v>808717.59</v>
      </c>
      <c r="R197" s="15">
        <f>IFERROR(Q197/Q444, "NA")</f>
        <v>0.28309795372414243</v>
      </c>
      <c r="S197" s="2"/>
      <c r="T197" s="14">
        <f>IFERROR(T175+T177+T178+T179+T180+T181+T183+T184+T186+T187+T188+T189+T190+T191+T192+T194+T195, "NA")</f>
        <v>815960.42999999993</v>
      </c>
      <c r="U197" s="15">
        <f>IFERROR(T197/T444, "NA")</f>
        <v>0.28994291273093903</v>
      </c>
      <c r="V197" s="2"/>
      <c r="W197" s="14">
        <f t="shared" si="50"/>
        <v>7242.8399999999674</v>
      </c>
      <c r="X197" s="15">
        <f>IFERROR(W197/W444, "NA")</f>
        <v>0.17058063227627138</v>
      </c>
      <c r="Y197" s="2"/>
      <c r="Z197" s="14">
        <f>IFERROR(Z175+Z177+Z178+Z179+Z180+Z181+Z183+Z184+Z186+Z187+Z188+Z189+Z190+Z191+Z192+Z194+Z195, "NA")</f>
        <v>747249.97</v>
      </c>
      <c r="AA197" s="15">
        <f>IFERROR(Z197/Z444, "NA")</f>
        <v>0.30007119106470559</v>
      </c>
      <c r="AB197" s="2"/>
      <c r="AC197" s="14">
        <f t="shared" si="51"/>
        <v>-61467.619999999995</v>
      </c>
      <c r="AD197" s="15">
        <f>IFERROR(AC197/AC444, "NA")</f>
        <v>-0.16774802882976247</v>
      </c>
    </row>
    <row r="198" spans="1:30" ht="16.5" customHeight="1" x14ac:dyDescent="0.45">
      <c r="A198" s="22" t="s">
        <v>181</v>
      </c>
      <c r="B198" s="23">
        <f>IFERROR(B172-B197, "NA")</f>
        <v>246928.13000000015</v>
      </c>
      <c r="C198" s="24">
        <f>IFERROR(B198/B444, "NA")</f>
        <v>0.41563433529521054</v>
      </c>
      <c r="D198" s="25"/>
      <c r="E198" s="23">
        <f>IFERROR(E172-E197, "NA")</f>
        <v>322948.84999999986</v>
      </c>
      <c r="F198" s="24">
        <f>IFERROR(E198/E444, "NA")</f>
        <v>0.49550181862626402</v>
      </c>
      <c r="G198" s="25"/>
      <c r="H198" s="23">
        <f>IFERROR(B198-E198, "NA")</f>
        <v>-76020.71999999971</v>
      </c>
      <c r="I198" s="24">
        <f>IFERROR(H198/H444, "NA")</f>
        <v>1.3183912449383599</v>
      </c>
      <c r="J198" s="25"/>
      <c r="K198" s="23">
        <f>IFERROR(K172-K197, "NA")</f>
        <v>250252.27999999994</v>
      </c>
      <c r="L198" s="24">
        <f>IFERROR(K198/K444, "NA")</f>
        <v>0.44318363219546997</v>
      </c>
      <c r="M198" s="25"/>
      <c r="N198" s="23">
        <f>IFERROR(B198-K198, "NA")</f>
        <v>-3324.1499999997905</v>
      </c>
      <c r="O198" s="24">
        <f>IFERROR(N198/N444, "NA")</f>
        <v>-0.11295126223455343</v>
      </c>
      <c r="P198" s="25"/>
      <c r="Q198" s="23">
        <f>IFERROR(Q172-Q197, "NA")</f>
        <v>1237924.3299999996</v>
      </c>
      <c r="R198" s="24">
        <f>IFERROR(Q198/Q444, "NA")</f>
        <v>0.43334514918654099</v>
      </c>
      <c r="S198" s="25"/>
      <c r="T198" s="23">
        <f>IFERROR(T172-T197, "NA")</f>
        <v>1284891.9199999997</v>
      </c>
      <c r="U198" s="24">
        <f>IFERROR(T198/T444, "NA")</f>
        <v>0.45657276031050748</v>
      </c>
      <c r="V198" s="25"/>
      <c r="W198" s="23">
        <f>IFERROR(Q198-T198, "NA")</f>
        <v>-46967.590000000084</v>
      </c>
      <c r="X198" s="24">
        <f>IFERROR(W198/W444, "NA")</f>
        <v>-1.1061629414280492</v>
      </c>
      <c r="Y198" s="25"/>
      <c r="Z198" s="23">
        <f>IFERROR(Z172-Z197, "NA")</f>
        <v>1041434.8000000003</v>
      </c>
      <c r="AA198" s="24">
        <f>IFERROR(Z198/Z444, "NA")</f>
        <v>0.41820621398249574</v>
      </c>
      <c r="AB198" s="25"/>
      <c r="AC198" s="23">
        <f>IFERROR(Q198-Z198, "NA")</f>
        <v>196489.52999999933</v>
      </c>
      <c r="AD198" s="24">
        <f>IFERROR(AC198/AC444, "NA")</f>
        <v>0.5362291779507059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12566.47</v>
      </c>
      <c r="F201" s="8">
        <f>IFERROR(E201/E444, "NA")</f>
        <v>1.928078932224837E-2</v>
      </c>
      <c r="G201" s="9"/>
      <c r="H201" s="10">
        <f t="shared" ref="H201:H209" si="52">IFERROR(-(B201-E201), "NA")</f>
        <v>12566.47</v>
      </c>
      <c r="I201" s="8">
        <f>IFERROR(H201/H444, "NA")</f>
        <v>-0.21793432142948152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55399.789999999994</v>
      </c>
      <c r="U201" s="8">
        <f>IFERROR(T201/T444, "NA")</f>
        <v>1.9685729707851578E-2</v>
      </c>
      <c r="V201" s="9"/>
      <c r="W201" s="10">
        <f t="shared" ref="W201:W209" si="54">IFERROR(-(Q201-T201), "NA")</f>
        <v>55399.789999999994</v>
      </c>
      <c r="X201" s="8">
        <f>IFERROR(W201/W444, "NA")</f>
        <v>1.3047549312386713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5894.65</v>
      </c>
      <c r="C202" s="8">
        <f>IFERROR(B202/B444, "NA")</f>
        <v>9.9219920166564706E-3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-5894.65</v>
      </c>
      <c r="I202" s="8">
        <f>IFERROR(H202/H444, "NA")</f>
        <v>0.10222811559764144</v>
      </c>
      <c r="J202" s="9"/>
      <c r="K202" s="7">
        <v>4720.96</v>
      </c>
      <c r="L202" s="8">
        <f>IFERROR(K202/K444, "NA")</f>
        <v>8.360571980601042E-3</v>
      </c>
      <c r="M202" s="9"/>
      <c r="N202" s="10">
        <f t="shared" si="53"/>
        <v>-1173.6899999999996</v>
      </c>
      <c r="O202" s="8">
        <f>IFERROR(N202/N444, "NA")</f>
        <v>-3.9880801700308749E-2</v>
      </c>
      <c r="P202" s="9"/>
      <c r="Q202" s="7">
        <v>28192.47</v>
      </c>
      <c r="R202" s="8">
        <f>IFERROR(Q202/Q444, "NA")</f>
        <v>9.8689958844956904E-3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-28192.47</v>
      </c>
      <c r="X202" s="8">
        <f>IFERROR(W202/W444, "NA")</f>
        <v>-0.66397840598851199</v>
      </c>
      <c r="Y202" s="9"/>
      <c r="Z202" s="7">
        <v>24128.440000000002</v>
      </c>
      <c r="AA202" s="8">
        <f>IFERROR(Z202/Z444, "NA")</f>
        <v>9.6891937370479735E-3</v>
      </c>
      <c r="AB202" s="9"/>
      <c r="AC202" s="10">
        <f t="shared" si="55"/>
        <v>-4064.0299999999988</v>
      </c>
      <c r="AD202" s="8">
        <f>IFERROR(AC202/AC444, "NA")</f>
        <v>-1.1090929201505109E-2</v>
      </c>
    </row>
    <row r="203" spans="1:30" ht="16.5" customHeight="1" x14ac:dyDescent="0.45">
      <c r="A203" s="6" t="s">
        <v>185</v>
      </c>
      <c r="B203" s="7">
        <v>3004.74</v>
      </c>
      <c r="C203" s="8">
        <f>IFERROR(B203/B444, "NA")</f>
        <v>5.0576380772613073E-3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-3004.74</v>
      </c>
      <c r="I203" s="8">
        <f>IFERROR(H203/H444, "NA")</f>
        <v>5.2109778877602091E-2</v>
      </c>
      <c r="J203" s="9"/>
      <c r="K203" s="7">
        <v>2894.02</v>
      </c>
      <c r="L203" s="8">
        <f>IFERROR(K203/K444, "NA")</f>
        <v>5.1251572822686546E-3</v>
      </c>
      <c r="M203" s="9"/>
      <c r="N203" s="10">
        <f t="shared" si="53"/>
        <v>-110.7199999999998</v>
      </c>
      <c r="O203" s="8">
        <f>IFERROR(N203/N444, "NA")</f>
        <v>-3.7621538602681955E-3</v>
      </c>
      <c r="P203" s="9"/>
      <c r="Q203" s="7">
        <v>21148.14</v>
      </c>
      <c r="R203" s="8">
        <f>IFERROR(Q203/Q444, "NA")</f>
        <v>7.4030727575391123E-3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-21148.14</v>
      </c>
      <c r="X203" s="8">
        <f>IFERROR(W203/W444, "NA")</f>
        <v>-0.49807300626095868</v>
      </c>
      <c r="Y203" s="9"/>
      <c r="Z203" s="7">
        <v>14590.07</v>
      </c>
      <c r="AA203" s="8">
        <f>IFERROR(Z203/Z444, "NA")</f>
        <v>5.8588957623075298E-3</v>
      </c>
      <c r="AB203" s="9"/>
      <c r="AC203" s="10">
        <f t="shared" si="55"/>
        <v>-6558.07</v>
      </c>
      <c r="AD203" s="8">
        <f>IFERROR(AC203/AC444, "NA")</f>
        <v>-1.7897281779050506E-2</v>
      </c>
    </row>
    <row r="204" spans="1:30" ht="16.5" customHeight="1" x14ac:dyDescent="0.45">
      <c r="A204" s="6" t="s">
        <v>186</v>
      </c>
      <c r="B204" s="7">
        <v>1426.2499999999998</v>
      </c>
      <c r="C204" s="8">
        <f>IFERROR(B204/B444, "NA")</f>
        <v>2.4006923419976232E-3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-1426.2499999999998</v>
      </c>
      <c r="I204" s="8">
        <f>IFERROR(H204/H444, "NA")</f>
        <v>2.4734776427970465E-2</v>
      </c>
      <c r="J204" s="9"/>
      <c r="K204" s="7">
        <v>445.46999999999997</v>
      </c>
      <c r="L204" s="8">
        <f>IFERROR(K204/K444, "NA")</f>
        <v>7.8890395178064332E-4</v>
      </c>
      <c r="M204" s="9"/>
      <c r="N204" s="10">
        <f t="shared" si="53"/>
        <v>-980.77999999999975</v>
      </c>
      <c r="O204" s="8">
        <f>IFERROR(N204/N444, "NA")</f>
        <v>-3.3325914587010896E-2</v>
      </c>
      <c r="P204" s="9"/>
      <c r="Q204" s="7">
        <v>3521.14</v>
      </c>
      <c r="R204" s="8">
        <f>IFERROR(Q204/Q444, "NA")</f>
        <v>1.2326027541656745E-3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-3521.14</v>
      </c>
      <c r="X204" s="8">
        <f>IFERROR(W204/W444, "NA")</f>
        <v>-8.292855945088845E-2</v>
      </c>
      <c r="Y204" s="9"/>
      <c r="Z204" s="7">
        <v>3926.19</v>
      </c>
      <c r="AA204" s="8">
        <f>IFERROR(Z204/Z444, "NA")</f>
        <v>1.5766297182271368E-3</v>
      </c>
      <c r="AB204" s="9"/>
      <c r="AC204" s="10">
        <f t="shared" si="55"/>
        <v>405.05000000000018</v>
      </c>
      <c r="AD204" s="8">
        <f>IFERROR(AC204/AC444, "NA")</f>
        <v>1.1054005194522797E-3</v>
      </c>
    </row>
    <row r="205" spans="1:30" ht="16.5" customHeight="1" x14ac:dyDescent="0.45">
      <c r="A205" s="6" t="s">
        <v>187</v>
      </c>
      <c r="B205" s="7">
        <v>2053.5</v>
      </c>
      <c r="C205" s="8">
        <f>IFERROR(B205/B444, "NA")</f>
        <v>3.4564920065150713E-3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-2053.5</v>
      </c>
      <c r="I205" s="8">
        <f>IFERROR(H205/H444, "NA")</f>
        <v>3.5612875298746613E-2</v>
      </c>
      <c r="J205" s="9"/>
      <c r="K205" s="7">
        <v>1653.41</v>
      </c>
      <c r="L205" s="8">
        <f>IFERROR(K205/K444, "NA")</f>
        <v>2.9281021907505188E-3</v>
      </c>
      <c r="M205" s="9"/>
      <c r="N205" s="10">
        <f t="shared" si="53"/>
        <v>-400.08999999999992</v>
      </c>
      <c r="O205" s="8">
        <f>IFERROR(N205/N444, "NA")</f>
        <v>-1.3594654425168936E-2</v>
      </c>
      <c r="P205" s="9"/>
      <c r="Q205" s="7">
        <v>10408.58</v>
      </c>
      <c r="R205" s="8">
        <f>IFERROR(Q205/Q444, "NA")</f>
        <v>3.6436053025309294E-3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-10408.58</v>
      </c>
      <c r="X205" s="8">
        <f>IFERROR(W205/W444, "NA")</f>
        <v>-0.24513894515109552</v>
      </c>
      <c r="Y205" s="9"/>
      <c r="Z205" s="7">
        <v>9286.3100000000013</v>
      </c>
      <c r="AA205" s="8">
        <f>IFERROR(Z205/Z444, "NA")</f>
        <v>3.7290789082214172E-3</v>
      </c>
      <c r="AB205" s="9"/>
      <c r="AC205" s="10">
        <f t="shared" si="55"/>
        <v>-1122.2699999999986</v>
      </c>
      <c r="AD205" s="8">
        <f>IFERROR(AC205/AC444, "NA")</f>
        <v>-3.0627276656356199E-3</v>
      </c>
    </row>
    <row r="206" spans="1:30" ht="16.5" customHeight="1" x14ac:dyDescent="0.45">
      <c r="A206" s="6" t="s">
        <v>188</v>
      </c>
      <c r="B206" s="7">
        <v>1247.73</v>
      </c>
      <c r="C206" s="8">
        <f>IFERROR(B206/B444, "NA")</f>
        <v>2.100203930503555E-3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-1247.73</v>
      </c>
      <c r="I206" s="8">
        <f>IFERROR(H206/H444, "NA")</f>
        <v>2.163878884660585E-2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-1247.73</v>
      </c>
      <c r="O206" s="8">
        <f>IFERROR(N206/N444, "NA")</f>
        <v>-4.2396606178399965E-2</v>
      </c>
      <c r="P206" s="9"/>
      <c r="Q206" s="7">
        <v>1731.9599999999998</v>
      </c>
      <c r="R206" s="8">
        <f>IFERROR(Q206/Q444, "NA")</f>
        <v>6.0628622153756492E-4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-1731.9599999999998</v>
      </c>
      <c r="X206" s="8">
        <f>IFERROR(W206/W444, "NA")</f>
        <v>-4.0790467810584284E-2</v>
      </c>
      <c r="Y206" s="9"/>
      <c r="Z206" s="7">
        <v>1210.6300000000001</v>
      </c>
      <c r="AA206" s="8">
        <f>IFERROR(Z206/Z444, "NA")</f>
        <v>4.8614948226584012E-4</v>
      </c>
      <c r="AB206" s="9"/>
      <c r="AC206" s="10">
        <f t="shared" si="55"/>
        <v>-521.3299999999997</v>
      </c>
      <c r="AD206" s="8">
        <f>IFERROR(AC206/AC444, "NA")</f>
        <v>-1.4227341138280615E-3</v>
      </c>
    </row>
    <row r="207" spans="1:30" ht="16.5" customHeight="1" x14ac:dyDescent="0.45">
      <c r="A207" s="6" t="s">
        <v>189</v>
      </c>
      <c r="B207" s="7">
        <v>2443.46</v>
      </c>
      <c r="C207" s="8">
        <f>IFERROR(B207/B444, "NA")</f>
        <v>4.1128804276792386E-3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-2443.46</v>
      </c>
      <c r="I207" s="8">
        <f>IFERROR(H207/H444, "NA")</f>
        <v>4.2375766387862383E-2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-2443.46</v>
      </c>
      <c r="O207" s="8">
        <f>IFERROR(N207/N444, "NA")</f>
        <v>-8.302630483572021E-2</v>
      </c>
      <c r="P207" s="9"/>
      <c r="Q207" s="7">
        <v>2941.45</v>
      </c>
      <c r="R207" s="8">
        <f>IFERROR(Q207/Q444, "NA")</f>
        <v>1.029677709844148E-3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-2941.45</v>
      </c>
      <c r="X207" s="8">
        <f>IFERROR(W207/W444, "NA")</f>
        <v>-6.927591950243836E-2</v>
      </c>
      <c r="Y207" s="9"/>
      <c r="Z207" s="7">
        <v>1541.54</v>
      </c>
      <c r="AA207" s="8">
        <f>IFERROR(Z207/Z444, "NA")</f>
        <v>6.190321344193379E-4</v>
      </c>
      <c r="AB207" s="9"/>
      <c r="AC207" s="10">
        <f t="shared" si="55"/>
        <v>-1399.9099999999999</v>
      </c>
      <c r="AD207" s="8">
        <f>IFERROR(AC207/AC444, "NA")</f>
        <v>-3.8204202967200094E-3</v>
      </c>
    </row>
    <row r="208" spans="1:30" ht="16.5" customHeight="1" x14ac:dyDescent="0.45">
      <c r="A208" s="6" t="s">
        <v>190</v>
      </c>
      <c r="B208" s="7">
        <v>475.9</v>
      </c>
      <c r="C208" s="8">
        <f>IFERROR(B208/B444, "NA")</f>
        <v>8.0104433693719125E-4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-475.9</v>
      </c>
      <c r="I208" s="8">
        <f>IFERROR(H208/H444, "NA")</f>
        <v>8.2533076964565431E-3</v>
      </c>
      <c r="J208" s="9"/>
      <c r="K208" s="7">
        <v>1255.71</v>
      </c>
      <c r="L208" s="8">
        <f>IFERROR(K208/K444, "NA")</f>
        <v>2.2237963977158322E-3</v>
      </c>
      <c r="M208" s="9"/>
      <c r="N208" s="10">
        <f t="shared" si="53"/>
        <v>779.81000000000006</v>
      </c>
      <c r="O208" s="8">
        <f>IFERROR(N208/N444, "NA")</f>
        <v>2.649715680794569E-2</v>
      </c>
      <c r="P208" s="9"/>
      <c r="Q208" s="7">
        <v>3959.79</v>
      </c>
      <c r="R208" s="8">
        <f>IFERROR(Q208/Q444, "NA")</f>
        <v>1.3861556370714304E-3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-3959.79</v>
      </c>
      <c r="X208" s="8">
        <f>IFERROR(W208/W444, "NA")</f>
        <v>-9.3259478585922054E-2</v>
      </c>
      <c r="Y208" s="9"/>
      <c r="Z208" s="7">
        <v>3304.6699999999996</v>
      </c>
      <c r="AA208" s="8">
        <f>IFERROR(Z208/Z444, "NA")</f>
        <v>1.3270475781695923E-3</v>
      </c>
      <c r="AB208" s="9"/>
      <c r="AC208" s="10">
        <f t="shared" si="55"/>
        <v>-655.12000000000035</v>
      </c>
      <c r="AD208" s="8">
        <f>IFERROR(AC208/AC444, "NA")</f>
        <v>-1.7878533225616034E-3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16546.23</v>
      </c>
      <c r="C209" s="15">
        <f>IFERROR(B209/B444, "NA")</f>
        <v>2.7850943137550457E-2</v>
      </c>
      <c r="D209" s="2"/>
      <c r="E209" s="14">
        <f>IFERROR(E201+E202+E203+E204+E205+E206+E207+E208, "NA")</f>
        <v>12566.47</v>
      </c>
      <c r="F209" s="15">
        <f>IFERROR(E209/E444, "NA")</f>
        <v>1.928078932224837E-2</v>
      </c>
      <c r="G209" s="2"/>
      <c r="H209" s="14">
        <f t="shared" si="52"/>
        <v>-3979.76</v>
      </c>
      <c r="I209" s="15">
        <f>IFERROR(H209/H444, "NA")</f>
        <v>6.9019087703403856E-2</v>
      </c>
      <c r="J209" s="2"/>
      <c r="K209" s="14">
        <f>IFERROR(K201+K202+K203+K204+K205+K206+K207+K208, "NA")</f>
        <v>10969.57</v>
      </c>
      <c r="L209" s="15">
        <f>IFERROR(K209/K444, "NA")</f>
        <v>1.9426531803116692E-2</v>
      </c>
      <c r="M209" s="2"/>
      <c r="N209" s="14">
        <f t="shared" si="53"/>
        <v>-5576.66</v>
      </c>
      <c r="O209" s="15">
        <f>IFERROR(N209/N444, "NA")</f>
        <v>-0.18948927877893129</v>
      </c>
      <c r="P209" s="2"/>
      <c r="Q209" s="14">
        <f>IFERROR(Q201+Q202+Q203+Q204+Q205+Q206+Q207+Q208, "NA")</f>
        <v>71903.53</v>
      </c>
      <c r="R209" s="15">
        <f>IFERROR(Q209/Q444, "NA")</f>
        <v>2.517039626718455E-2</v>
      </c>
      <c r="S209" s="2"/>
      <c r="T209" s="14">
        <f>IFERROR(T201+T202+T203+T204+T205+T206+T207+T208, "NA")</f>
        <v>55399.789999999994</v>
      </c>
      <c r="U209" s="15">
        <f>IFERROR(T209/T444, "NA")</f>
        <v>1.9685729707851578E-2</v>
      </c>
      <c r="V209" s="2"/>
      <c r="W209" s="14">
        <f t="shared" si="54"/>
        <v>-16503.740000000005</v>
      </c>
      <c r="X209" s="15">
        <f>IFERROR(W209/W444, "NA")</f>
        <v>-0.38868985151172808</v>
      </c>
      <c r="Y209" s="2"/>
      <c r="Z209" s="14">
        <f>IFERROR(Z201+Z202+Z203+Z204+Z205+Z206+Z207+Z208, "NA")</f>
        <v>57987.850000000006</v>
      </c>
      <c r="AA209" s="15">
        <f>IFERROR(Z209/Z444, "NA")</f>
        <v>2.3286027320658827E-2</v>
      </c>
      <c r="AB209" s="2"/>
      <c r="AC209" s="14">
        <f t="shared" si="55"/>
        <v>-13915.679999999993</v>
      </c>
      <c r="AD209" s="15">
        <f>IFERROR(AC209/AC444, "NA")</f>
        <v>-3.7976545859848623E-2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22322.22</v>
      </c>
      <c r="F213" s="8">
        <f>IFERROR(E213/E444, "NA")</f>
        <v>3.4249078780666256E-2</v>
      </c>
      <c r="G213" s="9"/>
      <c r="H213" s="10">
        <f t="shared" ref="H213:H227" si="56">IFERROR(-(B213-E213), "NA")</f>
        <v>22322.22</v>
      </c>
      <c r="I213" s="8">
        <f>IFERROR(H213/H444, "NA")</f>
        <v>-0.38712366070182014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97697.07</v>
      </c>
      <c r="U213" s="8">
        <f>IFERROR(T213/T444, "NA")</f>
        <v>3.4715621002697941E-2</v>
      </c>
      <c r="V213" s="9"/>
      <c r="W213" s="10">
        <f t="shared" ref="W213:W227" si="58">IFERROR(-(Q213-T213), "NA")</f>
        <v>97697.07</v>
      </c>
      <c r="X213" s="8">
        <f>IFERROR(W213/W444, "NA")</f>
        <v>2.3009244953829189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3457.5699999999997</v>
      </c>
      <c r="C214" s="8">
        <f>IFERROR(B214/B444, "NA")</f>
        <v>5.8198505317586134E-3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-3457.5699999999997</v>
      </c>
      <c r="I214" s="8">
        <f>IFERROR(H214/H444, "NA")</f>
        <v>5.9962994519935385E-2</v>
      </c>
      <c r="J214" s="9"/>
      <c r="K214" s="7">
        <v>2465</v>
      </c>
      <c r="L214" s="8">
        <f>IFERROR(K214/K444, "NA")</f>
        <v>4.3653854157166272E-3</v>
      </c>
      <c r="M214" s="9"/>
      <c r="N214" s="10">
        <f t="shared" si="57"/>
        <v>-992.56999999999971</v>
      </c>
      <c r="O214" s="8">
        <f>IFERROR(N214/N444, "NA")</f>
        <v>-3.3726526888424931E-2</v>
      </c>
      <c r="P214" s="9"/>
      <c r="Q214" s="7">
        <v>63765.2</v>
      </c>
      <c r="R214" s="8">
        <f>IFERROR(Q214/Q444, "NA")</f>
        <v>2.2321509834861742E-2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-63765.2</v>
      </c>
      <c r="X214" s="8">
        <f>IFERROR(W214/W444, "NA")</f>
        <v>-1.5017739081938781</v>
      </c>
      <c r="Y214" s="9"/>
      <c r="Z214" s="7">
        <v>11426</v>
      </c>
      <c r="AA214" s="8">
        <f>IFERROR(Z214/Z444, "NA")</f>
        <v>4.5883085537030211E-3</v>
      </c>
      <c r="AB214" s="9"/>
      <c r="AC214" s="10">
        <f t="shared" si="59"/>
        <v>-52339.199999999997</v>
      </c>
      <c r="AD214" s="8">
        <f>IFERROR(AC214/AC444, "NA")</f>
        <v>-0.14283614089054864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321.27</v>
      </c>
      <c r="C216" s="8">
        <f>IFERROR(B216/B444, "NA")</f>
        <v>5.4076804817779244E-4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-321.27</v>
      </c>
      <c r="I216" s="8">
        <f>IFERROR(H216/H444, "NA")</f>
        <v>5.5716330397995242E-3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-321.27</v>
      </c>
      <c r="O216" s="8">
        <f>IFERROR(N216/N444, "NA")</f>
        <v>-1.0916430371101564E-2</v>
      </c>
      <c r="P216" s="9"/>
      <c r="Q216" s="7">
        <v>462.22000000000008</v>
      </c>
      <c r="R216" s="8">
        <f>IFERROR(Q216/Q444, "NA")</f>
        <v>1.6180374680656214E-4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-462.22000000000008</v>
      </c>
      <c r="X216" s="8">
        <f>IFERROR(W216/W444, "NA")</f>
        <v>-1.0886030873350581E-2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-462.22000000000008</v>
      </c>
      <c r="AD216" s="8">
        <f>IFERROR(AC216/AC444, "NA")</f>
        <v>-1.2614201409732934E-3</v>
      </c>
    </row>
    <row r="217" spans="1:30" ht="16.5" customHeight="1" x14ac:dyDescent="0.45">
      <c r="A217" s="12" t="s">
        <v>197</v>
      </c>
      <c r="B217" s="7">
        <v>9153.43</v>
      </c>
      <c r="C217" s="8">
        <f>IFERROR(B217/B444, "NA")</f>
        <v>1.5407235270121864E-2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-9153.43</v>
      </c>
      <c r="I217" s="8">
        <f>IFERROR(H217/H444, "NA")</f>
        <v>0.15874358955237702</v>
      </c>
      <c r="J217" s="9"/>
      <c r="K217" s="7">
        <v>1356.5</v>
      </c>
      <c r="L217" s="8">
        <f>IFERROR(K217/K444, "NA")</f>
        <v>2.4022901892168783E-3</v>
      </c>
      <c r="M217" s="9"/>
      <c r="N217" s="10">
        <f t="shared" si="57"/>
        <v>-7796.93</v>
      </c>
      <c r="O217" s="8">
        <f>IFERROR(N217/N444, "NA")</f>
        <v>-0.26493181266023264</v>
      </c>
      <c r="P217" s="9"/>
      <c r="Q217" s="7">
        <v>69642.429999999993</v>
      </c>
      <c r="R217" s="8">
        <f>IFERROR(Q217/Q444, "NA")</f>
        <v>2.4378880426450009E-2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-69642.429999999993</v>
      </c>
      <c r="X217" s="8">
        <f>IFERROR(W217/W444, "NA")</f>
        <v>-1.640192209500144</v>
      </c>
      <c r="Y217" s="9"/>
      <c r="Z217" s="7">
        <v>5871.7800000000007</v>
      </c>
      <c r="AA217" s="8">
        <f>IFERROR(Z217/Z444, "NA")</f>
        <v>2.3579151408596472E-3</v>
      </c>
      <c r="AB217" s="9"/>
      <c r="AC217" s="10">
        <f t="shared" si="59"/>
        <v>-63770.649999999994</v>
      </c>
      <c r="AD217" s="8">
        <f>IFERROR(AC217/AC444, "NA")</f>
        <v>-0.17403310612469935</v>
      </c>
    </row>
    <row r="218" spans="1:30" ht="16.5" customHeight="1" x14ac:dyDescent="0.45">
      <c r="A218" s="13" t="s">
        <v>198</v>
      </c>
      <c r="B218" s="14">
        <f>IFERROR(B213+B214+B215+B216+B217, "NA")</f>
        <v>12932.27</v>
      </c>
      <c r="C218" s="15">
        <f>IFERROR(B218/B444, "NA")</f>
        <v>2.1767853850058271E-2</v>
      </c>
      <c r="D218" s="2"/>
      <c r="E218" s="14">
        <f>IFERROR(E213+E214+E215+E216+E217, "NA")</f>
        <v>22322.22</v>
      </c>
      <c r="F218" s="15">
        <f>IFERROR(E218/E444, "NA")</f>
        <v>3.4249078780666256E-2</v>
      </c>
      <c r="G218" s="2"/>
      <c r="H218" s="14">
        <f t="shared" si="56"/>
        <v>9389.9500000000007</v>
      </c>
      <c r="I218" s="15">
        <f>IFERROR(H218/H444, "NA")</f>
        <v>-0.16284544358970821</v>
      </c>
      <c r="J218" s="2"/>
      <c r="K218" s="14">
        <f>IFERROR(K213+K214+K215+K216+K217, "NA")</f>
        <v>3821.5</v>
      </c>
      <c r="L218" s="15">
        <f>IFERROR(K218/K444, "NA")</f>
        <v>6.7676756049335051E-3</v>
      </c>
      <c r="M218" s="2"/>
      <c r="N218" s="14">
        <f t="shared" si="57"/>
        <v>-9110.77</v>
      </c>
      <c r="O218" s="15">
        <f>IFERROR(N218/N444, "NA")</f>
        <v>-0.30957476991975913</v>
      </c>
      <c r="P218" s="2"/>
      <c r="Q218" s="14">
        <f>IFERROR(Q213+Q214+Q215+Q216+Q217, "NA")</f>
        <v>133869.84999999998</v>
      </c>
      <c r="R218" s="15">
        <f>IFERROR(Q218/Q444, "NA")</f>
        <v>4.6862194008118307E-2</v>
      </c>
      <c r="S218" s="2"/>
      <c r="T218" s="14">
        <f>IFERROR(T213+T214+T215+T216+T217, "NA")</f>
        <v>97697.07</v>
      </c>
      <c r="U218" s="15">
        <f>IFERROR(T218/T444, "NA")</f>
        <v>3.4715621002697941E-2</v>
      </c>
      <c r="V218" s="2"/>
      <c r="W218" s="14">
        <f t="shared" si="58"/>
        <v>-36172.77999999997</v>
      </c>
      <c r="X218" s="15">
        <f>IFERROR(W218/W444, "NA")</f>
        <v>-0.8519276531844534</v>
      </c>
      <c r="Y218" s="2"/>
      <c r="Z218" s="14">
        <f>IFERROR(Z213+Z214+Z215+Z216+Z217, "NA")</f>
        <v>17297.78</v>
      </c>
      <c r="AA218" s="15">
        <f>IFERROR(Z218/Z444, "NA")</f>
        <v>6.9462236945626683E-3</v>
      </c>
      <c r="AB218" s="2"/>
      <c r="AC218" s="14">
        <f t="shared" si="59"/>
        <v>-116572.06999999998</v>
      </c>
      <c r="AD218" s="15">
        <f>IFERROR(AC218/AC444, "NA")</f>
        <v>-0.31813066715622124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335.98</v>
      </c>
      <c r="C222" s="8">
        <f>IFERROR(B222/B444, "NA")</f>
        <v>5.6552821249035001E-4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-335.98</v>
      </c>
      <c r="I222" s="8">
        <f>IFERROR(H222/H444, "NA")</f>
        <v>5.826741584062765E-3</v>
      </c>
      <c r="J222" s="9"/>
      <c r="K222" s="7">
        <v>300</v>
      </c>
      <c r="L222" s="8">
        <f>IFERROR(K222/K444, "NA")</f>
        <v>5.3128422909330144E-4</v>
      </c>
      <c r="M222" s="9"/>
      <c r="N222" s="10">
        <f t="shared" si="57"/>
        <v>-35.980000000000018</v>
      </c>
      <c r="O222" s="8">
        <f>IFERROR(N222/N444, "NA")</f>
        <v>-1.2225640886240063E-3</v>
      </c>
      <c r="P222" s="9"/>
      <c r="Q222" s="7">
        <v>4829.79</v>
      </c>
      <c r="R222" s="8">
        <f>IFERROR(Q222/Q444, "NA")</f>
        <v>1.6907059804613942E-3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-4829.79</v>
      </c>
      <c r="X222" s="8">
        <f>IFERROR(W222/W444, "NA")</f>
        <v>-0.11374939001298061</v>
      </c>
      <c r="Y222" s="9"/>
      <c r="Z222" s="7">
        <v>1700</v>
      </c>
      <c r="AA222" s="8">
        <f>IFERROR(Z222/Z444, "NA")</f>
        <v>6.8266449687512138E-4</v>
      </c>
      <c r="AB222" s="9"/>
      <c r="AC222" s="10">
        <f t="shared" si="59"/>
        <v>-3129.79</v>
      </c>
      <c r="AD222" s="8">
        <f>IFERROR(AC222/AC444, "NA")</f>
        <v>-8.5413442581818259E-3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651.76</v>
      </c>
      <c r="F226" s="8">
        <f>IFERROR(E226/E444, "NA")</f>
        <v>9.9999818952089159E-4</v>
      </c>
      <c r="G226" s="9"/>
      <c r="H226" s="10">
        <f t="shared" si="56"/>
        <v>651.76</v>
      </c>
      <c r="I226" s="8">
        <f>IFERROR(H226/H444, "NA")</f>
        <v>-1.1303164161047525E-2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2814.21</v>
      </c>
      <c r="U226" s="8">
        <f>IFERROR(T226/T444, "NA")</f>
        <v>9.999997725827661E-4</v>
      </c>
      <c r="V226" s="9"/>
      <c r="W226" s="10">
        <f t="shared" si="58"/>
        <v>2814.21</v>
      </c>
      <c r="X226" s="8">
        <f>IFERROR(W226/W444, "NA")</f>
        <v>6.6279211077175229E-2</v>
      </c>
      <c r="Y226" s="9"/>
      <c r="Z226" s="7">
        <v>3956.1899999999996</v>
      </c>
      <c r="AA226" s="8">
        <f>IFERROR(Z226/Z444, "NA")</f>
        <v>1.5886767387602271E-3</v>
      </c>
      <c r="AB226" s="9"/>
      <c r="AC226" s="10">
        <f t="shared" si="59"/>
        <v>3956.1899999999996</v>
      </c>
      <c r="AD226" s="8">
        <f>IFERROR(AC226/AC444, "NA")</f>
        <v>1.0796628764478242E-2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13268.25</v>
      </c>
      <c r="C227" s="15">
        <f>IFERROR(B227/B444, "NA")</f>
        <v>2.2333382062548621E-2</v>
      </c>
      <c r="D227" s="2"/>
      <c r="E227" s="14">
        <f>IFERROR(E211+E213+E214+E215+E216+E217+E219+E220+E221+E222+E223+E224+E225+E226, "NA")</f>
        <v>22973.98</v>
      </c>
      <c r="F227" s="15">
        <f>IFERROR(E227/E444, "NA")</f>
        <v>3.5249076970187143E-2</v>
      </c>
      <c r="G227" s="2"/>
      <c r="H227" s="14">
        <f t="shared" si="56"/>
        <v>9705.73</v>
      </c>
      <c r="I227" s="15">
        <f>IFERROR(H227/H444, "NA")</f>
        <v>-0.16832186616669292</v>
      </c>
      <c r="J227" s="2"/>
      <c r="K227" s="14">
        <f>IFERROR(K211+K213+K214+K215+K216+K217+K219+K220+K221+K222+K223+K224+K225+K226, "NA")</f>
        <v>4121.5</v>
      </c>
      <c r="L227" s="15">
        <f>IFERROR(K227/K444, "NA")</f>
        <v>7.2989598340268066E-3</v>
      </c>
      <c r="M227" s="2"/>
      <c r="N227" s="14">
        <f t="shared" si="57"/>
        <v>-9146.75</v>
      </c>
      <c r="O227" s="15">
        <f>IFERROR(N227/N444, "NA")</f>
        <v>-0.31079733400838311</v>
      </c>
      <c r="P227" s="2"/>
      <c r="Q227" s="14">
        <f>IFERROR(Q211+Q213+Q214+Q215+Q216+Q217+Q219+Q220+Q221+Q222+Q223+Q224+Q225+Q226, "NA")</f>
        <v>138699.63999999998</v>
      </c>
      <c r="R227" s="15">
        <f>IFERROR(Q227/Q444, "NA")</f>
        <v>4.8552899988579708E-2</v>
      </c>
      <c r="S227" s="2"/>
      <c r="T227" s="14">
        <f>IFERROR(T211+T213+T214+T215+T216+T217+T219+T220+T221+T222+T223+T224+T225+T226, "NA")</f>
        <v>100511.28000000001</v>
      </c>
      <c r="U227" s="15">
        <f>IFERROR(T227/T444, "NA")</f>
        <v>3.5715620775280711E-2</v>
      </c>
      <c r="V227" s="2"/>
      <c r="W227" s="14">
        <f t="shared" si="58"/>
        <v>-38188.359999999971</v>
      </c>
      <c r="X227" s="15">
        <f>IFERROR(W227/W444, "NA")</f>
        <v>-0.89939783212025881</v>
      </c>
      <c r="Y227" s="2"/>
      <c r="Z227" s="14">
        <f>IFERROR(Z211+Z213+Z214+Z215+Z216+Z217+Z219+Z220+Z221+Z222+Z223+Z224+Z225+Z226, "NA")</f>
        <v>22953.969999999998</v>
      </c>
      <c r="AA227" s="15">
        <f>IFERROR(Z227/Z444, "NA")</f>
        <v>9.2175649301980151E-3</v>
      </c>
      <c r="AB227" s="2"/>
      <c r="AC227" s="14">
        <f t="shared" si="59"/>
        <v>-115745.66999999998</v>
      </c>
      <c r="AD227" s="15">
        <f>IFERROR(AC227/AC444, "NA")</f>
        <v>-0.31587538264992487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11222.07</v>
      </c>
      <c r="F229" s="8">
        <f>IFERROR(E229/E444, "NA")</f>
        <v>1.7218070582233815E-2</v>
      </c>
      <c r="G229" s="9"/>
      <c r="H229" s="10">
        <f t="shared" ref="H229:H236" si="60">IFERROR(-(B229-E229), "NA")</f>
        <v>11222.07</v>
      </c>
      <c r="I229" s="8">
        <f>IFERROR(H229/H444, "NA")</f>
        <v>-0.19461903068118111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48425.93</v>
      </c>
      <c r="U229" s="8">
        <f>IFERROR(T229/T444, "NA")</f>
        <v>1.7207642282242246E-2</v>
      </c>
      <c r="V229" s="9"/>
      <c r="W229" s="10">
        <f t="shared" ref="W229:W236" si="62">IFERROR(-(Q229-T229), "NA")</f>
        <v>48425.93</v>
      </c>
      <c r="X229" s="8">
        <f>IFERROR(W229/W444, "NA")</f>
        <v>1.1405092143367099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2.9387357847801672E-5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-1.9771586945995004E-3</v>
      </c>
      <c r="Y230" s="9"/>
      <c r="Z230" s="7">
        <v>682.33999999999992</v>
      </c>
      <c r="AA230" s="8">
        <f>IFERROR(Z230/Z444, "NA")</f>
        <v>2.7400546635162953E-4</v>
      </c>
      <c r="AB230" s="9"/>
      <c r="AC230" s="10">
        <f t="shared" si="63"/>
        <v>598.38999999999987</v>
      </c>
      <c r="AD230" s="8">
        <f>IFERROR(AC230/AC444, "NA")</f>
        <v>1.6330344817554602E-3</v>
      </c>
    </row>
    <row r="231" spans="1:30" ht="16.5" customHeight="1" x14ac:dyDescent="0.45">
      <c r="A231" s="6" t="s">
        <v>210</v>
      </c>
      <c r="B231" s="7">
        <v>1029</v>
      </c>
      <c r="C231" s="8">
        <f>IFERROR(B231/B444, "NA")</f>
        <v>1.7320332479688377E-3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-1029</v>
      </c>
      <c r="I231" s="8">
        <f>IFERROR(H231/H444, "NA")</f>
        <v>1.7845458330854769E-2</v>
      </c>
      <c r="J231" s="9"/>
      <c r="K231" s="7">
        <v>1543.08</v>
      </c>
      <c r="L231" s="8">
        <f>IFERROR(K231/K444, "NA")</f>
        <v>2.7327135607643055E-3</v>
      </c>
      <c r="M231" s="9"/>
      <c r="N231" s="10">
        <f t="shared" si="61"/>
        <v>514.07999999999993</v>
      </c>
      <c r="O231" s="8">
        <f>IFERROR(N231/N444, "NA")</f>
        <v>1.7467919585320422E-2</v>
      </c>
      <c r="P231" s="9"/>
      <c r="Q231" s="7">
        <v>5586.3</v>
      </c>
      <c r="R231" s="8">
        <f>IFERROR(Q231/Q444, "NA")</f>
        <v>1.9555282566429363E-3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-5586.3</v>
      </c>
      <c r="X231" s="8">
        <f>IFERROR(W231/W444, "NA")</f>
        <v>-0.13156642782181288</v>
      </c>
      <c r="Y231" s="9"/>
      <c r="Z231" s="7">
        <v>6604.65</v>
      </c>
      <c r="AA231" s="8">
        <f>IFERROR(Z231/Z444, "NA")</f>
        <v>2.6522118054625116E-3</v>
      </c>
      <c r="AB231" s="9"/>
      <c r="AC231" s="10">
        <f t="shared" si="63"/>
        <v>1018.3499999999995</v>
      </c>
      <c r="AD231" s="8">
        <f>IFERROR(AC231/AC444, "NA")</f>
        <v>2.7791250931594319E-3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34</v>
      </c>
      <c r="AA233" s="8">
        <f>IFERROR(Z233/Z444, "NA")</f>
        <v>1.3653289937502427E-5</v>
      </c>
      <c r="AB233" s="9"/>
      <c r="AC233" s="10">
        <f t="shared" si="63"/>
        <v>34</v>
      </c>
      <c r="AD233" s="8">
        <f>IFERROR(AC233/AC444, "NA")</f>
        <v>9.2787600694673478E-5</v>
      </c>
    </row>
    <row r="234" spans="1:30" ht="16.5" customHeight="1" x14ac:dyDescent="0.45">
      <c r="A234" s="6" t="s">
        <v>213</v>
      </c>
      <c r="B234" s="7">
        <v>8819.65</v>
      </c>
      <c r="C234" s="8">
        <f>IFERROR(B234/B444, "NA")</f>
        <v>1.4845410141349231E-2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-8819.65</v>
      </c>
      <c r="I234" s="8">
        <f>IFERROR(H234/H444, "NA")</f>
        <v>0.15295500152354055</v>
      </c>
      <c r="J234" s="9"/>
      <c r="K234" s="7">
        <v>11267.419999999998</v>
      </c>
      <c r="L234" s="8">
        <f>IFERROR(K234/K444, "NA")</f>
        <v>1.9954008495234821E-2</v>
      </c>
      <c r="M234" s="9"/>
      <c r="N234" s="10">
        <f t="shared" si="61"/>
        <v>2447.7699999999986</v>
      </c>
      <c r="O234" s="8">
        <f>IFERROR(N234/N444, "NA")</f>
        <v>8.3172754286025039E-2</v>
      </c>
      <c r="P234" s="9"/>
      <c r="Q234" s="7">
        <v>42621.279999999999</v>
      </c>
      <c r="R234" s="8">
        <f>IFERROR(Q234/Q444, "NA")</f>
        <v>1.4919914321517003E-2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-42621.279999999999</v>
      </c>
      <c r="X234" s="8">
        <f>IFERROR(W234/W444, "NA")</f>
        <v>-1.0038002897791518</v>
      </c>
      <c r="Y234" s="9"/>
      <c r="Z234" s="7">
        <v>43214.86</v>
      </c>
      <c r="AA234" s="8">
        <f>IFERROR(Z234/Z444, "NA")</f>
        <v>1.7353676858487533E-2</v>
      </c>
      <c r="AB234" s="9"/>
      <c r="AC234" s="10">
        <f t="shared" si="63"/>
        <v>593.58000000000175</v>
      </c>
      <c r="AD234" s="8">
        <f>IFERROR(AC234/AC444, "NA")</f>
        <v>1.6199077653042482E-3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9848.65</v>
      </c>
      <c r="C236" s="15">
        <f>IFERROR(B236/B444, "NA")</f>
        <v>1.6577443389318068E-2</v>
      </c>
      <c r="D236" s="2"/>
      <c r="E236" s="14">
        <f>IFERROR(E229+E230+E231+E232+E233+E234+E235, "NA")</f>
        <v>11222.07</v>
      </c>
      <c r="F236" s="15">
        <f>IFERROR(E236/E444, "NA")</f>
        <v>1.7218070582233815E-2</v>
      </c>
      <c r="G236" s="2"/>
      <c r="H236" s="14">
        <f t="shared" si="60"/>
        <v>1373.42</v>
      </c>
      <c r="I236" s="15">
        <f>IFERROR(H236/H444, "NA")</f>
        <v>-2.3818570826785769E-2</v>
      </c>
      <c r="J236" s="2"/>
      <c r="K236" s="14">
        <f>IFERROR(K229+K230+K231+K232+K233+K234+K235, "NA")</f>
        <v>12810.499999999998</v>
      </c>
      <c r="L236" s="15">
        <f>IFERROR(K236/K444, "NA")</f>
        <v>2.2686722055999125E-2</v>
      </c>
      <c r="M236" s="2"/>
      <c r="N236" s="14">
        <f t="shared" si="61"/>
        <v>2961.8499999999985</v>
      </c>
      <c r="O236" s="15">
        <f>IFERROR(N236/N444, "NA")</f>
        <v>0.10064067387134545</v>
      </c>
      <c r="P236" s="2"/>
      <c r="Q236" s="14">
        <f>IFERROR(Q229+Q230+Q231+Q232+Q233+Q234+Q235, "NA")</f>
        <v>48291.53</v>
      </c>
      <c r="R236" s="15">
        <f>IFERROR(Q236/Q444, "NA")</f>
        <v>1.690482993600774E-2</v>
      </c>
      <c r="S236" s="2"/>
      <c r="T236" s="14">
        <f>IFERROR(T229+T230+T231+T232+T233+T234+T235, "NA")</f>
        <v>48425.93</v>
      </c>
      <c r="U236" s="15">
        <f>IFERROR(T236/T444, "NA")</f>
        <v>1.7207642282242246E-2</v>
      </c>
      <c r="V236" s="2"/>
      <c r="W236" s="14">
        <f t="shared" si="62"/>
        <v>134.40000000000146</v>
      </c>
      <c r="X236" s="15">
        <f>IFERROR(W236/W444, "NA")</f>
        <v>3.1653380411456314E-3</v>
      </c>
      <c r="Y236" s="2"/>
      <c r="Z236" s="14">
        <f>IFERROR(Z229+Z230+Z231+Z232+Z233+Z234+Z235, "NA")</f>
        <v>50535.85</v>
      </c>
      <c r="AA236" s="15">
        <f>IFERROR(Z236/Z444, "NA")</f>
        <v>2.0293547420239175E-2</v>
      </c>
      <c r="AB236" s="2"/>
      <c r="AC236" s="14">
        <f t="shared" si="63"/>
        <v>2244.3199999999997</v>
      </c>
      <c r="AD236" s="15">
        <f>IFERROR(AC236/AC444, "NA")</f>
        <v>6.1248549409138103E-3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41523.9</v>
      </c>
      <c r="F240" s="8">
        <f>IFERROR(E240/E444, "NA")</f>
        <v>6.3710299530266593E-2</v>
      </c>
      <c r="G240" s="9"/>
      <c r="H240" s="10">
        <f t="shared" ref="H240:H263" si="64">IFERROR(-(B240-E240), "NA")</f>
        <v>41523.9</v>
      </c>
      <c r="I240" s="8">
        <f>IFERROR(H240/H444, "NA")</f>
        <v>-0.72012927811912564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180645.03000000003</v>
      </c>
      <c r="U240" s="8">
        <f>IFERROR(T240/T444, "NA")</f>
        <v>6.4190301689712903E-2</v>
      </c>
      <c r="V240" s="9"/>
      <c r="W240" s="10">
        <f t="shared" ref="W240:W263" si="66">IFERROR(-(Q240-T240), "NA")</f>
        <v>180645.03000000003</v>
      </c>
      <c r="X240" s="8">
        <f>IFERROR(W240/W444, "NA")</f>
        <v>4.2544835223429143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55</v>
      </c>
      <c r="C241" s="8">
        <f>IFERROR(B241/B444, "NA")</f>
        <v>9.2577092942940783E-5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-55</v>
      </c>
      <c r="I241" s="8">
        <f>IFERROR(H241/H444, "NA")</f>
        <v>9.5383888065793214E-4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-55</v>
      </c>
      <c r="O241" s="8">
        <f>IFERROR(N241/N444, "NA")</f>
        <v>-1.8688444934497029E-3</v>
      </c>
      <c r="P241" s="9"/>
      <c r="Q241" s="7">
        <v>776.14</v>
      </c>
      <c r="R241" s="8">
        <f>IFERROR(Q241/Q444, "NA")</f>
        <v>2.7169391209044418E-4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-776.14</v>
      </c>
      <c r="X241" s="8">
        <f>IFERROR(W241/W444, "NA")</f>
        <v>-1.8279356155169225E-2</v>
      </c>
      <c r="Y241" s="9"/>
      <c r="Z241" s="7">
        <v>347.45</v>
      </c>
      <c r="AA241" s="8">
        <f>IFERROR(Z241/Z444, "NA")</f>
        <v>1.395245761407417E-4</v>
      </c>
      <c r="AB241" s="9"/>
      <c r="AC241" s="10">
        <f t="shared" si="67"/>
        <v>-428.69</v>
      </c>
      <c r="AD241" s="8">
        <f>IFERROR(AC241/AC444, "NA")</f>
        <v>-1.1699151924058698E-3</v>
      </c>
    </row>
    <row r="242" spans="1:30" ht="16.5" customHeight="1" x14ac:dyDescent="0.45">
      <c r="A242" s="12" t="s">
        <v>219</v>
      </c>
      <c r="B242" s="7">
        <v>5529.09</v>
      </c>
      <c r="C242" s="8">
        <f>IFERROR(B242/B444, "NA")</f>
        <v>9.3066741603615357E-3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-5529.09</v>
      </c>
      <c r="I242" s="8">
        <f>IFERROR(H242/H444, "NA")</f>
        <v>9.5888382121035745E-2</v>
      </c>
      <c r="J242" s="9"/>
      <c r="K242" s="7">
        <v>5223.8</v>
      </c>
      <c r="L242" s="8">
        <f>IFERROR(K242/K444, "NA")</f>
        <v>9.2510751864586273E-3</v>
      </c>
      <c r="M242" s="9"/>
      <c r="N242" s="10">
        <f t="shared" si="65"/>
        <v>-305.28999999999996</v>
      </c>
      <c r="O242" s="8">
        <f>IFERROR(N242/N444, "NA")</f>
        <v>-1.037344609827745E-2</v>
      </c>
      <c r="P242" s="9"/>
      <c r="Q242" s="7">
        <v>32870.31</v>
      </c>
      <c r="R242" s="8">
        <f>IFERROR(Q242/Q444, "NA")</f>
        <v>1.1506510572223631E-2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-32870.31</v>
      </c>
      <c r="X242" s="8">
        <f>IFERROR(W242/W444, "NA")</f>
        <v>-0.77414912698845628</v>
      </c>
      <c r="Y242" s="9"/>
      <c r="Z242" s="7">
        <v>25590.140000000003</v>
      </c>
      <c r="AA242" s="8">
        <f>IFERROR(Z242/Z444, "NA")</f>
        <v>1.0276164734155246E-2</v>
      </c>
      <c r="AB242" s="9"/>
      <c r="AC242" s="10">
        <f t="shared" si="67"/>
        <v>-7280.1699999999946</v>
      </c>
      <c r="AD242" s="8">
        <f>IFERROR(AC242/AC444, "NA")</f>
        <v>-1.98679266749806E-2</v>
      </c>
    </row>
    <row r="243" spans="1:30" ht="16.5" customHeight="1" x14ac:dyDescent="0.45">
      <c r="A243" s="12" t="s">
        <v>220</v>
      </c>
      <c r="B243" s="7">
        <v>15411.66</v>
      </c>
      <c r="C243" s="8">
        <f>IFERROR(B243/B444, "NA")</f>
        <v>2.5941212367727323E-2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-15411.66</v>
      </c>
      <c r="I243" s="8">
        <f>IFERROR(H243/H444, "NA")</f>
        <v>0.26727710042692049</v>
      </c>
      <c r="J243" s="9"/>
      <c r="K243" s="7">
        <v>18323.990000000002</v>
      </c>
      <c r="L243" s="8">
        <f>IFERROR(K243/K444, "NA")</f>
        <v>3.2450823003544557E-2</v>
      </c>
      <c r="M243" s="9"/>
      <c r="N243" s="10">
        <f t="shared" si="65"/>
        <v>2912.3300000000017</v>
      </c>
      <c r="O243" s="8">
        <f>IFERROR(N243/N444, "NA")</f>
        <v>9.8958034247425039E-2</v>
      </c>
      <c r="P243" s="9"/>
      <c r="Q243" s="7">
        <v>73357.490000000005</v>
      </c>
      <c r="R243" s="8">
        <f>IFERROR(Q243/Q444, "NA")</f>
        <v>2.5679366401983716E-2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-73357.490000000005</v>
      </c>
      <c r="X243" s="8">
        <f>IFERROR(W243/W444, "NA")</f>
        <v>-1.727687899553257</v>
      </c>
      <c r="Y243" s="9"/>
      <c r="Z243" s="7">
        <v>76928.459999999992</v>
      </c>
      <c r="AA243" s="8">
        <f>IFERROR(Z243/Z444, "NA")</f>
        <v>3.0891957906634054E-2</v>
      </c>
      <c r="AB243" s="9"/>
      <c r="AC243" s="10">
        <f t="shared" si="67"/>
        <v>3570.9699999999866</v>
      </c>
      <c r="AD243" s="8">
        <f>IFERROR(AC243/AC444, "NA")</f>
        <v>9.7453452486075554E-3</v>
      </c>
    </row>
    <row r="244" spans="1:30" ht="16.5" customHeight="1" x14ac:dyDescent="0.45">
      <c r="A244" s="12" t="s">
        <v>221</v>
      </c>
      <c r="B244" s="7">
        <v>2803.4700000000003</v>
      </c>
      <c r="C244" s="8">
        <f>IFERROR(B244/B444, "NA")</f>
        <v>4.7188564136862949E-3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-2803.4700000000003</v>
      </c>
      <c r="I244" s="8">
        <f>IFERROR(H244/H444, "NA")</f>
        <v>4.8619248850147151E-2</v>
      </c>
      <c r="J244" s="9"/>
      <c r="K244" s="7">
        <v>107.98</v>
      </c>
      <c r="L244" s="8">
        <f>IFERROR(K244/K444, "NA")</f>
        <v>1.9122690352498233E-4</v>
      </c>
      <c r="M244" s="9"/>
      <c r="N244" s="10">
        <f t="shared" si="65"/>
        <v>-2695.4900000000002</v>
      </c>
      <c r="O244" s="8">
        <f>IFERROR(N244/N444, "NA")</f>
        <v>-9.1590029884522556E-2</v>
      </c>
      <c r="P244" s="9"/>
      <c r="Q244" s="7">
        <v>6329.34</v>
      </c>
      <c r="R244" s="8">
        <f>IFERROR(Q244/Q444, "NA")</f>
        <v>2.2156352533699232E-3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-6329.34</v>
      </c>
      <c r="X244" s="8">
        <f>IFERROR(W244/W444, "NA")</f>
        <v>-0.14906622527786068</v>
      </c>
      <c r="Y244" s="9"/>
      <c r="Z244" s="7">
        <v>198.76</v>
      </c>
      <c r="AA244" s="8">
        <f>IFERROR(Z244/Z444, "NA")</f>
        <v>7.9815526705234773E-5</v>
      </c>
      <c r="AB244" s="9"/>
      <c r="AC244" s="10">
        <f t="shared" si="67"/>
        <v>-6130.58</v>
      </c>
      <c r="AD244" s="8">
        <f>IFERROR(AC244/AC444, "NA")</f>
        <v>-1.6730641443139745E-2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1943.1599999999999</v>
      </c>
      <c r="C246" s="8">
        <f>IFERROR(B246/B444, "NA")</f>
        <v>3.2707655258728146E-3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-1943.1599999999999</v>
      </c>
      <c r="I246" s="8">
        <f>IFERROR(H246/H444, "NA")</f>
        <v>3.3699301078895773E-2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-1943.1599999999999</v>
      </c>
      <c r="O246" s="8">
        <f>IFERROR(N246/N444, "NA")</f>
        <v>-6.6026615743485909E-2</v>
      </c>
      <c r="P246" s="9"/>
      <c r="Q246" s="7">
        <v>9686.6200000000008</v>
      </c>
      <c r="R246" s="8">
        <f>IFERROR(Q246/Q444, "NA")</f>
        <v>3.3908775256184949E-3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-9686.6200000000008</v>
      </c>
      <c r="X246" s="8">
        <f>IFERROR(W246/W444, "NA")</f>
        <v>-0.22813561589376313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-9686.6200000000008</v>
      </c>
      <c r="AD246" s="8">
        <f>IFERROR(AC246/AC444, "NA")</f>
        <v>-2.6435242018854058E-2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75.91</v>
      </c>
      <c r="L247" s="8">
        <f>IFERROR(K247/K444, "NA")</f>
        <v>1.3443261943490837E-4</v>
      </c>
      <c r="M247" s="9"/>
      <c r="N247" s="10">
        <f t="shared" si="65"/>
        <v>75.91</v>
      </c>
      <c r="O247" s="8">
        <f>IFERROR(N247/N444, "NA")</f>
        <v>2.5793451908684901E-3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337.53</v>
      </c>
      <c r="AA247" s="8">
        <f>IFERROR(Z247/Z444, "NA")</f>
        <v>1.3554102801779981E-4</v>
      </c>
      <c r="AB247" s="9"/>
      <c r="AC247" s="10">
        <f t="shared" si="67"/>
        <v>337.53</v>
      </c>
      <c r="AD247" s="8">
        <f>IFERROR(AC247/AC444, "NA")</f>
        <v>9.2113526066097458E-4</v>
      </c>
    </row>
    <row r="248" spans="1:30" ht="16.5" customHeight="1" x14ac:dyDescent="0.45">
      <c r="A248" s="12" t="s">
        <v>225</v>
      </c>
      <c r="B248" s="7">
        <v>1272.3800000000001</v>
      </c>
      <c r="C248" s="8">
        <f>IFERROR(B248/B444, "NA")</f>
        <v>2.1416953003407092E-3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-1272.3800000000001</v>
      </c>
      <c r="I248" s="8">
        <f>IFERROR(H248/H444, "NA")</f>
        <v>2.2066282090391635E-2</v>
      </c>
      <c r="J248" s="9"/>
      <c r="K248" s="7">
        <v>1279.73</v>
      </c>
      <c r="L248" s="8">
        <f>IFERROR(K248/K444, "NA")</f>
        <v>2.2663345549919023E-3</v>
      </c>
      <c r="M248" s="9"/>
      <c r="N248" s="10">
        <f t="shared" si="65"/>
        <v>7.3499999999999091</v>
      </c>
      <c r="O248" s="8">
        <f>IFERROR(N248/N444, "NA")</f>
        <v>2.4974558230645723E-4</v>
      </c>
      <c r="P248" s="9"/>
      <c r="Q248" s="7">
        <v>6063.3600000000006</v>
      </c>
      <c r="R248" s="8">
        <f>IFERROR(Q248/Q444, "NA")</f>
        <v>2.122526862180426E-3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-6063.3600000000006</v>
      </c>
      <c r="X248" s="8">
        <f>IFERROR(W248/W444, "NA")</f>
        <v>-0.14280196477053994</v>
      </c>
      <c r="Y248" s="9"/>
      <c r="Z248" s="7">
        <v>5612.93</v>
      </c>
      <c r="AA248" s="8">
        <f>IFERROR(Z248/Z444, "NA")</f>
        <v>2.2539694320266321E-3</v>
      </c>
      <c r="AB248" s="9"/>
      <c r="AC248" s="10">
        <f t="shared" si="67"/>
        <v>-450.43000000000029</v>
      </c>
      <c r="AD248" s="8">
        <f>IFERROR(AC248/AC444, "NA")</f>
        <v>-1.2292446759088764E-3</v>
      </c>
    </row>
    <row r="249" spans="1:30" ht="16.5" customHeight="1" x14ac:dyDescent="0.45">
      <c r="A249" s="12" t="s">
        <v>226</v>
      </c>
      <c r="B249" s="7">
        <v>7076.1900000000005</v>
      </c>
      <c r="C249" s="8">
        <f>IFERROR(B249/B444, "NA")</f>
        <v>1.1910783623852877E-2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-7076.1900000000005</v>
      </c>
      <c r="I249" s="8">
        <f>IFERROR(H249/H444, "NA")</f>
        <v>0.12271900270768825</v>
      </c>
      <c r="J249" s="9"/>
      <c r="K249" s="7">
        <v>8487.08</v>
      </c>
      <c r="L249" s="8">
        <f>IFERROR(K249/K444, "NA")</f>
        <v>1.5030172516843923E-2</v>
      </c>
      <c r="M249" s="9"/>
      <c r="N249" s="10">
        <f t="shared" si="65"/>
        <v>1410.8899999999994</v>
      </c>
      <c r="O249" s="8">
        <f>IFERROR(N249/N444, "NA")</f>
        <v>4.794061831569546E-2</v>
      </c>
      <c r="P249" s="9"/>
      <c r="Q249" s="7">
        <v>47589.52</v>
      </c>
      <c r="R249" s="8">
        <f>IFERROR(Q249/Q444, "NA")</f>
        <v>1.6659085813521317E-2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-47589.52</v>
      </c>
      <c r="X249" s="8">
        <f>IFERROR(W249/W444, "NA")</f>
        <v>-1.1208104019037144</v>
      </c>
      <c r="Y249" s="9"/>
      <c r="Z249" s="7">
        <v>36496.119999999995</v>
      </c>
      <c r="AA249" s="8">
        <f>IFERROR(Z249/Z444, "NA")</f>
        <v>1.4655650233937676E-2</v>
      </c>
      <c r="AB249" s="9"/>
      <c r="AC249" s="10">
        <f t="shared" si="67"/>
        <v>-11093.400000000001</v>
      </c>
      <c r="AD249" s="8">
        <f>IFERROR(AC249/AC444, "NA")</f>
        <v>-3.0274410869008554E-2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0.59</v>
      </c>
      <c r="L250" s="8">
        <f>IFERROR(K250/K444, "NA")</f>
        <v>1.0448589838834928E-6</v>
      </c>
      <c r="M250" s="9"/>
      <c r="N250" s="10">
        <f t="shared" si="65"/>
        <v>0.59</v>
      </c>
      <c r="O250" s="8">
        <f>IFERROR(N250/N444, "NA")</f>
        <v>2.0047604566096813E-5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5.13</v>
      </c>
      <c r="AA250" s="8">
        <f>IFERROR(Z250/Z444, "NA")</f>
        <v>2.0600405111584543E-6</v>
      </c>
      <c r="AB250" s="9"/>
      <c r="AC250" s="10">
        <f t="shared" si="67"/>
        <v>5.13</v>
      </c>
      <c r="AD250" s="8">
        <f>IFERROR(AC250/AC444, "NA")</f>
        <v>1.4000011516578674E-5</v>
      </c>
    </row>
    <row r="251" spans="1:30" ht="16.5" customHeight="1" x14ac:dyDescent="0.45">
      <c r="A251" s="12" t="s">
        <v>228</v>
      </c>
      <c r="B251" s="7">
        <v>28.47</v>
      </c>
      <c r="C251" s="8">
        <f>IFERROR(B251/B444, "NA")</f>
        <v>4.792126974700953E-5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-28.47</v>
      </c>
      <c r="I251" s="8">
        <f>IFERROR(H251/H444, "NA")</f>
        <v>4.9374168967875141E-4</v>
      </c>
      <c r="J251" s="9"/>
      <c r="K251" s="7">
        <v>87.84</v>
      </c>
      <c r="L251" s="8">
        <f>IFERROR(K251/K444, "NA")</f>
        <v>1.5556002227851869E-4</v>
      </c>
      <c r="M251" s="9"/>
      <c r="N251" s="10">
        <f t="shared" si="65"/>
        <v>59.370000000000005</v>
      </c>
      <c r="O251" s="8">
        <f>IFERROR(N251/N444, "NA")</f>
        <v>2.0173326832019795E-3</v>
      </c>
      <c r="P251" s="9"/>
      <c r="Q251" s="7">
        <v>294.09999999999997</v>
      </c>
      <c r="R251" s="8">
        <f>IFERROR(Q251/Q444, "NA")</f>
        <v>1.0295201838044635E-4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-294.09999999999997</v>
      </c>
      <c r="X251" s="8">
        <f>IFERROR(W251/W444, "NA")</f>
        <v>-6.9265321272389884E-3</v>
      </c>
      <c r="Y251" s="9"/>
      <c r="Z251" s="7">
        <v>277.61</v>
      </c>
      <c r="AA251" s="8">
        <f>IFERROR(Z251/Z444, "NA")</f>
        <v>1.1147911233970731E-4</v>
      </c>
      <c r="AB251" s="9"/>
      <c r="AC251" s="10">
        <f t="shared" si="67"/>
        <v>-16.489999999999952</v>
      </c>
      <c r="AD251" s="8">
        <f>IFERROR(AC251/AC444, "NA")</f>
        <v>-4.5001986336916505E-5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23.59</v>
      </c>
      <c r="L252" s="8">
        <f>IFERROR(K252/K444, "NA")</f>
        <v>4.1776649881036607E-5</v>
      </c>
      <c r="M252" s="9"/>
      <c r="N252" s="10">
        <f t="shared" si="65"/>
        <v>23.59</v>
      </c>
      <c r="O252" s="8">
        <f>IFERROR(N252/N444, "NA")</f>
        <v>8.0156439273597259E-4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228.15</v>
      </c>
      <c r="AA252" s="8">
        <f>IFERROR(Z252/Z444, "NA")</f>
        <v>9.1617591154152309E-5</v>
      </c>
      <c r="AB252" s="9"/>
      <c r="AC252" s="10">
        <f t="shared" si="67"/>
        <v>228.15</v>
      </c>
      <c r="AD252" s="8">
        <f>IFERROR(AC252/AC444, "NA")</f>
        <v>6.2263209113205158E-4</v>
      </c>
    </row>
    <row r="253" spans="1:30" ht="16.5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812.43</v>
      </c>
      <c r="L253" s="8">
        <f>IFERROR(K253/K444, "NA")</f>
        <v>1.4387708208075697E-3</v>
      </c>
      <c r="M253" s="9"/>
      <c r="N253" s="10">
        <f t="shared" si="65"/>
        <v>812.43</v>
      </c>
      <c r="O253" s="8">
        <f>IFERROR(N253/N444, "NA")</f>
        <v>2.7605551487515312E-2</v>
      </c>
      <c r="P253" s="9"/>
      <c r="Q253" s="7">
        <v>781.97</v>
      </c>
      <c r="R253" s="8">
        <f>IFERROR(Q253/Q444, "NA")</f>
        <v>2.7373474944902295E-4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-781.97</v>
      </c>
      <c r="X253" s="8">
        <f>IFERROR(W253/W444, "NA")</f>
        <v>-1.8416662113352848E-2</v>
      </c>
      <c r="Y253" s="9"/>
      <c r="Z253" s="7">
        <v>3664.95</v>
      </c>
      <c r="AA253" s="8">
        <f>IFERROR(Z253/Z444, "NA")</f>
        <v>1.4717242634249858E-3</v>
      </c>
      <c r="AB253" s="9"/>
      <c r="AC253" s="10">
        <f t="shared" si="67"/>
        <v>2882.9799999999996</v>
      </c>
      <c r="AD253" s="8">
        <f>IFERROR(AC253/AC444, "NA")</f>
        <v>7.8677881485508736E-3</v>
      </c>
    </row>
    <row r="254" spans="1:30" ht="16.5" customHeight="1" x14ac:dyDescent="0.45">
      <c r="A254" s="12" t="s">
        <v>231</v>
      </c>
      <c r="B254" s="7">
        <v>4089.8900000000003</v>
      </c>
      <c r="C254" s="8">
        <f>IFERROR(B254/B444, "NA")</f>
        <v>6.8841841210255297E-3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-4089.8900000000003</v>
      </c>
      <c r="I254" s="8">
        <f>IFERROR(H254/H444, "NA")</f>
        <v>7.0929019992983094E-2</v>
      </c>
      <c r="J254" s="9"/>
      <c r="K254" s="7">
        <v>1957.76</v>
      </c>
      <c r="L254" s="8">
        <f>IFERROR(K254/K444, "NA")</f>
        <v>3.4670900411656728E-3</v>
      </c>
      <c r="M254" s="9"/>
      <c r="N254" s="10">
        <f t="shared" si="65"/>
        <v>-2132.13</v>
      </c>
      <c r="O254" s="8">
        <f>IFERROR(N254/N444, "NA")</f>
        <v>-7.2447625633071194E-2</v>
      </c>
      <c r="P254" s="9"/>
      <c r="Q254" s="7">
        <v>15788.470000000001</v>
      </c>
      <c r="R254" s="8">
        <f>IFERROR(Q254/Q444, "NA")</f>
        <v>5.5268781150599319E-3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-15788.470000000001</v>
      </c>
      <c r="X254" s="8">
        <f>IFERROR(W254/W444, "NA")</f>
        <v>-0.37184408260778296</v>
      </c>
      <c r="Y254" s="9"/>
      <c r="Z254" s="7">
        <v>10625.42</v>
      </c>
      <c r="AA254" s="8">
        <f>IFERROR(Z254/Z444, "NA")</f>
        <v>4.2668217637569714E-3</v>
      </c>
      <c r="AB254" s="9"/>
      <c r="AC254" s="10">
        <f t="shared" si="67"/>
        <v>-5163.0500000000011</v>
      </c>
      <c r="AD254" s="8">
        <f>IFERROR(AC254/AC444, "NA")</f>
        <v>-1.4090206522548058E-2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61.41</v>
      </c>
      <c r="L255" s="8">
        <f>IFERROR(K255/K444, "NA")</f>
        <v>1.087538816953988E-4</v>
      </c>
      <c r="M255" s="9"/>
      <c r="N255" s="10">
        <f t="shared" si="65"/>
        <v>61.41</v>
      </c>
      <c r="O255" s="8">
        <f>IFERROR(N255/N444, "NA")</f>
        <v>2.0866498244135681E-3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178.46</v>
      </c>
      <c r="AA255" s="8">
        <f>IFERROR(Z255/Z444, "NA")</f>
        <v>7.1663709477843616E-5</v>
      </c>
      <c r="AB255" s="9"/>
      <c r="AC255" s="10">
        <f t="shared" si="67"/>
        <v>178.46</v>
      </c>
      <c r="AD255" s="8">
        <f>IFERROR(AC255/AC444, "NA")</f>
        <v>4.8702574176386553E-4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37.549999999999997</v>
      </c>
      <c r="AA256" s="8">
        <f>IFERROR(Z256/Z444, "NA")</f>
        <v>1.507885403391812E-5</v>
      </c>
      <c r="AB256" s="9"/>
      <c r="AC256" s="10">
        <f t="shared" si="67"/>
        <v>37.549999999999997</v>
      </c>
      <c r="AD256" s="8">
        <f>IFERROR(AC256/AC444, "NA")</f>
        <v>1.0247571782602907E-4</v>
      </c>
    </row>
    <row r="257" spans="1:30" ht="16.5" customHeight="1" x14ac:dyDescent="0.45">
      <c r="A257" s="12" t="s">
        <v>234</v>
      </c>
      <c r="B257" s="7">
        <v>2261.25</v>
      </c>
      <c r="C257" s="8">
        <f>IFERROR(B257/B444, "NA")</f>
        <v>3.8061809348586338E-3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-2261.25</v>
      </c>
      <c r="I257" s="8">
        <f>IFERROR(H257/H444, "NA")</f>
        <v>3.9215784888868163E-2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-2261.25</v>
      </c>
      <c r="O257" s="8">
        <f>IFERROR(N257/N444, "NA")</f>
        <v>-7.6834992923875287E-2</v>
      </c>
      <c r="P257" s="9"/>
      <c r="Q257" s="7">
        <v>2590.0700000000002</v>
      </c>
      <c r="R257" s="8">
        <f>IFERROR(Q257/Q444, "NA")</f>
        <v>9.0667437690119927E-4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-2590.0700000000002</v>
      </c>
      <c r="X257" s="8">
        <f>IFERROR(W257/W444, "NA")</f>
        <v>-6.1000350448139715E-2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-2590.0700000000002</v>
      </c>
      <c r="AD257" s="8">
        <f>IFERROR(AC257/AC444, "NA")</f>
        <v>-7.0684229685662623E-3</v>
      </c>
    </row>
    <row r="258" spans="1:30" ht="16.5" customHeight="1" x14ac:dyDescent="0.45">
      <c r="A258" s="12" t="s">
        <v>235</v>
      </c>
      <c r="B258" s="7">
        <v>670.17</v>
      </c>
      <c r="C258" s="8">
        <f>IFERROR(B258/B444, "NA")</f>
        <v>1.128043461410375E-3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-670.17</v>
      </c>
      <c r="I258" s="8">
        <f>IFERROR(H258/H444, "NA")</f>
        <v>1.1622440048191388E-2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-670.17</v>
      </c>
      <c r="O258" s="8">
        <f>IFERROR(N258/N444, "NA")</f>
        <v>-2.2771700257730679E-2</v>
      </c>
      <c r="P258" s="9"/>
      <c r="Q258" s="7">
        <v>670.17</v>
      </c>
      <c r="R258" s="8">
        <f>IFERROR(Q258/Q444, "NA")</f>
        <v>2.3459828003408273E-4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-670.17</v>
      </c>
      <c r="X258" s="8">
        <f>IFERROR(W258/W444, "NA")</f>
        <v>-1.578359073686417E-2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-670.17</v>
      </c>
      <c r="AD258" s="8">
        <f>IFERROR(AC258/AC444, "NA")</f>
        <v>-1.8289254811043917E-3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41140.730000000003</v>
      </c>
      <c r="C262" s="15">
        <f>IFERROR(B262/B444, "NA")</f>
        <v>6.9248894271826053E-2</v>
      </c>
      <c r="D262" s="2"/>
      <c r="E262" s="14">
        <f>IFERROR(E240+E241+E242+E243+E244+E245+E246+E247+E248+E249+E250+E251+E252+E253+E254+E255+E256+E257+E258+E259+E260+E261, "NA")</f>
        <v>41523.9</v>
      </c>
      <c r="F262" s="15">
        <f>IFERROR(E262/E444, "NA")</f>
        <v>6.3710299530266593E-2</v>
      </c>
      <c r="G262" s="2"/>
      <c r="H262" s="14">
        <f t="shared" si="64"/>
        <v>383.16999999999825</v>
      </c>
      <c r="I262" s="15">
        <f>IFERROR(H262/H444, "NA")</f>
        <v>-6.6451353436672404E-3</v>
      </c>
      <c r="J262" s="2"/>
      <c r="K262" s="14">
        <f>IFERROR(K240+K241+K242+K243+K244+K245+K246+K247+K248+K249+K250+K251+K252+K253+K254+K255+K256+K257+K258+K259+K260+K261, "NA")</f>
        <v>36442.109999999993</v>
      </c>
      <c r="L262" s="15">
        <f>IFERROR(K262/K444, "NA")</f>
        <v>6.4537061059610962E-2</v>
      </c>
      <c r="M262" s="2"/>
      <c r="N262" s="14">
        <f t="shared" si="65"/>
        <v>-4698.6200000000099</v>
      </c>
      <c r="O262" s="15">
        <f>IFERROR(N262/N444, "NA")</f>
        <v>-0.15965436570568475</v>
      </c>
      <c r="P262" s="2"/>
      <c r="Q262" s="14">
        <f>IFERROR(Q240+Q241+Q242+Q243+Q244+Q245+Q246+Q247+Q248+Q249+Q250+Q251+Q252+Q253+Q254+Q255+Q256+Q257+Q258+Q259+Q260+Q261, "NA")</f>
        <v>196797.56000000003</v>
      </c>
      <c r="R262" s="15">
        <f>IFERROR(Q262/Q444, "NA")</f>
        <v>6.8890533880812635E-2</v>
      </c>
      <c r="S262" s="2"/>
      <c r="T262" s="14">
        <f>IFERROR(T240+T241+T242+T243+T244+T245+T246+T247+T248+T249+T250+T251+T252+T253+T254+T255+T256+T257+T258+T259+T260+T261, "NA")</f>
        <v>180645.03000000003</v>
      </c>
      <c r="U262" s="15">
        <f>IFERROR(T262/T444, "NA")</f>
        <v>6.4190301689712903E-2</v>
      </c>
      <c r="V262" s="2"/>
      <c r="W262" s="14">
        <f t="shared" si="66"/>
        <v>-16152.529999999999</v>
      </c>
      <c r="X262" s="15">
        <f>IFERROR(W262/W444, "NA")</f>
        <v>-0.38041828623322538</v>
      </c>
      <c r="Y262" s="2"/>
      <c r="Z262" s="14">
        <f>IFERROR(Z240+Z241+Z242+Z243+Z244+Z245+Z246+Z247+Z248+Z249+Z250+Z251+Z252+Z253+Z254+Z255+Z256+Z257+Z258+Z259+Z260+Z261, "NA")</f>
        <v>160528.65999999997</v>
      </c>
      <c r="AA262" s="15">
        <f>IFERROR(Z262/Z444, "NA")</f>
        <v>6.4463068772316112E-2</v>
      </c>
      <c r="AB262" s="2"/>
      <c r="AC262" s="14">
        <f t="shared" si="67"/>
        <v>-36268.900000000052</v>
      </c>
      <c r="AD262" s="15">
        <f>IFERROR(AC262/AC444, "NA")</f>
        <v>-9.8979535612795516E-2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41140.730000000003</v>
      </c>
      <c r="C263" s="15">
        <f>IFERROR(B263/B444, "NA")</f>
        <v>6.9248894271826053E-2</v>
      </c>
      <c r="D263" s="2"/>
      <c r="E263" s="14">
        <f>IFERROR(E238+E240+E241+E242+E243+E244+E245+E246+E247+E248+E249+E250+E251+E252+E253+E254+E255+E256+E257+E258+E259+E260+E261, "NA")</f>
        <v>41523.9</v>
      </c>
      <c r="F263" s="15">
        <f>IFERROR(E263/E444, "NA")</f>
        <v>6.3710299530266593E-2</v>
      </c>
      <c r="G263" s="2"/>
      <c r="H263" s="14">
        <f t="shared" si="64"/>
        <v>383.16999999999825</v>
      </c>
      <c r="I263" s="15">
        <f>IFERROR(H263/H444, "NA")</f>
        <v>-6.6451353436672404E-3</v>
      </c>
      <c r="J263" s="2"/>
      <c r="K263" s="14">
        <f>IFERROR(K238+K240+K241+K242+K243+K244+K245+K246+K247+K248+K249+K250+K251+K252+K253+K254+K255+K256+K257+K258+K259+K260+K261, "NA")</f>
        <v>36442.109999999993</v>
      </c>
      <c r="L263" s="15">
        <f>IFERROR(K263/K444, "NA")</f>
        <v>6.4537061059610962E-2</v>
      </c>
      <c r="M263" s="2"/>
      <c r="N263" s="14">
        <f t="shared" si="65"/>
        <v>-4698.6200000000099</v>
      </c>
      <c r="O263" s="15">
        <f>IFERROR(N263/N444, "NA")</f>
        <v>-0.15965436570568475</v>
      </c>
      <c r="P263" s="2"/>
      <c r="Q263" s="14">
        <f>IFERROR(Q238+Q240+Q241+Q242+Q243+Q244+Q245+Q246+Q247+Q248+Q249+Q250+Q251+Q252+Q253+Q254+Q255+Q256+Q257+Q258+Q259+Q260+Q261, "NA")</f>
        <v>196797.56000000003</v>
      </c>
      <c r="R263" s="15">
        <f>IFERROR(Q263/Q444, "NA")</f>
        <v>6.8890533880812635E-2</v>
      </c>
      <c r="S263" s="2"/>
      <c r="T263" s="14">
        <f>IFERROR(T238+T240+T241+T242+T243+T244+T245+T246+T247+T248+T249+T250+T251+T252+T253+T254+T255+T256+T257+T258+T259+T260+T261, "NA")</f>
        <v>180645.03000000003</v>
      </c>
      <c r="U263" s="15">
        <f>IFERROR(T263/T444, "NA")</f>
        <v>6.4190301689712903E-2</v>
      </c>
      <c r="V263" s="2"/>
      <c r="W263" s="14">
        <f t="shared" si="66"/>
        <v>-16152.529999999999</v>
      </c>
      <c r="X263" s="15">
        <f>IFERROR(W263/W444, "NA")</f>
        <v>-0.38041828623322538</v>
      </c>
      <c r="Y263" s="2"/>
      <c r="Z263" s="14">
        <f>IFERROR(Z238+Z240+Z241+Z242+Z243+Z244+Z245+Z246+Z247+Z248+Z249+Z250+Z251+Z252+Z253+Z254+Z255+Z256+Z257+Z258+Z259+Z260+Z261, "NA")</f>
        <v>160528.65999999997</v>
      </c>
      <c r="AA263" s="15">
        <f>IFERROR(Z263/Z444, "NA")</f>
        <v>6.4463068772316112E-2</v>
      </c>
      <c r="AB263" s="2"/>
      <c r="AC263" s="14">
        <f t="shared" si="67"/>
        <v>-36268.900000000052</v>
      </c>
      <c r="AD263" s="15">
        <f>IFERROR(AC263/AC444, "NA")</f>
        <v>-9.8979535612795516E-2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15757.7</v>
      </c>
      <c r="C265" s="8">
        <f>IFERROR(B265/B444, "NA")</f>
        <v>2.6523673772126874E-2</v>
      </c>
      <c r="D265" s="9"/>
      <c r="E265" s="7">
        <v>17459.21</v>
      </c>
      <c r="F265" s="8">
        <f>IFERROR(E265/E444, "NA")</f>
        <v>2.6787741485309078E-2</v>
      </c>
      <c r="G265" s="9"/>
      <c r="H265" s="10">
        <f>IFERROR(-(B265-E265), "NA")</f>
        <v>1701.5099999999984</v>
      </c>
      <c r="I265" s="8">
        <f>IFERROR(H265/H444, "NA")</f>
        <v>-2.9508479887786848E-2</v>
      </c>
      <c r="J265" s="9"/>
      <c r="K265" s="7">
        <v>17287.669999999998</v>
      </c>
      <c r="L265" s="8">
        <f>IFERROR(K265/K444, "NA")</f>
        <v>3.0615554762564647E-2</v>
      </c>
      <c r="M265" s="9"/>
      <c r="N265" s="10">
        <f>IFERROR(-(B265-K265), "NA")</f>
        <v>1529.9699999999975</v>
      </c>
      <c r="O265" s="8">
        <f>IFERROR(N265/N444, "NA")</f>
        <v>5.1986836538967955E-2</v>
      </c>
      <c r="P265" s="9"/>
      <c r="Q265" s="7">
        <v>73259.240000000005</v>
      </c>
      <c r="R265" s="8">
        <f>IFERROR(Q265/Q444, "NA")</f>
        <v>2.5644973216652607E-2</v>
      </c>
      <c r="S265" s="9"/>
      <c r="T265" s="7">
        <v>76278.58</v>
      </c>
      <c r="U265" s="8">
        <f>IFERROR(T265/T444, "NA")</f>
        <v>2.7104787010541618E-2</v>
      </c>
      <c r="V265" s="9"/>
      <c r="W265" s="10">
        <f>IFERROR(-(Q265-T265), "NA")</f>
        <v>3019.3399999999965</v>
      </c>
      <c r="X265" s="8">
        <f>IFERROR(W265/W444, "NA")</f>
        <v>7.1110355365718275E-2</v>
      </c>
      <c r="Y265" s="9"/>
      <c r="Z265" s="7">
        <v>69572.3</v>
      </c>
      <c r="AA265" s="8">
        <f>IFERROR(Z265/Z444, "NA")</f>
        <v>2.793796422114412E-2</v>
      </c>
      <c r="AB265" s="9"/>
      <c r="AC265" s="10">
        <f>IFERROR(-(Q265-Z265), "NA")</f>
        <v>-3686.9400000000023</v>
      </c>
      <c r="AD265" s="8">
        <f>IFERROR(AC265/AC444, "NA")</f>
        <v>-1.0061832838388813E-2</v>
      </c>
    </row>
    <row r="266" spans="1:30" ht="16.5" customHeight="1" x14ac:dyDescent="0.45">
      <c r="A266" s="6" t="s">
        <v>242</v>
      </c>
      <c r="B266" s="7">
        <v>147.12</v>
      </c>
      <c r="C266" s="8">
        <f>IFERROR(B266/B444, "NA")</f>
        <v>2.4763530752300815E-4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-147.12</v>
      </c>
      <c r="I266" s="8">
        <f>IFERROR(H266/H444, "NA")</f>
        <v>2.5514322931344544E-3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-147.12</v>
      </c>
      <c r="O266" s="8">
        <f>IFERROR(N266/N444, "NA")</f>
        <v>-4.9989891250240056E-3</v>
      </c>
      <c r="P266" s="9"/>
      <c r="Q266" s="7">
        <v>517.38</v>
      </c>
      <c r="R266" s="8">
        <f>IFERROR(Q266/Q444, "NA")</f>
        <v>1.8111293869321773E-4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-517.38</v>
      </c>
      <c r="X266" s="8">
        <f>IFERROR(W266/W444, "NA")</f>
        <v>-1.2185138361070751E-2</v>
      </c>
      <c r="Y266" s="9"/>
      <c r="Z266" s="7">
        <v>294.25</v>
      </c>
      <c r="AA266" s="8">
        <f>IFERROR(Z266/Z444, "NA")</f>
        <v>1.1816119306206144E-4</v>
      </c>
      <c r="AB266" s="9"/>
      <c r="AC266" s="10">
        <f>IFERROR(-(Q266-Z266), "NA")</f>
        <v>-223.13</v>
      </c>
      <c r="AD266" s="8">
        <f>IFERROR(AC266/AC444, "NA")</f>
        <v>-6.0893227479419095E-4</v>
      </c>
    </row>
    <row r="267" spans="1:30" ht="16.5" customHeight="1" x14ac:dyDescent="0.45">
      <c r="A267" s="19" t="s">
        <v>243</v>
      </c>
      <c r="B267" s="14">
        <f>IFERROR(B265+B266, "NA")</f>
        <v>15904.820000000002</v>
      </c>
      <c r="C267" s="15">
        <f>IFERROR(B267/B444, "NA")</f>
        <v>2.6771309079649884E-2</v>
      </c>
      <c r="D267" s="2"/>
      <c r="E267" s="14">
        <f>IFERROR(E265+E266, "NA")</f>
        <v>17459.21</v>
      </c>
      <c r="F267" s="15">
        <f>IFERROR(E267/E444, "NA")</f>
        <v>2.6787741485309078E-2</v>
      </c>
      <c r="G267" s="2"/>
      <c r="H267" s="14">
        <f>IFERROR(-(B267-E267), "NA")</f>
        <v>1554.3899999999976</v>
      </c>
      <c r="I267" s="15">
        <f>IFERROR(H267/H444, "NA")</f>
        <v>-2.6957047594652381E-2</v>
      </c>
      <c r="J267" s="2"/>
      <c r="K267" s="14">
        <f>IFERROR(K265+K266, "NA")</f>
        <v>17287.669999999998</v>
      </c>
      <c r="L267" s="15">
        <f>IFERROR(K267/K444, "NA")</f>
        <v>3.0615554762564647E-2</v>
      </c>
      <c r="M267" s="2"/>
      <c r="N267" s="14">
        <f>IFERROR(-(B267-K267), "NA")</f>
        <v>1382.8499999999967</v>
      </c>
      <c r="O267" s="15">
        <f>IFERROR(N267/N444, "NA")</f>
        <v>4.698784741394392E-2</v>
      </c>
      <c r="P267" s="2"/>
      <c r="Q267" s="14">
        <f>IFERROR(Q265+Q266, "NA")</f>
        <v>73776.62000000001</v>
      </c>
      <c r="R267" s="15">
        <f>IFERROR(Q267/Q444, "NA")</f>
        <v>2.5826086155345825E-2</v>
      </c>
      <c r="S267" s="2"/>
      <c r="T267" s="14">
        <f>IFERROR(T265+T266, "NA")</f>
        <v>76278.58</v>
      </c>
      <c r="U267" s="15">
        <f>IFERROR(T267/T444, "NA")</f>
        <v>2.7104787010541618E-2</v>
      </c>
      <c r="V267" s="2"/>
      <c r="W267" s="14">
        <f>IFERROR(-(Q267-T267), "NA")</f>
        <v>2501.9599999999919</v>
      </c>
      <c r="X267" s="15">
        <f>IFERROR(W267/W444, "NA")</f>
        <v>5.8925217004647416E-2</v>
      </c>
      <c r="Y267" s="2"/>
      <c r="Z267" s="14">
        <f>IFERROR(Z265+Z266, "NA")</f>
        <v>69866.55</v>
      </c>
      <c r="AA267" s="15">
        <f>IFERROR(Z267/Z444, "NA")</f>
        <v>2.8056125414206181E-2</v>
      </c>
      <c r="AB267" s="2"/>
      <c r="AC267" s="14">
        <f>IFERROR(-(Q267-Z267), "NA")</f>
        <v>-3910.070000000007</v>
      </c>
      <c r="AD267" s="15">
        <f>IFERROR(AC267/AC444, "NA")</f>
        <v>-1.0670765113183016E-2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1169.08</v>
      </c>
      <c r="C270" s="8">
        <f>IFERROR(B270/B444, "NA")</f>
        <v>1.9678186875951493E-3</v>
      </c>
      <c r="D270" s="9"/>
      <c r="E270" s="7">
        <v>913.81999999999994</v>
      </c>
      <c r="F270" s="8">
        <f>IFERROR(E270/E444, "NA")</f>
        <v>1.4020779819994801E-3</v>
      </c>
      <c r="G270" s="9"/>
      <c r="H270" s="10">
        <f>IFERROR(-(B270-E270), "NA")</f>
        <v>-255.26</v>
      </c>
      <c r="I270" s="8">
        <f>IFERROR(H270/H444, "NA")</f>
        <v>4.4268529577589774E-3</v>
      </c>
      <c r="J270" s="9"/>
      <c r="K270" s="7">
        <v>907.58</v>
      </c>
      <c r="L270" s="8">
        <f>IFERROR(K270/K444, "NA")</f>
        <v>1.6072764688016619E-3</v>
      </c>
      <c r="M270" s="9"/>
      <c r="N270" s="10">
        <f>IFERROR(-(B270-K270), "NA")</f>
        <v>-261.49999999999989</v>
      </c>
      <c r="O270" s="8">
        <f>IFERROR(N270/N444, "NA")</f>
        <v>-8.8855060915835841E-3</v>
      </c>
      <c r="P270" s="9"/>
      <c r="Q270" s="7">
        <v>5929.89</v>
      </c>
      <c r="R270" s="8">
        <f>IFERROR(Q270/Q444, "NA")</f>
        <v>2.0758046388100141E-3</v>
      </c>
      <c r="S270" s="9"/>
      <c r="T270" s="7">
        <v>5170.1699999999992</v>
      </c>
      <c r="U270" s="8">
        <f>IFERROR(T270/T444, "NA")</f>
        <v>1.8371652521362082E-3</v>
      </c>
      <c r="V270" s="9"/>
      <c r="W270" s="10">
        <f>IFERROR(-(Q270-T270), "NA")</f>
        <v>-759.72000000000116</v>
      </c>
      <c r="X270" s="8">
        <f>IFERROR(W270/W444, "NA")</f>
        <v>-1.7892638516511433E-2</v>
      </c>
      <c r="Y270" s="9"/>
      <c r="Z270" s="7">
        <v>4585.6600000000008</v>
      </c>
      <c r="AA270" s="8">
        <f>IFERROR(Z270/Z444, "NA")</f>
        <v>1.8414513392590408E-3</v>
      </c>
      <c r="AB270" s="9"/>
      <c r="AC270" s="10">
        <f>IFERROR(-(Q270-Z270), "NA")</f>
        <v>-1344.2299999999996</v>
      </c>
      <c r="AD270" s="8">
        <f>IFERROR(AC270/AC444, "NA")</f>
        <v>-3.6684669553470849E-3</v>
      </c>
    </row>
    <row r="271" spans="1:30" ht="16.5" customHeight="1" x14ac:dyDescent="0.45">
      <c r="A271" s="6" t="s">
        <v>246</v>
      </c>
      <c r="B271" s="7">
        <v>4964</v>
      </c>
      <c r="C271" s="8">
        <f>IFERROR(B271/B444, "NA")</f>
        <v>8.3555034430683288E-3</v>
      </c>
      <c r="D271" s="9"/>
      <c r="E271" s="7">
        <v>4304.29</v>
      </c>
      <c r="F271" s="8">
        <f>IFERROR(E271/E444, "NA")</f>
        <v>6.6040907806138435E-3</v>
      </c>
      <c r="G271" s="9"/>
      <c r="H271" s="10">
        <f>IFERROR(-(B271-E271), "NA")</f>
        <v>-659.71</v>
      </c>
      <c r="I271" s="8">
        <f>IFERROR(H271/H444, "NA")</f>
        <v>1.1441037235615353E-2</v>
      </c>
      <c r="J271" s="9"/>
      <c r="K271" s="7">
        <v>3766.01</v>
      </c>
      <c r="L271" s="8">
        <f>IFERROR(K271/K444, "NA")</f>
        <v>6.6694057320255485E-3</v>
      </c>
      <c r="M271" s="9"/>
      <c r="N271" s="10">
        <f>IFERROR(-(B271-K271), "NA")</f>
        <v>-1197.9899999999998</v>
      </c>
      <c r="O271" s="8">
        <f>IFERROR(N271/N444, "NA")</f>
        <v>-4.0706491176505627E-2</v>
      </c>
      <c r="P271" s="9"/>
      <c r="Q271" s="7">
        <v>24052.799999999999</v>
      </c>
      <c r="R271" s="8">
        <f>IFERROR(Q271/Q444, "NA")</f>
        <v>8.4198718384943909E-3</v>
      </c>
      <c r="S271" s="9"/>
      <c r="T271" s="7">
        <v>18448.560000000001</v>
      </c>
      <c r="U271" s="8">
        <f>IFERROR(T271/T444, "NA")</f>
        <v>6.5555007637949957E-3</v>
      </c>
      <c r="V271" s="9"/>
      <c r="W271" s="10">
        <f>IFERROR(-(Q271-T271), "NA")</f>
        <v>-5604.239999999998</v>
      </c>
      <c r="X271" s="8">
        <f>IFERROR(W271/W444, "NA")</f>
        <v>-0.13198894392641217</v>
      </c>
      <c r="Y271" s="9"/>
      <c r="Z271" s="7">
        <v>19374.29</v>
      </c>
      <c r="AA271" s="8">
        <f>IFERROR(Z271/Z444, "NA")</f>
        <v>7.7800823148015856E-3</v>
      </c>
      <c r="AB271" s="9"/>
      <c r="AC271" s="10">
        <f>IFERROR(-(Q271-Z271), "NA")</f>
        <v>-4678.5099999999984</v>
      </c>
      <c r="AD271" s="8">
        <f>IFERROR(AC271/AC444, "NA")</f>
        <v>-1.2767874050765784E-2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6133.08</v>
      </c>
      <c r="C273" s="15">
        <f>IFERROR(B273/B444, "NA")</f>
        <v>1.0323322130663478E-2</v>
      </c>
      <c r="D273" s="2"/>
      <c r="E273" s="14">
        <f>IFERROR(E269+E270+E271+E272, "NA")</f>
        <v>5218.1099999999997</v>
      </c>
      <c r="F273" s="15">
        <f>IFERROR(E273/E444, "NA")</f>
        <v>8.0061687626133225E-3</v>
      </c>
      <c r="G273" s="2"/>
      <c r="H273" s="14">
        <f>IFERROR(-(B273-E273), "NA")</f>
        <v>-914.97000000000025</v>
      </c>
      <c r="I273" s="15">
        <f>IFERROR(H273/H444, "NA")</f>
        <v>1.5867890193374336E-2</v>
      </c>
      <c r="J273" s="2"/>
      <c r="K273" s="14">
        <f>IFERROR(K269+K270+K271+K272, "NA")</f>
        <v>4673.59</v>
      </c>
      <c r="L273" s="15">
        <f>IFERROR(K273/K444, "NA")</f>
        <v>8.2766822008272095E-3</v>
      </c>
      <c r="M273" s="2"/>
      <c r="N273" s="14">
        <f>IFERROR(-(B273-K273), "NA")</f>
        <v>-1459.4899999999998</v>
      </c>
      <c r="O273" s="15">
        <f>IFERROR(N273/N444, "NA")</f>
        <v>-4.9591997268089209E-2</v>
      </c>
      <c r="P273" s="2"/>
      <c r="Q273" s="14">
        <f>IFERROR(Q269+Q270+Q271+Q272, "NA")</f>
        <v>29982.69</v>
      </c>
      <c r="R273" s="15">
        <f>IFERROR(Q273/Q444, "NA")</f>
        <v>1.0495676477304403E-2</v>
      </c>
      <c r="S273" s="2"/>
      <c r="T273" s="14">
        <f>IFERROR(T269+T270+T271+T272, "NA")</f>
        <v>23618.73</v>
      </c>
      <c r="U273" s="15">
        <f>IFERROR(T273/T444, "NA")</f>
        <v>8.3926660159312043E-3</v>
      </c>
      <c r="V273" s="2"/>
      <c r="W273" s="14">
        <f>IFERROR(-(Q273-T273), "NA")</f>
        <v>-6363.9599999999991</v>
      </c>
      <c r="X273" s="15">
        <f>IFERROR(W273/W444, "NA")</f>
        <v>-0.1498815824429236</v>
      </c>
      <c r="Y273" s="2"/>
      <c r="Z273" s="14">
        <f>IFERROR(Z269+Z270+Z271+Z272, "NA")</f>
        <v>23959.95</v>
      </c>
      <c r="AA273" s="15">
        <f>IFERROR(Z273/Z444, "NA")</f>
        <v>9.6215336540606249E-3</v>
      </c>
      <c r="AB273" s="2"/>
      <c r="AC273" s="14">
        <f>IFERROR(-(Q273-Z273), "NA")</f>
        <v>-6022.739999999998</v>
      </c>
      <c r="AD273" s="15">
        <f>IFERROR(AC273/AC444, "NA")</f>
        <v>-1.6436341006112867E-2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1.6336153820711331E-3</v>
      </c>
      <c r="D287" s="9"/>
      <c r="E287" s="7">
        <v>2703</v>
      </c>
      <c r="F287" s="8">
        <f>IFERROR(E287/E444, "NA")</f>
        <v>4.1472246015020406E-3</v>
      </c>
      <c r="G287" s="9"/>
      <c r="H287" s="10">
        <f t="shared" si="72"/>
        <v>1732.47</v>
      </c>
      <c r="I287" s="8">
        <f>IFERROR(H287/H444, "NA")</f>
        <v>-3.0045404464971778E-2</v>
      </c>
      <c r="J287" s="9"/>
      <c r="K287" s="7">
        <v>970.53</v>
      </c>
      <c r="L287" s="8">
        <f>IFERROR(K287/K444, "NA")</f>
        <v>1.7187576095397397E-3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4852.6499999999996</v>
      </c>
      <c r="R287" s="8">
        <f>IFERROR(Q287/Q444, "NA")</f>
        <v>1.6987083032773648E-3</v>
      </c>
      <c r="S287" s="9"/>
      <c r="T287" s="7">
        <v>13515</v>
      </c>
      <c r="U287" s="8">
        <f>IFERROR(T287/T444, "NA")</f>
        <v>4.8024123737944509E-3</v>
      </c>
      <c r="V287" s="9"/>
      <c r="W287" s="10">
        <f t="shared" si="74"/>
        <v>8662.35</v>
      </c>
      <c r="X287" s="8">
        <f>IFERROR(W287/W444, "NA")</f>
        <v>0.20401239568986282</v>
      </c>
      <c r="Y287" s="9"/>
      <c r="Z287" s="7">
        <v>4852.6499999999996</v>
      </c>
      <c r="AA287" s="8">
        <f>IFERROR(Z287/Z444, "NA")</f>
        <v>1.9486658063300336E-3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952.13</v>
      </c>
      <c r="C288" s="8">
        <f>IFERROR(B288/B444, "NA")</f>
        <v>1.6026441364320402E-3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-952.13</v>
      </c>
      <c r="I288" s="8">
        <f>IFERROR(H288/H444, "NA")</f>
        <v>1.6512338426197034E-2</v>
      </c>
      <c r="J288" s="9"/>
      <c r="K288" s="7">
        <v>654.61</v>
      </c>
      <c r="L288" s="8">
        <f>IFERROR(K288/K444, "NA")</f>
        <v>1.1592798973558869E-3</v>
      </c>
      <c r="M288" s="9"/>
      <c r="N288" s="10">
        <f t="shared" si="73"/>
        <v>-297.52</v>
      </c>
      <c r="O288" s="8">
        <f>IFERROR(N288/N444, "NA")</f>
        <v>-1.0109429339839193E-2</v>
      </c>
      <c r="P288" s="9"/>
      <c r="Q288" s="7">
        <v>4754.07</v>
      </c>
      <c r="R288" s="8">
        <f>IFERROR(Q288/Q444, "NA")</f>
        <v>1.6641995988504882E-3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-4754.07</v>
      </c>
      <c r="X288" s="8">
        <f>IFERROR(W288/W444, "NA")</f>
        <v>-0.1119660611701566</v>
      </c>
      <c r="Y288" s="9"/>
      <c r="Z288" s="7">
        <v>3350.19</v>
      </c>
      <c r="AA288" s="8">
        <f>IFERROR(Z288/Z444, "NA")</f>
        <v>1.3453269239918017E-3</v>
      </c>
      <c r="AB288" s="9"/>
      <c r="AC288" s="10">
        <f t="shared" si="75"/>
        <v>-1403.8799999999997</v>
      </c>
      <c r="AD288" s="8">
        <f>IFERROR(AC288/AC444, "NA")</f>
        <v>-3.8312546136246516E-3</v>
      </c>
    </row>
    <row r="289" spans="1:30" ht="16.5" customHeight="1" x14ac:dyDescent="0.45">
      <c r="A289" s="6" t="s">
        <v>262</v>
      </c>
      <c r="B289" s="7">
        <v>1098.8</v>
      </c>
      <c r="C289" s="8">
        <f>IFERROR(B289/B444, "NA")</f>
        <v>1.8495219950127879E-3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-1098.8</v>
      </c>
      <c r="I289" s="8">
        <f>IFERROR(H289/H444, "NA")</f>
        <v>1.9055966583035197E-2</v>
      </c>
      <c r="J289" s="9"/>
      <c r="K289" s="7">
        <v>998.95</v>
      </c>
      <c r="L289" s="8">
        <f>IFERROR(K289/K444, "NA")</f>
        <v>1.7690879355091785E-3</v>
      </c>
      <c r="M289" s="9"/>
      <c r="N289" s="10">
        <f t="shared" si="73"/>
        <v>-99.849999999999909</v>
      </c>
      <c r="O289" s="8">
        <f>IFERROR(N289/N444, "NA")</f>
        <v>-3.3928022303809577E-3</v>
      </c>
      <c r="P289" s="9"/>
      <c r="Q289" s="7">
        <v>5317.1900000000005</v>
      </c>
      <c r="R289" s="8">
        <f>IFERROR(Q289/Q444, "NA")</f>
        <v>1.8613241843329672E-3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-5317.1900000000005</v>
      </c>
      <c r="X289" s="8">
        <f>IFERROR(W289/W444, "NA")</f>
        <v>-0.12522845073659941</v>
      </c>
      <c r="Y289" s="9"/>
      <c r="Z289" s="7">
        <v>5149.8900000000003</v>
      </c>
      <c r="AA289" s="8">
        <f>IFERROR(Z289/Z444, "NA")</f>
        <v>2.0680276857718933E-3</v>
      </c>
      <c r="AB289" s="9"/>
      <c r="AC289" s="10">
        <f t="shared" si="75"/>
        <v>-167.30000000000018</v>
      </c>
      <c r="AD289" s="8">
        <f>IFERROR(AC289/AC444, "NA")</f>
        <v>-4.565695763593791E-4</v>
      </c>
    </row>
    <row r="290" spans="1:30" ht="16.5" customHeight="1" x14ac:dyDescent="0.45">
      <c r="A290" s="6" t="s">
        <v>263</v>
      </c>
      <c r="B290" s="7">
        <v>3776.0900000000006</v>
      </c>
      <c r="C290" s="8">
        <f>IFERROR(B290/B444, "NA")</f>
        <v>6.3559897252892603E-3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-3776.0900000000006</v>
      </c>
      <c r="I290" s="8">
        <f>IFERROR(H290/H444, "NA")</f>
        <v>6.5486935615702027E-2</v>
      </c>
      <c r="J290" s="9"/>
      <c r="K290" s="7">
        <v>1886.78</v>
      </c>
      <c r="L290" s="8">
        <f>IFERROR(K290/K444, "NA")</f>
        <v>3.3413881925621978E-3</v>
      </c>
      <c r="M290" s="9"/>
      <c r="N290" s="10">
        <f t="shared" si="73"/>
        <v>-1889.3100000000006</v>
      </c>
      <c r="O290" s="8">
        <f>IFERROR(N290/N444, "NA")</f>
        <v>-6.4196847089444717E-2</v>
      </c>
      <c r="P290" s="9"/>
      <c r="Q290" s="7">
        <v>15962.369999999999</v>
      </c>
      <c r="R290" s="8">
        <f>IFERROR(Q290/Q444, "NA")</f>
        <v>5.5877531779513273E-3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-15962.369999999999</v>
      </c>
      <c r="X290" s="8">
        <f>IFERROR(W290/W444, "NA")</f>
        <v>-0.37593970973096164</v>
      </c>
      <c r="Y290" s="9"/>
      <c r="Z290" s="7">
        <v>12022.91</v>
      </c>
      <c r="AA290" s="8">
        <f>IFERROR(Z290/Z444, "NA")</f>
        <v>4.8280081212499206E-3</v>
      </c>
      <c r="AB290" s="9"/>
      <c r="AC290" s="10">
        <f t="shared" si="75"/>
        <v>-3939.4599999999991</v>
      </c>
      <c r="AD290" s="8">
        <f>IFERROR(AC290/AC444, "NA")</f>
        <v>-1.0750971806842303E-2</v>
      </c>
    </row>
    <row r="291" spans="1:30" ht="16.5" customHeight="1" x14ac:dyDescent="0.45">
      <c r="A291" s="6" t="s">
        <v>264</v>
      </c>
      <c r="B291" s="7">
        <v>3150.98</v>
      </c>
      <c r="C291" s="8">
        <f>IFERROR(B291/B444, "NA")</f>
        <v>5.303792151297229E-3</v>
      </c>
      <c r="D291" s="9"/>
      <c r="E291" s="7">
        <v>8055.7300000000005</v>
      </c>
      <c r="F291" s="8">
        <f>IFERROR(E291/E444, "NA")</f>
        <v>1.2359941412896055E-2</v>
      </c>
      <c r="G291" s="9"/>
      <c r="H291" s="10">
        <f t="shared" si="72"/>
        <v>4904.75</v>
      </c>
      <c r="I291" s="8">
        <f>IFERROR(H291/H444, "NA")</f>
        <v>-8.5060749998308954E-2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-3150.98</v>
      </c>
      <c r="O291" s="8">
        <f>IFERROR(N291/N444, "NA")</f>
        <v>-0.10706712039945719</v>
      </c>
      <c r="P291" s="9"/>
      <c r="Q291" s="7">
        <v>20304.12</v>
      </c>
      <c r="R291" s="8">
        <f>IFERROR(Q291/Q444, "NA")</f>
        <v>7.1076169175069313E-3</v>
      </c>
      <c r="S291" s="9"/>
      <c r="T291" s="7">
        <v>34729.1</v>
      </c>
      <c r="U291" s="8">
        <f>IFERROR(T291/T444, "NA")</f>
        <v>1.2340618540195698E-2</v>
      </c>
      <c r="V291" s="9"/>
      <c r="W291" s="10">
        <f t="shared" si="74"/>
        <v>14424.98</v>
      </c>
      <c r="X291" s="8">
        <f>IFERROR(W291/W444, "NA")</f>
        <v>0.33973168107711615</v>
      </c>
      <c r="Y291" s="9"/>
      <c r="Z291" s="7">
        <v>10578.77</v>
      </c>
      <c r="AA291" s="8">
        <f>IFERROR(Z291/Z444, "NA")</f>
        <v>4.2480886468280162E-3</v>
      </c>
      <c r="AB291" s="9"/>
      <c r="AC291" s="10">
        <f t="shared" si="75"/>
        <v>-9725.3499999999985</v>
      </c>
      <c r="AD291" s="8">
        <f>IFERROR(AC291/AC444, "NA")</f>
        <v>-2.6540938012233603E-2</v>
      </c>
    </row>
    <row r="292" spans="1:30" ht="16.5" customHeight="1" x14ac:dyDescent="0.45">
      <c r="A292" s="6" t="s">
        <v>265</v>
      </c>
      <c r="B292" s="7">
        <v>500.86</v>
      </c>
      <c r="C292" s="8">
        <f>IFERROR(B292/B444, "NA")</f>
        <v>8.4305750493456955E-4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-500.86</v>
      </c>
      <c r="I292" s="8">
        <f>IFERROR(H292/H444, "NA")</f>
        <v>8.6861771230242173E-3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-500.86</v>
      </c>
      <c r="O292" s="8">
        <f>IFERROR(N292/N444, "NA")</f>
        <v>-1.7018717327076695E-2</v>
      </c>
      <c r="P292" s="9"/>
      <c r="Q292" s="7">
        <v>3925.0000000000005</v>
      </c>
      <c r="R292" s="8">
        <f>IFERROR(Q292/Q444, "NA")</f>
        <v>1.3739771239144917E-3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-3925.0000000000005</v>
      </c>
      <c r="X292" s="8">
        <f>IFERROR(W292/W444, "NA")</f>
        <v>-9.2440117645063019E-2</v>
      </c>
      <c r="Y292" s="9"/>
      <c r="Z292" s="7">
        <v>1721.09</v>
      </c>
      <c r="AA292" s="8">
        <f>IFERROR(Z292/Z444, "NA")</f>
        <v>6.9113355230988383E-4</v>
      </c>
      <c r="AB292" s="9"/>
      <c r="AC292" s="10">
        <f t="shared" si="75"/>
        <v>-2203.9100000000008</v>
      </c>
      <c r="AD292" s="8">
        <f>IFERROR(AC292/AC444, "NA")</f>
        <v>-6.0145741484411144E-3</v>
      </c>
    </row>
    <row r="293" spans="1:30" ht="16.5" customHeight="1" x14ac:dyDescent="0.45">
      <c r="A293" s="6" t="s">
        <v>266</v>
      </c>
      <c r="B293" s="7">
        <v>667.96</v>
      </c>
      <c r="C293" s="8">
        <f>IFERROR(B293/B444, "NA")</f>
        <v>1.1243235454939406E-3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-667.96</v>
      </c>
      <c r="I293" s="8">
        <f>IFERROR(H293/H444, "NA")</f>
        <v>1.1584113067714044E-2</v>
      </c>
      <c r="J293" s="9"/>
      <c r="K293" s="7">
        <v>1614.7</v>
      </c>
      <c r="L293" s="8">
        <f>IFERROR(K293/K444, "NA")</f>
        <v>2.8595488157231799E-3</v>
      </c>
      <c r="M293" s="9"/>
      <c r="N293" s="10">
        <f t="shared" si="73"/>
        <v>946.74</v>
      </c>
      <c r="O293" s="8">
        <f>IFERROR(N293/N444, "NA")</f>
        <v>3.2169269740519486E-2</v>
      </c>
      <c r="P293" s="9"/>
      <c r="Q293" s="7">
        <v>1488.1000000000001</v>
      </c>
      <c r="R293" s="8">
        <f>IFERROR(Q293/Q444, "NA")</f>
        <v>5.2092111034322418E-4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-1488.1000000000001</v>
      </c>
      <c r="X293" s="8">
        <f>IFERROR(W293/W444, "NA")</f>
        <v>-3.5047169189202108E-2</v>
      </c>
      <c r="Y293" s="9"/>
      <c r="Z293" s="7">
        <v>1614.7</v>
      </c>
      <c r="AA293" s="8">
        <f>IFERROR(Z293/Z444, "NA")</f>
        <v>6.4841080182603437E-4</v>
      </c>
      <c r="AB293" s="9"/>
      <c r="AC293" s="10">
        <f t="shared" si="75"/>
        <v>126.59999999999991</v>
      </c>
      <c r="AD293" s="8">
        <f>IFERROR(AC293/AC444, "NA")</f>
        <v>3.4549736023369569E-4</v>
      </c>
    </row>
    <row r="294" spans="1:30" ht="16.5" customHeight="1" x14ac:dyDescent="0.45">
      <c r="A294" s="6" t="s">
        <v>267</v>
      </c>
      <c r="B294" s="7">
        <v>1786.56</v>
      </c>
      <c r="C294" s="8">
        <f>IFERROR(B294/B444, "NA")</f>
        <v>3.007173293966187E-3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-1786.56</v>
      </c>
      <c r="I294" s="8">
        <f>IFERROR(H294/H444, "NA")</f>
        <v>3.0983461647786096E-2</v>
      </c>
      <c r="J294" s="9"/>
      <c r="K294" s="7">
        <v>1268.1799999999998</v>
      </c>
      <c r="L294" s="8">
        <f>IFERROR(K294/K444, "NA")</f>
        <v>2.24588011217181E-3</v>
      </c>
      <c r="M294" s="9"/>
      <c r="N294" s="10">
        <f t="shared" si="73"/>
        <v>-518.38000000000011</v>
      </c>
      <c r="O294" s="8">
        <f>IFERROR(N294/N444, "NA")</f>
        <v>-1.7614029245717405E-2</v>
      </c>
      <c r="P294" s="9"/>
      <c r="Q294" s="7">
        <v>9426.19</v>
      </c>
      <c r="R294" s="8">
        <f>IFERROR(Q294/Q444, "NA")</f>
        <v>3.2997119555851061E-3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-9426.19</v>
      </c>
      <c r="X294" s="8">
        <f>IFERROR(W294/W444, "NA")</f>
        <v>-0.22200206689037363</v>
      </c>
      <c r="Y294" s="9"/>
      <c r="Z294" s="7">
        <v>6340.9</v>
      </c>
      <c r="AA294" s="8">
        <f>IFERROR(Z294/Z444, "NA")</f>
        <v>2.5462984166090921E-3</v>
      </c>
      <c r="AB294" s="9"/>
      <c r="AC294" s="10">
        <f t="shared" si="75"/>
        <v>-3085.2900000000009</v>
      </c>
      <c r="AD294" s="8">
        <f>IFERROR(AC294/AC444, "NA")</f>
        <v>-8.4199016631549758E-3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12903.910000000002</v>
      </c>
      <c r="C295" s="15">
        <f>IFERROR(B295/B444, "NA")</f>
        <v>2.1720117734497151E-2</v>
      </c>
      <c r="D295" s="2"/>
      <c r="E295" s="14">
        <f>IFERROR(E286+E287+E288+E289+E290+E291+E292+E293+E294, "NA")</f>
        <v>10758.73</v>
      </c>
      <c r="F295" s="15">
        <f>IFERROR(E295/E444, "NA")</f>
        <v>1.6507166014398094E-2</v>
      </c>
      <c r="G295" s="2"/>
      <c r="H295" s="14">
        <f t="shared" si="72"/>
        <v>-2145.1800000000021</v>
      </c>
      <c r="I295" s="15">
        <f>IFERROR(H295/H444, "NA")</f>
        <v>3.7202838000177908E-2</v>
      </c>
      <c r="J295" s="2"/>
      <c r="K295" s="14">
        <f>IFERROR(K286+K287+K288+K289+K290+K291+K292+K293+K294, "NA")</f>
        <v>7393.75</v>
      </c>
      <c r="L295" s="15">
        <f>IFERROR(K295/K444, "NA")</f>
        <v>1.3093942562861992E-2</v>
      </c>
      <c r="M295" s="2"/>
      <c r="N295" s="14">
        <f t="shared" si="73"/>
        <v>-5510.1600000000017</v>
      </c>
      <c r="O295" s="15">
        <f>IFERROR(N295/N444, "NA")</f>
        <v>-0.18722967589139669</v>
      </c>
      <c r="P295" s="2"/>
      <c r="Q295" s="14">
        <f>IFERROR(Q286+Q287+Q288+Q289+Q290+Q291+Q292+Q293+Q294, "NA")</f>
        <v>66029.689999999988</v>
      </c>
      <c r="R295" s="15">
        <f>IFERROR(Q295/Q444, "NA")</f>
        <v>2.3114212371761898E-2</v>
      </c>
      <c r="S295" s="2"/>
      <c r="T295" s="14">
        <f>IFERROR(T286+T287+T288+T289+T290+T291+T292+T293+T294, "NA")</f>
        <v>48244.1</v>
      </c>
      <c r="U295" s="15">
        <f>IFERROR(T295/T444, "NA")</f>
        <v>1.7143030913990151E-2</v>
      </c>
      <c r="V295" s="2"/>
      <c r="W295" s="14">
        <f t="shared" si="74"/>
        <v>-17785.589999999989</v>
      </c>
      <c r="X295" s="15">
        <f>IFERROR(W295/W444, "NA")</f>
        <v>-0.41887949859537715</v>
      </c>
      <c r="Y295" s="2"/>
      <c r="Z295" s="14">
        <f>IFERROR(Z286+Z287+Z288+Z289+Z290+Z291+Z292+Z293+Z294, "NA")</f>
        <v>45631.1</v>
      </c>
      <c r="AA295" s="15">
        <f>IFERROR(Z295/Z444, "NA")</f>
        <v>1.8323959954916674E-2</v>
      </c>
      <c r="AB295" s="2"/>
      <c r="AC295" s="14">
        <f t="shared" si="75"/>
        <v>-20398.589999999989</v>
      </c>
      <c r="AD295" s="15">
        <f>IFERROR(AC295/AC444, "NA")</f>
        <v>-5.5668712460422307E-2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8472.89</v>
      </c>
      <c r="F297" s="8">
        <f>IFERROR(E297/E444, "NA")</f>
        <v>1.2999991806814881E-2</v>
      </c>
      <c r="G297" s="9"/>
      <c r="H297" s="10">
        <f t="shared" ref="H297:H325" si="76">IFERROR(-(B297-E297), "NA")</f>
        <v>8472.89</v>
      </c>
      <c r="I297" s="8">
        <f>IFERROR(H297/H444, "NA")</f>
        <v>-0.14694130751886883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36584.720000000001</v>
      </c>
      <c r="U297" s="8">
        <f>IFERROR(T297/T444, "NA")</f>
        <v>1.2999993490181674E-2</v>
      </c>
      <c r="V297" s="9"/>
      <c r="W297" s="10">
        <f t="shared" ref="W297:W325" si="78">IFERROR(-(Q297-T297), "NA")</f>
        <v>36584.720000000001</v>
      </c>
      <c r="X297" s="8">
        <f>IFERROR(W297/W444, "NA")</f>
        <v>0.86162950848705466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3437.0299999999997</v>
      </c>
      <c r="C299" s="8">
        <f>IFERROR(B299/B444, "NA")</f>
        <v>5.7852771955941044E-3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-3437.0299999999997</v>
      </c>
      <c r="I299" s="8">
        <f>IFERROR(H299/H444, "NA")</f>
        <v>5.9606779054322406E-2</v>
      </c>
      <c r="J299" s="9"/>
      <c r="K299" s="7">
        <v>1361.11</v>
      </c>
      <c r="L299" s="8">
        <f>IFERROR(K299/K444, "NA")</f>
        <v>2.4104542568706118E-3</v>
      </c>
      <c r="M299" s="9"/>
      <c r="N299" s="10">
        <f t="shared" si="77"/>
        <v>-2075.92</v>
      </c>
      <c r="O299" s="8">
        <f>IFERROR(N299/N444, "NA")</f>
        <v>-7.0537666560765599E-2</v>
      </c>
      <c r="P299" s="9"/>
      <c r="Q299" s="7">
        <v>12030.64</v>
      </c>
      <c r="R299" s="8">
        <f>IFERROR(Q299/Q444, "NA")</f>
        <v>4.2114201645988888E-3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-12030.64</v>
      </c>
      <c r="X299" s="8">
        <f>IFERROR(W299/W444, "NA")</f>
        <v>-0.28334108966761806</v>
      </c>
      <c r="Y299" s="9"/>
      <c r="Z299" s="7">
        <v>5946.9500000000007</v>
      </c>
      <c r="AA299" s="8">
        <f>IFERROR(Z299/Z444, "NA")</f>
        <v>2.3881009586420609E-3</v>
      </c>
      <c r="AB299" s="9"/>
      <c r="AC299" s="10">
        <f t="shared" si="79"/>
        <v>-6083.6899999999987</v>
      </c>
      <c r="AD299" s="8">
        <f>IFERROR(AC299/AC444, "NA")</f>
        <v>-1.6602676425593467E-2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465.26</v>
      </c>
      <c r="R304" s="8">
        <f>IFERROR(Q304/Q444, "NA")</f>
        <v>1.6286792271909714E-4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-465.26</v>
      </c>
      <c r="X304" s="8">
        <f>IFERROR(W304/W444, "NA")</f>
        <v>-1.0957627805233634E-2</v>
      </c>
      <c r="Y304" s="9"/>
      <c r="Z304" s="7">
        <v>451.25</v>
      </c>
      <c r="AA304" s="8">
        <f>IFERROR(Z304/Z444, "NA")</f>
        <v>1.812072671852344E-4</v>
      </c>
      <c r="AB304" s="9"/>
      <c r="AC304" s="10">
        <f t="shared" si="79"/>
        <v>-14.009999999999991</v>
      </c>
      <c r="AD304" s="8">
        <f>IFERROR(AC304/AC444, "NA")</f>
        <v>-3.8233949580363957E-5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57.89</v>
      </c>
      <c r="L305" s="8">
        <f>IFERROR(K305/K444, "NA")</f>
        <v>1.0252014674070408E-4</v>
      </c>
      <c r="M305" s="9"/>
      <c r="N305" s="10">
        <f t="shared" si="77"/>
        <v>57.89</v>
      </c>
      <c r="O305" s="8">
        <f>IFERROR(N305/N444, "NA")</f>
        <v>1.9670437768327872E-3</v>
      </c>
      <c r="P305" s="9"/>
      <c r="Q305" s="7">
        <v>-51.41</v>
      </c>
      <c r="R305" s="8">
        <f>IFERROR(Q305/Q444, "NA")</f>
        <v>-1.7996474889285097E-5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51.41</v>
      </c>
      <c r="X305" s="8">
        <f>IFERROR(W305/W444, "NA")</f>
        <v>1.2107889039828508E-3</v>
      </c>
      <c r="Y305" s="9"/>
      <c r="Z305" s="7">
        <v>276.20999999999998</v>
      </c>
      <c r="AA305" s="8">
        <f>IFERROR(Z305/Z444, "NA")</f>
        <v>1.1091691804816309E-4</v>
      </c>
      <c r="AB305" s="9"/>
      <c r="AC305" s="10">
        <f t="shared" si="79"/>
        <v>327.62</v>
      </c>
      <c r="AD305" s="8">
        <f>IFERROR(AC305/AC444, "NA")</f>
        <v>8.9409040410555658E-4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530.88</v>
      </c>
      <c r="C310" s="8">
        <f>IFERROR(B310/B444, "NA")</f>
        <v>8.9358776548269833E-4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-530.88</v>
      </c>
      <c r="I310" s="8">
        <f>IFERROR(H310/H444, "NA")</f>
        <v>9.2067997266124194E-3</v>
      </c>
      <c r="J310" s="9"/>
      <c r="K310" s="7">
        <v>73.62</v>
      </c>
      <c r="L310" s="8">
        <f>IFERROR(K310/K444, "NA")</f>
        <v>1.3037714981949618E-4</v>
      </c>
      <c r="M310" s="9"/>
      <c r="N310" s="10">
        <f t="shared" si="77"/>
        <v>-457.26</v>
      </c>
      <c r="O310" s="8">
        <f>IFERROR(N310/N444, "NA")</f>
        <v>-1.5537233328632931E-2</v>
      </c>
      <c r="P310" s="9"/>
      <c r="Q310" s="7">
        <v>1146.3600000000001</v>
      </c>
      <c r="R310" s="8">
        <f>IFERROR(Q310/Q444, "NA")</f>
        <v>4.0129233522818259E-4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-1146.3600000000001</v>
      </c>
      <c r="X310" s="8">
        <f>IFERROR(W310/W444, "NA")</f>
        <v>-2.699863777416419E-2</v>
      </c>
      <c r="Y310" s="9"/>
      <c r="Z310" s="7">
        <v>401.99</v>
      </c>
      <c r="AA310" s="8">
        <f>IFERROR(Z310/Z444, "NA")</f>
        <v>1.6142605946990003E-4</v>
      </c>
      <c r="AB310" s="9"/>
      <c r="AC310" s="10">
        <f t="shared" si="79"/>
        <v>-744.37000000000012</v>
      </c>
      <c r="AD310" s="8">
        <f>IFERROR(AC310/AC444, "NA")</f>
        <v>-2.0314207743851206E-3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167.48</v>
      </c>
      <c r="R311" s="8">
        <f>IFERROR(Q311/Q444, "NA")</f>
        <v>5.8627691391897841E-5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-167.48</v>
      </c>
      <c r="X311" s="8">
        <f>IFERROR(W311/W444, "NA")</f>
        <v>-3.9444257078204209E-3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-167.48</v>
      </c>
      <c r="AD311" s="8">
        <f>IFERROR(AC311/AC444, "NA")</f>
        <v>-4.5706080483364446E-4</v>
      </c>
    </row>
    <row r="312" spans="1:30" ht="16.5" customHeight="1" x14ac:dyDescent="0.45">
      <c r="A312" s="6" t="s">
        <v>284</v>
      </c>
      <c r="B312" s="7">
        <v>1434.94</v>
      </c>
      <c r="C312" s="8">
        <f>IFERROR(B312/B444, "NA")</f>
        <v>2.4153195226826085E-3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-1434.94</v>
      </c>
      <c r="I312" s="8">
        <f>IFERROR(H312/H444, "NA")</f>
        <v>2.4885482971114422E-2</v>
      </c>
      <c r="J312" s="9"/>
      <c r="K312" s="7">
        <v>482.33000000000004</v>
      </c>
      <c r="L312" s="8">
        <f>IFERROR(K312/K444, "NA")</f>
        <v>8.5418107406190708E-4</v>
      </c>
      <c r="M312" s="9"/>
      <c r="N312" s="10">
        <f t="shared" si="77"/>
        <v>-952.61</v>
      </c>
      <c r="O312" s="8">
        <f>IFERROR(N312/N444, "NA")</f>
        <v>-3.2368726416456758E-2</v>
      </c>
      <c r="P312" s="9"/>
      <c r="Q312" s="7">
        <v>4213.75</v>
      </c>
      <c r="R312" s="8">
        <f>IFERROR(Q312/Q444, "NA")</f>
        <v>1.4750563327120226E-3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-4213.75</v>
      </c>
      <c r="X312" s="8">
        <f>IFERROR(W312/W444, "NA")</f>
        <v>-9.9240648592836753E-2</v>
      </c>
      <c r="Y312" s="9"/>
      <c r="Z312" s="7">
        <v>1629.25</v>
      </c>
      <c r="AA312" s="8">
        <f>IFERROR(Z312/Z444, "NA")</f>
        <v>6.5425360678458323E-4</v>
      </c>
      <c r="AB312" s="9"/>
      <c r="AC312" s="10">
        <f t="shared" si="79"/>
        <v>-2584.5</v>
      </c>
      <c r="AD312" s="8">
        <f>IFERROR(AC312/AC444, "NA")</f>
        <v>-7.053222176334811E-3</v>
      </c>
    </row>
    <row r="313" spans="1:30" ht="16.5" customHeight="1" x14ac:dyDescent="0.45">
      <c r="A313" s="6" t="s">
        <v>285</v>
      </c>
      <c r="B313" s="7">
        <v>392.97</v>
      </c>
      <c r="C313" s="8">
        <f>IFERROR(B313/B444, "NA")</f>
        <v>6.6145491297795356E-4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-392.97</v>
      </c>
      <c r="I313" s="8">
        <f>IFERROR(H313/H444, "NA")</f>
        <v>6.8150920896754112E-3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-392.97</v>
      </c>
      <c r="O313" s="8">
        <f>IFERROR(N313/N444, "NA")</f>
        <v>-1.335272401074418E-2</v>
      </c>
      <c r="P313" s="9"/>
      <c r="Q313" s="7">
        <v>1501.77</v>
      </c>
      <c r="R313" s="8">
        <f>IFERROR(Q313/Q444, "NA")</f>
        <v>5.2570640137097218E-4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-1501.77</v>
      </c>
      <c r="X313" s="8">
        <f>IFERROR(W313/W444, "NA")</f>
        <v>-3.5369119866452553E-2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-1501.77</v>
      </c>
      <c r="AD313" s="8">
        <f>IFERROR(AC313/AC444, "NA")</f>
        <v>-4.0984010322129344E-3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1782.9700000000003</v>
      </c>
      <c r="C315" s="8">
        <f>IFERROR(B315/B444, "NA")</f>
        <v>3.001130534626821E-3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-1782.9700000000003</v>
      </c>
      <c r="I315" s="8">
        <f>IFERROR(H315/H444, "NA")</f>
        <v>3.0921201982666791E-2</v>
      </c>
      <c r="J315" s="9"/>
      <c r="K315" s="7">
        <v>905.44</v>
      </c>
      <c r="L315" s="8">
        <f>IFERROR(K315/K444, "NA")</f>
        <v>1.6034866413007964E-3</v>
      </c>
      <c r="M315" s="9"/>
      <c r="N315" s="10">
        <f t="shared" si="77"/>
        <v>-877.5300000000002</v>
      </c>
      <c r="O315" s="8">
        <f>IFERROR(N315/N444, "NA")</f>
        <v>-2.9817583787943969E-2</v>
      </c>
      <c r="P315" s="9"/>
      <c r="Q315" s="7">
        <v>7314.83</v>
      </c>
      <c r="R315" s="8">
        <f>IFERROR(Q315/Q444, "NA")</f>
        <v>2.5606137797002395E-3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-7314.83</v>
      </c>
      <c r="X315" s="8">
        <f>IFERROR(W315/W444, "NA")</f>
        <v>-0.17227611356780542</v>
      </c>
      <c r="Y315" s="9"/>
      <c r="Z315" s="7">
        <v>3327.2</v>
      </c>
      <c r="AA315" s="8">
        <f>IFERROR(Z315/Z444, "NA")</f>
        <v>1.3360948905899433E-3</v>
      </c>
      <c r="AB315" s="9"/>
      <c r="AC315" s="10">
        <f t="shared" si="79"/>
        <v>-3987.63</v>
      </c>
      <c r="AD315" s="8">
        <f>IFERROR(AC315/AC444, "NA")</f>
        <v>-1.0882430004650024E-2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1319.75</v>
      </c>
      <c r="C318" s="8">
        <f>IFERROR(B318/B444, "NA")</f>
        <v>2.2214294256626566E-3</v>
      </c>
      <c r="D318" s="9"/>
      <c r="E318" s="7">
        <v>3210</v>
      </c>
      <c r="F318" s="8">
        <f>IFERROR(E318/E444, "NA")</f>
        <v>4.9251168963453757E-3</v>
      </c>
      <c r="G318" s="9"/>
      <c r="H318" s="10">
        <f t="shared" si="76"/>
        <v>1890.25</v>
      </c>
      <c r="I318" s="8">
        <f>IFERROR(H318/H444, "NA")</f>
        <v>-3.278170807570284E-2</v>
      </c>
      <c r="J318" s="9"/>
      <c r="K318" s="7">
        <v>1319.75</v>
      </c>
      <c r="L318" s="8">
        <f>IFERROR(K318/K444, "NA")</f>
        <v>2.3372078711529488E-3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6598.75</v>
      </c>
      <c r="R318" s="8">
        <f>IFERROR(Q318/Q444, "NA")</f>
        <v>2.3099443430396817E-3</v>
      </c>
      <c r="S318" s="9"/>
      <c r="T318" s="7">
        <v>16050</v>
      </c>
      <c r="U318" s="8">
        <f>IFERROR(T318/T444, "NA")</f>
        <v>5.7031978245949645E-3</v>
      </c>
      <c r="V318" s="9"/>
      <c r="W318" s="10">
        <f t="shared" si="78"/>
        <v>9451.25</v>
      </c>
      <c r="X318" s="8">
        <f>IFERROR(W318/W444, "NA")</f>
        <v>0.22259227054596223</v>
      </c>
      <c r="Y318" s="9"/>
      <c r="Z318" s="7">
        <v>6598.75</v>
      </c>
      <c r="AA318" s="8">
        <f>IFERROR(Z318/Z444, "NA")</f>
        <v>2.6498425580910039E-3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1327.52</v>
      </c>
      <c r="C319" s="8">
        <f>IFERROR(B319/B444, "NA")</f>
        <v>2.2345080440656865E-3</v>
      </c>
      <c r="D319" s="9"/>
      <c r="E319" s="7">
        <v>1084</v>
      </c>
      <c r="F319" s="8">
        <f>IFERROR(E319/E444, "NA")</f>
        <v>1.663185892722239E-3</v>
      </c>
      <c r="G319" s="9"/>
      <c r="H319" s="10">
        <f t="shared" si="76"/>
        <v>-243.51999999999998</v>
      </c>
      <c r="I319" s="8">
        <f>IFERROR(H319/H444, "NA")</f>
        <v>4.2232517130512655E-3</v>
      </c>
      <c r="J319" s="9"/>
      <c r="K319" s="7">
        <v>1052.05</v>
      </c>
      <c r="L319" s="8">
        <f>IFERROR(K319/K444, "NA")</f>
        <v>1.8631252440586927E-3</v>
      </c>
      <c r="M319" s="9"/>
      <c r="N319" s="10">
        <f t="shared" si="77"/>
        <v>-275.47000000000003</v>
      </c>
      <c r="O319" s="8">
        <f>IFERROR(N319/N444, "NA")</f>
        <v>-9.3601925929198138E-3</v>
      </c>
      <c r="P319" s="9"/>
      <c r="Q319" s="7">
        <v>5975.37</v>
      </c>
      <c r="R319" s="8">
        <f>IFERROR(Q319/Q444, "NA")</f>
        <v>2.0917252705541234E-3</v>
      </c>
      <c r="S319" s="9"/>
      <c r="T319" s="7">
        <v>5420</v>
      </c>
      <c r="U319" s="8">
        <f>IFERROR(T319/T444, "NA")</f>
        <v>1.9259397015143119E-3</v>
      </c>
      <c r="V319" s="9"/>
      <c r="W319" s="10">
        <f t="shared" si="78"/>
        <v>-555.36999999999989</v>
      </c>
      <c r="X319" s="8">
        <f>IFERROR(W319/W444, "NA")</f>
        <v>-1.307986449338564E-2</v>
      </c>
      <c r="Y319" s="9"/>
      <c r="Z319" s="7">
        <v>5199.26</v>
      </c>
      <c r="AA319" s="8">
        <f>IFERROR(Z319/Z444, "NA")</f>
        <v>2.0878530658958493E-3</v>
      </c>
      <c r="AB319" s="9"/>
      <c r="AC319" s="10">
        <f t="shared" si="79"/>
        <v>-776.10999999999967</v>
      </c>
      <c r="AD319" s="8">
        <f>IFERROR(AC319/AC444, "NA")</f>
        <v>-2.1180407286806764E-3</v>
      </c>
    </row>
    <row r="320" spans="1:30" ht="16.5" customHeight="1" x14ac:dyDescent="0.45">
      <c r="A320" s="6" t="s">
        <v>292</v>
      </c>
      <c r="B320" s="7">
        <v>5568.31</v>
      </c>
      <c r="C320" s="8">
        <f>IFERROR(B320/B444, "NA")</f>
        <v>9.3726900437292125E-3</v>
      </c>
      <c r="D320" s="9"/>
      <c r="E320" s="7">
        <v>4243</v>
      </c>
      <c r="F320" s="8">
        <f>IFERROR(E320/E444, "NA")</f>
        <v>6.5100532682845569E-3</v>
      </c>
      <c r="G320" s="9"/>
      <c r="H320" s="10">
        <f t="shared" si="76"/>
        <v>-1325.3100000000004</v>
      </c>
      <c r="I320" s="8">
        <f>IFERROR(H320/H444, "NA")</f>
        <v>2.2984221944086627E-2</v>
      </c>
      <c r="J320" s="9"/>
      <c r="K320" s="7">
        <v>4310.22</v>
      </c>
      <c r="L320" s="8">
        <f>IFERROR(K320/K444, "NA")</f>
        <v>7.6331730330751E-3</v>
      </c>
      <c r="M320" s="9"/>
      <c r="N320" s="10">
        <f t="shared" si="77"/>
        <v>-1258.0900000000001</v>
      </c>
      <c r="O320" s="8">
        <f>IFERROR(N320/N444, "NA")</f>
        <v>-4.2748628522984312E-2</v>
      </c>
      <c r="P320" s="9"/>
      <c r="Q320" s="7">
        <v>27617.340000000004</v>
      </c>
      <c r="R320" s="8">
        <f>IFERROR(Q320/Q444, "NA")</f>
        <v>9.6676671040429683E-3</v>
      </c>
      <c r="S320" s="9"/>
      <c r="T320" s="7">
        <v>21215</v>
      </c>
      <c r="U320" s="8">
        <f>IFERROR(T320/T444, "NA")</f>
        <v>7.5385259718867394E-3</v>
      </c>
      <c r="V320" s="9"/>
      <c r="W320" s="10">
        <f t="shared" si="78"/>
        <v>-6402.3400000000038</v>
      </c>
      <c r="X320" s="8">
        <f>IFERROR(W320/W444, "NA")</f>
        <v>-0.15078549370794728</v>
      </c>
      <c r="Y320" s="9"/>
      <c r="Z320" s="7">
        <v>21311.02</v>
      </c>
      <c r="AA320" s="8">
        <f>IFERROR(Z320/Z444, "NA")</f>
        <v>8.5578098507033233E-3</v>
      </c>
      <c r="AB320" s="9"/>
      <c r="AC320" s="10">
        <f t="shared" si="79"/>
        <v>-6306.3200000000033</v>
      </c>
      <c r="AD320" s="8">
        <f>IFERROR(AC320/AC444, "NA")</f>
        <v>-1.7210244176848046E-2</v>
      </c>
    </row>
    <row r="321" spans="1:30" ht="16.5" customHeight="1" x14ac:dyDescent="0.45">
      <c r="A321" s="6" t="s">
        <v>293</v>
      </c>
      <c r="B321" s="7">
        <v>6647.9400000000005</v>
      </c>
      <c r="C321" s="8">
        <f>IFERROR(B321/B444, "NA")</f>
        <v>1.1189944713801706E-2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-6647.9400000000005</v>
      </c>
      <c r="I321" s="8">
        <f>IFERROR(H321/H444, "NA")</f>
        <v>0.11529206633238352</v>
      </c>
      <c r="J321" s="9"/>
      <c r="K321" s="7">
        <v>8707.99</v>
      </c>
      <c r="L321" s="8">
        <f>IFERROR(K321/K444, "NA")</f>
        <v>1.5421392513673927E-2</v>
      </c>
      <c r="M321" s="9"/>
      <c r="N321" s="10">
        <f t="shared" si="77"/>
        <v>2060.0499999999993</v>
      </c>
      <c r="O321" s="8">
        <f>IFERROR(N321/N444, "NA")</f>
        <v>6.999841997692835E-2</v>
      </c>
      <c r="P321" s="9"/>
      <c r="Q321" s="7">
        <v>53840.44</v>
      </c>
      <c r="R321" s="8">
        <f>IFERROR(Q321/Q444, "NA")</f>
        <v>1.884726952904223E-2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-53840.44</v>
      </c>
      <c r="X321" s="8">
        <f>IFERROR(W321/W444, "NA")</f>
        <v>-1.2680297089584602</v>
      </c>
      <c r="Y321" s="9"/>
      <c r="Z321" s="7">
        <v>50118.18</v>
      </c>
      <c r="AA321" s="8">
        <f>IFERROR(Z321/Z444, "NA")</f>
        <v>2.0125824784703983E-2</v>
      </c>
      <c r="AB321" s="9"/>
      <c r="AC321" s="10">
        <f t="shared" si="79"/>
        <v>-3722.260000000002</v>
      </c>
      <c r="AD321" s="8">
        <f>IFERROR(AC321/AC444, "NA")</f>
        <v>-1.0158222781228101E-2</v>
      </c>
    </row>
    <row r="322" spans="1:30" ht="16.5" customHeight="1" x14ac:dyDescent="0.45">
      <c r="A322" s="6" t="s">
        <v>294</v>
      </c>
      <c r="B322" s="7">
        <v>1467.3400000000001</v>
      </c>
      <c r="C322" s="8">
        <f>IFERROR(B322/B444, "NA")</f>
        <v>2.4698558465253593E-3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-1467.3400000000001</v>
      </c>
      <c r="I322" s="8">
        <f>IFERROR(H322/H444, "NA")</f>
        <v>2.544738078444746E-2</v>
      </c>
      <c r="J322" s="9"/>
      <c r="K322" s="7">
        <v>1047.44</v>
      </c>
      <c r="L322" s="8">
        <f>IFERROR(K322/K444, "NA")</f>
        <v>1.854961176404959E-3</v>
      </c>
      <c r="M322" s="9"/>
      <c r="N322" s="10">
        <f t="shared" si="77"/>
        <v>-419.90000000000009</v>
      </c>
      <c r="O322" s="8">
        <f>IFERROR(N322/N444, "NA")</f>
        <v>-1.4267778232718735E-2</v>
      </c>
      <c r="P322" s="9"/>
      <c r="Q322" s="7">
        <v>7754.44</v>
      </c>
      <c r="R322" s="8">
        <f>IFERROR(Q322/Q444, "NA")</f>
        <v>2.714502718157322E-3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-7754.44</v>
      </c>
      <c r="X322" s="8">
        <f>IFERROR(W322/W444, "NA")</f>
        <v>-0.18262964226027575</v>
      </c>
      <c r="Y322" s="9"/>
      <c r="Z322" s="7">
        <v>6513.0999999999995</v>
      </c>
      <c r="AA322" s="8">
        <f>IFERROR(Z322/Z444, "NA")</f>
        <v>2.6154483144690309E-3</v>
      </c>
      <c r="AB322" s="9"/>
      <c r="AC322" s="10">
        <f t="shared" si="79"/>
        <v>-1241.3400000000001</v>
      </c>
      <c r="AD322" s="8">
        <f>IFERROR(AC322/AC444, "NA")</f>
        <v>-3.3876753013625288E-3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-31.29</v>
      </c>
      <c r="AA323" s="8">
        <f>IFERROR(Z323/Z444, "NA")</f>
        <v>-1.2565042416013262E-5</v>
      </c>
      <c r="AB323" s="9"/>
      <c r="AC323" s="10">
        <f t="shared" si="79"/>
        <v>-31.29</v>
      </c>
      <c r="AD323" s="8">
        <f>IFERROR(AC323/AC444, "NA")</f>
        <v>-8.5391883109892149E-5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23909.650000000005</v>
      </c>
      <c r="C324" s="15">
        <f>IFERROR(B324/B444, "NA")</f>
        <v>4.0245198005148815E-2</v>
      </c>
      <c r="D324" s="2"/>
      <c r="E324" s="14">
        <f>IFERROR(E297+E298+E299+E300+E301+E302+E303+E304+E305+E306+E307+E308+E309+E310+E311+E312+E313+E314+E315+E316+E317+E318+E319+E320+E321+E322+E323, "NA")</f>
        <v>17009.89</v>
      </c>
      <c r="F324" s="15">
        <f>IFERROR(E324/E444, "NA")</f>
        <v>2.6098347864167051E-2</v>
      </c>
      <c r="G324" s="2"/>
      <c r="H324" s="14">
        <f t="shared" si="76"/>
        <v>-6899.7600000000057</v>
      </c>
      <c r="I324" s="15">
        <f>IFERROR(H324/H444, "NA")</f>
        <v>0.11965926100378872</v>
      </c>
      <c r="J324" s="2"/>
      <c r="K324" s="14">
        <f>IFERROR(K297+K298+K299+K300+K301+K302+K303+K304+K305+K306+K307+K308+K309+K310+K311+K312+K313+K314+K315+K316+K317+K318+K319+K320+K321+K322+K323, "NA")</f>
        <v>19317.84</v>
      </c>
      <c r="L324" s="15">
        <f>IFERROR(K324/K444, "NA")</f>
        <v>3.4210879107159142E-2</v>
      </c>
      <c r="M324" s="2"/>
      <c r="N324" s="14">
        <f t="shared" si="77"/>
        <v>-4591.8100000000049</v>
      </c>
      <c r="O324" s="15">
        <f>IFERROR(N324/N444, "NA")</f>
        <v>-0.15602506969940527</v>
      </c>
      <c r="P324" s="2"/>
      <c r="Q324" s="14">
        <f>IFERROR(Q297+Q298+Q299+Q300+Q301+Q302+Q303+Q304+Q305+Q306+Q307+Q308+Q309+Q310+Q311+Q312+Q313+Q314+Q315+Q316+Q317+Q318+Q319+Q320+Q321+Q322+Q323, "NA")</f>
        <v>128575.02000000002</v>
      </c>
      <c r="R324" s="15">
        <f>IFERROR(Q324/Q444, "NA")</f>
        <v>4.5008697117668348E-2</v>
      </c>
      <c r="S324" s="2"/>
      <c r="T324" s="14">
        <f>IFERROR(T297+T298+T299+T300+T301+T302+T303+T304+T305+T306+T307+T308+T309+T310+T311+T312+T313+T314+T315+T316+T317+T318+T319+T320+T321+T322+T323, "NA")</f>
        <v>79269.72</v>
      </c>
      <c r="U324" s="15">
        <f>IFERROR(T324/T444, "NA")</f>
        <v>2.8167656988177692E-2</v>
      </c>
      <c r="V324" s="2"/>
      <c r="W324" s="14">
        <f t="shared" si="78"/>
        <v>-49305.300000000017</v>
      </c>
      <c r="X324" s="15">
        <f>IFERROR(W324/W444, "NA")</f>
        <v>-1.1612198044650004</v>
      </c>
      <c r="Y324" s="2"/>
      <c r="Z324" s="14">
        <f>IFERROR(Z297+Z298+Z299+Z300+Z301+Z302+Z303+Z304+Z305+Z306+Z307+Z308+Z309+Z310+Z311+Z312+Z313+Z314+Z315+Z316+Z317+Z318+Z319+Z320+Z321+Z322+Z323, "NA")</f>
        <v>101741.87000000001</v>
      </c>
      <c r="AA324" s="15">
        <f>IFERROR(Z324/Z444, "NA")</f>
        <v>4.0856213232167066E-2</v>
      </c>
      <c r="AB324" s="2"/>
      <c r="AC324" s="14">
        <f t="shared" si="79"/>
        <v>-26833.150000000009</v>
      </c>
      <c r="AD324" s="15">
        <f>IFERROR(AC324/AC444, "NA")</f>
        <v>-7.3228929634714071E-2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139655.32000000004</v>
      </c>
      <c r="C325" s="15">
        <f>IFERROR(B325/B444, "NA")</f>
        <v>0.23507060981120256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138732.35999999999</v>
      </c>
      <c r="F325" s="15">
        <f>IFERROR(E325/E444, "NA")</f>
        <v>0.21285766053142344</v>
      </c>
      <c r="G325" s="2"/>
      <c r="H325" s="14">
        <f t="shared" si="76"/>
        <v>-922.96000000005006</v>
      </c>
      <c r="I325" s="15">
        <f>IFERROR(H325/H444, "NA")</f>
        <v>1.6006456968947144E-2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113016.53</v>
      </c>
      <c r="L325" s="15">
        <f>IFERROR(K325/K444, "NA")</f>
        <v>0.20014633338616661</v>
      </c>
      <c r="M325" s="2"/>
      <c r="N325" s="14">
        <f t="shared" si="77"/>
        <v>-26638.790000000037</v>
      </c>
      <c r="O325" s="15">
        <f>IFERROR(N325/N444, "NA")</f>
        <v>-0.90515920006660155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754056.2799999998</v>
      </c>
      <c r="R325" s="15">
        <f>IFERROR(Q325/Q444, "NA")</f>
        <v>0.26396333219466506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612393.16</v>
      </c>
      <c r="U325" s="15">
        <f>IFERROR(T325/T444, "NA")</f>
        <v>0.21760743538372809</v>
      </c>
      <c r="V325" s="2"/>
      <c r="W325" s="14">
        <f t="shared" si="78"/>
        <v>-141663.11999999976</v>
      </c>
      <c r="X325" s="15">
        <f>IFERROR(W325/W444, "NA")</f>
        <v>-3.3363963003227153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533205.80000000005</v>
      </c>
      <c r="AA325" s="15">
        <f>IFERROR(Z325/Z444, "NA")</f>
        <v>0.2141180406987627</v>
      </c>
      <c r="AB325" s="2"/>
      <c r="AC325" s="14">
        <f t="shared" si="79"/>
        <v>-220850.47999999975</v>
      </c>
      <c r="AD325" s="15">
        <f>IFERROR(AC325/AC444, "NA")</f>
        <v>-0.60271135739608661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58545.11</v>
      </c>
      <c r="C329" s="8">
        <f>IFERROR(B329/B444, "NA")</f>
        <v>9.8544292542267126E-2</v>
      </c>
      <c r="D329" s="9"/>
      <c r="E329" s="7">
        <v>54846</v>
      </c>
      <c r="F329" s="8">
        <f>IFERROR(E329/E444, "NA")</f>
        <v>8.4150455232697347E-2</v>
      </c>
      <c r="G329" s="9"/>
      <c r="H329" s="10">
        <f t="shared" si="80"/>
        <v>-3699.1100000000006</v>
      </c>
      <c r="I329" s="8">
        <f>IFERROR(H329/H444, "NA")</f>
        <v>6.4151908033282981E-2</v>
      </c>
      <c r="J329" s="9"/>
      <c r="K329" s="7">
        <v>52186.869999999995</v>
      </c>
      <c r="L329" s="8">
        <f>IFERROR(K329/K444, "NA")</f>
        <v>9.242020332247447E-2</v>
      </c>
      <c r="M329" s="9"/>
      <c r="N329" s="10">
        <f t="shared" si="81"/>
        <v>-6358.2400000000052</v>
      </c>
      <c r="O329" s="8">
        <f>IFERROR(N329/N444, "NA")</f>
        <v>-0.21604657840057545</v>
      </c>
      <c r="P329" s="9"/>
      <c r="Q329" s="7">
        <v>275578.96000000002</v>
      </c>
      <c r="R329" s="8">
        <f>IFERROR(Q329/Q444, "NA")</f>
        <v>9.6468582642585149E-2</v>
      </c>
      <c r="S329" s="9"/>
      <c r="T329" s="7">
        <v>268056.3</v>
      </c>
      <c r="U329" s="8">
        <f>IFERROR(T329/T444, "NA")</f>
        <v>9.5250972400559186E-2</v>
      </c>
      <c r="V329" s="9"/>
      <c r="W329" s="10">
        <f t="shared" si="82"/>
        <v>-7522.6600000000326</v>
      </c>
      <c r="X329" s="8">
        <f>IFERROR(W329/W444, "NA")</f>
        <v>-0.17717084723664017</v>
      </c>
      <c r="Y329" s="9"/>
      <c r="Z329" s="7">
        <v>260934.35</v>
      </c>
      <c r="AA329" s="8">
        <f>IFERROR(Z329/Z444, "NA")</f>
        <v>0.10478271574128636</v>
      </c>
      <c r="AB329" s="9"/>
      <c r="AC329" s="10">
        <f t="shared" si="83"/>
        <v>-14644.610000000015</v>
      </c>
      <c r="AD329" s="8">
        <f>IFERROR(AC329/AC444, "NA")</f>
        <v>-3.99658301473301E-2</v>
      </c>
    </row>
    <row r="330" spans="1:30" ht="16.5" customHeight="1" x14ac:dyDescent="0.45">
      <c r="A330" s="6" t="s">
        <v>301</v>
      </c>
      <c r="B330" s="7">
        <v>6547.3200000000006</v>
      </c>
      <c r="C330" s="8">
        <f>IFERROR(B330/B444, "NA")</f>
        <v>1.1020579130312276E-2</v>
      </c>
      <c r="D330" s="9"/>
      <c r="E330" s="7">
        <v>6065</v>
      </c>
      <c r="F330" s="8">
        <f>IFERROR(E330/E444, "NA")</f>
        <v>9.3055557558675093E-3</v>
      </c>
      <c r="G330" s="9"/>
      <c r="H330" s="10">
        <f t="shared" si="80"/>
        <v>-482.32000000000062</v>
      </c>
      <c r="I330" s="8">
        <f>IFERROR(H330/H444, "NA")</f>
        <v>8.3646467076169892E-3</v>
      </c>
      <c r="J330" s="9"/>
      <c r="K330" s="7">
        <v>6381.17</v>
      </c>
      <c r="L330" s="8">
        <f>IFERROR(K330/K444, "NA")</f>
        <v>1.1300716613877675E-2</v>
      </c>
      <c r="M330" s="9"/>
      <c r="N330" s="10">
        <f t="shared" si="81"/>
        <v>-166.15000000000055</v>
      </c>
      <c r="O330" s="8">
        <f>IFERROR(N330/N444, "NA")</f>
        <v>-5.6456093197576216E-3</v>
      </c>
      <c r="P330" s="9"/>
      <c r="Q330" s="7">
        <v>30491.17</v>
      </c>
      <c r="R330" s="8">
        <f>IFERROR(Q330/Q444, "NA")</f>
        <v>1.0673673900990529E-2</v>
      </c>
      <c r="S330" s="9"/>
      <c r="T330" s="7">
        <v>30325</v>
      </c>
      <c r="U330" s="8">
        <f>IFERROR(T330/T444, "NA")</f>
        <v>1.0775668163915408E-2</v>
      </c>
      <c r="V330" s="9"/>
      <c r="W330" s="10">
        <f t="shared" si="82"/>
        <v>-166.16999999999825</v>
      </c>
      <c r="X330" s="8">
        <f>IFERROR(W330/W444, "NA")</f>
        <v>-3.9135730825681425E-3</v>
      </c>
      <c r="Y330" s="9"/>
      <c r="Z330" s="7">
        <v>28025.21</v>
      </c>
      <c r="AA330" s="8">
        <f>IFERROR(Z330/Z444, "NA")</f>
        <v>1.1254009343805658E-2</v>
      </c>
      <c r="AB330" s="9"/>
      <c r="AC330" s="10">
        <f t="shared" si="83"/>
        <v>-2465.9599999999991</v>
      </c>
      <c r="AD330" s="8">
        <f>IFERROR(AC330/AC444, "NA")</f>
        <v>-6.7297209355599089E-3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195.16</v>
      </c>
      <c r="C332" s="8">
        <f>IFERROR(B332/B444, "NA")</f>
        <v>3.284971901589877E-4</v>
      </c>
      <c r="D332" s="9"/>
      <c r="E332" s="7">
        <v>195</v>
      </c>
      <c r="F332" s="8">
        <f>IFERROR(E332/E444, "NA")</f>
        <v>2.9918934417051348E-4</v>
      </c>
      <c r="G332" s="9"/>
      <c r="H332" s="10">
        <f t="shared" si="80"/>
        <v>-0.15999999999999659</v>
      </c>
      <c r="I332" s="8">
        <f>IFERROR(H332/H444, "NA")</f>
        <v>2.7748040164593797E-6</v>
      </c>
      <c r="J332" s="9"/>
      <c r="K332" s="7">
        <v>195.16</v>
      </c>
      <c r="L332" s="8">
        <f>IFERROR(K332/K444, "NA")</f>
        <v>3.4561810049949573E-4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975.8</v>
      </c>
      <c r="R332" s="8">
        <f>IFERROR(Q332/Q444, "NA")</f>
        <v>3.4158646560911101E-4</v>
      </c>
      <c r="S332" s="9"/>
      <c r="T332" s="7">
        <v>975</v>
      </c>
      <c r="U332" s="8">
        <f>IFERROR(T332/T444, "NA")</f>
        <v>3.4645594261558196E-4</v>
      </c>
      <c r="V332" s="9"/>
      <c r="W332" s="10">
        <f t="shared" si="82"/>
        <v>-0.79999999999995453</v>
      </c>
      <c r="X332" s="8">
        <f>IFERROR(W332/W444, "NA")</f>
        <v>-1.8841297863960816E-5</v>
      </c>
      <c r="Y332" s="9"/>
      <c r="Z332" s="7">
        <v>975.8</v>
      </c>
      <c r="AA332" s="8">
        <f>IFERROR(Z332/Z444, "NA")</f>
        <v>3.918494212063196E-4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5618.89</v>
      </c>
      <c r="C333" s="8">
        <f>IFERROR(B333/B444, "NA")</f>
        <v>9.4578273048392843E-3</v>
      </c>
      <c r="D333" s="9"/>
      <c r="E333" s="7">
        <v>5155</v>
      </c>
      <c r="F333" s="8">
        <f>IFERROR(E333/E444, "NA")</f>
        <v>7.909338816405112E-3</v>
      </c>
      <c r="G333" s="9"/>
      <c r="H333" s="10">
        <f t="shared" si="80"/>
        <v>-463.89000000000033</v>
      </c>
      <c r="I333" s="8">
        <f>IFERROR(H333/H444, "NA")</f>
        <v>8.0450239699710636E-3</v>
      </c>
      <c r="J333" s="9"/>
      <c r="K333" s="7">
        <v>5558.9100000000008</v>
      </c>
      <c r="L333" s="8">
        <f>IFERROR(K333/K444, "NA")</f>
        <v>9.8445373798301504E-3</v>
      </c>
      <c r="M333" s="9"/>
      <c r="N333" s="10">
        <f t="shared" si="81"/>
        <v>-59.979999999999563</v>
      </c>
      <c r="O333" s="8">
        <f>IFERROR(N333/N444, "NA")</f>
        <v>-2.0380598675838611E-3</v>
      </c>
      <c r="P333" s="9"/>
      <c r="Q333" s="7">
        <v>28529.45</v>
      </c>
      <c r="R333" s="8">
        <f>IFERROR(Q333/Q444, "NA")</f>
        <v>9.9869583841687374E-3</v>
      </c>
      <c r="S333" s="9"/>
      <c r="T333" s="7">
        <v>25775</v>
      </c>
      <c r="U333" s="8">
        <f>IFERROR(T333/T444, "NA")</f>
        <v>9.1588737650426921E-3</v>
      </c>
      <c r="V333" s="9"/>
      <c r="W333" s="10">
        <f t="shared" si="82"/>
        <v>-2754.4500000000007</v>
      </c>
      <c r="X333" s="8">
        <f>IFERROR(W333/W444, "NA")</f>
        <v>-6.4871766126737299E-2</v>
      </c>
      <c r="Y333" s="9"/>
      <c r="Z333" s="7">
        <v>26018.159999999996</v>
      </c>
      <c r="AA333" s="8">
        <f>IFERROR(Z333/Z444, "NA")</f>
        <v>1.0448043591774356E-2</v>
      </c>
      <c r="AB333" s="9"/>
      <c r="AC333" s="10">
        <f t="shared" si="83"/>
        <v>-2511.2900000000045</v>
      </c>
      <c r="AD333" s="8">
        <f>IFERROR(AC333/AC444, "NA")</f>
        <v>-6.8534286396625572E-3</v>
      </c>
    </row>
    <row r="334" spans="1:30" ht="16.5" customHeight="1" x14ac:dyDescent="0.45">
      <c r="A334" s="6" t="s">
        <v>305</v>
      </c>
      <c r="B334" s="7">
        <v>-4507.97</v>
      </c>
      <c r="C334" s="8">
        <f>IFERROR(B334/B444, "NA")</f>
        <v>-7.5879046849816152E-3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4507.97</v>
      </c>
      <c r="I334" s="8">
        <f>IFERROR(H334/H444, "NA")</f>
        <v>-7.8179582887991608E-2</v>
      </c>
      <c r="J334" s="9"/>
      <c r="K334" s="7">
        <v>-4018.39</v>
      </c>
      <c r="L334" s="8">
        <f>IFERROR(K334/K444, "NA")</f>
        <v>-7.1163574444874393E-3</v>
      </c>
      <c r="M334" s="9"/>
      <c r="N334" s="10">
        <f t="shared" si="81"/>
        <v>489.58000000000038</v>
      </c>
      <c r="O334" s="8">
        <f>IFERROR(N334/N444, "NA")</f>
        <v>1.663543431096557E-2</v>
      </c>
      <c r="P334" s="9"/>
      <c r="Q334" s="7">
        <v>-9015.94</v>
      </c>
      <c r="R334" s="8">
        <f>IFERROR(Q334/Q444, "NA")</f>
        <v>-3.1561007160727699E-3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9015.94</v>
      </c>
      <c r="X334" s="8">
        <f>IFERROR(W334/W444, "NA")</f>
        <v>0.21234001382951068</v>
      </c>
      <c r="Y334" s="9"/>
      <c r="Z334" s="7">
        <v>-8036.78</v>
      </c>
      <c r="AA334" s="8">
        <f>IFERROR(Z334/Z444, "NA")</f>
        <v>-3.2273084559976692E-3</v>
      </c>
      <c r="AB334" s="9"/>
      <c r="AC334" s="10">
        <f t="shared" si="83"/>
        <v>979.16000000000076</v>
      </c>
      <c r="AD334" s="8">
        <f>IFERROR(AC334/AC444, "NA")</f>
        <v>2.6721737381234277E-3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1.1585585143566572E-3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-7.7946920295656932E-2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-9.0321087944442713E-3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14121.49</v>
      </c>
      <c r="F337" s="8">
        <f>IFERROR(E337/E444, "NA")</f>
        <v>2.1666663240053664E-2</v>
      </c>
      <c r="G337" s="9"/>
      <c r="H337" s="10">
        <f t="shared" ref="H337:H344" si="84">IFERROR(-(B337-E337), "NA")</f>
        <v>14121.49</v>
      </c>
      <c r="I337" s="8">
        <f>IFERROR(H337/H444, "NA")</f>
        <v>-0.24490229481494877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74725.080000000016</v>
      </c>
      <c r="U337" s="8">
        <f>IFERROR(T337/T444, "NA")</f>
        <v>2.6552767208640794E-2</v>
      </c>
      <c r="V337" s="9"/>
      <c r="W337" s="10">
        <f t="shared" ref="W337:W344" si="86">IFERROR(-(Q337-T337), "NA")</f>
        <v>74725.080000000016</v>
      </c>
      <c r="X337" s="8">
        <f>IFERROR(W337/W444, "NA")</f>
        <v>1.7598968627354767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9442.51</v>
      </c>
      <c r="C338" s="8">
        <f>IFERROR(B338/B444, "NA")</f>
        <v>1.5893820470629962E-2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-9442.51</v>
      </c>
      <c r="I338" s="8">
        <f>IFERROR(H338/H444, "NA")</f>
        <v>0.1637569667091151</v>
      </c>
      <c r="J338" s="9"/>
      <c r="K338" s="7">
        <v>8175.2399999999989</v>
      </c>
      <c r="L338" s="8">
        <f>IFERROR(K338/K444, "NA")</f>
        <v>1.4477920270175738E-2</v>
      </c>
      <c r="M338" s="9"/>
      <c r="N338" s="10">
        <f t="shared" si="85"/>
        <v>-1267.2700000000013</v>
      </c>
      <c r="O338" s="8">
        <f>IFERROR(N338/N444, "NA")</f>
        <v>-4.30605556584365E-2</v>
      </c>
      <c r="P338" s="9"/>
      <c r="Q338" s="7">
        <v>48175.799999999996</v>
      </c>
      <c r="R338" s="8">
        <f>IFERROR(Q338/Q444, "NA")</f>
        <v>1.6864317739179555E-2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-48175.799999999996</v>
      </c>
      <c r="X338" s="8">
        <f>IFERROR(W338/W444, "NA")</f>
        <v>-1.1346182470433188</v>
      </c>
      <c r="Y338" s="9"/>
      <c r="Z338" s="7">
        <v>37894.99</v>
      </c>
      <c r="AA338" s="8">
        <f>IFERROR(Z338/Z444, "NA")</f>
        <v>1.5217390754375148E-2</v>
      </c>
      <c r="AB338" s="9"/>
      <c r="AC338" s="10">
        <f t="shared" si="87"/>
        <v>-10280.809999999998</v>
      </c>
      <c r="AD338" s="8">
        <f>IFERROR(AC338/AC444, "NA")</f>
        <v>-2.8056814502876639E-2</v>
      </c>
    </row>
    <row r="339" spans="1:30" ht="16.5" customHeight="1" x14ac:dyDescent="0.45">
      <c r="A339" s="12" t="s">
        <v>309</v>
      </c>
      <c r="B339" s="7">
        <v>2176.71</v>
      </c>
      <c r="C339" s="8">
        <f>IFERROR(B339/B444, "NA")</f>
        <v>3.6638815269059754E-3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-2176.71</v>
      </c>
      <c r="I339" s="8">
        <f>IFERROR(H339/H444, "NA")</f>
        <v>3.7749647816671408E-2</v>
      </c>
      <c r="J339" s="9"/>
      <c r="K339" s="7">
        <v>2121.6099999999997</v>
      </c>
      <c r="L339" s="8">
        <f>IFERROR(K339/K444, "NA")</f>
        <v>3.7572597776221305E-3</v>
      </c>
      <c r="M339" s="9"/>
      <c r="N339" s="10">
        <f t="shared" si="85"/>
        <v>-55.100000000000364</v>
      </c>
      <c r="O339" s="8">
        <f>IFERROR(N339/N444, "NA")</f>
        <v>-1.8722423925287149E-3</v>
      </c>
      <c r="P339" s="9"/>
      <c r="Q339" s="7">
        <v>13203.220000000001</v>
      </c>
      <c r="R339" s="8">
        <f>IFERROR(Q339/Q444, "NA")</f>
        <v>4.6218910170726865E-3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-13203.220000000001</v>
      </c>
      <c r="X339" s="8">
        <f>IFERROR(W339/W444, "NA")</f>
        <v>-0.31095725097927363</v>
      </c>
      <c r="Y339" s="9"/>
      <c r="Z339" s="7">
        <v>13132.04</v>
      </c>
      <c r="AA339" s="8">
        <f>IFERROR(Z339/Z444, "NA")</f>
        <v>5.2733985173788051E-3</v>
      </c>
      <c r="AB339" s="9"/>
      <c r="AC339" s="10">
        <f t="shared" si="87"/>
        <v>-71.180000000000291</v>
      </c>
      <c r="AD339" s="8">
        <f>IFERROR(AC339/AC444, "NA")</f>
        <v>-1.9425357110137897E-4</v>
      </c>
    </row>
    <row r="340" spans="1:30" ht="16.5" customHeight="1" x14ac:dyDescent="0.45">
      <c r="A340" s="12" t="s">
        <v>310</v>
      </c>
      <c r="B340" s="7">
        <v>2711.05</v>
      </c>
      <c r="C340" s="8">
        <f>IFERROR(B340/B444, "NA")</f>
        <v>4.5632932331447209E-3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-2711.05</v>
      </c>
      <c r="I340" s="8">
        <f>IFERROR(H340/H444, "NA")</f>
        <v>4.7016452680139764E-2</v>
      </c>
      <c r="J340" s="9"/>
      <c r="K340" s="7">
        <v>2552.65</v>
      </c>
      <c r="L340" s="8">
        <f>IFERROR(K340/K444, "NA")</f>
        <v>4.5206089579833868E-3</v>
      </c>
      <c r="M340" s="9"/>
      <c r="N340" s="10">
        <f t="shared" si="85"/>
        <v>-158.40000000000009</v>
      </c>
      <c r="O340" s="8">
        <f>IFERROR(N340/N444, "NA")</f>
        <v>-5.3822721411351474E-3</v>
      </c>
      <c r="P340" s="9"/>
      <c r="Q340" s="7">
        <v>13394.59</v>
      </c>
      <c r="R340" s="8">
        <f>IFERROR(Q340/Q444, "NA")</f>
        <v>4.688881590882499E-3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-13394.59</v>
      </c>
      <c r="X340" s="8">
        <f>IFERROR(W340/W444, "NA")</f>
        <v>-0.31546432494455656</v>
      </c>
      <c r="Y340" s="9"/>
      <c r="Z340" s="7">
        <v>12053.2</v>
      </c>
      <c r="AA340" s="8">
        <f>IFERROR(Z340/Z444, "NA")</f>
        <v>4.8401715963148307E-3</v>
      </c>
      <c r="AB340" s="9"/>
      <c r="AC340" s="10">
        <f t="shared" si="87"/>
        <v>-1341.3899999999994</v>
      </c>
      <c r="AD340" s="8">
        <f>IFERROR(AC340/AC444, "NA")</f>
        <v>-3.6607164616419999E-3</v>
      </c>
    </row>
    <row r="341" spans="1:30" ht="16.5" customHeight="1" x14ac:dyDescent="0.45">
      <c r="A341" s="12" t="s">
        <v>311</v>
      </c>
      <c r="B341" s="7">
        <v>1884.19</v>
      </c>
      <c r="C341" s="8">
        <f>IFERROR(B341/B444, "NA")</f>
        <v>3.1715060500392659E-3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-1884.19</v>
      </c>
      <c r="I341" s="8">
        <f>IFERROR(H341/H444, "NA")</f>
        <v>3.2676612373579439E-2</v>
      </c>
      <c r="J341" s="9"/>
      <c r="K341" s="7">
        <v>1750.17</v>
      </c>
      <c r="L341" s="8">
        <f>IFERROR(K341/K444, "NA")</f>
        <v>3.0994590641074118E-3</v>
      </c>
      <c r="M341" s="9"/>
      <c r="N341" s="10">
        <f t="shared" si="85"/>
        <v>-134.01999999999998</v>
      </c>
      <c r="O341" s="8">
        <f>IFERROR(N341/N444, "NA")</f>
        <v>-4.5538643456750757E-3</v>
      </c>
      <c r="P341" s="9"/>
      <c r="Q341" s="7">
        <v>9380.49</v>
      </c>
      <c r="R341" s="8">
        <f>IFERROR(Q341/Q444, "NA")</f>
        <v>3.2837143111104838E-3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-9380.49</v>
      </c>
      <c r="X341" s="8">
        <f>IFERROR(W341/W444, "NA")</f>
        <v>-0.22092575774989481</v>
      </c>
      <c r="Y341" s="9"/>
      <c r="Z341" s="7">
        <v>8748.42</v>
      </c>
      <c r="AA341" s="8">
        <f>IFERROR(Z341/Z444, "NA")</f>
        <v>3.5130798457366171E-3</v>
      </c>
      <c r="AB341" s="9"/>
      <c r="AC341" s="10">
        <f t="shared" si="87"/>
        <v>-632.06999999999971</v>
      </c>
      <c r="AD341" s="8">
        <f>IFERROR(AC341/AC444, "NA")</f>
        <v>-1.7249487873847716E-3</v>
      </c>
    </row>
    <row r="342" spans="1:30" ht="16.5" customHeight="1" x14ac:dyDescent="0.45">
      <c r="A342" s="13" t="s">
        <v>312</v>
      </c>
      <c r="B342" s="14">
        <f>IFERROR(B337+B338+B339+B340+B341, "NA")</f>
        <v>16214.460000000001</v>
      </c>
      <c r="C342" s="15">
        <f>IFERROR(B342/B444, "NA")</f>
        <v>2.7292501280719923E-2</v>
      </c>
      <c r="D342" s="2"/>
      <c r="E342" s="14">
        <f>IFERROR(E337+E338+E339+E340+E341, "NA")</f>
        <v>14121.49</v>
      </c>
      <c r="F342" s="15">
        <f>IFERROR(E342/E444, "NA")</f>
        <v>2.1666663240053664E-2</v>
      </c>
      <c r="G342" s="2"/>
      <c r="H342" s="14">
        <f t="shared" si="84"/>
        <v>-2092.9700000000012</v>
      </c>
      <c r="I342" s="15">
        <f>IFERROR(H342/H444, "NA")</f>
        <v>3.6297384764556968E-2</v>
      </c>
      <c r="J342" s="2"/>
      <c r="K342" s="14">
        <f>IFERROR(K337+K338+K339+K340+K341, "NA")</f>
        <v>14599.669999999998</v>
      </c>
      <c r="L342" s="15">
        <f>IFERROR(K342/K444, "NA")</f>
        <v>2.5855248069888665E-2</v>
      </c>
      <c r="M342" s="2"/>
      <c r="N342" s="14">
        <f t="shared" si="85"/>
        <v>-1614.7900000000027</v>
      </c>
      <c r="O342" s="15">
        <f>IFERROR(N342/N444, "NA")</f>
        <v>-5.4868934537775471E-2</v>
      </c>
      <c r="P342" s="2"/>
      <c r="Q342" s="14">
        <f>IFERROR(Q337+Q338+Q339+Q340+Q341, "NA")</f>
        <v>84154.1</v>
      </c>
      <c r="R342" s="15">
        <f>IFERROR(Q342/Q444, "NA")</f>
        <v>2.9458804658245227E-2</v>
      </c>
      <c r="S342" s="2"/>
      <c r="T342" s="14">
        <f>IFERROR(T337+T338+T339+T340+T341, "NA")</f>
        <v>74725.080000000016</v>
      </c>
      <c r="U342" s="15">
        <f>IFERROR(T342/T444, "NA")</f>
        <v>2.6552767208640794E-2</v>
      </c>
      <c r="V342" s="2"/>
      <c r="W342" s="14">
        <f t="shared" si="86"/>
        <v>-9429.0199999999895</v>
      </c>
      <c r="X342" s="15">
        <f>IFERROR(W342/W444, "NA")</f>
        <v>-0.22206871798156716</v>
      </c>
      <c r="Y342" s="2"/>
      <c r="Z342" s="14">
        <f>IFERROR(Z337+Z338+Z339+Z340+Z341, "NA")</f>
        <v>71828.649999999994</v>
      </c>
      <c r="AA342" s="15">
        <f>IFERROR(Z342/Z444, "NA")</f>
        <v>2.8844040713805398E-2</v>
      </c>
      <c r="AB342" s="2"/>
      <c r="AC342" s="14">
        <f t="shared" si="87"/>
        <v>-12325.450000000012</v>
      </c>
      <c r="AD342" s="15">
        <f>IFERROR(AC342/AC444, "NA")</f>
        <v>-3.3636733323004833E-2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82612.970000000016</v>
      </c>
      <c r="C343" s="15">
        <f>IFERROR(B343/B444, "NA")</f>
        <v>0.13905579276331601</v>
      </c>
      <c r="D343" s="2"/>
      <c r="E343" s="14">
        <f>IFERROR(E328+E329+E330+E331+E332+E333+E334+E335+E337+E338+E339+E340+E341, "NA")</f>
        <v>80382.490000000005</v>
      </c>
      <c r="F343" s="15">
        <f>IFERROR(E343/E444, "NA")</f>
        <v>0.12333120238919415</v>
      </c>
      <c r="G343" s="2"/>
      <c r="H343" s="14">
        <f t="shared" si="84"/>
        <v>-2230.4800000000105</v>
      </c>
      <c r="I343" s="15">
        <f>IFERROR(H343/H444, "NA")</f>
        <v>3.8682155391452991E-2</v>
      </c>
      <c r="J343" s="2"/>
      <c r="K343" s="14">
        <f>IFERROR(K328+K329+K330+K331+K332+K333+K334+K335+K337+K338+K339+K340+K341, "NA")</f>
        <v>74903.39</v>
      </c>
      <c r="L343" s="15">
        <f>IFERROR(K343/K444, "NA")</f>
        <v>0.13264996604208301</v>
      </c>
      <c r="M343" s="2"/>
      <c r="N343" s="14">
        <f t="shared" si="85"/>
        <v>-7709.5800000000163</v>
      </c>
      <c r="O343" s="15">
        <f>IFERROR(N343/N444, "NA")</f>
        <v>-0.26196374781472714</v>
      </c>
      <c r="P343" s="2"/>
      <c r="Q343" s="14">
        <f>IFERROR(Q328+Q329+Q330+Q331+Q332+Q333+Q334+Q335+Q337+Q338+Q339+Q340+Q341, "NA")</f>
        <v>414023.16</v>
      </c>
      <c r="R343" s="15">
        <f>IFERROR(Q343/Q444, "NA")</f>
        <v>0.14493206384988264</v>
      </c>
      <c r="S343" s="2"/>
      <c r="T343" s="14">
        <f>IFERROR(T328+T329+T330+T331+T332+T333+T334+T335+T337+T338+T339+T340+T341, "NA")</f>
        <v>399856.38</v>
      </c>
      <c r="U343" s="15">
        <f>IFERROR(T343/T444, "NA")</f>
        <v>0.14208473748077366</v>
      </c>
      <c r="V343" s="2"/>
      <c r="W343" s="14">
        <f t="shared" si="86"/>
        <v>-14166.77999999997</v>
      </c>
      <c r="X343" s="15">
        <f>IFERROR(W343/W444, "NA")</f>
        <v>-0.33365065219152179</v>
      </c>
      <c r="Y343" s="2"/>
      <c r="Z343" s="14">
        <f>IFERROR(Z328+Z329+Z330+Z331+Z332+Z333+Z334+Z335+Z337+Z338+Z339+Z340+Z341, "NA")</f>
        <v>379745.3899999999</v>
      </c>
      <c r="AA343" s="15">
        <f>IFERROR(Z343/Z444, "NA")</f>
        <v>0.15249335035588038</v>
      </c>
      <c r="AB343" s="2"/>
      <c r="AC343" s="14">
        <f t="shared" si="87"/>
        <v>-34277.770000000077</v>
      </c>
      <c r="AD343" s="15">
        <f>IFERROR(AC343/AC444, "NA")</f>
        <v>-9.3545648101878376E-2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82612.970000000016</v>
      </c>
      <c r="C344" s="15">
        <f>IFERROR(B344/B444, "NA")</f>
        <v>0.13905579276331601</v>
      </c>
      <c r="D344" s="2"/>
      <c r="E344" s="14">
        <f>IFERROR(E328+E329+E330+E331+E332+E333+E334+E335+E337+E338+E339+E340+E341, "NA")</f>
        <v>80382.490000000005</v>
      </c>
      <c r="F344" s="15">
        <f>IFERROR(E344/E444, "NA")</f>
        <v>0.12333120238919415</v>
      </c>
      <c r="G344" s="2"/>
      <c r="H344" s="14">
        <f t="shared" si="84"/>
        <v>-2230.4800000000105</v>
      </c>
      <c r="I344" s="15">
        <f>IFERROR(H344/H444, "NA")</f>
        <v>3.8682155391452991E-2</v>
      </c>
      <c r="J344" s="2"/>
      <c r="K344" s="14">
        <f>IFERROR(K328+K329+K330+K331+K332+K333+K334+K335+K337+K338+K339+K340+K341, "NA")</f>
        <v>74903.39</v>
      </c>
      <c r="L344" s="15">
        <f>IFERROR(K344/K444, "NA")</f>
        <v>0.13264996604208301</v>
      </c>
      <c r="M344" s="2"/>
      <c r="N344" s="14">
        <f t="shared" si="85"/>
        <v>-7709.5800000000163</v>
      </c>
      <c r="O344" s="15">
        <f>IFERROR(N344/N444, "NA")</f>
        <v>-0.26196374781472714</v>
      </c>
      <c r="P344" s="2"/>
      <c r="Q344" s="14">
        <f>IFERROR(Q328+Q329+Q330+Q331+Q332+Q333+Q334+Q335+Q337+Q338+Q339+Q340+Q341, "NA")</f>
        <v>414023.16</v>
      </c>
      <c r="R344" s="15">
        <f>IFERROR(Q344/Q444, "NA")</f>
        <v>0.14493206384988264</v>
      </c>
      <c r="S344" s="2"/>
      <c r="T344" s="14">
        <f>IFERROR(T328+T329+T330+T331+T332+T333+T334+T335+T337+T338+T339+T340+T341, "NA")</f>
        <v>399856.38</v>
      </c>
      <c r="U344" s="15">
        <f>IFERROR(T344/T444, "NA")</f>
        <v>0.14208473748077366</v>
      </c>
      <c r="V344" s="2"/>
      <c r="W344" s="14">
        <f t="shared" si="86"/>
        <v>-14166.77999999997</v>
      </c>
      <c r="X344" s="15">
        <f>IFERROR(W344/W444, "NA")</f>
        <v>-0.33365065219152179</v>
      </c>
      <c r="Y344" s="2"/>
      <c r="Z344" s="14">
        <f>IFERROR(Z328+Z329+Z330+Z331+Z332+Z333+Z334+Z335+Z337+Z338+Z339+Z340+Z341, "NA")</f>
        <v>379745.3899999999</v>
      </c>
      <c r="AA344" s="15">
        <f>IFERROR(Z344/Z444, "NA")</f>
        <v>0.15249335035588038</v>
      </c>
      <c r="AB344" s="2"/>
      <c r="AC344" s="14">
        <f t="shared" si="87"/>
        <v>-34277.770000000077</v>
      </c>
      <c r="AD344" s="15">
        <f>IFERROR(AC344/AC444, "NA")</f>
        <v>-9.3545648101878376E-2</v>
      </c>
    </row>
    <row r="345" spans="1:30" ht="16.5" customHeight="1" x14ac:dyDescent="0.45">
      <c r="A345" s="22" t="s">
        <v>315</v>
      </c>
      <c r="B345" s="23">
        <f>IFERROR(B198-B325-B344, "NA")</f>
        <v>24659.840000000098</v>
      </c>
      <c r="C345" s="24">
        <f>IFERROR(B345/B444, "NA")</f>
        <v>4.1507932720691969E-2</v>
      </c>
      <c r="D345" s="25"/>
      <c r="E345" s="23">
        <f>IFERROR(E198-E325-E344, "NA")</f>
        <v>103833.99999999987</v>
      </c>
      <c r="F345" s="24">
        <f>IFERROR(E345/E444, "NA")</f>
        <v>0.15931295570564644</v>
      </c>
      <c r="G345" s="25"/>
      <c r="H345" s="23">
        <f>IFERROR(B345-E345, "NA")</f>
        <v>-79174.159999999771</v>
      </c>
      <c r="I345" s="24">
        <f>IFERROR(H345/H444, "NA")</f>
        <v>1.3730798572987601</v>
      </c>
      <c r="J345" s="25"/>
      <c r="K345" s="23">
        <f>IFERROR(K198-K325-K344, "NA")</f>
        <v>62332.359999999942</v>
      </c>
      <c r="L345" s="24">
        <f>IFERROR(K345/K444, "NA")</f>
        <v>0.11038733276722038</v>
      </c>
      <c r="M345" s="25"/>
      <c r="N345" s="23">
        <f>IFERROR(B345-K345, "NA")</f>
        <v>-37672.519999999844</v>
      </c>
      <c r="O345" s="24">
        <f>IFERROR(N345/N444, "NA")</f>
        <v>-1.2800742101158822</v>
      </c>
      <c r="P345" s="25"/>
      <c r="Q345" s="23">
        <f>IFERROR(Q198-Q325-Q344, "NA")</f>
        <v>69844.889999999839</v>
      </c>
      <c r="R345" s="24">
        <f>IFERROR(Q345/Q444, "NA")</f>
        <v>2.4449753141993328E-2</v>
      </c>
      <c r="S345" s="25"/>
      <c r="T345" s="23">
        <f>IFERROR(T198-T325-T344, "NA")</f>
        <v>272642.37999999966</v>
      </c>
      <c r="U345" s="24">
        <f>IFERROR(T345/T444, "NA")</f>
        <v>9.6880587446005709E-2</v>
      </c>
      <c r="V345" s="25"/>
      <c r="W345" s="23">
        <f>IFERROR(Q345-T345, "NA")</f>
        <v>-202797.48999999982</v>
      </c>
      <c r="X345" s="24">
        <f>IFERROR(W345/W444, "NA")</f>
        <v>-4.7762098939422861</v>
      </c>
      <c r="Y345" s="25"/>
      <c r="Z345" s="23">
        <f>IFERROR(Z198-Z325-Z344, "NA")</f>
        <v>128483.61000000034</v>
      </c>
      <c r="AA345" s="24">
        <f>IFERROR(Z345/Z444, "NA")</f>
        <v>5.1594822927852668E-2</v>
      </c>
      <c r="AB345" s="25"/>
      <c r="AC345" s="23">
        <f>IFERROR(Q345-Z345, "NA")</f>
        <v>-58638.720000000496</v>
      </c>
      <c r="AD345" s="24">
        <f>IFERROR(AC345/AC444, "NA")</f>
        <v>-0.16002782754725908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customHeight="1" x14ac:dyDescent="0.45">
      <c r="A350" s="6" t="s">
        <v>319</v>
      </c>
      <c r="B350" s="7">
        <v>41182.639999999999</v>
      </c>
      <c r="C350" s="8">
        <f>IFERROR(B350/B444, "NA")</f>
        <v>6.9319438016648569E-2</v>
      </c>
      <c r="D350" s="9"/>
      <c r="E350" s="7">
        <v>62115</v>
      </c>
      <c r="F350" s="8">
        <f>IFERROR(E350/E444, "NA")</f>
        <v>9.5303313400776635E-2</v>
      </c>
      <c r="G350" s="9"/>
      <c r="H350" s="10">
        <f t="shared" si="88"/>
        <v>20932.36</v>
      </c>
      <c r="I350" s="8">
        <f>IFERROR(H350/H444, "NA")</f>
        <v>-0.36301997876234315</v>
      </c>
      <c r="J350" s="9"/>
      <c r="K350" s="7">
        <v>47249.96</v>
      </c>
      <c r="L350" s="8">
        <f>IFERROR(K350/K444, "NA")</f>
        <v>8.3677195244297772E-2</v>
      </c>
      <c r="M350" s="9"/>
      <c r="N350" s="10">
        <f t="shared" si="89"/>
        <v>6067.32</v>
      </c>
      <c r="O350" s="8">
        <f>IFERROR(N350/N444, "NA")</f>
        <v>0.20616141039995003</v>
      </c>
      <c r="P350" s="9"/>
      <c r="Q350" s="7">
        <v>262612.25</v>
      </c>
      <c r="R350" s="8">
        <f>IFERROR(Q350/Q444, "NA")</f>
        <v>9.192948381139196E-2</v>
      </c>
      <c r="S350" s="9"/>
      <c r="T350" s="7">
        <v>318797</v>
      </c>
      <c r="U350" s="8">
        <f>IFERROR(T350/T444, "NA")</f>
        <v>0.11328114373130223</v>
      </c>
      <c r="V350" s="9"/>
      <c r="W350" s="10">
        <f t="shared" si="90"/>
        <v>56184.75</v>
      </c>
      <c r="X350" s="8">
        <f>IFERROR(W350/W444, "NA")</f>
        <v>1.3232420127027908</v>
      </c>
      <c r="Y350" s="9"/>
      <c r="Z350" s="7">
        <v>267378.34000000003</v>
      </c>
      <c r="AA350" s="8">
        <f>IFERROR(Z350/Z444, "NA")</f>
        <v>0.10737041173612068</v>
      </c>
      <c r="AB350" s="9"/>
      <c r="AC350" s="10">
        <f t="shared" si="91"/>
        <v>4766.0900000000256</v>
      </c>
      <c r="AD350" s="8">
        <f>IFERROR(AC350/AC444, "NA")</f>
        <v>1.300688399396702E-2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10576.93</v>
      </c>
      <c r="L352" s="8">
        <f>IFERROR(K352/K444, "NA")</f>
        <v>1.8731187004079379E-2</v>
      </c>
      <c r="M352" s="9"/>
      <c r="N352" s="10">
        <f t="shared" si="89"/>
        <v>10576.93</v>
      </c>
      <c r="O352" s="8">
        <f>IFERROR(N352/N444, "NA")</f>
        <v>0.35939340705641759</v>
      </c>
      <c r="P352" s="9"/>
      <c r="Q352" s="7">
        <v>0</v>
      </c>
      <c r="R352" s="8">
        <f>IFERROR(Q352/Q444, "NA")</f>
        <v>0</v>
      </c>
      <c r="S352" s="9"/>
      <c r="T352" s="7">
        <v>12375</v>
      </c>
      <c r="U352" s="8">
        <f>IFERROR(T352/T444, "NA")</f>
        <v>4.397325425505463E-3</v>
      </c>
      <c r="V352" s="9"/>
      <c r="W352" s="10">
        <f t="shared" si="90"/>
        <v>12375</v>
      </c>
      <c r="X352" s="8">
        <f>IFERROR(W352/W444, "NA")</f>
        <v>0.29145132633316045</v>
      </c>
      <c r="Y352" s="9"/>
      <c r="Z352" s="7">
        <v>46346.18</v>
      </c>
      <c r="AA352" s="8">
        <f>IFERROR(Z352/Z444, "NA")</f>
        <v>1.8611112736343419E-2</v>
      </c>
      <c r="AB352" s="9"/>
      <c r="AC352" s="10">
        <f t="shared" si="91"/>
        <v>46346.18</v>
      </c>
      <c r="AD352" s="8">
        <f>IFERROR(AC352/AC444, "NA")</f>
        <v>0.12648090716363122</v>
      </c>
    </row>
    <row r="353" spans="1:30" ht="16.5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5483.6</v>
      </c>
      <c r="F353" s="8">
        <f>IFERROR(E353/E444, "NA")</f>
        <v>8.4135112189406558E-3</v>
      </c>
      <c r="G353" s="9"/>
      <c r="H353" s="10">
        <f t="shared" si="88"/>
        <v>5483.6</v>
      </c>
      <c r="I353" s="8">
        <f>IFERROR(H353/H444, "NA")</f>
        <v>-9.5099470654106136E-2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6774.8</v>
      </c>
      <c r="R353" s="8">
        <f>IFERROR(Q353/Q444, "NA")</f>
        <v>2.3715720303429037E-3</v>
      </c>
      <c r="S353" s="9"/>
      <c r="T353" s="7">
        <v>23712.21</v>
      </c>
      <c r="U353" s="8">
        <f>IFERROR(T353/T444, "NA")</f>
        <v>8.4258831456909006E-3</v>
      </c>
      <c r="V353" s="9"/>
      <c r="W353" s="10">
        <f t="shared" si="90"/>
        <v>16937.41</v>
      </c>
      <c r="X353" s="8">
        <f>IFERROR(W353/W444, "NA")</f>
        <v>0.39890348356755839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-6774.8</v>
      </c>
      <c r="AD353" s="8">
        <f>IFERROR(AC353/AC444, "NA")</f>
        <v>-1.8488748152537465E-2</v>
      </c>
    </row>
    <row r="354" spans="1:30" ht="16.5" customHeight="1" x14ac:dyDescent="0.45">
      <c r="A354" s="6" t="s">
        <v>323</v>
      </c>
      <c r="B354" s="7">
        <v>3454.45</v>
      </c>
      <c r="C354" s="8">
        <f>IFERROR(B354/B444, "NA")</f>
        <v>5.8145988857589417E-3</v>
      </c>
      <c r="D354" s="9"/>
      <c r="E354" s="7">
        <v>4654.5200000000004</v>
      </c>
      <c r="F354" s="8">
        <f>IFERROR(E354/E444, "NA")</f>
        <v>7.1414501857873774E-3</v>
      </c>
      <c r="G354" s="9"/>
      <c r="H354" s="10">
        <f t="shared" si="88"/>
        <v>1200.0700000000006</v>
      </c>
      <c r="I354" s="8">
        <f>IFERROR(H354/H444, "NA")</f>
        <v>-2.0812244100203003E-2</v>
      </c>
      <c r="J354" s="9"/>
      <c r="K354" s="7">
        <v>4835.63</v>
      </c>
      <c r="L354" s="8">
        <f>IFERROR(K354/K444, "NA")</f>
        <v>8.5636465224348049E-3</v>
      </c>
      <c r="M354" s="9"/>
      <c r="N354" s="10">
        <f t="shared" si="89"/>
        <v>1381.1800000000003</v>
      </c>
      <c r="O354" s="8">
        <f>IFERROR(N354/N444, "NA")</f>
        <v>4.6931102499324751E-2</v>
      </c>
      <c r="P354" s="9"/>
      <c r="Q354" s="7">
        <v>23661.43</v>
      </c>
      <c r="R354" s="8">
        <f>IFERROR(Q354/Q444, "NA")</f>
        <v>8.2828696914914821E-3</v>
      </c>
      <c r="S354" s="9"/>
      <c r="T354" s="7">
        <v>28362.639999999999</v>
      </c>
      <c r="U354" s="8">
        <f>IFERROR(T354/T444, "NA")</f>
        <v>1.0078364283350162E-2</v>
      </c>
      <c r="V354" s="9"/>
      <c r="W354" s="10">
        <f t="shared" si="90"/>
        <v>4701.2099999999991</v>
      </c>
      <c r="X354" s="8">
        <f>IFERROR(W354/W444, "NA")</f>
        <v>0.11072112241379531</v>
      </c>
      <c r="Y354" s="9"/>
      <c r="Z354" s="7">
        <v>24719.3</v>
      </c>
      <c r="AA354" s="8">
        <f>IFERROR(Z354/Z444, "NA")</f>
        <v>9.9264638221206979E-3</v>
      </c>
      <c r="AB354" s="9"/>
      <c r="AC354" s="10">
        <f t="shared" si="91"/>
        <v>1057.869999999999</v>
      </c>
      <c r="AD354" s="8">
        <f>IFERROR(AC354/AC444, "NA")</f>
        <v>2.8869770337315919E-3</v>
      </c>
    </row>
    <row r="355" spans="1:30" ht="16.5" customHeight="1" x14ac:dyDescent="0.45">
      <c r="A355" s="6" t="s">
        <v>324</v>
      </c>
      <c r="B355" s="7">
        <v>212</v>
      </c>
      <c r="C355" s="8">
        <f>IFERROR(B355/B444, "NA")</f>
        <v>3.568426127982445E-4</v>
      </c>
      <c r="D355" s="9"/>
      <c r="E355" s="7">
        <v>280</v>
      </c>
      <c r="F355" s="8">
        <f>IFERROR(E355/E444, "NA")</f>
        <v>4.2960521214227576E-4</v>
      </c>
      <c r="G355" s="9"/>
      <c r="H355" s="10">
        <f t="shared" si="88"/>
        <v>68</v>
      </c>
      <c r="I355" s="8">
        <f>IFERROR(H355/H444, "NA")</f>
        <v>-1.1792917069952617E-3</v>
      </c>
      <c r="J355" s="9"/>
      <c r="K355" s="7">
        <v>254.4</v>
      </c>
      <c r="L355" s="8">
        <f>IFERROR(K355/K444, "NA")</f>
        <v>4.5052902627111969E-4</v>
      </c>
      <c r="M355" s="9"/>
      <c r="N355" s="10">
        <f t="shared" si="89"/>
        <v>42.400000000000006</v>
      </c>
      <c r="O355" s="8">
        <f>IFERROR(N355/N444, "NA")</f>
        <v>1.4407092094957713E-3</v>
      </c>
      <c r="P355" s="9"/>
      <c r="Q355" s="7">
        <v>1219</v>
      </c>
      <c r="R355" s="8">
        <f>IFERROR(Q355/Q444, "NA")</f>
        <v>4.2672053861191468E-4</v>
      </c>
      <c r="S355" s="9"/>
      <c r="T355" s="7">
        <v>1470</v>
      </c>
      <c r="U355" s="8">
        <f>IFERROR(T355/T444, "NA")</f>
        <v>5.2234895963580046E-4</v>
      </c>
      <c r="V355" s="9"/>
      <c r="W355" s="10">
        <f t="shared" si="90"/>
        <v>251</v>
      </c>
      <c r="X355" s="8">
        <f>IFERROR(W355/W444, "NA")</f>
        <v>5.911457204818042E-3</v>
      </c>
      <c r="Y355" s="9"/>
      <c r="Z355" s="7">
        <v>1030.32</v>
      </c>
      <c r="AA355" s="8">
        <f>IFERROR(Z355/Z444, "NA")</f>
        <v>4.1374287318845588E-4</v>
      </c>
      <c r="AB355" s="9"/>
      <c r="AC355" s="10">
        <f t="shared" si="91"/>
        <v>-188.68000000000006</v>
      </c>
      <c r="AD355" s="8">
        <f>IFERROR(AC355/AC444, "NA")</f>
        <v>-5.1491660291385288E-4</v>
      </c>
    </row>
    <row r="356" spans="1:30" ht="16.5" customHeight="1" x14ac:dyDescent="0.45">
      <c r="A356" s="6" t="s">
        <v>325</v>
      </c>
      <c r="B356" s="7">
        <v>6687.5</v>
      </c>
      <c r="C356" s="8">
        <f>IFERROR(B356/B444, "NA")</f>
        <v>1.1256532891925755E-2</v>
      </c>
      <c r="D356" s="9"/>
      <c r="E356" s="7">
        <v>6187.5</v>
      </c>
      <c r="F356" s="8">
        <f>IFERROR(E356/E444, "NA")</f>
        <v>9.4935080361797548E-3</v>
      </c>
      <c r="G356" s="9"/>
      <c r="H356" s="10">
        <f t="shared" si="88"/>
        <v>-500</v>
      </c>
      <c r="I356" s="8">
        <f>IFERROR(H356/H444, "NA")</f>
        <v>8.6712625514357468E-3</v>
      </c>
      <c r="J356" s="9"/>
      <c r="K356" s="7">
        <v>10000</v>
      </c>
      <c r="L356" s="8">
        <f>IFERROR(K356/K444, "NA")</f>
        <v>1.770947430311005E-2</v>
      </c>
      <c r="M356" s="9"/>
      <c r="N356" s="10">
        <f t="shared" si="89"/>
        <v>3312.5</v>
      </c>
      <c r="O356" s="8">
        <f>IFERROR(N356/N444, "NA")</f>
        <v>0.11255540699185711</v>
      </c>
      <c r="P356" s="9"/>
      <c r="Q356" s="7">
        <v>34050</v>
      </c>
      <c r="R356" s="8">
        <f>IFERROR(Q356/Q444, "NA")</f>
        <v>1.1919470336124442E-2</v>
      </c>
      <c r="S356" s="9"/>
      <c r="T356" s="7">
        <v>30937.5</v>
      </c>
      <c r="U356" s="8">
        <f>IFERROR(T356/T444, "NA")</f>
        <v>1.0993313563763658E-2</v>
      </c>
      <c r="V356" s="9"/>
      <c r="W356" s="10">
        <f t="shared" si="90"/>
        <v>-3112.5</v>
      </c>
      <c r="X356" s="8">
        <f>IFERROR(W356/W444, "NA")</f>
        <v>-7.3304424501976717E-2</v>
      </c>
      <c r="Y356" s="9"/>
      <c r="Z356" s="7">
        <v>11800</v>
      </c>
      <c r="AA356" s="8">
        <f>IFERROR(Z356/Z444, "NA")</f>
        <v>4.7384947430155477E-3</v>
      </c>
      <c r="AB356" s="9"/>
      <c r="AC356" s="10">
        <f t="shared" si="91"/>
        <v>-22250</v>
      </c>
      <c r="AD356" s="8">
        <f>IFERROR(AC356/AC444, "NA")</f>
        <v>-6.0721297513426024E-2</v>
      </c>
    </row>
    <row r="357" spans="1:30" ht="16.5" customHeight="1" x14ac:dyDescent="0.45">
      <c r="A357" s="6" t="s">
        <v>326</v>
      </c>
      <c r="B357" s="7">
        <v>3674.43</v>
      </c>
      <c r="C357" s="8">
        <f>IFERROR(B357/B444, "NA")</f>
        <v>6.1848735931332713E-3</v>
      </c>
      <c r="D357" s="9"/>
      <c r="E357" s="7">
        <v>2546.7199999999998</v>
      </c>
      <c r="F357" s="8">
        <f>IFERROR(E357/E444, "NA")</f>
        <v>3.907443520953487E-3</v>
      </c>
      <c r="G357" s="9"/>
      <c r="H357" s="10">
        <f t="shared" si="88"/>
        <v>-1127.71</v>
      </c>
      <c r="I357" s="8">
        <f>IFERROR(H357/H444, "NA")</f>
        <v>1.9557338983759213E-2</v>
      </c>
      <c r="J357" s="9"/>
      <c r="K357" s="7">
        <v>2976.76</v>
      </c>
      <c r="L357" s="8">
        <f>IFERROR(K357/K444, "NA")</f>
        <v>5.2716854726525871E-3</v>
      </c>
      <c r="M357" s="9"/>
      <c r="N357" s="10">
        <f t="shared" si="89"/>
        <v>-697.66999999999962</v>
      </c>
      <c r="O357" s="8">
        <f>IFERROR(N357/N444, "NA")</f>
        <v>-2.3706122504455519E-2</v>
      </c>
      <c r="P357" s="9"/>
      <c r="Q357" s="7">
        <v>17505.03</v>
      </c>
      <c r="R357" s="8">
        <f>IFERROR(Q357/Q444, "NA")</f>
        <v>6.1277734454616281E-3</v>
      </c>
      <c r="S357" s="9"/>
      <c r="T357" s="7">
        <v>13070.68</v>
      </c>
      <c r="U357" s="8">
        <f>IFERROR(T357/T444, "NA")</f>
        <v>4.6445279590016765E-3</v>
      </c>
      <c r="V357" s="9"/>
      <c r="W357" s="10">
        <f t="shared" si="90"/>
        <v>-4434.3499999999985</v>
      </c>
      <c r="X357" s="8">
        <f>IFERROR(W357/W444, "NA")</f>
        <v>-0.10443613647882422</v>
      </c>
      <c r="Y357" s="9"/>
      <c r="Z357" s="7">
        <v>11965.25</v>
      </c>
      <c r="AA357" s="8">
        <f>IFERROR(Z357/Z444, "NA")</f>
        <v>4.8048537477853211E-3</v>
      </c>
      <c r="AB357" s="9"/>
      <c r="AC357" s="10">
        <f t="shared" si="91"/>
        <v>-5539.7799999999988</v>
      </c>
      <c r="AD357" s="8">
        <f>IFERROR(AC357/AC444, "NA")</f>
        <v>-1.5118320428715826E-2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55211.02</v>
      </c>
      <c r="C358" s="15">
        <f>IFERROR(B358/B444, "NA")</f>
        <v>9.2932286000264777E-2</v>
      </c>
      <c r="D358" s="2"/>
      <c r="E358" s="14">
        <f>IFERROR(E349+E350+E351+E352+E353+E354+E355+E356+E357, "NA")</f>
        <v>81267.340000000011</v>
      </c>
      <c r="F358" s="15">
        <f>IFERROR(E358/E444, "NA")</f>
        <v>0.12468883157478021</v>
      </c>
      <c r="G358" s="2"/>
      <c r="H358" s="14">
        <f t="shared" si="88"/>
        <v>26056.320000000014</v>
      </c>
      <c r="I358" s="15">
        <f>IFERROR(H358/H444, "NA")</f>
        <v>-0.45188238368845279</v>
      </c>
      <c r="J358" s="2"/>
      <c r="K358" s="14">
        <f>IFERROR(K349+K350+K351+K352+K353+K354+K355+K356+K357, "NA")</f>
        <v>75893.679999999993</v>
      </c>
      <c r="L358" s="15">
        <f>IFERROR(K358/K444, "NA")</f>
        <v>0.13440371757284569</v>
      </c>
      <c r="M358" s="2"/>
      <c r="N358" s="14">
        <f t="shared" si="89"/>
        <v>20682.659999999996</v>
      </c>
      <c r="O358" s="15">
        <f>IFERROR(N358/N444, "NA")</f>
        <v>0.70277591365258962</v>
      </c>
      <c r="P358" s="2"/>
      <c r="Q358" s="14">
        <f>IFERROR(Q349+Q350+Q351+Q352+Q353+Q354+Q355+Q356+Q357, "NA")</f>
        <v>345822.51</v>
      </c>
      <c r="R358" s="15">
        <f>IFERROR(Q358/Q444, "NA")</f>
        <v>0.12105788985342433</v>
      </c>
      <c r="S358" s="2"/>
      <c r="T358" s="14">
        <f>IFERROR(T349+T350+T351+T352+T353+T354+T355+T356+T357, "NA")</f>
        <v>428725.03</v>
      </c>
      <c r="U358" s="15">
        <f>IFERROR(T358/T444, "NA")</f>
        <v>0.15234290706824991</v>
      </c>
      <c r="V358" s="2"/>
      <c r="W358" s="14">
        <f t="shared" si="90"/>
        <v>82902.520000000019</v>
      </c>
      <c r="X358" s="15">
        <f>IFERROR(W358/W444, "NA")</f>
        <v>1.9524888412413226</v>
      </c>
      <c r="Y358" s="2"/>
      <c r="Z358" s="14">
        <f>IFERROR(Z349+Z350+Z351+Z352+Z353+Z354+Z355+Z356+Z357, "NA")</f>
        <v>363239.39</v>
      </c>
      <c r="AA358" s="15">
        <f>IFERROR(Z358/Z444, "NA")</f>
        <v>0.14586507965857412</v>
      </c>
      <c r="AB358" s="2"/>
      <c r="AC358" s="14">
        <f t="shared" si="91"/>
        <v>17416.880000000005</v>
      </c>
      <c r="AD358" s="15">
        <f>IFERROR(AC358/AC444, "NA")</f>
        <v>4.7531485493736612E-2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1500</v>
      </c>
      <c r="F360" s="8">
        <f>IFERROR(E360/E444, "NA")</f>
        <v>2.3014564936193345E-3</v>
      </c>
      <c r="G360" s="9"/>
      <c r="H360" s="10">
        <f t="shared" ref="H360:H383" si="92">IFERROR(-(B360-E360), "NA")</f>
        <v>1500</v>
      </c>
      <c r="I360" s="8">
        <f>IFERROR(H360/H444, "NA")</f>
        <v>-2.601378765430724E-2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7000</v>
      </c>
      <c r="U360" s="8">
        <f>IFERROR(T360/T444, "NA")</f>
        <v>2.4873759982657166E-3</v>
      </c>
      <c r="V360" s="9"/>
      <c r="W360" s="10">
        <f t="shared" ref="W360:W383" si="94">IFERROR(-(Q360-T360), "NA")</f>
        <v>7000</v>
      </c>
      <c r="X360" s="8">
        <f>IFERROR(W360/W444, "NA")</f>
        <v>0.16486135630966653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475.76</v>
      </c>
      <c r="L361" s="8">
        <f>IFERROR(K361/K444, "NA")</f>
        <v>8.4254594944476369E-4</v>
      </c>
      <c r="M361" s="9"/>
      <c r="N361" s="10">
        <f t="shared" si="93"/>
        <v>475.76</v>
      </c>
      <c r="O361" s="8">
        <f>IFERROR(N361/N444, "NA")</f>
        <v>1.616584465824783E-2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2118.3000000000002</v>
      </c>
      <c r="AA361" s="8">
        <f>IFERROR(Z361/Z444, "NA")</f>
        <v>8.5064011984151155E-4</v>
      </c>
      <c r="AB361" s="9"/>
      <c r="AC361" s="10">
        <f t="shared" si="95"/>
        <v>2118.3000000000002</v>
      </c>
      <c r="AD361" s="8">
        <f>IFERROR(AC361/AC444, "NA")</f>
        <v>5.7809404279860832E-3</v>
      </c>
    </row>
    <row r="362" spans="1:30" ht="16.5" customHeight="1" x14ac:dyDescent="0.45">
      <c r="A362" s="6" t="s">
        <v>330</v>
      </c>
      <c r="B362" s="7">
        <v>679.65</v>
      </c>
      <c r="C362" s="8">
        <f>IFERROR(B362/B444, "NA")</f>
        <v>1.1440003857939947E-3</v>
      </c>
      <c r="D362" s="9"/>
      <c r="E362" s="7">
        <v>400</v>
      </c>
      <c r="F362" s="8">
        <f>IFERROR(E362/E444, "NA")</f>
        <v>6.1372173163182252E-4</v>
      </c>
      <c r="G362" s="9"/>
      <c r="H362" s="10">
        <f t="shared" si="92"/>
        <v>-279.64999999999998</v>
      </c>
      <c r="I362" s="8">
        <f>IFERROR(H362/H444, "NA")</f>
        <v>4.8498371450180133E-3</v>
      </c>
      <c r="J362" s="9"/>
      <c r="K362" s="7">
        <v>302.31</v>
      </c>
      <c r="L362" s="8">
        <f>IFERROR(K362/K444, "NA")</f>
        <v>5.3537511765731991E-4</v>
      </c>
      <c r="M362" s="9"/>
      <c r="N362" s="10">
        <f t="shared" si="93"/>
        <v>-377.34</v>
      </c>
      <c r="O362" s="8">
        <f>IFERROR(N362/N444, "NA")</f>
        <v>-1.2821632384696562E-2</v>
      </c>
      <c r="P362" s="9"/>
      <c r="Q362" s="7">
        <v>4176.6000000000004</v>
      </c>
      <c r="R362" s="8">
        <f>IFERROR(Q362/Q444, "NA")</f>
        <v>1.4620516829914052E-3</v>
      </c>
      <c r="S362" s="9"/>
      <c r="T362" s="7">
        <v>2200</v>
      </c>
      <c r="U362" s="8">
        <f>IFERROR(T362/T444, "NA")</f>
        <v>7.8174674231208229E-4</v>
      </c>
      <c r="V362" s="9"/>
      <c r="W362" s="10">
        <f t="shared" si="94"/>
        <v>-1976.6000000000004</v>
      </c>
      <c r="X362" s="8">
        <f>IFERROR(W362/W444, "NA")</f>
        <v>-4.6552136697383839E-2</v>
      </c>
      <c r="Y362" s="9"/>
      <c r="Z362" s="7">
        <v>1820.15</v>
      </c>
      <c r="AA362" s="8">
        <f>IFERROR(Z362/Z444, "NA")</f>
        <v>7.3091281411014834E-4</v>
      </c>
      <c r="AB362" s="9"/>
      <c r="AC362" s="10">
        <f t="shared" si="95"/>
        <v>-2356.4500000000003</v>
      </c>
      <c r="AD362" s="8">
        <f>IFERROR(AC362/AC444, "NA")</f>
        <v>-6.4308629899106863E-3</v>
      </c>
    </row>
    <row r="363" spans="1:30" ht="16.5" customHeight="1" x14ac:dyDescent="0.45">
      <c r="A363" s="6" t="s">
        <v>331</v>
      </c>
      <c r="B363" s="7">
        <v>1574.06</v>
      </c>
      <c r="C363" s="8">
        <f>IFERROR(B363/B444, "NA")</f>
        <v>2.6494890712320976E-3</v>
      </c>
      <c r="D363" s="9"/>
      <c r="E363" s="7">
        <v>200</v>
      </c>
      <c r="F363" s="8">
        <f>IFERROR(E363/E444, "NA")</f>
        <v>3.0686086581591126E-4</v>
      </c>
      <c r="G363" s="9"/>
      <c r="H363" s="10">
        <f t="shared" si="92"/>
        <v>-1374.06</v>
      </c>
      <c r="I363" s="8">
        <f>IFERROR(H363/H444, "NA")</f>
        <v>2.3829670042851605E-2</v>
      </c>
      <c r="J363" s="9"/>
      <c r="K363" s="7">
        <v>10081.290000000001</v>
      </c>
      <c r="L363" s="8">
        <f>IFERROR(K363/K444, "NA")</f>
        <v>1.7853434619720034E-2</v>
      </c>
      <c r="M363" s="9"/>
      <c r="N363" s="10">
        <f t="shared" si="93"/>
        <v>8507.2300000000014</v>
      </c>
      <c r="O363" s="8">
        <f>IFERROR(N363/N444, "NA")</f>
        <v>0.28906708981836582</v>
      </c>
      <c r="P363" s="9"/>
      <c r="Q363" s="7">
        <v>5001.76</v>
      </c>
      <c r="R363" s="8">
        <f>IFERROR(Q363/Q444, "NA")</f>
        <v>1.7509054316714771E-3</v>
      </c>
      <c r="S363" s="9"/>
      <c r="T363" s="7">
        <v>1050</v>
      </c>
      <c r="U363" s="8">
        <f>IFERROR(T363/T444, "NA")</f>
        <v>3.7310639973985748E-4</v>
      </c>
      <c r="V363" s="9"/>
      <c r="W363" s="10">
        <f t="shared" si="94"/>
        <v>-3951.76</v>
      </c>
      <c r="X363" s="8">
        <f>IFERROR(W363/W444, "NA")</f>
        <v>-9.3070359058612537E-2</v>
      </c>
      <c r="Y363" s="9"/>
      <c r="Z363" s="7">
        <v>14004.22</v>
      </c>
      <c r="AA363" s="8">
        <f>IFERROR(Z363/Z444, "NA")</f>
        <v>5.6236375296638301E-3</v>
      </c>
      <c r="AB363" s="9"/>
      <c r="AC363" s="10">
        <f t="shared" si="95"/>
        <v>9002.4599999999991</v>
      </c>
      <c r="AD363" s="8">
        <f>IFERROR(AC363/AC444, "NA")</f>
        <v>2.4568137169110885E-2</v>
      </c>
    </row>
    <row r="364" spans="1:30" ht="16.5" customHeight="1" x14ac:dyDescent="0.45">
      <c r="A364" s="6" t="s">
        <v>332</v>
      </c>
      <c r="B364" s="7">
        <v>1034.8499999999999</v>
      </c>
      <c r="C364" s="8">
        <f>IFERROR(B364/B444, "NA")</f>
        <v>1.741880084218223E-3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-1034.8499999999999</v>
      </c>
      <c r="I364" s="8">
        <f>IFERROR(H364/H444, "NA")</f>
        <v>1.7946912102706564E-2</v>
      </c>
      <c r="J364" s="9"/>
      <c r="K364" s="7">
        <v>256.42</v>
      </c>
      <c r="L364" s="8">
        <f>IFERROR(K364/K444, "NA")</f>
        <v>4.5410634008034791E-4</v>
      </c>
      <c r="M364" s="9"/>
      <c r="N364" s="10">
        <f t="shared" si="93"/>
        <v>-778.42999999999984</v>
      </c>
      <c r="O364" s="8">
        <f>IFERROR(N364/N444, "NA")</f>
        <v>-2.645026580065549E-2</v>
      </c>
      <c r="P364" s="9"/>
      <c r="Q364" s="7">
        <v>3959.6</v>
      </c>
      <c r="R364" s="8">
        <f>IFERROR(Q364/Q444, "NA")</f>
        <v>1.386089126076897E-3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-3959.6</v>
      </c>
      <c r="X364" s="8">
        <f>IFERROR(W364/W444, "NA")</f>
        <v>-9.3255003777679354E-2</v>
      </c>
      <c r="Y364" s="9"/>
      <c r="Z364" s="7">
        <v>2659.74</v>
      </c>
      <c r="AA364" s="8">
        <f>IFERROR(Z364/Z444, "NA")</f>
        <v>1.0680647464227264E-3</v>
      </c>
      <c r="AB364" s="9"/>
      <c r="AC364" s="10">
        <f t="shared" si="95"/>
        <v>-1299.8600000000001</v>
      </c>
      <c r="AD364" s="8">
        <f>IFERROR(AC364/AC444, "NA")</f>
        <v>-3.5473791364405375E-3</v>
      </c>
    </row>
    <row r="365" spans="1:30" ht="16.5" customHeight="1" x14ac:dyDescent="0.45">
      <c r="A365" s="6" t="s">
        <v>333</v>
      </c>
      <c r="B365" s="7">
        <v>1823.32</v>
      </c>
      <c r="C365" s="8">
        <f>IFERROR(B365/B444, "NA")</f>
        <v>3.0690484564495054E-3</v>
      </c>
      <c r="D365" s="9"/>
      <c r="E365" s="7">
        <v>210</v>
      </c>
      <c r="F365" s="8">
        <f>IFERROR(E365/E444, "NA")</f>
        <v>3.2220390910670682E-4</v>
      </c>
      <c r="G365" s="9"/>
      <c r="H365" s="10">
        <f t="shared" si="92"/>
        <v>-1613.32</v>
      </c>
      <c r="I365" s="8">
        <f>IFERROR(H365/H444, "NA")</f>
        <v>2.7979042598964637E-2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-1823.32</v>
      </c>
      <c r="O365" s="8">
        <f>IFERROR(N365/N444, "NA")</f>
        <v>-6.1954573487212949E-2</v>
      </c>
      <c r="P365" s="9"/>
      <c r="Q365" s="7">
        <v>4358.38</v>
      </c>
      <c r="R365" s="8">
        <f>IFERROR(Q365/Q444, "NA")</f>
        <v>1.5256852018666093E-3</v>
      </c>
      <c r="S365" s="9"/>
      <c r="T365" s="7">
        <v>840</v>
      </c>
      <c r="U365" s="8">
        <f>IFERROR(T365/T444, "NA")</f>
        <v>2.9848511979188596E-4</v>
      </c>
      <c r="V365" s="9"/>
      <c r="W365" s="10">
        <f t="shared" si="94"/>
        <v>-3518.38</v>
      </c>
      <c r="X365" s="8">
        <f>IFERROR(W365/W444, "NA")</f>
        <v>-8.2863556973257785E-2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-4358.38</v>
      </c>
      <c r="AD365" s="8">
        <f>IFERROR(AC365/AC444, "NA")</f>
        <v>-1.1894224209283853E-2</v>
      </c>
    </row>
    <row r="366" spans="1:30" ht="16.5" customHeight="1" x14ac:dyDescent="0.45">
      <c r="A366" s="6" t="s">
        <v>334</v>
      </c>
      <c r="B366" s="7">
        <v>1375.6</v>
      </c>
      <c r="C366" s="8">
        <f>IFERROR(B366/B444, "NA")</f>
        <v>2.3154372554965333E-3</v>
      </c>
      <c r="D366" s="9"/>
      <c r="E366" s="7">
        <v>345</v>
      </c>
      <c r="F366" s="8">
        <f>IFERROR(E366/E444, "NA")</f>
        <v>5.2933499353244697E-4</v>
      </c>
      <c r="G366" s="9"/>
      <c r="H366" s="10">
        <f t="shared" si="92"/>
        <v>-1030.5999999999999</v>
      </c>
      <c r="I366" s="8">
        <f>IFERROR(H366/H444, "NA")</f>
        <v>1.787320637101936E-2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-1375.6</v>
      </c>
      <c r="O366" s="8">
        <f>IFERROR(N366/N444, "NA")</f>
        <v>-4.6741499730716569E-2</v>
      </c>
      <c r="P366" s="9"/>
      <c r="Q366" s="7">
        <v>2793.51</v>
      </c>
      <c r="R366" s="8">
        <f>IFERROR(Q366/Q444, "NA")</f>
        <v>9.7789014915321574E-4</v>
      </c>
      <c r="S366" s="9"/>
      <c r="T366" s="7">
        <v>1725</v>
      </c>
      <c r="U366" s="8">
        <f>IFERROR(T366/T444, "NA")</f>
        <v>6.1296051385833724E-4</v>
      </c>
      <c r="V366" s="9"/>
      <c r="W366" s="10">
        <f t="shared" si="94"/>
        <v>-1068.5100000000002</v>
      </c>
      <c r="X366" s="8">
        <f>IFERROR(W366/W444, "NA")</f>
        <v>-2.5165143975777401E-2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-2793.51</v>
      </c>
      <c r="AD366" s="8">
        <f>IFERROR(AC366/AC444, "NA")</f>
        <v>-7.623620306369921E-3</v>
      </c>
    </row>
    <row r="367" spans="1:30" ht="16.5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5481.74</v>
      </c>
      <c r="R367" s="8">
        <f>IFERROR(Q367/Q444, "NA")</f>
        <v>1.9189262061775859E-3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-5481.74</v>
      </c>
      <c r="X367" s="8">
        <f>IFERROR(W367/W444, "NA")</f>
        <v>-0.12910387019099304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-5481.74</v>
      </c>
      <c r="AD367" s="8">
        <f>IFERROR(AC367/AC444, "NA")</f>
        <v>-1.4959926536235863E-2</v>
      </c>
    </row>
    <row r="368" spans="1:30" ht="16.5" customHeight="1" x14ac:dyDescent="0.45">
      <c r="A368" s="19" t="s">
        <v>336</v>
      </c>
      <c r="B368" s="14">
        <f>IFERROR(B360+B361+B362+B363+B364+B365+B366+B367, "NA")</f>
        <v>6487.48</v>
      </c>
      <c r="C368" s="15">
        <f>IFERROR(B368/B444, "NA")</f>
        <v>1.0919855253190353E-2</v>
      </c>
      <c r="D368" s="2"/>
      <c r="E368" s="14">
        <f>IFERROR(E360+E361+E362+E363+E364+E365+E366+E367, "NA")</f>
        <v>2655</v>
      </c>
      <c r="F368" s="15">
        <f>IFERROR(E368/E444, "NA")</f>
        <v>4.0735779937062216E-3</v>
      </c>
      <c r="G368" s="2"/>
      <c r="H368" s="14">
        <f t="shared" si="92"/>
        <v>-3832.4799999999996</v>
      </c>
      <c r="I368" s="15">
        <f>IFERROR(H368/H444, "NA")</f>
        <v>6.6464880606252941E-2</v>
      </c>
      <c r="J368" s="2"/>
      <c r="K368" s="14">
        <f>IFERROR(K360+K361+K362+K363+K364+K365+K366+K367, "NA")</f>
        <v>11115.78</v>
      </c>
      <c r="L368" s="15">
        <f>IFERROR(K368/K444, "NA")</f>
        <v>1.9685462026902464E-2</v>
      </c>
      <c r="M368" s="2"/>
      <c r="N368" s="14">
        <f t="shared" si="93"/>
        <v>4628.3000000000011</v>
      </c>
      <c r="O368" s="15">
        <f>IFERROR(N368/N444, "NA")</f>
        <v>0.15726496307333204</v>
      </c>
      <c r="P368" s="2"/>
      <c r="Q368" s="14">
        <f>IFERROR(Q360+Q361+Q362+Q363+Q364+Q365+Q366+Q367, "NA")</f>
        <v>25771.589999999997</v>
      </c>
      <c r="R368" s="15">
        <f>IFERROR(Q368/Q444, "NA")</f>
        <v>9.0215477979371881E-3</v>
      </c>
      <c r="S368" s="2"/>
      <c r="T368" s="14">
        <f>IFERROR(T360+T361+T362+T363+T364+T365+T366+T367, "NA")</f>
        <v>12815</v>
      </c>
      <c r="U368" s="15">
        <f>IFERROR(T368/T444, "NA")</f>
        <v>4.5536747739678791E-3</v>
      </c>
      <c r="V368" s="2"/>
      <c r="W368" s="14">
        <f t="shared" si="94"/>
        <v>-12956.589999999997</v>
      </c>
      <c r="X368" s="15">
        <f>IFERROR(W368/W444, "NA")</f>
        <v>-0.30514871436403734</v>
      </c>
      <c r="Y368" s="2"/>
      <c r="Z368" s="14">
        <f>IFERROR(Z360+Z361+Z362+Z363+Z364+Z365+Z366+Z367, "NA")</f>
        <v>20602.409999999996</v>
      </c>
      <c r="AA368" s="15">
        <f>IFERROR(Z368/Z444, "NA")</f>
        <v>8.2732552100382144E-3</v>
      </c>
      <c r="AB368" s="2"/>
      <c r="AC368" s="14">
        <f t="shared" si="95"/>
        <v>-5169.18</v>
      </c>
      <c r="AD368" s="15">
        <f>IFERROR(AC368/AC444, "NA")</f>
        <v>-1.4106935581143889E-2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customHeight="1" x14ac:dyDescent="0.45">
      <c r="A370" s="20" t="s">
        <v>338</v>
      </c>
      <c r="B370" s="7">
        <v>98</v>
      </c>
      <c r="C370" s="8">
        <f>IFERROR(B370/B444, "NA")</f>
        <v>1.649555474256036E-4</v>
      </c>
      <c r="D370" s="9"/>
      <c r="E370" s="7">
        <v>635</v>
      </c>
      <c r="F370" s="8">
        <f>IFERROR(E370/E444, "NA")</f>
        <v>9.7428324896551828E-4</v>
      </c>
      <c r="G370" s="9"/>
      <c r="H370" s="10">
        <f t="shared" si="92"/>
        <v>537</v>
      </c>
      <c r="I370" s="8">
        <f>IFERROR(H370/H444, "NA")</f>
        <v>-9.3129359802419914E-3</v>
      </c>
      <c r="J370" s="9"/>
      <c r="K370" s="7">
        <v>272.5</v>
      </c>
      <c r="L370" s="8">
        <f>IFERROR(K370/K444, "NA")</f>
        <v>4.8258317475974885E-4</v>
      </c>
      <c r="M370" s="9"/>
      <c r="N370" s="10">
        <f t="shared" si="93"/>
        <v>174.5</v>
      </c>
      <c r="O370" s="8">
        <f>IFERROR(N370/N444, "NA")</f>
        <v>5.9293338928540574E-3</v>
      </c>
      <c r="P370" s="9"/>
      <c r="Q370" s="7">
        <v>1389</v>
      </c>
      <c r="R370" s="8">
        <f>IFERROR(Q370/Q444, "NA")</f>
        <v>4.8623037582604556E-4</v>
      </c>
      <c r="S370" s="9"/>
      <c r="T370" s="7">
        <v>3175</v>
      </c>
      <c r="U370" s="8">
        <f>IFERROR(T370/T444, "NA")</f>
        <v>1.1282026849276643E-3</v>
      </c>
      <c r="V370" s="9"/>
      <c r="W370" s="10">
        <f t="shared" si="94"/>
        <v>1786</v>
      </c>
      <c r="X370" s="8">
        <f>IFERROR(W370/W444, "NA")</f>
        <v>4.2063197481294917E-2</v>
      </c>
      <c r="Y370" s="9"/>
      <c r="Z370" s="7">
        <v>2622.6</v>
      </c>
      <c r="AA370" s="8">
        <f>IFERROR(Z370/Z444, "NA")</f>
        <v>1.0531505350027607E-3</v>
      </c>
      <c r="AB370" s="9"/>
      <c r="AC370" s="10">
        <f t="shared" si="95"/>
        <v>1233.5999999999999</v>
      </c>
      <c r="AD370" s="8">
        <f>IFERROR(AC370/AC444, "NA")</f>
        <v>3.3665524769690936E-3</v>
      </c>
    </row>
    <row r="371" spans="1:30" ht="16.5" customHeight="1" x14ac:dyDescent="0.45">
      <c r="A371" s="20" t="s">
        <v>339</v>
      </c>
      <c r="B371" s="7">
        <v>1529.36</v>
      </c>
      <c r="C371" s="8">
        <f>IFERROR(B371/B444, "NA")</f>
        <v>2.5742491429675621E-3</v>
      </c>
      <c r="D371" s="9"/>
      <c r="E371" s="7">
        <v>100</v>
      </c>
      <c r="F371" s="8">
        <f>IFERROR(E371/E444, "NA")</f>
        <v>1.5343043290795563E-4</v>
      </c>
      <c r="G371" s="9"/>
      <c r="H371" s="10">
        <f t="shared" si="92"/>
        <v>-1429.36</v>
      </c>
      <c r="I371" s="8">
        <f>IFERROR(H371/H444, "NA")</f>
        <v>2.4788711681040396E-2</v>
      </c>
      <c r="J371" s="9"/>
      <c r="K371" s="7">
        <v>761.17</v>
      </c>
      <c r="L371" s="8">
        <f>IFERROR(K371/K444, "NA")</f>
        <v>1.3479920555298276E-3</v>
      </c>
      <c r="M371" s="9"/>
      <c r="N371" s="10">
        <f t="shared" si="93"/>
        <v>-768.18999999999994</v>
      </c>
      <c r="O371" s="8">
        <f>IFERROR(N371/N444, "NA")</f>
        <v>-2.610232093496595E-2</v>
      </c>
      <c r="P371" s="9"/>
      <c r="Q371" s="7">
        <v>2404.83</v>
      </c>
      <c r="R371" s="8">
        <f>IFERROR(Q371/Q444, "NA")</f>
        <v>8.4182965780975458E-4</v>
      </c>
      <c r="S371" s="9"/>
      <c r="T371" s="7">
        <v>500</v>
      </c>
      <c r="U371" s="8">
        <f>IFERROR(T371/T444, "NA")</f>
        <v>1.7766971416183688E-4</v>
      </c>
      <c r="V371" s="9"/>
      <c r="W371" s="10">
        <f t="shared" si="94"/>
        <v>-1904.83</v>
      </c>
      <c r="X371" s="8">
        <f>IFERROR(W371/W444, "NA")</f>
        <v>-4.4861836762763153E-2</v>
      </c>
      <c r="Y371" s="9"/>
      <c r="Z371" s="7">
        <v>2970.47</v>
      </c>
      <c r="AA371" s="8">
        <f>IFERROR(Z371/Z444, "NA")</f>
        <v>1.1928437694309656E-3</v>
      </c>
      <c r="AB371" s="9"/>
      <c r="AC371" s="10">
        <f t="shared" si="95"/>
        <v>565.63999999999987</v>
      </c>
      <c r="AD371" s="8">
        <f>IFERROR(AC371/AC444, "NA")</f>
        <v>1.5436581899098557E-3</v>
      </c>
    </row>
    <row r="372" spans="1:30" ht="16.5" customHeight="1" x14ac:dyDescent="0.45">
      <c r="A372" s="20" t="s">
        <v>340</v>
      </c>
      <c r="B372" s="7">
        <v>277.17</v>
      </c>
      <c r="C372" s="8">
        <f>IFERROR(B372/B444, "NA")</f>
        <v>4.6653805183627091E-4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-277.17</v>
      </c>
      <c r="I372" s="8">
        <f>IFERROR(H372/H444, "NA")</f>
        <v>4.8068276827628919E-3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-277.17</v>
      </c>
      <c r="O372" s="8">
        <f>IFERROR(N372/N444, "NA")</f>
        <v>-9.417956877262804E-3</v>
      </c>
      <c r="P372" s="9"/>
      <c r="Q372" s="7">
        <v>2108.6799999999998</v>
      </c>
      <c r="R372" s="8">
        <f>IFERROR(Q372/Q444, "NA")</f>
        <v>7.3816002080407891E-4</v>
      </c>
      <c r="S372" s="9"/>
      <c r="T372" s="7">
        <v>3500</v>
      </c>
      <c r="U372" s="8">
        <f>IFERROR(T372/T444, "NA")</f>
        <v>1.2436879991328583E-3</v>
      </c>
      <c r="V372" s="9"/>
      <c r="W372" s="10">
        <f t="shared" si="94"/>
        <v>1391.3200000000002</v>
      </c>
      <c r="X372" s="8">
        <f>IFERROR(W372/W444, "NA")</f>
        <v>3.2767843180109321E-2</v>
      </c>
      <c r="Y372" s="9"/>
      <c r="Z372" s="7">
        <v>3450</v>
      </c>
      <c r="AA372" s="8">
        <f>IFERROR(Z372/Z444, "NA")</f>
        <v>1.3854073613053933E-3</v>
      </c>
      <c r="AB372" s="9"/>
      <c r="AC372" s="10">
        <f t="shared" si="95"/>
        <v>1341.3200000000002</v>
      </c>
      <c r="AD372" s="8">
        <f>IFERROR(AC372/AC444, "NA")</f>
        <v>3.6605254283464542E-3</v>
      </c>
    </row>
    <row r="373" spans="1:30" ht="16.5" customHeight="1" x14ac:dyDescent="0.45">
      <c r="A373" s="20" t="s">
        <v>341</v>
      </c>
      <c r="B373" s="7">
        <v>368.33</v>
      </c>
      <c r="C373" s="8">
        <f>IFERROR(B373/B444, "NA")</f>
        <v>6.1998037533951599E-4</v>
      </c>
      <c r="D373" s="9"/>
      <c r="E373" s="7">
        <v>325</v>
      </c>
      <c r="F373" s="8">
        <f>IFERROR(E373/E444, "NA")</f>
        <v>4.9864890695085575E-4</v>
      </c>
      <c r="G373" s="9"/>
      <c r="H373" s="10">
        <f t="shared" si="92"/>
        <v>-43.329999999999984</v>
      </c>
      <c r="I373" s="8">
        <f>IFERROR(H373/H444, "NA")</f>
        <v>7.5145161270742157E-4</v>
      </c>
      <c r="J373" s="9"/>
      <c r="K373" s="7">
        <v>930.61</v>
      </c>
      <c r="L373" s="8">
        <f>IFERROR(K373/K444, "NA")</f>
        <v>1.6480613881217244E-3</v>
      </c>
      <c r="M373" s="9"/>
      <c r="N373" s="10">
        <f t="shared" si="93"/>
        <v>562.28</v>
      </c>
      <c r="O373" s="8">
        <f>IFERROR(N373/N444, "NA")</f>
        <v>1.9105706941398164E-2</v>
      </c>
      <c r="P373" s="9"/>
      <c r="Q373" s="7">
        <v>2150.64</v>
      </c>
      <c r="R373" s="8">
        <f>IFERROR(Q373/Q444, "NA")</f>
        <v>7.5284844885999027E-4</v>
      </c>
      <c r="S373" s="9"/>
      <c r="T373" s="7">
        <v>1625</v>
      </c>
      <c r="U373" s="8">
        <f>IFERROR(T373/T444, "NA")</f>
        <v>5.7742657102596991E-4</v>
      </c>
      <c r="V373" s="9"/>
      <c r="W373" s="10">
        <f t="shared" si="94"/>
        <v>-525.63999999999987</v>
      </c>
      <c r="X373" s="8">
        <f>IFERROR(W373/W444, "NA")</f>
        <v>-1.2379674761516156E-2</v>
      </c>
      <c r="Y373" s="9"/>
      <c r="Z373" s="7">
        <v>4343.79</v>
      </c>
      <c r="AA373" s="8">
        <f>IFERROR(Z373/Z444, "NA")</f>
        <v>1.7443242440477549E-3</v>
      </c>
      <c r="AB373" s="9"/>
      <c r="AC373" s="10">
        <f t="shared" si="95"/>
        <v>2193.15</v>
      </c>
      <c r="AD373" s="8">
        <f>IFERROR(AC373/AC444, "NA")</f>
        <v>5.9852096018683278E-3</v>
      </c>
    </row>
    <row r="374" spans="1:30" ht="16.5" customHeight="1" x14ac:dyDescent="0.45">
      <c r="A374" s="20" t="s">
        <v>342</v>
      </c>
      <c r="B374" s="7">
        <v>1925</v>
      </c>
      <c r="C374" s="8">
        <f>IFERROR(B374/B444, "NA")</f>
        <v>3.2401982530029278E-3</v>
      </c>
      <c r="D374" s="9"/>
      <c r="E374" s="7">
        <v>1900</v>
      </c>
      <c r="F374" s="8">
        <f>IFERROR(E374/E444, "NA")</f>
        <v>2.9151782252511567E-3</v>
      </c>
      <c r="G374" s="9"/>
      <c r="H374" s="10">
        <f t="shared" si="92"/>
        <v>-25</v>
      </c>
      <c r="I374" s="8">
        <f>IFERROR(H374/H444, "NA")</f>
        <v>4.3356312757178737E-4</v>
      </c>
      <c r="J374" s="9"/>
      <c r="K374" s="7">
        <v>1883.11</v>
      </c>
      <c r="L374" s="8">
        <f>IFERROR(K374/K444, "NA")</f>
        <v>3.3348888154929564E-3</v>
      </c>
      <c r="M374" s="9"/>
      <c r="N374" s="10">
        <f t="shared" si="93"/>
        <v>-41.8900000000001</v>
      </c>
      <c r="O374" s="8">
        <f>IFERROR(N374/N444, "NA")</f>
        <v>-1.4233799241928772E-3</v>
      </c>
      <c r="P374" s="9"/>
      <c r="Q374" s="7">
        <v>9584.01</v>
      </c>
      <c r="R374" s="8">
        <f>IFERROR(Q374/Q444, "NA")</f>
        <v>3.3549580879917774E-3</v>
      </c>
      <c r="S374" s="9"/>
      <c r="T374" s="7">
        <v>9500</v>
      </c>
      <c r="U374" s="8">
        <f>IFERROR(T374/T444, "NA")</f>
        <v>3.375724569074901E-3</v>
      </c>
      <c r="V374" s="9"/>
      <c r="W374" s="10">
        <f t="shared" si="94"/>
        <v>-84.010000000000218</v>
      </c>
      <c r="X374" s="8">
        <f>IFERROR(W374/W444, "NA")</f>
        <v>-1.9785717919393029E-3</v>
      </c>
      <c r="Y374" s="9"/>
      <c r="Z374" s="7">
        <v>8826.7000000000007</v>
      </c>
      <c r="AA374" s="8">
        <f>IFERROR(Z374/Z444, "NA")</f>
        <v>3.5445145379809609E-3</v>
      </c>
      <c r="AB374" s="9"/>
      <c r="AC374" s="10">
        <f t="shared" si="95"/>
        <v>-757.30999999999949</v>
      </c>
      <c r="AD374" s="8">
        <f>IFERROR(AC374/AC444, "NA")</f>
        <v>-2.0667346435906801E-3</v>
      </c>
    </row>
    <row r="375" spans="1:30" ht="16.5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205.26</v>
      </c>
      <c r="R375" s="8">
        <f>IFERROR(Q375/Q444, "NA")</f>
        <v>7.185287756807351E-5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-205.26</v>
      </c>
      <c r="X375" s="8">
        <f>IFERROR(W375/W444, "NA")</f>
        <v>-4.834205999446021E-3</v>
      </c>
      <c r="Y375" s="9"/>
      <c r="Z375" s="7">
        <v>184.99</v>
      </c>
      <c r="AA375" s="8">
        <f>IFERROR(Z375/Z444, "NA")</f>
        <v>7.4285944280546291E-5</v>
      </c>
      <c r="AB375" s="9"/>
      <c r="AC375" s="10">
        <f t="shared" si="95"/>
        <v>-20.269999999999982</v>
      </c>
      <c r="AD375" s="8">
        <f>IFERROR(AC375/AC444, "NA")</f>
        <v>-5.5317784296500872E-5</v>
      </c>
    </row>
    <row r="376" spans="1:30" ht="16.5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-2413</v>
      </c>
      <c r="R376" s="8">
        <f>IFERROR(Q376/Q444, "NA")</f>
        <v>-8.4468963057469254E-4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2413</v>
      </c>
      <c r="X376" s="8">
        <f>IFERROR(W376/W444, "NA")</f>
        <v>5.6830064682175045E-2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2413</v>
      </c>
      <c r="AD376" s="8">
        <f>IFERROR(AC376/AC444, "NA")</f>
        <v>6.5851906022425617E-3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customHeight="1" x14ac:dyDescent="0.45">
      <c r="A378" s="20" t="s">
        <v>346</v>
      </c>
      <c r="B378" s="7">
        <v>9061.9</v>
      </c>
      <c r="C378" s="8">
        <f>IFERROR(B378/B444, "NA")</f>
        <v>1.5253170155266093E-2</v>
      </c>
      <c r="D378" s="9"/>
      <c r="E378" s="7">
        <v>8470.33</v>
      </c>
      <c r="F378" s="8">
        <f>IFERROR(E378/E444, "NA")</f>
        <v>1.2996063987732438E-2</v>
      </c>
      <c r="G378" s="9"/>
      <c r="H378" s="10">
        <f t="shared" si="92"/>
        <v>-591.56999999999971</v>
      </c>
      <c r="I378" s="8">
        <f>IFERROR(H378/H444, "NA")</f>
        <v>1.0259317575105684E-2</v>
      </c>
      <c r="J378" s="9"/>
      <c r="K378" s="7">
        <v>6121.35</v>
      </c>
      <c r="L378" s="8">
        <f>IFERROR(K378/K444, "NA")</f>
        <v>1.0840589052534272E-2</v>
      </c>
      <c r="M378" s="9"/>
      <c r="N378" s="10">
        <f t="shared" si="93"/>
        <v>-2940.5499999999993</v>
      </c>
      <c r="O378" s="8">
        <f>IFERROR(N378/N444, "NA")</f>
        <v>-9.9916921367518591E-2</v>
      </c>
      <c r="P378" s="9"/>
      <c r="Q378" s="7">
        <v>43630.02</v>
      </c>
      <c r="R378" s="8">
        <f>IFERROR(Q378/Q444, "NA")</f>
        <v>1.5273031693231017E-2</v>
      </c>
      <c r="S378" s="9"/>
      <c r="T378" s="7">
        <v>42351.65</v>
      </c>
      <c r="U378" s="8">
        <f>IFERROR(T378/T444, "NA")</f>
        <v>1.5049211099564318E-2</v>
      </c>
      <c r="V378" s="9"/>
      <c r="W378" s="10">
        <f t="shared" si="94"/>
        <v>-1278.3699999999953</v>
      </c>
      <c r="X378" s="8">
        <f>IFERROR(W378/W444, "NA")</f>
        <v>-3.0107687437941087E-2</v>
      </c>
      <c r="Y378" s="9"/>
      <c r="Z378" s="7">
        <v>29240.639999999999</v>
      </c>
      <c r="AA378" s="8">
        <f>IFERROR(Z378/Z444, "NA")</f>
        <v>1.1742086349356792E-2</v>
      </c>
      <c r="AB378" s="9"/>
      <c r="AC378" s="10">
        <f t="shared" si="95"/>
        <v>-14389.379999999997</v>
      </c>
      <c r="AD378" s="8">
        <f>IFERROR(AC378/AC444, "NA")</f>
        <v>-3.9269295461291771E-2</v>
      </c>
    </row>
    <row r="379" spans="1:30" ht="16.5" customHeight="1" x14ac:dyDescent="0.45">
      <c r="A379" s="20" t="s">
        <v>347</v>
      </c>
      <c r="B379" s="7">
        <v>1217.19</v>
      </c>
      <c r="C379" s="8">
        <f>IFERROR(B379/B444, "NA")</f>
        <v>2.0487983956221476E-3</v>
      </c>
      <c r="D379" s="9"/>
      <c r="E379" s="7">
        <v>200</v>
      </c>
      <c r="F379" s="8">
        <f>IFERROR(E379/E444, "NA")</f>
        <v>3.0686086581591126E-4</v>
      </c>
      <c r="G379" s="9"/>
      <c r="H379" s="10">
        <f t="shared" si="92"/>
        <v>-1017.19</v>
      </c>
      <c r="I379" s="8">
        <f>IFERROR(H379/H444, "NA")</f>
        <v>1.7640643109389856E-2</v>
      </c>
      <c r="J379" s="9"/>
      <c r="K379" s="7">
        <v>156.80000000000001</v>
      </c>
      <c r="L379" s="8">
        <f>IFERROR(K379/K444, "NA")</f>
        <v>2.7768455707276557E-4</v>
      </c>
      <c r="M379" s="9"/>
      <c r="N379" s="10">
        <f t="shared" si="93"/>
        <v>-1060.3900000000001</v>
      </c>
      <c r="O379" s="8">
        <f>IFERROR(N379/N444, "NA")</f>
        <v>-3.6030982043802375E-2</v>
      </c>
      <c r="P379" s="9"/>
      <c r="Q379" s="7">
        <v>5028.83</v>
      </c>
      <c r="R379" s="8">
        <f>IFERROR(Q379/Q444, "NA")</f>
        <v>1.7603814981031623E-3</v>
      </c>
      <c r="S379" s="9"/>
      <c r="T379" s="7">
        <v>1000</v>
      </c>
      <c r="U379" s="8">
        <f>IFERROR(T379/T444, "NA")</f>
        <v>3.5533942832367376E-4</v>
      </c>
      <c r="V379" s="9"/>
      <c r="W379" s="10">
        <f t="shared" si="94"/>
        <v>-4028.83</v>
      </c>
      <c r="X379" s="8">
        <f>IFERROR(W379/W444, "NA")</f>
        <v>-9.4885482591581957E-2</v>
      </c>
      <c r="Y379" s="9"/>
      <c r="Z379" s="7">
        <v>1515.03</v>
      </c>
      <c r="AA379" s="8">
        <f>IFERROR(Z379/Z444, "NA")</f>
        <v>6.0838658394159705E-4</v>
      </c>
      <c r="AB379" s="9"/>
      <c r="AC379" s="10">
        <f t="shared" si="95"/>
        <v>-3513.8</v>
      </c>
      <c r="AD379" s="8">
        <f>IFERROR(AC379/AC444, "NA")</f>
        <v>-9.5893256270865781E-3</v>
      </c>
    </row>
    <row r="380" spans="1:30" ht="16.5" customHeight="1" x14ac:dyDescent="0.45">
      <c r="A380" s="20" t="s">
        <v>348</v>
      </c>
      <c r="B380" s="7">
        <v>11500</v>
      </c>
      <c r="C380" s="8">
        <f>IFERROR(B380/B444, "NA")</f>
        <v>1.9357028524433075E-2</v>
      </c>
      <c r="D380" s="9"/>
      <c r="E380" s="7">
        <v>11500</v>
      </c>
      <c r="F380" s="8">
        <f>IFERROR(E380/E444, "NA")</f>
        <v>1.7644499784414899E-2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11500</v>
      </c>
      <c r="L380" s="8">
        <f>IFERROR(K380/K444, "NA")</f>
        <v>2.0365895448576556E-2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57500</v>
      </c>
      <c r="R380" s="8">
        <f>IFERROR(Q380/Q444, "NA")</f>
        <v>2.0128327293014843E-2</v>
      </c>
      <c r="S380" s="9"/>
      <c r="T380" s="7">
        <v>57500</v>
      </c>
      <c r="U380" s="8">
        <f>IFERROR(T380/T444, "NA")</f>
        <v>2.0432017128611243E-2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57500</v>
      </c>
      <c r="AA380" s="8">
        <f>IFERROR(Z380/Z444, "NA")</f>
        <v>2.3090122688423222E-2</v>
      </c>
      <c r="AB380" s="9"/>
      <c r="AC380" s="10">
        <f t="shared" si="95"/>
        <v>0</v>
      </c>
      <c r="AD380" s="8">
        <f>IFERROR(AC380/AC444, "NA")</f>
        <v>0</v>
      </c>
    </row>
    <row r="381" spans="1:30" ht="16.5" customHeight="1" x14ac:dyDescent="0.45">
      <c r="A381" s="20" t="s">
        <v>349</v>
      </c>
      <c r="B381" s="7">
        <v>4000</v>
      </c>
      <c r="C381" s="8">
        <f>IFERROR(B381/B444, "NA")</f>
        <v>6.7328794867593305E-3</v>
      </c>
      <c r="D381" s="9"/>
      <c r="E381" s="7">
        <v>4000</v>
      </c>
      <c r="F381" s="8">
        <f>IFERROR(E381/E444, "NA")</f>
        <v>6.1372173163182255E-3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4167</v>
      </c>
      <c r="L381" s="8">
        <f>IFERROR(K381/K444, "NA")</f>
        <v>7.3795379421059577E-3</v>
      </c>
      <c r="M381" s="9"/>
      <c r="N381" s="10">
        <f t="shared" si="93"/>
        <v>167</v>
      </c>
      <c r="O381" s="8">
        <f>IFERROR(N381/N444, "NA")</f>
        <v>5.6744914619290985E-3</v>
      </c>
      <c r="P381" s="9"/>
      <c r="Q381" s="7">
        <v>30491.51</v>
      </c>
      <c r="R381" s="8">
        <f>IFERROR(Q381/Q444, "NA")</f>
        <v>1.0673792920664957E-2</v>
      </c>
      <c r="S381" s="9"/>
      <c r="T381" s="7">
        <v>20000</v>
      </c>
      <c r="U381" s="8">
        <f>IFERROR(T381/T444, "NA")</f>
        <v>7.1067885664734759E-3</v>
      </c>
      <c r="V381" s="9"/>
      <c r="W381" s="10">
        <f t="shared" si="94"/>
        <v>-10491.509999999998</v>
      </c>
      <c r="X381" s="8">
        <f>IFERROR(W381/W444, "NA")</f>
        <v>-0.24709208119091844</v>
      </c>
      <c r="Y381" s="9"/>
      <c r="Z381" s="7">
        <v>40029.519999999997</v>
      </c>
      <c r="AA381" s="8">
        <f>IFERROR(Z381/Z444, "NA")</f>
        <v>1.6074548312325063E-2</v>
      </c>
      <c r="AB381" s="9"/>
      <c r="AC381" s="10">
        <f t="shared" si="95"/>
        <v>9538.0099999999984</v>
      </c>
      <c r="AD381" s="8">
        <f>IFERROR(AC381/AC444, "NA")</f>
        <v>2.6029678332405951E-2</v>
      </c>
    </row>
    <row r="382" spans="1:30" ht="16.5" customHeight="1" x14ac:dyDescent="0.45">
      <c r="A382" s="20" t="s">
        <v>350</v>
      </c>
      <c r="B382" s="7">
        <v>648.72</v>
      </c>
      <c r="C382" s="8">
        <f>IFERROR(B382/B444, "NA")</f>
        <v>1.0919383951626283E-3</v>
      </c>
      <c r="D382" s="9"/>
      <c r="E382" s="7">
        <v>795</v>
      </c>
      <c r="F382" s="8">
        <f>IFERROR(E382/E444, "NA")</f>
        <v>1.2197719416182473E-3</v>
      </c>
      <c r="G382" s="9"/>
      <c r="H382" s="10">
        <f t="shared" si="92"/>
        <v>146.27999999999997</v>
      </c>
      <c r="I382" s="8">
        <f>IFERROR(H382/H444, "NA")</f>
        <v>-2.5368645720480415E-3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-648.72</v>
      </c>
      <c r="O382" s="8">
        <f>IFERROR(N382/N444, "NA")</f>
        <v>-2.2042850905285297E-2</v>
      </c>
      <c r="P382" s="9"/>
      <c r="Q382" s="7">
        <v>2791.76</v>
      </c>
      <c r="R382" s="8">
        <f>IFERROR(Q382/Q444, "NA")</f>
        <v>9.7727754788777608E-4</v>
      </c>
      <c r="S382" s="9"/>
      <c r="T382" s="7">
        <v>3975</v>
      </c>
      <c r="U382" s="8">
        <f>IFERROR(T382/T444, "NA")</f>
        <v>1.4124742275866034E-3</v>
      </c>
      <c r="V382" s="9"/>
      <c r="W382" s="10">
        <f t="shared" si="94"/>
        <v>1183.2399999999998</v>
      </c>
      <c r="X382" s="8">
        <f>IFERROR(W382/W444, "NA")</f>
        <v>2.7867221605692823E-2</v>
      </c>
      <c r="Y382" s="9"/>
      <c r="Z382" s="7">
        <v>1479.69</v>
      </c>
      <c r="AA382" s="8">
        <f>IFERROR(Z382/Z444, "NA")</f>
        <v>5.9419519375361661E-4</v>
      </c>
      <c r="AB382" s="9"/>
      <c r="AC382" s="10">
        <f t="shared" si="95"/>
        <v>-1312.0700000000002</v>
      </c>
      <c r="AD382" s="8">
        <f>IFERROR(AC382/AC444, "NA")</f>
        <v>-3.5807008012782421E-3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3768.79</v>
      </c>
      <c r="C385" s="8">
        <f>IFERROR(B385/B444, "NA")</f>
        <v>6.343702220225924E-3</v>
      </c>
      <c r="D385" s="9"/>
      <c r="E385" s="7">
        <v>1303.52</v>
      </c>
      <c r="F385" s="8">
        <f>IFERROR(E385/E444, "NA")</f>
        <v>1.9999963790417832E-3</v>
      </c>
      <c r="G385" s="9"/>
      <c r="H385" s="10">
        <f>IFERROR(-(B385-E385), "NA")</f>
        <v>-2465.27</v>
      </c>
      <c r="I385" s="8">
        <f>IFERROR(H385/H444, "NA")</f>
        <v>4.2754006860356006E-2</v>
      </c>
      <c r="J385" s="9"/>
      <c r="K385" s="7">
        <v>972.2</v>
      </c>
      <c r="L385" s="8">
        <f>IFERROR(K385/K444, "NA")</f>
        <v>1.7217150917483591E-3</v>
      </c>
      <c r="M385" s="9"/>
      <c r="N385" s="10">
        <f>IFERROR(-(B385-K385), "NA")</f>
        <v>-2796.59</v>
      </c>
      <c r="O385" s="8">
        <f>IFERROR(N385/N444, "NA")</f>
        <v>-9.5025305853391001E-2</v>
      </c>
      <c r="P385" s="9"/>
      <c r="Q385" s="7">
        <v>17586.55</v>
      </c>
      <c r="R385" s="8">
        <f>IFERROR(Q385/Q444, "NA")</f>
        <v>6.1563101626951342E-3</v>
      </c>
      <c r="S385" s="9"/>
      <c r="T385" s="7">
        <v>13475.64</v>
      </c>
      <c r="U385" s="8">
        <f>IFERROR(T385/T444, "NA")</f>
        <v>4.7884262138956314E-3</v>
      </c>
      <c r="V385" s="9"/>
      <c r="W385" s="10">
        <f>IFERROR(-(Q385-T385), "NA")</f>
        <v>-4110.91</v>
      </c>
      <c r="X385" s="8">
        <f>IFERROR(W385/W444, "NA")</f>
        <v>-9.6818599752424447E-2</v>
      </c>
      <c r="Y385" s="9"/>
      <c r="Z385" s="7">
        <v>11114.23</v>
      </c>
      <c r="AA385" s="8">
        <f>IFERROR(Z385/Z444, "NA")</f>
        <v>4.4631119006496352E-3</v>
      </c>
      <c r="AB385" s="9"/>
      <c r="AC385" s="10">
        <f>IFERROR(-(Q385-Z385), "NA")</f>
        <v>-6472.32</v>
      </c>
      <c r="AD385" s="8">
        <f>IFERROR(AC385/AC444, "NA")</f>
        <v>-1.7663265992004382E-2</v>
      </c>
    </row>
    <row r="386" spans="1:30" ht="16.5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1716.9</v>
      </c>
      <c r="L386" s="8">
        <f>IFERROR(K386/K444, "NA")</f>
        <v>3.0405396431009645E-3</v>
      </c>
      <c r="M386" s="9"/>
      <c r="N386" s="10">
        <f>IFERROR(-(B386-K386), "NA")</f>
        <v>1716.9</v>
      </c>
      <c r="O386" s="8">
        <f>IFERROR(N386/N444, "NA")</f>
        <v>5.8338529287341734E-2</v>
      </c>
      <c r="P386" s="9"/>
      <c r="Q386" s="7">
        <v>51.47</v>
      </c>
      <c r="R386" s="8">
        <f>IFERROR(Q386/Q444, "NA")</f>
        <v>1.8017478361243026E-5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-51.47</v>
      </c>
      <c r="X386" s="8">
        <f>IFERROR(W386/W444, "NA")</f>
        <v>-1.2122020013226478E-3</v>
      </c>
      <c r="Y386" s="9"/>
      <c r="Z386" s="7">
        <v>4371.13</v>
      </c>
      <c r="AA386" s="8">
        <f>IFERROR(Z386/Z444, "NA")</f>
        <v>1.7553030954269113E-3</v>
      </c>
      <c r="AB386" s="9"/>
      <c r="AC386" s="10">
        <f>IFERROR(-(Q386-Z386), "NA")</f>
        <v>4319.66</v>
      </c>
      <c r="AD386" s="8">
        <f>IFERROR(AC386/AC444, "NA")</f>
        <v>1.1788555506375094E-2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customHeight="1" x14ac:dyDescent="0.45">
      <c r="A389" s="12" t="s">
        <v>355</v>
      </c>
      <c r="B389" s="7">
        <v>4539.07</v>
      </c>
      <c r="C389" s="8">
        <f>IFERROR(B389/B444, "NA")</f>
        <v>7.6402528229911676E-3</v>
      </c>
      <c r="D389" s="9"/>
      <c r="E389" s="7">
        <v>2957.52</v>
      </c>
      <c r="F389" s="8">
        <f>IFERROR(E389/E444, "NA")</f>
        <v>4.5377357393393694E-3</v>
      </c>
      <c r="G389" s="9"/>
      <c r="H389" s="10">
        <f t="shared" si="96"/>
        <v>-1581.5499999999997</v>
      </c>
      <c r="I389" s="8">
        <f>IFERROR(H389/H444, "NA")</f>
        <v>2.7428070576446407E-2</v>
      </c>
      <c r="J389" s="9"/>
      <c r="K389" s="7">
        <v>1350.03</v>
      </c>
      <c r="L389" s="8">
        <f>IFERROR(K389/K444, "NA")</f>
        <v>2.3908321593427658E-3</v>
      </c>
      <c r="M389" s="9"/>
      <c r="N389" s="10">
        <f t="shared" si="97"/>
        <v>-3189.04</v>
      </c>
      <c r="O389" s="8">
        <f>IFERROR(N389/N444, "NA")</f>
        <v>-0.10836036078892437</v>
      </c>
      <c r="P389" s="9"/>
      <c r="Q389" s="7">
        <v>21081.37</v>
      </c>
      <c r="R389" s="8">
        <f>IFERROR(Q389/Q444, "NA")</f>
        <v>7.3796993938285973E-3</v>
      </c>
      <c r="S389" s="9"/>
      <c r="T389" s="7">
        <v>13042.94</v>
      </c>
      <c r="U389" s="8">
        <f>IFERROR(T389/T444, "NA")</f>
        <v>4.6346708432599779E-3</v>
      </c>
      <c r="V389" s="9"/>
      <c r="W389" s="10">
        <f t="shared" si="98"/>
        <v>-8038.4299999999985</v>
      </c>
      <c r="X389" s="8">
        <f>IFERROR(W389/W444, "NA")</f>
        <v>-0.18931806748575891</v>
      </c>
      <c r="Y389" s="9"/>
      <c r="Z389" s="7">
        <v>6132.48</v>
      </c>
      <c r="AA389" s="8">
        <f>IFERROR(Z389/Z444, "NA")</f>
        <v>2.4626037492922023E-3</v>
      </c>
      <c r="AB389" s="9"/>
      <c r="AC389" s="10">
        <f t="shared" si="99"/>
        <v>-14948.89</v>
      </c>
      <c r="AD389" s="8">
        <f>IFERROR(AC389/AC444, "NA")</f>
        <v>-4.0796224592605804E-2</v>
      </c>
    </row>
    <row r="390" spans="1:30" ht="16.5" customHeight="1" x14ac:dyDescent="0.45">
      <c r="A390" s="12" t="s">
        <v>356</v>
      </c>
      <c r="B390" s="7">
        <v>9868.84</v>
      </c>
      <c r="C390" s="8">
        <f>IFERROR(B390/B444, "NA")</f>
        <v>1.6611427598527486E-2</v>
      </c>
      <c r="D390" s="9"/>
      <c r="E390" s="7">
        <v>14370.95</v>
      </c>
      <c r="F390" s="8">
        <f>IFERROR(E390/E444, "NA")</f>
        <v>2.2049410797985849E-2</v>
      </c>
      <c r="G390" s="9"/>
      <c r="H390" s="10">
        <f t="shared" si="96"/>
        <v>4502.1100000000006</v>
      </c>
      <c r="I390" s="8">
        <f>IFERROR(H390/H444, "NA")</f>
        <v>-7.8077955690888795E-2</v>
      </c>
      <c r="J390" s="9"/>
      <c r="K390" s="7">
        <v>18850.62</v>
      </c>
      <c r="L390" s="8">
        <f>IFERROR(K390/K444, "NA")</f>
        <v>3.3383457048769237E-2</v>
      </c>
      <c r="M390" s="9"/>
      <c r="N390" s="10">
        <f t="shared" si="97"/>
        <v>8981.7799999999988</v>
      </c>
      <c r="O390" s="8">
        <f>IFERROR(N390/N444, "NA")</f>
        <v>0.30519181989775768</v>
      </c>
      <c r="P390" s="9"/>
      <c r="Q390" s="7">
        <v>54838.06</v>
      </c>
      <c r="R390" s="8">
        <f>IFERROR(Q390/Q444, "NA")</f>
        <v>1.9196494257286704E-2</v>
      </c>
      <c r="S390" s="9"/>
      <c r="T390" s="7">
        <v>63377.14</v>
      </c>
      <c r="U390" s="8">
        <f>IFERROR(T390/T444, "NA")</f>
        <v>2.2520396696389437E-2</v>
      </c>
      <c r="V390" s="9"/>
      <c r="W390" s="10">
        <f t="shared" si="98"/>
        <v>8539.0800000000017</v>
      </c>
      <c r="X390" s="8">
        <f>IFERROR(W390/W444, "NA")</f>
        <v>0.20110918720524965</v>
      </c>
      <c r="Y390" s="9"/>
      <c r="Z390" s="7">
        <v>66370.27</v>
      </c>
      <c r="AA390" s="8">
        <f>IFERROR(Z390/Z444, "NA")</f>
        <v>2.6652133515891741E-2</v>
      </c>
      <c r="AB390" s="9"/>
      <c r="AC390" s="10">
        <f t="shared" si="99"/>
        <v>11532.210000000006</v>
      </c>
      <c r="AD390" s="8">
        <f>IFERROR(AC390/AC444, "NA")</f>
        <v>3.1471944017856496E-2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customHeight="1" x14ac:dyDescent="0.45">
      <c r="A392" s="12" t="s">
        <v>358</v>
      </c>
      <c r="B392" s="7">
        <v>4240.24</v>
      </c>
      <c r="C392" s="8">
        <f>IFERROR(B392/B444, "NA")</f>
        <v>7.1372562287340948E-3</v>
      </c>
      <c r="D392" s="9"/>
      <c r="E392" s="7">
        <v>2207.7199999999998</v>
      </c>
      <c r="F392" s="8">
        <f>IFERROR(E392/E444, "NA")</f>
        <v>3.3873143533955179E-3</v>
      </c>
      <c r="G392" s="9"/>
      <c r="H392" s="10">
        <f t="shared" si="96"/>
        <v>-2032.52</v>
      </c>
      <c r="I392" s="8">
        <f>IFERROR(H392/H444, "NA")</f>
        <v>3.5249029122088368E-2</v>
      </c>
      <c r="J392" s="9"/>
      <c r="K392" s="7">
        <v>3951.46</v>
      </c>
      <c r="L392" s="8">
        <f>IFERROR(K392/K444, "NA")</f>
        <v>6.9978279329767235E-3</v>
      </c>
      <c r="M392" s="9"/>
      <c r="N392" s="10">
        <f t="shared" si="97"/>
        <v>-288.77999999999975</v>
      </c>
      <c r="O392" s="8">
        <f>IFERROR(N392/N444, "NA")</f>
        <v>-9.8124529603346323E-3</v>
      </c>
      <c r="P392" s="9"/>
      <c r="Q392" s="7">
        <v>24215.119999999999</v>
      </c>
      <c r="R392" s="8">
        <f>IFERROR(Q392/Q444, "NA")</f>
        <v>8.4766932312979066E-3</v>
      </c>
      <c r="S392" s="9"/>
      <c r="T392" s="7">
        <v>9736.24</v>
      </c>
      <c r="U392" s="8">
        <f>IFERROR(T392/T444, "NA")</f>
        <v>3.4596699556220857E-3</v>
      </c>
      <c r="V392" s="9"/>
      <c r="W392" s="10">
        <f t="shared" si="98"/>
        <v>-14478.88</v>
      </c>
      <c r="X392" s="8">
        <f>IFERROR(W392/W444, "NA")</f>
        <v>-0.34100111352070062</v>
      </c>
      <c r="Y392" s="9"/>
      <c r="Z392" s="7">
        <v>14029.43</v>
      </c>
      <c r="AA392" s="8">
        <f>IFERROR(Z392/Z444, "NA")</f>
        <v>5.6337610425851378E-3</v>
      </c>
      <c r="AB392" s="9"/>
      <c r="AC392" s="10">
        <f t="shared" si="99"/>
        <v>-10185.689999999999</v>
      </c>
      <c r="AD392" s="8">
        <f>IFERROR(AC392/AC444, "NA")</f>
        <v>-2.7797227544697899E-2</v>
      </c>
    </row>
    <row r="393" spans="1:30" ht="16.5" customHeight="1" x14ac:dyDescent="0.45">
      <c r="A393" s="13" t="s">
        <v>359</v>
      </c>
      <c r="B393" s="14">
        <f>IFERROR(B388+B389+B390+B391+B392, "NA")</f>
        <v>18648.150000000001</v>
      </c>
      <c r="C393" s="15">
        <f>IFERROR(B393/B444, "NA")</f>
        <v>3.1388936650252754E-2</v>
      </c>
      <c r="D393" s="2"/>
      <c r="E393" s="14">
        <f>IFERROR(E388+E389+E390+E391+E392, "NA")</f>
        <v>19536.190000000002</v>
      </c>
      <c r="F393" s="15">
        <f>IFERROR(E393/E444, "NA")</f>
        <v>2.9974460890720742E-2</v>
      </c>
      <c r="G393" s="2"/>
      <c r="H393" s="14">
        <f t="shared" si="96"/>
        <v>888.04000000000087</v>
      </c>
      <c r="I393" s="15">
        <f>IFERROR(H393/H444, "NA")</f>
        <v>-1.5400855992354016E-2</v>
      </c>
      <c r="J393" s="2"/>
      <c r="K393" s="14">
        <f>IFERROR(K388+K389+K390+K391+K392, "NA")</f>
        <v>24152.109999999997</v>
      </c>
      <c r="L393" s="15">
        <f>IFERROR(K393/K444, "NA")</f>
        <v>4.2772117141088722E-2</v>
      </c>
      <c r="M393" s="2"/>
      <c r="N393" s="14">
        <f t="shared" si="97"/>
        <v>5503.9599999999955</v>
      </c>
      <c r="O393" s="15">
        <f>IFERROR(N393/N444, "NA")</f>
        <v>0.18701900614849853</v>
      </c>
      <c r="P393" s="2"/>
      <c r="Q393" s="14">
        <f>IFERROR(Q388+Q389+Q390+Q391+Q392, "NA")</f>
        <v>100134.54999999999</v>
      </c>
      <c r="R393" s="15">
        <f>IFERROR(Q393/Q444, "NA")</f>
        <v>3.5052886882413203E-2</v>
      </c>
      <c r="S393" s="2"/>
      <c r="T393" s="14">
        <f>IFERROR(T388+T389+T390+T391+T392, "NA")</f>
        <v>86156.32</v>
      </c>
      <c r="U393" s="15">
        <f>IFERROR(T393/T444, "NA")</f>
        <v>3.0614737495271504E-2</v>
      </c>
      <c r="V393" s="2"/>
      <c r="W393" s="14">
        <f t="shared" si="98"/>
        <v>-13978.229999999981</v>
      </c>
      <c r="X393" s="15">
        <f>IFERROR(W393/W444, "NA")</f>
        <v>-0.32920999380120952</v>
      </c>
      <c r="Y393" s="2"/>
      <c r="Z393" s="14">
        <f>IFERROR(Z388+Z389+Z390+Z391+Z392, "NA")</f>
        <v>86532.18</v>
      </c>
      <c r="AA393" s="15">
        <f>IFERROR(Z393/Z444, "NA")</f>
        <v>3.4748498307769077E-2</v>
      </c>
      <c r="AB393" s="2"/>
      <c r="AC393" s="14">
        <f t="shared" si="99"/>
        <v>-13602.369999999995</v>
      </c>
      <c r="AD393" s="15">
        <f>IFERROR(AC393/AC444, "NA")</f>
        <v>-3.7121508119447214E-2</v>
      </c>
    </row>
    <row r="394" spans="1:30" ht="16.5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5865.85</v>
      </c>
      <c r="F394" s="8">
        <f>IFERROR(E394/E444, "NA")</f>
        <v>8.9999990487313157E-3</v>
      </c>
      <c r="G394" s="9"/>
      <c r="H394" s="10">
        <f t="shared" si="96"/>
        <v>5865.85</v>
      </c>
      <c r="I394" s="8">
        <f>IFERROR(H394/H444, "NA")</f>
        <v>-0.10172865087467876</v>
      </c>
      <c r="J394" s="9"/>
      <c r="K394" s="7">
        <v>6179.76</v>
      </c>
      <c r="L394" s="8">
        <f>IFERROR(K394/K444, "NA")</f>
        <v>1.0944030091938737E-2</v>
      </c>
      <c r="M394" s="9"/>
      <c r="N394" s="10">
        <f t="shared" si="97"/>
        <v>6179.76</v>
      </c>
      <c r="O394" s="8">
        <f>IFERROR(N394/N444, "NA")</f>
        <v>0.20998200812437703</v>
      </c>
      <c r="P394" s="9"/>
      <c r="Q394" s="7">
        <v>6612.06</v>
      </c>
      <c r="R394" s="8">
        <f>IFERROR(Q394/Q444, "NA")</f>
        <v>2.3146036132356824E-3</v>
      </c>
      <c r="S394" s="9"/>
      <c r="T394" s="7">
        <v>21318.14</v>
      </c>
      <c r="U394" s="8">
        <f>IFERROR(T394/T444, "NA")</f>
        <v>7.5751756805240425E-3</v>
      </c>
      <c r="V394" s="9"/>
      <c r="W394" s="10">
        <f t="shared" si="98"/>
        <v>14706.079999999998</v>
      </c>
      <c r="X394" s="8">
        <f>IFERROR(W394/W444, "NA")</f>
        <v>0.34635204211406573</v>
      </c>
      <c r="Y394" s="9"/>
      <c r="Z394" s="7">
        <v>27465.7</v>
      </c>
      <c r="AA394" s="8">
        <f>IFERROR(Z394/Z444, "NA")</f>
        <v>1.1029328395190012E-2</v>
      </c>
      <c r="AB394" s="9"/>
      <c r="AC394" s="10">
        <f t="shared" si="99"/>
        <v>20853.64</v>
      </c>
      <c r="AD394" s="8">
        <f>IFERROR(AC394/AC444, "NA")</f>
        <v>5.6910565333837364E-2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22416.940000000002</v>
      </c>
      <c r="C396" s="15">
        <f>IFERROR(B396/B444, "NA")</f>
        <v>3.7732638870478681E-2</v>
      </c>
      <c r="D396" s="2"/>
      <c r="E396" s="14">
        <f>IFERROR(E385+E386+E388+E389+E390+E391+E392+E394+E395, "NA")</f>
        <v>26705.560000000005</v>
      </c>
      <c r="F396" s="15">
        <f>IFERROR(E396/E444, "NA")</f>
        <v>4.0974456318493842E-2</v>
      </c>
      <c r="G396" s="2"/>
      <c r="H396" s="14">
        <f t="shared" si="96"/>
        <v>4288.6200000000026</v>
      </c>
      <c r="I396" s="15">
        <f>IFERROR(H396/H444, "NA")</f>
        <v>-7.4375500006676795E-2</v>
      </c>
      <c r="J396" s="2"/>
      <c r="K396" s="14">
        <f>IFERROR(K385+K386+K388+K389+K390+K391+K392+K394+K395, "NA")</f>
        <v>33020.97</v>
      </c>
      <c r="L396" s="15">
        <f>IFERROR(K396/K444, "NA")</f>
        <v>5.8478401967876785E-2</v>
      </c>
      <c r="M396" s="2"/>
      <c r="N396" s="14">
        <f t="shared" si="97"/>
        <v>10604.029999999999</v>
      </c>
      <c r="O396" s="15">
        <f>IFERROR(N396/N444, "NA")</f>
        <v>0.36031423770682641</v>
      </c>
      <c r="P396" s="2"/>
      <c r="Q396" s="14">
        <f>IFERROR(Q385+Q386+Q388+Q389+Q390+Q391+Q392+Q394+Q395, "NA")</f>
        <v>124384.62999999999</v>
      </c>
      <c r="R396" s="15">
        <f>IFERROR(Q396/Q444, "NA")</f>
        <v>4.3541818136705268E-2</v>
      </c>
      <c r="S396" s="2"/>
      <c r="T396" s="14">
        <f>IFERROR(T385+T386+T388+T389+T390+T391+T392+T394+T395, "NA")</f>
        <v>120950.1</v>
      </c>
      <c r="U396" s="15">
        <f>IFERROR(T396/T444, "NA")</f>
        <v>4.2978339389691179E-2</v>
      </c>
      <c r="V396" s="2"/>
      <c r="W396" s="14">
        <f t="shared" si="98"/>
        <v>-3434.5299999999843</v>
      </c>
      <c r="X396" s="15">
        <f>IFERROR(W396/W444, "NA")</f>
        <v>-8.0888753440890901E-2</v>
      </c>
      <c r="Y396" s="2"/>
      <c r="Z396" s="14">
        <f>IFERROR(Z385+Z386+Z388+Z389+Z390+Z391+Z392+Z394+Z395, "NA")</f>
        <v>129483.24</v>
      </c>
      <c r="AA396" s="15">
        <f>IFERROR(Z396/Z444, "NA")</f>
        <v>5.199624169903564E-2</v>
      </c>
      <c r="AB396" s="2"/>
      <c r="AC396" s="14">
        <f t="shared" si="99"/>
        <v>5098.6100000000151</v>
      </c>
      <c r="AD396" s="15">
        <f>IFERROR(AC396/AC444, "NA")</f>
        <v>1.3914346728760898E-2</v>
      </c>
    </row>
    <row r="397" spans="1:30" ht="16.5" customHeight="1" x14ac:dyDescent="0.45">
      <c r="A397" s="20" t="s">
        <v>363</v>
      </c>
      <c r="B397" s="7">
        <v>6516.99</v>
      </c>
      <c r="C397" s="8">
        <f>IFERROR(B397/B444, "NA")</f>
        <v>1.0969527071603922E-2</v>
      </c>
      <c r="D397" s="9"/>
      <c r="E397" s="7">
        <v>20224.240000000002</v>
      </c>
      <c r="F397" s="8">
        <f>IFERROR(E397/E444, "NA")</f>
        <v>3.1030138984343928E-2</v>
      </c>
      <c r="G397" s="9"/>
      <c r="H397" s="10">
        <f t="shared" si="96"/>
        <v>13707.250000000002</v>
      </c>
      <c r="I397" s="8">
        <f>IFERROR(H397/H444, "NA")</f>
        <v>-0.23771832721633532</v>
      </c>
      <c r="J397" s="9"/>
      <c r="K397" s="7">
        <v>10609.45</v>
      </c>
      <c r="L397" s="8">
        <f>IFERROR(K397/K444, "NA")</f>
        <v>1.8788778214513094E-2</v>
      </c>
      <c r="M397" s="9"/>
      <c r="N397" s="10">
        <f t="shared" si="97"/>
        <v>4092.4600000000009</v>
      </c>
      <c r="O397" s="8">
        <f>IFERROR(N397/N444, "NA")</f>
        <v>0.13905766064842134</v>
      </c>
      <c r="P397" s="9"/>
      <c r="Q397" s="7">
        <v>22317.26</v>
      </c>
      <c r="R397" s="8">
        <f>IFERROR(Q397/Q444, "NA")</f>
        <v>7.8123324097966679E-3</v>
      </c>
      <c r="S397" s="9"/>
      <c r="T397" s="7">
        <v>83530.289999999994</v>
      </c>
      <c r="U397" s="8">
        <f>IFERROR(T397/T444, "NA")</f>
        <v>2.9681605496310683E-2</v>
      </c>
      <c r="V397" s="9"/>
      <c r="W397" s="10">
        <f t="shared" si="98"/>
        <v>61213.03</v>
      </c>
      <c r="X397" s="8">
        <f>IFERROR(W397/W444, "NA")</f>
        <v>1.4416661642320436</v>
      </c>
      <c r="Y397" s="9"/>
      <c r="Z397" s="7">
        <v>36263.39</v>
      </c>
      <c r="AA397" s="8">
        <f>IFERROR(Z397/Z444, "NA")</f>
        <v>1.4562193464315474E-2</v>
      </c>
      <c r="AB397" s="9"/>
      <c r="AC397" s="10">
        <f t="shared" si="99"/>
        <v>13946.130000000001</v>
      </c>
      <c r="AD397" s="8">
        <f>IFERROR(AC397/AC444, "NA")</f>
        <v>3.8059645343411962E-2</v>
      </c>
    </row>
    <row r="398" spans="1:30" ht="16.5" customHeight="1" x14ac:dyDescent="0.45">
      <c r="A398" s="20" t="s">
        <v>364</v>
      </c>
      <c r="B398" s="7">
        <v>120.93</v>
      </c>
      <c r="C398" s="8">
        <f>IFERROR(B398/B444, "NA")</f>
        <v>2.0355177908345146E-4</v>
      </c>
      <c r="D398" s="9"/>
      <c r="E398" s="7">
        <v>75</v>
      </c>
      <c r="F398" s="8">
        <f>IFERROR(E398/E444, "NA")</f>
        <v>1.1507282468096672E-4</v>
      </c>
      <c r="G398" s="9"/>
      <c r="H398" s="10">
        <f t="shared" si="96"/>
        <v>-45.930000000000007</v>
      </c>
      <c r="I398" s="8">
        <f>IFERROR(H398/H444, "NA")</f>
        <v>7.9654217797488788E-4</v>
      </c>
      <c r="J398" s="9"/>
      <c r="K398" s="7">
        <v>107.39</v>
      </c>
      <c r="L398" s="8">
        <f>IFERROR(K398/K444, "NA")</f>
        <v>1.9018204454109881E-4</v>
      </c>
      <c r="M398" s="9"/>
      <c r="N398" s="10">
        <f t="shared" si="97"/>
        <v>-13.540000000000006</v>
      </c>
      <c r="O398" s="8">
        <f>IFERROR(N398/N444, "NA")</f>
        <v>-4.600755352965271E-4</v>
      </c>
      <c r="P398" s="9"/>
      <c r="Q398" s="7">
        <v>703.84</v>
      </c>
      <c r="R398" s="8">
        <f>IFERROR(Q398/Q444, "NA")</f>
        <v>2.4638472838114033E-4</v>
      </c>
      <c r="S398" s="9"/>
      <c r="T398" s="7">
        <v>375</v>
      </c>
      <c r="U398" s="8">
        <f>IFERROR(T398/T444, "NA")</f>
        <v>1.3325228562137767E-4</v>
      </c>
      <c r="V398" s="9"/>
      <c r="W398" s="10">
        <f t="shared" si="98"/>
        <v>-328.84000000000003</v>
      </c>
      <c r="X398" s="8">
        <f>IFERROR(W398/W444, "NA")</f>
        <v>-7.7447154869815351E-3</v>
      </c>
      <c r="Y398" s="9"/>
      <c r="Z398" s="7">
        <v>585.24</v>
      </c>
      <c r="AA398" s="8">
        <f>IFERROR(Z398/Z444, "NA")</f>
        <v>2.3501327655952708E-4</v>
      </c>
      <c r="AB398" s="9"/>
      <c r="AC398" s="10">
        <f t="shared" si="99"/>
        <v>-118.60000000000002</v>
      </c>
      <c r="AD398" s="8">
        <f>IFERROR(AC398/AC444, "NA")</f>
        <v>-3.2366498359965516E-4</v>
      </c>
    </row>
    <row r="399" spans="1:30" ht="16.5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700</v>
      </c>
      <c r="F399" s="8">
        <f>IFERROR(E399/E444, "NA")</f>
        <v>1.0740130303556895E-3</v>
      </c>
      <c r="G399" s="9"/>
      <c r="H399" s="10">
        <f t="shared" si="96"/>
        <v>700</v>
      </c>
      <c r="I399" s="8">
        <f>IFERROR(H399/H444, "NA")</f>
        <v>-1.2139767572010046E-2</v>
      </c>
      <c r="J399" s="9"/>
      <c r="K399" s="7">
        <v>656</v>
      </c>
      <c r="L399" s="8">
        <f>IFERROR(K399/K444, "NA")</f>
        <v>1.1617415142840192E-3</v>
      </c>
      <c r="M399" s="9"/>
      <c r="N399" s="10">
        <f t="shared" si="97"/>
        <v>656</v>
      </c>
      <c r="O399" s="8">
        <f>IFERROR(N399/N444, "NA")</f>
        <v>2.2290217958236457E-2</v>
      </c>
      <c r="P399" s="9"/>
      <c r="Q399" s="7">
        <v>500</v>
      </c>
      <c r="R399" s="8">
        <f>IFERROR(Q399/Q444, "NA")</f>
        <v>1.7502893298273778E-4</v>
      </c>
      <c r="S399" s="9"/>
      <c r="T399" s="7">
        <v>3500</v>
      </c>
      <c r="U399" s="8">
        <f>IFERROR(T399/T444, "NA")</f>
        <v>1.2436879991328583E-3</v>
      </c>
      <c r="V399" s="9"/>
      <c r="W399" s="10">
        <f t="shared" si="98"/>
        <v>3000</v>
      </c>
      <c r="X399" s="8">
        <f>IFERROR(W399/W444, "NA")</f>
        <v>7.0654866989857082E-2</v>
      </c>
      <c r="Y399" s="9"/>
      <c r="Z399" s="7">
        <v>3676</v>
      </c>
      <c r="AA399" s="8">
        <f>IFERROR(Z399/Z444, "NA")</f>
        <v>1.4761615826546742E-3</v>
      </c>
      <c r="AB399" s="9"/>
      <c r="AC399" s="10">
        <f t="shared" si="99"/>
        <v>3176</v>
      </c>
      <c r="AD399" s="8">
        <f>IFERROR(AC399/AC444, "NA")</f>
        <v>8.6674535237142043E-3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8333.33</v>
      </c>
      <c r="L401" s="8">
        <f>IFERROR(K401/K444, "NA")</f>
        <v>1.4757889349433607E-2</v>
      </c>
      <c r="M401" s="9"/>
      <c r="N401" s="10">
        <f t="shared" si="97"/>
        <v>8333.33</v>
      </c>
      <c r="O401" s="8">
        <f>IFERROR(N401/N444, "NA")</f>
        <v>0.28315814331998568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41666.660000000003</v>
      </c>
      <c r="AA401" s="8">
        <f>IFERROR(Z401/Z444, "NA")</f>
        <v>1.6731970285509851E-2</v>
      </c>
      <c r="AB401" s="9"/>
      <c r="AC401" s="10">
        <f t="shared" si="99"/>
        <v>41666.660000000003</v>
      </c>
      <c r="AD401" s="8">
        <f>IFERROR(AC401/AC444, "NA")</f>
        <v>0.11371027677531541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121379.02999999997</v>
      </c>
      <c r="C403" s="15">
        <f>IFERROR(B403/B444, "NA")</f>
        <v>0.20430759530243628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159552.47</v>
      </c>
      <c r="F403" s="15">
        <f>IFERROR(E403/E444, "NA")</f>
        <v>0.24480204543633605</v>
      </c>
      <c r="G403" s="2"/>
      <c r="H403" s="14">
        <f t="shared" si="96"/>
        <v>38173.440000000031</v>
      </c>
      <c r="I403" s="15">
        <f>IFERROR(H403/H444, "NA")</f>
        <v>-0.66202384146295934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165529.13999999998</v>
      </c>
      <c r="L403" s="15">
        <f>IFERROR(K403/K444, "NA")</f>
        <v>0.29314340512459053</v>
      </c>
      <c r="M403" s="2"/>
      <c r="N403" s="14">
        <f t="shared" si="97"/>
        <v>44150.110000000015</v>
      </c>
      <c r="O403" s="15">
        <f>IFERROR(N403/N444, "NA")</f>
        <v>1.5001761810672489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674371.37000000011</v>
      </c>
      <c r="R403" s="15">
        <f>IFERROR(Q403/Q444, "NA")</f>
        <v>0.23606900265041417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793022.07000000007</v>
      </c>
      <c r="U403" s="15">
        <f>IFERROR(T403/T444, "NA")</f>
        <v>0.28179200900185641</v>
      </c>
      <c r="V403" s="2"/>
      <c r="W403" s="14">
        <f t="shared" si="98"/>
        <v>118650.69999999995</v>
      </c>
      <c r="X403" s="15">
        <f>IFERROR(W403/W444, "NA")</f>
        <v>2.7944164755844771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747679.75999999989</v>
      </c>
      <c r="AA403" s="15">
        <f>IFERROR(Z403/Z444, "NA")</f>
        <v>0.30024378069653612</v>
      </c>
      <c r="AB403" s="2"/>
      <c r="AC403" s="14">
        <f t="shared" si="99"/>
        <v>73308.389999999781</v>
      </c>
      <c r="AD403" s="15">
        <f>IFERROR(AC403/AC444, "NA")</f>
        <v>0.20006204761439333</v>
      </c>
    </row>
    <row r="404" spans="1:30" ht="16.5" customHeight="1" x14ac:dyDescent="0.45">
      <c r="A404" s="22" t="s">
        <v>370</v>
      </c>
      <c r="B404" s="23">
        <f>IFERROR(B345-B403, "NA")</f>
        <v>-96719.189999999871</v>
      </c>
      <c r="C404" s="24">
        <f>IFERROR(B404/B444, "NA")</f>
        <v>-0.16279966258174433</v>
      </c>
      <c r="D404" s="25"/>
      <c r="E404" s="23">
        <f>IFERROR(E345-E403, "NA")</f>
        <v>-55718.470000000132</v>
      </c>
      <c r="F404" s="24">
        <f>IFERROR(E404/E444, "NA")</f>
        <v>-8.5489089730689583E-2</v>
      </c>
      <c r="G404" s="25"/>
      <c r="H404" s="23">
        <f>IFERROR(B404-E404, "NA")</f>
        <v>-41000.719999999739</v>
      </c>
      <c r="I404" s="24">
        <f>IFERROR(H404/H444, "NA")</f>
        <v>0.7110560158358008</v>
      </c>
      <c r="J404" s="25"/>
      <c r="K404" s="23">
        <f>IFERROR(K345-K403, "NA")</f>
        <v>-103196.78000000004</v>
      </c>
      <c r="L404" s="24">
        <f>IFERROR(K404/K444, "NA")</f>
        <v>-0.18275607235737018</v>
      </c>
      <c r="M404" s="25"/>
      <c r="N404" s="23">
        <f>IFERROR(B404-K404, "NA")</f>
        <v>6477.5900000001711</v>
      </c>
      <c r="O404" s="24">
        <f>IFERROR(N404/N444, "NA")</f>
        <v>0.22010197095136694</v>
      </c>
      <c r="P404" s="25"/>
      <c r="Q404" s="23">
        <f>IFERROR(Q345-Q403, "NA")</f>
        <v>-604526.48000000021</v>
      </c>
      <c r="R404" s="24">
        <f>IFERROR(Q404/Q444, "NA")</f>
        <v>-0.21161924950842081</v>
      </c>
      <c r="S404" s="25"/>
      <c r="T404" s="23">
        <f>IFERROR(T345-T403, "NA")</f>
        <v>-520379.69000000041</v>
      </c>
      <c r="U404" s="24">
        <f>IFERROR(T404/T444, "NA")</f>
        <v>-0.18491142155585072</v>
      </c>
      <c r="V404" s="25"/>
      <c r="W404" s="23">
        <f>IFERROR(Q404-T404, "NA")</f>
        <v>-84146.789999999804</v>
      </c>
      <c r="X404" s="24">
        <f>IFERROR(W404/W444, "NA")</f>
        <v>-1.9817934183578072</v>
      </c>
      <c r="Y404" s="25"/>
      <c r="Z404" s="23">
        <f>IFERROR(Z345-Z403, "NA")</f>
        <v>-619196.14999999956</v>
      </c>
      <c r="AA404" s="24">
        <f>IFERROR(Z404/Z444, "NA")</f>
        <v>-0.24864895776868345</v>
      </c>
      <c r="AB404" s="25"/>
      <c r="AC404" s="23">
        <f>IFERROR(Q404-Z404, "NA")</f>
        <v>14669.669999999343</v>
      </c>
      <c r="AD404" s="24">
        <f>IFERROR(AC404/AC444, "NA")</f>
        <v>4.0034220067134405E-2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-58938.32</v>
      </c>
      <c r="AA407" s="8">
        <f>IFERROR(Z407/Z444, "NA")</f>
        <v>-2.3667705040861707E-2</v>
      </c>
      <c r="AB407" s="9"/>
      <c r="AC407" s="10">
        <f t="shared" ref="AC407:AC429" si="103">IFERROR(-(Q407-Z407), "NA")</f>
        <v>-58938.32</v>
      </c>
      <c r="AD407" s="8">
        <f>IFERROR(AC407/AC444, "NA")</f>
        <v>-0.16084545005220258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2043.69</v>
      </c>
      <c r="AA408" s="8">
        <f>IFERROR(Z408/Z444, "NA")</f>
        <v>8.2067917977571574E-4</v>
      </c>
      <c r="AB408" s="9"/>
      <c r="AC408" s="10">
        <f t="shared" si="103"/>
        <v>2043.69</v>
      </c>
      <c r="AD408" s="8">
        <f>IFERROR(AC408/AC444, "NA")</f>
        <v>5.5773262254028601E-3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28107.67</v>
      </c>
      <c r="C410" s="8">
        <f>IFERROR(B410/B444, "NA")</f>
        <v>4.7311388690900152E-2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-28107.67</v>
      </c>
      <c r="I410" s="8">
        <f>IFERROR(H410/H444, "NA")</f>
        <v>0.48745797255822798</v>
      </c>
      <c r="J410" s="9"/>
      <c r="K410" s="7">
        <v>34097.65</v>
      </c>
      <c r="L410" s="8">
        <f>IFERROR(K410/K444, "NA")</f>
        <v>6.0385145647144041E-2</v>
      </c>
      <c r="M410" s="9"/>
      <c r="N410" s="10">
        <f t="shared" si="101"/>
        <v>5989.9800000000032</v>
      </c>
      <c r="O410" s="8">
        <f>IFERROR(N410/N444, "NA")</f>
        <v>0.20353347525225196</v>
      </c>
      <c r="P410" s="9"/>
      <c r="Q410" s="7">
        <v>140159.71</v>
      </c>
      <c r="R410" s="8">
        <f>IFERROR(Q410/Q444, "NA")</f>
        <v>4.9064008976939917E-2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-140159.71</v>
      </c>
      <c r="X410" s="8">
        <f>IFERROR(W410/W444, "NA")</f>
        <v>-3.3009885557956467</v>
      </c>
      <c r="Y410" s="9"/>
      <c r="Z410" s="7">
        <v>169701.86000000002</v>
      </c>
      <c r="AA410" s="8">
        <f>IFERROR(Z410/Z444, "NA")</f>
        <v>6.8146726397454283E-2</v>
      </c>
      <c r="AB410" s="9"/>
      <c r="AC410" s="10">
        <f t="shared" si="103"/>
        <v>29542.150000000023</v>
      </c>
      <c r="AD410" s="8">
        <f>IFERROR(AC410/AC444, "NA")</f>
        <v>8.0621918172416179E-2</v>
      </c>
    </row>
    <row r="411" spans="1:30" ht="16.5" customHeight="1" x14ac:dyDescent="0.45">
      <c r="A411" s="6" t="s">
        <v>376</v>
      </c>
      <c r="B411" s="7">
        <v>268.37</v>
      </c>
      <c r="C411" s="8">
        <f>IFERROR(B411/B444, "NA")</f>
        <v>4.5172571696540034E-4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-268.37</v>
      </c>
      <c r="I411" s="8">
        <f>IFERROR(H411/H444, "NA")</f>
        <v>4.6542134618576233E-3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-268.37</v>
      </c>
      <c r="O411" s="8">
        <f>IFERROR(N411/N444, "NA")</f>
        <v>-9.1189417583108518E-3</v>
      </c>
      <c r="P411" s="9"/>
      <c r="Q411" s="7">
        <v>1073.48</v>
      </c>
      <c r="R411" s="8">
        <f>IFERROR(Q411/Q444, "NA")</f>
        <v>3.7578011795661869E-4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-1073.48</v>
      </c>
      <c r="X411" s="8">
        <f>IFERROR(W411/W444, "NA")</f>
        <v>-2.5282195538757258E-2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-1073.48</v>
      </c>
      <c r="AD411" s="8">
        <f>IFERROR(AC411/AC444, "NA")</f>
        <v>-2.9295774586387672E-3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-56.53</v>
      </c>
      <c r="C416" s="8">
        <f>IFERROR(B416/B444, "NA")</f>
        <v>-9.515241934662623E-5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56.53</v>
      </c>
      <c r="I416" s="8">
        <f>IFERROR(H416/H444, "NA")</f>
        <v>-9.8037294406532567E-4</v>
      </c>
      <c r="J416" s="9"/>
      <c r="K416" s="7">
        <v>-150.38999999999999</v>
      </c>
      <c r="L416" s="8">
        <f>IFERROR(K416/K444, "NA")</f>
        <v>-2.6633278404447202E-4</v>
      </c>
      <c r="M416" s="9"/>
      <c r="N416" s="10">
        <f t="shared" si="101"/>
        <v>-93.859999999999985</v>
      </c>
      <c r="O416" s="8">
        <f>IFERROR(N416/N444, "NA")</f>
        <v>-3.1892680755488925E-3</v>
      </c>
      <c r="P416" s="9"/>
      <c r="Q416" s="7">
        <v>-67.429999999999978</v>
      </c>
      <c r="R416" s="8">
        <f>IFERROR(Q416/Q444, "NA")</f>
        <v>-2.360440190205201E-5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67.429999999999978</v>
      </c>
      <c r="X416" s="8">
        <f>IFERROR(W416/W444, "NA")</f>
        <v>1.5880858937086871E-3</v>
      </c>
      <c r="Y416" s="9"/>
      <c r="Z416" s="7">
        <v>-583.56999999999994</v>
      </c>
      <c r="AA416" s="8">
        <f>IFERROR(Z416/Z444, "NA")</f>
        <v>-2.3434265908318501E-4</v>
      </c>
      <c r="AB416" s="9"/>
      <c r="AC416" s="10">
        <f t="shared" si="103"/>
        <v>-516.14</v>
      </c>
      <c r="AD416" s="8">
        <f>IFERROR(AC416/AC444, "NA")</f>
        <v>-1.4085703594867284E-3</v>
      </c>
    </row>
    <row r="417" spans="1:30" ht="16.5" customHeight="1" x14ac:dyDescent="0.45">
      <c r="A417" s="6" t="s">
        <v>382</v>
      </c>
      <c r="B417" s="7">
        <v>93.170000000000016</v>
      </c>
      <c r="C417" s="8">
        <f>IFERROR(B417/B444, "NA")</f>
        <v>1.5682559544534172E-4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-93.170000000000016</v>
      </c>
      <c r="I417" s="8">
        <f>IFERROR(H417/H444, "NA")</f>
        <v>1.6158030638345373E-3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-93.170000000000016</v>
      </c>
      <c r="O417" s="8">
        <f>IFERROR(N417/N444, "NA")</f>
        <v>-3.1658225719037973E-3</v>
      </c>
      <c r="P417" s="9"/>
      <c r="Q417" s="7">
        <v>-263.29999999999995</v>
      </c>
      <c r="R417" s="8">
        <f>IFERROR(Q417/Q444, "NA")</f>
        <v>-9.2170236108709698E-5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263.29999999999995</v>
      </c>
      <c r="X417" s="8">
        <f>IFERROR(W417/W444, "NA")</f>
        <v>6.2011421594764552E-3</v>
      </c>
      <c r="Y417" s="9"/>
      <c r="Z417" s="7">
        <v>-10.940000000000001</v>
      </c>
      <c r="AA417" s="8">
        <f>IFERROR(Z417/Z444, "NA")</f>
        <v>-4.3931468210669578E-6</v>
      </c>
      <c r="AB417" s="9"/>
      <c r="AC417" s="10">
        <f t="shared" si="103"/>
        <v>252.35999999999996</v>
      </c>
      <c r="AD417" s="8">
        <f>IFERROR(AC417/AC444, "NA")</f>
        <v>6.8870232092081739E-4</v>
      </c>
    </row>
    <row r="418" spans="1:30" ht="16.5" customHeight="1" x14ac:dyDescent="0.45">
      <c r="A418" s="6" t="s">
        <v>383</v>
      </c>
      <c r="B418" s="7">
        <v>-2000</v>
      </c>
      <c r="C418" s="8">
        <f>IFERROR(B418/B444, "NA")</f>
        <v>-3.3664397433796653E-3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2000</v>
      </c>
      <c r="I418" s="8">
        <f>IFERROR(H418/H444, "NA")</f>
        <v>-3.4685050205742987E-2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2000</v>
      </c>
      <c r="O418" s="8">
        <f>IFERROR(N418/N444, "NA")</f>
        <v>6.7957981579989196E-2</v>
      </c>
      <c r="P418" s="9"/>
      <c r="Q418" s="7">
        <v>-3725.69</v>
      </c>
      <c r="R418" s="8">
        <f>IFERROR(Q418/Q444, "NA")</f>
        <v>-1.3042070906489126E-3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3725.69</v>
      </c>
      <c r="X418" s="8">
        <f>IFERROR(W418/W444, "NA")</f>
        <v>8.7746043798480208E-2</v>
      </c>
      <c r="Y418" s="9"/>
      <c r="Z418" s="7">
        <v>-2278.69</v>
      </c>
      <c r="AA418" s="8">
        <f>IFERROR(Z418/Z444, "NA")</f>
        <v>-9.150475072849237E-4</v>
      </c>
      <c r="AB418" s="9"/>
      <c r="AC418" s="10">
        <f t="shared" si="103"/>
        <v>1447</v>
      </c>
      <c r="AD418" s="8">
        <f>IFERROR(AC418/AC444, "NA")</f>
        <v>3.9489311236821324E-3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-50</v>
      </c>
      <c r="R421" s="8">
        <f>IFERROR(Q421/Q444, "NA")</f>
        <v>-1.7502893298273778E-5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50</v>
      </c>
      <c r="X421" s="8">
        <f>IFERROR(W421/W444, "NA")</f>
        <v>1.177581116497618E-3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50</v>
      </c>
      <c r="AD421" s="8">
        <f>IFERROR(AC421/AC444, "NA")</f>
        <v>1.3645235396275512E-4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-3.84</v>
      </c>
      <c r="R423" s="8">
        <f>IFERROR(Q423/Q444, "NA")</f>
        <v>-1.3442222053074261E-6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3.84</v>
      </c>
      <c r="X423" s="8">
        <f>IFERROR(W423/W444, "NA")</f>
        <v>9.0438229747017055E-5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3.84</v>
      </c>
      <c r="AD423" s="8">
        <f>IFERROR(AC423/AC444, "NA")</f>
        <v>1.0479540784339592E-5</v>
      </c>
    </row>
    <row r="424" spans="1:30" ht="16.5" customHeight="1" x14ac:dyDescent="0.45">
      <c r="A424" s="6" t="s">
        <v>389</v>
      </c>
      <c r="B424" s="7">
        <v>47.92</v>
      </c>
      <c r="C424" s="8">
        <f>IFERROR(B424/B444, "NA")</f>
        <v>8.0659896251376772E-5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-47.92</v>
      </c>
      <c r="I424" s="8">
        <f>IFERROR(H424/H444, "NA")</f>
        <v>8.3105380292960204E-4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-47.92</v>
      </c>
      <c r="O424" s="8">
        <f>IFERROR(N424/N444, "NA")</f>
        <v>-1.6282732386565413E-3</v>
      </c>
      <c r="P424" s="9"/>
      <c r="Q424" s="7">
        <v>239.6</v>
      </c>
      <c r="R424" s="8">
        <f>IFERROR(Q424/Q444, "NA")</f>
        <v>8.3873864685327939E-5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-239.6</v>
      </c>
      <c r="X424" s="8">
        <f>IFERROR(W424/W444, "NA")</f>
        <v>-5.6429687102565853E-3</v>
      </c>
      <c r="Y424" s="9"/>
      <c r="Z424" s="7">
        <v>24.48</v>
      </c>
      <c r="AA424" s="8">
        <f>IFERROR(Z424/Z444, "NA")</f>
        <v>9.8303687550017476E-6</v>
      </c>
      <c r="AB424" s="9"/>
      <c r="AC424" s="10">
        <f t="shared" si="103"/>
        <v>-215.12</v>
      </c>
      <c r="AD424" s="8">
        <f>IFERROR(AC424/AC444, "NA")</f>
        <v>-5.8707260768935761E-4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-16559.61</v>
      </c>
      <c r="C426" s="8">
        <f>IFERROR(B426/B444, "NA")</f>
        <v>-2.7873464619433668E-2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16559.61</v>
      </c>
      <c r="I426" s="8">
        <f>IFERROR(H426/H444, "NA")</f>
        <v>-0.28718545211876184</v>
      </c>
      <c r="J426" s="9"/>
      <c r="K426" s="7">
        <v>-191.61</v>
      </c>
      <c r="L426" s="8">
        <f>IFERROR(K426/K444, "NA")</f>
        <v>-3.3933123712189168E-4</v>
      </c>
      <c r="M426" s="9"/>
      <c r="N426" s="10">
        <f t="shared" si="101"/>
        <v>16368</v>
      </c>
      <c r="O426" s="8">
        <f>IFERROR(N426/N444, "NA")</f>
        <v>0.55616812125063164</v>
      </c>
      <c r="P426" s="9"/>
      <c r="Q426" s="7">
        <v>-46510.200000000004</v>
      </c>
      <c r="R426" s="8">
        <f>IFERROR(Q426/Q444, "NA")</f>
        <v>-1.6281261357627464E-2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46510.200000000004</v>
      </c>
      <c r="X426" s="8">
        <f>IFERROR(W426/W444, "NA")</f>
        <v>1.0953906648905503</v>
      </c>
      <c r="Y426" s="9"/>
      <c r="Z426" s="7">
        <v>-2214.11</v>
      </c>
      <c r="AA426" s="8">
        <f>IFERROR(Z426/Z444, "NA")</f>
        <v>-8.8911428775069121E-4</v>
      </c>
      <c r="AB426" s="9"/>
      <c r="AC426" s="10">
        <f t="shared" si="103"/>
        <v>44296.090000000004</v>
      </c>
      <c r="AD426" s="8">
        <f>IFERROR(AC426/AC444, "NA")</f>
        <v>0.12088611503692115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9900.9899999999943</v>
      </c>
      <c r="C428" s="15">
        <f>IFERROR(B428/B444, "NA")</f>
        <v>1.6665543117402305E-2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-9900.9899999999943</v>
      </c>
      <c r="I428" s="15">
        <f>IFERROR(H428/H444, "NA")</f>
        <v>0.17170816761827953</v>
      </c>
      <c r="J428" s="2"/>
      <c r="K428" s="14">
        <f>IFERROR(K407+K408+K409+K410+K411+K412+K413+K414+K415+K416+K417+K418+K419+K420+K421+K422+K423+K424+K425+K426+K427, "NA")</f>
        <v>33755.65</v>
      </c>
      <c r="L428" s="15">
        <f>IFERROR(K428/K444, "NA")</f>
        <v>5.9779481625977675E-2</v>
      </c>
      <c r="M428" s="2"/>
      <c r="N428" s="14">
        <f t="shared" si="101"/>
        <v>23854.660000000007</v>
      </c>
      <c r="O428" s="15">
        <f>IFERROR(N428/N444, "NA")</f>
        <v>0.81055727243845288</v>
      </c>
      <c r="P428" s="2"/>
      <c r="Q428" s="14">
        <f>IFERROR(Q407+Q408+Q409+Q410+Q411+Q412+Q413+Q414+Q415+Q416+Q417+Q418+Q419+Q420+Q421+Q422+Q423+Q424+Q425+Q426+Q427, "NA")</f>
        <v>90852.330000000016</v>
      </c>
      <c r="R428" s="15">
        <f>IFERROR(Q428/Q444, "NA")</f>
        <v>3.1803572757791158E-2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-90852.330000000016</v>
      </c>
      <c r="X428" s="15">
        <f>IFERROR(W428/W444, "NA")</f>
        <v>-2.1397197639562009</v>
      </c>
      <c r="Y428" s="2"/>
      <c r="Z428" s="14">
        <f>IFERROR(Z407+Z408+Z409+Z410+Z411+Z412+Z413+Z414+Z415+Z416+Z417+Z418+Z419+Z420+Z421+Z422+Z423+Z424+Z425+Z426+Z427, "NA")</f>
        <v>107744.4</v>
      </c>
      <c r="AA428" s="15">
        <f>IFERROR(Z428/Z444, "NA")</f>
        <v>4.326663330418342E-2</v>
      </c>
      <c r="AB428" s="2"/>
      <c r="AC428" s="14">
        <f t="shared" si="103"/>
        <v>16892.069999999978</v>
      </c>
      <c r="AD428" s="15">
        <f>IFERROR(AC428/AC444, "NA")</f>
        <v>4.6099254296072673E-2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9900.9899999999943</v>
      </c>
      <c r="C429" s="15">
        <f>IFERROR(B429/B444, "NA")</f>
        <v>1.6665543117402305E-2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-9900.9899999999943</v>
      </c>
      <c r="I429" s="15">
        <f>IFERROR(H429/H444, "NA")</f>
        <v>0.17170816761827953</v>
      </c>
      <c r="J429" s="2"/>
      <c r="K429" s="14">
        <f>IFERROR(K407+K408+K409+K410+K411+K412+K413+K414+K415+K416+K417+K418+K419+K420+K421+K422+K423+K424+K425+K426+K427, "NA")</f>
        <v>33755.65</v>
      </c>
      <c r="L429" s="15">
        <f>IFERROR(K429/K444, "NA")</f>
        <v>5.9779481625977675E-2</v>
      </c>
      <c r="M429" s="2"/>
      <c r="N429" s="14">
        <f t="shared" si="101"/>
        <v>23854.660000000007</v>
      </c>
      <c r="O429" s="15">
        <f>IFERROR(N429/N444, "NA")</f>
        <v>0.81055727243845288</v>
      </c>
      <c r="P429" s="2"/>
      <c r="Q429" s="14">
        <f>IFERROR(Q407+Q408+Q409+Q410+Q411+Q412+Q413+Q414+Q415+Q416+Q417+Q418+Q419+Q420+Q421+Q422+Q423+Q424+Q425+Q426+Q427, "NA")</f>
        <v>90852.330000000016</v>
      </c>
      <c r="R429" s="15">
        <f>IFERROR(Q429/Q444, "NA")</f>
        <v>3.1803572757791158E-2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-90852.330000000016</v>
      </c>
      <c r="X429" s="15">
        <f>IFERROR(W429/W444, "NA")</f>
        <v>-2.1397197639562009</v>
      </c>
      <c r="Y429" s="2"/>
      <c r="Z429" s="14">
        <f>IFERROR(Z407+Z408+Z409+Z410+Z411+Z412+Z413+Z414+Z415+Z416+Z417+Z418+Z419+Z420+Z421+Z422+Z423+Z424+Z425+Z426+Z427, "NA")</f>
        <v>107744.4</v>
      </c>
      <c r="AA429" s="15">
        <f>IFERROR(Z429/Z444, "NA")</f>
        <v>4.326663330418342E-2</v>
      </c>
      <c r="AB429" s="2"/>
      <c r="AC429" s="14">
        <f t="shared" si="103"/>
        <v>16892.069999999978</v>
      </c>
      <c r="AD429" s="15">
        <f>IFERROR(AC429/AC444, "NA")</f>
        <v>4.6099254296072673E-2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-106620.17999999986</v>
      </c>
      <c r="C443" s="24">
        <f>IFERROR(B443/B444, "NA")</f>
        <v>-0.17946520569914662</v>
      </c>
      <c r="D443" s="25"/>
      <c r="E443" s="23">
        <f>IFERROR(E404-E429-E442, "NA")</f>
        <v>-55718.470000000132</v>
      </c>
      <c r="F443" s="24">
        <f>IFERROR(E443/E444, "NA")</f>
        <v>-8.5489089730689583E-2</v>
      </c>
      <c r="G443" s="25"/>
      <c r="H443" s="23">
        <f>IFERROR(B443-E443, "NA")</f>
        <v>-50901.70999999973</v>
      </c>
      <c r="I443" s="24">
        <f>IFERROR(H443/H444, "NA")</f>
        <v>0.88276418345408025</v>
      </c>
      <c r="J443" s="25"/>
      <c r="K443" s="23">
        <f>IFERROR(K404-K429-K442, "NA")</f>
        <v>-136952.43000000005</v>
      </c>
      <c r="L443" s="24">
        <f>IFERROR(K443/K444, "NA")</f>
        <v>-0.24253555398334786</v>
      </c>
      <c r="M443" s="25"/>
      <c r="N443" s="23">
        <f>IFERROR(B443-K443, "NA")</f>
        <v>30332.250000000189</v>
      </c>
      <c r="O443" s="24">
        <f>IFERROR(N443/N444, "NA")</f>
        <v>1.0306592433898201</v>
      </c>
      <c r="P443" s="25"/>
      <c r="Q443" s="23">
        <f>IFERROR(Q404-Q429-Q442, "NA")</f>
        <v>-695378.81000000029</v>
      </c>
      <c r="R443" s="24">
        <f>IFERROR(Q443/Q444, "NA")</f>
        <v>-0.24342282226621198</v>
      </c>
      <c r="S443" s="25"/>
      <c r="T443" s="23">
        <f>IFERROR(T404-T429-T442, "NA")</f>
        <v>-520379.69000000041</v>
      </c>
      <c r="U443" s="24">
        <f>IFERROR(T443/T444, "NA")</f>
        <v>-0.18491142155585072</v>
      </c>
      <c r="V443" s="25"/>
      <c r="W443" s="23">
        <f>IFERROR(Q443-T443, "NA")</f>
        <v>-174999.11999999988</v>
      </c>
      <c r="X443" s="24">
        <f>IFERROR(W443/W444, "NA")</f>
        <v>-4.1215131823140094</v>
      </c>
      <c r="Y443" s="25"/>
      <c r="Z443" s="23">
        <f>IFERROR(Z404-Z429-Z442, "NA")</f>
        <v>-726940.54999999958</v>
      </c>
      <c r="AA443" s="24">
        <f>IFERROR(Z443/Z444, "NA")</f>
        <v>-0.29191559107286685</v>
      </c>
      <c r="AB443" s="25"/>
      <c r="AC443" s="23">
        <f>IFERROR(Q443-Z443, "NA")</f>
        <v>31561.739999999292</v>
      </c>
      <c r="AD443" s="24">
        <f>IFERROR(AC443/AC444, "NA")</f>
        <v>8.6133474363206994E-2</v>
      </c>
    </row>
    <row r="444" spans="1:30" ht="15.75" hidden="1" x14ac:dyDescent="0.45">
      <c r="A444" s="26" t="s">
        <v>117</v>
      </c>
      <c r="B444" s="7">
        <v>594099.44999999995</v>
      </c>
      <c r="C444" s="27"/>
      <c r="D444" s="9"/>
      <c r="E444" s="7">
        <v>651761.18000000005</v>
      </c>
      <c r="F444" s="27"/>
      <c r="G444" s="9"/>
      <c r="H444" s="10">
        <f>IFERROR(B444-E444, "NA")</f>
        <v>-57661.730000000098</v>
      </c>
      <c r="I444" s="27"/>
      <c r="J444" s="9"/>
      <c r="K444" s="7">
        <v>564669.5</v>
      </c>
      <c r="L444" s="27"/>
      <c r="M444" s="9"/>
      <c r="N444" s="10">
        <f>IFERROR(B444-K444, "NA")</f>
        <v>29429.949999999953</v>
      </c>
      <c r="O444" s="27"/>
      <c r="P444" s="9"/>
      <c r="Q444" s="7">
        <v>2856670.56</v>
      </c>
      <c r="R444" s="27"/>
      <c r="S444" s="9"/>
      <c r="T444" s="7">
        <v>2814210.6399999997</v>
      </c>
      <c r="U444" s="27"/>
      <c r="V444" s="9"/>
      <c r="W444" s="10">
        <f>IFERROR(Q444-T444, "NA")</f>
        <v>42459.920000000391</v>
      </c>
      <c r="X444" s="27"/>
      <c r="Y444" s="9"/>
      <c r="Z444" s="7">
        <v>2490242.29</v>
      </c>
      <c r="AA444" s="27"/>
      <c r="AB444" s="9"/>
      <c r="AC444" s="10">
        <f>IFERROR(Q444-Z444, "NA")</f>
        <v>366428.27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411</v>
      </c>
      <c r="B3" s="31" t="s">
        <v>411</v>
      </c>
      <c r="C3" s="31" t="s">
        <v>411</v>
      </c>
      <c r="D3" s="31" t="s">
        <v>411</v>
      </c>
      <c r="E3" s="31" t="s">
        <v>411</v>
      </c>
      <c r="F3" s="31" t="s">
        <v>411</v>
      </c>
      <c r="G3" s="31" t="s">
        <v>411</v>
      </c>
      <c r="H3" s="31" t="s">
        <v>411</v>
      </c>
      <c r="I3" s="31" t="s">
        <v>411</v>
      </c>
      <c r="J3" s="31" t="s">
        <v>411</v>
      </c>
      <c r="K3" s="31" t="s">
        <v>411</v>
      </c>
      <c r="L3" s="31" t="s">
        <v>411</v>
      </c>
      <c r="M3" s="31" t="s">
        <v>411</v>
      </c>
      <c r="N3" s="31" t="s">
        <v>411</v>
      </c>
      <c r="O3" s="31" t="s">
        <v>411</v>
      </c>
      <c r="P3" s="31" t="s">
        <v>411</v>
      </c>
      <c r="Q3" s="31" t="s">
        <v>411</v>
      </c>
      <c r="R3" s="31" t="s">
        <v>411</v>
      </c>
      <c r="S3" s="31" t="s">
        <v>411</v>
      </c>
      <c r="T3" s="31" t="s">
        <v>411</v>
      </c>
      <c r="U3" s="31" t="s">
        <v>411</v>
      </c>
      <c r="V3" s="31" t="s">
        <v>411</v>
      </c>
      <c r="W3" s="31" t="s">
        <v>411</v>
      </c>
      <c r="X3" s="31" t="s">
        <v>411</v>
      </c>
      <c r="Y3" s="31" t="s">
        <v>411</v>
      </c>
      <c r="Z3" s="31" t="s">
        <v>411</v>
      </c>
      <c r="AA3" s="31" t="s">
        <v>411</v>
      </c>
      <c r="AB3" s="31" t="s">
        <v>411</v>
      </c>
      <c r="AC3" s="31" t="s">
        <v>411</v>
      </c>
      <c r="AD3" s="31" t="s">
        <v>411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 t="str">
        <f>IFERROR(B8/B444, "NA")</f>
        <v>NA</v>
      </c>
      <c r="D8" s="9"/>
      <c r="E8" s="7">
        <v>0</v>
      </c>
      <c r="F8" s="8" t="str">
        <f>IFERROR(E8/E444, "NA")</f>
        <v>NA</v>
      </c>
      <c r="G8" s="9"/>
      <c r="H8" s="10">
        <f>IFERROR(B8-E8, "NA")</f>
        <v>0</v>
      </c>
      <c r="I8" s="8" t="str">
        <f>IFERROR(H8/H444, "NA")</f>
        <v>NA</v>
      </c>
      <c r="J8" s="9"/>
      <c r="K8" s="7">
        <v>0</v>
      </c>
      <c r="L8" s="8" t="str">
        <f>IFERROR(K8/K444, "NA")</f>
        <v>NA</v>
      </c>
      <c r="M8" s="9"/>
      <c r="N8" s="10">
        <f>IFERROR(B8-K8, "NA")</f>
        <v>0</v>
      </c>
      <c r="O8" s="8" t="str">
        <f>IFERROR(N8/N444, "NA")</f>
        <v>NA</v>
      </c>
      <c r="P8" s="9"/>
      <c r="Q8" s="7">
        <v>0</v>
      </c>
      <c r="R8" s="8" t="str">
        <f>IFERROR(Q8/Q444, "NA")</f>
        <v>NA</v>
      </c>
      <c r="S8" s="9"/>
      <c r="T8" s="7">
        <v>0</v>
      </c>
      <c r="U8" s="8" t="str">
        <f>IFERROR(T8/T444, "NA")</f>
        <v>NA</v>
      </c>
      <c r="V8" s="9"/>
      <c r="W8" s="10">
        <f>IFERROR(Q8-T8, "NA")</f>
        <v>0</v>
      </c>
      <c r="X8" s="8" t="str">
        <f>IFERROR(W8/W444, "NA")</f>
        <v>NA</v>
      </c>
      <c r="Y8" s="9"/>
      <c r="Z8" s="7">
        <v>0</v>
      </c>
      <c r="AA8" s="8" t="str">
        <f>IFERROR(Z8/Z444, "NA")</f>
        <v>NA</v>
      </c>
      <c r="AB8" s="9"/>
      <c r="AC8" s="10">
        <f>IFERROR(Q8-Z8, "NA")</f>
        <v>0</v>
      </c>
      <c r="AD8" s="8" t="str">
        <f>IFERROR(AC8/AC444, "NA")</f>
        <v>NA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hidden="1" customHeight="1" x14ac:dyDescent="0.45">
      <c r="A10" s="12" t="s">
        <v>12</v>
      </c>
      <c r="B10" s="7">
        <v>0</v>
      </c>
      <c r="C10" s="8" t="str">
        <f>IFERROR(B10/B444, "NA")</f>
        <v>NA</v>
      </c>
      <c r="D10" s="9"/>
      <c r="E10" s="7">
        <v>0</v>
      </c>
      <c r="F10" s="8" t="str">
        <f>IFERROR(E10/E444, "NA")</f>
        <v>NA</v>
      </c>
      <c r="G10" s="9"/>
      <c r="H10" s="10">
        <f t="shared" ref="H10:H19" si="0">IFERROR(B10-E10, "NA")</f>
        <v>0</v>
      </c>
      <c r="I10" s="8" t="str">
        <f>IFERROR(H10/H444, "NA")</f>
        <v>NA</v>
      </c>
      <c r="J10" s="9"/>
      <c r="K10" s="7">
        <v>0</v>
      </c>
      <c r="L10" s="8" t="str">
        <f>IFERROR(K10/K444, "NA")</f>
        <v>NA</v>
      </c>
      <c r="M10" s="9"/>
      <c r="N10" s="10">
        <f t="shared" ref="N10:N19" si="1">IFERROR(B10-K10, "NA")</f>
        <v>0</v>
      </c>
      <c r="O10" s="8" t="str">
        <f>IFERROR(N10/N444, "NA")</f>
        <v>NA</v>
      </c>
      <c r="P10" s="9"/>
      <c r="Q10" s="7">
        <v>0</v>
      </c>
      <c r="R10" s="8" t="str">
        <f>IFERROR(Q10/Q444, "NA")</f>
        <v>NA</v>
      </c>
      <c r="S10" s="9"/>
      <c r="T10" s="7">
        <v>0</v>
      </c>
      <c r="U10" s="8" t="str">
        <f>IFERROR(T10/T444, "NA")</f>
        <v>NA</v>
      </c>
      <c r="V10" s="9"/>
      <c r="W10" s="10">
        <f t="shared" ref="W10:W19" si="2">IFERROR(Q10-T10, "NA")</f>
        <v>0</v>
      </c>
      <c r="X10" s="8" t="str">
        <f>IFERROR(W10/W444, "NA")</f>
        <v>NA</v>
      </c>
      <c r="Y10" s="9"/>
      <c r="Z10" s="7">
        <v>0</v>
      </c>
      <c r="AA10" s="8" t="str">
        <f>IFERROR(Z10/Z444, "NA")</f>
        <v>NA</v>
      </c>
      <c r="AB10" s="9"/>
      <c r="AC10" s="10">
        <f t="shared" ref="AC10:AC19" si="3">IFERROR(Q10-Z10, "NA")</f>
        <v>0</v>
      </c>
      <c r="AD10" s="8" t="str">
        <f>IFERROR(AC10/AC444, "NA")</f>
        <v>NA</v>
      </c>
    </row>
    <row r="11" spans="1:30" ht="16.5" hidden="1" customHeight="1" x14ac:dyDescent="0.45">
      <c r="A11" s="12" t="s">
        <v>13</v>
      </c>
      <c r="B11" s="7">
        <v>0</v>
      </c>
      <c r="C11" s="8" t="str">
        <f>IFERROR(B11/B444, "NA")</f>
        <v>NA</v>
      </c>
      <c r="D11" s="9"/>
      <c r="E11" s="7">
        <v>0</v>
      </c>
      <c r="F11" s="8" t="str">
        <f>IFERROR(E11/E444, "NA")</f>
        <v>NA</v>
      </c>
      <c r="G11" s="9"/>
      <c r="H11" s="10">
        <f t="shared" si="0"/>
        <v>0</v>
      </c>
      <c r="I11" s="8" t="str">
        <f>IFERROR(H11/H444, "NA")</f>
        <v>NA</v>
      </c>
      <c r="J11" s="9"/>
      <c r="K11" s="7">
        <v>0</v>
      </c>
      <c r="L11" s="8" t="str">
        <f>IFERROR(K11/K444, "NA")</f>
        <v>NA</v>
      </c>
      <c r="M11" s="9"/>
      <c r="N11" s="10">
        <f t="shared" si="1"/>
        <v>0</v>
      </c>
      <c r="O11" s="8" t="str">
        <f>IFERROR(N11/N444, "NA")</f>
        <v>NA</v>
      </c>
      <c r="P11" s="9"/>
      <c r="Q11" s="7">
        <v>0</v>
      </c>
      <c r="R11" s="8" t="str">
        <f>IFERROR(Q11/Q444, "NA")</f>
        <v>NA</v>
      </c>
      <c r="S11" s="9"/>
      <c r="T11" s="7">
        <v>0</v>
      </c>
      <c r="U11" s="8" t="str">
        <f>IFERROR(T11/T444, "NA")</f>
        <v>NA</v>
      </c>
      <c r="V11" s="9"/>
      <c r="W11" s="10">
        <f t="shared" si="2"/>
        <v>0</v>
      </c>
      <c r="X11" s="8" t="str">
        <f>IFERROR(W11/W444, "NA")</f>
        <v>NA</v>
      </c>
      <c r="Y11" s="9"/>
      <c r="Z11" s="7">
        <v>0</v>
      </c>
      <c r="AA11" s="8" t="str">
        <f>IFERROR(Z11/Z444, "NA")</f>
        <v>NA</v>
      </c>
      <c r="AB11" s="9"/>
      <c r="AC11" s="10">
        <f t="shared" si="3"/>
        <v>0</v>
      </c>
      <c r="AD11" s="8" t="str">
        <f>IFERROR(AC11/AC444, "NA")</f>
        <v>NA</v>
      </c>
    </row>
    <row r="12" spans="1:30" ht="16.5" hidden="1" customHeight="1" x14ac:dyDescent="0.45">
      <c r="A12" s="12" t="s">
        <v>14</v>
      </c>
      <c r="B12" s="7">
        <v>0</v>
      </c>
      <c r="C12" s="8" t="str">
        <f>IFERROR(B12/B444, "NA")</f>
        <v>NA</v>
      </c>
      <c r="D12" s="9"/>
      <c r="E12" s="7">
        <v>0</v>
      </c>
      <c r="F12" s="8" t="str">
        <f>IFERROR(E12/E444, "NA")</f>
        <v>NA</v>
      </c>
      <c r="G12" s="9"/>
      <c r="H12" s="10">
        <f t="shared" si="0"/>
        <v>0</v>
      </c>
      <c r="I12" s="8" t="str">
        <f>IFERROR(H12/H444, "NA")</f>
        <v>NA</v>
      </c>
      <c r="J12" s="9"/>
      <c r="K12" s="7">
        <v>0</v>
      </c>
      <c r="L12" s="8" t="str">
        <f>IFERROR(K12/K444, "NA")</f>
        <v>NA</v>
      </c>
      <c r="M12" s="9"/>
      <c r="N12" s="10">
        <f t="shared" si="1"/>
        <v>0</v>
      </c>
      <c r="O12" s="8" t="str">
        <f>IFERROR(N12/N444, "NA")</f>
        <v>NA</v>
      </c>
      <c r="P12" s="9"/>
      <c r="Q12" s="7">
        <v>0</v>
      </c>
      <c r="R12" s="8" t="str">
        <f>IFERROR(Q12/Q444, "NA")</f>
        <v>NA</v>
      </c>
      <c r="S12" s="9"/>
      <c r="T12" s="7">
        <v>0</v>
      </c>
      <c r="U12" s="8" t="str">
        <f>IFERROR(T12/T444, "NA")</f>
        <v>NA</v>
      </c>
      <c r="V12" s="9"/>
      <c r="W12" s="10">
        <f t="shared" si="2"/>
        <v>0</v>
      </c>
      <c r="X12" s="8" t="str">
        <f>IFERROR(W12/W444, "NA")</f>
        <v>NA</v>
      </c>
      <c r="Y12" s="9"/>
      <c r="Z12" s="7">
        <v>0</v>
      </c>
      <c r="AA12" s="8" t="str">
        <f>IFERROR(Z12/Z444, "NA")</f>
        <v>NA</v>
      </c>
      <c r="AB12" s="9"/>
      <c r="AC12" s="10">
        <f t="shared" si="3"/>
        <v>0</v>
      </c>
      <c r="AD12" s="8" t="str">
        <f>IFERROR(AC12/AC444, "NA")</f>
        <v>NA</v>
      </c>
    </row>
    <row r="13" spans="1:30" ht="16.5" hidden="1" customHeight="1" x14ac:dyDescent="0.45">
      <c r="A13" s="12" t="s">
        <v>15</v>
      </c>
      <c r="B13" s="7">
        <v>0</v>
      </c>
      <c r="C13" s="8" t="str">
        <f>IFERROR(B13/B444, "NA")</f>
        <v>NA</v>
      </c>
      <c r="D13" s="9"/>
      <c r="E13" s="7">
        <v>0</v>
      </c>
      <c r="F13" s="8" t="str">
        <f>IFERROR(E13/E444, "NA")</f>
        <v>NA</v>
      </c>
      <c r="G13" s="9"/>
      <c r="H13" s="10">
        <f t="shared" si="0"/>
        <v>0</v>
      </c>
      <c r="I13" s="8" t="str">
        <f>IFERROR(H13/H444, "NA")</f>
        <v>NA</v>
      </c>
      <c r="J13" s="9"/>
      <c r="K13" s="7">
        <v>0</v>
      </c>
      <c r="L13" s="8" t="str">
        <f>IFERROR(K13/K444, "NA")</f>
        <v>NA</v>
      </c>
      <c r="M13" s="9"/>
      <c r="N13" s="10">
        <f t="shared" si="1"/>
        <v>0</v>
      </c>
      <c r="O13" s="8" t="str">
        <f>IFERROR(N13/N444, "NA")</f>
        <v>NA</v>
      </c>
      <c r="P13" s="9"/>
      <c r="Q13" s="7">
        <v>0</v>
      </c>
      <c r="R13" s="8" t="str">
        <f>IFERROR(Q13/Q444, "NA")</f>
        <v>NA</v>
      </c>
      <c r="S13" s="9"/>
      <c r="T13" s="7">
        <v>0</v>
      </c>
      <c r="U13" s="8" t="str">
        <f>IFERROR(T13/T444, "NA")</f>
        <v>NA</v>
      </c>
      <c r="V13" s="9"/>
      <c r="W13" s="10">
        <f t="shared" si="2"/>
        <v>0</v>
      </c>
      <c r="X13" s="8" t="str">
        <f>IFERROR(W13/W444, "NA")</f>
        <v>NA</v>
      </c>
      <c r="Y13" s="9"/>
      <c r="Z13" s="7">
        <v>0</v>
      </c>
      <c r="AA13" s="8" t="str">
        <f>IFERROR(Z13/Z444, "NA")</f>
        <v>NA</v>
      </c>
      <c r="AB13" s="9"/>
      <c r="AC13" s="10">
        <f t="shared" si="3"/>
        <v>0</v>
      </c>
      <c r="AD13" s="8" t="str">
        <f>IFERROR(AC13/AC444, "NA")</f>
        <v>NA</v>
      </c>
    </row>
    <row r="14" spans="1:30" ht="16.5" hidden="1" customHeight="1" x14ac:dyDescent="0.45">
      <c r="A14" s="12" t="s">
        <v>16</v>
      </c>
      <c r="B14" s="7">
        <v>0</v>
      </c>
      <c r="C14" s="8" t="str">
        <f>IFERROR(B14/B444, "NA")</f>
        <v>NA</v>
      </c>
      <c r="D14" s="9"/>
      <c r="E14" s="7">
        <v>0</v>
      </c>
      <c r="F14" s="8" t="str">
        <f>IFERROR(E14/E444, "NA")</f>
        <v>NA</v>
      </c>
      <c r="G14" s="9"/>
      <c r="H14" s="10">
        <f t="shared" si="0"/>
        <v>0</v>
      </c>
      <c r="I14" s="8" t="str">
        <f>IFERROR(H14/H444, "NA")</f>
        <v>NA</v>
      </c>
      <c r="J14" s="9"/>
      <c r="K14" s="7">
        <v>0</v>
      </c>
      <c r="L14" s="8" t="str">
        <f>IFERROR(K14/K444, "NA")</f>
        <v>NA</v>
      </c>
      <c r="M14" s="9"/>
      <c r="N14" s="10">
        <f t="shared" si="1"/>
        <v>0</v>
      </c>
      <c r="O14" s="8" t="str">
        <f>IFERROR(N14/N444, "NA")</f>
        <v>NA</v>
      </c>
      <c r="P14" s="9"/>
      <c r="Q14" s="7">
        <v>0</v>
      </c>
      <c r="R14" s="8" t="str">
        <f>IFERROR(Q14/Q444, "NA")</f>
        <v>NA</v>
      </c>
      <c r="S14" s="9"/>
      <c r="T14" s="7">
        <v>0</v>
      </c>
      <c r="U14" s="8" t="str">
        <f>IFERROR(T14/T444, "NA")</f>
        <v>NA</v>
      </c>
      <c r="V14" s="9"/>
      <c r="W14" s="10">
        <f t="shared" si="2"/>
        <v>0</v>
      </c>
      <c r="X14" s="8" t="str">
        <f>IFERROR(W14/W444, "NA")</f>
        <v>NA</v>
      </c>
      <c r="Y14" s="9"/>
      <c r="Z14" s="7">
        <v>0</v>
      </c>
      <c r="AA14" s="8" t="str">
        <f>IFERROR(Z14/Z444, "NA")</f>
        <v>NA</v>
      </c>
      <c r="AB14" s="9"/>
      <c r="AC14" s="10">
        <f t="shared" si="3"/>
        <v>0</v>
      </c>
      <c r="AD14" s="8" t="str">
        <f>IFERROR(AC14/AC444, "NA")</f>
        <v>NA</v>
      </c>
    </row>
    <row r="15" spans="1:30" ht="16.5" hidden="1" customHeight="1" x14ac:dyDescent="0.45">
      <c r="A15" s="12" t="s">
        <v>17</v>
      </c>
      <c r="B15" s="7">
        <v>0</v>
      </c>
      <c r="C15" s="8" t="str">
        <f>IFERROR(B15/B444, "NA")</f>
        <v>NA</v>
      </c>
      <c r="D15" s="9"/>
      <c r="E15" s="7">
        <v>0</v>
      </c>
      <c r="F15" s="8" t="str">
        <f>IFERROR(E15/E444, "NA")</f>
        <v>NA</v>
      </c>
      <c r="G15" s="9"/>
      <c r="H15" s="10">
        <f t="shared" si="0"/>
        <v>0</v>
      </c>
      <c r="I15" s="8" t="str">
        <f>IFERROR(H15/H444, "NA")</f>
        <v>NA</v>
      </c>
      <c r="J15" s="9"/>
      <c r="K15" s="7">
        <v>0</v>
      </c>
      <c r="L15" s="8" t="str">
        <f>IFERROR(K15/K444, "NA")</f>
        <v>NA</v>
      </c>
      <c r="M15" s="9"/>
      <c r="N15" s="10">
        <f t="shared" si="1"/>
        <v>0</v>
      </c>
      <c r="O15" s="8" t="str">
        <f>IFERROR(N15/N444, "NA")</f>
        <v>NA</v>
      </c>
      <c r="P15" s="9"/>
      <c r="Q15" s="7">
        <v>0</v>
      </c>
      <c r="R15" s="8" t="str">
        <f>IFERROR(Q15/Q444, "NA")</f>
        <v>NA</v>
      </c>
      <c r="S15" s="9"/>
      <c r="T15" s="7">
        <v>0</v>
      </c>
      <c r="U15" s="8" t="str">
        <f>IFERROR(T15/T444, "NA")</f>
        <v>NA</v>
      </c>
      <c r="V15" s="9"/>
      <c r="W15" s="10">
        <f t="shared" si="2"/>
        <v>0</v>
      </c>
      <c r="X15" s="8" t="str">
        <f>IFERROR(W15/W444, "NA")</f>
        <v>NA</v>
      </c>
      <c r="Y15" s="9"/>
      <c r="Z15" s="7">
        <v>0</v>
      </c>
      <c r="AA15" s="8" t="str">
        <f>IFERROR(Z15/Z444, "NA")</f>
        <v>NA</v>
      </c>
      <c r="AB15" s="9"/>
      <c r="AC15" s="10">
        <f t="shared" si="3"/>
        <v>0</v>
      </c>
      <c r="AD15" s="8" t="str">
        <f>IFERROR(AC15/AC444, "NA")</f>
        <v>NA</v>
      </c>
    </row>
    <row r="16" spans="1:30" ht="16.5" hidden="1" customHeight="1" x14ac:dyDescent="0.45">
      <c r="A16" s="12" t="s">
        <v>18</v>
      </c>
      <c r="B16" s="7">
        <v>0</v>
      </c>
      <c r="C16" s="8" t="str">
        <f>IFERROR(B16/B444, "NA")</f>
        <v>NA</v>
      </c>
      <c r="D16" s="9"/>
      <c r="E16" s="7">
        <v>0</v>
      </c>
      <c r="F16" s="8" t="str">
        <f>IFERROR(E16/E444, "NA")</f>
        <v>NA</v>
      </c>
      <c r="G16" s="9"/>
      <c r="H16" s="10">
        <f t="shared" si="0"/>
        <v>0</v>
      </c>
      <c r="I16" s="8" t="str">
        <f>IFERROR(H16/H444, "NA")</f>
        <v>NA</v>
      </c>
      <c r="J16" s="9"/>
      <c r="K16" s="7">
        <v>0</v>
      </c>
      <c r="L16" s="8" t="str">
        <f>IFERROR(K16/K444, "NA")</f>
        <v>NA</v>
      </c>
      <c r="M16" s="9"/>
      <c r="N16" s="10">
        <f t="shared" si="1"/>
        <v>0</v>
      </c>
      <c r="O16" s="8" t="str">
        <f>IFERROR(N16/N444, "NA")</f>
        <v>NA</v>
      </c>
      <c r="P16" s="9"/>
      <c r="Q16" s="7">
        <v>0</v>
      </c>
      <c r="R16" s="8" t="str">
        <f>IFERROR(Q16/Q444, "NA")</f>
        <v>NA</v>
      </c>
      <c r="S16" s="9"/>
      <c r="T16" s="7">
        <v>0</v>
      </c>
      <c r="U16" s="8" t="str">
        <f>IFERROR(T16/T444, "NA")</f>
        <v>NA</v>
      </c>
      <c r="V16" s="9"/>
      <c r="W16" s="10">
        <f t="shared" si="2"/>
        <v>0</v>
      </c>
      <c r="X16" s="8" t="str">
        <f>IFERROR(W16/W444, "NA")</f>
        <v>NA</v>
      </c>
      <c r="Y16" s="9"/>
      <c r="Z16" s="7">
        <v>0</v>
      </c>
      <c r="AA16" s="8" t="str">
        <f>IFERROR(Z16/Z444, "NA")</f>
        <v>NA</v>
      </c>
      <c r="AB16" s="9"/>
      <c r="AC16" s="10">
        <f t="shared" si="3"/>
        <v>0</v>
      </c>
      <c r="AD16" s="8" t="str">
        <f>IFERROR(AC16/AC444, "NA")</f>
        <v>NA</v>
      </c>
    </row>
    <row r="17" spans="1:30" ht="16.5" hidden="1" customHeight="1" x14ac:dyDescent="0.45">
      <c r="A17" s="12" t="s">
        <v>19</v>
      </c>
      <c r="B17" s="7">
        <v>0</v>
      </c>
      <c r="C17" s="8" t="str">
        <f>IFERROR(B17/B444, "NA")</f>
        <v>NA</v>
      </c>
      <c r="D17" s="9"/>
      <c r="E17" s="7">
        <v>0</v>
      </c>
      <c r="F17" s="8" t="str">
        <f>IFERROR(E17/E444, "NA")</f>
        <v>NA</v>
      </c>
      <c r="G17" s="9"/>
      <c r="H17" s="10">
        <f t="shared" si="0"/>
        <v>0</v>
      </c>
      <c r="I17" s="8" t="str">
        <f>IFERROR(H17/H444, "NA")</f>
        <v>NA</v>
      </c>
      <c r="J17" s="9"/>
      <c r="K17" s="7">
        <v>0</v>
      </c>
      <c r="L17" s="8" t="str">
        <f>IFERROR(K17/K444, "NA")</f>
        <v>NA</v>
      </c>
      <c r="M17" s="9"/>
      <c r="N17" s="10">
        <f t="shared" si="1"/>
        <v>0</v>
      </c>
      <c r="O17" s="8" t="str">
        <f>IFERROR(N17/N444, "NA")</f>
        <v>NA</v>
      </c>
      <c r="P17" s="9"/>
      <c r="Q17" s="7">
        <v>0</v>
      </c>
      <c r="R17" s="8" t="str">
        <f>IFERROR(Q17/Q444, "NA")</f>
        <v>NA</v>
      </c>
      <c r="S17" s="9"/>
      <c r="T17" s="7">
        <v>0</v>
      </c>
      <c r="U17" s="8" t="str">
        <f>IFERROR(T17/T444, "NA")</f>
        <v>NA</v>
      </c>
      <c r="V17" s="9"/>
      <c r="W17" s="10">
        <f t="shared" si="2"/>
        <v>0</v>
      </c>
      <c r="X17" s="8" t="str">
        <f>IFERROR(W17/W444, "NA")</f>
        <v>NA</v>
      </c>
      <c r="Y17" s="9"/>
      <c r="Z17" s="7">
        <v>0</v>
      </c>
      <c r="AA17" s="8" t="str">
        <f>IFERROR(Z17/Z444, "NA")</f>
        <v>NA</v>
      </c>
      <c r="AB17" s="9"/>
      <c r="AC17" s="10">
        <f t="shared" si="3"/>
        <v>0</v>
      </c>
      <c r="AD17" s="8" t="str">
        <f>IFERROR(AC17/AC444, "NA")</f>
        <v>NA</v>
      </c>
    </row>
    <row r="18" spans="1:30" ht="16.5" customHeight="1" x14ac:dyDescent="0.45">
      <c r="A18" s="13" t="s">
        <v>20</v>
      </c>
      <c r="B18" s="14">
        <f>IFERROR(B10+B11+B12+B13+B14+B15+B16+B17, "NA")</f>
        <v>0</v>
      </c>
      <c r="C18" s="15" t="str">
        <f>IFERROR(B18/B444, "NA")</f>
        <v>NA</v>
      </c>
      <c r="D18" s="2"/>
      <c r="E18" s="14">
        <f>IFERROR(E10+E11+E12+E13+E14+E15+E16+E17, "NA")</f>
        <v>0</v>
      </c>
      <c r="F18" s="15" t="str">
        <f>IFERROR(E18/E444, "NA")</f>
        <v>NA</v>
      </c>
      <c r="G18" s="2"/>
      <c r="H18" s="14">
        <f t="shared" si="0"/>
        <v>0</v>
      </c>
      <c r="I18" s="15" t="str">
        <f>IFERROR(H18/H444, "NA")</f>
        <v>NA</v>
      </c>
      <c r="J18" s="2"/>
      <c r="K18" s="14">
        <f>IFERROR(K10+K11+K12+K13+K14+K15+K16+K17, "NA")</f>
        <v>0</v>
      </c>
      <c r="L18" s="15" t="str">
        <f>IFERROR(K18/K444, "NA")</f>
        <v>NA</v>
      </c>
      <c r="M18" s="2"/>
      <c r="N18" s="14">
        <f t="shared" si="1"/>
        <v>0</v>
      </c>
      <c r="O18" s="15" t="str">
        <f>IFERROR(N18/N444, "NA")</f>
        <v>NA</v>
      </c>
      <c r="P18" s="2"/>
      <c r="Q18" s="14">
        <f>IFERROR(Q10+Q11+Q12+Q13+Q14+Q15+Q16+Q17, "NA")</f>
        <v>0</v>
      </c>
      <c r="R18" s="15" t="str">
        <f>IFERROR(Q18/Q444, "NA")</f>
        <v>NA</v>
      </c>
      <c r="S18" s="2"/>
      <c r="T18" s="14">
        <f>IFERROR(T10+T11+T12+T13+T14+T15+T16+T17, "NA")</f>
        <v>0</v>
      </c>
      <c r="U18" s="15" t="str">
        <f>IFERROR(T18/T444, "NA")</f>
        <v>NA</v>
      </c>
      <c r="V18" s="2"/>
      <c r="W18" s="14">
        <f t="shared" si="2"/>
        <v>0</v>
      </c>
      <c r="X18" s="15" t="str">
        <f>IFERROR(W18/W444, "NA")</f>
        <v>NA</v>
      </c>
      <c r="Y18" s="2"/>
      <c r="Z18" s="14">
        <f>IFERROR(Z10+Z11+Z12+Z13+Z14+Z15+Z16+Z17, "NA")</f>
        <v>0</v>
      </c>
      <c r="AA18" s="15" t="str">
        <f>IFERROR(Z18/Z444, "NA")</f>
        <v>NA</v>
      </c>
      <c r="AB18" s="2"/>
      <c r="AC18" s="14">
        <f t="shared" si="3"/>
        <v>0</v>
      </c>
      <c r="AD18" s="15" t="str">
        <f>IFERROR(AC18/AC444, "NA")</f>
        <v>NA</v>
      </c>
    </row>
    <row r="19" spans="1:30" ht="16.5" hidden="1" customHeight="1" x14ac:dyDescent="0.45">
      <c r="A19" s="6" t="s">
        <v>21</v>
      </c>
      <c r="B19" s="7">
        <v>0</v>
      </c>
      <c r="C19" s="8" t="str">
        <f>IFERROR(B19/B444, "NA")</f>
        <v>NA</v>
      </c>
      <c r="D19" s="9"/>
      <c r="E19" s="7">
        <v>0</v>
      </c>
      <c r="F19" s="8" t="str">
        <f>IFERROR(E19/E444, "NA")</f>
        <v>NA</v>
      </c>
      <c r="G19" s="9"/>
      <c r="H19" s="10">
        <f t="shared" si="0"/>
        <v>0</v>
      </c>
      <c r="I19" s="8" t="str">
        <f>IFERROR(H19/H444, "NA")</f>
        <v>NA</v>
      </c>
      <c r="J19" s="9"/>
      <c r="K19" s="7">
        <v>0</v>
      </c>
      <c r="L19" s="8" t="str">
        <f>IFERROR(K19/K444, "NA")</f>
        <v>NA</v>
      </c>
      <c r="M19" s="9"/>
      <c r="N19" s="10">
        <f t="shared" si="1"/>
        <v>0</v>
      </c>
      <c r="O19" s="8" t="str">
        <f>IFERROR(N19/N444, "NA")</f>
        <v>NA</v>
      </c>
      <c r="P19" s="9"/>
      <c r="Q19" s="7">
        <v>0</v>
      </c>
      <c r="R19" s="8" t="str">
        <f>IFERROR(Q19/Q444, "NA")</f>
        <v>NA</v>
      </c>
      <c r="S19" s="9"/>
      <c r="T19" s="7">
        <v>0</v>
      </c>
      <c r="U19" s="8" t="str">
        <f>IFERROR(T19/T444, "NA")</f>
        <v>NA</v>
      </c>
      <c r="V19" s="9"/>
      <c r="W19" s="10">
        <f t="shared" si="2"/>
        <v>0</v>
      </c>
      <c r="X19" s="8" t="str">
        <f>IFERROR(W19/W444, "NA")</f>
        <v>NA</v>
      </c>
      <c r="Y19" s="9"/>
      <c r="Z19" s="7">
        <v>0</v>
      </c>
      <c r="AA19" s="8" t="str">
        <f>IFERROR(Z19/Z444, "NA")</f>
        <v>NA</v>
      </c>
      <c r="AB19" s="9"/>
      <c r="AC19" s="10">
        <f t="shared" si="3"/>
        <v>0</v>
      </c>
      <c r="AD19" s="8" t="str">
        <f>IFERROR(AC19/AC444, "NA")</f>
        <v>NA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hidden="1" customHeight="1" x14ac:dyDescent="0.45">
      <c r="A21" s="12" t="s">
        <v>22</v>
      </c>
      <c r="B21" s="7">
        <v>0</v>
      </c>
      <c r="C21" s="8" t="str">
        <f>IFERROR(B21/B444, "NA")</f>
        <v>NA</v>
      </c>
      <c r="D21" s="9"/>
      <c r="E21" s="7">
        <v>0</v>
      </c>
      <c r="F21" s="8" t="str">
        <f>IFERROR(E21/E444, "NA")</f>
        <v>NA</v>
      </c>
      <c r="G21" s="9"/>
      <c r="H21" s="10">
        <f t="shared" ref="H21:H29" si="4">IFERROR(B21-E21, "NA")</f>
        <v>0</v>
      </c>
      <c r="I21" s="8" t="str">
        <f>IFERROR(H21/H444, "NA")</f>
        <v>NA</v>
      </c>
      <c r="J21" s="9"/>
      <c r="K21" s="7">
        <v>0</v>
      </c>
      <c r="L21" s="8" t="str">
        <f>IFERROR(K21/K444, "NA")</f>
        <v>NA</v>
      </c>
      <c r="M21" s="9"/>
      <c r="N21" s="10">
        <f t="shared" ref="N21:N29" si="5">IFERROR(B21-K21, "NA")</f>
        <v>0</v>
      </c>
      <c r="O21" s="8" t="str">
        <f>IFERROR(N21/N444, "NA")</f>
        <v>NA</v>
      </c>
      <c r="P21" s="9"/>
      <c r="Q21" s="7">
        <v>0</v>
      </c>
      <c r="R21" s="8" t="str">
        <f>IFERROR(Q21/Q444, "NA")</f>
        <v>NA</v>
      </c>
      <c r="S21" s="9"/>
      <c r="T21" s="7">
        <v>0</v>
      </c>
      <c r="U21" s="8" t="str">
        <f>IFERROR(T21/T444, "NA")</f>
        <v>NA</v>
      </c>
      <c r="V21" s="9"/>
      <c r="W21" s="10">
        <f t="shared" ref="W21:W29" si="6">IFERROR(Q21-T21, "NA")</f>
        <v>0</v>
      </c>
      <c r="X21" s="8" t="str">
        <f>IFERROR(W21/W444, "NA")</f>
        <v>NA</v>
      </c>
      <c r="Y21" s="9"/>
      <c r="Z21" s="7">
        <v>0</v>
      </c>
      <c r="AA21" s="8" t="str">
        <f>IFERROR(Z21/Z444, "NA")</f>
        <v>NA</v>
      </c>
      <c r="AB21" s="9"/>
      <c r="AC21" s="10">
        <f t="shared" ref="AC21:AC29" si="7">IFERROR(Q21-Z21, "NA")</f>
        <v>0</v>
      </c>
      <c r="AD21" s="8" t="str">
        <f>IFERROR(AC21/AC444, "NA")</f>
        <v>NA</v>
      </c>
    </row>
    <row r="22" spans="1:30" ht="16.5" hidden="1" customHeight="1" x14ac:dyDescent="0.45">
      <c r="A22" s="12" t="s">
        <v>23</v>
      </c>
      <c r="B22" s="7">
        <v>0</v>
      </c>
      <c r="C22" s="8" t="str">
        <f>IFERROR(B22/B444, "NA")</f>
        <v>NA</v>
      </c>
      <c r="D22" s="9"/>
      <c r="E22" s="7">
        <v>0</v>
      </c>
      <c r="F22" s="8" t="str">
        <f>IFERROR(E22/E444, "NA")</f>
        <v>NA</v>
      </c>
      <c r="G22" s="9"/>
      <c r="H22" s="10">
        <f t="shared" si="4"/>
        <v>0</v>
      </c>
      <c r="I22" s="8" t="str">
        <f>IFERROR(H22/H444, "NA")</f>
        <v>NA</v>
      </c>
      <c r="J22" s="9"/>
      <c r="K22" s="7">
        <v>0</v>
      </c>
      <c r="L22" s="8" t="str">
        <f>IFERROR(K22/K444, "NA")</f>
        <v>NA</v>
      </c>
      <c r="M22" s="9"/>
      <c r="N22" s="10">
        <f t="shared" si="5"/>
        <v>0</v>
      </c>
      <c r="O22" s="8" t="str">
        <f>IFERROR(N22/N444, "NA")</f>
        <v>NA</v>
      </c>
      <c r="P22" s="9"/>
      <c r="Q22" s="7">
        <v>0</v>
      </c>
      <c r="R22" s="8" t="str">
        <f>IFERROR(Q22/Q444, "NA")</f>
        <v>NA</v>
      </c>
      <c r="S22" s="9"/>
      <c r="T22" s="7">
        <v>0</v>
      </c>
      <c r="U22" s="8" t="str">
        <f>IFERROR(T22/T444, "NA")</f>
        <v>NA</v>
      </c>
      <c r="V22" s="9"/>
      <c r="W22" s="10">
        <f t="shared" si="6"/>
        <v>0</v>
      </c>
      <c r="X22" s="8" t="str">
        <f>IFERROR(W22/W444, "NA")</f>
        <v>NA</v>
      </c>
      <c r="Y22" s="9"/>
      <c r="Z22" s="7">
        <v>0</v>
      </c>
      <c r="AA22" s="8" t="str">
        <f>IFERROR(Z22/Z444, "NA")</f>
        <v>NA</v>
      </c>
      <c r="AB22" s="9"/>
      <c r="AC22" s="10">
        <f t="shared" si="7"/>
        <v>0</v>
      </c>
      <c r="AD22" s="8" t="str">
        <f>IFERROR(AC22/AC444, "NA")</f>
        <v>NA</v>
      </c>
    </row>
    <row r="23" spans="1:30" ht="16.5" hidden="1" customHeight="1" x14ac:dyDescent="0.45">
      <c r="A23" s="12" t="s">
        <v>24</v>
      </c>
      <c r="B23" s="7">
        <v>0</v>
      </c>
      <c r="C23" s="8" t="str">
        <f>IFERROR(B23/B444, "NA")</f>
        <v>NA</v>
      </c>
      <c r="D23" s="9"/>
      <c r="E23" s="7">
        <v>0</v>
      </c>
      <c r="F23" s="8" t="str">
        <f>IFERROR(E23/E444, "NA")</f>
        <v>NA</v>
      </c>
      <c r="G23" s="9"/>
      <c r="H23" s="10">
        <f t="shared" si="4"/>
        <v>0</v>
      </c>
      <c r="I23" s="8" t="str">
        <f>IFERROR(H23/H444, "NA")</f>
        <v>NA</v>
      </c>
      <c r="J23" s="9"/>
      <c r="K23" s="7">
        <v>0</v>
      </c>
      <c r="L23" s="8" t="str">
        <f>IFERROR(K23/K444, "NA")</f>
        <v>NA</v>
      </c>
      <c r="M23" s="9"/>
      <c r="N23" s="10">
        <f t="shared" si="5"/>
        <v>0</v>
      </c>
      <c r="O23" s="8" t="str">
        <f>IFERROR(N23/N444, "NA")</f>
        <v>NA</v>
      </c>
      <c r="P23" s="9"/>
      <c r="Q23" s="7">
        <v>0</v>
      </c>
      <c r="R23" s="8" t="str">
        <f>IFERROR(Q23/Q444, "NA")</f>
        <v>NA</v>
      </c>
      <c r="S23" s="9"/>
      <c r="T23" s="7">
        <v>0</v>
      </c>
      <c r="U23" s="8" t="str">
        <f>IFERROR(T23/T444, "NA")</f>
        <v>NA</v>
      </c>
      <c r="V23" s="9"/>
      <c r="W23" s="10">
        <f t="shared" si="6"/>
        <v>0</v>
      </c>
      <c r="X23" s="8" t="str">
        <f>IFERROR(W23/W444, "NA")</f>
        <v>NA</v>
      </c>
      <c r="Y23" s="9"/>
      <c r="Z23" s="7">
        <v>0</v>
      </c>
      <c r="AA23" s="8" t="str">
        <f>IFERROR(Z23/Z444, "NA")</f>
        <v>NA</v>
      </c>
      <c r="AB23" s="9"/>
      <c r="AC23" s="10">
        <f t="shared" si="7"/>
        <v>0</v>
      </c>
      <c r="AD23" s="8" t="str">
        <f>IFERROR(AC23/AC444, "NA")</f>
        <v>NA</v>
      </c>
    </row>
    <row r="24" spans="1:30" ht="16.5" hidden="1" customHeight="1" x14ac:dyDescent="0.45">
      <c r="A24" s="12" t="s">
        <v>25</v>
      </c>
      <c r="B24" s="7">
        <v>0</v>
      </c>
      <c r="C24" s="8" t="str">
        <f>IFERROR(B24/B444, "NA")</f>
        <v>NA</v>
      </c>
      <c r="D24" s="9"/>
      <c r="E24" s="7">
        <v>0</v>
      </c>
      <c r="F24" s="8" t="str">
        <f>IFERROR(E24/E444, "NA")</f>
        <v>NA</v>
      </c>
      <c r="G24" s="9"/>
      <c r="H24" s="10">
        <f t="shared" si="4"/>
        <v>0</v>
      </c>
      <c r="I24" s="8" t="str">
        <f>IFERROR(H24/H444, "NA")</f>
        <v>NA</v>
      </c>
      <c r="J24" s="9"/>
      <c r="K24" s="7">
        <v>0</v>
      </c>
      <c r="L24" s="8" t="str">
        <f>IFERROR(K24/K444, "NA")</f>
        <v>NA</v>
      </c>
      <c r="M24" s="9"/>
      <c r="N24" s="10">
        <f t="shared" si="5"/>
        <v>0</v>
      </c>
      <c r="O24" s="8" t="str">
        <f>IFERROR(N24/N444, "NA")</f>
        <v>NA</v>
      </c>
      <c r="P24" s="9"/>
      <c r="Q24" s="7">
        <v>0</v>
      </c>
      <c r="R24" s="8" t="str">
        <f>IFERROR(Q24/Q444, "NA")</f>
        <v>NA</v>
      </c>
      <c r="S24" s="9"/>
      <c r="T24" s="7">
        <v>0</v>
      </c>
      <c r="U24" s="8" t="str">
        <f>IFERROR(T24/T444, "NA")</f>
        <v>NA</v>
      </c>
      <c r="V24" s="9"/>
      <c r="W24" s="10">
        <f t="shared" si="6"/>
        <v>0</v>
      </c>
      <c r="X24" s="8" t="str">
        <f>IFERROR(W24/W444, "NA")</f>
        <v>NA</v>
      </c>
      <c r="Y24" s="9"/>
      <c r="Z24" s="7">
        <v>0</v>
      </c>
      <c r="AA24" s="8" t="str">
        <f>IFERROR(Z24/Z444, "NA")</f>
        <v>NA</v>
      </c>
      <c r="AB24" s="9"/>
      <c r="AC24" s="10">
        <f t="shared" si="7"/>
        <v>0</v>
      </c>
      <c r="AD24" s="8" t="str">
        <f>IFERROR(AC24/AC444, "NA")</f>
        <v>NA</v>
      </c>
    </row>
    <row r="25" spans="1:30" ht="16.5" hidden="1" customHeight="1" x14ac:dyDescent="0.45">
      <c r="A25" s="12" t="s">
        <v>26</v>
      </c>
      <c r="B25" s="7">
        <v>0</v>
      </c>
      <c r="C25" s="8" t="str">
        <f>IFERROR(B25/B444, "NA")</f>
        <v>NA</v>
      </c>
      <c r="D25" s="9"/>
      <c r="E25" s="7">
        <v>0</v>
      </c>
      <c r="F25" s="8" t="str">
        <f>IFERROR(E25/E444, "NA")</f>
        <v>NA</v>
      </c>
      <c r="G25" s="9"/>
      <c r="H25" s="10">
        <f t="shared" si="4"/>
        <v>0</v>
      </c>
      <c r="I25" s="8" t="str">
        <f>IFERROR(H25/H444, "NA")</f>
        <v>NA</v>
      </c>
      <c r="J25" s="9"/>
      <c r="K25" s="7">
        <v>0</v>
      </c>
      <c r="L25" s="8" t="str">
        <f>IFERROR(K25/K444, "NA")</f>
        <v>NA</v>
      </c>
      <c r="M25" s="9"/>
      <c r="N25" s="10">
        <f t="shared" si="5"/>
        <v>0</v>
      </c>
      <c r="O25" s="8" t="str">
        <f>IFERROR(N25/N444, "NA")</f>
        <v>NA</v>
      </c>
      <c r="P25" s="9"/>
      <c r="Q25" s="7">
        <v>0</v>
      </c>
      <c r="R25" s="8" t="str">
        <f>IFERROR(Q25/Q444, "NA")</f>
        <v>NA</v>
      </c>
      <c r="S25" s="9"/>
      <c r="T25" s="7">
        <v>0</v>
      </c>
      <c r="U25" s="8" t="str">
        <f>IFERROR(T25/T444, "NA")</f>
        <v>NA</v>
      </c>
      <c r="V25" s="9"/>
      <c r="W25" s="10">
        <f t="shared" si="6"/>
        <v>0</v>
      </c>
      <c r="X25" s="8" t="str">
        <f>IFERROR(W25/W444, "NA")</f>
        <v>NA</v>
      </c>
      <c r="Y25" s="9"/>
      <c r="Z25" s="7">
        <v>0</v>
      </c>
      <c r="AA25" s="8" t="str">
        <f>IFERROR(Z25/Z444, "NA")</f>
        <v>NA</v>
      </c>
      <c r="AB25" s="9"/>
      <c r="AC25" s="10">
        <f t="shared" si="7"/>
        <v>0</v>
      </c>
      <c r="AD25" s="8" t="str">
        <f>IFERROR(AC25/AC444, "NA")</f>
        <v>NA</v>
      </c>
    </row>
    <row r="26" spans="1:30" ht="16.5" hidden="1" customHeight="1" x14ac:dyDescent="0.45">
      <c r="A26" s="12" t="s">
        <v>27</v>
      </c>
      <c r="B26" s="7">
        <v>0</v>
      </c>
      <c r="C26" s="8" t="str">
        <f>IFERROR(B26/B444, "NA")</f>
        <v>NA</v>
      </c>
      <c r="D26" s="9"/>
      <c r="E26" s="7">
        <v>0</v>
      </c>
      <c r="F26" s="8" t="str">
        <f>IFERROR(E26/E444, "NA")</f>
        <v>NA</v>
      </c>
      <c r="G26" s="9"/>
      <c r="H26" s="10">
        <f t="shared" si="4"/>
        <v>0</v>
      </c>
      <c r="I26" s="8" t="str">
        <f>IFERROR(H26/H444, "NA")</f>
        <v>NA</v>
      </c>
      <c r="J26" s="9"/>
      <c r="K26" s="7">
        <v>0</v>
      </c>
      <c r="L26" s="8" t="str">
        <f>IFERROR(K26/K444, "NA")</f>
        <v>NA</v>
      </c>
      <c r="M26" s="9"/>
      <c r="N26" s="10">
        <f t="shared" si="5"/>
        <v>0</v>
      </c>
      <c r="O26" s="8" t="str">
        <f>IFERROR(N26/N444, "NA")</f>
        <v>NA</v>
      </c>
      <c r="P26" s="9"/>
      <c r="Q26" s="7">
        <v>0</v>
      </c>
      <c r="R26" s="8" t="str">
        <f>IFERROR(Q26/Q444, "NA")</f>
        <v>NA</v>
      </c>
      <c r="S26" s="9"/>
      <c r="T26" s="7">
        <v>0</v>
      </c>
      <c r="U26" s="8" t="str">
        <f>IFERROR(T26/T444, "NA")</f>
        <v>NA</v>
      </c>
      <c r="V26" s="9"/>
      <c r="W26" s="10">
        <f t="shared" si="6"/>
        <v>0</v>
      </c>
      <c r="X26" s="8" t="str">
        <f>IFERROR(W26/W444, "NA")</f>
        <v>NA</v>
      </c>
      <c r="Y26" s="9"/>
      <c r="Z26" s="7">
        <v>0</v>
      </c>
      <c r="AA26" s="8" t="str">
        <f>IFERROR(Z26/Z444, "NA")</f>
        <v>NA</v>
      </c>
      <c r="AB26" s="9"/>
      <c r="AC26" s="10">
        <f t="shared" si="7"/>
        <v>0</v>
      </c>
      <c r="AD26" s="8" t="str">
        <f>IFERROR(AC26/AC444, "NA")</f>
        <v>NA</v>
      </c>
    </row>
    <row r="27" spans="1:30" ht="16.5" hidden="1" customHeight="1" x14ac:dyDescent="0.45">
      <c r="A27" s="12" t="s">
        <v>28</v>
      </c>
      <c r="B27" s="7">
        <v>0</v>
      </c>
      <c r="C27" s="8" t="str">
        <f>IFERROR(B27/B444, "NA")</f>
        <v>NA</v>
      </c>
      <c r="D27" s="9"/>
      <c r="E27" s="7">
        <v>0</v>
      </c>
      <c r="F27" s="8" t="str">
        <f>IFERROR(E27/E444, "NA")</f>
        <v>NA</v>
      </c>
      <c r="G27" s="9"/>
      <c r="H27" s="10">
        <f t="shared" si="4"/>
        <v>0</v>
      </c>
      <c r="I27" s="8" t="str">
        <f>IFERROR(H27/H444, "NA")</f>
        <v>NA</v>
      </c>
      <c r="J27" s="9"/>
      <c r="K27" s="7">
        <v>0</v>
      </c>
      <c r="L27" s="8" t="str">
        <f>IFERROR(K27/K444, "NA")</f>
        <v>NA</v>
      </c>
      <c r="M27" s="9"/>
      <c r="N27" s="10">
        <f t="shared" si="5"/>
        <v>0</v>
      </c>
      <c r="O27" s="8" t="str">
        <f>IFERROR(N27/N444, "NA")</f>
        <v>NA</v>
      </c>
      <c r="P27" s="9"/>
      <c r="Q27" s="7">
        <v>0</v>
      </c>
      <c r="R27" s="8" t="str">
        <f>IFERROR(Q27/Q444, "NA")</f>
        <v>NA</v>
      </c>
      <c r="S27" s="9"/>
      <c r="T27" s="7">
        <v>0</v>
      </c>
      <c r="U27" s="8" t="str">
        <f>IFERROR(T27/T444, "NA")</f>
        <v>NA</v>
      </c>
      <c r="V27" s="9"/>
      <c r="W27" s="10">
        <f t="shared" si="6"/>
        <v>0</v>
      </c>
      <c r="X27" s="8" t="str">
        <f>IFERROR(W27/W444, "NA")</f>
        <v>NA</v>
      </c>
      <c r="Y27" s="9"/>
      <c r="Z27" s="7">
        <v>0</v>
      </c>
      <c r="AA27" s="8" t="str">
        <f>IFERROR(Z27/Z444, "NA")</f>
        <v>NA</v>
      </c>
      <c r="AB27" s="9"/>
      <c r="AC27" s="10">
        <f t="shared" si="7"/>
        <v>0</v>
      </c>
      <c r="AD27" s="8" t="str">
        <f>IFERROR(AC27/AC444, "NA")</f>
        <v>NA</v>
      </c>
    </row>
    <row r="28" spans="1:30" ht="16.5" hidden="1" customHeight="1" x14ac:dyDescent="0.45">
      <c r="A28" s="12" t="s">
        <v>29</v>
      </c>
      <c r="B28" s="7">
        <v>0</v>
      </c>
      <c r="C28" s="8" t="str">
        <f>IFERROR(B28/B444, "NA")</f>
        <v>NA</v>
      </c>
      <c r="D28" s="9"/>
      <c r="E28" s="7">
        <v>0</v>
      </c>
      <c r="F28" s="8" t="str">
        <f>IFERROR(E28/E444, "NA")</f>
        <v>NA</v>
      </c>
      <c r="G28" s="9"/>
      <c r="H28" s="10">
        <f t="shared" si="4"/>
        <v>0</v>
      </c>
      <c r="I28" s="8" t="str">
        <f>IFERROR(H28/H444, "NA")</f>
        <v>NA</v>
      </c>
      <c r="J28" s="9"/>
      <c r="K28" s="7">
        <v>0</v>
      </c>
      <c r="L28" s="8" t="str">
        <f>IFERROR(K28/K444, "NA")</f>
        <v>NA</v>
      </c>
      <c r="M28" s="9"/>
      <c r="N28" s="10">
        <f t="shared" si="5"/>
        <v>0</v>
      </c>
      <c r="O28" s="8" t="str">
        <f>IFERROR(N28/N444, "NA")</f>
        <v>NA</v>
      </c>
      <c r="P28" s="9"/>
      <c r="Q28" s="7">
        <v>0</v>
      </c>
      <c r="R28" s="8" t="str">
        <f>IFERROR(Q28/Q444, "NA")</f>
        <v>NA</v>
      </c>
      <c r="S28" s="9"/>
      <c r="T28" s="7">
        <v>0</v>
      </c>
      <c r="U28" s="8" t="str">
        <f>IFERROR(T28/T444, "NA")</f>
        <v>NA</v>
      </c>
      <c r="V28" s="9"/>
      <c r="W28" s="10">
        <f t="shared" si="6"/>
        <v>0</v>
      </c>
      <c r="X28" s="8" t="str">
        <f>IFERROR(W28/W444, "NA")</f>
        <v>NA</v>
      </c>
      <c r="Y28" s="9"/>
      <c r="Z28" s="7">
        <v>0</v>
      </c>
      <c r="AA28" s="8" t="str">
        <f>IFERROR(Z28/Z444, "NA")</f>
        <v>NA</v>
      </c>
      <c r="AB28" s="9"/>
      <c r="AC28" s="10">
        <f t="shared" si="7"/>
        <v>0</v>
      </c>
      <c r="AD28" s="8" t="str">
        <f>IFERROR(AC28/AC444, "NA")</f>
        <v>NA</v>
      </c>
    </row>
    <row r="29" spans="1:30" ht="16.5" customHeight="1" x14ac:dyDescent="0.45">
      <c r="A29" s="13" t="s">
        <v>30</v>
      </c>
      <c r="B29" s="14">
        <f>IFERROR(B21+B22+B23+B24+B25+B26+B27+B28, "NA")</f>
        <v>0</v>
      </c>
      <c r="C29" s="15" t="str">
        <f>IFERROR(B29/B444, "NA")</f>
        <v>NA</v>
      </c>
      <c r="D29" s="2"/>
      <c r="E29" s="14">
        <f>IFERROR(E21+E22+E23+E24+E25+E26+E27+E28, "NA")</f>
        <v>0</v>
      </c>
      <c r="F29" s="15" t="str">
        <f>IFERROR(E29/E444, "NA")</f>
        <v>NA</v>
      </c>
      <c r="G29" s="2"/>
      <c r="H29" s="14">
        <f t="shared" si="4"/>
        <v>0</v>
      </c>
      <c r="I29" s="15" t="str">
        <f>IFERROR(H29/H444, "NA")</f>
        <v>NA</v>
      </c>
      <c r="J29" s="2"/>
      <c r="K29" s="14">
        <f>IFERROR(K21+K22+K23+K24+K25+K26+K27+K28, "NA")</f>
        <v>0</v>
      </c>
      <c r="L29" s="15" t="str">
        <f>IFERROR(K29/K444, "NA")</f>
        <v>NA</v>
      </c>
      <c r="M29" s="2"/>
      <c r="N29" s="14">
        <f t="shared" si="5"/>
        <v>0</v>
      </c>
      <c r="O29" s="15" t="str">
        <f>IFERROR(N29/N444, "NA")</f>
        <v>NA</v>
      </c>
      <c r="P29" s="2"/>
      <c r="Q29" s="14">
        <f>IFERROR(Q21+Q22+Q23+Q24+Q25+Q26+Q27+Q28, "NA")</f>
        <v>0</v>
      </c>
      <c r="R29" s="15" t="str">
        <f>IFERROR(Q29/Q444, "NA")</f>
        <v>NA</v>
      </c>
      <c r="S29" s="2"/>
      <c r="T29" s="14">
        <f>IFERROR(T21+T22+T23+T24+T25+T26+T27+T28, "NA")</f>
        <v>0</v>
      </c>
      <c r="U29" s="15" t="str">
        <f>IFERROR(T29/T444, "NA")</f>
        <v>NA</v>
      </c>
      <c r="V29" s="2"/>
      <c r="W29" s="14">
        <f t="shared" si="6"/>
        <v>0</v>
      </c>
      <c r="X29" s="15" t="str">
        <f>IFERROR(W29/W444, "NA")</f>
        <v>NA</v>
      </c>
      <c r="Y29" s="2"/>
      <c r="Z29" s="14">
        <f>IFERROR(Z21+Z22+Z23+Z24+Z25+Z26+Z27+Z28, "NA")</f>
        <v>0</v>
      </c>
      <c r="AA29" s="15" t="str">
        <f>IFERROR(Z29/Z444, "NA")</f>
        <v>NA</v>
      </c>
      <c r="AB29" s="2"/>
      <c r="AC29" s="14">
        <f t="shared" si="7"/>
        <v>0</v>
      </c>
      <c r="AD29" s="15" t="str">
        <f>IFERROR(AC29/AC444, "NA")</f>
        <v>NA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hidden="1" customHeight="1" x14ac:dyDescent="0.45">
      <c r="A31" s="12" t="s">
        <v>31</v>
      </c>
      <c r="B31" s="7">
        <v>0</v>
      </c>
      <c r="C31" s="8" t="str">
        <f>IFERROR(B31/B444, "NA")</f>
        <v>NA</v>
      </c>
      <c r="D31" s="9"/>
      <c r="E31" s="7">
        <v>0</v>
      </c>
      <c r="F31" s="8" t="str">
        <f>IFERROR(E31/E444, "NA")</f>
        <v>NA</v>
      </c>
      <c r="G31" s="9"/>
      <c r="H31" s="10">
        <f t="shared" ref="H31:H40" si="8">IFERROR(B31-E31, "NA")</f>
        <v>0</v>
      </c>
      <c r="I31" s="8" t="str">
        <f>IFERROR(H31/H444, "NA")</f>
        <v>NA</v>
      </c>
      <c r="J31" s="9"/>
      <c r="K31" s="7">
        <v>0</v>
      </c>
      <c r="L31" s="8" t="str">
        <f>IFERROR(K31/K444, "NA")</f>
        <v>NA</v>
      </c>
      <c r="M31" s="9"/>
      <c r="N31" s="10">
        <f t="shared" ref="N31:N40" si="9">IFERROR(B31-K31, "NA")</f>
        <v>0</v>
      </c>
      <c r="O31" s="8" t="str">
        <f>IFERROR(N31/N444, "NA")</f>
        <v>NA</v>
      </c>
      <c r="P31" s="9"/>
      <c r="Q31" s="7">
        <v>0</v>
      </c>
      <c r="R31" s="8" t="str">
        <f>IFERROR(Q31/Q444, "NA")</f>
        <v>NA</v>
      </c>
      <c r="S31" s="9"/>
      <c r="T31" s="7">
        <v>0</v>
      </c>
      <c r="U31" s="8" t="str">
        <f>IFERROR(T31/T444, "NA")</f>
        <v>NA</v>
      </c>
      <c r="V31" s="9"/>
      <c r="W31" s="10">
        <f t="shared" ref="W31:W40" si="10">IFERROR(Q31-T31, "NA")</f>
        <v>0</v>
      </c>
      <c r="X31" s="8" t="str">
        <f>IFERROR(W31/W444, "NA")</f>
        <v>NA</v>
      </c>
      <c r="Y31" s="9"/>
      <c r="Z31" s="7">
        <v>0</v>
      </c>
      <c r="AA31" s="8" t="str">
        <f>IFERROR(Z31/Z444, "NA")</f>
        <v>NA</v>
      </c>
      <c r="AB31" s="9"/>
      <c r="AC31" s="10">
        <f t="shared" ref="AC31:AC40" si="11">IFERROR(Q31-Z31, "NA")</f>
        <v>0</v>
      </c>
      <c r="AD31" s="8" t="str">
        <f>IFERROR(AC31/AC444, "NA")</f>
        <v>NA</v>
      </c>
    </row>
    <row r="32" spans="1:30" ht="16.5" hidden="1" customHeight="1" x14ac:dyDescent="0.45">
      <c r="A32" s="12" t="s">
        <v>32</v>
      </c>
      <c r="B32" s="7">
        <v>0</v>
      </c>
      <c r="C32" s="8" t="str">
        <f>IFERROR(B32/B444, "NA")</f>
        <v>NA</v>
      </c>
      <c r="D32" s="9"/>
      <c r="E32" s="7">
        <v>0</v>
      </c>
      <c r="F32" s="8" t="str">
        <f>IFERROR(E32/E444, "NA")</f>
        <v>NA</v>
      </c>
      <c r="G32" s="9"/>
      <c r="H32" s="10">
        <f t="shared" si="8"/>
        <v>0</v>
      </c>
      <c r="I32" s="8" t="str">
        <f>IFERROR(H32/H444, "NA")</f>
        <v>NA</v>
      </c>
      <c r="J32" s="9"/>
      <c r="K32" s="7">
        <v>0</v>
      </c>
      <c r="L32" s="8" t="str">
        <f>IFERROR(K32/K444, "NA")</f>
        <v>NA</v>
      </c>
      <c r="M32" s="9"/>
      <c r="N32" s="10">
        <f t="shared" si="9"/>
        <v>0</v>
      </c>
      <c r="O32" s="8" t="str">
        <f>IFERROR(N32/N444, "NA")</f>
        <v>NA</v>
      </c>
      <c r="P32" s="9"/>
      <c r="Q32" s="7">
        <v>0</v>
      </c>
      <c r="R32" s="8" t="str">
        <f>IFERROR(Q32/Q444, "NA")</f>
        <v>NA</v>
      </c>
      <c r="S32" s="9"/>
      <c r="T32" s="7">
        <v>0</v>
      </c>
      <c r="U32" s="8" t="str">
        <f>IFERROR(T32/T444, "NA")</f>
        <v>NA</v>
      </c>
      <c r="V32" s="9"/>
      <c r="W32" s="10">
        <f t="shared" si="10"/>
        <v>0</v>
      </c>
      <c r="X32" s="8" t="str">
        <f>IFERROR(W32/W444, "NA")</f>
        <v>NA</v>
      </c>
      <c r="Y32" s="9"/>
      <c r="Z32" s="7">
        <v>0</v>
      </c>
      <c r="AA32" s="8" t="str">
        <f>IFERROR(Z32/Z444, "NA")</f>
        <v>NA</v>
      </c>
      <c r="AB32" s="9"/>
      <c r="AC32" s="10">
        <f t="shared" si="11"/>
        <v>0</v>
      </c>
      <c r="AD32" s="8" t="str">
        <f>IFERROR(AC32/AC444, "NA")</f>
        <v>NA</v>
      </c>
    </row>
    <row r="33" spans="1:30" ht="16.5" hidden="1" customHeight="1" x14ac:dyDescent="0.45">
      <c r="A33" s="12" t="s">
        <v>33</v>
      </c>
      <c r="B33" s="7">
        <v>0</v>
      </c>
      <c r="C33" s="8" t="str">
        <f>IFERROR(B33/B444, "NA")</f>
        <v>NA</v>
      </c>
      <c r="D33" s="9"/>
      <c r="E33" s="7">
        <v>0</v>
      </c>
      <c r="F33" s="8" t="str">
        <f>IFERROR(E33/E444, "NA")</f>
        <v>NA</v>
      </c>
      <c r="G33" s="9"/>
      <c r="H33" s="10">
        <f t="shared" si="8"/>
        <v>0</v>
      </c>
      <c r="I33" s="8" t="str">
        <f>IFERROR(H33/H444, "NA")</f>
        <v>NA</v>
      </c>
      <c r="J33" s="9"/>
      <c r="K33" s="7">
        <v>0</v>
      </c>
      <c r="L33" s="8" t="str">
        <f>IFERROR(K33/K444, "NA")</f>
        <v>NA</v>
      </c>
      <c r="M33" s="9"/>
      <c r="N33" s="10">
        <f t="shared" si="9"/>
        <v>0</v>
      </c>
      <c r="O33" s="8" t="str">
        <f>IFERROR(N33/N444, "NA")</f>
        <v>NA</v>
      </c>
      <c r="P33" s="9"/>
      <c r="Q33" s="7">
        <v>0</v>
      </c>
      <c r="R33" s="8" t="str">
        <f>IFERROR(Q33/Q444, "NA")</f>
        <v>NA</v>
      </c>
      <c r="S33" s="9"/>
      <c r="T33" s="7">
        <v>0</v>
      </c>
      <c r="U33" s="8" t="str">
        <f>IFERROR(T33/T444, "NA")</f>
        <v>NA</v>
      </c>
      <c r="V33" s="9"/>
      <c r="W33" s="10">
        <f t="shared" si="10"/>
        <v>0</v>
      </c>
      <c r="X33" s="8" t="str">
        <f>IFERROR(W33/W444, "NA")</f>
        <v>NA</v>
      </c>
      <c r="Y33" s="9"/>
      <c r="Z33" s="7">
        <v>0</v>
      </c>
      <c r="AA33" s="8" t="str">
        <f>IFERROR(Z33/Z444, "NA")</f>
        <v>NA</v>
      </c>
      <c r="AB33" s="9"/>
      <c r="AC33" s="10">
        <f t="shared" si="11"/>
        <v>0</v>
      </c>
      <c r="AD33" s="8" t="str">
        <f>IFERROR(AC33/AC444, "NA")</f>
        <v>NA</v>
      </c>
    </row>
    <row r="34" spans="1:30" ht="16.5" hidden="1" customHeight="1" x14ac:dyDescent="0.45">
      <c r="A34" s="12" t="s">
        <v>34</v>
      </c>
      <c r="B34" s="7">
        <v>0</v>
      </c>
      <c r="C34" s="8" t="str">
        <f>IFERROR(B34/B444, "NA")</f>
        <v>NA</v>
      </c>
      <c r="D34" s="9"/>
      <c r="E34" s="7">
        <v>0</v>
      </c>
      <c r="F34" s="8" t="str">
        <f>IFERROR(E34/E444, "NA")</f>
        <v>NA</v>
      </c>
      <c r="G34" s="9"/>
      <c r="H34" s="10">
        <f t="shared" si="8"/>
        <v>0</v>
      </c>
      <c r="I34" s="8" t="str">
        <f>IFERROR(H34/H444, "NA")</f>
        <v>NA</v>
      </c>
      <c r="J34" s="9"/>
      <c r="K34" s="7">
        <v>0</v>
      </c>
      <c r="L34" s="8" t="str">
        <f>IFERROR(K34/K444, "NA")</f>
        <v>NA</v>
      </c>
      <c r="M34" s="9"/>
      <c r="N34" s="10">
        <f t="shared" si="9"/>
        <v>0</v>
      </c>
      <c r="O34" s="8" t="str">
        <f>IFERROR(N34/N444, "NA")</f>
        <v>NA</v>
      </c>
      <c r="P34" s="9"/>
      <c r="Q34" s="7">
        <v>0</v>
      </c>
      <c r="R34" s="8" t="str">
        <f>IFERROR(Q34/Q444, "NA")</f>
        <v>NA</v>
      </c>
      <c r="S34" s="9"/>
      <c r="T34" s="7">
        <v>0</v>
      </c>
      <c r="U34" s="8" t="str">
        <f>IFERROR(T34/T444, "NA")</f>
        <v>NA</v>
      </c>
      <c r="V34" s="9"/>
      <c r="W34" s="10">
        <f t="shared" si="10"/>
        <v>0</v>
      </c>
      <c r="X34" s="8" t="str">
        <f>IFERROR(W34/W444, "NA")</f>
        <v>NA</v>
      </c>
      <c r="Y34" s="9"/>
      <c r="Z34" s="7">
        <v>0</v>
      </c>
      <c r="AA34" s="8" t="str">
        <f>IFERROR(Z34/Z444, "NA")</f>
        <v>NA</v>
      </c>
      <c r="AB34" s="9"/>
      <c r="AC34" s="10">
        <f t="shared" si="11"/>
        <v>0</v>
      </c>
      <c r="AD34" s="8" t="str">
        <f>IFERROR(AC34/AC444, "NA")</f>
        <v>NA</v>
      </c>
    </row>
    <row r="35" spans="1:30" ht="16.5" hidden="1" customHeight="1" x14ac:dyDescent="0.45">
      <c r="A35" s="12" t="s">
        <v>35</v>
      </c>
      <c r="B35" s="7">
        <v>0</v>
      </c>
      <c r="C35" s="8" t="str">
        <f>IFERROR(B35/B444, "NA")</f>
        <v>NA</v>
      </c>
      <c r="D35" s="9"/>
      <c r="E35" s="7">
        <v>0</v>
      </c>
      <c r="F35" s="8" t="str">
        <f>IFERROR(E35/E444, "NA")</f>
        <v>NA</v>
      </c>
      <c r="G35" s="9"/>
      <c r="H35" s="10">
        <f t="shared" si="8"/>
        <v>0</v>
      </c>
      <c r="I35" s="8" t="str">
        <f>IFERROR(H35/H444, "NA")</f>
        <v>NA</v>
      </c>
      <c r="J35" s="9"/>
      <c r="K35" s="7">
        <v>0</v>
      </c>
      <c r="L35" s="8" t="str">
        <f>IFERROR(K35/K444, "NA")</f>
        <v>NA</v>
      </c>
      <c r="M35" s="9"/>
      <c r="N35" s="10">
        <f t="shared" si="9"/>
        <v>0</v>
      </c>
      <c r="O35" s="8" t="str">
        <f>IFERROR(N35/N444, "NA")</f>
        <v>NA</v>
      </c>
      <c r="P35" s="9"/>
      <c r="Q35" s="7">
        <v>0</v>
      </c>
      <c r="R35" s="8" t="str">
        <f>IFERROR(Q35/Q444, "NA")</f>
        <v>NA</v>
      </c>
      <c r="S35" s="9"/>
      <c r="T35" s="7">
        <v>0</v>
      </c>
      <c r="U35" s="8" t="str">
        <f>IFERROR(T35/T444, "NA")</f>
        <v>NA</v>
      </c>
      <c r="V35" s="9"/>
      <c r="W35" s="10">
        <f t="shared" si="10"/>
        <v>0</v>
      </c>
      <c r="X35" s="8" t="str">
        <f>IFERROR(W35/W444, "NA")</f>
        <v>NA</v>
      </c>
      <c r="Y35" s="9"/>
      <c r="Z35" s="7">
        <v>0</v>
      </c>
      <c r="AA35" s="8" t="str">
        <f>IFERROR(Z35/Z444, "NA")</f>
        <v>NA</v>
      </c>
      <c r="AB35" s="9"/>
      <c r="AC35" s="10">
        <f t="shared" si="11"/>
        <v>0</v>
      </c>
      <c r="AD35" s="8" t="str">
        <f>IFERROR(AC35/AC444, "NA")</f>
        <v>NA</v>
      </c>
    </row>
    <row r="36" spans="1:30" ht="16.5" hidden="1" customHeight="1" x14ac:dyDescent="0.45">
      <c r="A36" s="12" t="s">
        <v>36</v>
      </c>
      <c r="B36" s="7">
        <v>0</v>
      </c>
      <c r="C36" s="8" t="str">
        <f>IFERROR(B36/B444, "NA")</f>
        <v>NA</v>
      </c>
      <c r="D36" s="9"/>
      <c r="E36" s="7">
        <v>0</v>
      </c>
      <c r="F36" s="8" t="str">
        <f>IFERROR(E36/E444, "NA")</f>
        <v>NA</v>
      </c>
      <c r="G36" s="9"/>
      <c r="H36" s="10">
        <f t="shared" si="8"/>
        <v>0</v>
      </c>
      <c r="I36" s="8" t="str">
        <f>IFERROR(H36/H444, "NA")</f>
        <v>NA</v>
      </c>
      <c r="J36" s="9"/>
      <c r="K36" s="7">
        <v>0</v>
      </c>
      <c r="L36" s="8" t="str">
        <f>IFERROR(K36/K444, "NA")</f>
        <v>NA</v>
      </c>
      <c r="M36" s="9"/>
      <c r="N36" s="10">
        <f t="shared" si="9"/>
        <v>0</v>
      </c>
      <c r="O36" s="8" t="str">
        <f>IFERROR(N36/N444, "NA")</f>
        <v>NA</v>
      </c>
      <c r="P36" s="9"/>
      <c r="Q36" s="7">
        <v>0</v>
      </c>
      <c r="R36" s="8" t="str">
        <f>IFERROR(Q36/Q444, "NA")</f>
        <v>NA</v>
      </c>
      <c r="S36" s="9"/>
      <c r="T36" s="7">
        <v>0</v>
      </c>
      <c r="U36" s="8" t="str">
        <f>IFERROR(T36/T444, "NA")</f>
        <v>NA</v>
      </c>
      <c r="V36" s="9"/>
      <c r="W36" s="10">
        <f t="shared" si="10"/>
        <v>0</v>
      </c>
      <c r="X36" s="8" t="str">
        <f>IFERROR(W36/W444, "NA")</f>
        <v>NA</v>
      </c>
      <c r="Y36" s="9"/>
      <c r="Z36" s="7">
        <v>0</v>
      </c>
      <c r="AA36" s="8" t="str">
        <f>IFERROR(Z36/Z444, "NA")</f>
        <v>NA</v>
      </c>
      <c r="AB36" s="9"/>
      <c r="AC36" s="10">
        <f t="shared" si="11"/>
        <v>0</v>
      </c>
      <c r="AD36" s="8" t="str">
        <f>IFERROR(AC36/AC444, "NA")</f>
        <v>NA</v>
      </c>
    </row>
    <row r="37" spans="1:30" ht="16.5" hidden="1" customHeight="1" x14ac:dyDescent="0.45">
      <c r="A37" s="12" t="s">
        <v>37</v>
      </c>
      <c r="B37" s="7">
        <v>0</v>
      </c>
      <c r="C37" s="8" t="str">
        <f>IFERROR(B37/B444, "NA")</f>
        <v>NA</v>
      </c>
      <c r="D37" s="9"/>
      <c r="E37" s="7">
        <v>0</v>
      </c>
      <c r="F37" s="8" t="str">
        <f>IFERROR(E37/E444, "NA")</f>
        <v>NA</v>
      </c>
      <c r="G37" s="9"/>
      <c r="H37" s="10">
        <f t="shared" si="8"/>
        <v>0</v>
      </c>
      <c r="I37" s="8" t="str">
        <f>IFERROR(H37/H444, "NA")</f>
        <v>NA</v>
      </c>
      <c r="J37" s="9"/>
      <c r="K37" s="7">
        <v>0</v>
      </c>
      <c r="L37" s="8" t="str">
        <f>IFERROR(K37/K444, "NA")</f>
        <v>NA</v>
      </c>
      <c r="M37" s="9"/>
      <c r="N37" s="10">
        <f t="shared" si="9"/>
        <v>0</v>
      </c>
      <c r="O37" s="8" t="str">
        <f>IFERROR(N37/N444, "NA")</f>
        <v>NA</v>
      </c>
      <c r="P37" s="9"/>
      <c r="Q37" s="7">
        <v>0</v>
      </c>
      <c r="R37" s="8" t="str">
        <f>IFERROR(Q37/Q444, "NA")</f>
        <v>NA</v>
      </c>
      <c r="S37" s="9"/>
      <c r="T37" s="7">
        <v>0</v>
      </c>
      <c r="U37" s="8" t="str">
        <f>IFERROR(T37/T444, "NA")</f>
        <v>NA</v>
      </c>
      <c r="V37" s="9"/>
      <c r="W37" s="10">
        <f t="shared" si="10"/>
        <v>0</v>
      </c>
      <c r="X37" s="8" t="str">
        <f>IFERROR(W37/W444, "NA")</f>
        <v>NA</v>
      </c>
      <c r="Y37" s="9"/>
      <c r="Z37" s="7">
        <v>0</v>
      </c>
      <c r="AA37" s="8" t="str">
        <f>IFERROR(Z37/Z444, "NA")</f>
        <v>NA</v>
      </c>
      <c r="AB37" s="9"/>
      <c r="AC37" s="10">
        <f t="shared" si="11"/>
        <v>0</v>
      </c>
      <c r="AD37" s="8" t="str">
        <f>IFERROR(AC37/AC444, "NA")</f>
        <v>NA</v>
      </c>
    </row>
    <row r="38" spans="1:30" ht="16.5" hidden="1" customHeight="1" x14ac:dyDescent="0.45">
      <c r="A38" s="12" t="s">
        <v>38</v>
      </c>
      <c r="B38" s="7">
        <v>0</v>
      </c>
      <c r="C38" s="8" t="str">
        <f>IFERROR(B38/B444, "NA")</f>
        <v>NA</v>
      </c>
      <c r="D38" s="9"/>
      <c r="E38" s="7">
        <v>0</v>
      </c>
      <c r="F38" s="8" t="str">
        <f>IFERROR(E38/E444, "NA")</f>
        <v>NA</v>
      </c>
      <c r="G38" s="9"/>
      <c r="H38" s="10">
        <f t="shared" si="8"/>
        <v>0</v>
      </c>
      <c r="I38" s="8" t="str">
        <f>IFERROR(H38/H444, "NA")</f>
        <v>NA</v>
      </c>
      <c r="J38" s="9"/>
      <c r="K38" s="7">
        <v>0</v>
      </c>
      <c r="L38" s="8" t="str">
        <f>IFERROR(K38/K444, "NA")</f>
        <v>NA</v>
      </c>
      <c r="M38" s="9"/>
      <c r="N38" s="10">
        <f t="shared" si="9"/>
        <v>0</v>
      </c>
      <c r="O38" s="8" t="str">
        <f>IFERROR(N38/N444, "NA")</f>
        <v>NA</v>
      </c>
      <c r="P38" s="9"/>
      <c r="Q38" s="7">
        <v>0</v>
      </c>
      <c r="R38" s="8" t="str">
        <f>IFERROR(Q38/Q444, "NA")</f>
        <v>NA</v>
      </c>
      <c r="S38" s="9"/>
      <c r="T38" s="7">
        <v>0</v>
      </c>
      <c r="U38" s="8" t="str">
        <f>IFERROR(T38/T444, "NA")</f>
        <v>NA</v>
      </c>
      <c r="V38" s="9"/>
      <c r="W38" s="10">
        <f t="shared" si="10"/>
        <v>0</v>
      </c>
      <c r="X38" s="8" t="str">
        <f>IFERROR(W38/W444, "NA")</f>
        <v>NA</v>
      </c>
      <c r="Y38" s="9"/>
      <c r="Z38" s="7">
        <v>0</v>
      </c>
      <c r="AA38" s="8" t="str">
        <f>IFERROR(Z38/Z444, "NA")</f>
        <v>NA</v>
      </c>
      <c r="AB38" s="9"/>
      <c r="AC38" s="10">
        <f t="shared" si="11"/>
        <v>0</v>
      </c>
      <c r="AD38" s="8" t="str">
        <f>IFERROR(AC38/AC444, "NA")</f>
        <v>NA</v>
      </c>
    </row>
    <row r="39" spans="1:30" ht="16.5" hidden="1" customHeight="1" x14ac:dyDescent="0.45">
      <c r="A39" s="12" t="s">
        <v>39</v>
      </c>
      <c r="B39" s="7">
        <v>0</v>
      </c>
      <c r="C39" s="8" t="str">
        <f>IFERROR(B39/B444, "NA")</f>
        <v>NA</v>
      </c>
      <c r="D39" s="9"/>
      <c r="E39" s="7">
        <v>0</v>
      </c>
      <c r="F39" s="8" t="str">
        <f>IFERROR(E39/E444, "NA")</f>
        <v>NA</v>
      </c>
      <c r="G39" s="9"/>
      <c r="H39" s="10">
        <f t="shared" si="8"/>
        <v>0</v>
      </c>
      <c r="I39" s="8" t="str">
        <f>IFERROR(H39/H444, "NA")</f>
        <v>NA</v>
      </c>
      <c r="J39" s="9"/>
      <c r="K39" s="7">
        <v>0</v>
      </c>
      <c r="L39" s="8" t="str">
        <f>IFERROR(K39/K444, "NA")</f>
        <v>NA</v>
      </c>
      <c r="M39" s="9"/>
      <c r="N39" s="10">
        <f t="shared" si="9"/>
        <v>0</v>
      </c>
      <c r="O39" s="8" t="str">
        <f>IFERROR(N39/N444, "NA")</f>
        <v>NA</v>
      </c>
      <c r="P39" s="9"/>
      <c r="Q39" s="7">
        <v>0</v>
      </c>
      <c r="R39" s="8" t="str">
        <f>IFERROR(Q39/Q444, "NA")</f>
        <v>NA</v>
      </c>
      <c r="S39" s="9"/>
      <c r="T39" s="7">
        <v>0</v>
      </c>
      <c r="U39" s="8" t="str">
        <f>IFERROR(T39/T444, "NA")</f>
        <v>NA</v>
      </c>
      <c r="V39" s="9"/>
      <c r="W39" s="10">
        <f t="shared" si="10"/>
        <v>0</v>
      </c>
      <c r="X39" s="8" t="str">
        <f>IFERROR(W39/W444, "NA")</f>
        <v>NA</v>
      </c>
      <c r="Y39" s="9"/>
      <c r="Z39" s="7">
        <v>0</v>
      </c>
      <c r="AA39" s="8" t="str">
        <f>IFERROR(Z39/Z444, "NA")</f>
        <v>NA</v>
      </c>
      <c r="AB39" s="9"/>
      <c r="AC39" s="10">
        <f t="shared" si="11"/>
        <v>0</v>
      </c>
      <c r="AD39" s="8" t="str">
        <f>IFERROR(AC39/AC444, "NA")</f>
        <v>NA</v>
      </c>
    </row>
    <row r="40" spans="1:30" ht="16.5" customHeight="1" x14ac:dyDescent="0.45">
      <c r="A40" s="13" t="s">
        <v>40</v>
      </c>
      <c r="B40" s="14">
        <f>IFERROR(B31+B32+B33+B34+B35+B36+B37+B38+B39, "NA")</f>
        <v>0</v>
      </c>
      <c r="C40" s="15" t="str">
        <f>IFERROR(B40/B444, "NA")</f>
        <v>NA</v>
      </c>
      <c r="D40" s="2"/>
      <c r="E40" s="14">
        <f>IFERROR(E31+E32+E33+E34+E35+E36+E37+E38+E39, "NA")</f>
        <v>0</v>
      </c>
      <c r="F40" s="15" t="str">
        <f>IFERROR(E40/E444, "NA")</f>
        <v>NA</v>
      </c>
      <c r="G40" s="2"/>
      <c r="H40" s="14">
        <f t="shared" si="8"/>
        <v>0</v>
      </c>
      <c r="I40" s="15" t="str">
        <f>IFERROR(H40/H444, "NA")</f>
        <v>NA</v>
      </c>
      <c r="J40" s="2"/>
      <c r="K40" s="14">
        <f>IFERROR(K31+K32+K33+K34+K35+K36+K37+K38+K39, "NA")</f>
        <v>0</v>
      </c>
      <c r="L40" s="15" t="str">
        <f>IFERROR(K40/K444, "NA")</f>
        <v>NA</v>
      </c>
      <c r="M40" s="2"/>
      <c r="N40" s="14">
        <f t="shared" si="9"/>
        <v>0</v>
      </c>
      <c r="O40" s="15" t="str">
        <f>IFERROR(N40/N444, "NA")</f>
        <v>NA</v>
      </c>
      <c r="P40" s="2"/>
      <c r="Q40" s="14">
        <f>IFERROR(Q31+Q32+Q33+Q34+Q35+Q36+Q37+Q38+Q39, "NA")</f>
        <v>0</v>
      </c>
      <c r="R40" s="15" t="str">
        <f>IFERROR(Q40/Q444, "NA")</f>
        <v>NA</v>
      </c>
      <c r="S40" s="2"/>
      <c r="T40" s="14">
        <f>IFERROR(T31+T32+T33+T34+T35+T36+T37+T38+T39, "NA")</f>
        <v>0</v>
      </c>
      <c r="U40" s="15" t="str">
        <f>IFERROR(T40/T444, "NA")</f>
        <v>NA</v>
      </c>
      <c r="V40" s="2"/>
      <c r="W40" s="14">
        <f t="shared" si="10"/>
        <v>0</v>
      </c>
      <c r="X40" s="15" t="str">
        <f>IFERROR(W40/W444, "NA")</f>
        <v>NA</v>
      </c>
      <c r="Y40" s="2"/>
      <c r="Z40" s="14">
        <f>IFERROR(Z31+Z32+Z33+Z34+Z35+Z36+Z37+Z38+Z39, "NA")</f>
        <v>0</v>
      </c>
      <c r="AA40" s="15" t="str">
        <f>IFERROR(Z40/Z444, "NA")</f>
        <v>NA</v>
      </c>
      <c r="AB40" s="2"/>
      <c r="AC40" s="14">
        <f t="shared" si="11"/>
        <v>0</v>
      </c>
      <c r="AD40" s="15" t="str">
        <f>IFERROR(AC40/AC444, "NA")</f>
        <v>NA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 t="str">
        <f>IFERROR(B42/B444, "NA")</f>
        <v>NA</v>
      </c>
      <c r="D42" s="9"/>
      <c r="E42" s="7">
        <v>0</v>
      </c>
      <c r="F42" s="8" t="str">
        <f>IFERROR(E42/E444, "NA")</f>
        <v>NA</v>
      </c>
      <c r="G42" s="9"/>
      <c r="H42" s="10">
        <f>IFERROR(B42-E42, "NA")</f>
        <v>0</v>
      </c>
      <c r="I42" s="8" t="str">
        <f>IFERROR(H42/H444, "NA")</f>
        <v>NA</v>
      </c>
      <c r="J42" s="9"/>
      <c r="K42" s="7">
        <v>0</v>
      </c>
      <c r="L42" s="8" t="str">
        <f>IFERROR(K42/K444, "NA")</f>
        <v>NA</v>
      </c>
      <c r="M42" s="9"/>
      <c r="N42" s="10">
        <f>IFERROR(B42-K42, "NA")</f>
        <v>0</v>
      </c>
      <c r="O42" s="8" t="str">
        <f>IFERROR(N42/N444, "NA")</f>
        <v>NA</v>
      </c>
      <c r="P42" s="9"/>
      <c r="Q42" s="7">
        <v>0</v>
      </c>
      <c r="R42" s="8" t="str">
        <f>IFERROR(Q42/Q444, "NA")</f>
        <v>NA</v>
      </c>
      <c r="S42" s="9"/>
      <c r="T42" s="7">
        <v>0</v>
      </c>
      <c r="U42" s="8" t="str">
        <f>IFERROR(T42/T444, "NA")</f>
        <v>NA</v>
      </c>
      <c r="V42" s="9"/>
      <c r="W42" s="10">
        <f>IFERROR(Q42-T42, "NA")</f>
        <v>0</v>
      </c>
      <c r="X42" s="8" t="str">
        <f>IFERROR(W42/W444, "NA")</f>
        <v>NA</v>
      </c>
      <c r="Y42" s="9"/>
      <c r="Z42" s="7">
        <v>0</v>
      </c>
      <c r="AA42" s="8" t="str">
        <f>IFERROR(Z42/Z444, "NA")</f>
        <v>NA</v>
      </c>
      <c r="AB42" s="9"/>
      <c r="AC42" s="10">
        <f>IFERROR(Q42-Z42, "NA")</f>
        <v>0</v>
      </c>
      <c r="AD42" s="8" t="str">
        <f>IFERROR(AC42/AC444, "NA")</f>
        <v>NA</v>
      </c>
    </row>
    <row r="43" spans="1:30" ht="16.5" hidden="1" customHeight="1" x14ac:dyDescent="0.45">
      <c r="A43" s="12" t="s">
        <v>42</v>
      </c>
      <c r="B43" s="7">
        <v>0</v>
      </c>
      <c r="C43" s="8" t="str">
        <f>IFERROR(B43/B444, "NA")</f>
        <v>NA</v>
      </c>
      <c r="D43" s="9"/>
      <c r="E43" s="7">
        <v>0</v>
      </c>
      <c r="F43" s="8" t="str">
        <f>IFERROR(E43/E444, "NA")</f>
        <v>NA</v>
      </c>
      <c r="G43" s="9"/>
      <c r="H43" s="10">
        <f>IFERROR(B43-E43, "NA")</f>
        <v>0</v>
      </c>
      <c r="I43" s="8" t="str">
        <f>IFERROR(H43/H444, "NA")</f>
        <v>NA</v>
      </c>
      <c r="J43" s="9"/>
      <c r="K43" s="7">
        <v>0</v>
      </c>
      <c r="L43" s="8" t="str">
        <f>IFERROR(K43/K444, "NA")</f>
        <v>NA</v>
      </c>
      <c r="M43" s="9"/>
      <c r="N43" s="10">
        <f>IFERROR(B43-K43, "NA")</f>
        <v>0</v>
      </c>
      <c r="O43" s="8" t="str">
        <f>IFERROR(N43/N444, "NA")</f>
        <v>NA</v>
      </c>
      <c r="P43" s="9"/>
      <c r="Q43" s="7">
        <v>0</v>
      </c>
      <c r="R43" s="8" t="str">
        <f>IFERROR(Q43/Q444, "NA")</f>
        <v>NA</v>
      </c>
      <c r="S43" s="9"/>
      <c r="T43" s="7">
        <v>0</v>
      </c>
      <c r="U43" s="8" t="str">
        <f>IFERROR(T43/T444, "NA")</f>
        <v>NA</v>
      </c>
      <c r="V43" s="9"/>
      <c r="W43" s="10">
        <f>IFERROR(Q43-T43, "NA")</f>
        <v>0</v>
      </c>
      <c r="X43" s="8" t="str">
        <f>IFERROR(W43/W444, "NA")</f>
        <v>NA</v>
      </c>
      <c r="Y43" s="9"/>
      <c r="Z43" s="7">
        <v>0</v>
      </c>
      <c r="AA43" s="8" t="str">
        <f>IFERROR(Z43/Z444, "NA")</f>
        <v>NA</v>
      </c>
      <c r="AB43" s="9"/>
      <c r="AC43" s="10">
        <f>IFERROR(Q43-Z43, "NA")</f>
        <v>0</v>
      </c>
      <c r="AD43" s="8" t="str">
        <f>IFERROR(AC43/AC444, "NA")</f>
        <v>NA</v>
      </c>
    </row>
    <row r="44" spans="1:30" ht="16.5" hidden="1" customHeight="1" x14ac:dyDescent="0.45">
      <c r="A44" s="12" t="s">
        <v>43</v>
      </c>
      <c r="B44" s="7">
        <v>0</v>
      </c>
      <c r="C44" s="8" t="str">
        <f>IFERROR(B44/B444, "NA")</f>
        <v>NA</v>
      </c>
      <c r="D44" s="9"/>
      <c r="E44" s="7">
        <v>0</v>
      </c>
      <c r="F44" s="8" t="str">
        <f>IFERROR(E44/E444, "NA")</f>
        <v>NA</v>
      </c>
      <c r="G44" s="9"/>
      <c r="H44" s="10">
        <f>IFERROR(B44-E44, "NA")</f>
        <v>0</v>
      </c>
      <c r="I44" s="8" t="str">
        <f>IFERROR(H44/H444, "NA")</f>
        <v>NA</v>
      </c>
      <c r="J44" s="9"/>
      <c r="K44" s="7">
        <v>0</v>
      </c>
      <c r="L44" s="8" t="str">
        <f>IFERROR(K44/K444, "NA")</f>
        <v>NA</v>
      </c>
      <c r="M44" s="9"/>
      <c r="N44" s="10">
        <f>IFERROR(B44-K44, "NA")</f>
        <v>0</v>
      </c>
      <c r="O44" s="8" t="str">
        <f>IFERROR(N44/N444, "NA")</f>
        <v>NA</v>
      </c>
      <c r="P44" s="9"/>
      <c r="Q44" s="7">
        <v>0</v>
      </c>
      <c r="R44" s="8" t="str">
        <f>IFERROR(Q44/Q444, "NA")</f>
        <v>NA</v>
      </c>
      <c r="S44" s="9"/>
      <c r="T44" s="7">
        <v>0</v>
      </c>
      <c r="U44" s="8" t="str">
        <f>IFERROR(T44/T444, "NA")</f>
        <v>NA</v>
      </c>
      <c r="V44" s="9"/>
      <c r="W44" s="10">
        <f>IFERROR(Q44-T44, "NA")</f>
        <v>0</v>
      </c>
      <c r="X44" s="8" t="str">
        <f>IFERROR(W44/W444, "NA")</f>
        <v>NA</v>
      </c>
      <c r="Y44" s="9"/>
      <c r="Z44" s="7">
        <v>0</v>
      </c>
      <c r="AA44" s="8" t="str">
        <f>IFERROR(Z44/Z444, "NA")</f>
        <v>NA</v>
      </c>
      <c r="AB44" s="9"/>
      <c r="AC44" s="10">
        <f>IFERROR(Q44-Z44, "NA")</f>
        <v>0</v>
      </c>
      <c r="AD44" s="8" t="str">
        <f>IFERROR(AC44/AC444, "NA")</f>
        <v>NA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hidden="1" customHeight="1" x14ac:dyDescent="0.45">
      <c r="A46" s="17" t="s">
        <v>44</v>
      </c>
      <c r="B46" s="7">
        <v>0</v>
      </c>
      <c r="C46" s="8" t="str">
        <f>IFERROR(B46/B444, "NA")</f>
        <v>NA</v>
      </c>
      <c r="D46" s="9"/>
      <c r="E46" s="7">
        <v>0</v>
      </c>
      <c r="F46" s="8" t="str">
        <f>IFERROR(E46/E444, "NA")</f>
        <v>NA</v>
      </c>
      <c r="G46" s="9"/>
      <c r="H46" s="10">
        <f t="shared" ref="H46:H62" si="12">IFERROR(B46-E46, "NA")</f>
        <v>0</v>
      </c>
      <c r="I46" s="8" t="str">
        <f>IFERROR(H46/H444, "NA")</f>
        <v>NA</v>
      </c>
      <c r="J46" s="9"/>
      <c r="K46" s="7">
        <v>0</v>
      </c>
      <c r="L46" s="8" t="str">
        <f>IFERROR(K46/K444, "NA")</f>
        <v>NA</v>
      </c>
      <c r="M46" s="9"/>
      <c r="N46" s="10">
        <f t="shared" ref="N46:N62" si="13">IFERROR(B46-K46, "NA")</f>
        <v>0</v>
      </c>
      <c r="O46" s="8" t="str">
        <f>IFERROR(N46/N444, "NA")</f>
        <v>NA</v>
      </c>
      <c r="P46" s="9"/>
      <c r="Q46" s="7">
        <v>0</v>
      </c>
      <c r="R46" s="8" t="str">
        <f>IFERROR(Q46/Q444, "NA")</f>
        <v>NA</v>
      </c>
      <c r="S46" s="9"/>
      <c r="T46" s="7">
        <v>0</v>
      </c>
      <c r="U46" s="8" t="str">
        <f>IFERROR(T46/T444, "NA")</f>
        <v>NA</v>
      </c>
      <c r="V46" s="9"/>
      <c r="W46" s="10">
        <f t="shared" ref="W46:W62" si="14">IFERROR(Q46-T46, "NA")</f>
        <v>0</v>
      </c>
      <c r="X46" s="8" t="str">
        <f>IFERROR(W46/W444, "NA")</f>
        <v>NA</v>
      </c>
      <c r="Y46" s="9"/>
      <c r="Z46" s="7">
        <v>0</v>
      </c>
      <c r="AA46" s="8" t="str">
        <f>IFERROR(Z46/Z444, "NA")</f>
        <v>NA</v>
      </c>
      <c r="AB46" s="9"/>
      <c r="AC46" s="10">
        <f t="shared" ref="AC46:AC62" si="15">IFERROR(Q46-Z46, "NA")</f>
        <v>0</v>
      </c>
      <c r="AD46" s="8" t="str">
        <f>IFERROR(AC46/AC444, "NA")</f>
        <v>NA</v>
      </c>
    </row>
    <row r="47" spans="1:30" ht="16.5" hidden="1" customHeight="1" x14ac:dyDescent="0.45">
      <c r="A47" s="17" t="s">
        <v>45</v>
      </c>
      <c r="B47" s="7">
        <v>0</v>
      </c>
      <c r="C47" s="8" t="str">
        <f>IFERROR(B47/B444, "NA")</f>
        <v>NA</v>
      </c>
      <c r="D47" s="9"/>
      <c r="E47" s="7">
        <v>0</v>
      </c>
      <c r="F47" s="8" t="str">
        <f>IFERROR(E47/E444, "NA")</f>
        <v>NA</v>
      </c>
      <c r="G47" s="9"/>
      <c r="H47" s="10">
        <f t="shared" si="12"/>
        <v>0</v>
      </c>
      <c r="I47" s="8" t="str">
        <f>IFERROR(H47/H444, "NA")</f>
        <v>NA</v>
      </c>
      <c r="J47" s="9"/>
      <c r="K47" s="7">
        <v>0</v>
      </c>
      <c r="L47" s="8" t="str">
        <f>IFERROR(K47/K444, "NA")</f>
        <v>NA</v>
      </c>
      <c r="M47" s="9"/>
      <c r="N47" s="10">
        <f t="shared" si="13"/>
        <v>0</v>
      </c>
      <c r="O47" s="8" t="str">
        <f>IFERROR(N47/N444, "NA")</f>
        <v>NA</v>
      </c>
      <c r="P47" s="9"/>
      <c r="Q47" s="7">
        <v>0</v>
      </c>
      <c r="R47" s="8" t="str">
        <f>IFERROR(Q47/Q444, "NA")</f>
        <v>NA</v>
      </c>
      <c r="S47" s="9"/>
      <c r="T47" s="7">
        <v>0</v>
      </c>
      <c r="U47" s="8" t="str">
        <f>IFERROR(T47/T444, "NA")</f>
        <v>NA</v>
      </c>
      <c r="V47" s="9"/>
      <c r="W47" s="10">
        <f t="shared" si="14"/>
        <v>0</v>
      </c>
      <c r="X47" s="8" t="str">
        <f>IFERROR(W47/W444, "NA")</f>
        <v>NA</v>
      </c>
      <c r="Y47" s="9"/>
      <c r="Z47" s="7">
        <v>0</v>
      </c>
      <c r="AA47" s="8" t="str">
        <f>IFERROR(Z47/Z444, "NA")</f>
        <v>NA</v>
      </c>
      <c r="AB47" s="9"/>
      <c r="AC47" s="10">
        <f t="shared" si="15"/>
        <v>0</v>
      </c>
      <c r="AD47" s="8" t="str">
        <f>IFERROR(AC47/AC444, "NA")</f>
        <v>NA</v>
      </c>
    </row>
    <row r="48" spans="1:30" ht="16.5" hidden="1" customHeight="1" x14ac:dyDescent="0.45">
      <c r="A48" s="17" t="s">
        <v>46</v>
      </c>
      <c r="B48" s="7">
        <v>0</v>
      </c>
      <c r="C48" s="8" t="str">
        <f>IFERROR(B48/B444, "NA")</f>
        <v>NA</v>
      </c>
      <c r="D48" s="9"/>
      <c r="E48" s="7">
        <v>0</v>
      </c>
      <c r="F48" s="8" t="str">
        <f>IFERROR(E48/E444, "NA")</f>
        <v>NA</v>
      </c>
      <c r="G48" s="9"/>
      <c r="H48" s="10">
        <f t="shared" si="12"/>
        <v>0</v>
      </c>
      <c r="I48" s="8" t="str">
        <f>IFERROR(H48/H444, "NA")</f>
        <v>NA</v>
      </c>
      <c r="J48" s="9"/>
      <c r="K48" s="7">
        <v>0</v>
      </c>
      <c r="L48" s="8" t="str">
        <f>IFERROR(K48/K444, "NA")</f>
        <v>NA</v>
      </c>
      <c r="M48" s="9"/>
      <c r="N48" s="10">
        <f t="shared" si="13"/>
        <v>0</v>
      </c>
      <c r="O48" s="8" t="str">
        <f>IFERROR(N48/N444, "NA")</f>
        <v>NA</v>
      </c>
      <c r="P48" s="9"/>
      <c r="Q48" s="7">
        <v>0</v>
      </c>
      <c r="R48" s="8" t="str">
        <f>IFERROR(Q48/Q444, "NA")</f>
        <v>NA</v>
      </c>
      <c r="S48" s="9"/>
      <c r="T48" s="7">
        <v>0</v>
      </c>
      <c r="U48" s="8" t="str">
        <f>IFERROR(T48/T444, "NA")</f>
        <v>NA</v>
      </c>
      <c r="V48" s="9"/>
      <c r="W48" s="10">
        <f t="shared" si="14"/>
        <v>0</v>
      </c>
      <c r="X48" s="8" t="str">
        <f>IFERROR(W48/W444, "NA")</f>
        <v>NA</v>
      </c>
      <c r="Y48" s="9"/>
      <c r="Z48" s="7">
        <v>0</v>
      </c>
      <c r="AA48" s="8" t="str">
        <f>IFERROR(Z48/Z444, "NA")</f>
        <v>NA</v>
      </c>
      <c r="AB48" s="9"/>
      <c r="AC48" s="10">
        <f t="shared" si="15"/>
        <v>0</v>
      </c>
      <c r="AD48" s="8" t="str">
        <f>IFERROR(AC48/AC444, "NA")</f>
        <v>NA</v>
      </c>
    </row>
    <row r="49" spans="1:30" ht="16.5" hidden="1" customHeight="1" x14ac:dyDescent="0.45">
      <c r="A49" s="17" t="s">
        <v>47</v>
      </c>
      <c r="B49" s="7">
        <v>0</v>
      </c>
      <c r="C49" s="8" t="str">
        <f>IFERROR(B49/B444, "NA")</f>
        <v>NA</v>
      </c>
      <c r="D49" s="9"/>
      <c r="E49" s="7">
        <v>0</v>
      </c>
      <c r="F49" s="8" t="str">
        <f>IFERROR(E49/E444, "NA")</f>
        <v>NA</v>
      </c>
      <c r="G49" s="9"/>
      <c r="H49" s="10">
        <f t="shared" si="12"/>
        <v>0</v>
      </c>
      <c r="I49" s="8" t="str">
        <f>IFERROR(H49/H444, "NA")</f>
        <v>NA</v>
      </c>
      <c r="J49" s="9"/>
      <c r="K49" s="7">
        <v>0</v>
      </c>
      <c r="L49" s="8" t="str">
        <f>IFERROR(K49/K444, "NA")</f>
        <v>NA</v>
      </c>
      <c r="M49" s="9"/>
      <c r="N49" s="10">
        <f t="shared" si="13"/>
        <v>0</v>
      </c>
      <c r="O49" s="8" t="str">
        <f>IFERROR(N49/N444, "NA")</f>
        <v>NA</v>
      </c>
      <c r="P49" s="9"/>
      <c r="Q49" s="7">
        <v>0</v>
      </c>
      <c r="R49" s="8" t="str">
        <f>IFERROR(Q49/Q444, "NA")</f>
        <v>NA</v>
      </c>
      <c r="S49" s="9"/>
      <c r="T49" s="7">
        <v>0</v>
      </c>
      <c r="U49" s="8" t="str">
        <f>IFERROR(T49/T444, "NA")</f>
        <v>NA</v>
      </c>
      <c r="V49" s="9"/>
      <c r="W49" s="10">
        <f t="shared" si="14"/>
        <v>0</v>
      </c>
      <c r="X49" s="8" t="str">
        <f>IFERROR(W49/W444, "NA")</f>
        <v>NA</v>
      </c>
      <c r="Y49" s="9"/>
      <c r="Z49" s="7">
        <v>0</v>
      </c>
      <c r="AA49" s="8" t="str">
        <f>IFERROR(Z49/Z444, "NA")</f>
        <v>NA</v>
      </c>
      <c r="AB49" s="9"/>
      <c r="AC49" s="10">
        <f t="shared" si="15"/>
        <v>0</v>
      </c>
      <c r="AD49" s="8" t="str">
        <f>IFERROR(AC49/AC444, "NA")</f>
        <v>NA</v>
      </c>
    </row>
    <row r="50" spans="1:30" ht="16.5" hidden="1" customHeight="1" x14ac:dyDescent="0.45">
      <c r="A50" s="17" t="s">
        <v>48</v>
      </c>
      <c r="B50" s="7">
        <v>0</v>
      </c>
      <c r="C50" s="8" t="str">
        <f>IFERROR(B50/B444, "NA")</f>
        <v>NA</v>
      </c>
      <c r="D50" s="9"/>
      <c r="E50" s="7">
        <v>0</v>
      </c>
      <c r="F50" s="8" t="str">
        <f>IFERROR(E50/E444, "NA")</f>
        <v>NA</v>
      </c>
      <c r="G50" s="9"/>
      <c r="H50" s="10">
        <f t="shared" si="12"/>
        <v>0</v>
      </c>
      <c r="I50" s="8" t="str">
        <f>IFERROR(H50/H444, "NA")</f>
        <v>NA</v>
      </c>
      <c r="J50" s="9"/>
      <c r="K50" s="7">
        <v>0</v>
      </c>
      <c r="L50" s="8" t="str">
        <f>IFERROR(K50/K444, "NA")</f>
        <v>NA</v>
      </c>
      <c r="M50" s="9"/>
      <c r="N50" s="10">
        <f t="shared" si="13"/>
        <v>0</v>
      </c>
      <c r="O50" s="8" t="str">
        <f>IFERROR(N50/N444, "NA")</f>
        <v>NA</v>
      </c>
      <c r="P50" s="9"/>
      <c r="Q50" s="7">
        <v>0</v>
      </c>
      <c r="R50" s="8" t="str">
        <f>IFERROR(Q50/Q444, "NA")</f>
        <v>NA</v>
      </c>
      <c r="S50" s="9"/>
      <c r="T50" s="7">
        <v>0</v>
      </c>
      <c r="U50" s="8" t="str">
        <f>IFERROR(T50/T444, "NA")</f>
        <v>NA</v>
      </c>
      <c r="V50" s="9"/>
      <c r="W50" s="10">
        <f t="shared" si="14"/>
        <v>0</v>
      </c>
      <c r="X50" s="8" t="str">
        <f>IFERROR(W50/W444, "NA")</f>
        <v>NA</v>
      </c>
      <c r="Y50" s="9"/>
      <c r="Z50" s="7">
        <v>0</v>
      </c>
      <c r="AA50" s="8" t="str">
        <f>IFERROR(Z50/Z444, "NA")</f>
        <v>NA</v>
      </c>
      <c r="AB50" s="9"/>
      <c r="AC50" s="10">
        <f t="shared" si="15"/>
        <v>0</v>
      </c>
      <c r="AD50" s="8" t="str">
        <f>IFERROR(AC50/AC444, "NA")</f>
        <v>NA</v>
      </c>
    </row>
    <row r="51" spans="1:30" ht="16.5" hidden="1" customHeight="1" x14ac:dyDescent="0.45">
      <c r="A51" s="17" t="s">
        <v>49</v>
      </c>
      <c r="B51" s="7">
        <v>0</v>
      </c>
      <c r="C51" s="8" t="str">
        <f>IFERROR(B51/B444, "NA")</f>
        <v>NA</v>
      </c>
      <c r="D51" s="9"/>
      <c r="E51" s="7">
        <v>0</v>
      </c>
      <c r="F51" s="8" t="str">
        <f>IFERROR(E51/E444, "NA")</f>
        <v>NA</v>
      </c>
      <c r="G51" s="9"/>
      <c r="H51" s="10">
        <f t="shared" si="12"/>
        <v>0</v>
      </c>
      <c r="I51" s="8" t="str">
        <f>IFERROR(H51/H444, "NA")</f>
        <v>NA</v>
      </c>
      <c r="J51" s="9"/>
      <c r="K51" s="7">
        <v>0</v>
      </c>
      <c r="L51" s="8" t="str">
        <f>IFERROR(K51/K444, "NA")</f>
        <v>NA</v>
      </c>
      <c r="M51" s="9"/>
      <c r="N51" s="10">
        <f t="shared" si="13"/>
        <v>0</v>
      </c>
      <c r="O51" s="8" t="str">
        <f>IFERROR(N51/N444, "NA")</f>
        <v>NA</v>
      </c>
      <c r="P51" s="9"/>
      <c r="Q51" s="7">
        <v>0</v>
      </c>
      <c r="R51" s="8" t="str">
        <f>IFERROR(Q51/Q444, "NA")</f>
        <v>NA</v>
      </c>
      <c r="S51" s="9"/>
      <c r="T51" s="7">
        <v>0</v>
      </c>
      <c r="U51" s="8" t="str">
        <f>IFERROR(T51/T444, "NA")</f>
        <v>NA</v>
      </c>
      <c r="V51" s="9"/>
      <c r="W51" s="10">
        <f t="shared" si="14"/>
        <v>0</v>
      </c>
      <c r="X51" s="8" t="str">
        <f>IFERROR(W51/W444, "NA")</f>
        <v>NA</v>
      </c>
      <c r="Y51" s="9"/>
      <c r="Z51" s="7">
        <v>0</v>
      </c>
      <c r="AA51" s="8" t="str">
        <f>IFERROR(Z51/Z444, "NA")</f>
        <v>NA</v>
      </c>
      <c r="AB51" s="9"/>
      <c r="AC51" s="10">
        <f t="shared" si="15"/>
        <v>0</v>
      </c>
      <c r="AD51" s="8" t="str">
        <f>IFERROR(AC51/AC444, "NA")</f>
        <v>NA</v>
      </c>
    </row>
    <row r="52" spans="1:30" ht="16.5" hidden="1" customHeight="1" x14ac:dyDescent="0.45">
      <c r="A52" s="17" t="s">
        <v>50</v>
      </c>
      <c r="B52" s="7">
        <v>0</v>
      </c>
      <c r="C52" s="8" t="str">
        <f>IFERROR(B52/B444, "NA")</f>
        <v>NA</v>
      </c>
      <c r="D52" s="9"/>
      <c r="E52" s="7">
        <v>0</v>
      </c>
      <c r="F52" s="8" t="str">
        <f>IFERROR(E52/E444, "NA")</f>
        <v>NA</v>
      </c>
      <c r="G52" s="9"/>
      <c r="H52" s="10">
        <f t="shared" si="12"/>
        <v>0</v>
      </c>
      <c r="I52" s="8" t="str">
        <f>IFERROR(H52/H444, "NA")</f>
        <v>NA</v>
      </c>
      <c r="J52" s="9"/>
      <c r="K52" s="7">
        <v>0</v>
      </c>
      <c r="L52" s="8" t="str">
        <f>IFERROR(K52/K444, "NA")</f>
        <v>NA</v>
      </c>
      <c r="M52" s="9"/>
      <c r="N52" s="10">
        <f t="shared" si="13"/>
        <v>0</v>
      </c>
      <c r="O52" s="8" t="str">
        <f>IFERROR(N52/N444, "NA")</f>
        <v>NA</v>
      </c>
      <c r="P52" s="9"/>
      <c r="Q52" s="7">
        <v>0</v>
      </c>
      <c r="R52" s="8" t="str">
        <f>IFERROR(Q52/Q444, "NA")</f>
        <v>NA</v>
      </c>
      <c r="S52" s="9"/>
      <c r="T52" s="7">
        <v>0</v>
      </c>
      <c r="U52" s="8" t="str">
        <f>IFERROR(T52/T444, "NA")</f>
        <v>NA</v>
      </c>
      <c r="V52" s="9"/>
      <c r="W52" s="10">
        <f t="shared" si="14"/>
        <v>0</v>
      </c>
      <c r="X52" s="8" t="str">
        <f>IFERROR(W52/W444, "NA")</f>
        <v>NA</v>
      </c>
      <c r="Y52" s="9"/>
      <c r="Z52" s="7">
        <v>0</v>
      </c>
      <c r="AA52" s="8" t="str">
        <f>IFERROR(Z52/Z444, "NA")</f>
        <v>NA</v>
      </c>
      <c r="AB52" s="9"/>
      <c r="AC52" s="10">
        <f t="shared" si="15"/>
        <v>0</v>
      </c>
      <c r="AD52" s="8" t="str">
        <f>IFERROR(AC52/AC444, "NA")</f>
        <v>NA</v>
      </c>
    </row>
    <row r="53" spans="1:30" ht="16.5" hidden="1" customHeight="1" x14ac:dyDescent="0.45">
      <c r="A53" s="17" t="s">
        <v>51</v>
      </c>
      <c r="B53" s="7">
        <v>0</v>
      </c>
      <c r="C53" s="8" t="str">
        <f>IFERROR(B53/B444, "NA")</f>
        <v>NA</v>
      </c>
      <c r="D53" s="9"/>
      <c r="E53" s="7">
        <v>0</v>
      </c>
      <c r="F53" s="8" t="str">
        <f>IFERROR(E53/E444, "NA")</f>
        <v>NA</v>
      </c>
      <c r="G53" s="9"/>
      <c r="H53" s="10">
        <f t="shared" si="12"/>
        <v>0</v>
      </c>
      <c r="I53" s="8" t="str">
        <f>IFERROR(H53/H444, "NA")</f>
        <v>NA</v>
      </c>
      <c r="J53" s="9"/>
      <c r="K53" s="7">
        <v>0</v>
      </c>
      <c r="L53" s="8" t="str">
        <f>IFERROR(K53/K444, "NA")</f>
        <v>NA</v>
      </c>
      <c r="M53" s="9"/>
      <c r="N53" s="10">
        <f t="shared" si="13"/>
        <v>0</v>
      </c>
      <c r="O53" s="8" t="str">
        <f>IFERROR(N53/N444, "NA")</f>
        <v>NA</v>
      </c>
      <c r="P53" s="9"/>
      <c r="Q53" s="7">
        <v>0</v>
      </c>
      <c r="R53" s="8" t="str">
        <f>IFERROR(Q53/Q444, "NA")</f>
        <v>NA</v>
      </c>
      <c r="S53" s="9"/>
      <c r="T53" s="7">
        <v>0</v>
      </c>
      <c r="U53" s="8" t="str">
        <f>IFERROR(T53/T444, "NA")</f>
        <v>NA</v>
      </c>
      <c r="V53" s="9"/>
      <c r="W53" s="10">
        <f t="shared" si="14"/>
        <v>0</v>
      </c>
      <c r="X53" s="8" t="str">
        <f>IFERROR(W53/W444, "NA")</f>
        <v>NA</v>
      </c>
      <c r="Y53" s="9"/>
      <c r="Z53" s="7">
        <v>0</v>
      </c>
      <c r="AA53" s="8" t="str">
        <f>IFERROR(Z53/Z444, "NA")</f>
        <v>NA</v>
      </c>
      <c r="AB53" s="9"/>
      <c r="AC53" s="10">
        <f t="shared" si="15"/>
        <v>0</v>
      </c>
      <c r="AD53" s="8" t="str">
        <f>IFERROR(AC53/AC444, "NA")</f>
        <v>NA</v>
      </c>
    </row>
    <row r="54" spans="1:30" ht="16.5" hidden="1" customHeight="1" x14ac:dyDescent="0.45">
      <c r="A54" s="17" t="s">
        <v>52</v>
      </c>
      <c r="B54" s="7">
        <v>0</v>
      </c>
      <c r="C54" s="8" t="str">
        <f>IFERROR(B54/B444, "NA")</f>
        <v>NA</v>
      </c>
      <c r="D54" s="9"/>
      <c r="E54" s="7">
        <v>0</v>
      </c>
      <c r="F54" s="8" t="str">
        <f>IFERROR(E54/E444, "NA")</f>
        <v>NA</v>
      </c>
      <c r="G54" s="9"/>
      <c r="H54" s="10">
        <f t="shared" si="12"/>
        <v>0</v>
      </c>
      <c r="I54" s="8" t="str">
        <f>IFERROR(H54/H444, "NA")</f>
        <v>NA</v>
      </c>
      <c r="J54" s="9"/>
      <c r="K54" s="7">
        <v>0</v>
      </c>
      <c r="L54" s="8" t="str">
        <f>IFERROR(K54/K444, "NA")</f>
        <v>NA</v>
      </c>
      <c r="M54" s="9"/>
      <c r="N54" s="10">
        <f t="shared" si="13"/>
        <v>0</v>
      </c>
      <c r="O54" s="8" t="str">
        <f>IFERROR(N54/N444, "NA")</f>
        <v>NA</v>
      </c>
      <c r="P54" s="9"/>
      <c r="Q54" s="7">
        <v>0</v>
      </c>
      <c r="R54" s="8" t="str">
        <f>IFERROR(Q54/Q444, "NA")</f>
        <v>NA</v>
      </c>
      <c r="S54" s="9"/>
      <c r="T54" s="7">
        <v>0</v>
      </c>
      <c r="U54" s="8" t="str">
        <f>IFERROR(T54/T444, "NA")</f>
        <v>NA</v>
      </c>
      <c r="V54" s="9"/>
      <c r="W54" s="10">
        <f t="shared" si="14"/>
        <v>0</v>
      </c>
      <c r="X54" s="8" t="str">
        <f>IFERROR(W54/W444, "NA")</f>
        <v>NA</v>
      </c>
      <c r="Y54" s="9"/>
      <c r="Z54" s="7">
        <v>0</v>
      </c>
      <c r="AA54" s="8" t="str">
        <f>IFERROR(Z54/Z444, "NA")</f>
        <v>NA</v>
      </c>
      <c r="AB54" s="9"/>
      <c r="AC54" s="10">
        <f t="shared" si="15"/>
        <v>0</v>
      </c>
      <c r="AD54" s="8" t="str">
        <f>IFERROR(AC54/AC444, "NA")</f>
        <v>NA</v>
      </c>
    </row>
    <row r="55" spans="1:30" ht="16.5" hidden="1" customHeight="1" x14ac:dyDescent="0.45">
      <c r="A55" s="17" t="s">
        <v>53</v>
      </c>
      <c r="B55" s="7">
        <v>0</v>
      </c>
      <c r="C55" s="8" t="str">
        <f>IFERROR(B55/B444, "NA")</f>
        <v>NA</v>
      </c>
      <c r="D55" s="9"/>
      <c r="E55" s="7">
        <v>0</v>
      </c>
      <c r="F55" s="8" t="str">
        <f>IFERROR(E55/E444, "NA")</f>
        <v>NA</v>
      </c>
      <c r="G55" s="9"/>
      <c r="H55" s="10">
        <f t="shared" si="12"/>
        <v>0</v>
      </c>
      <c r="I55" s="8" t="str">
        <f>IFERROR(H55/H444, "NA")</f>
        <v>NA</v>
      </c>
      <c r="J55" s="9"/>
      <c r="K55" s="7">
        <v>0</v>
      </c>
      <c r="L55" s="8" t="str">
        <f>IFERROR(K55/K444, "NA")</f>
        <v>NA</v>
      </c>
      <c r="M55" s="9"/>
      <c r="N55" s="10">
        <f t="shared" si="13"/>
        <v>0</v>
      </c>
      <c r="O55" s="8" t="str">
        <f>IFERROR(N55/N444, "NA")</f>
        <v>NA</v>
      </c>
      <c r="P55" s="9"/>
      <c r="Q55" s="7">
        <v>0</v>
      </c>
      <c r="R55" s="8" t="str">
        <f>IFERROR(Q55/Q444, "NA")</f>
        <v>NA</v>
      </c>
      <c r="S55" s="9"/>
      <c r="T55" s="7">
        <v>0</v>
      </c>
      <c r="U55" s="8" t="str">
        <f>IFERROR(T55/T444, "NA")</f>
        <v>NA</v>
      </c>
      <c r="V55" s="9"/>
      <c r="W55" s="10">
        <f t="shared" si="14"/>
        <v>0</v>
      </c>
      <c r="X55" s="8" t="str">
        <f>IFERROR(W55/W444, "NA")</f>
        <v>NA</v>
      </c>
      <c r="Y55" s="9"/>
      <c r="Z55" s="7">
        <v>0</v>
      </c>
      <c r="AA55" s="8" t="str">
        <f>IFERROR(Z55/Z444, "NA")</f>
        <v>NA</v>
      </c>
      <c r="AB55" s="9"/>
      <c r="AC55" s="10">
        <f t="shared" si="15"/>
        <v>0</v>
      </c>
      <c r="AD55" s="8" t="str">
        <f>IFERROR(AC55/AC444, "NA")</f>
        <v>NA</v>
      </c>
    </row>
    <row r="56" spans="1:30" ht="16.5" hidden="1" customHeight="1" x14ac:dyDescent="0.45">
      <c r="A56" s="17" t="s">
        <v>54</v>
      </c>
      <c r="B56" s="7">
        <v>0</v>
      </c>
      <c r="C56" s="8" t="str">
        <f>IFERROR(B56/B444, "NA")</f>
        <v>NA</v>
      </c>
      <c r="D56" s="9"/>
      <c r="E56" s="7">
        <v>0</v>
      </c>
      <c r="F56" s="8" t="str">
        <f>IFERROR(E56/E444, "NA")</f>
        <v>NA</v>
      </c>
      <c r="G56" s="9"/>
      <c r="H56" s="10">
        <f t="shared" si="12"/>
        <v>0</v>
      </c>
      <c r="I56" s="8" t="str">
        <f>IFERROR(H56/H444, "NA")</f>
        <v>NA</v>
      </c>
      <c r="J56" s="9"/>
      <c r="K56" s="7">
        <v>0</v>
      </c>
      <c r="L56" s="8" t="str">
        <f>IFERROR(K56/K444, "NA")</f>
        <v>NA</v>
      </c>
      <c r="M56" s="9"/>
      <c r="N56" s="10">
        <f t="shared" si="13"/>
        <v>0</v>
      </c>
      <c r="O56" s="8" t="str">
        <f>IFERROR(N56/N444, "NA")</f>
        <v>NA</v>
      </c>
      <c r="P56" s="9"/>
      <c r="Q56" s="7">
        <v>0</v>
      </c>
      <c r="R56" s="8" t="str">
        <f>IFERROR(Q56/Q444, "NA")</f>
        <v>NA</v>
      </c>
      <c r="S56" s="9"/>
      <c r="T56" s="7">
        <v>0</v>
      </c>
      <c r="U56" s="8" t="str">
        <f>IFERROR(T56/T444, "NA")</f>
        <v>NA</v>
      </c>
      <c r="V56" s="9"/>
      <c r="W56" s="10">
        <f t="shared" si="14"/>
        <v>0</v>
      </c>
      <c r="X56" s="8" t="str">
        <f>IFERROR(W56/W444, "NA")</f>
        <v>NA</v>
      </c>
      <c r="Y56" s="9"/>
      <c r="Z56" s="7">
        <v>0</v>
      </c>
      <c r="AA56" s="8" t="str">
        <f>IFERROR(Z56/Z444, "NA")</f>
        <v>NA</v>
      </c>
      <c r="AB56" s="9"/>
      <c r="AC56" s="10">
        <f t="shared" si="15"/>
        <v>0</v>
      </c>
      <c r="AD56" s="8" t="str">
        <f>IFERROR(AC56/AC444, "NA")</f>
        <v>NA</v>
      </c>
    </row>
    <row r="57" spans="1:30" ht="16.5" hidden="1" customHeight="1" x14ac:dyDescent="0.45">
      <c r="A57" s="17" t="s">
        <v>55</v>
      </c>
      <c r="B57" s="7">
        <v>0</v>
      </c>
      <c r="C57" s="8" t="str">
        <f>IFERROR(B57/B444, "NA")</f>
        <v>NA</v>
      </c>
      <c r="D57" s="9"/>
      <c r="E57" s="7">
        <v>0</v>
      </c>
      <c r="F57" s="8" t="str">
        <f>IFERROR(E57/E444, "NA")</f>
        <v>NA</v>
      </c>
      <c r="G57" s="9"/>
      <c r="H57" s="10">
        <f t="shared" si="12"/>
        <v>0</v>
      </c>
      <c r="I57" s="8" t="str">
        <f>IFERROR(H57/H444, "NA")</f>
        <v>NA</v>
      </c>
      <c r="J57" s="9"/>
      <c r="K57" s="7">
        <v>0</v>
      </c>
      <c r="L57" s="8" t="str">
        <f>IFERROR(K57/K444, "NA")</f>
        <v>NA</v>
      </c>
      <c r="M57" s="9"/>
      <c r="N57" s="10">
        <f t="shared" si="13"/>
        <v>0</v>
      </c>
      <c r="O57" s="8" t="str">
        <f>IFERROR(N57/N444, "NA")</f>
        <v>NA</v>
      </c>
      <c r="P57" s="9"/>
      <c r="Q57" s="7">
        <v>0</v>
      </c>
      <c r="R57" s="8" t="str">
        <f>IFERROR(Q57/Q444, "NA")</f>
        <v>NA</v>
      </c>
      <c r="S57" s="9"/>
      <c r="T57" s="7">
        <v>0</v>
      </c>
      <c r="U57" s="8" t="str">
        <f>IFERROR(T57/T444, "NA")</f>
        <v>NA</v>
      </c>
      <c r="V57" s="9"/>
      <c r="W57" s="10">
        <f t="shared" si="14"/>
        <v>0</v>
      </c>
      <c r="X57" s="8" t="str">
        <f>IFERROR(W57/W444, "NA")</f>
        <v>NA</v>
      </c>
      <c r="Y57" s="9"/>
      <c r="Z57" s="7">
        <v>0</v>
      </c>
      <c r="AA57" s="8" t="str">
        <f>IFERROR(Z57/Z444, "NA")</f>
        <v>NA</v>
      </c>
      <c r="AB57" s="9"/>
      <c r="AC57" s="10">
        <f t="shared" si="15"/>
        <v>0</v>
      </c>
      <c r="AD57" s="8" t="str">
        <f>IFERROR(AC57/AC444, "NA")</f>
        <v>NA</v>
      </c>
    </row>
    <row r="58" spans="1:30" ht="16.5" hidden="1" customHeight="1" x14ac:dyDescent="0.45">
      <c r="A58" s="17" t="s">
        <v>56</v>
      </c>
      <c r="B58" s="7">
        <v>0</v>
      </c>
      <c r="C58" s="8" t="str">
        <f>IFERROR(B58/B444, "NA")</f>
        <v>NA</v>
      </c>
      <c r="D58" s="9"/>
      <c r="E58" s="7">
        <v>0</v>
      </c>
      <c r="F58" s="8" t="str">
        <f>IFERROR(E58/E444, "NA")</f>
        <v>NA</v>
      </c>
      <c r="G58" s="9"/>
      <c r="H58" s="10">
        <f t="shared" si="12"/>
        <v>0</v>
      </c>
      <c r="I58" s="8" t="str">
        <f>IFERROR(H58/H444, "NA")</f>
        <v>NA</v>
      </c>
      <c r="J58" s="9"/>
      <c r="K58" s="7">
        <v>0</v>
      </c>
      <c r="L58" s="8" t="str">
        <f>IFERROR(K58/K444, "NA")</f>
        <v>NA</v>
      </c>
      <c r="M58" s="9"/>
      <c r="N58" s="10">
        <f t="shared" si="13"/>
        <v>0</v>
      </c>
      <c r="O58" s="8" t="str">
        <f>IFERROR(N58/N444, "NA")</f>
        <v>NA</v>
      </c>
      <c r="P58" s="9"/>
      <c r="Q58" s="7">
        <v>0</v>
      </c>
      <c r="R58" s="8" t="str">
        <f>IFERROR(Q58/Q444, "NA")</f>
        <v>NA</v>
      </c>
      <c r="S58" s="9"/>
      <c r="T58" s="7">
        <v>0</v>
      </c>
      <c r="U58" s="8" t="str">
        <f>IFERROR(T58/T444, "NA")</f>
        <v>NA</v>
      </c>
      <c r="V58" s="9"/>
      <c r="W58" s="10">
        <f t="shared" si="14"/>
        <v>0</v>
      </c>
      <c r="X58" s="8" t="str">
        <f>IFERROR(W58/W444, "NA")</f>
        <v>NA</v>
      </c>
      <c r="Y58" s="9"/>
      <c r="Z58" s="7">
        <v>0</v>
      </c>
      <c r="AA58" s="8" t="str">
        <f>IFERROR(Z58/Z444, "NA")</f>
        <v>NA</v>
      </c>
      <c r="AB58" s="9"/>
      <c r="AC58" s="10">
        <f t="shared" si="15"/>
        <v>0</v>
      </c>
      <c r="AD58" s="8" t="str">
        <f>IFERROR(AC58/AC444, "NA")</f>
        <v>NA</v>
      </c>
    </row>
    <row r="59" spans="1:30" ht="16.5" hidden="1" customHeight="1" x14ac:dyDescent="0.45">
      <c r="A59" s="17" t="s">
        <v>57</v>
      </c>
      <c r="B59" s="7">
        <v>0</v>
      </c>
      <c r="C59" s="8" t="str">
        <f>IFERROR(B59/B444, "NA")</f>
        <v>NA</v>
      </c>
      <c r="D59" s="9"/>
      <c r="E59" s="7">
        <v>0</v>
      </c>
      <c r="F59" s="8" t="str">
        <f>IFERROR(E59/E444, "NA")</f>
        <v>NA</v>
      </c>
      <c r="G59" s="9"/>
      <c r="H59" s="10">
        <f t="shared" si="12"/>
        <v>0</v>
      </c>
      <c r="I59" s="8" t="str">
        <f>IFERROR(H59/H444, "NA")</f>
        <v>NA</v>
      </c>
      <c r="J59" s="9"/>
      <c r="K59" s="7">
        <v>0</v>
      </c>
      <c r="L59" s="8" t="str">
        <f>IFERROR(K59/K444, "NA")</f>
        <v>NA</v>
      </c>
      <c r="M59" s="9"/>
      <c r="N59" s="10">
        <f t="shared" si="13"/>
        <v>0</v>
      </c>
      <c r="O59" s="8" t="str">
        <f>IFERROR(N59/N444, "NA")</f>
        <v>NA</v>
      </c>
      <c r="P59" s="9"/>
      <c r="Q59" s="7">
        <v>0</v>
      </c>
      <c r="R59" s="8" t="str">
        <f>IFERROR(Q59/Q444, "NA")</f>
        <v>NA</v>
      </c>
      <c r="S59" s="9"/>
      <c r="T59" s="7">
        <v>0</v>
      </c>
      <c r="U59" s="8" t="str">
        <f>IFERROR(T59/T444, "NA")</f>
        <v>NA</v>
      </c>
      <c r="V59" s="9"/>
      <c r="W59" s="10">
        <f t="shared" si="14"/>
        <v>0</v>
      </c>
      <c r="X59" s="8" t="str">
        <f>IFERROR(W59/W444, "NA")</f>
        <v>NA</v>
      </c>
      <c r="Y59" s="9"/>
      <c r="Z59" s="7">
        <v>0</v>
      </c>
      <c r="AA59" s="8" t="str">
        <f>IFERROR(Z59/Z444, "NA")</f>
        <v>NA</v>
      </c>
      <c r="AB59" s="9"/>
      <c r="AC59" s="10">
        <f t="shared" si="15"/>
        <v>0</v>
      </c>
      <c r="AD59" s="8" t="str">
        <f>IFERROR(AC59/AC444, "NA")</f>
        <v>NA</v>
      </c>
    </row>
    <row r="60" spans="1:30" ht="16.5" hidden="1" customHeight="1" x14ac:dyDescent="0.45">
      <c r="A60" s="17" t="s">
        <v>58</v>
      </c>
      <c r="B60" s="7">
        <v>0</v>
      </c>
      <c r="C60" s="8" t="str">
        <f>IFERROR(B60/B444, "NA")</f>
        <v>NA</v>
      </c>
      <c r="D60" s="9"/>
      <c r="E60" s="7">
        <v>0</v>
      </c>
      <c r="F60" s="8" t="str">
        <f>IFERROR(E60/E444, "NA")</f>
        <v>NA</v>
      </c>
      <c r="G60" s="9"/>
      <c r="H60" s="10">
        <f t="shared" si="12"/>
        <v>0</v>
      </c>
      <c r="I60" s="8" t="str">
        <f>IFERROR(H60/H444, "NA")</f>
        <v>NA</v>
      </c>
      <c r="J60" s="9"/>
      <c r="K60" s="7">
        <v>0</v>
      </c>
      <c r="L60" s="8" t="str">
        <f>IFERROR(K60/K444, "NA")</f>
        <v>NA</v>
      </c>
      <c r="M60" s="9"/>
      <c r="N60" s="10">
        <f t="shared" si="13"/>
        <v>0</v>
      </c>
      <c r="O60" s="8" t="str">
        <f>IFERROR(N60/N444, "NA")</f>
        <v>NA</v>
      </c>
      <c r="P60" s="9"/>
      <c r="Q60" s="7">
        <v>0</v>
      </c>
      <c r="R60" s="8" t="str">
        <f>IFERROR(Q60/Q444, "NA")</f>
        <v>NA</v>
      </c>
      <c r="S60" s="9"/>
      <c r="T60" s="7">
        <v>0</v>
      </c>
      <c r="U60" s="8" t="str">
        <f>IFERROR(T60/T444, "NA")</f>
        <v>NA</v>
      </c>
      <c r="V60" s="9"/>
      <c r="W60" s="10">
        <f t="shared" si="14"/>
        <v>0</v>
      </c>
      <c r="X60" s="8" t="str">
        <f>IFERROR(W60/W444, "NA")</f>
        <v>NA</v>
      </c>
      <c r="Y60" s="9"/>
      <c r="Z60" s="7">
        <v>0</v>
      </c>
      <c r="AA60" s="8" t="str">
        <f>IFERROR(Z60/Z444, "NA")</f>
        <v>NA</v>
      </c>
      <c r="AB60" s="9"/>
      <c r="AC60" s="10">
        <f t="shared" si="15"/>
        <v>0</v>
      </c>
      <c r="AD60" s="8" t="str">
        <f>IFERROR(AC60/AC444, "NA")</f>
        <v>NA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0</v>
      </c>
      <c r="C61" s="15" t="str">
        <f>IFERROR(B61/B444, "NA")</f>
        <v>NA</v>
      </c>
      <c r="D61" s="2"/>
      <c r="E61" s="14">
        <f>IFERROR(E46+E47+E48+E49+E50+E51+E52+E53+E54+E55+E56+E57+E58+E59+E60, "NA")</f>
        <v>0</v>
      </c>
      <c r="F61" s="15" t="str">
        <f>IFERROR(E61/E444, "NA")</f>
        <v>NA</v>
      </c>
      <c r="G61" s="2"/>
      <c r="H61" s="14">
        <f t="shared" si="12"/>
        <v>0</v>
      </c>
      <c r="I61" s="15" t="str">
        <f>IFERROR(H61/H444, "NA")</f>
        <v>NA</v>
      </c>
      <c r="J61" s="2"/>
      <c r="K61" s="14">
        <f>IFERROR(K46+K47+K48+K49+K50+K51+K52+K53+K54+K55+K56+K57+K58+K59+K60, "NA")</f>
        <v>0</v>
      </c>
      <c r="L61" s="15" t="str">
        <f>IFERROR(K61/K444, "NA")</f>
        <v>NA</v>
      </c>
      <c r="M61" s="2"/>
      <c r="N61" s="14">
        <f t="shared" si="13"/>
        <v>0</v>
      </c>
      <c r="O61" s="15" t="str">
        <f>IFERROR(N61/N444, "NA")</f>
        <v>NA</v>
      </c>
      <c r="P61" s="2"/>
      <c r="Q61" s="14">
        <f>IFERROR(Q46+Q47+Q48+Q49+Q50+Q51+Q52+Q53+Q54+Q55+Q56+Q57+Q58+Q59+Q60, "NA")</f>
        <v>0</v>
      </c>
      <c r="R61" s="15" t="str">
        <f>IFERROR(Q61/Q444, "NA")</f>
        <v>NA</v>
      </c>
      <c r="S61" s="2"/>
      <c r="T61" s="14">
        <f>IFERROR(T46+T47+T48+T49+T50+T51+T52+T53+T54+T55+T56+T57+T58+T59+T60, "NA")</f>
        <v>0</v>
      </c>
      <c r="U61" s="15" t="str">
        <f>IFERROR(T61/T444, "NA")</f>
        <v>NA</v>
      </c>
      <c r="V61" s="2"/>
      <c r="W61" s="14">
        <f t="shared" si="14"/>
        <v>0</v>
      </c>
      <c r="X61" s="15" t="str">
        <f>IFERROR(W61/W444, "NA")</f>
        <v>NA</v>
      </c>
      <c r="Y61" s="2"/>
      <c r="Z61" s="14">
        <f>IFERROR(Z46+Z47+Z48+Z49+Z50+Z51+Z52+Z53+Z54+Z55+Z56+Z57+Z58+Z59+Z60, "NA")</f>
        <v>0</v>
      </c>
      <c r="AA61" s="15" t="str">
        <f>IFERROR(Z61/Z444, "NA")</f>
        <v>NA</v>
      </c>
      <c r="AB61" s="2"/>
      <c r="AC61" s="14">
        <f t="shared" si="15"/>
        <v>0</v>
      </c>
      <c r="AD61" s="15" t="str">
        <f>IFERROR(AC61/AC444, "NA")</f>
        <v>NA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0</v>
      </c>
      <c r="C62" s="15" t="str">
        <f>IFERROR(B62/B444, "NA")</f>
        <v>NA</v>
      </c>
      <c r="D62" s="2"/>
      <c r="E62" s="14">
        <f>IFERROR(E42+E43+E44+E46+E47+E48+E49+E50+E51+E52+E53+E54+E55+E56+E57+E58+E59+E60, "NA")</f>
        <v>0</v>
      </c>
      <c r="F62" s="15" t="str">
        <f>IFERROR(E62/E444, "NA")</f>
        <v>NA</v>
      </c>
      <c r="G62" s="2"/>
      <c r="H62" s="14">
        <f t="shared" si="12"/>
        <v>0</v>
      </c>
      <c r="I62" s="15" t="str">
        <f>IFERROR(H62/H444, "NA")</f>
        <v>NA</v>
      </c>
      <c r="J62" s="2"/>
      <c r="K62" s="14">
        <f>IFERROR(K42+K43+K44+K46+K47+K48+K49+K50+K51+K52+K53+K54+K55+K56+K57+K58+K59+K60, "NA")</f>
        <v>0</v>
      </c>
      <c r="L62" s="15" t="str">
        <f>IFERROR(K62/K444, "NA")</f>
        <v>NA</v>
      </c>
      <c r="M62" s="2"/>
      <c r="N62" s="14">
        <f t="shared" si="13"/>
        <v>0</v>
      </c>
      <c r="O62" s="15" t="str">
        <f>IFERROR(N62/N444, "NA")</f>
        <v>NA</v>
      </c>
      <c r="P62" s="2"/>
      <c r="Q62" s="14">
        <f>IFERROR(Q42+Q43+Q44+Q46+Q47+Q48+Q49+Q50+Q51+Q52+Q53+Q54+Q55+Q56+Q57+Q58+Q59+Q60, "NA")</f>
        <v>0</v>
      </c>
      <c r="R62" s="15" t="str">
        <f>IFERROR(Q62/Q444, "NA")</f>
        <v>NA</v>
      </c>
      <c r="S62" s="2"/>
      <c r="T62" s="14">
        <f>IFERROR(T42+T43+T44+T46+T47+T48+T49+T50+T51+T52+T53+T54+T55+T56+T57+T58+T59+T60, "NA")</f>
        <v>0</v>
      </c>
      <c r="U62" s="15" t="str">
        <f>IFERROR(T62/T444, "NA")</f>
        <v>NA</v>
      </c>
      <c r="V62" s="2"/>
      <c r="W62" s="14">
        <f t="shared" si="14"/>
        <v>0</v>
      </c>
      <c r="X62" s="15" t="str">
        <f>IFERROR(W62/W444, "NA")</f>
        <v>NA</v>
      </c>
      <c r="Y62" s="2"/>
      <c r="Z62" s="14">
        <f>IFERROR(Z42+Z43+Z44+Z46+Z47+Z48+Z49+Z50+Z51+Z52+Z53+Z54+Z55+Z56+Z57+Z58+Z59+Z60, "NA")</f>
        <v>0</v>
      </c>
      <c r="AA62" s="15" t="str">
        <f>IFERROR(Z62/Z444, "NA")</f>
        <v>NA</v>
      </c>
      <c r="AB62" s="2"/>
      <c r="AC62" s="14">
        <f t="shared" si="15"/>
        <v>0</v>
      </c>
      <c r="AD62" s="15" t="str">
        <f>IFERROR(AC62/AC444, "NA")</f>
        <v>NA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 t="str">
        <f>IFERROR(B64/B444, "NA")</f>
        <v>NA</v>
      </c>
      <c r="D64" s="9"/>
      <c r="E64" s="7">
        <v>0</v>
      </c>
      <c r="F64" s="8" t="str">
        <f>IFERROR(E64/E444, "NA")</f>
        <v>NA</v>
      </c>
      <c r="G64" s="9"/>
      <c r="H64" s="10">
        <f t="shared" ref="H64:H73" si="16">IFERROR(B64-E64, "NA")</f>
        <v>0</v>
      </c>
      <c r="I64" s="8" t="str">
        <f>IFERROR(H64/H444, "NA")</f>
        <v>NA</v>
      </c>
      <c r="J64" s="9"/>
      <c r="K64" s="7">
        <v>0</v>
      </c>
      <c r="L64" s="8" t="str">
        <f>IFERROR(K64/K444, "NA")</f>
        <v>NA</v>
      </c>
      <c r="M64" s="9"/>
      <c r="N64" s="10">
        <f t="shared" ref="N64:N73" si="17">IFERROR(B64-K64, "NA")</f>
        <v>0</v>
      </c>
      <c r="O64" s="8" t="str">
        <f>IFERROR(N64/N444, "NA")</f>
        <v>NA</v>
      </c>
      <c r="P64" s="9"/>
      <c r="Q64" s="7">
        <v>0</v>
      </c>
      <c r="R64" s="8" t="str">
        <f>IFERROR(Q64/Q444, "NA")</f>
        <v>NA</v>
      </c>
      <c r="S64" s="9"/>
      <c r="T64" s="7">
        <v>0</v>
      </c>
      <c r="U64" s="8" t="str">
        <f>IFERROR(T64/T444, "NA")</f>
        <v>NA</v>
      </c>
      <c r="V64" s="9"/>
      <c r="W64" s="10">
        <f t="shared" ref="W64:W73" si="18">IFERROR(Q64-T64, "NA")</f>
        <v>0</v>
      </c>
      <c r="X64" s="8" t="str">
        <f>IFERROR(W64/W444, "NA")</f>
        <v>NA</v>
      </c>
      <c r="Y64" s="9"/>
      <c r="Z64" s="7">
        <v>0</v>
      </c>
      <c r="AA64" s="8" t="str">
        <f>IFERROR(Z64/Z444, "NA")</f>
        <v>NA</v>
      </c>
      <c r="AB64" s="9"/>
      <c r="AC64" s="10">
        <f t="shared" ref="AC64:AC73" si="19">IFERROR(Q64-Z64, "NA")</f>
        <v>0</v>
      </c>
      <c r="AD64" s="8" t="str">
        <f>IFERROR(AC64/AC444, "NA")</f>
        <v>NA</v>
      </c>
    </row>
    <row r="65" spans="1:30" ht="16.5" hidden="1" customHeight="1" x14ac:dyDescent="0.45">
      <c r="A65" s="12" t="s">
        <v>62</v>
      </c>
      <c r="B65" s="7">
        <v>0</v>
      </c>
      <c r="C65" s="8" t="str">
        <f>IFERROR(B65/B444, "NA")</f>
        <v>NA</v>
      </c>
      <c r="D65" s="9"/>
      <c r="E65" s="7">
        <v>0</v>
      </c>
      <c r="F65" s="8" t="str">
        <f>IFERROR(E65/E444, "NA")</f>
        <v>NA</v>
      </c>
      <c r="G65" s="9"/>
      <c r="H65" s="10">
        <f t="shared" si="16"/>
        <v>0</v>
      </c>
      <c r="I65" s="8" t="str">
        <f>IFERROR(H65/H444, "NA")</f>
        <v>NA</v>
      </c>
      <c r="J65" s="9"/>
      <c r="K65" s="7">
        <v>0</v>
      </c>
      <c r="L65" s="8" t="str">
        <f>IFERROR(K65/K444, "NA")</f>
        <v>NA</v>
      </c>
      <c r="M65" s="9"/>
      <c r="N65" s="10">
        <f t="shared" si="17"/>
        <v>0</v>
      </c>
      <c r="O65" s="8" t="str">
        <f>IFERROR(N65/N444, "NA")</f>
        <v>NA</v>
      </c>
      <c r="P65" s="9"/>
      <c r="Q65" s="7">
        <v>0</v>
      </c>
      <c r="R65" s="8" t="str">
        <f>IFERROR(Q65/Q444, "NA")</f>
        <v>NA</v>
      </c>
      <c r="S65" s="9"/>
      <c r="T65" s="7">
        <v>0</v>
      </c>
      <c r="U65" s="8" t="str">
        <f>IFERROR(T65/T444, "NA")</f>
        <v>NA</v>
      </c>
      <c r="V65" s="9"/>
      <c r="W65" s="10">
        <f t="shared" si="18"/>
        <v>0</v>
      </c>
      <c r="X65" s="8" t="str">
        <f>IFERROR(W65/W444, "NA")</f>
        <v>NA</v>
      </c>
      <c r="Y65" s="9"/>
      <c r="Z65" s="7">
        <v>0</v>
      </c>
      <c r="AA65" s="8" t="str">
        <f>IFERROR(Z65/Z444, "NA")</f>
        <v>NA</v>
      </c>
      <c r="AB65" s="9"/>
      <c r="AC65" s="10">
        <f t="shared" si="19"/>
        <v>0</v>
      </c>
      <c r="AD65" s="8" t="str">
        <f>IFERROR(AC65/AC444, "NA")</f>
        <v>NA</v>
      </c>
    </row>
    <row r="66" spans="1:30" ht="16.5" hidden="1" customHeight="1" x14ac:dyDescent="0.45">
      <c r="A66" s="12" t="s">
        <v>63</v>
      </c>
      <c r="B66" s="7">
        <v>0</v>
      </c>
      <c r="C66" s="8" t="str">
        <f>IFERROR(B66/B444, "NA")</f>
        <v>NA</v>
      </c>
      <c r="D66" s="9"/>
      <c r="E66" s="7">
        <v>0</v>
      </c>
      <c r="F66" s="8" t="str">
        <f>IFERROR(E66/E444, "NA")</f>
        <v>NA</v>
      </c>
      <c r="G66" s="9"/>
      <c r="H66" s="10">
        <f t="shared" si="16"/>
        <v>0</v>
      </c>
      <c r="I66" s="8" t="str">
        <f>IFERROR(H66/H444, "NA")</f>
        <v>NA</v>
      </c>
      <c r="J66" s="9"/>
      <c r="K66" s="7">
        <v>0</v>
      </c>
      <c r="L66" s="8" t="str">
        <f>IFERROR(K66/K444, "NA")</f>
        <v>NA</v>
      </c>
      <c r="M66" s="9"/>
      <c r="N66" s="10">
        <f t="shared" si="17"/>
        <v>0</v>
      </c>
      <c r="O66" s="8" t="str">
        <f>IFERROR(N66/N444, "NA")</f>
        <v>NA</v>
      </c>
      <c r="P66" s="9"/>
      <c r="Q66" s="7">
        <v>0</v>
      </c>
      <c r="R66" s="8" t="str">
        <f>IFERROR(Q66/Q444, "NA")</f>
        <v>NA</v>
      </c>
      <c r="S66" s="9"/>
      <c r="T66" s="7">
        <v>0</v>
      </c>
      <c r="U66" s="8" t="str">
        <f>IFERROR(T66/T444, "NA")</f>
        <v>NA</v>
      </c>
      <c r="V66" s="9"/>
      <c r="W66" s="10">
        <f t="shared" si="18"/>
        <v>0</v>
      </c>
      <c r="X66" s="8" t="str">
        <f>IFERROR(W66/W444, "NA")</f>
        <v>NA</v>
      </c>
      <c r="Y66" s="9"/>
      <c r="Z66" s="7">
        <v>0</v>
      </c>
      <c r="AA66" s="8" t="str">
        <f>IFERROR(Z66/Z444, "NA")</f>
        <v>NA</v>
      </c>
      <c r="AB66" s="9"/>
      <c r="AC66" s="10">
        <f t="shared" si="19"/>
        <v>0</v>
      </c>
      <c r="AD66" s="8" t="str">
        <f>IFERROR(AC66/AC444, "NA")</f>
        <v>NA</v>
      </c>
    </row>
    <row r="67" spans="1:30" ht="16.5" hidden="1" customHeight="1" x14ac:dyDescent="0.45">
      <c r="A67" s="12" t="s">
        <v>64</v>
      </c>
      <c r="B67" s="7">
        <v>0</v>
      </c>
      <c r="C67" s="8" t="str">
        <f>IFERROR(B67/B444, "NA")</f>
        <v>NA</v>
      </c>
      <c r="D67" s="9"/>
      <c r="E67" s="7">
        <v>0</v>
      </c>
      <c r="F67" s="8" t="str">
        <f>IFERROR(E67/E444, "NA")</f>
        <v>NA</v>
      </c>
      <c r="G67" s="9"/>
      <c r="H67" s="10">
        <f t="shared" si="16"/>
        <v>0</v>
      </c>
      <c r="I67" s="8" t="str">
        <f>IFERROR(H67/H444, "NA")</f>
        <v>NA</v>
      </c>
      <c r="J67" s="9"/>
      <c r="K67" s="7">
        <v>0</v>
      </c>
      <c r="L67" s="8" t="str">
        <f>IFERROR(K67/K444, "NA")</f>
        <v>NA</v>
      </c>
      <c r="M67" s="9"/>
      <c r="N67" s="10">
        <f t="shared" si="17"/>
        <v>0</v>
      </c>
      <c r="O67" s="8" t="str">
        <f>IFERROR(N67/N444, "NA")</f>
        <v>NA</v>
      </c>
      <c r="P67" s="9"/>
      <c r="Q67" s="7">
        <v>0</v>
      </c>
      <c r="R67" s="8" t="str">
        <f>IFERROR(Q67/Q444, "NA")</f>
        <v>NA</v>
      </c>
      <c r="S67" s="9"/>
      <c r="T67" s="7">
        <v>0</v>
      </c>
      <c r="U67" s="8" t="str">
        <f>IFERROR(T67/T444, "NA")</f>
        <v>NA</v>
      </c>
      <c r="V67" s="9"/>
      <c r="W67" s="10">
        <f t="shared" si="18"/>
        <v>0</v>
      </c>
      <c r="X67" s="8" t="str">
        <f>IFERROR(W67/W444, "NA")</f>
        <v>NA</v>
      </c>
      <c r="Y67" s="9"/>
      <c r="Z67" s="7">
        <v>0</v>
      </c>
      <c r="AA67" s="8" t="str">
        <f>IFERROR(Z67/Z444, "NA")</f>
        <v>NA</v>
      </c>
      <c r="AB67" s="9"/>
      <c r="AC67" s="10">
        <f t="shared" si="19"/>
        <v>0</v>
      </c>
      <c r="AD67" s="8" t="str">
        <f>IFERROR(AC67/AC444, "NA")</f>
        <v>NA</v>
      </c>
    </row>
    <row r="68" spans="1:30" ht="16.5" hidden="1" customHeight="1" x14ac:dyDescent="0.45">
      <c r="A68" s="12" t="s">
        <v>65</v>
      </c>
      <c r="B68" s="7">
        <v>0</v>
      </c>
      <c r="C68" s="8" t="str">
        <f>IFERROR(B68/B444, "NA")</f>
        <v>NA</v>
      </c>
      <c r="D68" s="9"/>
      <c r="E68" s="7">
        <v>0</v>
      </c>
      <c r="F68" s="8" t="str">
        <f>IFERROR(E68/E444, "NA")</f>
        <v>NA</v>
      </c>
      <c r="G68" s="9"/>
      <c r="H68" s="10">
        <f t="shared" si="16"/>
        <v>0</v>
      </c>
      <c r="I68" s="8" t="str">
        <f>IFERROR(H68/H444, "NA")</f>
        <v>NA</v>
      </c>
      <c r="J68" s="9"/>
      <c r="K68" s="7">
        <v>0</v>
      </c>
      <c r="L68" s="8" t="str">
        <f>IFERROR(K68/K444, "NA")</f>
        <v>NA</v>
      </c>
      <c r="M68" s="9"/>
      <c r="N68" s="10">
        <f t="shared" si="17"/>
        <v>0</v>
      </c>
      <c r="O68" s="8" t="str">
        <f>IFERROR(N68/N444, "NA")</f>
        <v>NA</v>
      </c>
      <c r="P68" s="9"/>
      <c r="Q68" s="7">
        <v>0</v>
      </c>
      <c r="R68" s="8" t="str">
        <f>IFERROR(Q68/Q444, "NA")</f>
        <v>NA</v>
      </c>
      <c r="S68" s="9"/>
      <c r="T68" s="7">
        <v>0</v>
      </c>
      <c r="U68" s="8" t="str">
        <f>IFERROR(T68/T444, "NA")</f>
        <v>NA</v>
      </c>
      <c r="V68" s="9"/>
      <c r="W68" s="10">
        <f t="shared" si="18"/>
        <v>0</v>
      </c>
      <c r="X68" s="8" t="str">
        <f>IFERROR(W68/W444, "NA")</f>
        <v>NA</v>
      </c>
      <c r="Y68" s="9"/>
      <c r="Z68" s="7">
        <v>0</v>
      </c>
      <c r="AA68" s="8" t="str">
        <f>IFERROR(Z68/Z444, "NA")</f>
        <v>NA</v>
      </c>
      <c r="AB68" s="9"/>
      <c r="AC68" s="10">
        <f t="shared" si="19"/>
        <v>0</v>
      </c>
      <c r="AD68" s="8" t="str">
        <f>IFERROR(AC68/AC444, "NA")</f>
        <v>NA</v>
      </c>
    </row>
    <row r="69" spans="1:30" ht="16.5" hidden="1" customHeight="1" x14ac:dyDescent="0.45">
      <c r="A69" s="12" t="s">
        <v>66</v>
      </c>
      <c r="B69" s="7">
        <v>0</v>
      </c>
      <c r="C69" s="8" t="str">
        <f>IFERROR(B69/B444, "NA")</f>
        <v>NA</v>
      </c>
      <c r="D69" s="9"/>
      <c r="E69" s="7">
        <v>0</v>
      </c>
      <c r="F69" s="8" t="str">
        <f>IFERROR(E69/E444, "NA")</f>
        <v>NA</v>
      </c>
      <c r="G69" s="9"/>
      <c r="H69" s="10">
        <f t="shared" si="16"/>
        <v>0</v>
      </c>
      <c r="I69" s="8" t="str">
        <f>IFERROR(H69/H444, "NA")</f>
        <v>NA</v>
      </c>
      <c r="J69" s="9"/>
      <c r="K69" s="7">
        <v>0</v>
      </c>
      <c r="L69" s="8" t="str">
        <f>IFERROR(K69/K444, "NA")</f>
        <v>NA</v>
      </c>
      <c r="M69" s="9"/>
      <c r="N69" s="10">
        <f t="shared" si="17"/>
        <v>0</v>
      </c>
      <c r="O69" s="8" t="str">
        <f>IFERROR(N69/N444, "NA")</f>
        <v>NA</v>
      </c>
      <c r="P69" s="9"/>
      <c r="Q69" s="7">
        <v>0</v>
      </c>
      <c r="R69" s="8" t="str">
        <f>IFERROR(Q69/Q444, "NA")</f>
        <v>NA</v>
      </c>
      <c r="S69" s="9"/>
      <c r="T69" s="7">
        <v>0</v>
      </c>
      <c r="U69" s="8" t="str">
        <f>IFERROR(T69/T444, "NA")</f>
        <v>NA</v>
      </c>
      <c r="V69" s="9"/>
      <c r="W69" s="10">
        <f t="shared" si="18"/>
        <v>0</v>
      </c>
      <c r="X69" s="8" t="str">
        <f>IFERROR(W69/W444, "NA")</f>
        <v>NA</v>
      </c>
      <c r="Y69" s="9"/>
      <c r="Z69" s="7">
        <v>0</v>
      </c>
      <c r="AA69" s="8" t="str">
        <f>IFERROR(Z69/Z444, "NA")</f>
        <v>NA</v>
      </c>
      <c r="AB69" s="9"/>
      <c r="AC69" s="10">
        <f t="shared" si="19"/>
        <v>0</v>
      </c>
      <c r="AD69" s="8" t="str">
        <f>IFERROR(AC69/AC444, "NA")</f>
        <v>NA</v>
      </c>
    </row>
    <row r="70" spans="1:30" ht="16.5" hidden="1" customHeight="1" x14ac:dyDescent="0.45">
      <c r="A70" s="12" t="s">
        <v>67</v>
      </c>
      <c r="B70" s="7">
        <v>0</v>
      </c>
      <c r="C70" s="8" t="str">
        <f>IFERROR(B70/B444, "NA")</f>
        <v>NA</v>
      </c>
      <c r="D70" s="9"/>
      <c r="E70" s="7">
        <v>0</v>
      </c>
      <c r="F70" s="8" t="str">
        <f>IFERROR(E70/E444, "NA")</f>
        <v>NA</v>
      </c>
      <c r="G70" s="9"/>
      <c r="H70" s="10">
        <f t="shared" si="16"/>
        <v>0</v>
      </c>
      <c r="I70" s="8" t="str">
        <f>IFERROR(H70/H444, "NA")</f>
        <v>NA</v>
      </c>
      <c r="J70" s="9"/>
      <c r="K70" s="7">
        <v>0</v>
      </c>
      <c r="L70" s="8" t="str">
        <f>IFERROR(K70/K444, "NA")</f>
        <v>NA</v>
      </c>
      <c r="M70" s="9"/>
      <c r="N70" s="10">
        <f t="shared" si="17"/>
        <v>0</v>
      </c>
      <c r="O70" s="8" t="str">
        <f>IFERROR(N70/N444, "NA")</f>
        <v>NA</v>
      </c>
      <c r="P70" s="9"/>
      <c r="Q70" s="7">
        <v>0</v>
      </c>
      <c r="R70" s="8" t="str">
        <f>IFERROR(Q70/Q444, "NA")</f>
        <v>NA</v>
      </c>
      <c r="S70" s="9"/>
      <c r="T70" s="7">
        <v>0</v>
      </c>
      <c r="U70" s="8" t="str">
        <f>IFERROR(T70/T444, "NA")</f>
        <v>NA</v>
      </c>
      <c r="V70" s="9"/>
      <c r="W70" s="10">
        <f t="shared" si="18"/>
        <v>0</v>
      </c>
      <c r="X70" s="8" t="str">
        <f>IFERROR(W70/W444, "NA")</f>
        <v>NA</v>
      </c>
      <c r="Y70" s="9"/>
      <c r="Z70" s="7">
        <v>0</v>
      </c>
      <c r="AA70" s="8" t="str">
        <f>IFERROR(Z70/Z444, "NA")</f>
        <v>NA</v>
      </c>
      <c r="AB70" s="9"/>
      <c r="AC70" s="10">
        <f t="shared" si="19"/>
        <v>0</v>
      </c>
      <c r="AD70" s="8" t="str">
        <f>IFERROR(AC70/AC444, "NA")</f>
        <v>NA</v>
      </c>
    </row>
    <row r="71" spans="1:30" ht="16.5" hidden="1" customHeight="1" x14ac:dyDescent="0.45">
      <c r="A71" s="12" t="s">
        <v>68</v>
      </c>
      <c r="B71" s="7">
        <v>0</v>
      </c>
      <c r="C71" s="8" t="str">
        <f>IFERROR(B71/B444, "NA")</f>
        <v>NA</v>
      </c>
      <c r="D71" s="9"/>
      <c r="E71" s="7">
        <v>0</v>
      </c>
      <c r="F71" s="8" t="str">
        <f>IFERROR(E71/E444, "NA")</f>
        <v>NA</v>
      </c>
      <c r="G71" s="9"/>
      <c r="H71" s="10">
        <f t="shared" si="16"/>
        <v>0</v>
      </c>
      <c r="I71" s="8" t="str">
        <f>IFERROR(H71/H444, "NA")</f>
        <v>NA</v>
      </c>
      <c r="J71" s="9"/>
      <c r="K71" s="7">
        <v>0</v>
      </c>
      <c r="L71" s="8" t="str">
        <f>IFERROR(K71/K444, "NA")</f>
        <v>NA</v>
      </c>
      <c r="M71" s="9"/>
      <c r="N71" s="10">
        <f t="shared" si="17"/>
        <v>0</v>
      </c>
      <c r="O71" s="8" t="str">
        <f>IFERROR(N71/N444, "NA")</f>
        <v>NA</v>
      </c>
      <c r="P71" s="9"/>
      <c r="Q71" s="7">
        <v>0</v>
      </c>
      <c r="R71" s="8" t="str">
        <f>IFERROR(Q71/Q444, "NA")</f>
        <v>NA</v>
      </c>
      <c r="S71" s="9"/>
      <c r="T71" s="7">
        <v>0</v>
      </c>
      <c r="U71" s="8" t="str">
        <f>IFERROR(T71/T444, "NA")</f>
        <v>NA</v>
      </c>
      <c r="V71" s="9"/>
      <c r="W71" s="10">
        <f t="shared" si="18"/>
        <v>0</v>
      </c>
      <c r="X71" s="8" t="str">
        <f>IFERROR(W71/W444, "NA")</f>
        <v>NA</v>
      </c>
      <c r="Y71" s="9"/>
      <c r="Z71" s="7">
        <v>0</v>
      </c>
      <c r="AA71" s="8" t="str">
        <f>IFERROR(Z71/Z444, "NA")</f>
        <v>NA</v>
      </c>
      <c r="AB71" s="9"/>
      <c r="AC71" s="10">
        <f t="shared" si="19"/>
        <v>0</v>
      </c>
      <c r="AD71" s="8" t="str">
        <f>IFERROR(AC71/AC444, "NA")</f>
        <v>NA</v>
      </c>
    </row>
    <row r="72" spans="1:30" ht="16.5" hidden="1" customHeight="1" x14ac:dyDescent="0.45">
      <c r="A72" s="12" t="s">
        <v>69</v>
      </c>
      <c r="B72" s="7">
        <v>0</v>
      </c>
      <c r="C72" s="8" t="str">
        <f>IFERROR(B72/B444, "NA")</f>
        <v>NA</v>
      </c>
      <c r="D72" s="9"/>
      <c r="E72" s="7">
        <v>0</v>
      </c>
      <c r="F72" s="8" t="str">
        <f>IFERROR(E72/E444, "NA")</f>
        <v>NA</v>
      </c>
      <c r="G72" s="9"/>
      <c r="H72" s="10">
        <f t="shared" si="16"/>
        <v>0</v>
      </c>
      <c r="I72" s="8" t="str">
        <f>IFERROR(H72/H444, "NA")</f>
        <v>NA</v>
      </c>
      <c r="J72" s="9"/>
      <c r="K72" s="7">
        <v>0</v>
      </c>
      <c r="L72" s="8" t="str">
        <f>IFERROR(K72/K444, "NA")</f>
        <v>NA</v>
      </c>
      <c r="M72" s="9"/>
      <c r="N72" s="10">
        <f t="shared" si="17"/>
        <v>0</v>
      </c>
      <c r="O72" s="8" t="str">
        <f>IFERROR(N72/N444, "NA")</f>
        <v>NA</v>
      </c>
      <c r="P72" s="9"/>
      <c r="Q72" s="7">
        <v>0</v>
      </c>
      <c r="R72" s="8" t="str">
        <f>IFERROR(Q72/Q444, "NA")</f>
        <v>NA</v>
      </c>
      <c r="S72" s="9"/>
      <c r="T72" s="7">
        <v>0</v>
      </c>
      <c r="U72" s="8" t="str">
        <f>IFERROR(T72/T444, "NA")</f>
        <v>NA</v>
      </c>
      <c r="V72" s="9"/>
      <c r="W72" s="10">
        <f t="shared" si="18"/>
        <v>0</v>
      </c>
      <c r="X72" s="8" t="str">
        <f>IFERROR(W72/W444, "NA")</f>
        <v>NA</v>
      </c>
      <c r="Y72" s="9"/>
      <c r="Z72" s="7">
        <v>0</v>
      </c>
      <c r="AA72" s="8" t="str">
        <f>IFERROR(Z72/Z444, "NA")</f>
        <v>NA</v>
      </c>
      <c r="AB72" s="9"/>
      <c r="AC72" s="10">
        <f t="shared" si="19"/>
        <v>0</v>
      </c>
      <c r="AD72" s="8" t="str">
        <f>IFERROR(AC72/AC444, "NA")</f>
        <v>NA</v>
      </c>
    </row>
    <row r="73" spans="1:30" ht="16.5" customHeight="1" x14ac:dyDescent="0.45">
      <c r="A73" s="13" t="s">
        <v>70</v>
      </c>
      <c r="B73" s="14">
        <f>IFERROR(B64+B65+B66+B67+B68+B69+B70+B71+B72, "NA")</f>
        <v>0</v>
      </c>
      <c r="C73" s="15" t="str">
        <f>IFERROR(B73/B444, "NA")</f>
        <v>NA</v>
      </c>
      <c r="D73" s="2"/>
      <c r="E73" s="14">
        <f>IFERROR(E64+E65+E66+E67+E68+E69+E70+E71+E72, "NA")</f>
        <v>0</v>
      </c>
      <c r="F73" s="15" t="str">
        <f>IFERROR(E73/E444, "NA")</f>
        <v>NA</v>
      </c>
      <c r="G73" s="2"/>
      <c r="H73" s="14">
        <f t="shared" si="16"/>
        <v>0</v>
      </c>
      <c r="I73" s="15" t="str">
        <f>IFERROR(H73/H444, "NA")</f>
        <v>NA</v>
      </c>
      <c r="J73" s="2"/>
      <c r="K73" s="14">
        <f>IFERROR(K64+K65+K66+K67+K68+K69+K70+K71+K72, "NA")</f>
        <v>0</v>
      </c>
      <c r="L73" s="15" t="str">
        <f>IFERROR(K73/K444, "NA")</f>
        <v>NA</v>
      </c>
      <c r="M73" s="2"/>
      <c r="N73" s="14">
        <f t="shared" si="17"/>
        <v>0</v>
      </c>
      <c r="O73" s="15" t="str">
        <f>IFERROR(N73/N444, "NA")</f>
        <v>NA</v>
      </c>
      <c r="P73" s="2"/>
      <c r="Q73" s="14">
        <f>IFERROR(Q64+Q65+Q66+Q67+Q68+Q69+Q70+Q71+Q72, "NA")</f>
        <v>0</v>
      </c>
      <c r="R73" s="15" t="str">
        <f>IFERROR(Q73/Q444, "NA")</f>
        <v>NA</v>
      </c>
      <c r="S73" s="2"/>
      <c r="T73" s="14">
        <f>IFERROR(T64+T65+T66+T67+T68+T69+T70+T71+T72, "NA")</f>
        <v>0</v>
      </c>
      <c r="U73" s="15" t="str">
        <f>IFERROR(T73/T444, "NA")</f>
        <v>NA</v>
      </c>
      <c r="V73" s="2"/>
      <c r="W73" s="14">
        <f t="shared" si="18"/>
        <v>0</v>
      </c>
      <c r="X73" s="15" t="str">
        <f>IFERROR(W73/W444, "NA")</f>
        <v>NA</v>
      </c>
      <c r="Y73" s="2"/>
      <c r="Z73" s="14">
        <f>IFERROR(Z64+Z65+Z66+Z67+Z68+Z69+Z70+Z71+Z72, "NA")</f>
        <v>0</v>
      </c>
      <c r="AA73" s="15" t="str">
        <f>IFERROR(Z73/Z444, "NA")</f>
        <v>NA</v>
      </c>
      <c r="AB73" s="2"/>
      <c r="AC73" s="14">
        <f t="shared" si="19"/>
        <v>0</v>
      </c>
      <c r="AD73" s="15" t="str">
        <f>IFERROR(AC73/AC444, "NA")</f>
        <v>NA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hidden="1" customHeight="1" x14ac:dyDescent="0.45">
      <c r="A75" s="12" t="s">
        <v>71</v>
      </c>
      <c r="B75" s="7">
        <v>0</v>
      </c>
      <c r="C75" s="8" t="str">
        <f>IFERROR(B75/B444, "NA")</f>
        <v>NA</v>
      </c>
      <c r="D75" s="9"/>
      <c r="E75" s="7">
        <v>0</v>
      </c>
      <c r="F75" s="8" t="str">
        <f>IFERROR(E75/E444, "NA")</f>
        <v>NA</v>
      </c>
      <c r="G75" s="9"/>
      <c r="H75" s="10">
        <f t="shared" ref="H75:H92" si="20">IFERROR(B75-E75, "NA")</f>
        <v>0</v>
      </c>
      <c r="I75" s="8" t="str">
        <f>IFERROR(H75/H444, "NA")</f>
        <v>NA</v>
      </c>
      <c r="J75" s="9"/>
      <c r="K75" s="7">
        <v>0</v>
      </c>
      <c r="L75" s="8" t="str">
        <f>IFERROR(K75/K444, "NA")</f>
        <v>NA</v>
      </c>
      <c r="M75" s="9"/>
      <c r="N75" s="10">
        <f t="shared" ref="N75:N92" si="21">IFERROR(B75-K75, "NA")</f>
        <v>0</v>
      </c>
      <c r="O75" s="8" t="str">
        <f>IFERROR(N75/N444, "NA")</f>
        <v>NA</v>
      </c>
      <c r="P75" s="9"/>
      <c r="Q75" s="7">
        <v>0</v>
      </c>
      <c r="R75" s="8" t="str">
        <f>IFERROR(Q75/Q444, "NA")</f>
        <v>NA</v>
      </c>
      <c r="S75" s="9"/>
      <c r="T75" s="7">
        <v>0</v>
      </c>
      <c r="U75" s="8" t="str">
        <f>IFERROR(T75/T444, "NA")</f>
        <v>NA</v>
      </c>
      <c r="V75" s="9"/>
      <c r="W75" s="10">
        <f t="shared" ref="W75:W92" si="22">IFERROR(Q75-T75, "NA")</f>
        <v>0</v>
      </c>
      <c r="X75" s="8" t="str">
        <f>IFERROR(W75/W444, "NA")</f>
        <v>NA</v>
      </c>
      <c r="Y75" s="9"/>
      <c r="Z75" s="7">
        <v>0</v>
      </c>
      <c r="AA75" s="8" t="str">
        <f>IFERROR(Z75/Z444, "NA")</f>
        <v>NA</v>
      </c>
      <c r="AB75" s="9"/>
      <c r="AC75" s="10">
        <f t="shared" ref="AC75:AC92" si="23">IFERROR(Q75-Z75, "NA")</f>
        <v>0</v>
      </c>
      <c r="AD75" s="8" t="str">
        <f>IFERROR(AC75/AC444, "NA")</f>
        <v>NA</v>
      </c>
    </row>
    <row r="76" spans="1:30" ht="16.5" hidden="1" customHeight="1" x14ac:dyDescent="0.45">
      <c r="A76" s="12" t="s">
        <v>72</v>
      </c>
      <c r="B76" s="7">
        <v>0</v>
      </c>
      <c r="C76" s="8" t="str">
        <f>IFERROR(B76/B444, "NA")</f>
        <v>NA</v>
      </c>
      <c r="D76" s="9"/>
      <c r="E76" s="7">
        <v>0</v>
      </c>
      <c r="F76" s="8" t="str">
        <f>IFERROR(E76/E444, "NA")</f>
        <v>NA</v>
      </c>
      <c r="G76" s="9"/>
      <c r="H76" s="10">
        <f t="shared" si="20"/>
        <v>0</v>
      </c>
      <c r="I76" s="8" t="str">
        <f>IFERROR(H76/H444, "NA")</f>
        <v>NA</v>
      </c>
      <c r="J76" s="9"/>
      <c r="K76" s="7">
        <v>0</v>
      </c>
      <c r="L76" s="8" t="str">
        <f>IFERROR(K76/K444, "NA")</f>
        <v>NA</v>
      </c>
      <c r="M76" s="9"/>
      <c r="N76" s="10">
        <f t="shared" si="21"/>
        <v>0</v>
      </c>
      <c r="O76" s="8" t="str">
        <f>IFERROR(N76/N444, "NA")</f>
        <v>NA</v>
      </c>
      <c r="P76" s="9"/>
      <c r="Q76" s="7">
        <v>0</v>
      </c>
      <c r="R76" s="8" t="str">
        <f>IFERROR(Q76/Q444, "NA")</f>
        <v>NA</v>
      </c>
      <c r="S76" s="9"/>
      <c r="T76" s="7">
        <v>0</v>
      </c>
      <c r="U76" s="8" t="str">
        <f>IFERROR(T76/T444, "NA")</f>
        <v>NA</v>
      </c>
      <c r="V76" s="9"/>
      <c r="W76" s="10">
        <f t="shared" si="22"/>
        <v>0</v>
      </c>
      <c r="X76" s="8" t="str">
        <f>IFERROR(W76/W444, "NA")</f>
        <v>NA</v>
      </c>
      <c r="Y76" s="9"/>
      <c r="Z76" s="7">
        <v>0</v>
      </c>
      <c r="AA76" s="8" t="str">
        <f>IFERROR(Z76/Z444, "NA")</f>
        <v>NA</v>
      </c>
      <c r="AB76" s="9"/>
      <c r="AC76" s="10">
        <f t="shared" si="23"/>
        <v>0</v>
      </c>
      <c r="AD76" s="8" t="str">
        <f>IFERROR(AC76/AC444, "NA")</f>
        <v>NA</v>
      </c>
    </row>
    <row r="77" spans="1:30" ht="16.5" hidden="1" customHeight="1" x14ac:dyDescent="0.45">
      <c r="A77" s="12" t="s">
        <v>73</v>
      </c>
      <c r="B77" s="7">
        <v>0</v>
      </c>
      <c r="C77" s="8" t="str">
        <f>IFERROR(B77/B444, "NA")</f>
        <v>NA</v>
      </c>
      <c r="D77" s="9"/>
      <c r="E77" s="7">
        <v>0</v>
      </c>
      <c r="F77" s="8" t="str">
        <f>IFERROR(E77/E444, "NA")</f>
        <v>NA</v>
      </c>
      <c r="G77" s="9"/>
      <c r="H77" s="10">
        <f t="shared" si="20"/>
        <v>0</v>
      </c>
      <c r="I77" s="8" t="str">
        <f>IFERROR(H77/H444, "NA")</f>
        <v>NA</v>
      </c>
      <c r="J77" s="9"/>
      <c r="K77" s="7">
        <v>0</v>
      </c>
      <c r="L77" s="8" t="str">
        <f>IFERROR(K77/K444, "NA")</f>
        <v>NA</v>
      </c>
      <c r="M77" s="9"/>
      <c r="N77" s="10">
        <f t="shared" si="21"/>
        <v>0</v>
      </c>
      <c r="O77" s="8" t="str">
        <f>IFERROR(N77/N444, "NA")</f>
        <v>NA</v>
      </c>
      <c r="P77" s="9"/>
      <c r="Q77" s="7">
        <v>0</v>
      </c>
      <c r="R77" s="8" t="str">
        <f>IFERROR(Q77/Q444, "NA")</f>
        <v>NA</v>
      </c>
      <c r="S77" s="9"/>
      <c r="T77" s="7">
        <v>0</v>
      </c>
      <c r="U77" s="8" t="str">
        <f>IFERROR(T77/T444, "NA")</f>
        <v>NA</v>
      </c>
      <c r="V77" s="9"/>
      <c r="W77" s="10">
        <f t="shared" si="22"/>
        <v>0</v>
      </c>
      <c r="X77" s="8" t="str">
        <f>IFERROR(W77/W444, "NA")</f>
        <v>NA</v>
      </c>
      <c r="Y77" s="9"/>
      <c r="Z77" s="7">
        <v>0</v>
      </c>
      <c r="AA77" s="8" t="str">
        <f>IFERROR(Z77/Z444, "NA")</f>
        <v>NA</v>
      </c>
      <c r="AB77" s="9"/>
      <c r="AC77" s="10">
        <f t="shared" si="23"/>
        <v>0</v>
      </c>
      <c r="AD77" s="8" t="str">
        <f>IFERROR(AC77/AC444, "NA")</f>
        <v>NA</v>
      </c>
    </row>
    <row r="78" spans="1:30" ht="16.5" hidden="1" customHeight="1" x14ac:dyDescent="0.45">
      <c r="A78" s="12" t="s">
        <v>74</v>
      </c>
      <c r="B78" s="7">
        <v>0</v>
      </c>
      <c r="C78" s="8" t="str">
        <f>IFERROR(B78/B444, "NA")</f>
        <v>NA</v>
      </c>
      <c r="D78" s="9"/>
      <c r="E78" s="7">
        <v>0</v>
      </c>
      <c r="F78" s="8" t="str">
        <f>IFERROR(E78/E444, "NA")</f>
        <v>NA</v>
      </c>
      <c r="G78" s="9"/>
      <c r="H78" s="10">
        <f t="shared" si="20"/>
        <v>0</v>
      </c>
      <c r="I78" s="8" t="str">
        <f>IFERROR(H78/H444, "NA")</f>
        <v>NA</v>
      </c>
      <c r="J78" s="9"/>
      <c r="K78" s="7">
        <v>0</v>
      </c>
      <c r="L78" s="8" t="str">
        <f>IFERROR(K78/K444, "NA")</f>
        <v>NA</v>
      </c>
      <c r="M78" s="9"/>
      <c r="N78" s="10">
        <f t="shared" si="21"/>
        <v>0</v>
      </c>
      <c r="O78" s="8" t="str">
        <f>IFERROR(N78/N444, "NA")</f>
        <v>NA</v>
      </c>
      <c r="P78" s="9"/>
      <c r="Q78" s="7">
        <v>0</v>
      </c>
      <c r="R78" s="8" t="str">
        <f>IFERROR(Q78/Q444, "NA")</f>
        <v>NA</v>
      </c>
      <c r="S78" s="9"/>
      <c r="T78" s="7">
        <v>0</v>
      </c>
      <c r="U78" s="8" t="str">
        <f>IFERROR(T78/T444, "NA")</f>
        <v>NA</v>
      </c>
      <c r="V78" s="9"/>
      <c r="W78" s="10">
        <f t="shared" si="22"/>
        <v>0</v>
      </c>
      <c r="X78" s="8" t="str">
        <f>IFERROR(W78/W444, "NA")</f>
        <v>NA</v>
      </c>
      <c r="Y78" s="9"/>
      <c r="Z78" s="7">
        <v>0</v>
      </c>
      <c r="AA78" s="8" t="str">
        <f>IFERROR(Z78/Z444, "NA")</f>
        <v>NA</v>
      </c>
      <c r="AB78" s="9"/>
      <c r="AC78" s="10">
        <f t="shared" si="23"/>
        <v>0</v>
      </c>
      <c r="AD78" s="8" t="str">
        <f>IFERROR(AC78/AC444, "NA")</f>
        <v>NA</v>
      </c>
    </row>
    <row r="79" spans="1:30" ht="16.5" hidden="1" customHeight="1" x14ac:dyDescent="0.45">
      <c r="A79" s="12" t="s">
        <v>75</v>
      </c>
      <c r="B79" s="7">
        <v>0</v>
      </c>
      <c r="C79" s="8" t="str">
        <f>IFERROR(B79/B444, "NA")</f>
        <v>NA</v>
      </c>
      <c r="D79" s="9"/>
      <c r="E79" s="7">
        <v>0</v>
      </c>
      <c r="F79" s="8" t="str">
        <f>IFERROR(E79/E444, "NA")</f>
        <v>NA</v>
      </c>
      <c r="G79" s="9"/>
      <c r="H79" s="10">
        <f t="shared" si="20"/>
        <v>0</v>
      </c>
      <c r="I79" s="8" t="str">
        <f>IFERROR(H79/H444, "NA")</f>
        <v>NA</v>
      </c>
      <c r="J79" s="9"/>
      <c r="K79" s="7">
        <v>0</v>
      </c>
      <c r="L79" s="8" t="str">
        <f>IFERROR(K79/K444, "NA")</f>
        <v>NA</v>
      </c>
      <c r="M79" s="9"/>
      <c r="N79" s="10">
        <f t="shared" si="21"/>
        <v>0</v>
      </c>
      <c r="O79" s="8" t="str">
        <f>IFERROR(N79/N444, "NA")</f>
        <v>NA</v>
      </c>
      <c r="P79" s="9"/>
      <c r="Q79" s="7">
        <v>0</v>
      </c>
      <c r="R79" s="8" t="str">
        <f>IFERROR(Q79/Q444, "NA")</f>
        <v>NA</v>
      </c>
      <c r="S79" s="9"/>
      <c r="T79" s="7">
        <v>0</v>
      </c>
      <c r="U79" s="8" t="str">
        <f>IFERROR(T79/T444, "NA")</f>
        <v>NA</v>
      </c>
      <c r="V79" s="9"/>
      <c r="W79" s="10">
        <f t="shared" si="22"/>
        <v>0</v>
      </c>
      <c r="X79" s="8" t="str">
        <f>IFERROR(W79/W444, "NA")</f>
        <v>NA</v>
      </c>
      <c r="Y79" s="9"/>
      <c r="Z79" s="7">
        <v>0</v>
      </c>
      <c r="AA79" s="8" t="str">
        <f>IFERROR(Z79/Z444, "NA")</f>
        <v>NA</v>
      </c>
      <c r="AB79" s="9"/>
      <c r="AC79" s="10">
        <f t="shared" si="23"/>
        <v>0</v>
      </c>
      <c r="AD79" s="8" t="str">
        <f>IFERROR(AC79/AC444, "NA")</f>
        <v>NA</v>
      </c>
    </row>
    <row r="80" spans="1:30" ht="16.5" hidden="1" customHeight="1" x14ac:dyDescent="0.45">
      <c r="A80" s="12" t="s">
        <v>76</v>
      </c>
      <c r="B80" s="7">
        <v>0</v>
      </c>
      <c r="C80" s="8" t="str">
        <f>IFERROR(B80/B444, "NA")</f>
        <v>NA</v>
      </c>
      <c r="D80" s="9"/>
      <c r="E80" s="7">
        <v>0</v>
      </c>
      <c r="F80" s="8" t="str">
        <f>IFERROR(E80/E444, "NA")</f>
        <v>NA</v>
      </c>
      <c r="G80" s="9"/>
      <c r="H80" s="10">
        <f t="shared" si="20"/>
        <v>0</v>
      </c>
      <c r="I80" s="8" t="str">
        <f>IFERROR(H80/H444, "NA")</f>
        <v>NA</v>
      </c>
      <c r="J80" s="9"/>
      <c r="K80" s="7">
        <v>0</v>
      </c>
      <c r="L80" s="8" t="str">
        <f>IFERROR(K80/K444, "NA")</f>
        <v>NA</v>
      </c>
      <c r="M80" s="9"/>
      <c r="N80" s="10">
        <f t="shared" si="21"/>
        <v>0</v>
      </c>
      <c r="O80" s="8" t="str">
        <f>IFERROR(N80/N444, "NA")</f>
        <v>NA</v>
      </c>
      <c r="P80" s="9"/>
      <c r="Q80" s="7">
        <v>0</v>
      </c>
      <c r="R80" s="8" t="str">
        <f>IFERROR(Q80/Q444, "NA")</f>
        <v>NA</v>
      </c>
      <c r="S80" s="9"/>
      <c r="T80" s="7">
        <v>0</v>
      </c>
      <c r="U80" s="8" t="str">
        <f>IFERROR(T80/T444, "NA")</f>
        <v>NA</v>
      </c>
      <c r="V80" s="9"/>
      <c r="W80" s="10">
        <f t="shared" si="22"/>
        <v>0</v>
      </c>
      <c r="X80" s="8" t="str">
        <f>IFERROR(W80/W444, "NA")</f>
        <v>NA</v>
      </c>
      <c r="Y80" s="9"/>
      <c r="Z80" s="7">
        <v>0</v>
      </c>
      <c r="AA80" s="8" t="str">
        <f>IFERROR(Z80/Z444, "NA")</f>
        <v>NA</v>
      </c>
      <c r="AB80" s="9"/>
      <c r="AC80" s="10">
        <f t="shared" si="23"/>
        <v>0</v>
      </c>
      <c r="AD80" s="8" t="str">
        <f>IFERROR(AC80/AC444, "NA")</f>
        <v>NA</v>
      </c>
    </row>
    <row r="81" spans="1:30" ht="16.5" hidden="1" customHeight="1" x14ac:dyDescent="0.45">
      <c r="A81" s="12" t="s">
        <v>77</v>
      </c>
      <c r="B81" s="7">
        <v>0</v>
      </c>
      <c r="C81" s="8" t="str">
        <f>IFERROR(B81/B444, "NA")</f>
        <v>NA</v>
      </c>
      <c r="D81" s="9"/>
      <c r="E81" s="7">
        <v>0</v>
      </c>
      <c r="F81" s="8" t="str">
        <f>IFERROR(E81/E444, "NA")</f>
        <v>NA</v>
      </c>
      <c r="G81" s="9"/>
      <c r="H81" s="10">
        <f t="shared" si="20"/>
        <v>0</v>
      </c>
      <c r="I81" s="8" t="str">
        <f>IFERROR(H81/H444, "NA")</f>
        <v>NA</v>
      </c>
      <c r="J81" s="9"/>
      <c r="K81" s="7">
        <v>0</v>
      </c>
      <c r="L81" s="8" t="str">
        <f>IFERROR(K81/K444, "NA")</f>
        <v>NA</v>
      </c>
      <c r="M81" s="9"/>
      <c r="N81" s="10">
        <f t="shared" si="21"/>
        <v>0</v>
      </c>
      <c r="O81" s="8" t="str">
        <f>IFERROR(N81/N444, "NA")</f>
        <v>NA</v>
      </c>
      <c r="P81" s="9"/>
      <c r="Q81" s="7">
        <v>0</v>
      </c>
      <c r="R81" s="8" t="str">
        <f>IFERROR(Q81/Q444, "NA")</f>
        <v>NA</v>
      </c>
      <c r="S81" s="9"/>
      <c r="T81" s="7">
        <v>0</v>
      </c>
      <c r="U81" s="8" t="str">
        <f>IFERROR(T81/T444, "NA")</f>
        <v>NA</v>
      </c>
      <c r="V81" s="9"/>
      <c r="W81" s="10">
        <f t="shared" si="22"/>
        <v>0</v>
      </c>
      <c r="X81" s="8" t="str">
        <f>IFERROR(W81/W444, "NA")</f>
        <v>NA</v>
      </c>
      <c r="Y81" s="9"/>
      <c r="Z81" s="7">
        <v>0</v>
      </c>
      <c r="AA81" s="8" t="str">
        <f>IFERROR(Z81/Z444, "NA")</f>
        <v>NA</v>
      </c>
      <c r="AB81" s="9"/>
      <c r="AC81" s="10">
        <f t="shared" si="23"/>
        <v>0</v>
      </c>
      <c r="AD81" s="8" t="str">
        <f>IFERROR(AC81/AC444, "NA")</f>
        <v>NA</v>
      </c>
    </row>
    <row r="82" spans="1:30" ht="16.5" hidden="1" customHeight="1" x14ac:dyDescent="0.45">
      <c r="A82" s="12" t="s">
        <v>78</v>
      </c>
      <c r="B82" s="7">
        <v>0</v>
      </c>
      <c r="C82" s="8" t="str">
        <f>IFERROR(B82/B444, "NA")</f>
        <v>NA</v>
      </c>
      <c r="D82" s="9"/>
      <c r="E82" s="7">
        <v>0</v>
      </c>
      <c r="F82" s="8" t="str">
        <f>IFERROR(E82/E444, "NA")</f>
        <v>NA</v>
      </c>
      <c r="G82" s="9"/>
      <c r="H82" s="10">
        <f t="shared" si="20"/>
        <v>0</v>
      </c>
      <c r="I82" s="8" t="str">
        <f>IFERROR(H82/H444, "NA")</f>
        <v>NA</v>
      </c>
      <c r="J82" s="9"/>
      <c r="K82" s="7">
        <v>0</v>
      </c>
      <c r="L82" s="8" t="str">
        <f>IFERROR(K82/K444, "NA")</f>
        <v>NA</v>
      </c>
      <c r="M82" s="9"/>
      <c r="N82" s="10">
        <f t="shared" si="21"/>
        <v>0</v>
      </c>
      <c r="O82" s="8" t="str">
        <f>IFERROR(N82/N444, "NA")</f>
        <v>NA</v>
      </c>
      <c r="P82" s="9"/>
      <c r="Q82" s="7">
        <v>0</v>
      </c>
      <c r="R82" s="8" t="str">
        <f>IFERROR(Q82/Q444, "NA")</f>
        <v>NA</v>
      </c>
      <c r="S82" s="9"/>
      <c r="T82" s="7">
        <v>0</v>
      </c>
      <c r="U82" s="8" t="str">
        <f>IFERROR(T82/T444, "NA")</f>
        <v>NA</v>
      </c>
      <c r="V82" s="9"/>
      <c r="W82" s="10">
        <f t="shared" si="22"/>
        <v>0</v>
      </c>
      <c r="X82" s="8" t="str">
        <f>IFERROR(W82/W444, "NA")</f>
        <v>NA</v>
      </c>
      <c r="Y82" s="9"/>
      <c r="Z82" s="7">
        <v>0</v>
      </c>
      <c r="AA82" s="8" t="str">
        <f>IFERROR(Z82/Z444, "NA")</f>
        <v>NA</v>
      </c>
      <c r="AB82" s="9"/>
      <c r="AC82" s="10">
        <f t="shared" si="23"/>
        <v>0</v>
      </c>
      <c r="AD82" s="8" t="str">
        <f>IFERROR(AC82/AC444, "NA")</f>
        <v>NA</v>
      </c>
    </row>
    <row r="83" spans="1:30" ht="16.5" hidden="1" customHeight="1" x14ac:dyDescent="0.45">
      <c r="A83" s="12" t="s">
        <v>79</v>
      </c>
      <c r="B83" s="7">
        <v>0</v>
      </c>
      <c r="C83" s="8" t="str">
        <f>IFERROR(B83/B444, "NA")</f>
        <v>NA</v>
      </c>
      <c r="D83" s="9"/>
      <c r="E83" s="7">
        <v>0</v>
      </c>
      <c r="F83" s="8" t="str">
        <f>IFERROR(E83/E444, "NA")</f>
        <v>NA</v>
      </c>
      <c r="G83" s="9"/>
      <c r="H83" s="10">
        <f t="shared" si="20"/>
        <v>0</v>
      </c>
      <c r="I83" s="8" t="str">
        <f>IFERROR(H83/H444, "NA")</f>
        <v>NA</v>
      </c>
      <c r="J83" s="9"/>
      <c r="K83" s="7">
        <v>0</v>
      </c>
      <c r="L83" s="8" t="str">
        <f>IFERROR(K83/K444, "NA")</f>
        <v>NA</v>
      </c>
      <c r="M83" s="9"/>
      <c r="N83" s="10">
        <f t="shared" si="21"/>
        <v>0</v>
      </c>
      <c r="O83" s="8" t="str">
        <f>IFERROR(N83/N444, "NA")</f>
        <v>NA</v>
      </c>
      <c r="P83" s="9"/>
      <c r="Q83" s="7">
        <v>0</v>
      </c>
      <c r="R83" s="8" t="str">
        <f>IFERROR(Q83/Q444, "NA")</f>
        <v>NA</v>
      </c>
      <c r="S83" s="9"/>
      <c r="T83" s="7">
        <v>0</v>
      </c>
      <c r="U83" s="8" t="str">
        <f>IFERROR(T83/T444, "NA")</f>
        <v>NA</v>
      </c>
      <c r="V83" s="9"/>
      <c r="W83" s="10">
        <f t="shared" si="22"/>
        <v>0</v>
      </c>
      <c r="X83" s="8" t="str">
        <f>IFERROR(W83/W444, "NA")</f>
        <v>NA</v>
      </c>
      <c r="Y83" s="9"/>
      <c r="Z83" s="7">
        <v>0</v>
      </c>
      <c r="AA83" s="8" t="str">
        <f>IFERROR(Z83/Z444, "NA")</f>
        <v>NA</v>
      </c>
      <c r="AB83" s="9"/>
      <c r="AC83" s="10">
        <f t="shared" si="23"/>
        <v>0</v>
      </c>
      <c r="AD83" s="8" t="str">
        <f>IFERROR(AC83/AC444, "NA")</f>
        <v>NA</v>
      </c>
    </row>
    <row r="84" spans="1:30" ht="16.5" hidden="1" customHeight="1" x14ac:dyDescent="0.45">
      <c r="A84" s="12" t="s">
        <v>80</v>
      </c>
      <c r="B84" s="7">
        <v>0</v>
      </c>
      <c r="C84" s="8" t="str">
        <f>IFERROR(B84/B444, "NA")</f>
        <v>NA</v>
      </c>
      <c r="D84" s="9"/>
      <c r="E84" s="7">
        <v>0</v>
      </c>
      <c r="F84" s="8" t="str">
        <f>IFERROR(E84/E444, "NA")</f>
        <v>NA</v>
      </c>
      <c r="G84" s="9"/>
      <c r="H84" s="10">
        <f t="shared" si="20"/>
        <v>0</v>
      </c>
      <c r="I84" s="8" t="str">
        <f>IFERROR(H84/H444, "NA")</f>
        <v>NA</v>
      </c>
      <c r="J84" s="9"/>
      <c r="K84" s="7">
        <v>0</v>
      </c>
      <c r="L84" s="8" t="str">
        <f>IFERROR(K84/K444, "NA")</f>
        <v>NA</v>
      </c>
      <c r="M84" s="9"/>
      <c r="N84" s="10">
        <f t="shared" si="21"/>
        <v>0</v>
      </c>
      <c r="O84" s="8" t="str">
        <f>IFERROR(N84/N444, "NA")</f>
        <v>NA</v>
      </c>
      <c r="P84" s="9"/>
      <c r="Q84" s="7">
        <v>0</v>
      </c>
      <c r="R84" s="8" t="str">
        <f>IFERROR(Q84/Q444, "NA")</f>
        <v>NA</v>
      </c>
      <c r="S84" s="9"/>
      <c r="T84" s="7">
        <v>0</v>
      </c>
      <c r="U84" s="8" t="str">
        <f>IFERROR(T84/T444, "NA")</f>
        <v>NA</v>
      </c>
      <c r="V84" s="9"/>
      <c r="W84" s="10">
        <f t="shared" si="22"/>
        <v>0</v>
      </c>
      <c r="X84" s="8" t="str">
        <f>IFERROR(W84/W444, "NA")</f>
        <v>NA</v>
      </c>
      <c r="Y84" s="9"/>
      <c r="Z84" s="7">
        <v>0</v>
      </c>
      <c r="AA84" s="8" t="str">
        <f>IFERROR(Z84/Z444, "NA")</f>
        <v>NA</v>
      </c>
      <c r="AB84" s="9"/>
      <c r="AC84" s="10">
        <f t="shared" si="23"/>
        <v>0</v>
      </c>
      <c r="AD84" s="8" t="str">
        <f>IFERROR(AC84/AC444, "NA")</f>
        <v>NA</v>
      </c>
    </row>
    <row r="85" spans="1:30" ht="16.5" hidden="1" customHeight="1" x14ac:dyDescent="0.45">
      <c r="A85" s="12" t="s">
        <v>81</v>
      </c>
      <c r="B85" s="7">
        <v>0</v>
      </c>
      <c r="C85" s="8" t="str">
        <f>IFERROR(B85/B444, "NA")</f>
        <v>NA</v>
      </c>
      <c r="D85" s="9"/>
      <c r="E85" s="7">
        <v>0</v>
      </c>
      <c r="F85" s="8" t="str">
        <f>IFERROR(E85/E444, "NA")</f>
        <v>NA</v>
      </c>
      <c r="G85" s="9"/>
      <c r="H85" s="10">
        <f t="shared" si="20"/>
        <v>0</v>
      </c>
      <c r="I85" s="8" t="str">
        <f>IFERROR(H85/H444, "NA")</f>
        <v>NA</v>
      </c>
      <c r="J85" s="9"/>
      <c r="K85" s="7">
        <v>0</v>
      </c>
      <c r="L85" s="8" t="str">
        <f>IFERROR(K85/K444, "NA")</f>
        <v>NA</v>
      </c>
      <c r="M85" s="9"/>
      <c r="N85" s="10">
        <f t="shared" si="21"/>
        <v>0</v>
      </c>
      <c r="O85" s="8" t="str">
        <f>IFERROR(N85/N444, "NA")</f>
        <v>NA</v>
      </c>
      <c r="P85" s="9"/>
      <c r="Q85" s="7">
        <v>0</v>
      </c>
      <c r="R85" s="8" t="str">
        <f>IFERROR(Q85/Q444, "NA")</f>
        <v>NA</v>
      </c>
      <c r="S85" s="9"/>
      <c r="T85" s="7">
        <v>0</v>
      </c>
      <c r="U85" s="8" t="str">
        <f>IFERROR(T85/T444, "NA")</f>
        <v>NA</v>
      </c>
      <c r="V85" s="9"/>
      <c r="W85" s="10">
        <f t="shared" si="22"/>
        <v>0</v>
      </c>
      <c r="X85" s="8" t="str">
        <f>IFERROR(W85/W444, "NA")</f>
        <v>NA</v>
      </c>
      <c r="Y85" s="9"/>
      <c r="Z85" s="7">
        <v>0</v>
      </c>
      <c r="AA85" s="8" t="str">
        <f>IFERROR(Z85/Z444, "NA")</f>
        <v>NA</v>
      </c>
      <c r="AB85" s="9"/>
      <c r="AC85" s="10">
        <f t="shared" si="23"/>
        <v>0</v>
      </c>
      <c r="AD85" s="8" t="str">
        <f>IFERROR(AC85/AC444, "NA")</f>
        <v>NA</v>
      </c>
    </row>
    <row r="86" spans="1:30" ht="16.5" hidden="1" customHeight="1" x14ac:dyDescent="0.45">
      <c r="A86" s="12" t="s">
        <v>82</v>
      </c>
      <c r="B86" s="7">
        <v>0</v>
      </c>
      <c r="C86" s="8" t="str">
        <f>IFERROR(B86/B444, "NA")</f>
        <v>NA</v>
      </c>
      <c r="D86" s="9"/>
      <c r="E86" s="7">
        <v>0</v>
      </c>
      <c r="F86" s="8" t="str">
        <f>IFERROR(E86/E444, "NA")</f>
        <v>NA</v>
      </c>
      <c r="G86" s="9"/>
      <c r="H86" s="10">
        <f t="shared" si="20"/>
        <v>0</v>
      </c>
      <c r="I86" s="8" t="str">
        <f>IFERROR(H86/H444, "NA")</f>
        <v>NA</v>
      </c>
      <c r="J86" s="9"/>
      <c r="K86" s="7">
        <v>0</v>
      </c>
      <c r="L86" s="8" t="str">
        <f>IFERROR(K86/K444, "NA")</f>
        <v>NA</v>
      </c>
      <c r="M86" s="9"/>
      <c r="N86" s="10">
        <f t="shared" si="21"/>
        <v>0</v>
      </c>
      <c r="O86" s="8" t="str">
        <f>IFERROR(N86/N444, "NA")</f>
        <v>NA</v>
      </c>
      <c r="P86" s="9"/>
      <c r="Q86" s="7">
        <v>0</v>
      </c>
      <c r="R86" s="8" t="str">
        <f>IFERROR(Q86/Q444, "NA")</f>
        <v>NA</v>
      </c>
      <c r="S86" s="9"/>
      <c r="T86" s="7">
        <v>0</v>
      </c>
      <c r="U86" s="8" t="str">
        <f>IFERROR(T86/T444, "NA")</f>
        <v>NA</v>
      </c>
      <c r="V86" s="9"/>
      <c r="W86" s="10">
        <f t="shared" si="22"/>
        <v>0</v>
      </c>
      <c r="X86" s="8" t="str">
        <f>IFERROR(W86/W444, "NA")</f>
        <v>NA</v>
      </c>
      <c r="Y86" s="9"/>
      <c r="Z86" s="7">
        <v>0</v>
      </c>
      <c r="AA86" s="8" t="str">
        <f>IFERROR(Z86/Z444, "NA")</f>
        <v>NA</v>
      </c>
      <c r="AB86" s="9"/>
      <c r="AC86" s="10">
        <f t="shared" si="23"/>
        <v>0</v>
      </c>
      <c r="AD86" s="8" t="str">
        <f>IFERROR(AC86/AC444, "NA")</f>
        <v>NA</v>
      </c>
    </row>
    <row r="87" spans="1:30" ht="16.5" hidden="1" customHeight="1" x14ac:dyDescent="0.45">
      <c r="A87" s="12" t="s">
        <v>83</v>
      </c>
      <c r="B87" s="7">
        <v>0</v>
      </c>
      <c r="C87" s="8" t="str">
        <f>IFERROR(B87/B444, "NA")</f>
        <v>NA</v>
      </c>
      <c r="D87" s="9"/>
      <c r="E87" s="7">
        <v>0</v>
      </c>
      <c r="F87" s="8" t="str">
        <f>IFERROR(E87/E444, "NA")</f>
        <v>NA</v>
      </c>
      <c r="G87" s="9"/>
      <c r="H87" s="10">
        <f t="shared" si="20"/>
        <v>0</v>
      </c>
      <c r="I87" s="8" t="str">
        <f>IFERROR(H87/H444, "NA")</f>
        <v>NA</v>
      </c>
      <c r="J87" s="9"/>
      <c r="K87" s="7">
        <v>0</v>
      </c>
      <c r="L87" s="8" t="str">
        <f>IFERROR(K87/K444, "NA")</f>
        <v>NA</v>
      </c>
      <c r="M87" s="9"/>
      <c r="N87" s="10">
        <f t="shared" si="21"/>
        <v>0</v>
      </c>
      <c r="O87" s="8" t="str">
        <f>IFERROR(N87/N444, "NA")</f>
        <v>NA</v>
      </c>
      <c r="P87" s="9"/>
      <c r="Q87" s="7">
        <v>0</v>
      </c>
      <c r="R87" s="8" t="str">
        <f>IFERROR(Q87/Q444, "NA")</f>
        <v>NA</v>
      </c>
      <c r="S87" s="9"/>
      <c r="T87" s="7">
        <v>0</v>
      </c>
      <c r="U87" s="8" t="str">
        <f>IFERROR(T87/T444, "NA")</f>
        <v>NA</v>
      </c>
      <c r="V87" s="9"/>
      <c r="W87" s="10">
        <f t="shared" si="22"/>
        <v>0</v>
      </c>
      <c r="X87" s="8" t="str">
        <f>IFERROR(W87/W444, "NA")</f>
        <v>NA</v>
      </c>
      <c r="Y87" s="9"/>
      <c r="Z87" s="7">
        <v>0</v>
      </c>
      <c r="AA87" s="8" t="str">
        <f>IFERROR(Z87/Z444, "NA")</f>
        <v>NA</v>
      </c>
      <c r="AB87" s="9"/>
      <c r="AC87" s="10">
        <f t="shared" si="23"/>
        <v>0</v>
      </c>
      <c r="AD87" s="8" t="str">
        <f>IFERROR(AC87/AC444, "NA")</f>
        <v>NA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0</v>
      </c>
      <c r="C88" s="15" t="str">
        <f>IFERROR(B88/B444, "NA")</f>
        <v>NA</v>
      </c>
      <c r="D88" s="2"/>
      <c r="E88" s="14">
        <f>IFERROR(E75+E76+E77+E78+E79+E80+E81+E82+E83+E84+E85+E86+E87, "NA")</f>
        <v>0</v>
      </c>
      <c r="F88" s="15" t="str">
        <f>IFERROR(E88/E444, "NA")</f>
        <v>NA</v>
      </c>
      <c r="G88" s="2"/>
      <c r="H88" s="14">
        <f t="shared" si="20"/>
        <v>0</v>
      </c>
      <c r="I88" s="15" t="str">
        <f>IFERROR(H88/H444, "NA")</f>
        <v>NA</v>
      </c>
      <c r="J88" s="2"/>
      <c r="K88" s="14">
        <f>IFERROR(K75+K76+K77+K78+K79+K80+K81+K82+K83+K84+K85+K86+K87, "NA")</f>
        <v>0</v>
      </c>
      <c r="L88" s="15" t="str">
        <f>IFERROR(K88/K444, "NA")</f>
        <v>NA</v>
      </c>
      <c r="M88" s="2"/>
      <c r="N88" s="14">
        <f t="shared" si="21"/>
        <v>0</v>
      </c>
      <c r="O88" s="15" t="str">
        <f>IFERROR(N88/N444, "NA")</f>
        <v>NA</v>
      </c>
      <c r="P88" s="2"/>
      <c r="Q88" s="14">
        <f>IFERROR(Q75+Q76+Q77+Q78+Q79+Q80+Q81+Q82+Q83+Q84+Q85+Q86+Q87, "NA")</f>
        <v>0</v>
      </c>
      <c r="R88" s="15" t="str">
        <f>IFERROR(Q88/Q444, "NA")</f>
        <v>NA</v>
      </c>
      <c r="S88" s="2"/>
      <c r="T88" s="14">
        <f>IFERROR(T75+T76+T77+T78+T79+T80+T81+T82+T83+T84+T85+T86+T87, "NA")</f>
        <v>0</v>
      </c>
      <c r="U88" s="15" t="str">
        <f>IFERROR(T88/T444, "NA")</f>
        <v>NA</v>
      </c>
      <c r="V88" s="2"/>
      <c r="W88" s="14">
        <f t="shared" si="22"/>
        <v>0</v>
      </c>
      <c r="X88" s="15" t="str">
        <f>IFERROR(W88/W444, "NA")</f>
        <v>NA</v>
      </c>
      <c r="Y88" s="2"/>
      <c r="Z88" s="14">
        <f>IFERROR(Z75+Z76+Z77+Z78+Z79+Z80+Z81+Z82+Z83+Z84+Z85+Z86+Z87, "NA")</f>
        <v>0</v>
      </c>
      <c r="AA88" s="15" t="str">
        <f>IFERROR(Z88/Z444, "NA")</f>
        <v>NA</v>
      </c>
      <c r="AB88" s="2"/>
      <c r="AC88" s="14">
        <f t="shared" si="23"/>
        <v>0</v>
      </c>
      <c r="AD88" s="15" t="str">
        <f>IFERROR(AC88/AC444, "NA")</f>
        <v>NA</v>
      </c>
    </row>
    <row r="89" spans="1:30" ht="16.5" hidden="1" customHeight="1" x14ac:dyDescent="0.45">
      <c r="A89" s="6" t="s">
        <v>85</v>
      </c>
      <c r="B89" s="7">
        <v>0</v>
      </c>
      <c r="C89" s="8" t="str">
        <f>IFERROR(B89/B444, "NA")</f>
        <v>NA</v>
      </c>
      <c r="D89" s="9"/>
      <c r="E89" s="7">
        <v>0</v>
      </c>
      <c r="F89" s="8" t="str">
        <f>IFERROR(E89/E444, "NA")</f>
        <v>NA</v>
      </c>
      <c r="G89" s="9"/>
      <c r="H89" s="10">
        <f t="shared" si="20"/>
        <v>0</v>
      </c>
      <c r="I89" s="8" t="str">
        <f>IFERROR(H89/H444, "NA")</f>
        <v>NA</v>
      </c>
      <c r="J89" s="9"/>
      <c r="K89" s="7">
        <v>0</v>
      </c>
      <c r="L89" s="8" t="str">
        <f>IFERROR(K89/K444, "NA")</f>
        <v>NA</v>
      </c>
      <c r="M89" s="9"/>
      <c r="N89" s="10">
        <f t="shared" si="21"/>
        <v>0</v>
      </c>
      <c r="O89" s="8" t="str">
        <f>IFERROR(N89/N444, "NA")</f>
        <v>NA</v>
      </c>
      <c r="P89" s="9"/>
      <c r="Q89" s="7">
        <v>0</v>
      </c>
      <c r="R89" s="8" t="str">
        <f>IFERROR(Q89/Q444, "NA")</f>
        <v>NA</v>
      </c>
      <c r="S89" s="9"/>
      <c r="T89" s="7">
        <v>0</v>
      </c>
      <c r="U89" s="8" t="str">
        <f>IFERROR(T89/T444, "NA")</f>
        <v>NA</v>
      </c>
      <c r="V89" s="9"/>
      <c r="W89" s="10">
        <f t="shared" si="22"/>
        <v>0</v>
      </c>
      <c r="X89" s="8" t="str">
        <f>IFERROR(W89/W444, "NA")</f>
        <v>NA</v>
      </c>
      <c r="Y89" s="9"/>
      <c r="Z89" s="7">
        <v>0</v>
      </c>
      <c r="AA89" s="8" t="str">
        <f>IFERROR(Z89/Z444, "NA")</f>
        <v>NA</v>
      </c>
      <c r="AB89" s="9"/>
      <c r="AC89" s="10">
        <f t="shared" si="23"/>
        <v>0</v>
      </c>
      <c r="AD89" s="8" t="str">
        <f>IFERROR(AC89/AC444, "NA")</f>
        <v>NA</v>
      </c>
    </row>
    <row r="90" spans="1:30" ht="16.5" hidden="1" customHeight="1" x14ac:dyDescent="0.45">
      <c r="A90" s="6" t="s">
        <v>86</v>
      </c>
      <c r="B90" s="7">
        <v>0</v>
      </c>
      <c r="C90" s="8" t="str">
        <f>IFERROR(B90/B444, "NA")</f>
        <v>NA</v>
      </c>
      <c r="D90" s="9"/>
      <c r="E90" s="7">
        <v>0</v>
      </c>
      <c r="F90" s="8" t="str">
        <f>IFERROR(E90/E444, "NA")</f>
        <v>NA</v>
      </c>
      <c r="G90" s="9"/>
      <c r="H90" s="10">
        <f t="shared" si="20"/>
        <v>0</v>
      </c>
      <c r="I90" s="8" t="str">
        <f>IFERROR(H90/H444, "NA")</f>
        <v>NA</v>
      </c>
      <c r="J90" s="9"/>
      <c r="K90" s="7">
        <v>0</v>
      </c>
      <c r="L90" s="8" t="str">
        <f>IFERROR(K90/K444, "NA")</f>
        <v>NA</v>
      </c>
      <c r="M90" s="9"/>
      <c r="N90" s="10">
        <f t="shared" si="21"/>
        <v>0</v>
      </c>
      <c r="O90" s="8" t="str">
        <f>IFERROR(N90/N444, "NA")</f>
        <v>NA</v>
      </c>
      <c r="P90" s="9"/>
      <c r="Q90" s="7">
        <v>0</v>
      </c>
      <c r="R90" s="8" t="str">
        <f>IFERROR(Q90/Q444, "NA")</f>
        <v>NA</v>
      </c>
      <c r="S90" s="9"/>
      <c r="T90" s="7">
        <v>0</v>
      </c>
      <c r="U90" s="8" t="str">
        <f>IFERROR(T90/T444, "NA")</f>
        <v>NA</v>
      </c>
      <c r="V90" s="9"/>
      <c r="W90" s="10">
        <f t="shared" si="22"/>
        <v>0</v>
      </c>
      <c r="X90" s="8" t="str">
        <f>IFERROR(W90/W444, "NA")</f>
        <v>NA</v>
      </c>
      <c r="Y90" s="9"/>
      <c r="Z90" s="7">
        <v>0</v>
      </c>
      <c r="AA90" s="8" t="str">
        <f>IFERROR(Z90/Z444, "NA")</f>
        <v>NA</v>
      </c>
      <c r="AB90" s="9"/>
      <c r="AC90" s="10">
        <f t="shared" si="23"/>
        <v>0</v>
      </c>
      <c r="AD90" s="8" t="str">
        <f>IFERROR(AC90/AC444, "NA")</f>
        <v>NA</v>
      </c>
    </row>
    <row r="91" spans="1:30" ht="16.5" hidden="1" customHeight="1" x14ac:dyDescent="0.45">
      <c r="A91" s="6" t="s">
        <v>87</v>
      </c>
      <c r="B91" s="7">
        <v>0</v>
      </c>
      <c r="C91" s="8" t="str">
        <f>IFERROR(B91/B444, "NA")</f>
        <v>NA</v>
      </c>
      <c r="D91" s="9"/>
      <c r="E91" s="7">
        <v>0</v>
      </c>
      <c r="F91" s="8" t="str">
        <f>IFERROR(E91/E444, "NA")</f>
        <v>NA</v>
      </c>
      <c r="G91" s="9"/>
      <c r="H91" s="10">
        <f t="shared" si="20"/>
        <v>0</v>
      </c>
      <c r="I91" s="8" t="str">
        <f>IFERROR(H91/H444, "NA")</f>
        <v>NA</v>
      </c>
      <c r="J91" s="9"/>
      <c r="K91" s="7">
        <v>0</v>
      </c>
      <c r="L91" s="8" t="str">
        <f>IFERROR(K91/K444, "NA")</f>
        <v>NA</v>
      </c>
      <c r="M91" s="9"/>
      <c r="N91" s="10">
        <f t="shared" si="21"/>
        <v>0</v>
      </c>
      <c r="O91" s="8" t="str">
        <f>IFERROR(N91/N444, "NA")</f>
        <v>NA</v>
      </c>
      <c r="P91" s="9"/>
      <c r="Q91" s="7">
        <v>0</v>
      </c>
      <c r="R91" s="8" t="str">
        <f>IFERROR(Q91/Q444, "NA")</f>
        <v>NA</v>
      </c>
      <c r="S91" s="9"/>
      <c r="T91" s="7">
        <v>0</v>
      </c>
      <c r="U91" s="8" t="str">
        <f>IFERROR(T91/T444, "NA")</f>
        <v>NA</v>
      </c>
      <c r="V91" s="9"/>
      <c r="W91" s="10">
        <f t="shared" si="22"/>
        <v>0</v>
      </c>
      <c r="X91" s="8" t="str">
        <f>IFERROR(W91/W444, "NA")</f>
        <v>NA</v>
      </c>
      <c r="Y91" s="9"/>
      <c r="Z91" s="7">
        <v>0</v>
      </c>
      <c r="AA91" s="8" t="str">
        <f>IFERROR(Z91/Z444, "NA")</f>
        <v>NA</v>
      </c>
      <c r="AB91" s="9"/>
      <c r="AC91" s="10">
        <f t="shared" si="23"/>
        <v>0</v>
      </c>
      <c r="AD91" s="8" t="str">
        <f>IFERROR(AC91/AC444, "NA")</f>
        <v>NA</v>
      </c>
    </row>
    <row r="92" spans="1:30" ht="16.5" hidden="1" customHeight="1" x14ac:dyDescent="0.45">
      <c r="A92" s="6" t="s">
        <v>88</v>
      </c>
      <c r="B92" s="7">
        <v>0</v>
      </c>
      <c r="C92" s="8" t="str">
        <f>IFERROR(B92/B444, "NA")</f>
        <v>NA</v>
      </c>
      <c r="D92" s="9"/>
      <c r="E92" s="7">
        <v>0</v>
      </c>
      <c r="F92" s="8" t="str">
        <f>IFERROR(E92/E444, "NA")</f>
        <v>NA</v>
      </c>
      <c r="G92" s="9"/>
      <c r="H92" s="10">
        <f t="shared" si="20"/>
        <v>0</v>
      </c>
      <c r="I92" s="8" t="str">
        <f>IFERROR(H92/H444, "NA")</f>
        <v>NA</v>
      </c>
      <c r="J92" s="9"/>
      <c r="K92" s="7">
        <v>0</v>
      </c>
      <c r="L92" s="8" t="str">
        <f>IFERROR(K92/K444, "NA")</f>
        <v>NA</v>
      </c>
      <c r="M92" s="9"/>
      <c r="N92" s="10">
        <f t="shared" si="21"/>
        <v>0</v>
      </c>
      <c r="O92" s="8" t="str">
        <f>IFERROR(N92/N444, "NA")</f>
        <v>NA</v>
      </c>
      <c r="P92" s="9"/>
      <c r="Q92" s="7">
        <v>0</v>
      </c>
      <c r="R92" s="8" t="str">
        <f>IFERROR(Q92/Q444, "NA")</f>
        <v>NA</v>
      </c>
      <c r="S92" s="9"/>
      <c r="T92" s="7">
        <v>0</v>
      </c>
      <c r="U92" s="8" t="str">
        <f>IFERROR(T92/T444, "NA")</f>
        <v>NA</v>
      </c>
      <c r="V92" s="9"/>
      <c r="W92" s="10">
        <f t="shared" si="22"/>
        <v>0</v>
      </c>
      <c r="X92" s="8" t="str">
        <f>IFERROR(W92/W444, "NA")</f>
        <v>NA</v>
      </c>
      <c r="Y92" s="9"/>
      <c r="Z92" s="7">
        <v>0</v>
      </c>
      <c r="AA92" s="8" t="str">
        <f>IFERROR(Z92/Z444, "NA")</f>
        <v>NA</v>
      </c>
      <c r="AB92" s="9"/>
      <c r="AC92" s="10">
        <f t="shared" si="23"/>
        <v>0</v>
      </c>
      <c r="AD92" s="8" t="str">
        <f>IFERROR(AC92/AC444, "NA")</f>
        <v>NA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hidden="1" customHeight="1" x14ac:dyDescent="0.45">
      <c r="A94" s="12" t="s">
        <v>89</v>
      </c>
      <c r="B94" s="7">
        <v>0</v>
      </c>
      <c r="C94" s="8" t="str">
        <f>IFERROR(B94/B444, "NA")</f>
        <v>NA</v>
      </c>
      <c r="D94" s="9"/>
      <c r="E94" s="7">
        <v>0</v>
      </c>
      <c r="F94" s="8" t="str">
        <f>IFERROR(E94/E444, "NA")</f>
        <v>NA</v>
      </c>
      <c r="G94" s="9"/>
      <c r="H94" s="10">
        <f t="shared" ref="H94:H124" si="24">IFERROR(B94-E94, "NA")</f>
        <v>0</v>
      </c>
      <c r="I94" s="8" t="str">
        <f>IFERROR(H94/H444, "NA")</f>
        <v>NA</v>
      </c>
      <c r="J94" s="9"/>
      <c r="K94" s="7">
        <v>0</v>
      </c>
      <c r="L94" s="8" t="str">
        <f>IFERROR(K94/K444, "NA")</f>
        <v>NA</v>
      </c>
      <c r="M94" s="9"/>
      <c r="N94" s="10">
        <f t="shared" ref="N94:N124" si="25">IFERROR(B94-K94, "NA")</f>
        <v>0</v>
      </c>
      <c r="O94" s="8" t="str">
        <f>IFERROR(N94/N444, "NA")</f>
        <v>NA</v>
      </c>
      <c r="P94" s="9"/>
      <c r="Q94" s="7">
        <v>0</v>
      </c>
      <c r="R94" s="8" t="str">
        <f>IFERROR(Q94/Q444, "NA")</f>
        <v>NA</v>
      </c>
      <c r="S94" s="9"/>
      <c r="T94" s="7">
        <v>0</v>
      </c>
      <c r="U94" s="8" t="str">
        <f>IFERROR(T94/T444, "NA")</f>
        <v>NA</v>
      </c>
      <c r="V94" s="9"/>
      <c r="W94" s="10">
        <f t="shared" ref="W94:W124" si="26">IFERROR(Q94-T94, "NA")</f>
        <v>0</v>
      </c>
      <c r="X94" s="8" t="str">
        <f>IFERROR(W94/W444, "NA")</f>
        <v>NA</v>
      </c>
      <c r="Y94" s="9"/>
      <c r="Z94" s="7">
        <v>0</v>
      </c>
      <c r="AA94" s="8" t="str">
        <f>IFERROR(Z94/Z444, "NA")</f>
        <v>NA</v>
      </c>
      <c r="AB94" s="9"/>
      <c r="AC94" s="10">
        <f t="shared" ref="AC94:AC124" si="27">IFERROR(Q94-Z94, "NA")</f>
        <v>0</v>
      </c>
      <c r="AD94" s="8" t="str">
        <f>IFERROR(AC94/AC444, "NA")</f>
        <v>NA</v>
      </c>
    </row>
    <row r="95" spans="1:30" ht="16.5" hidden="1" customHeight="1" x14ac:dyDescent="0.45">
      <c r="A95" s="12" t="s">
        <v>90</v>
      </c>
      <c r="B95" s="7">
        <v>0</v>
      </c>
      <c r="C95" s="8" t="str">
        <f>IFERROR(B95/B444, "NA")</f>
        <v>NA</v>
      </c>
      <c r="D95" s="9"/>
      <c r="E95" s="7">
        <v>0</v>
      </c>
      <c r="F95" s="8" t="str">
        <f>IFERROR(E95/E444, "NA")</f>
        <v>NA</v>
      </c>
      <c r="G95" s="9"/>
      <c r="H95" s="10">
        <f t="shared" si="24"/>
        <v>0</v>
      </c>
      <c r="I95" s="8" t="str">
        <f>IFERROR(H95/H444, "NA")</f>
        <v>NA</v>
      </c>
      <c r="J95" s="9"/>
      <c r="K95" s="7">
        <v>0</v>
      </c>
      <c r="L95" s="8" t="str">
        <f>IFERROR(K95/K444, "NA")</f>
        <v>NA</v>
      </c>
      <c r="M95" s="9"/>
      <c r="N95" s="10">
        <f t="shared" si="25"/>
        <v>0</v>
      </c>
      <c r="O95" s="8" t="str">
        <f>IFERROR(N95/N444, "NA")</f>
        <v>NA</v>
      </c>
      <c r="P95" s="9"/>
      <c r="Q95" s="7">
        <v>0</v>
      </c>
      <c r="R95" s="8" t="str">
        <f>IFERROR(Q95/Q444, "NA")</f>
        <v>NA</v>
      </c>
      <c r="S95" s="9"/>
      <c r="T95" s="7">
        <v>0</v>
      </c>
      <c r="U95" s="8" t="str">
        <f>IFERROR(T95/T444, "NA")</f>
        <v>NA</v>
      </c>
      <c r="V95" s="9"/>
      <c r="W95" s="10">
        <f t="shared" si="26"/>
        <v>0</v>
      </c>
      <c r="X95" s="8" t="str">
        <f>IFERROR(W95/W444, "NA")</f>
        <v>NA</v>
      </c>
      <c r="Y95" s="9"/>
      <c r="Z95" s="7">
        <v>0</v>
      </c>
      <c r="AA95" s="8" t="str">
        <f>IFERROR(Z95/Z444, "NA")</f>
        <v>NA</v>
      </c>
      <c r="AB95" s="9"/>
      <c r="AC95" s="10">
        <f t="shared" si="27"/>
        <v>0</v>
      </c>
      <c r="AD95" s="8" t="str">
        <f>IFERROR(AC95/AC444, "NA")</f>
        <v>NA</v>
      </c>
    </row>
    <row r="96" spans="1:30" ht="16.5" hidden="1" customHeight="1" x14ac:dyDescent="0.45">
      <c r="A96" s="12" t="s">
        <v>91</v>
      </c>
      <c r="B96" s="7">
        <v>0</v>
      </c>
      <c r="C96" s="8" t="str">
        <f>IFERROR(B96/B444, "NA")</f>
        <v>NA</v>
      </c>
      <c r="D96" s="9"/>
      <c r="E96" s="7">
        <v>0</v>
      </c>
      <c r="F96" s="8" t="str">
        <f>IFERROR(E96/E444, "NA")</f>
        <v>NA</v>
      </c>
      <c r="G96" s="9"/>
      <c r="H96" s="10">
        <f t="shared" si="24"/>
        <v>0</v>
      </c>
      <c r="I96" s="8" t="str">
        <f>IFERROR(H96/H444, "NA")</f>
        <v>NA</v>
      </c>
      <c r="J96" s="9"/>
      <c r="K96" s="7">
        <v>0</v>
      </c>
      <c r="L96" s="8" t="str">
        <f>IFERROR(K96/K444, "NA")</f>
        <v>NA</v>
      </c>
      <c r="M96" s="9"/>
      <c r="N96" s="10">
        <f t="shared" si="25"/>
        <v>0</v>
      </c>
      <c r="O96" s="8" t="str">
        <f>IFERROR(N96/N444, "NA")</f>
        <v>NA</v>
      </c>
      <c r="P96" s="9"/>
      <c r="Q96" s="7">
        <v>0</v>
      </c>
      <c r="R96" s="8" t="str">
        <f>IFERROR(Q96/Q444, "NA")</f>
        <v>NA</v>
      </c>
      <c r="S96" s="9"/>
      <c r="T96" s="7">
        <v>0</v>
      </c>
      <c r="U96" s="8" t="str">
        <f>IFERROR(T96/T444, "NA")</f>
        <v>NA</v>
      </c>
      <c r="V96" s="9"/>
      <c r="W96" s="10">
        <f t="shared" si="26"/>
        <v>0</v>
      </c>
      <c r="X96" s="8" t="str">
        <f>IFERROR(W96/W444, "NA")</f>
        <v>NA</v>
      </c>
      <c r="Y96" s="9"/>
      <c r="Z96" s="7">
        <v>0</v>
      </c>
      <c r="AA96" s="8" t="str">
        <f>IFERROR(Z96/Z444, "NA")</f>
        <v>NA</v>
      </c>
      <c r="AB96" s="9"/>
      <c r="AC96" s="10">
        <f t="shared" si="27"/>
        <v>0</v>
      </c>
      <c r="AD96" s="8" t="str">
        <f>IFERROR(AC96/AC444, "NA")</f>
        <v>NA</v>
      </c>
    </row>
    <row r="97" spans="1:30" ht="16.5" hidden="1" customHeight="1" x14ac:dyDescent="0.45">
      <c r="A97" s="12" t="s">
        <v>92</v>
      </c>
      <c r="B97" s="7">
        <v>0</v>
      </c>
      <c r="C97" s="8" t="str">
        <f>IFERROR(B97/B444, "NA")</f>
        <v>NA</v>
      </c>
      <c r="D97" s="9"/>
      <c r="E97" s="7">
        <v>0</v>
      </c>
      <c r="F97" s="8" t="str">
        <f>IFERROR(E97/E444, "NA")</f>
        <v>NA</v>
      </c>
      <c r="G97" s="9"/>
      <c r="H97" s="10">
        <f t="shared" si="24"/>
        <v>0</v>
      </c>
      <c r="I97" s="8" t="str">
        <f>IFERROR(H97/H444, "NA")</f>
        <v>NA</v>
      </c>
      <c r="J97" s="9"/>
      <c r="K97" s="7">
        <v>0</v>
      </c>
      <c r="L97" s="8" t="str">
        <f>IFERROR(K97/K444, "NA")</f>
        <v>NA</v>
      </c>
      <c r="M97" s="9"/>
      <c r="N97" s="10">
        <f t="shared" si="25"/>
        <v>0</v>
      </c>
      <c r="O97" s="8" t="str">
        <f>IFERROR(N97/N444, "NA")</f>
        <v>NA</v>
      </c>
      <c r="P97" s="9"/>
      <c r="Q97" s="7">
        <v>0</v>
      </c>
      <c r="R97" s="8" t="str">
        <f>IFERROR(Q97/Q444, "NA")</f>
        <v>NA</v>
      </c>
      <c r="S97" s="9"/>
      <c r="T97" s="7">
        <v>0</v>
      </c>
      <c r="U97" s="8" t="str">
        <f>IFERROR(T97/T444, "NA")</f>
        <v>NA</v>
      </c>
      <c r="V97" s="9"/>
      <c r="W97" s="10">
        <f t="shared" si="26"/>
        <v>0</v>
      </c>
      <c r="X97" s="8" t="str">
        <f>IFERROR(W97/W444, "NA")</f>
        <v>NA</v>
      </c>
      <c r="Y97" s="9"/>
      <c r="Z97" s="7">
        <v>0</v>
      </c>
      <c r="AA97" s="8" t="str">
        <f>IFERROR(Z97/Z444, "NA")</f>
        <v>NA</v>
      </c>
      <c r="AB97" s="9"/>
      <c r="AC97" s="10">
        <f t="shared" si="27"/>
        <v>0</v>
      </c>
      <c r="AD97" s="8" t="str">
        <f>IFERROR(AC97/AC444, "NA")</f>
        <v>NA</v>
      </c>
    </row>
    <row r="98" spans="1:30" ht="16.5" hidden="1" customHeight="1" x14ac:dyDescent="0.45">
      <c r="A98" s="12" t="s">
        <v>93</v>
      </c>
      <c r="B98" s="7">
        <v>0</v>
      </c>
      <c r="C98" s="8" t="str">
        <f>IFERROR(B98/B444, "NA")</f>
        <v>NA</v>
      </c>
      <c r="D98" s="9"/>
      <c r="E98" s="7">
        <v>0</v>
      </c>
      <c r="F98" s="8" t="str">
        <f>IFERROR(E98/E444, "NA")</f>
        <v>NA</v>
      </c>
      <c r="G98" s="9"/>
      <c r="H98" s="10">
        <f t="shared" si="24"/>
        <v>0</v>
      </c>
      <c r="I98" s="8" t="str">
        <f>IFERROR(H98/H444, "NA")</f>
        <v>NA</v>
      </c>
      <c r="J98" s="9"/>
      <c r="K98" s="7">
        <v>0</v>
      </c>
      <c r="L98" s="8" t="str">
        <f>IFERROR(K98/K444, "NA")</f>
        <v>NA</v>
      </c>
      <c r="M98" s="9"/>
      <c r="N98" s="10">
        <f t="shared" si="25"/>
        <v>0</v>
      </c>
      <c r="O98" s="8" t="str">
        <f>IFERROR(N98/N444, "NA")</f>
        <v>NA</v>
      </c>
      <c r="P98" s="9"/>
      <c r="Q98" s="7">
        <v>0</v>
      </c>
      <c r="R98" s="8" t="str">
        <f>IFERROR(Q98/Q444, "NA")</f>
        <v>NA</v>
      </c>
      <c r="S98" s="9"/>
      <c r="T98" s="7">
        <v>0</v>
      </c>
      <c r="U98" s="8" t="str">
        <f>IFERROR(T98/T444, "NA")</f>
        <v>NA</v>
      </c>
      <c r="V98" s="9"/>
      <c r="W98" s="10">
        <f t="shared" si="26"/>
        <v>0</v>
      </c>
      <c r="X98" s="8" t="str">
        <f>IFERROR(W98/W444, "NA")</f>
        <v>NA</v>
      </c>
      <c r="Y98" s="9"/>
      <c r="Z98" s="7">
        <v>0</v>
      </c>
      <c r="AA98" s="8" t="str">
        <f>IFERROR(Z98/Z444, "NA")</f>
        <v>NA</v>
      </c>
      <c r="AB98" s="9"/>
      <c r="AC98" s="10">
        <f t="shared" si="27"/>
        <v>0</v>
      </c>
      <c r="AD98" s="8" t="str">
        <f>IFERROR(AC98/AC444, "NA")</f>
        <v>NA</v>
      </c>
    </row>
    <row r="99" spans="1:30" ht="16.5" hidden="1" customHeight="1" x14ac:dyDescent="0.45">
      <c r="A99" s="12" t="s">
        <v>94</v>
      </c>
      <c r="B99" s="7">
        <v>0</v>
      </c>
      <c r="C99" s="8" t="str">
        <f>IFERROR(B99/B444, "NA")</f>
        <v>NA</v>
      </c>
      <c r="D99" s="9"/>
      <c r="E99" s="7">
        <v>0</v>
      </c>
      <c r="F99" s="8" t="str">
        <f>IFERROR(E99/E444, "NA")</f>
        <v>NA</v>
      </c>
      <c r="G99" s="9"/>
      <c r="H99" s="10">
        <f t="shared" si="24"/>
        <v>0</v>
      </c>
      <c r="I99" s="8" t="str">
        <f>IFERROR(H99/H444, "NA")</f>
        <v>NA</v>
      </c>
      <c r="J99" s="9"/>
      <c r="K99" s="7">
        <v>0</v>
      </c>
      <c r="L99" s="8" t="str">
        <f>IFERROR(K99/K444, "NA")</f>
        <v>NA</v>
      </c>
      <c r="M99" s="9"/>
      <c r="N99" s="10">
        <f t="shared" si="25"/>
        <v>0</v>
      </c>
      <c r="O99" s="8" t="str">
        <f>IFERROR(N99/N444, "NA")</f>
        <v>NA</v>
      </c>
      <c r="P99" s="9"/>
      <c r="Q99" s="7">
        <v>0</v>
      </c>
      <c r="R99" s="8" t="str">
        <f>IFERROR(Q99/Q444, "NA")</f>
        <v>NA</v>
      </c>
      <c r="S99" s="9"/>
      <c r="T99" s="7">
        <v>0</v>
      </c>
      <c r="U99" s="8" t="str">
        <f>IFERROR(T99/T444, "NA")</f>
        <v>NA</v>
      </c>
      <c r="V99" s="9"/>
      <c r="W99" s="10">
        <f t="shared" si="26"/>
        <v>0</v>
      </c>
      <c r="X99" s="8" t="str">
        <f>IFERROR(W99/W444, "NA")</f>
        <v>NA</v>
      </c>
      <c r="Y99" s="9"/>
      <c r="Z99" s="7">
        <v>0</v>
      </c>
      <c r="AA99" s="8" t="str">
        <f>IFERROR(Z99/Z444, "NA")</f>
        <v>NA</v>
      </c>
      <c r="AB99" s="9"/>
      <c r="AC99" s="10">
        <f t="shared" si="27"/>
        <v>0</v>
      </c>
      <c r="AD99" s="8" t="str">
        <f>IFERROR(AC99/AC444, "NA")</f>
        <v>NA</v>
      </c>
    </row>
    <row r="100" spans="1:30" ht="16.5" hidden="1" customHeight="1" x14ac:dyDescent="0.45">
      <c r="A100" s="12" t="s">
        <v>95</v>
      </c>
      <c r="B100" s="7">
        <v>0</v>
      </c>
      <c r="C100" s="8" t="str">
        <f>IFERROR(B100/B444, "NA")</f>
        <v>NA</v>
      </c>
      <c r="D100" s="9"/>
      <c r="E100" s="7">
        <v>0</v>
      </c>
      <c r="F100" s="8" t="str">
        <f>IFERROR(E100/E444, "NA")</f>
        <v>NA</v>
      </c>
      <c r="G100" s="9"/>
      <c r="H100" s="10">
        <f t="shared" si="24"/>
        <v>0</v>
      </c>
      <c r="I100" s="8" t="str">
        <f>IFERROR(H100/H444, "NA")</f>
        <v>NA</v>
      </c>
      <c r="J100" s="9"/>
      <c r="K100" s="7">
        <v>0</v>
      </c>
      <c r="L100" s="8" t="str">
        <f>IFERROR(K100/K444, "NA")</f>
        <v>NA</v>
      </c>
      <c r="M100" s="9"/>
      <c r="N100" s="10">
        <f t="shared" si="25"/>
        <v>0</v>
      </c>
      <c r="O100" s="8" t="str">
        <f>IFERROR(N100/N444, "NA")</f>
        <v>NA</v>
      </c>
      <c r="P100" s="9"/>
      <c r="Q100" s="7">
        <v>0</v>
      </c>
      <c r="R100" s="8" t="str">
        <f>IFERROR(Q100/Q444, "NA")</f>
        <v>NA</v>
      </c>
      <c r="S100" s="9"/>
      <c r="T100" s="7">
        <v>0</v>
      </c>
      <c r="U100" s="8" t="str">
        <f>IFERROR(T100/T444, "NA")</f>
        <v>NA</v>
      </c>
      <c r="V100" s="9"/>
      <c r="W100" s="10">
        <f t="shared" si="26"/>
        <v>0</v>
      </c>
      <c r="X100" s="8" t="str">
        <f>IFERROR(W100/W444, "NA")</f>
        <v>NA</v>
      </c>
      <c r="Y100" s="9"/>
      <c r="Z100" s="7">
        <v>0</v>
      </c>
      <c r="AA100" s="8" t="str">
        <f>IFERROR(Z100/Z444, "NA")</f>
        <v>NA</v>
      </c>
      <c r="AB100" s="9"/>
      <c r="AC100" s="10">
        <f t="shared" si="27"/>
        <v>0</v>
      </c>
      <c r="AD100" s="8" t="str">
        <f>IFERROR(AC100/AC444, "NA")</f>
        <v>NA</v>
      </c>
    </row>
    <row r="101" spans="1:30" ht="16.5" hidden="1" customHeight="1" x14ac:dyDescent="0.45">
      <c r="A101" s="12" t="s">
        <v>96</v>
      </c>
      <c r="B101" s="7">
        <v>0</v>
      </c>
      <c r="C101" s="8" t="str">
        <f>IFERROR(B101/B444, "NA")</f>
        <v>NA</v>
      </c>
      <c r="D101" s="9"/>
      <c r="E101" s="7">
        <v>0</v>
      </c>
      <c r="F101" s="8" t="str">
        <f>IFERROR(E101/E444, "NA")</f>
        <v>NA</v>
      </c>
      <c r="G101" s="9"/>
      <c r="H101" s="10">
        <f t="shared" si="24"/>
        <v>0</v>
      </c>
      <c r="I101" s="8" t="str">
        <f>IFERROR(H101/H444, "NA")</f>
        <v>NA</v>
      </c>
      <c r="J101" s="9"/>
      <c r="K101" s="7">
        <v>0</v>
      </c>
      <c r="L101" s="8" t="str">
        <f>IFERROR(K101/K444, "NA")</f>
        <v>NA</v>
      </c>
      <c r="M101" s="9"/>
      <c r="N101" s="10">
        <f t="shared" si="25"/>
        <v>0</v>
      </c>
      <c r="O101" s="8" t="str">
        <f>IFERROR(N101/N444, "NA")</f>
        <v>NA</v>
      </c>
      <c r="P101" s="9"/>
      <c r="Q101" s="7">
        <v>0</v>
      </c>
      <c r="R101" s="8" t="str">
        <f>IFERROR(Q101/Q444, "NA")</f>
        <v>NA</v>
      </c>
      <c r="S101" s="9"/>
      <c r="T101" s="7">
        <v>0</v>
      </c>
      <c r="U101" s="8" t="str">
        <f>IFERROR(T101/T444, "NA")</f>
        <v>NA</v>
      </c>
      <c r="V101" s="9"/>
      <c r="W101" s="10">
        <f t="shared" si="26"/>
        <v>0</v>
      </c>
      <c r="X101" s="8" t="str">
        <f>IFERROR(W101/W444, "NA")</f>
        <v>NA</v>
      </c>
      <c r="Y101" s="9"/>
      <c r="Z101" s="7">
        <v>0</v>
      </c>
      <c r="AA101" s="8" t="str">
        <f>IFERROR(Z101/Z444, "NA")</f>
        <v>NA</v>
      </c>
      <c r="AB101" s="9"/>
      <c r="AC101" s="10">
        <f t="shared" si="27"/>
        <v>0</v>
      </c>
      <c r="AD101" s="8" t="str">
        <f>IFERROR(AC101/AC444, "NA")</f>
        <v>NA</v>
      </c>
    </row>
    <row r="102" spans="1:30" ht="16.5" hidden="1" customHeight="1" x14ac:dyDescent="0.45">
      <c r="A102" s="12" t="s">
        <v>97</v>
      </c>
      <c r="B102" s="7">
        <v>0</v>
      </c>
      <c r="C102" s="8" t="str">
        <f>IFERROR(B102/B444, "NA")</f>
        <v>NA</v>
      </c>
      <c r="D102" s="9"/>
      <c r="E102" s="7">
        <v>0</v>
      </c>
      <c r="F102" s="8" t="str">
        <f>IFERROR(E102/E444, "NA")</f>
        <v>NA</v>
      </c>
      <c r="G102" s="9"/>
      <c r="H102" s="10">
        <f t="shared" si="24"/>
        <v>0</v>
      </c>
      <c r="I102" s="8" t="str">
        <f>IFERROR(H102/H444, "NA")</f>
        <v>NA</v>
      </c>
      <c r="J102" s="9"/>
      <c r="K102" s="7">
        <v>0</v>
      </c>
      <c r="L102" s="8" t="str">
        <f>IFERROR(K102/K444, "NA")</f>
        <v>NA</v>
      </c>
      <c r="M102" s="9"/>
      <c r="N102" s="10">
        <f t="shared" si="25"/>
        <v>0</v>
      </c>
      <c r="O102" s="8" t="str">
        <f>IFERROR(N102/N444, "NA")</f>
        <v>NA</v>
      </c>
      <c r="P102" s="9"/>
      <c r="Q102" s="7">
        <v>0</v>
      </c>
      <c r="R102" s="8" t="str">
        <f>IFERROR(Q102/Q444, "NA")</f>
        <v>NA</v>
      </c>
      <c r="S102" s="9"/>
      <c r="T102" s="7">
        <v>0</v>
      </c>
      <c r="U102" s="8" t="str">
        <f>IFERROR(T102/T444, "NA")</f>
        <v>NA</v>
      </c>
      <c r="V102" s="9"/>
      <c r="W102" s="10">
        <f t="shared" si="26"/>
        <v>0</v>
      </c>
      <c r="X102" s="8" t="str">
        <f>IFERROR(W102/W444, "NA")</f>
        <v>NA</v>
      </c>
      <c r="Y102" s="9"/>
      <c r="Z102" s="7">
        <v>0</v>
      </c>
      <c r="AA102" s="8" t="str">
        <f>IFERROR(Z102/Z444, "NA")</f>
        <v>NA</v>
      </c>
      <c r="AB102" s="9"/>
      <c r="AC102" s="10">
        <f t="shared" si="27"/>
        <v>0</v>
      </c>
      <c r="AD102" s="8" t="str">
        <f>IFERROR(AC102/AC444, "NA")</f>
        <v>NA</v>
      </c>
    </row>
    <row r="103" spans="1:30" ht="16.5" hidden="1" customHeight="1" x14ac:dyDescent="0.45">
      <c r="A103" s="12" t="s">
        <v>98</v>
      </c>
      <c r="B103" s="7">
        <v>0</v>
      </c>
      <c r="C103" s="8" t="str">
        <f>IFERROR(B103/B444, "NA")</f>
        <v>NA</v>
      </c>
      <c r="D103" s="9"/>
      <c r="E103" s="7">
        <v>0</v>
      </c>
      <c r="F103" s="8" t="str">
        <f>IFERROR(E103/E444, "NA")</f>
        <v>NA</v>
      </c>
      <c r="G103" s="9"/>
      <c r="H103" s="10">
        <f t="shared" si="24"/>
        <v>0</v>
      </c>
      <c r="I103" s="8" t="str">
        <f>IFERROR(H103/H444, "NA")</f>
        <v>NA</v>
      </c>
      <c r="J103" s="9"/>
      <c r="K103" s="7">
        <v>0</v>
      </c>
      <c r="L103" s="8" t="str">
        <f>IFERROR(K103/K444, "NA")</f>
        <v>NA</v>
      </c>
      <c r="M103" s="9"/>
      <c r="N103" s="10">
        <f t="shared" si="25"/>
        <v>0</v>
      </c>
      <c r="O103" s="8" t="str">
        <f>IFERROR(N103/N444, "NA")</f>
        <v>NA</v>
      </c>
      <c r="P103" s="9"/>
      <c r="Q103" s="7">
        <v>0</v>
      </c>
      <c r="R103" s="8" t="str">
        <f>IFERROR(Q103/Q444, "NA")</f>
        <v>NA</v>
      </c>
      <c r="S103" s="9"/>
      <c r="T103" s="7">
        <v>0</v>
      </c>
      <c r="U103" s="8" t="str">
        <f>IFERROR(T103/T444, "NA")</f>
        <v>NA</v>
      </c>
      <c r="V103" s="9"/>
      <c r="W103" s="10">
        <f t="shared" si="26"/>
        <v>0</v>
      </c>
      <c r="X103" s="8" t="str">
        <f>IFERROR(W103/W444, "NA")</f>
        <v>NA</v>
      </c>
      <c r="Y103" s="9"/>
      <c r="Z103" s="7">
        <v>0</v>
      </c>
      <c r="AA103" s="8" t="str">
        <f>IFERROR(Z103/Z444, "NA")</f>
        <v>NA</v>
      </c>
      <c r="AB103" s="9"/>
      <c r="AC103" s="10">
        <f t="shared" si="27"/>
        <v>0</v>
      </c>
      <c r="AD103" s="8" t="str">
        <f>IFERROR(AC103/AC444, "NA")</f>
        <v>NA</v>
      </c>
    </row>
    <row r="104" spans="1:30" ht="16.5" hidden="1" customHeight="1" x14ac:dyDescent="0.45">
      <c r="A104" s="12" t="s">
        <v>99</v>
      </c>
      <c r="B104" s="7">
        <v>0</v>
      </c>
      <c r="C104" s="8" t="str">
        <f>IFERROR(B104/B444, "NA")</f>
        <v>NA</v>
      </c>
      <c r="D104" s="9"/>
      <c r="E104" s="7">
        <v>0</v>
      </c>
      <c r="F104" s="8" t="str">
        <f>IFERROR(E104/E444, "NA")</f>
        <v>NA</v>
      </c>
      <c r="G104" s="9"/>
      <c r="H104" s="10">
        <f t="shared" si="24"/>
        <v>0</v>
      </c>
      <c r="I104" s="8" t="str">
        <f>IFERROR(H104/H444, "NA")</f>
        <v>NA</v>
      </c>
      <c r="J104" s="9"/>
      <c r="K104" s="7">
        <v>0</v>
      </c>
      <c r="L104" s="8" t="str">
        <f>IFERROR(K104/K444, "NA")</f>
        <v>NA</v>
      </c>
      <c r="M104" s="9"/>
      <c r="N104" s="10">
        <f t="shared" si="25"/>
        <v>0</v>
      </c>
      <c r="O104" s="8" t="str">
        <f>IFERROR(N104/N444, "NA")</f>
        <v>NA</v>
      </c>
      <c r="P104" s="9"/>
      <c r="Q104" s="7">
        <v>0</v>
      </c>
      <c r="R104" s="8" t="str">
        <f>IFERROR(Q104/Q444, "NA")</f>
        <v>NA</v>
      </c>
      <c r="S104" s="9"/>
      <c r="T104" s="7">
        <v>0</v>
      </c>
      <c r="U104" s="8" t="str">
        <f>IFERROR(T104/T444, "NA")</f>
        <v>NA</v>
      </c>
      <c r="V104" s="9"/>
      <c r="W104" s="10">
        <f t="shared" si="26"/>
        <v>0</v>
      </c>
      <c r="X104" s="8" t="str">
        <f>IFERROR(W104/W444, "NA")</f>
        <v>NA</v>
      </c>
      <c r="Y104" s="9"/>
      <c r="Z104" s="7">
        <v>0</v>
      </c>
      <c r="AA104" s="8" t="str">
        <f>IFERROR(Z104/Z444, "NA")</f>
        <v>NA</v>
      </c>
      <c r="AB104" s="9"/>
      <c r="AC104" s="10">
        <f t="shared" si="27"/>
        <v>0</v>
      </c>
      <c r="AD104" s="8" t="str">
        <f>IFERROR(AC104/AC444, "NA")</f>
        <v>NA</v>
      </c>
    </row>
    <row r="105" spans="1:30" ht="16.5" hidden="1" customHeight="1" x14ac:dyDescent="0.45">
      <c r="A105" s="12" t="s">
        <v>100</v>
      </c>
      <c r="B105" s="7">
        <v>0</v>
      </c>
      <c r="C105" s="8" t="str">
        <f>IFERROR(B105/B444, "NA")</f>
        <v>NA</v>
      </c>
      <c r="D105" s="9"/>
      <c r="E105" s="7">
        <v>0</v>
      </c>
      <c r="F105" s="8" t="str">
        <f>IFERROR(E105/E444, "NA")</f>
        <v>NA</v>
      </c>
      <c r="G105" s="9"/>
      <c r="H105" s="10">
        <f t="shared" si="24"/>
        <v>0</v>
      </c>
      <c r="I105" s="8" t="str">
        <f>IFERROR(H105/H444, "NA")</f>
        <v>NA</v>
      </c>
      <c r="J105" s="9"/>
      <c r="K105" s="7">
        <v>0</v>
      </c>
      <c r="L105" s="8" t="str">
        <f>IFERROR(K105/K444, "NA")</f>
        <v>NA</v>
      </c>
      <c r="M105" s="9"/>
      <c r="N105" s="10">
        <f t="shared" si="25"/>
        <v>0</v>
      </c>
      <c r="O105" s="8" t="str">
        <f>IFERROR(N105/N444, "NA")</f>
        <v>NA</v>
      </c>
      <c r="P105" s="9"/>
      <c r="Q105" s="7">
        <v>0</v>
      </c>
      <c r="R105" s="8" t="str">
        <f>IFERROR(Q105/Q444, "NA")</f>
        <v>NA</v>
      </c>
      <c r="S105" s="9"/>
      <c r="T105" s="7">
        <v>0</v>
      </c>
      <c r="U105" s="8" t="str">
        <f>IFERROR(T105/T444, "NA")</f>
        <v>NA</v>
      </c>
      <c r="V105" s="9"/>
      <c r="W105" s="10">
        <f t="shared" si="26"/>
        <v>0</v>
      </c>
      <c r="X105" s="8" t="str">
        <f>IFERROR(W105/W444, "NA")</f>
        <v>NA</v>
      </c>
      <c r="Y105" s="9"/>
      <c r="Z105" s="7">
        <v>0</v>
      </c>
      <c r="AA105" s="8" t="str">
        <f>IFERROR(Z105/Z444, "NA")</f>
        <v>NA</v>
      </c>
      <c r="AB105" s="9"/>
      <c r="AC105" s="10">
        <f t="shared" si="27"/>
        <v>0</v>
      </c>
      <c r="AD105" s="8" t="str">
        <f>IFERROR(AC105/AC444, "NA")</f>
        <v>NA</v>
      </c>
    </row>
    <row r="106" spans="1:30" ht="16.5" hidden="1" customHeight="1" x14ac:dyDescent="0.45">
      <c r="A106" s="12" t="s">
        <v>101</v>
      </c>
      <c r="B106" s="7">
        <v>0</v>
      </c>
      <c r="C106" s="8" t="str">
        <f>IFERROR(B106/B444, "NA")</f>
        <v>NA</v>
      </c>
      <c r="D106" s="9"/>
      <c r="E106" s="7">
        <v>0</v>
      </c>
      <c r="F106" s="8" t="str">
        <f>IFERROR(E106/E444, "NA")</f>
        <v>NA</v>
      </c>
      <c r="G106" s="9"/>
      <c r="H106" s="10">
        <f t="shared" si="24"/>
        <v>0</v>
      </c>
      <c r="I106" s="8" t="str">
        <f>IFERROR(H106/H444, "NA")</f>
        <v>NA</v>
      </c>
      <c r="J106" s="9"/>
      <c r="K106" s="7">
        <v>0</v>
      </c>
      <c r="L106" s="8" t="str">
        <f>IFERROR(K106/K444, "NA")</f>
        <v>NA</v>
      </c>
      <c r="M106" s="9"/>
      <c r="N106" s="10">
        <f t="shared" si="25"/>
        <v>0</v>
      </c>
      <c r="O106" s="8" t="str">
        <f>IFERROR(N106/N444, "NA")</f>
        <v>NA</v>
      </c>
      <c r="P106" s="9"/>
      <c r="Q106" s="7">
        <v>0</v>
      </c>
      <c r="R106" s="8" t="str">
        <f>IFERROR(Q106/Q444, "NA")</f>
        <v>NA</v>
      </c>
      <c r="S106" s="9"/>
      <c r="T106" s="7">
        <v>0</v>
      </c>
      <c r="U106" s="8" t="str">
        <f>IFERROR(T106/T444, "NA")</f>
        <v>NA</v>
      </c>
      <c r="V106" s="9"/>
      <c r="W106" s="10">
        <f t="shared" si="26"/>
        <v>0</v>
      </c>
      <c r="X106" s="8" t="str">
        <f>IFERROR(W106/W444, "NA")</f>
        <v>NA</v>
      </c>
      <c r="Y106" s="9"/>
      <c r="Z106" s="7">
        <v>0</v>
      </c>
      <c r="AA106" s="8" t="str">
        <f>IFERROR(Z106/Z444, "NA")</f>
        <v>NA</v>
      </c>
      <c r="AB106" s="9"/>
      <c r="AC106" s="10">
        <f t="shared" si="27"/>
        <v>0</v>
      </c>
      <c r="AD106" s="8" t="str">
        <f>IFERROR(AC106/AC444, "NA")</f>
        <v>NA</v>
      </c>
    </row>
    <row r="107" spans="1:30" ht="16.5" hidden="1" customHeight="1" x14ac:dyDescent="0.45">
      <c r="A107" s="12" t="s">
        <v>102</v>
      </c>
      <c r="B107" s="7">
        <v>0</v>
      </c>
      <c r="C107" s="8" t="str">
        <f>IFERROR(B107/B444, "NA")</f>
        <v>NA</v>
      </c>
      <c r="D107" s="9"/>
      <c r="E107" s="7">
        <v>0</v>
      </c>
      <c r="F107" s="8" t="str">
        <f>IFERROR(E107/E444, "NA")</f>
        <v>NA</v>
      </c>
      <c r="G107" s="9"/>
      <c r="H107" s="10">
        <f t="shared" si="24"/>
        <v>0</v>
      </c>
      <c r="I107" s="8" t="str">
        <f>IFERROR(H107/H444, "NA")</f>
        <v>NA</v>
      </c>
      <c r="J107" s="9"/>
      <c r="K107" s="7">
        <v>0</v>
      </c>
      <c r="L107" s="8" t="str">
        <f>IFERROR(K107/K444, "NA")</f>
        <v>NA</v>
      </c>
      <c r="M107" s="9"/>
      <c r="N107" s="10">
        <f t="shared" si="25"/>
        <v>0</v>
      </c>
      <c r="O107" s="8" t="str">
        <f>IFERROR(N107/N444, "NA")</f>
        <v>NA</v>
      </c>
      <c r="P107" s="9"/>
      <c r="Q107" s="7">
        <v>0</v>
      </c>
      <c r="R107" s="8" t="str">
        <f>IFERROR(Q107/Q444, "NA")</f>
        <v>NA</v>
      </c>
      <c r="S107" s="9"/>
      <c r="T107" s="7">
        <v>0</v>
      </c>
      <c r="U107" s="8" t="str">
        <f>IFERROR(T107/T444, "NA")</f>
        <v>NA</v>
      </c>
      <c r="V107" s="9"/>
      <c r="W107" s="10">
        <f t="shared" si="26"/>
        <v>0</v>
      </c>
      <c r="X107" s="8" t="str">
        <f>IFERROR(W107/W444, "NA")</f>
        <v>NA</v>
      </c>
      <c r="Y107" s="9"/>
      <c r="Z107" s="7">
        <v>0</v>
      </c>
      <c r="AA107" s="8" t="str">
        <f>IFERROR(Z107/Z444, "NA")</f>
        <v>NA</v>
      </c>
      <c r="AB107" s="9"/>
      <c r="AC107" s="10">
        <f t="shared" si="27"/>
        <v>0</v>
      </c>
      <c r="AD107" s="8" t="str">
        <f>IFERROR(AC107/AC444, "NA")</f>
        <v>NA</v>
      </c>
    </row>
    <row r="108" spans="1:30" ht="16.5" hidden="1" customHeight="1" x14ac:dyDescent="0.45">
      <c r="A108" s="12" t="s">
        <v>103</v>
      </c>
      <c r="B108" s="7">
        <v>0</v>
      </c>
      <c r="C108" s="8" t="str">
        <f>IFERROR(B108/B444, "NA")</f>
        <v>NA</v>
      </c>
      <c r="D108" s="9"/>
      <c r="E108" s="7">
        <v>0</v>
      </c>
      <c r="F108" s="8" t="str">
        <f>IFERROR(E108/E444, "NA")</f>
        <v>NA</v>
      </c>
      <c r="G108" s="9"/>
      <c r="H108" s="10">
        <f t="shared" si="24"/>
        <v>0</v>
      </c>
      <c r="I108" s="8" t="str">
        <f>IFERROR(H108/H444, "NA")</f>
        <v>NA</v>
      </c>
      <c r="J108" s="9"/>
      <c r="K108" s="7">
        <v>0</v>
      </c>
      <c r="L108" s="8" t="str">
        <f>IFERROR(K108/K444, "NA")</f>
        <v>NA</v>
      </c>
      <c r="M108" s="9"/>
      <c r="N108" s="10">
        <f t="shared" si="25"/>
        <v>0</v>
      </c>
      <c r="O108" s="8" t="str">
        <f>IFERROR(N108/N444, "NA")</f>
        <v>NA</v>
      </c>
      <c r="P108" s="9"/>
      <c r="Q108" s="7">
        <v>0</v>
      </c>
      <c r="R108" s="8" t="str">
        <f>IFERROR(Q108/Q444, "NA")</f>
        <v>NA</v>
      </c>
      <c r="S108" s="9"/>
      <c r="T108" s="7">
        <v>0</v>
      </c>
      <c r="U108" s="8" t="str">
        <f>IFERROR(T108/T444, "NA")</f>
        <v>NA</v>
      </c>
      <c r="V108" s="9"/>
      <c r="W108" s="10">
        <f t="shared" si="26"/>
        <v>0</v>
      </c>
      <c r="X108" s="8" t="str">
        <f>IFERROR(W108/W444, "NA")</f>
        <v>NA</v>
      </c>
      <c r="Y108" s="9"/>
      <c r="Z108" s="7">
        <v>0</v>
      </c>
      <c r="AA108" s="8" t="str">
        <f>IFERROR(Z108/Z444, "NA")</f>
        <v>NA</v>
      </c>
      <c r="AB108" s="9"/>
      <c r="AC108" s="10">
        <f t="shared" si="27"/>
        <v>0</v>
      </c>
      <c r="AD108" s="8" t="str">
        <f>IFERROR(AC108/AC444, "NA")</f>
        <v>NA</v>
      </c>
    </row>
    <row r="109" spans="1:30" ht="16.5" hidden="1" customHeight="1" x14ac:dyDescent="0.45">
      <c r="A109" s="12" t="s">
        <v>104</v>
      </c>
      <c r="B109" s="7">
        <v>0</v>
      </c>
      <c r="C109" s="8" t="str">
        <f>IFERROR(B109/B444, "NA")</f>
        <v>NA</v>
      </c>
      <c r="D109" s="9"/>
      <c r="E109" s="7">
        <v>0</v>
      </c>
      <c r="F109" s="8" t="str">
        <f>IFERROR(E109/E444, "NA")</f>
        <v>NA</v>
      </c>
      <c r="G109" s="9"/>
      <c r="H109" s="10">
        <f t="shared" si="24"/>
        <v>0</v>
      </c>
      <c r="I109" s="8" t="str">
        <f>IFERROR(H109/H444, "NA")</f>
        <v>NA</v>
      </c>
      <c r="J109" s="9"/>
      <c r="K109" s="7">
        <v>0</v>
      </c>
      <c r="L109" s="8" t="str">
        <f>IFERROR(K109/K444, "NA")</f>
        <v>NA</v>
      </c>
      <c r="M109" s="9"/>
      <c r="N109" s="10">
        <f t="shared" si="25"/>
        <v>0</v>
      </c>
      <c r="O109" s="8" t="str">
        <f>IFERROR(N109/N444, "NA")</f>
        <v>NA</v>
      </c>
      <c r="P109" s="9"/>
      <c r="Q109" s="7">
        <v>0</v>
      </c>
      <c r="R109" s="8" t="str">
        <f>IFERROR(Q109/Q444, "NA")</f>
        <v>NA</v>
      </c>
      <c r="S109" s="9"/>
      <c r="T109" s="7">
        <v>0</v>
      </c>
      <c r="U109" s="8" t="str">
        <f>IFERROR(T109/T444, "NA")</f>
        <v>NA</v>
      </c>
      <c r="V109" s="9"/>
      <c r="W109" s="10">
        <f t="shared" si="26"/>
        <v>0</v>
      </c>
      <c r="X109" s="8" t="str">
        <f>IFERROR(W109/W444, "NA")</f>
        <v>NA</v>
      </c>
      <c r="Y109" s="9"/>
      <c r="Z109" s="7">
        <v>0</v>
      </c>
      <c r="AA109" s="8" t="str">
        <f>IFERROR(Z109/Z444, "NA")</f>
        <v>NA</v>
      </c>
      <c r="AB109" s="9"/>
      <c r="AC109" s="10">
        <f t="shared" si="27"/>
        <v>0</v>
      </c>
      <c r="AD109" s="8" t="str">
        <f>IFERROR(AC109/AC444, "NA")</f>
        <v>NA</v>
      </c>
    </row>
    <row r="110" spans="1:30" ht="16.5" hidden="1" customHeight="1" x14ac:dyDescent="0.45">
      <c r="A110" s="12" t="s">
        <v>105</v>
      </c>
      <c r="B110" s="7">
        <v>0</v>
      </c>
      <c r="C110" s="8" t="str">
        <f>IFERROR(B110/B444, "NA")</f>
        <v>NA</v>
      </c>
      <c r="D110" s="9"/>
      <c r="E110" s="7">
        <v>0</v>
      </c>
      <c r="F110" s="8" t="str">
        <f>IFERROR(E110/E444, "NA")</f>
        <v>NA</v>
      </c>
      <c r="G110" s="9"/>
      <c r="H110" s="10">
        <f t="shared" si="24"/>
        <v>0</v>
      </c>
      <c r="I110" s="8" t="str">
        <f>IFERROR(H110/H444, "NA")</f>
        <v>NA</v>
      </c>
      <c r="J110" s="9"/>
      <c r="K110" s="7">
        <v>0</v>
      </c>
      <c r="L110" s="8" t="str">
        <f>IFERROR(K110/K444, "NA")</f>
        <v>NA</v>
      </c>
      <c r="M110" s="9"/>
      <c r="N110" s="10">
        <f t="shared" si="25"/>
        <v>0</v>
      </c>
      <c r="O110" s="8" t="str">
        <f>IFERROR(N110/N444, "NA")</f>
        <v>NA</v>
      </c>
      <c r="P110" s="9"/>
      <c r="Q110" s="7">
        <v>0</v>
      </c>
      <c r="R110" s="8" t="str">
        <f>IFERROR(Q110/Q444, "NA")</f>
        <v>NA</v>
      </c>
      <c r="S110" s="9"/>
      <c r="T110" s="7">
        <v>0</v>
      </c>
      <c r="U110" s="8" t="str">
        <f>IFERROR(T110/T444, "NA")</f>
        <v>NA</v>
      </c>
      <c r="V110" s="9"/>
      <c r="W110" s="10">
        <f t="shared" si="26"/>
        <v>0</v>
      </c>
      <c r="X110" s="8" t="str">
        <f>IFERROR(W110/W444, "NA")</f>
        <v>NA</v>
      </c>
      <c r="Y110" s="9"/>
      <c r="Z110" s="7">
        <v>0</v>
      </c>
      <c r="AA110" s="8" t="str">
        <f>IFERROR(Z110/Z444, "NA")</f>
        <v>NA</v>
      </c>
      <c r="AB110" s="9"/>
      <c r="AC110" s="10">
        <f t="shared" si="27"/>
        <v>0</v>
      </c>
      <c r="AD110" s="8" t="str">
        <f>IFERROR(AC110/AC444, "NA")</f>
        <v>NA</v>
      </c>
    </row>
    <row r="111" spans="1:30" ht="16.5" hidden="1" customHeight="1" x14ac:dyDescent="0.45">
      <c r="A111" s="12" t="s">
        <v>106</v>
      </c>
      <c r="B111" s="7">
        <v>0</v>
      </c>
      <c r="C111" s="8" t="str">
        <f>IFERROR(B111/B444, "NA")</f>
        <v>NA</v>
      </c>
      <c r="D111" s="9"/>
      <c r="E111" s="7">
        <v>0</v>
      </c>
      <c r="F111" s="8" t="str">
        <f>IFERROR(E111/E444, "NA")</f>
        <v>NA</v>
      </c>
      <c r="G111" s="9"/>
      <c r="H111" s="10">
        <f t="shared" si="24"/>
        <v>0</v>
      </c>
      <c r="I111" s="8" t="str">
        <f>IFERROR(H111/H444, "NA")</f>
        <v>NA</v>
      </c>
      <c r="J111" s="9"/>
      <c r="K111" s="7">
        <v>0</v>
      </c>
      <c r="L111" s="8" t="str">
        <f>IFERROR(K111/K444, "NA")</f>
        <v>NA</v>
      </c>
      <c r="M111" s="9"/>
      <c r="N111" s="10">
        <f t="shared" si="25"/>
        <v>0</v>
      </c>
      <c r="O111" s="8" t="str">
        <f>IFERROR(N111/N444, "NA")</f>
        <v>NA</v>
      </c>
      <c r="P111" s="9"/>
      <c r="Q111" s="7">
        <v>0</v>
      </c>
      <c r="R111" s="8" t="str">
        <f>IFERROR(Q111/Q444, "NA")</f>
        <v>NA</v>
      </c>
      <c r="S111" s="9"/>
      <c r="T111" s="7">
        <v>0</v>
      </c>
      <c r="U111" s="8" t="str">
        <f>IFERROR(T111/T444, "NA")</f>
        <v>NA</v>
      </c>
      <c r="V111" s="9"/>
      <c r="W111" s="10">
        <f t="shared" si="26"/>
        <v>0</v>
      </c>
      <c r="X111" s="8" t="str">
        <f>IFERROR(W111/W444, "NA")</f>
        <v>NA</v>
      </c>
      <c r="Y111" s="9"/>
      <c r="Z111" s="7">
        <v>0</v>
      </c>
      <c r="AA111" s="8" t="str">
        <f>IFERROR(Z111/Z444, "NA")</f>
        <v>NA</v>
      </c>
      <c r="AB111" s="9"/>
      <c r="AC111" s="10">
        <f t="shared" si="27"/>
        <v>0</v>
      </c>
      <c r="AD111" s="8" t="str">
        <f>IFERROR(AC111/AC444, "NA")</f>
        <v>NA</v>
      </c>
    </row>
    <row r="112" spans="1:30" ht="16.5" hidden="1" customHeight="1" x14ac:dyDescent="0.45">
      <c r="A112" s="12" t="s">
        <v>107</v>
      </c>
      <c r="B112" s="7">
        <v>0</v>
      </c>
      <c r="C112" s="8" t="str">
        <f>IFERROR(B112/B444, "NA")</f>
        <v>NA</v>
      </c>
      <c r="D112" s="9"/>
      <c r="E112" s="7">
        <v>0</v>
      </c>
      <c r="F112" s="8" t="str">
        <f>IFERROR(E112/E444, "NA")</f>
        <v>NA</v>
      </c>
      <c r="G112" s="9"/>
      <c r="H112" s="10">
        <f t="shared" si="24"/>
        <v>0</v>
      </c>
      <c r="I112" s="8" t="str">
        <f>IFERROR(H112/H444, "NA")</f>
        <v>NA</v>
      </c>
      <c r="J112" s="9"/>
      <c r="K112" s="7">
        <v>0</v>
      </c>
      <c r="L112" s="8" t="str">
        <f>IFERROR(K112/K444, "NA")</f>
        <v>NA</v>
      </c>
      <c r="M112" s="9"/>
      <c r="N112" s="10">
        <f t="shared" si="25"/>
        <v>0</v>
      </c>
      <c r="O112" s="8" t="str">
        <f>IFERROR(N112/N444, "NA")</f>
        <v>NA</v>
      </c>
      <c r="P112" s="9"/>
      <c r="Q112" s="7">
        <v>0</v>
      </c>
      <c r="R112" s="8" t="str">
        <f>IFERROR(Q112/Q444, "NA")</f>
        <v>NA</v>
      </c>
      <c r="S112" s="9"/>
      <c r="T112" s="7">
        <v>0</v>
      </c>
      <c r="U112" s="8" t="str">
        <f>IFERROR(T112/T444, "NA")</f>
        <v>NA</v>
      </c>
      <c r="V112" s="9"/>
      <c r="W112" s="10">
        <f t="shared" si="26"/>
        <v>0</v>
      </c>
      <c r="X112" s="8" t="str">
        <f>IFERROR(W112/W444, "NA")</f>
        <v>NA</v>
      </c>
      <c r="Y112" s="9"/>
      <c r="Z112" s="7">
        <v>0</v>
      </c>
      <c r="AA112" s="8" t="str">
        <f>IFERROR(Z112/Z444, "NA")</f>
        <v>NA</v>
      </c>
      <c r="AB112" s="9"/>
      <c r="AC112" s="10">
        <f t="shared" si="27"/>
        <v>0</v>
      </c>
      <c r="AD112" s="8" t="str">
        <f>IFERROR(AC112/AC444, "NA")</f>
        <v>NA</v>
      </c>
    </row>
    <row r="113" spans="1:30" ht="16.5" hidden="1" customHeight="1" x14ac:dyDescent="0.45">
      <c r="A113" s="12" t="s">
        <v>108</v>
      </c>
      <c r="B113" s="7">
        <v>0</v>
      </c>
      <c r="C113" s="8" t="str">
        <f>IFERROR(B113/B444, "NA")</f>
        <v>NA</v>
      </c>
      <c r="D113" s="9"/>
      <c r="E113" s="7">
        <v>0</v>
      </c>
      <c r="F113" s="8" t="str">
        <f>IFERROR(E113/E444, "NA")</f>
        <v>NA</v>
      </c>
      <c r="G113" s="9"/>
      <c r="H113" s="10">
        <f t="shared" si="24"/>
        <v>0</v>
      </c>
      <c r="I113" s="8" t="str">
        <f>IFERROR(H113/H444, "NA")</f>
        <v>NA</v>
      </c>
      <c r="J113" s="9"/>
      <c r="K113" s="7">
        <v>0</v>
      </c>
      <c r="L113" s="8" t="str">
        <f>IFERROR(K113/K444, "NA")</f>
        <v>NA</v>
      </c>
      <c r="M113" s="9"/>
      <c r="N113" s="10">
        <f t="shared" si="25"/>
        <v>0</v>
      </c>
      <c r="O113" s="8" t="str">
        <f>IFERROR(N113/N444, "NA")</f>
        <v>NA</v>
      </c>
      <c r="P113" s="9"/>
      <c r="Q113" s="7">
        <v>0</v>
      </c>
      <c r="R113" s="8" t="str">
        <f>IFERROR(Q113/Q444, "NA")</f>
        <v>NA</v>
      </c>
      <c r="S113" s="9"/>
      <c r="T113" s="7">
        <v>0</v>
      </c>
      <c r="U113" s="8" t="str">
        <f>IFERROR(T113/T444, "NA")</f>
        <v>NA</v>
      </c>
      <c r="V113" s="9"/>
      <c r="W113" s="10">
        <f t="shared" si="26"/>
        <v>0</v>
      </c>
      <c r="X113" s="8" t="str">
        <f>IFERROR(W113/W444, "NA")</f>
        <v>NA</v>
      </c>
      <c r="Y113" s="9"/>
      <c r="Z113" s="7">
        <v>0</v>
      </c>
      <c r="AA113" s="8" t="str">
        <f>IFERROR(Z113/Z444, "NA")</f>
        <v>NA</v>
      </c>
      <c r="AB113" s="9"/>
      <c r="AC113" s="10">
        <f t="shared" si="27"/>
        <v>0</v>
      </c>
      <c r="AD113" s="8" t="str">
        <f>IFERROR(AC113/AC444, "NA")</f>
        <v>NA</v>
      </c>
    </row>
    <row r="114" spans="1:30" ht="16.5" hidden="1" customHeight="1" x14ac:dyDescent="0.45">
      <c r="A114" s="12" t="s">
        <v>109</v>
      </c>
      <c r="B114" s="7">
        <v>0</v>
      </c>
      <c r="C114" s="8" t="str">
        <f>IFERROR(B114/B444, "NA")</f>
        <v>NA</v>
      </c>
      <c r="D114" s="9"/>
      <c r="E114" s="7">
        <v>0</v>
      </c>
      <c r="F114" s="8" t="str">
        <f>IFERROR(E114/E444, "NA")</f>
        <v>NA</v>
      </c>
      <c r="G114" s="9"/>
      <c r="H114" s="10">
        <f t="shared" si="24"/>
        <v>0</v>
      </c>
      <c r="I114" s="8" t="str">
        <f>IFERROR(H114/H444, "NA")</f>
        <v>NA</v>
      </c>
      <c r="J114" s="9"/>
      <c r="K114" s="7">
        <v>0</v>
      </c>
      <c r="L114" s="8" t="str">
        <f>IFERROR(K114/K444, "NA")</f>
        <v>NA</v>
      </c>
      <c r="M114" s="9"/>
      <c r="N114" s="10">
        <f t="shared" si="25"/>
        <v>0</v>
      </c>
      <c r="O114" s="8" t="str">
        <f>IFERROR(N114/N444, "NA")</f>
        <v>NA</v>
      </c>
      <c r="P114" s="9"/>
      <c r="Q114" s="7">
        <v>0</v>
      </c>
      <c r="R114" s="8" t="str">
        <f>IFERROR(Q114/Q444, "NA")</f>
        <v>NA</v>
      </c>
      <c r="S114" s="9"/>
      <c r="T114" s="7">
        <v>0</v>
      </c>
      <c r="U114" s="8" t="str">
        <f>IFERROR(T114/T444, "NA")</f>
        <v>NA</v>
      </c>
      <c r="V114" s="9"/>
      <c r="W114" s="10">
        <f t="shared" si="26"/>
        <v>0</v>
      </c>
      <c r="X114" s="8" t="str">
        <f>IFERROR(W114/W444, "NA")</f>
        <v>NA</v>
      </c>
      <c r="Y114" s="9"/>
      <c r="Z114" s="7">
        <v>0</v>
      </c>
      <c r="AA114" s="8" t="str">
        <f>IFERROR(Z114/Z444, "NA")</f>
        <v>NA</v>
      </c>
      <c r="AB114" s="9"/>
      <c r="AC114" s="10">
        <f t="shared" si="27"/>
        <v>0</v>
      </c>
      <c r="AD114" s="8" t="str">
        <f>IFERROR(AC114/AC444, "NA")</f>
        <v>NA</v>
      </c>
    </row>
    <row r="115" spans="1:30" ht="16.5" hidden="1" customHeight="1" x14ac:dyDescent="0.45">
      <c r="A115" s="12" t="s">
        <v>110</v>
      </c>
      <c r="B115" s="7">
        <v>0</v>
      </c>
      <c r="C115" s="8" t="str">
        <f>IFERROR(B115/B444, "NA")</f>
        <v>NA</v>
      </c>
      <c r="D115" s="9"/>
      <c r="E115" s="7">
        <v>0</v>
      </c>
      <c r="F115" s="8" t="str">
        <f>IFERROR(E115/E444, "NA")</f>
        <v>NA</v>
      </c>
      <c r="G115" s="9"/>
      <c r="H115" s="10">
        <f t="shared" si="24"/>
        <v>0</v>
      </c>
      <c r="I115" s="8" t="str">
        <f>IFERROR(H115/H444, "NA")</f>
        <v>NA</v>
      </c>
      <c r="J115" s="9"/>
      <c r="K115" s="7">
        <v>0</v>
      </c>
      <c r="L115" s="8" t="str">
        <f>IFERROR(K115/K444, "NA")</f>
        <v>NA</v>
      </c>
      <c r="M115" s="9"/>
      <c r="N115" s="10">
        <f t="shared" si="25"/>
        <v>0</v>
      </c>
      <c r="O115" s="8" t="str">
        <f>IFERROR(N115/N444, "NA")</f>
        <v>NA</v>
      </c>
      <c r="P115" s="9"/>
      <c r="Q115" s="7">
        <v>0</v>
      </c>
      <c r="R115" s="8" t="str">
        <f>IFERROR(Q115/Q444, "NA")</f>
        <v>NA</v>
      </c>
      <c r="S115" s="9"/>
      <c r="T115" s="7">
        <v>0</v>
      </c>
      <c r="U115" s="8" t="str">
        <f>IFERROR(T115/T444, "NA")</f>
        <v>NA</v>
      </c>
      <c r="V115" s="9"/>
      <c r="W115" s="10">
        <f t="shared" si="26"/>
        <v>0</v>
      </c>
      <c r="X115" s="8" t="str">
        <f>IFERROR(W115/W444, "NA")</f>
        <v>NA</v>
      </c>
      <c r="Y115" s="9"/>
      <c r="Z115" s="7">
        <v>0</v>
      </c>
      <c r="AA115" s="8" t="str">
        <f>IFERROR(Z115/Z444, "NA")</f>
        <v>NA</v>
      </c>
      <c r="AB115" s="9"/>
      <c r="AC115" s="10">
        <f t="shared" si="27"/>
        <v>0</v>
      </c>
      <c r="AD115" s="8" t="str">
        <f>IFERROR(AC115/AC444, "NA")</f>
        <v>NA</v>
      </c>
    </row>
    <row r="116" spans="1:30" ht="16.5" hidden="1" customHeight="1" x14ac:dyDescent="0.45">
      <c r="A116" s="12" t="s">
        <v>111</v>
      </c>
      <c r="B116" s="7">
        <v>0</v>
      </c>
      <c r="C116" s="8" t="str">
        <f>IFERROR(B116/B444, "NA")</f>
        <v>NA</v>
      </c>
      <c r="D116" s="9"/>
      <c r="E116" s="7">
        <v>0</v>
      </c>
      <c r="F116" s="8" t="str">
        <f>IFERROR(E116/E444, "NA")</f>
        <v>NA</v>
      </c>
      <c r="G116" s="9"/>
      <c r="H116" s="10">
        <f t="shared" si="24"/>
        <v>0</v>
      </c>
      <c r="I116" s="8" t="str">
        <f>IFERROR(H116/H444, "NA")</f>
        <v>NA</v>
      </c>
      <c r="J116" s="9"/>
      <c r="K116" s="7">
        <v>0</v>
      </c>
      <c r="L116" s="8" t="str">
        <f>IFERROR(K116/K444, "NA")</f>
        <v>NA</v>
      </c>
      <c r="M116" s="9"/>
      <c r="N116" s="10">
        <f t="shared" si="25"/>
        <v>0</v>
      </c>
      <c r="O116" s="8" t="str">
        <f>IFERROR(N116/N444, "NA")</f>
        <v>NA</v>
      </c>
      <c r="P116" s="9"/>
      <c r="Q116" s="7">
        <v>0</v>
      </c>
      <c r="R116" s="8" t="str">
        <f>IFERROR(Q116/Q444, "NA")</f>
        <v>NA</v>
      </c>
      <c r="S116" s="9"/>
      <c r="T116" s="7">
        <v>0</v>
      </c>
      <c r="U116" s="8" t="str">
        <f>IFERROR(T116/T444, "NA")</f>
        <v>NA</v>
      </c>
      <c r="V116" s="9"/>
      <c r="W116" s="10">
        <f t="shared" si="26"/>
        <v>0</v>
      </c>
      <c r="X116" s="8" t="str">
        <f>IFERROR(W116/W444, "NA")</f>
        <v>NA</v>
      </c>
      <c r="Y116" s="9"/>
      <c r="Z116" s="7">
        <v>0</v>
      </c>
      <c r="AA116" s="8" t="str">
        <f>IFERROR(Z116/Z444, "NA")</f>
        <v>NA</v>
      </c>
      <c r="AB116" s="9"/>
      <c r="AC116" s="10">
        <f t="shared" si="27"/>
        <v>0</v>
      </c>
      <c r="AD116" s="8" t="str">
        <f>IFERROR(AC116/AC444, "NA")</f>
        <v>NA</v>
      </c>
    </row>
    <row r="117" spans="1:30" ht="16.5" hidden="1" customHeight="1" x14ac:dyDescent="0.45">
      <c r="A117" s="12" t="s">
        <v>112</v>
      </c>
      <c r="B117" s="7">
        <v>0</v>
      </c>
      <c r="C117" s="8" t="str">
        <f>IFERROR(B117/B444, "NA")</f>
        <v>NA</v>
      </c>
      <c r="D117" s="9"/>
      <c r="E117" s="7">
        <v>0</v>
      </c>
      <c r="F117" s="8" t="str">
        <f>IFERROR(E117/E444, "NA")</f>
        <v>NA</v>
      </c>
      <c r="G117" s="9"/>
      <c r="H117" s="10">
        <f t="shared" si="24"/>
        <v>0</v>
      </c>
      <c r="I117" s="8" t="str">
        <f>IFERROR(H117/H444, "NA")</f>
        <v>NA</v>
      </c>
      <c r="J117" s="9"/>
      <c r="K117" s="7">
        <v>0</v>
      </c>
      <c r="L117" s="8" t="str">
        <f>IFERROR(K117/K444, "NA")</f>
        <v>NA</v>
      </c>
      <c r="M117" s="9"/>
      <c r="N117" s="10">
        <f t="shared" si="25"/>
        <v>0</v>
      </c>
      <c r="O117" s="8" t="str">
        <f>IFERROR(N117/N444, "NA")</f>
        <v>NA</v>
      </c>
      <c r="P117" s="9"/>
      <c r="Q117" s="7">
        <v>0</v>
      </c>
      <c r="R117" s="8" t="str">
        <f>IFERROR(Q117/Q444, "NA")</f>
        <v>NA</v>
      </c>
      <c r="S117" s="9"/>
      <c r="T117" s="7">
        <v>0</v>
      </c>
      <c r="U117" s="8" t="str">
        <f>IFERROR(T117/T444, "NA")</f>
        <v>NA</v>
      </c>
      <c r="V117" s="9"/>
      <c r="W117" s="10">
        <f t="shared" si="26"/>
        <v>0</v>
      </c>
      <c r="X117" s="8" t="str">
        <f>IFERROR(W117/W444, "NA")</f>
        <v>NA</v>
      </c>
      <c r="Y117" s="9"/>
      <c r="Z117" s="7">
        <v>0</v>
      </c>
      <c r="AA117" s="8" t="str">
        <f>IFERROR(Z117/Z444, "NA")</f>
        <v>NA</v>
      </c>
      <c r="AB117" s="9"/>
      <c r="AC117" s="10">
        <f t="shared" si="27"/>
        <v>0</v>
      </c>
      <c r="AD117" s="8" t="str">
        <f>IFERROR(AC117/AC444, "NA")</f>
        <v>NA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0</v>
      </c>
      <c r="C118" s="15" t="str">
        <f>IFERROR(B118/B444, "NA")</f>
        <v>NA</v>
      </c>
      <c r="D118" s="2"/>
      <c r="E118" s="14">
        <f>IFERROR(E94+E95+E96+E97+E98+E99+E100+E101+E102+E103+E104+E105+E106+E107+E108+E109+E110+E111+E112+E113+E114+E115+E116+E117, "NA")</f>
        <v>0</v>
      </c>
      <c r="F118" s="15" t="str">
        <f>IFERROR(E118/E444, "NA")</f>
        <v>NA</v>
      </c>
      <c r="G118" s="2"/>
      <c r="H118" s="14">
        <f t="shared" si="24"/>
        <v>0</v>
      </c>
      <c r="I118" s="15" t="str">
        <f>IFERROR(H118/H444, "NA")</f>
        <v>NA</v>
      </c>
      <c r="J118" s="2"/>
      <c r="K118" s="14">
        <f>IFERROR(K94+K95+K96+K97+K98+K99+K100+K101+K102+K103+K104+K105+K106+K107+K108+K109+K110+K111+K112+K113+K114+K115+K116+K117, "NA")</f>
        <v>0</v>
      </c>
      <c r="L118" s="15" t="str">
        <f>IFERROR(K118/K444, "NA")</f>
        <v>NA</v>
      </c>
      <c r="M118" s="2"/>
      <c r="N118" s="14">
        <f t="shared" si="25"/>
        <v>0</v>
      </c>
      <c r="O118" s="15" t="str">
        <f>IFERROR(N118/N444, "NA")</f>
        <v>NA</v>
      </c>
      <c r="P118" s="2"/>
      <c r="Q118" s="14">
        <f>IFERROR(Q94+Q95+Q96+Q97+Q98+Q99+Q100+Q101+Q102+Q103+Q104+Q105+Q106+Q107+Q108+Q109+Q110+Q111+Q112+Q113+Q114+Q115+Q116+Q117, "NA")</f>
        <v>0</v>
      </c>
      <c r="R118" s="15" t="str">
        <f>IFERROR(Q118/Q444, "NA")</f>
        <v>NA</v>
      </c>
      <c r="S118" s="2"/>
      <c r="T118" s="14">
        <f>IFERROR(T94+T95+T96+T97+T98+T99+T100+T101+T102+T103+T104+T105+T106+T107+T108+T109+T110+T111+T112+T113+T114+T115+T116+T117, "NA")</f>
        <v>0</v>
      </c>
      <c r="U118" s="15" t="str">
        <f>IFERROR(T118/T444, "NA")</f>
        <v>NA</v>
      </c>
      <c r="V118" s="2"/>
      <c r="W118" s="14">
        <f t="shared" si="26"/>
        <v>0</v>
      </c>
      <c r="X118" s="15" t="str">
        <f>IFERROR(W118/W444, "NA")</f>
        <v>NA</v>
      </c>
      <c r="Y118" s="2"/>
      <c r="Z118" s="14">
        <f>IFERROR(Z94+Z95+Z96+Z97+Z98+Z99+Z100+Z101+Z102+Z103+Z104+Z105+Z106+Z107+Z108+Z109+Z110+Z111+Z112+Z113+Z114+Z115+Z116+Z117, "NA")</f>
        <v>0</v>
      </c>
      <c r="AA118" s="15" t="str">
        <f>IFERROR(Z118/Z444, "NA")</f>
        <v>NA</v>
      </c>
      <c r="AB118" s="2"/>
      <c r="AC118" s="14">
        <f t="shared" si="27"/>
        <v>0</v>
      </c>
      <c r="AD118" s="15" t="str">
        <f>IFERROR(AC118/AC444, "NA")</f>
        <v>NA</v>
      </c>
    </row>
    <row r="119" spans="1:30" ht="16.5" hidden="1" customHeight="1" x14ac:dyDescent="0.45">
      <c r="A119" s="6" t="s">
        <v>114</v>
      </c>
      <c r="B119" s="7">
        <v>0</v>
      </c>
      <c r="C119" s="8" t="str">
        <f>IFERROR(B119/B444, "NA")</f>
        <v>NA</v>
      </c>
      <c r="D119" s="9"/>
      <c r="E119" s="7">
        <v>0</v>
      </c>
      <c r="F119" s="8" t="str">
        <f>IFERROR(E119/E444, "NA")</f>
        <v>NA</v>
      </c>
      <c r="G119" s="9"/>
      <c r="H119" s="10">
        <f t="shared" si="24"/>
        <v>0</v>
      </c>
      <c r="I119" s="8" t="str">
        <f>IFERROR(H119/H444, "NA")</f>
        <v>NA</v>
      </c>
      <c r="J119" s="9"/>
      <c r="K119" s="7">
        <v>0</v>
      </c>
      <c r="L119" s="8" t="str">
        <f>IFERROR(K119/K444, "NA")</f>
        <v>NA</v>
      </c>
      <c r="M119" s="9"/>
      <c r="N119" s="10">
        <f t="shared" si="25"/>
        <v>0</v>
      </c>
      <c r="O119" s="8" t="str">
        <f>IFERROR(N119/N444, "NA")</f>
        <v>NA</v>
      </c>
      <c r="P119" s="9"/>
      <c r="Q119" s="7">
        <v>0</v>
      </c>
      <c r="R119" s="8" t="str">
        <f>IFERROR(Q119/Q444, "NA")</f>
        <v>NA</v>
      </c>
      <c r="S119" s="9"/>
      <c r="T119" s="7">
        <v>0</v>
      </c>
      <c r="U119" s="8" t="str">
        <f>IFERROR(T119/T444, "NA")</f>
        <v>NA</v>
      </c>
      <c r="V119" s="9"/>
      <c r="W119" s="10">
        <f t="shared" si="26"/>
        <v>0</v>
      </c>
      <c r="X119" s="8" t="str">
        <f>IFERROR(W119/W444, "NA")</f>
        <v>NA</v>
      </c>
      <c r="Y119" s="9"/>
      <c r="Z119" s="7">
        <v>0</v>
      </c>
      <c r="AA119" s="8" t="str">
        <f>IFERROR(Z119/Z444, "NA")</f>
        <v>NA</v>
      </c>
      <c r="AB119" s="9"/>
      <c r="AC119" s="10">
        <f t="shared" si="27"/>
        <v>0</v>
      </c>
      <c r="AD119" s="8" t="str">
        <f>IFERROR(AC119/AC444, "NA")</f>
        <v>NA</v>
      </c>
    </row>
    <row r="120" spans="1:30" ht="16.5" hidden="1" customHeight="1" x14ac:dyDescent="0.45">
      <c r="A120" s="6" t="s">
        <v>115</v>
      </c>
      <c r="B120" s="7">
        <v>0</v>
      </c>
      <c r="C120" s="8" t="str">
        <f>IFERROR(B120/B444, "NA")</f>
        <v>NA</v>
      </c>
      <c r="D120" s="9"/>
      <c r="E120" s="7">
        <v>0</v>
      </c>
      <c r="F120" s="8" t="str">
        <f>IFERROR(E120/E444, "NA")</f>
        <v>NA</v>
      </c>
      <c r="G120" s="9"/>
      <c r="H120" s="10">
        <f t="shared" si="24"/>
        <v>0</v>
      </c>
      <c r="I120" s="8" t="str">
        <f>IFERROR(H120/H444, "NA")</f>
        <v>NA</v>
      </c>
      <c r="J120" s="9"/>
      <c r="K120" s="7">
        <v>0</v>
      </c>
      <c r="L120" s="8" t="str">
        <f>IFERROR(K120/K444, "NA")</f>
        <v>NA</v>
      </c>
      <c r="M120" s="9"/>
      <c r="N120" s="10">
        <f t="shared" si="25"/>
        <v>0</v>
      </c>
      <c r="O120" s="8" t="str">
        <f>IFERROR(N120/N444, "NA")</f>
        <v>NA</v>
      </c>
      <c r="P120" s="9"/>
      <c r="Q120" s="7">
        <v>0</v>
      </c>
      <c r="R120" s="8" t="str">
        <f>IFERROR(Q120/Q444, "NA")</f>
        <v>NA</v>
      </c>
      <c r="S120" s="9"/>
      <c r="T120" s="7">
        <v>0</v>
      </c>
      <c r="U120" s="8" t="str">
        <f>IFERROR(T120/T444, "NA")</f>
        <v>NA</v>
      </c>
      <c r="V120" s="9"/>
      <c r="W120" s="10">
        <f t="shared" si="26"/>
        <v>0</v>
      </c>
      <c r="X120" s="8" t="str">
        <f>IFERROR(W120/W444, "NA")</f>
        <v>NA</v>
      </c>
      <c r="Y120" s="9"/>
      <c r="Z120" s="7">
        <v>0</v>
      </c>
      <c r="AA120" s="8" t="str">
        <f>IFERROR(Z120/Z444, "NA")</f>
        <v>NA</v>
      </c>
      <c r="AB120" s="9"/>
      <c r="AC120" s="10">
        <f t="shared" si="27"/>
        <v>0</v>
      </c>
      <c r="AD120" s="8" t="str">
        <f>IFERROR(AC120/AC444, "NA")</f>
        <v>NA</v>
      </c>
    </row>
    <row r="121" spans="1:30" ht="16.5" hidden="1" customHeight="1" x14ac:dyDescent="0.45">
      <c r="A121" s="6" t="s">
        <v>116</v>
      </c>
      <c r="B121" s="7">
        <v>0</v>
      </c>
      <c r="C121" s="8" t="str">
        <f>IFERROR(B121/B444, "NA")</f>
        <v>NA</v>
      </c>
      <c r="D121" s="9"/>
      <c r="E121" s="7">
        <v>0</v>
      </c>
      <c r="F121" s="8" t="str">
        <f>IFERROR(E121/E444, "NA")</f>
        <v>NA</v>
      </c>
      <c r="G121" s="9"/>
      <c r="H121" s="10">
        <f t="shared" si="24"/>
        <v>0</v>
      </c>
      <c r="I121" s="8" t="str">
        <f>IFERROR(H121/H444, "NA")</f>
        <v>NA</v>
      </c>
      <c r="J121" s="9"/>
      <c r="K121" s="7">
        <v>0</v>
      </c>
      <c r="L121" s="8" t="str">
        <f>IFERROR(K121/K444, "NA")</f>
        <v>NA</v>
      </c>
      <c r="M121" s="9"/>
      <c r="N121" s="10">
        <f t="shared" si="25"/>
        <v>0</v>
      </c>
      <c r="O121" s="8" t="str">
        <f>IFERROR(N121/N444, "NA")</f>
        <v>NA</v>
      </c>
      <c r="P121" s="9"/>
      <c r="Q121" s="7">
        <v>0</v>
      </c>
      <c r="R121" s="8" t="str">
        <f>IFERROR(Q121/Q444, "NA")</f>
        <v>NA</v>
      </c>
      <c r="S121" s="9"/>
      <c r="T121" s="7">
        <v>0</v>
      </c>
      <c r="U121" s="8" t="str">
        <f>IFERROR(T121/T444, "NA")</f>
        <v>NA</v>
      </c>
      <c r="V121" s="9"/>
      <c r="W121" s="10">
        <f t="shared" si="26"/>
        <v>0</v>
      </c>
      <c r="X121" s="8" t="str">
        <f>IFERROR(W121/W444, "NA")</f>
        <v>NA</v>
      </c>
      <c r="Y121" s="9"/>
      <c r="Z121" s="7">
        <v>0</v>
      </c>
      <c r="AA121" s="8" t="str">
        <f>IFERROR(Z121/Z444, "NA")</f>
        <v>NA</v>
      </c>
      <c r="AB121" s="9"/>
      <c r="AC121" s="10">
        <f t="shared" si="27"/>
        <v>0</v>
      </c>
      <c r="AD121" s="8" t="str">
        <f>IFERROR(AC121/AC444, "NA")</f>
        <v>NA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0</v>
      </c>
      <c r="C122" s="15" t="str">
        <f>IFERROR(B122/B444, "NA")</f>
        <v>NA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0</v>
      </c>
      <c r="F122" s="15" t="str">
        <f>IFERROR(E122/E444, "NA")</f>
        <v>NA</v>
      </c>
      <c r="G122" s="2"/>
      <c r="H122" s="14">
        <f t="shared" si="24"/>
        <v>0</v>
      </c>
      <c r="I122" s="15" t="str">
        <f>IFERROR(H122/H444, "NA")</f>
        <v>NA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0</v>
      </c>
      <c r="L122" s="15" t="str">
        <f>IFERROR(K122/K444, "NA")</f>
        <v>NA</v>
      </c>
      <c r="M122" s="2"/>
      <c r="N122" s="14">
        <f t="shared" si="25"/>
        <v>0</v>
      </c>
      <c r="O122" s="15" t="str">
        <f>IFERROR(N122/N444, "NA")</f>
        <v>NA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0</v>
      </c>
      <c r="R122" s="15" t="str">
        <f>IFERROR(Q122/Q444, "NA")</f>
        <v>NA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0</v>
      </c>
      <c r="U122" s="15" t="str">
        <f>IFERROR(T122/T444, "NA")</f>
        <v>NA</v>
      </c>
      <c r="V122" s="2"/>
      <c r="W122" s="14">
        <f t="shared" si="26"/>
        <v>0</v>
      </c>
      <c r="X122" s="15" t="str">
        <f>IFERROR(W122/W444, "NA")</f>
        <v>NA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0</v>
      </c>
      <c r="AA122" s="15" t="str">
        <f>IFERROR(Z122/Z444, "NA")</f>
        <v>NA</v>
      </c>
      <c r="AB122" s="2"/>
      <c r="AC122" s="14">
        <f t="shared" si="27"/>
        <v>0</v>
      </c>
      <c r="AD122" s="15" t="str">
        <f>IFERROR(AC122/AC444, "NA")</f>
        <v>NA</v>
      </c>
    </row>
    <row r="123" spans="1:30" ht="16.5" hidden="1" customHeight="1" x14ac:dyDescent="0.45">
      <c r="A123" s="20" t="s">
        <v>118</v>
      </c>
      <c r="B123" s="7">
        <v>0</v>
      </c>
      <c r="C123" s="8" t="str">
        <f>IFERROR(B123/B444, "NA")</f>
        <v>NA</v>
      </c>
      <c r="D123" s="9"/>
      <c r="E123" s="7">
        <v>0</v>
      </c>
      <c r="F123" s="8" t="str">
        <f>IFERROR(E123/E444, "NA")</f>
        <v>NA</v>
      </c>
      <c r="G123" s="9"/>
      <c r="H123" s="10">
        <f t="shared" si="24"/>
        <v>0</v>
      </c>
      <c r="I123" s="8" t="str">
        <f>IFERROR(H123/H444, "NA")</f>
        <v>NA</v>
      </c>
      <c r="J123" s="9"/>
      <c r="K123" s="7">
        <v>0</v>
      </c>
      <c r="L123" s="8" t="str">
        <f>IFERROR(K123/K444, "NA")</f>
        <v>NA</v>
      </c>
      <c r="M123" s="9"/>
      <c r="N123" s="10">
        <f t="shared" si="25"/>
        <v>0</v>
      </c>
      <c r="O123" s="8" t="str">
        <f>IFERROR(N123/N444, "NA")</f>
        <v>NA</v>
      </c>
      <c r="P123" s="9"/>
      <c r="Q123" s="7">
        <v>0</v>
      </c>
      <c r="R123" s="8" t="str">
        <f>IFERROR(Q123/Q444, "NA")</f>
        <v>NA</v>
      </c>
      <c r="S123" s="9"/>
      <c r="T123" s="7">
        <v>0</v>
      </c>
      <c r="U123" s="8" t="str">
        <f>IFERROR(T123/T444, "NA")</f>
        <v>NA</v>
      </c>
      <c r="V123" s="9"/>
      <c r="W123" s="10">
        <f t="shared" si="26"/>
        <v>0</v>
      </c>
      <c r="X123" s="8" t="str">
        <f>IFERROR(W123/W444, "NA")</f>
        <v>NA</v>
      </c>
      <c r="Y123" s="9"/>
      <c r="Z123" s="7">
        <v>0</v>
      </c>
      <c r="AA123" s="8" t="str">
        <f>IFERROR(Z123/Z444, "NA")</f>
        <v>NA</v>
      </c>
      <c r="AB123" s="9"/>
      <c r="AC123" s="10">
        <f t="shared" si="27"/>
        <v>0</v>
      </c>
      <c r="AD123" s="8" t="str">
        <f>IFERROR(AC123/AC444, "NA")</f>
        <v>NA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0</v>
      </c>
      <c r="C124" s="15" t="str">
        <f>IFERROR(B124/B444, "NA")</f>
        <v>NA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0</v>
      </c>
      <c r="F124" s="15" t="str">
        <f>IFERROR(E124/E444, "NA")</f>
        <v>NA</v>
      </c>
      <c r="G124" s="2"/>
      <c r="H124" s="14">
        <f t="shared" si="24"/>
        <v>0</v>
      </c>
      <c r="I124" s="15" t="str">
        <f>IFERROR(H124/H444, "NA")</f>
        <v>NA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0</v>
      </c>
      <c r="L124" s="15" t="str">
        <f>IFERROR(K124/K444, "NA")</f>
        <v>NA</v>
      </c>
      <c r="M124" s="2"/>
      <c r="N124" s="14">
        <f t="shared" si="25"/>
        <v>0</v>
      </c>
      <c r="O124" s="15" t="str">
        <f>IFERROR(N124/N444, "NA")</f>
        <v>NA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0</v>
      </c>
      <c r="R124" s="15" t="str">
        <f>IFERROR(Q124/Q444, "NA")</f>
        <v>NA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0</v>
      </c>
      <c r="U124" s="15" t="str">
        <f>IFERROR(T124/T444, "NA")</f>
        <v>NA</v>
      </c>
      <c r="V124" s="2"/>
      <c r="W124" s="14">
        <f t="shared" si="26"/>
        <v>0</v>
      </c>
      <c r="X124" s="15" t="str">
        <f>IFERROR(W124/W444, "NA")</f>
        <v>NA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0</v>
      </c>
      <c r="AA124" s="15" t="str">
        <f>IFERROR(Z124/Z444, "NA")</f>
        <v>NA</v>
      </c>
      <c r="AB124" s="2"/>
      <c r="AC124" s="14">
        <f t="shared" si="27"/>
        <v>0</v>
      </c>
      <c r="AD124" s="15" t="str">
        <f>IFERROR(AC124/AC444, "NA")</f>
        <v>NA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 t="str">
        <f>IFERROR(B127/B444, "NA")</f>
        <v>NA</v>
      </c>
      <c r="D127" s="9"/>
      <c r="E127" s="7">
        <v>0</v>
      </c>
      <c r="F127" s="8" t="str">
        <f>IFERROR(E127/E444, "NA")</f>
        <v>NA</v>
      </c>
      <c r="G127" s="9"/>
      <c r="H127" s="10">
        <f>IFERROR(-(B127-E127), "NA")</f>
        <v>0</v>
      </c>
      <c r="I127" s="8" t="str">
        <f>IFERROR(H127/H444, "NA")</f>
        <v>NA</v>
      </c>
      <c r="J127" s="9"/>
      <c r="K127" s="7">
        <v>0</v>
      </c>
      <c r="L127" s="8" t="str">
        <f>IFERROR(K127/K444, "NA")</f>
        <v>NA</v>
      </c>
      <c r="M127" s="9"/>
      <c r="N127" s="10">
        <f>IFERROR(-(B127-K127), "NA")</f>
        <v>0</v>
      </c>
      <c r="O127" s="8" t="str">
        <f>IFERROR(N127/N444, "NA")</f>
        <v>NA</v>
      </c>
      <c r="P127" s="9"/>
      <c r="Q127" s="7">
        <v>0</v>
      </c>
      <c r="R127" s="8" t="str">
        <f>IFERROR(Q127/Q444, "NA")</f>
        <v>NA</v>
      </c>
      <c r="S127" s="9"/>
      <c r="T127" s="7">
        <v>0</v>
      </c>
      <c r="U127" s="8" t="str">
        <f>IFERROR(T127/T444, "NA")</f>
        <v>NA</v>
      </c>
      <c r="V127" s="9"/>
      <c r="W127" s="10">
        <f>IFERROR(-(Q127-T127), "NA")</f>
        <v>0</v>
      </c>
      <c r="X127" s="8" t="str">
        <f>IFERROR(W127/W444, "NA")</f>
        <v>NA</v>
      </c>
      <c r="Y127" s="9"/>
      <c r="Z127" s="7">
        <v>0</v>
      </c>
      <c r="AA127" s="8" t="str">
        <f>IFERROR(Z127/Z444, "NA")</f>
        <v>NA</v>
      </c>
      <c r="AB127" s="9"/>
      <c r="AC127" s="10">
        <f>IFERROR(-(Q127-Z127), "NA")</f>
        <v>0</v>
      </c>
      <c r="AD127" s="8" t="str">
        <f>IFERROR(AC127/AC444, "NA")</f>
        <v>NA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hidden="1" customHeight="1" x14ac:dyDescent="0.45">
      <c r="A129" s="12" t="s">
        <v>121</v>
      </c>
      <c r="B129" s="7">
        <v>0</v>
      </c>
      <c r="C129" s="8" t="str">
        <f>IFERROR(B129/B444, "NA")</f>
        <v>NA</v>
      </c>
      <c r="D129" s="9"/>
      <c r="E129" s="7">
        <v>0</v>
      </c>
      <c r="F129" s="8" t="str">
        <f>IFERROR(E129/E444, "NA")</f>
        <v>NA</v>
      </c>
      <c r="G129" s="9"/>
      <c r="H129" s="10">
        <f t="shared" ref="H129:H141" si="28">IFERROR(-(B129-E129), "NA")</f>
        <v>0</v>
      </c>
      <c r="I129" s="8" t="str">
        <f>IFERROR(H129/H444, "NA")</f>
        <v>NA</v>
      </c>
      <c r="J129" s="9"/>
      <c r="K129" s="7">
        <v>0</v>
      </c>
      <c r="L129" s="8" t="str">
        <f>IFERROR(K129/K444, "NA")</f>
        <v>NA</v>
      </c>
      <c r="M129" s="9"/>
      <c r="N129" s="10">
        <f t="shared" ref="N129:N141" si="29">IFERROR(-(B129-K129), "NA")</f>
        <v>0</v>
      </c>
      <c r="O129" s="8" t="str">
        <f>IFERROR(N129/N444, "NA")</f>
        <v>NA</v>
      </c>
      <c r="P129" s="9"/>
      <c r="Q129" s="7">
        <v>0</v>
      </c>
      <c r="R129" s="8" t="str">
        <f>IFERROR(Q129/Q444, "NA")</f>
        <v>NA</v>
      </c>
      <c r="S129" s="9"/>
      <c r="T129" s="7">
        <v>0</v>
      </c>
      <c r="U129" s="8" t="str">
        <f>IFERROR(T129/T444, "NA")</f>
        <v>NA</v>
      </c>
      <c r="V129" s="9"/>
      <c r="W129" s="10">
        <f t="shared" ref="W129:W141" si="30">IFERROR(-(Q129-T129), "NA")</f>
        <v>0</v>
      </c>
      <c r="X129" s="8" t="str">
        <f>IFERROR(W129/W444, "NA")</f>
        <v>NA</v>
      </c>
      <c r="Y129" s="9"/>
      <c r="Z129" s="7">
        <v>0</v>
      </c>
      <c r="AA129" s="8" t="str">
        <f>IFERROR(Z129/Z444, "NA")</f>
        <v>NA</v>
      </c>
      <c r="AB129" s="9"/>
      <c r="AC129" s="10">
        <f t="shared" ref="AC129:AC141" si="31">IFERROR(-(Q129-Z129), "NA")</f>
        <v>0</v>
      </c>
      <c r="AD129" s="8" t="str">
        <f>IFERROR(AC129/AC444, "NA")</f>
        <v>NA</v>
      </c>
    </row>
    <row r="130" spans="1:30" ht="16.5" hidden="1" customHeight="1" x14ac:dyDescent="0.45">
      <c r="A130" s="12" t="s">
        <v>122</v>
      </c>
      <c r="B130" s="7">
        <v>0</v>
      </c>
      <c r="C130" s="8" t="str">
        <f>IFERROR(B130/B444, "NA")</f>
        <v>NA</v>
      </c>
      <c r="D130" s="9"/>
      <c r="E130" s="7">
        <v>0</v>
      </c>
      <c r="F130" s="8" t="str">
        <f>IFERROR(E130/E444, "NA")</f>
        <v>NA</v>
      </c>
      <c r="G130" s="9"/>
      <c r="H130" s="10">
        <f t="shared" si="28"/>
        <v>0</v>
      </c>
      <c r="I130" s="8" t="str">
        <f>IFERROR(H130/H444, "NA")</f>
        <v>NA</v>
      </c>
      <c r="J130" s="9"/>
      <c r="K130" s="7">
        <v>0</v>
      </c>
      <c r="L130" s="8" t="str">
        <f>IFERROR(K130/K444, "NA")</f>
        <v>NA</v>
      </c>
      <c r="M130" s="9"/>
      <c r="N130" s="10">
        <f t="shared" si="29"/>
        <v>0</v>
      </c>
      <c r="O130" s="8" t="str">
        <f>IFERROR(N130/N444, "NA")</f>
        <v>NA</v>
      </c>
      <c r="P130" s="9"/>
      <c r="Q130" s="7">
        <v>0</v>
      </c>
      <c r="R130" s="8" t="str">
        <f>IFERROR(Q130/Q444, "NA")</f>
        <v>NA</v>
      </c>
      <c r="S130" s="9"/>
      <c r="T130" s="7">
        <v>0</v>
      </c>
      <c r="U130" s="8" t="str">
        <f>IFERROR(T130/T444, "NA")</f>
        <v>NA</v>
      </c>
      <c r="V130" s="9"/>
      <c r="W130" s="10">
        <f t="shared" si="30"/>
        <v>0</v>
      </c>
      <c r="X130" s="8" t="str">
        <f>IFERROR(W130/W444, "NA")</f>
        <v>NA</v>
      </c>
      <c r="Y130" s="9"/>
      <c r="Z130" s="7">
        <v>0</v>
      </c>
      <c r="AA130" s="8" t="str">
        <f>IFERROR(Z130/Z444, "NA")</f>
        <v>NA</v>
      </c>
      <c r="AB130" s="9"/>
      <c r="AC130" s="10">
        <f t="shared" si="31"/>
        <v>0</v>
      </c>
      <c r="AD130" s="8" t="str">
        <f>IFERROR(AC130/AC444, "NA")</f>
        <v>NA</v>
      </c>
    </row>
    <row r="131" spans="1:30" ht="16.5" hidden="1" customHeight="1" x14ac:dyDescent="0.45">
      <c r="A131" s="12" t="s">
        <v>123</v>
      </c>
      <c r="B131" s="7">
        <v>0</v>
      </c>
      <c r="C131" s="8" t="str">
        <f>IFERROR(B131/B444, "NA")</f>
        <v>NA</v>
      </c>
      <c r="D131" s="9"/>
      <c r="E131" s="7">
        <v>0</v>
      </c>
      <c r="F131" s="8" t="str">
        <f>IFERROR(E131/E444, "NA")</f>
        <v>NA</v>
      </c>
      <c r="G131" s="9"/>
      <c r="H131" s="10">
        <f t="shared" si="28"/>
        <v>0</v>
      </c>
      <c r="I131" s="8" t="str">
        <f>IFERROR(H131/H444, "NA")</f>
        <v>NA</v>
      </c>
      <c r="J131" s="9"/>
      <c r="K131" s="7">
        <v>0</v>
      </c>
      <c r="L131" s="8" t="str">
        <f>IFERROR(K131/K444, "NA")</f>
        <v>NA</v>
      </c>
      <c r="M131" s="9"/>
      <c r="N131" s="10">
        <f t="shared" si="29"/>
        <v>0</v>
      </c>
      <c r="O131" s="8" t="str">
        <f>IFERROR(N131/N444, "NA")</f>
        <v>NA</v>
      </c>
      <c r="P131" s="9"/>
      <c r="Q131" s="7">
        <v>0</v>
      </c>
      <c r="R131" s="8" t="str">
        <f>IFERROR(Q131/Q444, "NA")</f>
        <v>NA</v>
      </c>
      <c r="S131" s="9"/>
      <c r="T131" s="7">
        <v>0</v>
      </c>
      <c r="U131" s="8" t="str">
        <f>IFERROR(T131/T444, "NA")</f>
        <v>NA</v>
      </c>
      <c r="V131" s="9"/>
      <c r="W131" s="10">
        <f t="shared" si="30"/>
        <v>0</v>
      </c>
      <c r="X131" s="8" t="str">
        <f>IFERROR(W131/W444, "NA")</f>
        <v>NA</v>
      </c>
      <c r="Y131" s="9"/>
      <c r="Z131" s="7">
        <v>0</v>
      </c>
      <c r="AA131" s="8" t="str">
        <f>IFERROR(Z131/Z444, "NA")</f>
        <v>NA</v>
      </c>
      <c r="AB131" s="9"/>
      <c r="AC131" s="10">
        <f t="shared" si="31"/>
        <v>0</v>
      </c>
      <c r="AD131" s="8" t="str">
        <f>IFERROR(AC131/AC444, "NA")</f>
        <v>NA</v>
      </c>
    </row>
    <row r="132" spans="1:30" ht="16.5" hidden="1" customHeight="1" x14ac:dyDescent="0.45">
      <c r="A132" s="12" t="s">
        <v>124</v>
      </c>
      <c r="B132" s="7">
        <v>0</v>
      </c>
      <c r="C132" s="8" t="str">
        <f>IFERROR(B132/B444, "NA")</f>
        <v>NA</v>
      </c>
      <c r="D132" s="9"/>
      <c r="E132" s="7">
        <v>0</v>
      </c>
      <c r="F132" s="8" t="str">
        <f>IFERROR(E132/E444, "NA")</f>
        <v>NA</v>
      </c>
      <c r="G132" s="9"/>
      <c r="H132" s="10">
        <f t="shared" si="28"/>
        <v>0</v>
      </c>
      <c r="I132" s="8" t="str">
        <f>IFERROR(H132/H444, "NA")</f>
        <v>NA</v>
      </c>
      <c r="J132" s="9"/>
      <c r="K132" s="7">
        <v>0</v>
      </c>
      <c r="L132" s="8" t="str">
        <f>IFERROR(K132/K444, "NA")</f>
        <v>NA</v>
      </c>
      <c r="M132" s="9"/>
      <c r="N132" s="10">
        <f t="shared" si="29"/>
        <v>0</v>
      </c>
      <c r="O132" s="8" t="str">
        <f>IFERROR(N132/N444, "NA")</f>
        <v>NA</v>
      </c>
      <c r="P132" s="9"/>
      <c r="Q132" s="7">
        <v>0</v>
      </c>
      <c r="R132" s="8" t="str">
        <f>IFERROR(Q132/Q444, "NA")</f>
        <v>NA</v>
      </c>
      <c r="S132" s="9"/>
      <c r="T132" s="7">
        <v>0</v>
      </c>
      <c r="U132" s="8" t="str">
        <f>IFERROR(T132/T444, "NA")</f>
        <v>NA</v>
      </c>
      <c r="V132" s="9"/>
      <c r="W132" s="10">
        <f t="shared" si="30"/>
        <v>0</v>
      </c>
      <c r="X132" s="8" t="str">
        <f>IFERROR(W132/W444, "NA")</f>
        <v>NA</v>
      </c>
      <c r="Y132" s="9"/>
      <c r="Z132" s="7">
        <v>0</v>
      </c>
      <c r="AA132" s="8" t="str">
        <f>IFERROR(Z132/Z444, "NA")</f>
        <v>NA</v>
      </c>
      <c r="AB132" s="9"/>
      <c r="AC132" s="10">
        <f t="shared" si="31"/>
        <v>0</v>
      </c>
      <c r="AD132" s="8" t="str">
        <f>IFERROR(AC132/AC444, "NA")</f>
        <v>NA</v>
      </c>
    </row>
    <row r="133" spans="1:30" ht="16.5" hidden="1" customHeight="1" x14ac:dyDescent="0.45">
      <c r="A133" s="12" t="s">
        <v>125</v>
      </c>
      <c r="B133" s="7">
        <v>0</v>
      </c>
      <c r="C133" s="8" t="str">
        <f>IFERROR(B133/B444, "NA")</f>
        <v>NA</v>
      </c>
      <c r="D133" s="9"/>
      <c r="E133" s="7">
        <v>0</v>
      </c>
      <c r="F133" s="8" t="str">
        <f>IFERROR(E133/E444, "NA")</f>
        <v>NA</v>
      </c>
      <c r="G133" s="9"/>
      <c r="H133" s="10">
        <f t="shared" si="28"/>
        <v>0</v>
      </c>
      <c r="I133" s="8" t="str">
        <f>IFERROR(H133/H444, "NA")</f>
        <v>NA</v>
      </c>
      <c r="J133" s="9"/>
      <c r="K133" s="7">
        <v>0</v>
      </c>
      <c r="L133" s="8" t="str">
        <f>IFERROR(K133/K444, "NA")</f>
        <v>NA</v>
      </c>
      <c r="M133" s="9"/>
      <c r="N133" s="10">
        <f t="shared" si="29"/>
        <v>0</v>
      </c>
      <c r="O133" s="8" t="str">
        <f>IFERROR(N133/N444, "NA")</f>
        <v>NA</v>
      </c>
      <c r="P133" s="9"/>
      <c r="Q133" s="7">
        <v>0</v>
      </c>
      <c r="R133" s="8" t="str">
        <f>IFERROR(Q133/Q444, "NA")</f>
        <v>NA</v>
      </c>
      <c r="S133" s="9"/>
      <c r="T133" s="7">
        <v>0</v>
      </c>
      <c r="U133" s="8" t="str">
        <f>IFERROR(T133/T444, "NA")</f>
        <v>NA</v>
      </c>
      <c r="V133" s="9"/>
      <c r="W133" s="10">
        <f t="shared" si="30"/>
        <v>0</v>
      </c>
      <c r="X133" s="8" t="str">
        <f>IFERROR(W133/W444, "NA")</f>
        <v>NA</v>
      </c>
      <c r="Y133" s="9"/>
      <c r="Z133" s="7">
        <v>0</v>
      </c>
      <c r="AA133" s="8" t="str">
        <f>IFERROR(Z133/Z444, "NA")</f>
        <v>NA</v>
      </c>
      <c r="AB133" s="9"/>
      <c r="AC133" s="10">
        <f t="shared" si="31"/>
        <v>0</v>
      </c>
      <c r="AD133" s="8" t="str">
        <f>IFERROR(AC133/AC444, "NA")</f>
        <v>NA</v>
      </c>
    </row>
    <row r="134" spans="1:30" ht="16.5" hidden="1" customHeight="1" x14ac:dyDescent="0.45">
      <c r="A134" s="12" t="s">
        <v>126</v>
      </c>
      <c r="B134" s="7">
        <v>0</v>
      </c>
      <c r="C134" s="8" t="str">
        <f>IFERROR(B134/B444, "NA")</f>
        <v>NA</v>
      </c>
      <c r="D134" s="9"/>
      <c r="E134" s="7">
        <v>0</v>
      </c>
      <c r="F134" s="8" t="str">
        <f>IFERROR(E134/E444, "NA")</f>
        <v>NA</v>
      </c>
      <c r="G134" s="9"/>
      <c r="H134" s="10">
        <f t="shared" si="28"/>
        <v>0</v>
      </c>
      <c r="I134" s="8" t="str">
        <f>IFERROR(H134/H444, "NA")</f>
        <v>NA</v>
      </c>
      <c r="J134" s="9"/>
      <c r="K134" s="7">
        <v>0</v>
      </c>
      <c r="L134" s="8" t="str">
        <f>IFERROR(K134/K444, "NA")</f>
        <v>NA</v>
      </c>
      <c r="M134" s="9"/>
      <c r="N134" s="10">
        <f t="shared" si="29"/>
        <v>0</v>
      </c>
      <c r="O134" s="8" t="str">
        <f>IFERROR(N134/N444, "NA")</f>
        <v>NA</v>
      </c>
      <c r="P134" s="9"/>
      <c r="Q134" s="7">
        <v>0</v>
      </c>
      <c r="R134" s="8" t="str">
        <f>IFERROR(Q134/Q444, "NA")</f>
        <v>NA</v>
      </c>
      <c r="S134" s="9"/>
      <c r="T134" s="7">
        <v>0</v>
      </c>
      <c r="U134" s="8" t="str">
        <f>IFERROR(T134/T444, "NA")</f>
        <v>NA</v>
      </c>
      <c r="V134" s="9"/>
      <c r="W134" s="10">
        <f t="shared" si="30"/>
        <v>0</v>
      </c>
      <c r="X134" s="8" t="str">
        <f>IFERROR(W134/W444, "NA")</f>
        <v>NA</v>
      </c>
      <c r="Y134" s="9"/>
      <c r="Z134" s="7">
        <v>0</v>
      </c>
      <c r="AA134" s="8" t="str">
        <f>IFERROR(Z134/Z444, "NA")</f>
        <v>NA</v>
      </c>
      <c r="AB134" s="9"/>
      <c r="AC134" s="10">
        <f t="shared" si="31"/>
        <v>0</v>
      </c>
      <c r="AD134" s="8" t="str">
        <f>IFERROR(AC134/AC444, "NA")</f>
        <v>NA</v>
      </c>
    </row>
    <row r="135" spans="1:30" ht="16.5" hidden="1" customHeight="1" x14ac:dyDescent="0.45">
      <c r="A135" s="12" t="s">
        <v>127</v>
      </c>
      <c r="B135" s="7">
        <v>0</v>
      </c>
      <c r="C135" s="8" t="str">
        <f>IFERROR(B135/B444, "NA")</f>
        <v>NA</v>
      </c>
      <c r="D135" s="9"/>
      <c r="E135" s="7">
        <v>0</v>
      </c>
      <c r="F135" s="8" t="str">
        <f>IFERROR(E135/E444, "NA")</f>
        <v>NA</v>
      </c>
      <c r="G135" s="9"/>
      <c r="H135" s="10">
        <f t="shared" si="28"/>
        <v>0</v>
      </c>
      <c r="I135" s="8" t="str">
        <f>IFERROR(H135/H444, "NA")</f>
        <v>NA</v>
      </c>
      <c r="J135" s="9"/>
      <c r="K135" s="7">
        <v>0</v>
      </c>
      <c r="L135" s="8" t="str">
        <f>IFERROR(K135/K444, "NA")</f>
        <v>NA</v>
      </c>
      <c r="M135" s="9"/>
      <c r="N135" s="10">
        <f t="shared" si="29"/>
        <v>0</v>
      </c>
      <c r="O135" s="8" t="str">
        <f>IFERROR(N135/N444, "NA")</f>
        <v>NA</v>
      </c>
      <c r="P135" s="9"/>
      <c r="Q135" s="7">
        <v>0</v>
      </c>
      <c r="R135" s="8" t="str">
        <f>IFERROR(Q135/Q444, "NA")</f>
        <v>NA</v>
      </c>
      <c r="S135" s="9"/>
      <c r="T135" s="7">
        <v>0</v>
      </c>
      <c r="U135" s="8" t="str">
        <f>IFERROR(T135/T444, "NA")</f>
        <v>NA</v>
      </c>
      <c r="V135" s="9"/>
      <c r="W135" s="10">
        <f t="shared" si="30"/>
        <v>0</v>
      </c>
      <c r="X135" s="8" t="str">
        <f>IFERROR(W135/W444, "NA")</f>
        <v>NA</v>
      </c>
      <c r="Y135" s="9"/>
      <c r="Z135" s="7">
        <v>0</v>
      </c>
      <c r="AA135" s="8" t="str">
        <f>IFERROR(Z135/Z444, "NA")</f>
        <v>NA</v>
      </c>
      <c r="AB135" s="9"/>
      <c r="AC135" s="10">
        <f t="shared" si="31"/>
        <v>0</v>
      </c>
      <c r="AD135" s="8" t="str">
        <f>IFERROR(AC135/AC444, "NA")</f>
        <v>NA</v>
      </c>
    </row>
    <row r="136" spans="1:30" ht="16.5" hidden="1" customHeight="1" x14ac:dyDescent="0.45">
      <c r="A136" s="12" t="s">
        <v>128</v>
      </c>
      <c r="B136" s="7">
        <v>0</v>
      </c>
      <c r="C136" s="8" t="str">
        <f>IFERROR(B136/B444, "NA")</f>
        <v>NA</v>
      </c>
      <c r="D136" s="9"/>
      <c r="E136" s="7">
        <v>0</v>
      </c>
      <c r="F136" s="8" t="str">
        <f>IFERROR(E136/E444, "NA")</f>
        <v>NA</v>
      </c>
      <c r="G136" s="9"/>
      <c r="H136" s="10">
        <f t="shared" si="28"/>
        <v>0</v>
      </c>
      <c r="I136" s="8" t="str">
        <f>IFERROR(H136/H444, "NA")</f>
        <v>NA</v>
      </c>
      <c r="J136" s="9"/>
      <c r="K136" s="7">
        <v>0</v>
      </c>
      <c r="L136" s="8" t="str">
        <f>IFERROR(K136/K444, "NA")</f>
        <v>NA</v>
      </c>
      <c r="M136" s="9"/>
      <c r="N136" s="10">
        <f t="shared" si="29"/>
        <v>0</v>
      </c>
      <c r="O136" s="8" t="str">
        <f>IFERROR(N136/N444, "NA")</f>
        <v>NA</v>
      </c>
      <c r="P136" s="9"/>
      <c r="Q136" s="7">
        <v>0</v>
      </c>
      <c r="R136" s="8" t="str">
        <f>IFERROR(Q136/Q444, "NA")</f>
        <v>NA</v>
      </c>
      <c r="S136" s="9"/>
      <c r="T136" s="7">
        <v>0</v>
      </c>
      <c r="U136" s="8" t="str">
        <f>IFERROR(T136/T444, "NA")</f>
        <v>NA</v>
      </c>
      <c r="V136" s="9"/>
      <c r="W136" s="10">
        <f t="shared" si="30"/>
        <v>0</v>
      </c>
      <c r="X136" s="8" t="str">
        <f>IFERROR(W136/W444, "NA")</f>
        <v>NA</v>
      </c>
      <c r="Y136" s="9"/>
      <c r="Z136" s="7">
        <v>0</v>
      </c>
      <c r="AA136" s="8" t="str">
        <f>IFERROR(Z136/Z444, "NA")</f>
        <v>NA</v>
      </c>
      <c r="AB136" s="9"/>
      <c r="AC136" s="10">
        <f t="shared" si="31"/>
        <v>0</v>
      </c>
      <c r="AD136" s="8" t="str">
        <f>IFERROR(AC136/AC444, "NA")</f>
        <v>NA</v>
      </c>
    </row>
    <row r="137" spans="1:30" ht="16.5" hidden="1" customHeight="1" x14ac:dyDescent="0.45">
      <c r="A137" s="12" t="s">
        <v>129</v>
      </c>
      <c r="B137" s="7">
        <v>0</v>
      </c>
      <c r="C137" s="8" t="str">
        <f>IFERROR(B137/B444, "NA")</f>
        <v>NA</v>
      </c>
      <c r="D137" s="9"/>
      <c r="E137" s="7">
        <v>0</v>
      </c>
      <c r="F137" s="8" t="str">
        <f>IFERROR(E137/E444, "NA")</f>
        <v>NA</v>
      </c>
      <c r="G137" s="9"/>
      <c r="H137" s="10">
        <f t="shared" si="28"/>
        <v>0</v>
      </c>
      <c r="I137" s="8" t="str">
        <f>IFERROR(H137/H444, "NA")</f>
        <v>NA</v>
      </c>
      <c r="J137" s="9"/>
      <c r="K137" s="7">
        <v>0</v>
      </c>
      <c r="L137" s="8" t="str">
        <f>IFERROR(K137/K444, "NA")</f>
        <v>NA</v>
      </c>
      <c r="M137" s="9"/>
      <c r="N137" s="10">
        <f t="shared" si="29"/>
        <v>0</v>
      </c>
      <c r="O137" s="8" t="str">
        <f>IFERROR(N137/N444, "NA")</f>
        <v>NA</v>
      </c>
      <c r="P137" s="9"/>
      <c r="Q137" s="7">
        <v>0</v>
      </c>
      <c r="R137" s="8" t="str">
        <f>IFERROR(Q137/Q444, "NA")</f>
        <v>NA</v>
      </c>
      <c r="S137" s="9"/>
      <c r="T137" s="7">
        <v>0</v>
      </c>
      <c r="U137" s="8" t="str">
        <f>IFERROR(T137/T444, "NA")</f>
        <v>NA</v>
      </c>
      <c r="V137" s="9"/>
      <c r="W137" s="10">
        <f t="shared" si="30"/>
        <v>0</v>
      </c>
      <c r="X137" s="8" t="str">
        <f>IFERROR(W137/W444, "NA")</f>
        <v>NA</v>
      </c>
      <c r="Y137" s="9"/>
      <c r="Z137" s="7">
        <v>0</v>
      </c>
      <c r="AA137" s="8" t="str">
        <f>IFERROR(Z137/Z444, "NA")</f>
        <v>NA</v>
      </c>
      <c r="AB137" s="9"/>
      <c r="AC137" s="10">
        <f t="shared" si="31"/>
        <v>0</v>
      </c>
      <c r="AD137" s="8" t="str">
        <f>IFERROR(AC137/AC444, "NA")</f>
        <v>NA</v>
      </c>
    </row>
    <row r="138" spans="1:30" ht="16.5" hidden="1" customHeight="1" x14ac:dyDescent="0.45">
      <c r="A138" s="12" t="s">
        <v>130</v>
      </c>
      <c r="B138" s="7">
        <v>0</v>
      </c>
      <c r="C138" s="8" t="str">
        <f>IFERROR(B138/B444, "NA")</f>
        <v>NA</v>
      </c>
      <c r="D138" s="9"/>
      <c r="E138" s="7">
        <v>0</v>
      </c>
      <c r="F138" s="8" t="str">
        <f>IFERROR(E138/E444, "NA")</f>
        <v>NA</v>
      </c>
      <c r="G138" s="9"/>
      <c r="H138" s="10">
        <f t="shared" si="28"/>
        <v>0</v>
      </c>
      <c r="I138" s="8" t="str">
        <f>IFERROR(H138/H444, "NA")</f>
        <v>NA</v>
      </c>
      <c r="J138" s="9"/>
      <c r="K138" s="7">
        <v>0</v>
      </c>
      <c r="L138" s="8" t="str">
        <f>IFERROR(K138/K444, "NA")</f>
        <v>NA</v>
      </c>
      <c r="M138" s="9"/>
      <c r="N138" s="10">
        <f t="shared" si="29"/>
        <v>0</v>
      </c>
      <c r="O138" s="8" t="str">
        <f>IFERROR(N138/N444, "NA")</f>
        <v>NA</v>
      </c>
      <c r="P138" s="9"/>
      <c r="Q138" s="7">
        <v>0</v>
      </c>
      <c r="R138" s="8" t="str">
        <f>IFERROR(Q138/Q444, "NA")</f>
        <v>NA</v>
      </c>
      <c r="S138" s="9"/>
      <c r="T138" s="7">
        <v>0</v>
      </c>
      <c r="U138" s="8" t="str">
        <f>IFERROR(T138/T444, "NA")</f>
        <v>NA</v>
      </c>
      <c r="V138" s="9"/>
      <c r="W138" s="10">
        <f t="shared" si="30"/>
        <v>0</v>
      </c>
      <c r="X138" s="8" t="str">
        <f>IFERROR(W138/W444, "NA")</f>
        <v>NA</v>
      </c>
      <c r="Y138" s="9"/>
      <c r="Z138" s="7">
        <v>0</v>
      </c>
      <c r="AA138" s="8" t="str">
        <f>IFERROR(Z138/Z444, "NA")</f>
        <v>NA</v>
      </c>
      <c r="AB138" s="9"/>
      <c r="AC138" s="10">
        <f t="shared" si="31"/>
        <v>0</v>
      </c>
      <c r="AD138" s="8" t="str">
        <f>IFERROR(AC138/AC444, "NA")</f>
        <v>NA</v>
      </c>
    </row>
    <row r="139" spans="1:30" ht="16.5" hidden="1" customHeight="1" x14ac:dyDescent="0.45">
      <c r="A139" s="12" t="s">
        <v>131</v>
      </c>
      <c r="B139" s="7">
        <v>0</v>
      </c>
      <c r="C139" s="8" t="str">
        <f>IFERROR(B139/B444, "NA")</f>
        <v>NA</v>
      </c>
      <c r="D139" s="9"/>
      <c r="E139" s="7">
        <v>0</v>
      </c>
      <c r="F139" s="8" t="str">
        <f>IFERROR(E139/E444, "NA")</f>
        <v>NA</v>
      </c>
      <c r="G139" s="9"/>
      <c r="H139" s="10">
        <f t="shared" si="28"/>
        <v>0</v>
      </c>
      <c r="I139" s="8" t="str">
        <f>IFERROR(H139/H444, "NA")</f>
        <v>NA</v>
      </c>
      <c r="J139" s="9"/>
      <c r="K139" s="7">
        <v>0</v>
      </c>
      <c r="L139" s="8" t="str">
        <f>IFERROR(K139/K444, "NA")</f>
        <v>NA</v>
      </c>
      <c r="M139" s="9"/>
      <c r="N139" s="10">
        <f t="shared" si="29"/>
        <v>0</v>
      </c>
      <c r="O139" s="8" t="str">
        <f>IFERROR(N139/N444, "NA")</f>
        <v>NA</v>
      </c>
      <c r="P139" s="9"/>
      <c r="Q139" s="7">
        <v>0</v>
      </c>
      <c r="R139" s="8" t="str">
        <f>IFERROR(Q139/Q444, "NA")</f>
        <v>NA</v>
      </c>
      <c r="S139" s="9"/>
      <c r="T139" s="7">
        <v>0</v>
      </c>
      <c r="U139" s="8" t="str">
        <f>IFERROR(T139/T444, "NA")</f>
        <v>NA</v>
      </c>
      <c r="V139" s="9"/>
      <c r="W139" s="10">
        <f t="shared" si="30"/>
        <v>0</v>
      </c>
      <c r="X139" s="8" t="str">
        <f>IFERROR(W139/W444, "NA")</f>
        <v>NA</v>
      </c>
      <c r="Y139" s="9"/>
      <c r="Z139" s="7">
        <v>0</v>
      </c>
      <c r="AA139" s="8" t="str">
        <f>IFERROR(Z139/Z444, "NA")</f>
        <v>NA</v>
      </c>
      <c r="AB139" s="9"/>
      <c r="AC139" s="10">
        <f t="shared" si="31"/>
        <v>0</v>
      </c>
      <c r="AD139" s="8" t="str">
        <f>IFERROR(AC139/AC444, "NA")</f>
        <v>NA</v>
      </c>
    </row>
    <row r="140" spans="1:30" ht="16.5" hidden="1" customHeight="1" x14ac:dyDescent="0.45">
      <c r="A140" s="12" t="s">
        <v>132</v>
      </c>
      <c r="B140" s="7">
        <v>0</v>
      </c>
      <c r="C140" s="8" t="str">
        <f>IFERROR(B140/B444, "NA")</f>
        <v>NA</v>
      </c>
      <c r="D140" s="9"/>
      <c r="E140" s="7">
        <v>0</v>
      </c>
      <c r="F140" s="8" t="str">
        <f>IFERROR(E140/E444, "NA")</f>
        <v>NA</v>
      </c>
      <c r="G140" s="9"/>
      <c r="H140" s="10">
        <f t="shared" si="28"/>
        <v>0</v>
      </c>
      <c r="I140" s="8" t="str">
        <f>IFERROR(H140/H444, "NA")</f>
        <v>NA</v>
      </c>
      <c r="J140" s="9"/>
      <c r="K140" s="7">
        <v>0</v>
      </c>
      <c r="L140" s="8" t="str">
        <f>IFERROR(K140/K444, "NA")</f>
        <v>NA</v>
      </c>
      <c r="M140" s="9"/>
      <c r="N140" s="10">
        <f t="shared" si="29"/>
        <v>0</v>
      </c>
      <c r="O140" s="8" t="str">
        <f>IFERROR(N140/N444, "NA")</f>
        <v>NA</v>
      </c>
      <c r="P140" s="9"/>
      <c r="Q140" s="7">
        <v>0</v>
      </c>
      <c r="R140" s="8" t="str">
        <f>IFERROR(Q140/Q444, "NA")</f>
        <v>NA</v>
      </c>
      <c r="S140" s="9"/>
      <c r="T140" s="7">
        <v>0</v>
      </c>
      <c r="U140" s="8" t="str">
        <f>IFERROR(T140/T444, "NA")</f>
        <v>NA</v>
      </c>
      <c r="V140" s="9"/>
      <c r="W140" s="10">
        <f t="shared" si="30"/>
        <v>0</v>
      </c>
      <c r="X140" s="8" t="str">
        <f>IFERROR(W140/W444, "NA")</f>
        <v>NA</v>
      </c>
      <c r="Y140" s="9"/>
      <c r="Z140" s="7">
        <v>0</v>
      </c>
      <c r="AA140" s="8" t="str">
        <f>IFERROR(Z140/Z444, "NA")</f>
        <v>NA</v>
      </c>
      <c r="AB140" s="9"/>
      <c r="AC140" s="10">
        <f t="shared" si="31"/>
        <v>0</v>
      </c>
      <c r="AD140" s="8" t="str">
        <f>IFERROR(AC140/AC444, "NA")</f>
        <v>NA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0</v>
      </c>
      <c r="C141" s="15" t="str">
        <f>IFERROR(B141/B444, "NA")</f>
        <v>NA</v>
      </c>
      <c r="D141" s="2"/>
      <c r="E141" s="14">
        <f>IFERROR(E129+E130+E131+E132+E133+E134+E135+E136+E137+E138+E139+E140, "NA")</f>
        <v>0</v>
      </c>
      <c r="F141" s="15" t="str">
        <f>IFERROR(E141/E444, "NA")</f>
        <v>NA</v>
      </c>
      <c r="G141" s="2"/>
      <c r="H141" s="14">
        <f t="shared" si="28"/>
        <v>0</v>
      </c>
      <c r="I141" s="15" t="str">
        <f>IFERROR(H141/H444, "NA")</f>
        <v>NA</v>
      </c>
      <c r="J141" s="2"/>
      <c r="K141" s="14">
        <f>IFERROR(K129+K130+K131+K132+K133+K134+K135+K136+K137+K138+K139+K140, "NA")</f>
        <v>0</v>
      </c>
      <c r="L141" s="15" t="str">
        <f>IFERROR(K141/K444, "NA")</f>
        <v>NA</v>
      </c>
      <c r="M141" s="2"/>
      <c r="N141" s="14">
        <f t="shared" si="29"/>
        <v>0</v>
      </c>
      <c r="O141" s="15" t="str">
        <f>IFERROR(N141/N444, "NA")</f>
        <v>NA</v>
      </c>
      <c r="P141" s="2"/>
      <c r="Q141" s="14">
        <f>IFERROR(Q129+Q130+Q131+Q132+Q133+Q134+Q135+Q136+Q137+Q138+Q139+Q140, "NA")</f>
        <v>0</v>
      </c>
      <c r="R141" s="15" t="str">
        <f>IFERROR(Q141/Q444, "NA")</f>
        <v>NA</v>
      </c>
      <c r="S141" s="2"/>
      <c r="T141" s="14">
        <f>IFERROR(T129+T130+T131+T132+T133+T134+T135+T136+T137+T138+T139+T140, "NA")</f>
        <v>0</v>
      </c>
      <c r="U141" s="15" t="str">
        <f>IFERROR(T141/T444, "NA")</f>
        <v>NA</v>
      </c>
      <c r="V141" s="2"/>
      <c r="W141" s="14">
        <f t="shared" si="30"/>
        <v>0</v>
      </c>
      <c r="X141" s="15" t="str">
        <f>IFERROR(W141/W444, "NA")</f>
        <v>NA</v>
      </c>
      <c r="Y141" s="2"/>
      <c r="Z141" s="14">
        <f>IFERROR(Z129+Z130+Z131+Z132+Z133+Z134+Z135+Z136+Z137+Z138+Z139+Z140, "NA")</f>
        <v>0</v>
      </c>
      <c r="AA141" s="15" t="str">
        <f>IFERROR(Z141/Z444, "NA")</f>
        <v>NA</v>
      </c>
      <c r="AB141" s="2"/>
      <c r="AC141" s="14">
        <f t="shared" si="31"/>
        <v>0</v>
      </c>
      <c r="AD141" s="15" t="str">
        <f>IFERROR(AC141/AC444, "NA")</f>
        <v>NA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 t="str">
        <f>IFERROR(B143/B444, "NA")</f>
        <v>NA</v>
      </c>
      <c r="D143" s="9"/>
      <c r="E143" s="7">
        <v>0</v>
      </c>
      <c r="F143" s="8" t="str">
        <f>IFERROR(E143/E444, "NA")</f>
        <v>NA</v>
      </c>
      <c r="G143" s="9"/>
      <c r="H143" s="10">
        <f t="shared" ref="H143:H149" si="32">IFERROR(-(B143-E143), "NA")</f>
        <v>0</v>
      </c>
      <c r="I143" s="8" t="str">
        <f>IFERROR(H143/H444, "NA")</f>
        <v>NA</v>
      </c>
      <c r="J143" s="9"/>
      <c r="K143" s="7">
        <v>0</v>
      </c>
      <c r="L143" s="8" t="str">
        <f>IFERROR(K143/K444, "NA")</f>
        <v>NA</v>
      </c>
      <c r="M143" s="9"/>
      <c r="N143" s="10">
        <f t="shared" ref="N143:N149" si="33">IFERROR(-(B143-K143), "NA")</f>
        <v>0</v>
      </c>
      <c r="O143" s="8" t="str">
        <f>IFERROR(N143/N444, "NA")</f>
        <v>NA</v>
      </c>
      <c r="P143" s="9"/>
      <c r="Q143" s="7">
        <v>0</v>
      </c>
      <c r="R143" s="8" t="str">
        <f>IFERROR(Q143/Q444, "NA")</f>
        <v>NA</v>
      </c>
      <c r="S143" s="9"/>
      <c r="T143" s="7">
        <v>0</v>
      </c>
      <c r="U143" s="8" t="str">
        <f>IFERROR(T143/T444, "NA")</f>
        <v>NA</v>
      </c>
      <c r="V143" s="9"/>
      <c r="W143" s="10">
        <f t="shared" ref="W143:W149" si="34">IFERROR(-(Q143-T143), "NA")</f>
        <v>0</v>
      </c>
      <c r="X143" s="8" t="str">
        <f>IFERROR(W143/W444, "NA")</f>
        <v>NA</v>
      </c>
      <c r="Y143" s="9"/>
      <c r="Z143" s="7">
        <v>0</v>
      </c>
      <c r="AA143" s="8" t="str">
        <f>IFERROR(Z143/Z444, "NA")</f>
        <v>NA</v>
      </c>
      <c r="AB143" s="9"/>
      <c r="AC143" s="10">
        <f t="shared" ref="AC143:AC149" si="35">IFERROR(-(Q143-Z143), "NA")</f>
        <v>0</v>
      </c>
      <c r="AD143" s="8" t="str">
        <f>IFERROR(AC143/AC444, "NA")</f>
        <v>NA</v>
      </c>
    </row>
    <row r="144" spans="1:30" ht="16.5" hidden="1" customHeight="1" x14ac:dyDescent="0.45">
      <c r="A144" s="12" t="s">
        <v>135</v>
      </c>
      <c r="B144" s="7">
        <v>0</v>
      </c>
      <c r="C144" s="8" t="str">
        <f>IFERROR(B144/B444, "NA")</f>
        <v>NA</v>
      </c>
      <c r="D144" s="9"/>
      <c r="E144" s="7">
        <v>0</v>
      </c>
      <c r="F144" s="8" t="str">
        <f>IFERROR(E144/E444, "NA")</f>
        <v>NA</v>
      </c>
      <c r="G144" s="9"/>
      <c r="H144" s="10">
        <f t="shared" si="32"/>
        <v>0</v>
      </c>
      <c r="I144" s="8" t="str">
        <f>IFERROR(H144/H444, "NA")</f>
        <v>NA</v>
      </c>
      <c r="J144" s="9"/>
      <c r="K144" s="7">
        <v>0</v>
      </c>
      <c r="L144" s="8" t="str">
        <f>IFERROR(K144/K444, "NA")</f>
        <v>NA</v>
      </c>
      <c r="M144" s="9"/>
      <c r="N144" s="10">
        <f t="shared" si="33"/>
        <v>0</v>
      </c>
      <c r="O144" s="8" t="str">
        <f>IFERROR(N144/N444, "NA")</f>
        <v>NA</v>
      </c>
      <c r="P144" s="9"/>
      <c r="Q144" s="7">
        <v>0</v>
      </c>
      <c r="R144" s="8" t="str">
        <f>IFERROR(Q144/Q444, "NA")</f>
        <v>NA</v>
      </c>
      <c r="S144" s="9"/>
      <c r="T144" s="7">
        <v>0</v>
      </c>
      <c r="U144" s="8" t="str">
        <f>IFERROR(T144/T444, "NA")</f>
        <v>NA</v>
      </c>
      <c r="V144" s="9"/>
      <c r="W144" s="10">
        <f t="shared" si="34"/>
        <v>0</v>
      </c>
      <c r="X144" s="8" t="str">
        <f>IFERROR(W144/W444, "NA")</f>
        <v>NA</v>
      </c>
      <c r="Y144" s="9"/>
      <c r="Z144" s="7">
        <v>0</v>
      </c>
      <c r="AA144" s="8" t="str">
        <f>IFERROR(Z144/Z444, "NA")</f>
        <v>NA</v>
      </c>
      <c r="AB144" s="9"/>
      <c r="AC144" s="10">
        <f t="shared" si="35"/>
        <v>0</v>
      </c>
      <c r="AD144" s="8" t="str">
        <f>IFERROR(AC144/AC444, "NA")</f>
        <v>NA</v>
      </c>
    </row>
    <row r="145" spans="1:30" ht="16.5" hidden="1" customHeight="1" x14ac:dyDescent="0.45">
      <c r="A145" s="12" t="s">
        <v>136</v>
      </c>
      <c r="B145" s="7">
        <v>0</v>
      </c>
      <c r="C145" s="8" t="str">
        <f>IFERROR(B145/B444, "NA")</f>
        <v>NA</v>
      </c>
      <c r="D145" s="9"/>
      <c r="E145" s="7">
        <v>0</v>
      </c>
      <c r="F145" s="8" t="str">
        <f>IFERROR(E145/E444, "NA")</f>
        <v>NA</v>
      </c>
      <c r="G145" s="9"/>
      <c r="H145" s="10">
        <f t="shared" si="32"/>
        <v>0</v>
      </c>
      <c r="I145" s="8" t="str">
        <f>IFERROR(H145/H444, "NA")</f>
        <v>NA</v>
      </c>
      <c r="J145" s="9"/>
      <c r="K145" s="7">
        <v>0</v>
      </c>
      <c r="L145" s="8" t="str">
        <f>IFERROR(K145/K444, "NA")</f>
        <v>NA</v>
      </c>
      <c r="M145" s="9"/>
      <c r="N145" s="10">
        <f t="shared" si="33"/>
        <v>0</v>
      </c>
      <c r="O145" s="8" t="str">
        <f>IFERROR(N145/N444, "NA")</f>
        <v>NA</v>
      </c>
      <c r="P145" s="9"/>
      <c r="Q145" s="7">
        <v>0</v>
      </c>
      <c r="R145" s="8" t="str">
        <f>IFERROR(Q145/Q444, "NA")</f>
        <v>NA</v>
      </c>
      <c r="S145" s="9"/>
      <c r="T145" s="7">
        <v>0</v>
      </c>
      <c r="U145" s="8" t="str">
        <f>IFERROR(T145/T444, "NA")</f>
        <v>NA</v>
      </c>
      <c r="V145" s="9"/>
      <c r="W145" s="10">
        <f t="shared" si="34"/>
        <v>0</v>
      </c>
      <c r="X145" s="8" t="str">
        <f>IFERROR(W145/W444, "NA")</f>
        <v>NA</v>
      </c>
      <c r="Y145" s="9"/>
      <c r="Z145" s="7">
        <v>0</v>
      </c>
      <c r="AA145" s="8" t="str">
        <f>IFERROR(Z145/Z444, "NA")</f>
        <v>NA</v>
      </c>
      <c r="AB145" s="9"/>
      <c r="AC145" s="10">
        <f t="shared" si="35"/>
        <v>0</v>
      </c>
      <c r="AD145" s="8" t="str">
        <f>IFERROR(AC145/AC444, "NA")</f>
        <v>NA</v>
      </c>
    </row>
    <row r="146" spans="1:30" ht="16.5" hidden="1" customHeight="1" x14ac:dyDescent="0.45">
      <c r="A146" s="12" t="s">
        <v>137</v>
      </c>
      <c r="B146" s="7">
        <v>0</v>
      </c>
      <c r="C146" s="8" t="str">
        <f>IFERROR(B146/B444, "NA")</f>
        <v>NA</v>
      </c>
      <c r="D146" s="9"/>
      <c r="E146" s="7">
        <v>0</v>
      </c>
      <c r="F146" s="8" t="str">
        <f>IFERROR(E146/E444, "NA")</f>
        <v>NA</v>
      </c>
      <c r="G146" s="9"/>
      <c r="H146" s="10">
        <f t="shared" si="32"/>
        <v>0</v>
      </c>
      <c r="I146" s="8" t="str">
        <f>IFERROR(H146/H444, "NA")</f>
        <v>NA</v>
      </c>
      <c r="J146" s="9"/>
      <c r="K146" s="7">
        <v>0</v>
      </c>
      <c r="L146" s="8" t="str">
        <f>IFERROR(K146/K444, "NA")</f>
        <v>NA</v>
      </c>
      <c r="M146" s="9"/>
      <c r="N146" s="10">
        <f t="shared" si="33"/>
        <v>0</v>
      </c>
      <c r="O146" s="8" t="str">
        <f>IFERROR(N146/N444, "NA")</f>
        <v>NA</v>
      </c>
      <c r="P146" s="9"/>
      <c r="Q146" s="7">
        <v>0</v>
      </c>
      <c r="R146" s="8" t="str">
        <f>IFERROR(Q146/Q444, "NA")</f>
        <v>NA</v>
      </c>
      <c r="S146" s="9"/>
      <c r="T146" s="7">
        <v>0</v>
      </c>
      <c r="U146" s="8" t="str">
        <f>IFERROR(T146/T444, "NA")</f>
        <v>NA</v>
      </c>
      <c r="V146" s="9"/>
      <c r="W146" s="10">
        <f t="shared" si="34"/>
        <v>0</v>
      </c>
      <c r="X146" s="8" t="str">
        <f>IFERROR(W146/W444, "NA")</f>
        <v>NA</v>
      </c>
      <c r="Y146" s="9"/>
      <c r="Z146" s="7">
        <v>0</v>
      </c>
      <c r="AA146" s="8" t="str">
        <f>IFERROR(Z146/Z444, "NA")</f>
        <v>NA</v>
      </c>
      <c r="AB146" s="9"/>
      <c r="AC146" s="10">
        <f t="shared" si="35"/>
        <v>0</v>
      </c>
      <c r="AD146" s="8" t="str">
        <f>IFERROR(AC146/AC444, "NA")</f>
        <v>NA</v>
      </c>
    </row>
    <row r="147" spans="1:30" ht="16.5" hidden="1" customHeight="1" x14ac:dyDescent="0.45">
      <c r="A147" s="12" t="s">
        <v>138</v>
      </c>
      <c r="B147" s="7">
        <v>0</v>
      </c>
      <c r="C147" s="8" t="str">
        <f>IFERROR(B147/B444, "NA")</f>
        <v>NA</v>
      </c>
      <c r="D147" s="9"/>
      <c r="E147" s="7">
        <v>0</v>
      </c>
      <c r="F147" s="8" t="str">
        <f>IFERROR(E147/E444, "NA")</f>
        <v>NA</v>
      </c>
      <c r="G147" s="9"/>
      <c r="H147" s="10">
        <f t="shared" si="32"/>
        <v>0</v>
      </c>
      <c r="I147" s="8" t="str">
        <f>IFERROR(H147/H444, "NA")</f>
        <v>NA</v>
      </c>
      <c r="J147" s="9"/>
      <c r="K147" s="7">
        <v>0</v>
      </c>
      <c r="L147" s="8" t="str">
        <f>IFERROR(K147/K444, "NA")</f>
        <v>NA</v>
      </c>
      <c r="M147" s="9"/>
      <c r="N147" s="10">
        <f t="shared" si="33"/>
        <v>0</v>
      </c>
      <c r="O147" s="8" t="str">
        <f>IFERROR(N147/N444, "NA")</f>
        <v>NA</v>
      </c>
      <c r="P147" s="9"/>
      <c r="Q147" s="7">
        <v>0</v>
      </c>
      <c r="R147" s="8" t="str">
        <f>IFERROR(Q147/Q444, "NA")</f>
        <v>NA</v>
      </c>
      <c r="S147" s="9"/>
      <c r="T147" s="7">
        <v>0</v>
      </c>
      <c r="U147" s="8" t="str">
        <f>IFERROR(T147/T444, "NA")</f>
        <v>NA</v>
      </c>
      <c r="V147" s="9"/>
      <c r="W147" s="10">
        <f t="shared" si="34"/>
        <v>0</v>
      </c>
      <c r="X147" s="8" t="str">
        <f>IFERROR(W147/W444, "NA")</f>
        <v>NA</v>
      </c>
      <c r="Y147" s="9"/>
      <c r="Z147" s="7">
        <v>0</v>
      </c>
      <c r="AA147" s="8" t="str">
        <f>IFERROR(Z147/Z444, "NA")</f>
        <v>NA</v>
      </c>
      <c r="AB147" s="9"/>
      <c r="AC147" s="10">
        <f t="shared" si="35"/>
        <v>0</v>
      </c>
      <c r="AD147" s="8" t="str">
        <f>IFERROR(AC147/AC444, "NA")</f>
        <v>NA</v>
      </c>
    </row>
    <row r="148" spans="1:30" ht="16.5" customHeight="1" x14ac:dyDescent="0.45">
      <c r="A148" s="13" t="s">
        <v>139</v>
      </c>
      <c r="B148" s="14">
        <f>IFERROR(B143+B144+B145+B146+B147, "NA")</f>
        <v>0</v>
      </c>
      <c r="C148" s="15" t="str">
        <f>IFERROR(B148/B444, "NA")</f>
        <v>NA</v>
      </c>
      <c r="D148" s="2"/>
      <c r="E148" s="14">
        <f>IFERROR(E143+E144+E145+E146+E147, "NA")</f>
        <v>0</v>
      </c>
      <c r="F148" s="15" t="str">
        <f>IFERROR(E148/E444, "NA")</f>
        <v>NA</v>
      </c>
      <c r="G148" s="2"/>
      <c r="H148" s="14">
        <f t="shared" si="32"/>
        <v>0</v>
      </c>
      <c r="I148" s="15" t="str">
        <f>IFERROR(H148/H444, "NA")</f>
        <v>NA</v>
      </c>
      <c r="J148" s="2"/>
      <c r="K148" s="14">
        <f>IFERROR(K143+K144+K145+K146+K147, "NA")</f>
        <v>0</v>
      </c>
      <c r="L148" s="15" t="str">
        <f>IFERROR(K148/K444, "NA")</f>
        <v>NA</v>
      </c>
      <c r="M148" s="2"/>
      <c r="N148" s="14">
        <f t="shared" si="33"/>
        <v>0</v>
      </c>
      <c r="O148" s="15" t="str">
        <f>IFERROR(N148/N444, "NA")</f>
        <v>NA</v>
      </c>
      <c r="P148" s="2"/>
      <c r="Q148" s="14">
        <f>IFERROR(Q143+Q144+Q145+Q146+Q147, "NA")</f>
        <v>0</v>
      </c>
      <c r="R148" s="15" t="str">
        <f>IFERROR(Q148/Q444, "NA")</f>
        <v>NA</v>
      </c>
      <c r="S148" s="2"/>
      <c r="T148" s="14">
        <f>IFERROR(T143+T144+T145+T146+T147, "NA")</f>
        <v>0</v>
      </c>
      <c r="U148" s="15" t="str">
        <f>IFERROR(T148/T444, "NA")</f>
        <v>NA</v>
      </c>
      <c r="V148" s="2"/>
      <c r="W148" s="14">
        <f t="shared" si="34"/>
        <v>0</v>
      </c>
      <c r="X148" s="15" t="str">
        <f>IFERROR(W148/W444, "NA")</f>
        <v>NA</v>
      </c>
      <c r="Y148" s="2"/>
      <c r="Z148" s="14">
        <f>IFERROR(Z143+Z144+Z145+Z146+Z147, "NA")</f>
        <v>0</v>
      </c>
      <c r="AA148" s="15" t="str">
        <f>IFERROR(Z148/Z444, "NA")</f>
        <v>NA</v>
      </c>
      <c r="AB148" s="2"/>
      <c r="AC148" s="14">
        <f t="shared" si="35"/>
        <v>0</v>
      </c>
      <c r="AD148" s="15" t="str">
        <f>IFERROR(AC148/AC444, "NA")</f>
        <v>NA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0</v>
      </c>
      <c r="C149" s="15" t="str">
        <f>IFERROR(B149/B444, "NA")</f>
        <v>NA</v>
      </c>
      <c r="D149" s="2"/>
      <c r="E149" s="14">
        <f>IFERROR(E127+E129+E130+E131+E132+E133+E134+E135+E136+E137+E138+E139+E140+E143+E144+E145+E146+E147, "NA")</f>
        <v>0</v>
      </c>
      <c r="F149" s="15" t="str">
        <f>IFERROR(E149/E444, "NA")</f>
        <v>NA</v>
      </c>
      <c r="G149" s="2"/>
      <c r="H149" s="14">
        <f t="shared" si="32"/>
        <v>0</v>
      </c>
      <c r="I149" s="15" t="str">
        <f>IFERROR(H149/H444, "NA")</f>
        <v>NA</v>
      </c>
      <c r="J149" s="2"/>
      <c r="K149" s="14">
        <f>IFERROR(K127+K129+K130+K131+K132+K133+K134+K135+K136+K137+K138+K139+K140+K143+K144+K145+K146+K147, "NA")</f>
        <v>0</v>
      </c>
      <c r="L149" s="15" t="str">
        <f>IFERROR(K149/K444, "NA")</f>
        <v>NA</v>
      </c>
      <c r="M149" s="2"/>
      <c r="N149" s="14">
        <f t="shared" si="33"/>
        <v>0</v>
      </c>
      <c r="O149" s="15" t="str">
        <f>IFERROR(N149/N444, "NA")</f>
        <v>NA</v>
      </c>
      <c r="P149" s="2"/>
      <c r="Q149" s="14">
        <f>IFERROR(Q127+Q129+Q130+Q131+Q132+Q133+Q134+Q135+Q136+Q137+Q138+Q139+Q140+Q143+Q144+Q145+Q146+Q147, "NA")</f>
        <v>0</v>
      </c>
      <c r="R149" s="15" t="str">
        <f>IFERROR(Q149/Q444, "NA")</f>
        <v>NA</v>
      </c>
      <c r="S149" s="2"/>
      <c r="T149" s="14">
        <f>IFERROR(T127+T129+T130+T131+T132+T133+T134+T135+T136+T137+T138+T139+T140+T143+T144+T145+T146+T147, "NA")</f>
        <v>0</v>
      </c>
      <c r="U149" s="15" t="str">
        <f>IFERROR(T149/T444, "NA")</f>
        <v>NA</v>
      </c>
      <c r="V149" s="2"/>
      <c r="W149" s="14">
        <f t="shared" si="34"/>
        <v>0</v>
      </c>
      <c r="X149" s="15" t="str">
        <f>IFERROR(W149/W444, "NA")</f>
        <v>NA</v>
      </c>
      <c r="Y149" s="2"/>
      <c r="Z149" s="14">
        <f>IFERROR(Z127+Z129+Z130+Z131+Z132+Z133+Z134+Z135+Z136+Z137+Z138+Z139+Z140+Z143+Z144+Z145+Z146+Z147, "NA")</f>
        <v>0</v>
      </c>
      <c r="AA149" s="15" t="str">
        <f>IFERROR(Z149/Z444, "NA")</f>
        <v>NA</v>
      </c>
      <c r="AB149" s="2"/>
      <c r="AC149" s="14">
        <f t="shared" si="35"/>
        <v>0</v>
      </c>
      <c r="AD149" s="15" t="str">
        <f>IFERROR(AC149/AC444, "NA")</f>
        <v>NA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 t="str">
        <f>IFERROR(B151/B444, "NA")</f>
        <v>NA</v>
      </c>
      <c r="D151" s="9"/>
      <c r="E151" s="7">
        <v>0</v>
      </c>
      <c r="F151" s="8" t="str">
        <f>IFERROR(E151/E444, "NA")</f>
        <v>NA</v>
      </c>
      <c r="G151" s="9"/>
      <c r="H151" s="10">
        <f>IFERROR(-(B151-E151), "NA")</f>
        <v>0</v>
      </c>
      <c r="I151" s="8" t="str">
        <f>IFERROR(H151/H444, "NA")</f>
        <v>NA</v>
      </c>
      <c r="J151" s="9"/>
      <c r="K151" s="7">
        <v>0</v>
      </c>
      <c r="L151" s="8" t="str">
        <f>IFERROR(K151/K444, "NA")</f>
        <v>NA</v>
      </c>
      <c r="M151" s="9"/>
      <c r="N151" s="10">
        <f>IFERROR(-(B151-K151), "NA")</f>
        <v>0</v>
      </c>
      <c r="O151" s="8" t="str">
        <f>IFERROR(N151/N444, "NA")</f>
        <v>NA</v>
      </c>
      <c r="P151" s="9"/>
      <c r="Q151" s="7">
        <v>0</v>
      </c>
      <c r="R151" s="8" t="str">
        <f>IFERROR(Q151/Q444, "NA")</f>
        <v>NA</v>
      </c>
      <c r="S151" s="9"/>
      <c r="T151" s="7">
        <v>0</v>
      </c>
      <c r="U151" s="8" t="str">
        <f>IFERROR(T151/T444, "NA")</f>
        <v>NA</v>
      </c>
      <c r="V151" s="9"/>
      <c r="W151" s="10">
        <f>IFERROR(-(Q151-T151), "NA")</f>
        <v>0</v>
      </c>
      <c r="X151" s="8" t="str">
        <f>IFERROR(W151/W444, "NA")</f>
        <v>NA</v>
      </c>
      <c r="Y151" s="9"/>
      <c r="Z151" s="7">
        <v>0</v>
      </c>
      <c r="AA151" s="8" t="str">
        <f>IFERROR(Z151/Z444, "NA")</f>
        <v>NA</v>
      </c>
      <c r="AB151" s="9"/>
      <c r="AC151" s="10">
        <f>IFERROR(-(Q151-Z151), "NA")</f>
        <v>0</v>
      </c>
      <c r="AD151" s="8" t="str">
        <f>IFERROR(AC151/AC444, "NA")</f>
        <v>NA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hidden="1" customHeight="1" x14ac:dyDescent="0.45">
      <c r="A153" s="12" t="s">
        <v>142</v>
      </c>
      <c r="B153" s="7">
        <v>0</v>
      </c>
      <c r="C153" s="8" t="str">
        <f>IFERROR(B153/B444, "NA")</f>
        <v>NA</v>
      </c>
      <c r="D153" s="9"/>
      <c r="E153" s="7">
        <v>0</v>
      </c>
      <c r="F153" s="8" t="str">
        <f>IFERROR(E153/E444, "NA")</f>
        <v>NA</v>
      </c>
      <c r="G153" s="9"/>
      <c r="H153" s="10">
        <f t="shared" ref="H153:H158" si="36">IFERROR(-(B153-E153), "NA")</f>
        <v>0</v>
      </c>
      <c r="I153" s="8" t="str">
        <f>IFERROR(H153/H444, "NA")</f>
        <v>NA</v>
      </c>
      <c r="J153" s="9"/>
      <c r="K153" s="7">
        <v>0</v>
      </c>
      <c r="L153" s="8" t="str">
        <f>IFERROR(K153/K444, "NA")</f>
        <v>NA</v>
      </c>
      <c r="M153" s="9"/>
      <c r="N153" s="10">
        <f t="shared" ref="N153:N158" si="37">IFERROR(-(B153-K153), "NA")</f>
        <v>0</v>
      </c>
      <c r="O153" s="8" t="str">
        <f>IFERROR(N153/N444, "NA")</f>
        <v>NA</v>
      </c>
      <c r="P153" s="9"/>
      <c r="Q153" s="7">
        <v>0</v>
      </c>
      <c r="R153" s="8" t="str">
        <f>IFERROR(Q153/Q444, "NA")</f>
        <v>NA</v>
      </c>
      <c r="S153" s="9"/>
      <c r="T153" s="7">
        <v>0</v>
      </c>
      <c r="U153" s="8" t="str">
        <f>IFERROR(T153/T444, "NA")</f>
        <v>NA</v>
      </c>
      <c r="V153" s="9"/>
      <c r="W153" s="10">
        <f t="shared" ref="W153:W158" si="38">IFERROR(-(Q153-T153), "NA")</f>
        <v>0</v>
      </c>
      <c r="X153" s="8" t="str">
        <f>IFERROR(W153/W444, "NA")</f>
        <v>NA</v>
      </c>
      <c r="Y153" s="9"/>
      <c r="Z153" s="7">
        <v>0</v>
      </c>
      <c r="AA153" s="8" t="str">
        <f>IFERROR(Z153/Z444, "NA")</f>
        <v>NA</v>
      </c>
      <c r="AB153" s="9"/>
      <c r="AC153" s="10">
        <f t="shared" ref="AC153:AC158" si="39">IFERROR(-(Q153-Z153), "NA")</f>
        <v>0</v>
      </c>
      <c r="AD153" s="8" t="str">
        <f>IFERROR(AC153/AC444, "NA")</f>
        <v>NA</v>
      </c>
    </row>
    <row r="154" spans="1:30" ht="16.5" hidden="1" customHeight="1" x14ac:dyDescent="0.45">
      <c r="A154" s="12" t="s">
        <v>143</v>
      </c>
      <c r="B154" s="7">
        <v>0</v>
      </c>
      <c r="C154" s="8" t="str">
        <f>IFERROR(B154/B444, "NA")</f>
        <v>NA</v>
      </c>
      <c r="D154" s="9"/>
      <c r="E154" s="7">
        <v>0</v>
      </c>
      <c r="F154" s="8" t="str">
        <f>IFERROR(E154/E444, "NA")</f>
        <v>NA</v>
      </c>
      <c r="G154" s="9"/>
      <c r="H154" s="10">
        <f t="shared" si="36"/>
        <v>0</v>
      </c>
      <c r="I154" s="8" t="str">
        <f>IFERROR(H154/H444, "NA")</f>
        <v>NA</v>
      </c>
      <c r="J154" s="9"/>
      <c r="K154" s="7">
        <v>0</v>
      </c>
      <c r="L154" s="8" t="str">
        <f>IFERROR(K154/K444, "NA")</f>
        <v>NA</v>
      </c>
      <c r="M154" s="9"/>
      <c r="N154" s="10">
        <f t="shared" si="37"/>
        <v>0</v>
      </c>
      <c r="O154" s="8" t="str">
        <f>IFERROR(N154/N444, "NA")</f>
        <v>NA</v>
      </c>
      <c r="P154" s="9"/>
      <c r="Q154" s="7">
        <v>0</v>
      </c>
      <c r="R154" s="8" t="str">
        <f>IFERROR(Q154/Q444, "NA")</f>
        <v>NA</v>
      </c>
      <c r="S154" s="9"/>
      <c r="T154" s="7">
        <v>0</v>
      </c>
      <c r="U154" s="8" t="str">
        <f>IFERROR(T154/T444, "NA")</f>
        <v>NA</v>
      </c>
      <c r="V154" s="9"/>
      <c r="W154" s="10">
        <f t="shared" si="38"/>
        <v>0</v>
      </c>
      <c r="X154" s="8" t="str">
        <f>IFERROR(W154/W444, "NA")</f>
        <v>NA</v>
      </c>
      <c r="Y154" s="9"/>
      <c r="Z154" s="7">
        <v>0</v>
      </c>
      <c r="AA154" s="8" t="str">
        <f>IFERROR(Z154/Z444, "NA")</f>
        <v>NA</v>
      </c>
      <c r="AB154" s="9"/>
      <c r="AC154" s="10">
        <f t="shared" si="39"/>
        <v>0</v>
      </c>
      <c r="AD154" s="8" t="str">
        <f>IFERROR(AC154/AC444, "NA")</f>
        <v>NA</v>
      </c>
    </row>
    <row r="155" spans="1:30" ht="16.5" hidden="1" customHeight="1" x14ac:dyDescent="0.45">
      <c r="A155" s="12" t="s">
        <v>144</v>
      </c>
      <c r="B155" s="7">
        <v>0</v>
      </c>
      <c r="C155" s="8" t="str">
        <f>IFERROR(B155/B444, "NA")</f>
        <v>NA</v>
      </c>
      <c r="D155" s="9"/>
      <c r="E155" s="7">
        <v>0</v>
      </c>
      <c r="F155" s="8" t="str">
        <f>IFERROR(E155/E444, "NA")</f>
        <v>NA</v>
      </c>
      <c r="G155" s="9"/>
      <c r="H155" s="10">
        <f t="shared" si="36"/>
        <v>0</v>
      </c>
      <c r="I155" s="8" t="str">
        <f>IFERROR(H155/H444, "NA")</f>
        <v>NA</v>
      </c>
      <c r="J155" s="9"/>
      <c r="K155" s="7">
        <v>0</v>
      </c>
      <c r="L155" s="8" t="str">
        <f>IFERROR(K155/K444, "NA")</f>
        <v>NA</v>
      </c>
      <c r="M155" s="9"/>
      <c r="N155" s="10">
        <f t="shared" si="37"/>
        <v>0</v>
      </c>
      <c r="O155" s="8" t="str">
        <f>IFERROR(N155/N444, "NA")</f>
        <v>NA</v>
      </c>
      <c r="P155" s="9"/>
      <c r="Q155" s="7">
        <v>0</v>
      </c>
      <c r="R155" s="8" t="str">
        <f>IFERROR(Q155/Q444, "NA")</f>
        <v>NA</v>
      </c>
      <c r="S155" s="9"/>
      <c r="T155" s="7">
        <v>0</v>
      </c>
      <c r="U155" s="8" t="str">
        <f>IFERROR(T155/T444, "NA")</f>
        <v>NA</v>
      </c>
      <c r="V155" s="9"/>
      <c r="W155" s="10">
        <f t="shared" si="38"/>
        <v>0</v>
      </c>
      <c r="X155" s="8" t="str">
        <f>IFERROR(W155/W444, "NA")</f>
        <v>NA</v>
      </c>
      <c r="Y155" s="9"/>
      <c r="Z155" s="7">
        <v>0</v>
      </c>
      <c r="AA155" s="8" t="str">
        <f>IFERROR(Z155/Z444, "NA")</f>
        <v>NA</v>
      </c>
      <c r="AB155" s="9"/>
      <c r="AC155" s="10">
        <f t="shared" si="39"/>
        <v>0</v>
      </c>
      <c r="AD155" s="8" t="str">
        <f>IFERROR(AC155/AC444, "NA")</f>
        <v>NA</v>
      </c>
    </row>
    <row r="156" spans="1:30" ht="16.5" hidden="1" customHeight="1" x14ac:dyDescent="0.45">
      <c r="A156" s="12" t="s">
        <v>145</v>
      </c>
      <c r="B156" s="7">
        <v>0</v>
      </c>
      <c r="C156" s="8" t="str">
        <f>IFERROR(B156/B444, "NA")</f>
        <v>NA</v>
      </c>
      <c r="D156" s="9"/>
      <c r="E156" s="7">
        <v>0</v>
      </c>
      <c r="F156" s="8" t="str">
        <f>IFERROR(E156/E444, "NA")</f>
        <v>NA</v>
      </c>
      <c r="G156" s="9"/>
      <c r="H156" s="10">
        <f t="shared" si="36"/>
        <v>0</v>
      </c>
      <c r="I156" s="8" t="str">
        <f>IFERROR(H156/H444, "NA")</f>
        <v>NA</v>
      </c>
      <c r="J156" s="9"/>
      <c r="K156" s="7">
        <v>0</v>
      </c>
      <c r="L156" s="8" t="str">
        <f>IFERROR(K156/K444, "NA")</f>
        <v>NA</v>
      </c>
      <c r="M156" s="9"/>
      <c r="N156" s="10">
        <f t="shared" si="37"/>
        <v>0</v>
      </c>
      <c r="O156" s="8" t="str">
        <f>IFERROR(N156/N444, "NA")</f>
        <v>NA</v>
      </c>
      <c r="P156" s="9"/>
      <c r="Q156" s="7">
        <v>0</v>
      </c>
      <c r="R156" s="8" t="str">
        <f>IFERROR(Q156/Q444, "NA")</f>
        <v>NA</v>
      </c>
      <c r="S156" s="9"/>
      <c r="T156" s="7">
        <v>0</v>
      </c>
      <c r="U156" s="8" t="str">
        <f>IFERROR(T156/T444, "NA")</f>
        <v>NA</v>
      </c>
      <c r="V156" s="9"/>
      <c r="W156" s="10">
        <f t="shared" si="38"/>
        <v>0</v>
      </c>
      <c r="X156" s="8" t="str">
        <f>IFERROR(W156/W444, "NA")</f>
        <v>NA</v>
      </c>
      <c r="Y156" s="9"/>
      <c r="Z156" s="7">
        <v>0</v>
      </c>
      <c r="AA156" s="8" t="str">
        <f>IFERROR(Z156/Z444, "NA")</f>
        <v>NA</v>
      </c>
      <c r="AB156" s="9"/>
      <c r="AC156" s="10">
        <f t="shared" si="39"/>
        <v>0</v>
      </c>
      <c r="AD156" s="8" t="str">
        <f>IFERROR(AC156/AC444, "NA")</f>
        <v>NA</v>
      </c>
    </row>
    <row r="157" spans="1:30" ht="16.5" hidden="1" customHeight="1" x14ac:dyDescent="0.45">
      <c r="A157" s="12" t="s">
        <v>146</v>
      </c>
      <c r="B157" s="7">
        <v>0</v>
      </c>
      <c r="C157" s="8" t="str">
        <f>IFERROR(B157/B444, "NA")</f>
        <v>NA</v>
      </c>
      <c r="D157" s="9"/>
      <c r="E157" s="7">
        <v>0</v>
      </c>
      <c r="F157" s="8" t="str">
        <f>IFERROR(E157/E444, "NA")</f>
        <v>NA</v>
      </c>
      <c r="G157" s="9"/>
      <c r="H157" s="10">
        <f t="shared" si="36"/>
        <v>0</v>
      </c>
      <c r="I157" s="8" t="str">
        <f>IFERROR(H157/H444, "NA")</f>
        <v>NA</v>
      </c>
      <c r="J157" s="9"/>
      <c r="K157" s="7">
        <v>0</v>
      </c>
      <c r="L157" s="8" t="str">
        <f>IFERROR(K157/K444, "NA")</f>
        <v>NA</v>
      </c>
      <c r="M157" s="9"/>
      <c r="N157" s="10">
        <f t="shared" si="37"/>
        <v>0</v>
      </c>
      <c r="O157" s="8" t="str">
        <f>IFERROR(N157/N444, "NA")</f>
        <v>NA</v>
      </c>
      <c r="P157" s="9"/>
      <c r="Q157" s="7">
        <v>0</v>
      </c>
      <c r="R157" s="8" t="str">
        <f>IFERROR(Q157/Q444, "NA")</f>
        <v>NA</v>
      </c>
      <c r="S157" s="9"/>
      <c r="T157" s="7">
        <v>0</v>
      </c>
      <c r="U157" s="8" t="str">
        <f>IFERROR(T157/T444, "NA")</f>
        <v>NA</v>
      </c>
      <c r="V157" s="9"/>
      <c r="W157" s="10">
        <f t="shared" si="38"/>
        <v>0</v>
      </c>
      <c r="X157" s="8" t="str">
        <f>IFERROR(W157/W444, "NA")</f>
        <v>NA</v>
      </c>
      <c r="Y157" s="9"/>
      <c r="Z157" s="7">
        <v>0</v>
      </c>
      <c r="AA157" s="8" t="str">
        <f>IFERROR(Z157/Z444, "NA")</f>
        <v>NA</v>
      </c>
      <c r="AB157" s="9"/>
      <c r="AC157" s="10">
        <f t="shared" si="39"/>
        <v>0</v>
      </c>
      <c r="AD157" s="8" t="str">
        <f>IFERROR(AC157/AC444, "NA")</f>
        <v>NA</v>
      </c>
    </row>
    <row r="158" spans="1:30" ht="16.5" customHeight="1" x14ac:dyDescent="0.45">
      <c r="A158" s="13" t="s">
        <v>147</v>
      </c>
      <c r="B158" s="14">
        <f>IFERROR(B153+B154+B155+B156+B157, "NA")</f>
        <v>0</v>
      </c>
      <c r="C158" s="15" t="str">
        <f>IFERROR(B158/B444, "NA")</f>
        <v>NA</v>
      </c>
      <c r="D158" s="2"/>
      <c r="E158" s="14">
        <f>IFERROR(E153+E154+E155+E156+E157, "NA")</f>
        <v>0</v>
      </c>
      <c r="F158" s="15" t="str">
        <f>IFERROR(E158/E444, "NA")</f>
        <v>NA</v>
      </c>
      <c r="G158" s="2"/>
      <c r="H158" s="14">
        <f t="shared" si="36"/>
        <v>0</v>
      </c>
      <c r="I158" s="15" t="str">
        <f>IFERROR(H158/H444, "NA")</f>
        <v>NA</v>
      </c>
      <c r="J158" s="2"/>
      <c r="K158" s="14">
        <f>IFERROR(K153+K154+K155+K156+K157, "NA")</f>
        <v>0</v>
      </c>
      <c r="L158" s="15" t="str">
        <f>IFERROR(K158/K444, "NA")</f>
        <v>NA</v>
      </c>
      <c r="M158" s="2"/>
      <c r="N158" s="14">
        <f t="shared" si="37"/>
        <v>0</v>
      </c>
      <c r="O158" s="15" t="str">
        <f>IFERROR(N158/N444, "NA")</f>
        <v>NA</v>
      </c>
      <c r="P158" s="2"/>
      <c r="Q158" s="14">
        <f>IFERROR(Q153+Q154+Q155+Q156+Q157, "NA")</f>
        <v>0</v>
      </c>
      <c r="R158" s="15" t="str">
        <f>IFERROR(Q158/Q444, "NA")</f>
        <v>NA</v>
      </c>
      <c r="S158" s="2"/>
      <c r="T158" s="14">
        <f>IFERROR(T153+T154+T155+T156+T157, "NA")</f>
        <v>0</v>
      </c>
      <c r="U158" s="15" t="str">
        <f>IFERROR(T158/T444, "NA")</f>
        <v>NA</v>
      </c>
      <c r="V158" s="2"/>
      <c r="W158" s="14">
        <f t="shared" si="38"/>
        <v>0</v>
      </c>
      <c r="X158" s="15" t="str">
        <f>IFERROR(W158/W444, "NA")</f>
        <v>NA</v>
      </c>
      <c r="Y158" s="2"/>
      <c r="Z158" s="14">
        <f>IFERROR(Z153+Z154+Z155+Z156+Z157, "NA")</f>
        <v>0</v>
      </c>
      <c r="AA158" s="15" t="str">
        <f>IFERROR(Z158/Z444, "NA")</f>
        <v>NA</v>
      </c>
      <c r="AB158" s="2"/>
      <c r="AC158" s="14">
        <f t="shared" si="39"/>
        <v>0</v>
      </c>
      <c r="AD158" s="15" t="str">
        <f>IFERROR(AC158/AC444, "NA")</f>
        <v>NA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 t="str">
        <f>IFERROR(B160/B444, "NA")</f>
        <v>NA</v>
      </c>
      <c r="D160" s="9"/>
      <c r="E160" s="7">
        <v>0</v>
      </c>
      <c r="F160" s="8" t="str">
        <f>IFERROR(E160/E444, "NA")</f>
        <v>NA</v>
      </c>
      <c r="G160" s="9"/>
      <c r="H160" s="10">
        <f t="shared" ref="H160:H171" si="40">IFERROR(-(B160-E160), "NA")</f>
        <v>0</v>
      </c>
      <c r="I160" s="8" t="str">
        <f>IFERROR(H160/H444, "NA")</f>
        <v>NA</v>
      </c>
      <c r="J160" s="9"/>
      <c r="K160" s="7">
        <v>0</v>
      </c>
      <c r="L160" s="8" t="str">
        <f>IFERROR(K160/K444, "NA")</f>
        <v>NA</v>
      </c>
      <c r="M160" s="9"/>
      <c r="N160" s="10">
        <f t="shared" ref="N160:N171" si="41">IFERROR(-(B160-K160), "NA")</f>
        <v>0</v>
      </c>
      <c r="O160" s="8" t="str">
        <f>IFERROR(N160/N444, "NA")</f>
        <v>NA</v>
      </c>
      <c r="P160" s="9"/>
      <c r="Q160" s="7">
        <v>0</v>
      </c>
      <c r="R160" s="8" t="str">
        <f>IFERROR(Q160/Q444, "NA")</f>
        <v>NA</v>
      </c>
      <c r="S160" s="9"/>
      <c r="T160" s="7">
        <v>0</v>
      </c>
      <c r="U160" s="8" t="str">
        <f>IFERROR(T160/T444, "NA")</f>
        <v>NA</v>
      </c>
      <c r="V160" s="9"/>
      <c r="W160" s="10">
        <f t="shared" ref="W160:W171" si="42">IFERROR(-(Q160-T160), "NA")</f>
        <v>0</v>
      </c>
      <c r="X160" s="8" t="str">
        <f>IFERROR(W160/W444, "NA")</f>
        <v>NA</v>
      </c>
      <c r="Y160" s="9"/>
      <c r="Z160" s="7">
        <v>0</v>
      </c>
      <c r="AA160" s="8" t="str">
        <f>IFERROR(Z160/Z444, "NA")</f>
        <v>NA</v>
      </c>
      <c r="AB160" s="9"/>
      <c r="AC160" s="10">
        <f t="shared" ref="AC160:AC171" si="43">IFERROR(-(Q160-Z160), "NA")</f>
        <v>0</v>
      </c>
      <c r="AD160" s="8" t="str">
        <f>IFERROR(AC160/AC444, "NA")</f>
        <v>NA</v>
      </c>
    </row>
    <row r="161" spans="1:30" ht="16.5" hidden="1" customHeight="1" x14ac:dyDescent="0.45">
      <c r="A161" s="12" t="s">
        <v>149</v>
      </c>
      <c r="B161" s="7">
        <v>0</v>
      </c>
      <c r="C161" s="8" t="str">
        <f>IFERROR(B161/B444, "NA")</f>
        <v>NA</v>
      </c>
      <c r="D161" s="9"/>
      <c r="E161" s="7">
        <v>0</v>
      </c>
      <c r="F161" s="8" t="str">
        <f>IFERROR(E161/E444, "NA")</f>
        <v>NA</v>
      </c>
      <c r="G161" s="9"/>
      <c r="H161" s="10">
        <f t="shared" si="40"/>
        <v>0</v>
      </c>
      <c r="I161" s="8" t="str">
        <f>IFERROR(H161/H444, "NA")</f>
        <v>NA</v>
      </c>
      <c r="J161" s="9"/>
      <c r="K161" s="7">
        <v>0</v>
      </c>
      <c r="L161" s="8" t="str">
        <f>IFERROR(K161/K444, "NA")</f>
        <v>NA</v>
      </c>
      <c r="M161" s="9"/>
      <c r="N161" s="10">
        <f t="shared" si="41"/>
        <v>0</v>
      </c>
      <c r="O161" s="8" t="str">
        <f>IFERROR(N161/N444, "NA")</f>
        <v>NA</v>
      </c>
      <c r="P161" s="9"/>
      <c r="Q161" s="7">
        <v>0</v>
      </c>
      <c r="R161" s="8" t="str">
        <f>IFERROR(Q161/Q444, "NA")</f>
        <v>NA</v>
      </c>
      <c r="S161" s="9"/>
      <c r="T161" s="7">
        <v>0</v>
      </c>
      <c r="U161" s="8" t="str">
        <f>IFERROR(T161/T444, "NA")</f>
        <v>NA</v>
      </c>
      <c r="V161" s="9"/>
      <c r="W161" s="10">
        <f t="shared" si="42"/>
        <v>0</v>
      </c>
      <c r="X161" s="8" t="str">
        <f>IFERROR(W161/W444, "NA")</f>
        <v>NA</v>
      </c>
      <c r="Y161" s="9"/>
      <c r="Z161" s="7">
        <v>0</v>
      </c>
      <c r="AA161" s="8" t="str">
        <f>IFERROR(Z161/Z444, "NA")</f>
        <v>NA</v>
      </c>
      <c r="AB161" s="9"/>
      <c r="AC161" s="10">
        <f t="shared" si="43"/>
        <v>0</v>
      </c>
      <c r="AD161" s="8" t="str">
        <f>IFERROR(AC161/AC444, "NA")</f>
        <v>NA</v>
      </c>
    </row>
    <row r="162" spans="1:30" ht="16.5" hidden="1" customHeight="1" x14ac:dyDescent="0.45">
      <c r="A162" s="12" t="s">
        <v>150</v>
      </c>
      <c r="B162" s="7">
        <v>0</v>
      </c>
      <c r="C162" s="8" t="str">
        <f>IFERROR(B162/B444, "NA")</f>
        <v>NA</v>
      </c>
      <c r="D162" s="9"/>
      <c r="E162" s="7">
        <v>0</v>
      </c>
      <c r="F162" s="8" t="str">
        <f>IFERROR(E162/E444, "NA")</f>
        <v>NA</v>
      </c>
      <c r="G162" s="9"/>
      <c r="H162" s="10">
        <f t="shared" si="40"/>
        <v>0</v>
      </c>
      <c r="I162" s="8" t="str">
        <f>IFERROR(H162/H444, "NA")</f>
        <v>NA</v>
      </c>
      <c r="J162" s="9"/>
      <c r="K162" s="7">
        <v>0</v>
      </c>
      <c r="L162" s="8" t="str">
        <f>IFERROR(K162/K444, "NA")</f>
        <v>NA</v>
      </c>
      <c r="M162" s="9"/>
      <c r="N162" s="10">
        <f t="shared" si="41"/>
        <v>0</v>
      </c>
      <c r="O162" s="8" t="str">
        <f>IFERROR(N162/N444, "NA")</f>
        <v>NA</v>
      </c>
      <c r="P162" s="9"/>
      <c r="Q162" s="7">
        <v>0</v>
      </c>
      <c r="R162" s="8" t="str">
        <f>IFERROR(Q162/Q444, "NA")</f>
        <v>NA</v>
      </c>
      <c r="S162" s="9"/>
      <c r="T162" s="7">
        <v>0</v>
      </c>
      <c r="U162" s="8" t="str">
        <f>IFERROR(T162/T444, "NA")</f>
        <v>NA</v>
      </c>
      <c r="V162" s="9"/>
      <c r="W162" s="10">
        <f t="shared" si="42"/>
        <v>0</v>
      </c>
      <c r="X162" s="8" t="str">
        <f>IFERROR(W162/W444, "NA")</f>
        <v>NA</v>
      </c>
      <c r="Y162" s="9"/>
      <c r="Z162" s="7">
        <v>0</v>
      </c>
      <c r="AA162" s="8" t="str">
        <f>IFERROR(Z162/Z444, "NA")</f>
        <v>NA</v>
      </c>
      <c r="AB162" s="9"/>
      <c r="AC162" s="10">
        <f t="shared" si="43"/>
        <v>0</v>
      </c>
      <c r="AD162" s="8" t="str">
        <f>IFERROR(AC162/AC444, "NA")</f>
        <v>NA</v>
      </c>
    </row>
    <row r="163" spans="1:30" ht="16.5" hidden="1" customHeight="1" x14ac:dyDescent="0.45">
      <c r="A163" s="12" t="s">
        <v>151</v>
      </c>
      <c r="B163" s="7">
        <v>0</v>
      </c>
      <c r="C163" s="8" t="str">
        <f>IFERROR(B163/B444, "NA")</f>
        <v>NA</v>
      </c>
      <c r="D163" s="9"/>
      <c r="E163" s="7">
        <v>0</v>
      </c>
      <c r="F163" s="8" t="str">
        <f>IFERROR(E163/E444, "NA")</f>
        <v>NA</v>
      </c>
      <c r="G163" s="9"/>
      <c r="H163" s="10">
        <f t="shared" si="40"/>
        <v>0</v>
      </c>
      <c r="I163" s="8" t="str">
        <f>IFERROR(H163/H444, "NA")</f>
        <v>NA</v>
      </c>
      <c r="J163" s="9"/>
      <c r="K163" s="7">
        <v>0</v>
      </c>
      <c r="L163" s="8" t="str">
        <f>IFERROR(K163/K444, "NA")</f>
        <v>NA</v>
      </c>
      <c r="M163" s="9"/>
      <c r="N163" s="10">
        <f t="shared" si="41"/>
        <v>0</v>
      </c>
      <c r="O163" s="8" t="str">
        <f>IFERROR(N163/N444, "NA")</f>
        <v>NA</v>
      </c>
      <c r="P163" s="9"/>
      <c r="Q163" s="7">
        <v>0</v>
      </c>
      <c r="R163" s="8" t="str">
        <f>IFERROR(Q163/Q444, "NA")</f>
        <v>NA</v>
      </c>
      <c r="S163" s="9"/>
      <c r="T163" s="7">
        <v>0</v>
      </c>
      <c r="U163" s="8" t="str">
        <f>IFERROR(T163/T444, "NA")</f>
        <v>NA</v>
      </c>
      <c r="V163" s="9"/>
      <c r="W163" s="10">
        <f t="shared" si="42"/>
        <v>0</v>
      </c>
      <c r="X163" s="8" t="str">
        <f>IFERROR(W163/W444, "NA")</f>
        <v>NA</v>
      </c>
      <c r="Y163" s="9"/>
      <c r="Z163" s="7">
        <v>0</v>
      </c>
      <c r="AA163" s="8" t="str">
        <f>IFERROR(Z163/Z444, "NA")</f>
        <v>NA</v>
      </c>
      <c r="AB163" s="9"/>
      <c r="AC163" s="10">
        <f t="shared" si="43"/>
        <v>0</v>
      </c>
      <c r="AD163" s="8" t="str">
        <f>IFERROR(AC163/AC444, "NA")</f>
        <v>NA</v>
      </c>
    </row>
    <row r="164" spans="1:30" ht="16.5" hidden="1" customHeight="1" x14ac:dyDescent="0.45">
      <c r="A164" s="12" t="s">
        <v>152</v>
      </c>
      <c r="B164" s="7">
        <v>0</v>
      </c>
      <c r="C164" s="8" t="str">
        <f>IFERROR(B164/B444, "NA")</f>
        <v>NA</v>
      </c>
      <c r="D164" s="9"/>
      <c r="E164" s="7">
        <v>0</v>
      </c>
      <c r="F164" s="8" t="str">
        <f>IFERROR(E164/E444, "NA")</f>
        <v>NA</v>
      </c>
      <c r="G164" s="9"/>
      <c r="H164" s="10">
        <f t="shared" si="40"/>
        <v>0</v>
      </c>
      <c r="I164" s="8" t="str">
        <f>IFERROR(H164/H444, "NA")</f>
        <v>NA</v>
      </c>
      <c r="J164" s="9"/>
      <c r="K164" s="7">
        <v>0</v>
      </c>
      <c r="L164" s="8" t="str">
        <f>IFERROR(K164/K444, "NA")</f>
        <v>NA</v>
      </c>
      <c r="M164" s="9"/>
      <c r="N164" s="10">
        <f t="shared" si="41"/>
        <v>0</v>
      </c>
      <c r="O164" s="8" t="str">
        <f>IFERROR(N164/N444, "NA")</f>
        <v>NA</v>
      </c>
      <c r="P164" s="9"/>
      <c r="Q164" s="7">
        <v>0</v>
      </c>
      <c r="R164" s="8" t="str">
        <f>IFERROR(Q164/Q444, "NA")</f>
        <v>NA</v>
      </c>
      <c r="S164" s="9"/>
      <c r="T164" s="7">
        <v>0</v>
      </c>
      <c r="U164" s="8" t="str">
        <f>IFERROR(T164/T444, "NA")</f>
        <v>NA</v>
      </c>
      <c r="V164" s="9"/>
      <c r="W164" s="10">
        <f t="shared" si="42"/>
        <v>0</v>
      </c>
      <c r="X164" s="8" t="str">
        <f>IFERROR(W164/W444, "NA")</f>
        <v>NA</v>
      </c>
      <c r="Y164" s="9"/>
      <c r="Z164" s="7">
        <v>0</v>
      </c>
      <c r="AA164" s="8" t="str">
        <f>IFERROR(Z164/Z444, "NA")</f>
        <v>NA</v>
      </c>
      <c r="AB164" s="9"/>
      <c r="AC164" s="10">
        <f t="shared" si="43"/>
        <v>0</v>
      </c>
      <c r="AD164" s="8" t="str">
        <f>IFERROR(AC164/AC444, "NA")</f>
        <v>NA</v>
      </c>
    </row>
    <row r="165" spans="1:30" ht="16.5" hidden="1" customHeight="1" x14ac:dyDescent="0.45">
      <c r="A165" s="12" t="s">
        <v>153</v>
      </c>
      <c r="B165" s="7">
        <v>0</v>
      </c>
      <c r="C165" s="8" t="str">
        <f>IFERROR(B165/B444, "NA")</f>
        <v>NA</v>
      </c>
      <c r="D165" s="9"/>
      <c r="E165" s="7">
        <v>0</v>
      </c>
      <c r="F165" s="8" t="str">
        <f>IFERROR(E165/E444, "NA")</f>
        <v>NA</v>
      </c>
      <c r="G165" s="9"/>
      <c r="H165" s="10">
        <f t="shared" si="40"/>
        <v>0</v>
      </c>
      <c r="I165" s="8" t="str">
        <f>IFERROR(H165/H444, "NA")</f>
        <v>NA</v>
      </c>
      <c r="J165" s="9"/>
      <c r="K165" s="7">
        <v>0</v>
      </c>
      <c r="L165" s="8" t="str">
        <f>IFERROR(K165/K444, "NA")</f>
        <v>NA</v>
      </c>
      <c r="M165" s="9"/>
      <c r="N165" s="10">
        <f t="shared" si="41"/>
        <v>0</v>
      </c>
      <c r="O165" s="8" t="str">
        <f>IFERROR(N165/N444, "NA")</f>
        <v>NA</v>
      </c>
      <c r="P165" s="9"/>
      <c r="Q165" s="7">
        <v>0</v>
      </c>
      <c r="R165" s="8" t="str">
        <f>IFERROR(Q165/Q444, "NA")</f>
        <v>NA</v>
      </c>
      <c r="S165" s="9"/>
      <c r="T165" s="7">
        <v>0</v>
      </c>
      <c r="U165" s="8" t="str">
        <f>IFERROR(T165/T444, "NA")</f>
        <v>NA</v>
      </c>
      <c r="V165" s="9"/>
      <c r="W165" s="10">
        <f t="shared" si="42"/>
        <v>0</v>
      </c>
      <c r="X165" s="8" t="str">
        <f>IFERROR(W165/W444, "NA")</f>
        <v>NA</v>
      </c>
      <c r="Y165" s="9"/>
      <c r="Z165" s="7">
        <v>0</v>
      </c>
      <c r="AA165" s="8" t="str">
        <f>IFERROR(Z165/Z444, "NA")</f>
        <v>NA</v>
      </c>
      <c r="AB165" s="9"/>
      <c r="AC165" s="10">
        <f t="shared" si="43"/>
        <v>0</v>
      </c>
      <c r="AD165" s="8" t="str">
        <f>IFERROR(AC165/AC444, "NA")</f>
        <v>NA</v>
      </c>
    </row>
    <row r="166" spans="1:30" ht="16.5" customHeight="1" x14ac:dyDescent="0.45">
      <c r="A166" s="13" t="s">
        <v>154</v>
      </c>
      <c r="B166" s="14">
        <f>IFERROR(B160+B161+B162+B163+B164+B165, "NA")</f>
        <v>0</v>
      </c>
      <c r="C166" s="15" t="str">
        <f>IFERROR(B166/B444, "NA")</f>
        <v>NA</v>
      </c>
      <c r="D166" s="2"/>
      <c r="E166" s="14">
        <f>IFERROR(E160+E161+E162+E163+E164+E165, "NA")</f>
        <v>0</v>
      </c>
      <c r="F166" s="15" t="str">
        <f>IFERROR(E166/E444, "NA")</f>
        <v>NA</v>
      </c>
      <c r="G166" s="2"/>
      <c r="H166" s="14">
        <f t="shared" si="40"/>
        <v>0</v>
      </c>
      <c r="I166" s="15" t="str">
        <f>IFERROR(H166/H444, "NA")</f>
        <v>NA</v>
      </c>
      <c r="J166" s="2"/>
      <c r="K166" s="14">
        <f>IFERROR(K160+K161+K162+K163+K164+K165, "NA")</f>
        <v>0</v>
      </c>
      <c r="L166" s="15" t="str">
        <f>IFERROR(K166/K444, "NA")</f>
        <v>NA</v>
      </c>
      <c r="M166" s="2"/>
      <c r="N166" s="14">
        <f t="shared" si="41"/>
        <v>0</v>
      </c>
      <c r="O166" s="15" t="str">
        <f>IFERROR(N166/N444, "NA")</f>
        <v>NA</v>
      </c>
      <c r="P166" s="2"/>
      <c r="Q166" s="14">
        <f>IFERROR(Q160+Q161+Q162+Q163+Q164+Q165, "NA")</f>
        <v>0</v>
      </c>
      <c r="R166" s="15" t="str">
        <f>IFERROR(Q166/Q444, "NA")</f>
        <v>NA</v>
      </c>
      <c r="S166" s="2"/>
      <c r="T166" s="14">
        <f>IFERROR(T160+T161+T162+T163+T164+T165, "NA")</f>
        <v>0</v>
      </c>
      <c r="U166" s="15" t="str">
        <f>IFERROR(T166/T444, "NA")</f>
        <v>NA</v>
      </c>
      <c r="V166" s="2"/>
      <c r="W166" s="14">
        <f t="shared" si="42"/>
        <v>0</v>
      </c>
      <c r="X166" s="15" t="str">
        <f>IFERROR(W166/W444, "NA")</f>
        <v>NA</v>
      </c>
      <c r="Y166" s="2"/>
      <c r="Z166" s="14">
        <f>IFERROR(Z160+Z161+Z162+Z163+Z164+Z165, "NA")</f>
        <v>0</v>
      </c>
      <c r="AA166" s="15" t="str">
        <f>IFERROR(Z166/Z444, "NA")</f>
        <v>NA</v>
      </c>
      <c r="AB166" s="2"/>
      <c r="AC166" s="14">
        <f t="shared" si="43"/>
        <v>0</v>
      </c>
      <c r="AD166" s="15" t="str">
        <f>IFERROR(AC166/AC444, "NA")</f>
        <v>NA</v>
      </c>
    </row>
    <row r="167" spans="1:30" ht="16.5" hidden="1" customHeight="1" x14ac:dyDescent="0.45">
      <c r="A167" s="6" t="s">
        <v>155</v>
      </c>
      <c r="B167" s="7">
        <v>0</v>
      </c>
      <c r="C167" s="8" t="str">
        <f>IFERROR(B167/B444, "NA")</f>
        <v>NA</v>
      </c>
      <c r="D167" s="9"/>
      <c r="E167" s="7">
        <v>0</v>
      </c>
      <c r="F167" s="8" t="str">
        <f>IFERROR(E167/E444, "NA")</f>
        <v>NA</v>
      </c>
      <c r="G167" s="9"/>
      <c r="H167" s="10">
        <f t="shared" si="40"/>
        <v>0</v>
      </c>
      <c r="I167" s="8" t="str">
        <f>IFERROR(H167/H444, "NA")</f>
        <v>NA</v>
      </c>
      <c r="J167" s="9"/>
      <c r="K167" s="7">
        <v>0</v>
      </c>
      <c r="L167" s="8" t="str">
        <f>IFERROR(K167/K444, "NA")</f>
        <v>NA</v>
      </c>
      <c r="M167" s="9"/>
      <c r="N167" s="10">
        <f t="shared" si="41"/>
        <v>0</v>
      </c>
      <c r="O167" s="8" t="str">
        <f>IFERROR(N167/N444, "NA")</f>
        <v>NA</v>
      </c>
      <c r="P167" s="9"/>
      <c r="Q167" s="7">
        <v>0</v>
      </c>
      <c r="R167" s="8" t="str">
        <f>IFERROR(Q167/Q444, "NA")</f>
        <v>NA</v>
      </c>
      <c r="S167" s="9"/>
      <c r="T167" s="7">
        <v>0</v>
      </c>
      <c r="U167" s="8" t="str">
        <f>IFERROR(T167/T444, "NA")</f>
        <v>NA</v>
      </c>
      <c r="V167" s="9"/>
      <c r="W167" s="10">
        <f t="shared" si="42"/>
        <v>0</v>
      </c>
      <c r="X167" s="8" t="str">
        <f>IFERROR(W167/W444, "NA")</f>
        <v>NA</v>
      </c>
      <c r="Y167" s="9"/>
      <c r="Z167" s="7">
        <v>0</v>
      </c>
      <c r="AA167" s="8" t="str">
        <f>IFERROR(Z167/Z444, "NA")</f>
        <v>NA</v>
      </c>
      <c r="AB167" s="9"/>
      <c r="AC167" s="10">
        <f t="shared" si="43"/>
        <v>0</v>
      </c>
      <c r="AD167" s="8" t="str">
        <f>IFERROR(AC167/AC444, "NA")</f>
        <v>NA</v>
      </c>
    </row>
    <row r="168" spans="1:30" ht="16.5" hidden="1" customHeight="1" x14ac:dyDescent="0.45">
      <c r="A168" s="6" t="s">
        <v>156</v>
      </c>
      <c r="B168" s="7">
        <v>0</v>
      </c>
      <c r="C168" s="8" t="str">
        <f>IFERROR(B168/B444, "NA")</f>
        <v>NA</v>
      </c>
      <c r="D168" s="9"/>
      <c r="E168" s="7">
        <v>0</v>
      </c>
      <c r="F168" s="8" t="str">
        <f>IFERROR(E168/E444, "NA")</f>
        <v>NA</v>
      </c>
      <c r="G168" s="9"/>
      <c r="H168" s="10">
        <f t="shared" si="40"/>
        <v>0</v>
      </c>
      <c r="I168" s="8" t="str">
        <f>IFERROR(H168/H444, "NA")</f>
        <v>NA</v>
      </c>
      <c r="J168" s="9"/>
      <c r="K168" s="7">
        <v>0</v>
      </c>
      <c r="L168" s="8" t="str">
        <f>IFERROR(K168/K444, "NA")</f>
        <v>NA</v>
      </c>
      <c r="M168" s="9"/>
      <c r="N168" s="10">
        <f t="shared" si="41"/>
        <v>0</v>
      </c>
      <c r="O168" s="8" t="str">
        <f>IFERROR(N168/N444, "NA")</f>
        <v>NA</v>
      </c>
      <c r="P168" s="9"/>
      <c r="Q168" s="7">
        <v>0</v>
      </c>
      <c r="R168" s="8" t="str">
        <f>IFERROR(Q168/Q444, "NA")</f>
        <v>NA</v>
      </c>
      <c r="S168" s="9"/>
      <c r="T168" s="7">
        <v>0</v>
      </c>
      <c r="U168" s="8" t="str">
        <f>IFERROR(T168/T444, "NA")</f>
        <v>NA</v>
      </c>
      <c r="V168" s="9"/>
      <c r="W168" s="10">
        <f t="shared" si="42"/>
        <v>0</v>
      </c>
      <c r="X168" s="8" t="str">
        <f>IFERROR(W168/W444, "NA")</f>
        <v>NA</v>
      </c>
      <c r="Y168" s="9"/>
      <c r="Z168" s="7">
        <v>0</v>
      </c>
      <c r="AA168" s="8" t="str">
        <f>IFERROR(Z168/Z444, "NA")</f>
        <v>NA</v>
      </c>
      <c r="AB168" s="9"/>
      <c r="AC168" s="10">
        <f t="shared" si="43"/>
        <v>0</v>
      </c>
      <c r="AD168" s="8" t="str">
        <f>IFERROR(AC168/AC444, "NA")</f>
        <v>NA</v>
      </c>
    </row>
    <row r="169" spans="1:30" ht="16.5" hidden="1" customHeight="1" x14ac:dyDescent="0.45">
      <c r="A169" s="6" t="s">
        <v>157</v>
      </c>
      <c r="B169" s="7">
        <v>0</v>
      </c>
      <c r="C169" s="8" t="str">
        <f>IFERROR(B169/B444, "NA")</f>
        <v>NA</v>
      </c>
      <c r="D169" s="9"/>
      <c r="E169" s="7">
        <v>0</v>
      </c>
      <c r="F169" s="8" t="str">
        <f>IFERROR(E169/E444, "NA")</f>
        <v>NA</v>
      </c>
      <c r="G169" s="9"/>
      <c r="H169" s="10">
        <f t="shared" si="40"/>
        <v>0</v>
      </c>
      <c r="I169" s="8" t="str">
        <f>IFERROR(H169/H444, "NA")</f>
        <v>NA</v>
      </c>
      <c r="J169" s="9"/>
      <c r="K169" s="7">
        <v>0</v>
      </c>
      <c r="L169" s="8" t="str">
        <f>IFERROR(K169/K444, "NA")</f>
        <v>NA</v>
      </c>
      <c r="M169" s="9"/>
      <c r="N169" s="10">
        <f t="shared" si="41"/>
        <v>0</v>
      </c>
      <c r="O169" s="8" t="str">
        <f>IFERROR(N169/N444, "NA")</f>
        <v>NA</v>
      </c>
      <c r="P169" s="9"/>
      <c r="Q169" s="7">
        <v>0</v>
      </c>
      <c r="R169" s="8" t="str">
        <f>IFERROR(Q169/Q444, "NA")</f>
        <v>NA</v>
      </c>
      <c r="S169" s="9"/>
      <c r="T169" s="7">
        <v>0</v>
      </c>
      <c r="U169" s="8" t="str">
        <f>IFERROR(T169/T444, "NA")</f>
        <v>NA</v>
      </c>
      <c r="V169" s="9"/>
      <c r="W169" s="10">
        <f t="shared" si="42"/>
        <v>0</v>
      </c>
      <c r="X169" s="8" t="str">
        <f>IFERROR(W169/W444, "NA")</f>
        <v>NA</v>
      </c>
      <c r="Y169" s="9"/>
      <c r="Z169" s="7">
        <v>0</v>
      </c>
      <c r="AA169" s="8" t="str">
        <f>IFERROR(Z169/Z444, "NA")</f>
        <v>NA</v>
      </c>
      <c r="AB169" s="9"/>
      <c r="AC169" s="10">
        <f t="shared" si="43"/>
        <v>0</v>
      </c>
      <c r="AD169" s="8" t="str">
        <f>IFERROR(AC169/AC444, "NA")</f>
        <v>NA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0</v>
      </c>
      <c r="C170" s="15" t="str">
        <f>IFERROR(B170/B444, "NA")</f>
        <v>NA</v>
      </c>
      <c r="D170" s="2"/>
      <c r="E170" s="14">
        <f>IFERROR(E151+E153+E154+E155+E156+E157+E160+E161+E162+E163+E164+E165+E167+E168+E169, "NA")</f>
        <v>0</v>
      </c>
      <c r="F170" s="15" t="str">
        <f>IFERROR(E170/E444, "NA")</f>
        <v>NA</v>
      </c>
      <c r="G170" s="2"/>
      <c r="H170" s="14">
        <f t="shared" si="40"/>
        <v>0</v>
      </c>
      <c r="I170" s="15" t="str">
        <f>IFERROR(H170/H444, "NA")</f>
        <v>NA</v>
      </c>
      <c r="J170" s="2"/>
      <c r="K170" s="14">
        <f>IFERROR(K151+K153+K154+K155+K156+K157+K160+K161+K162+K163+K164+K165+K167+K168+K169, "NA")</f>
        <v>0</v>
      </c>
      <c r="L170" s="15" t="str">
        <f>IFERROR(K170/K444, "NA")</f>
        <v>NA</v>
      </c>
      <c r="M170" s="2"/>
      <c r="N170" s="14">
        <f t="shared" si="41"/>
        <v>0</v>
      </c>
      <c r="O170" s="15" t="str">
        <f>IFERROR(N170/N444, "NA")</f>
        <v>NA</v>
      </c>
      <c r="P170" s="2"/>
      <c r="Q170" s="14">
        <f>IFERROR(Q151+Q153+Q154+Q155+Q156+Q157+Q160+Q161+Q162+Q163+Q164+Q165+Q167+Q168+Q169, "NA")</f>
        <v>0</v>
      </c>
      <c r="R170" s="15" t="str">
        <f>IFERROR(Q170/Q444, "NA")</f>
        <v>NA</v>
      </c>
      <c r="S170" s="2"/>
      <c r="T170" s="14">
        <f>IFERROR(T151+T153+T154+T155+T156+T157+T160+T161+T162+T163+T164+T165+T167+T168+T169, "NA")</f>
        <v>0</v>
      </c>
      <c r="U170" s="15" t="str">
        <f>IFERROR(T170/T444, "NA")</f>
        <v>NA</v>
      </c>
      <c r="V170" s="2"/>
      <c r="W170" s="14">
        <f t="shared" si="42"/>
        <v>0</v>
      </c>
      <c r="X170" s="15" t="str">
        <f>IFERROR(W170/W444, "NA")</f>
        <v>NA</v>
      </c>
      <c r="Y170" s="2"/>
      <c r="Z170" s="14">
        <f>IFERROR(Z151+Z153+Z154+Z155+Z156+Z157+Z160+Z161+Z162+Z163+Z164+Z165+Z167+Z168+Z169, "NA")</f>
        <v>0</v>
      </c>
      <c r="AA170" s="15" t="str">
        <f>IFERROR(Z170/Z444, "NA")</f>
        <v>NA</v>
      </c>
      <c r="AB170" s="2"/>
      <c r="AC170" s="14">
        <f t="shared" si="43"/>
        <v>0</v>
      </c>
      <c r="AD170" s="15" t="str">
        <f>IFERROR(AC170/AC444, "NA")</f>
        <v>NA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0</v>
      </c>
      <c r="C171" s="15" t="str">
        <f>IFERROR(B171/B444, "NA")</f>
        <v>NA</v>
      </c>
      <c r="D171" s="2"/>
      <c r="E171" s="14">
        <f>IFERROR(E127+E129+E130+E131+E132+E133+E134+E135+E136+E137+E138+E139+E140+E143+E144+E145+E146+E147+E151+E153+E154+E155+E156+E157+E160+E161+E162+E163+E164+E165+E167+E168+E169, "NA")</f>
        <v>0</v>
      </c>
      <c r="F171" s="15" t="str">
        <f>IFERROR(E171/E444, "NA")</f>
        <v>NA</v>
      </c>
      <c r="G171" s="2"/>
      <c r="H171" s="14">
        <f t="shared" si="40"/>
        <v>0</v>
      </c>
      <c r="I171" s="15" t="str">
        <f>IFERROR(H171/H444, "NA")</f>
        <v>NA</v>
      </c>
      <c r="J171" s="2"/>
      <c r="K171" s="14">
        <f>IFERROR(K127+K129+K130+K131+K132+K133+K134+K135+K136+K137+K138+K139+K140+K143+K144+K145+K146+K147+K151+K153+K154+K155+K156+K157+K160+K161+K162+K163+K164+K165+K167+K168+K169, "NA")</f>
        <v>0</v>
      </c>
      <c r="L171" s="15" t="str">
        <f>IFERROR(K171/K444, "NA")</f>
        <v>NA</v>
      </c>
      <c r="M171" s="2"/>
      <c r="N171" s="14">
        <f t="shared" si="41"/>
        <v>0</v>
      </c>
      <c r="O171" s="15" t="str">
        <f>IFERROR(N171/N444, "NA")</f>
        <v>NA</v>
      </c>
      <c r="P171" s="2"/>
      <c r="Q171" s="14">
        <f>IFERROR(Q127+Q129+Q130+Q131+Q132+Q133+Q134+Q135+Q136+Q137+Q138+Q139+Q140+Q143+Q144+Q145+Q146+Q147+Q151+Q153+Q154+Q155+Q156+Q157+Q160+Q161+Q162+Q163+Q164+Q165+Q167+Q168+Q169, "NA")</f>
        <v>0</v>
      </c>
      <c r="R171" s="15" t="str">
        <f>IFERROR(Q171/Q444, "NA")</f>
        <v>NA</v>
      </c>
      <c r="S171" s="2"/>
      <c r="T171" s="14">
        <f>IFERROR(T127+T129+T130+T131+T132+T133+T134+T135+T136+T137+T138+T139+T140+T143+T144+T145+T146+T147+T151+T153+T154+T155+T156+T157+T160+T161+T162+T163+T164+T165+T167+T168+T169, "NA")</f>
        <v>0</v>
      </c>
      <c r="U171" s="15" t="str">
        <f>IFERROR(T171/T444, "NA")</f>
        <v>NA</v>
      </c>
      <c r="V171" s="2"/>
      <c r="W171" s="14">
        <f t="shared" si="42"/>
        <v>0</v>
      </c>
      <c r="X171" s="15" t="str">
        <f>IFERROR(W171/W444, "NA")</f>
        <v>NA</v>
      </c>
      <c r="Y171" s="2"/>
      <c r="Z171" s="14">
        <f>IFERROR(Z127+Z129+Z130+Z131+Z132+Z133+Z134+Z135+Z136+Z137+Z138+Z139+Z140+Z143+Z144+Z145+Z146+Z147+Z151+Z153+Z154+Z155+Z156+Z157+Z160+Z161+Z162+Z163+Z164+Z165+Z167+Z168+Z169, "NA")</f>
        <v>0</v>
      </c>
      <c r="AA171" s="15" t="str">
        <f>IFERROR(Z171/Z444, "NA")</f>
        <v>NA</v>
      </c>
      <c r="AB171" s="2"/>
      <c r="AC171" s="14">
        <f t="shared" si="43"/>
        <v>0</v>
      </c>
      <c r="AD171" s="15" t="str">
        <f>IFERROR(AC171/AC444, "NA")</f>
        <v>NA</v>
      </c>
    </row>
    <row r="172" spans="1:30" ht="16.5" customHeight="1" x14ac:dyDescent="0.45">
      <c r="A172" s="22" t="s">
        <v>160</v>
      </c>
      <c r="B172" s="23">
        <f>IFERROR(B124-B171, "NA")</f>
        <v>0</v>
      </c>
      <c r="C172" s="24" t="str">
        <f>IFERROR(B172/B444, "NA")</f>
        <v>NA</v>
      </c>
      <c r="D172" s="25"/>
      <c r="E172" s="23">
        <f>IFERROR(E124-E171, "NA")</f>
        <v>0</v>
      </c>
      <c r="F172" s="24" t="str">
        <f>IFERROR(E172/E444, "NA")</f>
        <v>NA</v>
      </c>
      <c r="G172" s="25"/>
      <c r="H172" s="23">
        <f>IFERROR(B172-E172, "NA")</f>
        <v>0</v>
      </c>
      <c r="I172" s="24" t="str">
        <f>IFERROR(H172/H444, "NA")</f>
        <v>NA</v>
      </c>
      <c r="J172" s="25"/>
      <c r="K172" s="23">
        <f>IFERROR(K124-K171, "NA")</f>
        <v>0</v>
      </c>
      <c r="L172" s="24" t="str">
        <f>IFERROR(K172/K444, "NA")</f>
        <v>NA</v>
      </c>
      <c r="M172" s="25"/>
      <c r="N172" s="23">
        <f>IFERROR(B172-K172, "NA")</f>
        <v>0</v>
      </c>
      <c r="O172" s="24" t="str">
        <f>IFERROR(N172/N444, "NA")</f>
        <v>NA</v>
      </c>
      <c r="P172" s="25"/>
      <c r="Q172" s="23">
        <f>IFERROR(Q124-Q171, "NA")</f>
        <v>0</v>
      </c>
      <c r="R172" s="24" t="str">
        <f>IFERROR(Q172/Q444, "NA")</f>
        <v>NA</v>
      </c>
      <c r="S172" s="25"/>
      <c r="T172" s="23">
        <f>IFERROR(T124-T171, "NA")</f>
        <v>0</v>
      </c>
      <c r="U172" s="24" t="str">
        <f>IFERROR(T172/T444, "NA")</f>
        <v>NA</v>
      </c>
      <c r="V172" s="25"/>
      <c r="W172" s="23">
        <f>IFERROR(Q172-T172, "NA")</f>
        <v>0</v>
      </c>
      <c r="X172" s="24" t="str">
        <f>IFERROR(W172/W444, "NA")</f>
        <v>NA</v>
      </c>
      <c r="Y172" s="25"/>
      <c r="Z172" s="23">
        <f>IFERROR(Z124-Z171, "NA")</f>
        <v>0</v>
      </c>
      <c r="AA172" s="24" t="str">
        <f>IFERROR(Z172/Z444, "NA")</f>
        <v>NA</v>
      </c>
      <c r="AB172" s="25"/>
      <c r="AC172" s="23">
        <f>IFERROR(Q172-Z172, "NA")</f>
        <v>0</v>
      </c>
      <c r="AD172" s="24" t="str">
        <f>IFERROR(AC172/AC444, "NA")</f>
        <v>NA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 t="str">
        <f>IFERROR(B175/B444, "NA")</f>
        <v>NA</v>
      </c>
      <c r="D175" s="9"/>
      <c r="E175" s="7">
        <v>0</v>
      </c>
      <c r="F175" s="8" t="str">
        <f>IFERROR(E175/E444, "NA")</f>
        <v>NA</v>
      </c>
      <c r="G175" s="9"/>
      <c r="H175" s="10">
        <f>IFERROR(-(B175-E175), "NA")</f>
        <v>0</v>
      </c>
      <c r="I175" s="8" t="str">
        <f>IFERROR(H175/H444, "NA")</f>
        <v>NA</v>
      </c>
      <c r="J175" s="9"/>
      <c r="K175" s="7">
        <v>0</v>
      </c>
      <c r="L175" s="8" t="str">
        <f>IFERROR(K175/K444, "NA")</f>
        <v>NA</v>
      </c>
      <c r="M175" s="9"/>
      <c r="N175" s="10">
        <f>IFERROR(-(B175-K175), "NA")</f>
        <v>0</v>
      </c>
      <c r="O175" s="8" t="str">
        <f>IFERROR(N175/N444, "NA")</f>
        <v>NA</v>
      </c>
      <c r="P175" s="9"/>
      <c r="Q175" s="7">
        <v>0</v>
      </c>
      <c r="R175" s="8" t="str">
        <f>IFERROR(Q175/Q444, "NA")</f>
        <v>NA</v>
      </c>
      <c r="S175" s="9"/>
      <c r="T175" s="7">
        <v>0</v>
      </c>
      <c r="U175" s="8" t="str">
        <f>IFERROR(T175/T444, "NA")</f>
        <v>NA</v>
      </c>
      <c r="V175" s="9"/>
      <c r="W175" s="10">
        <f>IFERROR(-(Q175-T175), "NA")</f>
        <v>0</v>
      </c>
      <c r="X175" s="8" t="str">
        <f>IFERROR(W175/W444, "NA")</f>
        <v>NA</v>
      </c>
      <c r="Y175" s="9"/>
      <c r="Z175" s="7">
        <v>0</v>
      </c>
      <c r="AA175" s="8" t="str">
        <f>IFERROR(Z175/Z444, "NA")</f>
        <v>NA</v>
      </c>
      <c r="AB175" s="9"/>
      <c r="AC175" s="10">
        <f>IFERROR(-(Q175-Z175), "NA")</f>
        <v>0</v>
      </c>
      <c r="AD175" s="8" t="str">
        <f>IFERROR(AC175/AC444, "NA")</f>
        <v>NA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 t="str">
        <f>IFERROR(B177/B444, "NA")</f>
        <v>NA</v>
      </c>
      <c r="D177" s="9"/>
      <c r="E177" s="7">
        <v>0</v>
      </c>
      <c r="F177" s="8" t="str">
        <f>IFERROR(E177/E444, "NA")</f>
        <v>NA</v>
      </c>
      <c r="G177" s="9"/>
      <c r="H177" s="10">
        <f t="shared" ref="H177:H184" si="44">IFERROR(-(B177-E177), "NA")</f>
        <v>0</v>
      </c>
      <c r="I177" s="8" t="str">
        <f>IFERROR(H177/H444, "NA")</f>
        <v>NA</v>
      </c>
      <c r="J177" s="9"/>
      <c r="K177" s="7">
        <v>0</v>
      </c>
      <c r="L177" s="8" t="str">
        <f>IFERROR(K177/K444, "NA")</f>
        <v>NA</v>
      </c>
      <c r="M177" s="9"/>
      <c r="N177" s="10">
        <f t="shared" ref="N177:N184" si="45">IFERROR(-(B177-K177), "NA")</f>
        <v>0</v>
      </c>
      <c r="O177" s="8" t="str">
        <f>IFERROR(N177/N444, "NA")</f>
        <v>NA</v>
      </c>
      <c r="P177" s="9"/>
      <c r="Q177" s="7">
        <v>0</v>
      </c>
      <c r="R177" s="8" t="str">
        <f>IFERROR(Q177/Q444, "NA")</f>
        <v>NA</v>
      </c>
      <c r="S177" s="9"/>
      <c r="T177" s="7">
        <v>0</v>
      </c>
      <c r="U177" s="8" t="str">
        <f>IFERROR(T177/T444, "NA")</f>
        <v>NA</v>
      </c>
      <c r="V177" s="9"/>
      <c r="W177" s="10">
        <f t="shared" ref="W177:W184" si="46">IFERROR(-(Q177-T177), "NA")</f>
        <v>0</v>
      </c>
      <c r="X177" s="8" t="str">
        <f>IFERROR(W177/W444, "NA")</f>
        <v>NA</v>
      </c>
      <c r="Y177" s="9"/>
      <c r="Z177" s="7">
        <v>0</v>
      </c>
      <c r="AA177" s="8" t="str">
        <f>IFERROR(Z177/Z444, "NA")</f>
        <v>NA</v>
      </c>
      <c r="AB177" s="9"/>
      <c r="AC177" s="10">
        <f t="shared" ref="AC177:AC184" si="47">IFERROR(-(Q177-Z177), "NA")</f>
        <v>0</v>
      </c>
      <c r="AD177" s="8" t="str">
        <f>IFERROR(AC177/AC444, "NA")</f>
        <v>NA</v>
      </c>
    </row>
    <row r="178" spans="1:30" ht="16.5" hidden="1" customHeight="1" x14ac:dyDescent="0.45">
      <c r="A178" s="12" t="s">
        <v>163</v>
      </c>
      <c r="B178" s="7">
        <v>0</v>
      </c>
      <c r="C178" s="8" t="str">
        <f>IFERROR(B178/B444, "NA")</f>
        <v>NA</v>
      </c>
      <c r="D178" s="9"/>
      <c r="E178" s="7">
        <v>0</v>
      </c>
      <c r="F178" s="8" t="str">
        <f>IFERROR(E178/E444, "NA")</f>
        <v>NA</v>
      </c>
      <c r="G178" s="9"/>
      <c r="H178" s="10">
        <f t="shared" si="44"/>
        <v>0</v>
      </c>
      <c r="I178" s="8" t="str">
        <f>IFERROR(H178/H444, "NA")</f>
        <v>NA</v>
      </c>
      <c r="J178" s="9"/>
      <c r="K178" s="7">
        <v>0</v>
      </c>
      <c r="L178" s="8" t="str">
        <f>IFERROR(K178/K444, "NA")</f>
        <v>NA</v>
      </c>
      <c r="M178" s="9"/>
      <c r="N178" s="10">
        <f t="shared" si="45"/>
        <v>0</v>
      </c>
      <c r="O178" s="8" t="str">
        <f>IFERROR(N178/N444, "NA")</f>
        <v>NA</v>
      </c>
      <c r="P178" s="9"/>
      <c r="Q178" s="7">
        <v>0</v>
      </c>
      <c r="R178" s="8" t="str">
        <f>IFERROR(Q178/Q444, "NA")</f>
        <v>NA</v>
      </c>
      <c r="S178" s="9"/>
      <c r="T178" s="7">
        <v>0</v>
      </c>
      <c r="U178" s="8" t="str">
        <f>IFERROR(T178/T444, "NA")</f>
        <v>NA</v>
      </c>
      <c r="V178" s="9"/>
      <c r="W178" s="10">
        <f t="shared" si="46"/>
        <v>0</v>
      </c>
      <c r="X178" s="8" t="str">
        <f>IFERROR(W178/W444, "NA")</f>
        <v>NA</v>
      </c>
      <c r="Y178" s="9"/>
      <c r="Z178" s="7">
        <v>0</v>
      </c>
      <c r="AA178" s="8" t="str">
        <f>IFERROR(Z178/Z444, "NA")</f>
        <v>NA</v>
      </c>
      <c r="AB178" s="9"/>
      <c r="AC178" s="10">
        <f t="shared" si="47"/>
        <v>0</v>
      </c>
      <c r="AD178" s="8" t="str">
        <f>IFERROR(AC178/AC444, "NA")</f>
        <v>NA</v>
      </c>
    </row>
    <row r="179" spans="1:30" ht="16.5" hidden="1" customHeight="1" x14ac:dyDescent="0.45">
      <c r="A179" s="12" t="s">
        <v>164</v>
      </c>
      <c r="B179" s="7">
        <v>0</v>
      </c>
      <c r="C179" s="8" t="str">
        <f>IFERROR(B179/B444, "NA")</f>
        <v>NA</v>
      </c>
      <c r="D179" s="9"/>
      <c r="E179" s="7">
        <v>0</v>
      </c>
      <c r="F179" s="8" t="str">
        <f>IFERROR(E179/E444, "NA")</f>
        <v>NA</v>
      </c>
      <c r="G179" s="9"/>
      <c r="H179" s="10">
        <f t="shared" si="44"/>
        <v>0</v>
      </c>
      <c r="I179" s="8" t="str">
        <f>IFERROR(H179/H444, "NA")</f>
        <v>NA</v>
      </c>
      <c r="J179" s="9"/>
      <c r="K179" s="7">
        <v>0</v>
      </c>
      <c r="L179" s="8" t="str">
        <f>IFERROR(K179/K444, "NA")</f>
        <v>NA</v>
      </c>
      <c r="M179" s="9"/>
      <c r="N179" s="10">
        <f t="shared" si="45"/>
        <v>0</v>
      </c>
      <c r="O179" s="8" t="str">
        <f>IFERROR(N179/N444, "NA")</f>
        <v>NA</v>
      </c>
      <c r="P179" s="9"/>
      <c r="Q179" s="7">
        <v>0</v>
      </c>
      <c r="R179" s="8" t="str">
        <f>IFERROR(Q179/Q444, "NA")</f>
        <v>NA</v>
      </c>
      <c r="S179" s="9"/>
      <c r="T179" s="7">
        <v>0</v>
      </c>
      <c r="U179" s="8" t="str">
        <f>IFERROR(T179/T444, "NA")</f>
        <v>NA</v>
      </c>
      <c r="V179" s="9"/>
      <c r="W179" s="10">
        <f t="shared" si="46"/>
        <v>0</v>
      </c>
      <c r="X179" s="8" t="str">
        <f>IFERROR(W179/W444, "NA")</f>
        <v>NA</v>
      </c>
      <c r="Y179" s="9"/>
      <c r="Z179" s="7">
        <v>0</v>
      </c>
      <c r="AA179" s="8" t="str">
        <f>IFERROR(Z179/Z444, "NA")</f>
        <v>NA</v>
      </c>
      <c r="AB179" s="9"/>
      <c r="AC179" s="10">
        <f t="shared" si="47"/>
        <v>0</v>
      </c>
      <c r="AD179" s="8" t="str">
        <f>IFERROR(AC179/AC444, "NA")</f>
        <v>NA</v>
      </c>
    </row>
    <row r="180" spans="1:30" ht="16.5" hidden="1" customHeight="1" x14ac:dyDescent="0.45">
      <c r="A180" s="12" t="s">
        <v>165</v>
      </c>
      <c r="B180" s="7">
        <v>0</v>
      </c>
      <c r="C180" s="8" t="str">
        <f>IFERROR(B180/B444, "NA")</f>
        <v>NA</v>
      </c>
      <c r="D180" s="9"/>
      <c r="E180" s="7">
        <v>0</v>
      </c>
      <c r="F180" s="8" t="str">
        <f>IFERROR(E180/E444, "NA")</f>
        <v>NA</v>
      </c>
      <c r="G180" s="9"/>
      <c r="H180" s="10">
        <f t="shared" si="44"/>
        <v>0</v>
      </c>
      <c r="I180" s="8" t="str">
        <f>IFERROR(H180/H444, "NA")</f>
        <v>NA</v>
      </c>
      <c r="J180" s="9"/>
      <c r="K180" s="7">
        <v>0</v>
      </c>
      <c r="L180" s="8" t="str">
        <f>IFERROR(K180/K444, "NA")</f>
        <v>NA</v>
      </c>
      <c r="M180" s="9"/>
      <c r="N180" s="10">
        <f t="shared" si="45"/>
        <v>0</v>
      </c>
      <c r="O180" s="8" t="str">
        <f>IFERROR(N180/N444, "NA")</f>
        <v>NA</v>
      </c>
      <c r="P180" s="9"/>
      <c r="Q180" s="7">
        <v>0</v>
      </c>
      <c r="R180" s="8" t="str">
        <f>IFERROR(Q180/Q444, "NA")</f>
        <v>NA</v>
      </c>
      <c r="S180" s="9"/>
      <c r="T180" s="7">
        <v>0</v>
      </c>
      <c r="U180" s="8" t="str">
        <f>IFERROR(T180/T444, "NA")</f>
        <v>NA</v>
      </c>
      <c r="V180" s="9"/>
      <c r="W180" s="10">
        <f t="shared" si="46"/>
        <v>0</v>
      </c>
      <c r="X180" s="8" t="str">
        <f>IFERROR(W180/W444, "NA")</f>
        <v>NA</v>
      </c>
      <c r="Y180" s="9"/>
      <c r="Z180" s="7">
        <v>0</v>
      </c>
      <c r="AA180" s="8" t="str">
        <f>IFERROR(Z180/Z444, "NA")</f>
        <v>NA</v>
      </c>
      <c r="AB180" s="9"/>
      <c r="AC180" s="10">
        <f t="shared" si="47"/>
        <v>0</v>
      </c>
      <c r="AD180" s="8" t="str">
        <f>IFERROR(AC180/AC444, "NA")</f>
        <v>NA</v>
      </c>
    </row>
    <row r="181" spans="1:30" ht="16.5" hidden="1" customHeight="1" x14ac:dyDescent="0.45">
      <c r="A181" s="12" t="s">
        <v>166</v>
      </c>
      <c r="B181" s="7">
        <v>0</v>
      </c>
      <c r="C181" s="8" t="str">
        <f>IFERROR(B181/B444, "NA")</f>
        <v>NA</v>
      </c>
      <c r="D181" s="9"/>
      <c r="E181" s="7">
        <v>0</v>
      </c>
      <c r="F181" s="8" t="str">
        <f>IFERROR(E181/E444, "NA")</f>
        <v>NA</v>
      </c>
      <c r="G181" s="9"/>
      <c r="H181" s="10">
        <f t="shared" si="44"/>
        <v>0</v>
      </c>
      <c r="I181" s="8" t="str">
        <f>IFERROR(H181/H444, "NA")</f>
        <v>NA</v>
      </c>
      <c r="J181" s="9"/>
      <c r="K181" s="7">
        <v>0</v>
      </c>
      <c r="L181" s="8" t="str">
        <f>IFERROR(K181/K444, "NA")</f>
        <v>NA</v>
      </c>
      <c r="M181" s="9"/>
      <c r="N181" s="10">
        <f t="shared" si="45"/>
        <v>0</v>
      </c>
      <c r="O181" s="8" t="str">
        <f>IFERROR(N181/N444, "NA")</f>
        <v>NA</v>
      </c>
      <c r="P181" s="9"/>
      <c r="Q181" s="7">
        <v>0</v>
      </c>
      <c r="R181" s="8" t="str">
        <f>IFERROR(Q181/Q444, "NA")</f>
        <v>NA</v>
      </c>
      <c r="S181" s="9"/>
      <c r="T181" s="7">
        <v>0</v>
      </c>
      <c r="U181" s="8" t="str">
        <f>IFERROR(T181/T444, "NA")</f>
        <v>NA</v>
      </c>
      <c r="V181" s="9"/>
      <c r="W181" s="10">
        <f t="shared" si="46"/>
        <v>0</v>
      </c>
      <c r="X181" s="8" t="str">
        <f>IFERROR(W181/W444, "NA")</f>
        <v>NA</v>
      </c>
      <c r="Y181" s="9"/>
      <c r="Z181" s="7">
        <v>0</v>
      </c>
      <c r="AA181" s="8" t="str">
        <f>IFERROR(Z181/Z444, "NA")</f>
        <v>NA</v>
      </c>
      <c r="AB181" s="9"/>
      <c r="AC181" s="10">
        <f t="shared" si="47"/>
        <v>0</v>
      </c>
      <c r="AD181" s="8" t="str">
        <f>IFERROR(AC181/AC444, "NA")</f>
        <v>NA</v>
      </c>
    </row>
    <row r="182" spans="1:30" ht="16.5" customHeight="1" x14ac:dyDescent="0.45">
      <c r="A182" s="13" t="s">
        <v>167</v>
      </c>
      <c r="B182" s="14">
        <f>IFERROR(B177+B178+B179+B180+B181, "NA")</f>
        <v>0</v>
      </c>
      <c r="C182" s="15" t="str">
        <f>IFERROR(B182/B444, "NA")</f>
        <v>NA</v>
      </c>
      <c r="D182" s="2"/>
      <c r="E182" s="14">
        <f>IFERROR(E177+E178+E179+E180+E181, "NA")</f>
        <v>0</v>
      </c>
      <c r="F182" s="15" t="str">
        <f>IFERROR(E182/E444, "NA")</f>
        <v>NA</v>
      </c>
      <c r="G182" s="2"/>
      <c r="H182" s="14">
        <f t="shared" si="44"/>
        <v>0</v>
      </c>
      <c r="I182" s="15" t="str">
        <f>IFERROR(H182/H444, "NA")</f>
        <v>NA</v>
      </c>
      <c r="J182" s="2"/>
      <c r="K182" s="14">
        <f>IFERROR(K177+K178+K179+K180+K181, "NA")</f>
        <v>0</v>
      </c>
      <c r="L182" s="15" t="str">
        <f>IFERROR(K182/K444, "NA")</f>
        <v>NA</v>
      </c>
      <c r="M182" s="2"/>
      <c r="N182" s="14">
        <f t="shared" si="45"/>
        <v>0</v>
      </c>
      <c r="O182" s="15" t="str">
        <f>IFERROR(N182/N444, "NA")</f>
        <v>NA</v>
      </c>
      <c r="P182" s="2"/>
      <c r="Q182" s="14">
        <f>IFERROR(Q177+Q178+Q179+Q180+Q181, "NA")</f>
        <v>0</v>
      </c>
      <c r="R182" s="15" t="str">
        <f>IFERROR(Q182/Q444, "NA")</f>
        <v>NA</v>
      </c>
      <c r="S182" s="2"/>
      <c r="T182" s="14">
        <f>IFERROR(T177+T178+T179+T180+T181, "NA")</f>
        <v>0</v>
      </c>
      <c r="U182" s="15" t="str">
        <f>IFERROR(T182/T444, "NA")</f>
        <v>NA</v>
      </c>
      <c r="V182" s="2"/>
      <c r="W182" s="14">
        <f t="shared" si="46"/>
        <v>0</v>
      </c>
      <c r="X182" s="15" t="str">
        <f>IFERROR(W182/W444, "NA")</f>
        <v>NA</v>
      </c>
      <c r="Y182" s="2"/>
      <c r="Z182" s="14">
        <f>IFERROR(Z177+Z178+Z179+Z180+Z181, "NA")</f>
        <v>0</v>
      </c>
      <c r="AA182" s="15" t="str">
        <f>IFERROR(Z182/Z444, "NA")</f>
        <v>NA</v>
      </c>
      <c r="AB182" s="2"/>
      <c r="AC182" s="14">
        <f t="shared" si="47"/>
        <v>0</v>
      </c>
      <c r="AD182" s="15" t="str">
        <f>IFERROR(AC182/AC444, "NA")</f>
        <v>NA</v>
      </c>
    </row>
    <row r="183" spans="1:30" ht="16.5" hidden="1" customHeight="1" x14ac:dyDescent="0.45">
      <c r="A183" s="6" t="s">
        <v>168</v>
      </c>
      <c r="B183" s="7">
        <v>0</v>
      </c>
      <c r="C183" s="8" t="str">
        <f>IFERROR(B183/B444, "NA")</f>
        <v>NA</v>
      </c>
      <c r="D183" s="9"/>
      <c r="E183" s="7">
        <v>0</v>
      </c>
      <c r="F183" s="8" t="str">
        <f>IFERROR(E183/E444, "NA")</f>
        <v>NA</v>
      </c>
      <c r="G183" s="9"/>
      <c r="H183" s="10">
        <f t="shared" si="44"/>
        <v>0</v>
      </c>
      <c r="I183" s="8" t="str">
        <f>IFERROR(H183/H444, "NA")</f>
        <v>NA</v>
      </c>
      <c r="J183" s="9"/>
      <c r="K183" s="7">
        <v>0</v>
      </c>
      <c r="L183" s="8" t="str">
        <f>IFERROR(K183/K444, "NA")</f>
        <v>NA</v>
      </c>
      <c r="M183" s="9"/>
      <c r="N183" s="10">
        <f t="shared" si="45"/>
        <v>0</v>
      </c>
      <c r="O183" s="8" t="str">
        <f>IFERROR(N183/N444, "NA")</f>
        <v>NA</v>
      </c>
      <c r="P183" s="9"/>
      <c r="Q183" s="7">
        <v>0</v>
      </c>
      <c r="R183" s="8" t="str">
        <f>IFERROR(Q183/Q444, "NA")</f>
        <v>NA</v>
      </c>
      <c r="S183" s="9"/>
      <c r="T183" s="7">
        <v>0</v>
      </c>
      <c r="U183" s="8" t="str">
        <f>IFERROR(T183/T444, "NA")</f>
        <v>NA</v>
      </c>
      <c r="V183" s="9"/>
      <c r="W183" s="10">
        <f t="shared" si="46"/>
        <v>0</v>
      </c>
      <c r="X183" s="8" t="str">
        <f>IFERROR(W183/W444, "NA")</f>
        <v>NA</v>
      </c>
      <c r="Y183" s="9"/>
      <c r="Z183" s="7">
        <v>0</v>
      </c>
      <c r="AA183" s="8" t="str">
        <f>IFERROR(Z183/Z444, "NA")</f>
        <v>NA</v>
      </c>
      <c r="AB183" s="9"/>
      <c r="AC183" s="10">
        <f t="shared" si="47"/>
        <v>0</v>
      </c>
      <c r="AD183" s="8" t="str">
        <f>IFERROR(AC183/AC444, "NA")</f>
        <v>NA</v>
      </c>
    </row>
    <row r="184" spans="1:30" ht="16.5" hidden="1" customHeight="1" x14ac:dyDescent="0.45">
      <c r="A184" s="6" t="s">
        <v>169</v>
      </c>
      <c r="B184" s="7">
        <v>0</v>
      </c>
      <c r="C184" s="8" t="str">
        <f>IFERROR(B184/B444, "NA")</f>
        <v>NA</v>
      </c>
      <c r="D184" s="9"/>
      <c r="E184" s="7">
        <v>0</v>
      </c>
      <c r="F184" s="8" t="str">
        <f>IFERROR(E184/E444, "NA")</f>
        <v>NA</v>
      </c>
      <c r="G184" s="9"/>
      <c r="H184" s="10">
        <f t="shared" si="44"/>
        <v>0</v>
      </c>
      <c r="I184" s="8" t="str">
        <f>IFERROR(H184/H444, "NA")</f>
        <v>NA</v>
      </c>
      <c r="J184" s="9"/>
      <c r="K184" s="7">
        <v>0</v>
      </c>
      <c r="L184" s="8" t="str">
        <f>IFERROR(K184/K444, "NA")</f>
        <v>NA</v>
      </c>
      <c r="M184" s="9"/>
      <c r="N184" s="10">
        <f t="shared" si="45"/>
        <v>0</v>
      </c>
      <c r="O184" s="8" t="str">
        <f>IFERROR(N184/N444, "NA")</f>
        <v>NA</v>
      </c>
      <c r="P184" s="9"/>
      <c r="Q184" s="7">
        <v>0</v>
      </c>
      <c r="R184" s="8" t="str">
        <f>IFERROR(Q184/Q444, "NA")</f>
        <v>NA</v>
      </c>
      <c r="S184" s="9"/>
      <c r="T184" s="7">
        <v>0</v>
      </c>
      <c r="U184" s="8" t="str">
        <f>IFERROR(T184/T444, "NA")</f>
        <v>NA</v>
      </c>
      <c r="V184" s="9"/>
      <c r="W184" s="10">
        <f t="shared" si="46"/>
        <v>0</v>
      </c>
      <c r="X184" s="8" t="str">
        <f>IFERROR(W184/W444, "NA")</f>
        <v>NA</v>
      </c>
      <c r="Y184" s="9"/>
      <c r="Z184" s="7">
        <v>0</v>
      </c>
      <c r="AA184" s="8" t="str">
        <f>IFERROR(Z184/Z444, "NA")</f>
        <v>NA</v>
      </c>
      <c r="AB184" s="9"/>
      <c r="AC184" s="10">
        <f t="shared" si="47"/>
        <v>0</v>
      </c>
      <c r="AD184" s="8" t="str">
        <f>IFERROR(AC184/AC444, "NA")</f>
        <v>NA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hidden="1" customHeight="1" x14ac:dyDescent="0.45">
      <c r="A186" s="12" t="s">
        <v>170</v>
      </c>
      <c r="B186" s="7">
        <v>0</v>
      </c>
      <c r="C186" s="8" t="str">
        <f>IFERROR(B186/B444, "NA")</f>
        <v>NA</v>
      </c>
      <c r="D186" s="9"/>
      <c r="E186" s="7">
        <v>0</v>
      </c>
      <c r="F186" s="8" t="str">
        <f>IFERROR(E186/E444, "NA")</f>
        <v>NA</v>
      </c>
      <c r="G186" s="9"/>
      <c r="H186" s="10">
        <f t="shared" ref="H186:H197" si="48">IFERROR(-(B186-E186), "NA")</f>
        <v>0</v>
      </c>
      <c r="I186" s="8" t="str">
        <f>IFERROR(H186/H444, "NA")</f>
        <v>NA</v>
      </c>
      <c r="J186" s="9"/>
      <c r="K186" s="7">
        <v>0</v>
      </c>
      <c r="L186" s="8" t="str">
        <f>IFERROR(K186/K444, "NA")</f>
        <v>NA</v>
      </c>
      <c r="M186" s="9"/>
      <c r="N186" s="10">
        <f t="shared" ref="N186:N197" si="49">IFERROR(-(B186-K186), "NA")</f>
        <v>0</v>
      </c>
      <c r="O186" s="8" t="str">
        <f>IFERROR(N186/N444, "NA")</f>
        <v>NA</v>
      </c>
      <c r="P186" s="9"/>
      <c r="Q186" s="7">
        <v>0</v>
      </c>
      <c r="R186" s="8" t="str">
        <f>IFERROR(Q186/Q444, "NA")</f>
        <v>NA</v>
      </c>
      <c r="S186" s="9"/>
      <c r="T186" s="7">
        <v>0</v>
      </c>
      <c r="U186" s="8" t="str">
        <f>IFERROR(T186/T444, "NA")</f>
        <v>NA</v>
      </c>
      <c r="V186" s="9"/>
      <c r="W186" s="10">
        <f t="shared" ref="W186:W197" si="50">IFERROR(-(Q186-T186), "NA")</f>
        <v>0</v>
      </c>
      <c r="X186" s="8" t="str">
        <f>IFERROR(W186/W444, "NA")</f>
        <v>NA</v>
      </c>
      <c r="Y186" s="9"/>
      <c r="Z186" s="7">
        <v>0</v>
      </c>
      <c r="AA186" s="8" t="str">
        <f>IFERROR(Z186/Z444, "NA")</f>
        <v>NA</v>
      </c>
      <c r="AB186" s="9"/>
      <c r="AC186" s="10">
        <f t="shared" ref="AC186:AC197" si="51">IFERROR(-(Q186-Z186), "NA")</f>
        <v>0</v>
      </c>
      <c r="AD186" s="8" t="str">
        <f>IFERROR(AC186/AC444, "NA")</f>
        <v>NA</v>
      </c>
    </row>
    <row r="187" spans="1:30" ht="16.5" hidden="1" customHeight="1" x14ac:dyDescent="0.45">
      <c r="A187" s="12" t="s">
        <v>171</v>
      </c>
      <c r="B187" s="7">
        <v>0</v>
      </c>
      <c r="C187" s="8" t="str">
        <f>IFERROR(B187/B444, "NA")</f>
        <v>NA</v>
      </c>
      <c r="D187" s="9"/>
      <c r="E187" s="7">
        <v>0</v>
      </c>
      <c r="F187" s="8" t="str">
        <f>IFERROR(E187/E444, "NA")</f>
        <v>NA</v>
      </c>
      <c r="G187" s="9"/>
      <c r="H187" s="10">
        <f t="shared" si="48"/>
        <v>0</v>
      </c>
      <c r="I187" s="8" t="str">
        <f>IFERROR(H187/H444, "NA")</f>
        <v>NA</v>
      </c>
      <c r="J187" s="9"/>
      <c r="K187" s="7">
        <v>0</v>
      </c>
      <c r="L187" s="8" t="str">
        <f>IFERROR(K187/K444, "NA")</f>
        <v>NA</v>
      </c>
      <c r="M187" s="9"/>
      <c r="N187" s="10">
        <f t="shared" si="49"/>
        <v>0</v>
      </c>
      <c r="O187" s="8" t="str">
        <f>IFERROR(N187/N444, "NA")</f>
        <v>NA</v>
      </c>
      <c r="P187" s="9"/>
      <c r="Q187" s="7">
        <v>0</v>
      </c>
      <c r="R187" s="8" t="str">
        <f>IFERROR(Q187/Q444, "NA")</f>
        <v>NA</v>
      </c>
      <c r="S187" s="9"/>
      <c r="T187" s="7">
        <v>0</v>
      </c>
      <c r="U187" s="8" t="str">
        <f>IFERROR(T187/T444, "NA")</f>
        <v>NA</v>
      </c>
      <c r="V187" s="9"/>
      <c r="W187" s="10">
        <f t="shared" si="50"/>
        <v>0</v>
      </c>
      <c r="X187" s="8" t="str">
        <f>IFERROR(W187/W444, "NA")</f>
        <v>NA</v>
      </c>
      <c r="Y187" s="9"/>
      <c r="Z187" s="7">
        <v>0</v>
      </c>
      <c r="AA187" s="8" t="str">
        <f>IFERROR(Z187/Z444, "NA")</f>
        <v>NA</v>
      </c>
      <c r="AB187" s="9"/>
      <c r="AC187" s="10">
        <f t="shared" si="51"/>
        <v>0</v>
      </c>
      <c r="AD187" s="8" t="str">
        <f>IFERROR(AC187/AC444, "NA")</f>
        <v>NA</v>
      </c>
    </row>
    <row r="188" spans="1:30" ht="16.5" hidden="1" customHeight="1" x14ac:dyDescent="0.45">
      <c r="A188" s="12" t="s">
        <v>172</v>
      </c>
      <c r="B188" s="7">
        <v>0</v>
      </c>
      <c r="C188" s="8" t="str">
        <f>IFERROR(B188/B444, "NA")</f>
        <v>NA</v>
      </c>
      <c r="D188" s="9"/>
      <c r="E188" s="7">
        <v>0</v>
      </c>
      <c r="F188" s="8" t="str">
        <f>IFERROR(E188/E444, "NA")</f>
        <v>NA</v>
      </c>
      <c r="G188" s="9"/>
      <c r="H188" s="10">
        <f t="shared" si="48"/>
        <v>0</v>
      </c>
      <c r="I188" s="8" t="str">
        <f>IFERROR(H188/H444, "NA")</f>
        <v>NA</v>
      </c>
      <c r="J188" s="9"/>
      <c r="K188" s="7">
        <v>0</v>
      </c>
      <c r="L188" s="8" t="str">
        <f>IFERROR(K188/K444, "NA")</f>
        <v>NA</v>
      </c>
      <c r="M188" s="9"/>
      <c r="N188" s="10">
        <f t="shared" si="49"/>
        <v>0</v>
      </c>
      <c r="O188" s="8" t="str">
        <f>IFERROR(N188/N444, "NA")</f>
        <v>NA</v>
      </c>
      <c r="P188" s="9"/>
      <c r="Q188" s="7">
        <v>0</v>
      </c>
      <c r="R188" s="8" t="str">
        <f>IFERROR(Q188/Q444, "NA")</f>
        <v>NA</v>
      </c>
      <c r="S188" s="9"/>
      <c r="T188" s="7">
        <v>0</v>
      </c>
      <c r="U188" s="8" t="str">
        <f>IFERROR(T188/T444, "NA")</f>
        <v>NA</v>
      </c>
      <c r="V188" s="9"/>
      <c r="W188" s="10">
        <f t="shared" si="50"/>
        <v>0</v>
      </c>
      <c r="X188" s="8" t="str">
        <f>IFERROR(W188/W444, "NA")</f>
        <v>NA</v>
      </c>
      <c r="Y188" s="9"/>
      <c r="Z188" s="7">
        <v>0</v>
      </c>
      <c r="AA188" s="8" t="str">
        <f>IFERROR(Z188/Z444, "NA")</f>
        <v>NA</v>
      </c>
      <c r="AB188" s="9"/>
      <c r="AC188" s="10">
        <f t="shared" si="51"/>
        <v>0</v>
      </c>
      <c r="AD188" s="8" t="str">
        <f>IFERROR(AC188/AC444, "NA")</f>
        <v>NA</v>
      </c>
    </row>
    <row r="189" spans="1:30" ht="16.5" hidden="1" customHeight="1" x14ac:dyDescent="0.45">
      <c r="A189" s="12" t="s">
        <v>173</v>
      </c>
      <c r="B189" s="7">
        <v>0</v>
      </c>
      <c r="C189" s="8" t="str">
        <f>IFERROR(B189/B444, "NA")</f>
        <v>NA</v>
      </c>
      <c r="D189" s="9"/>
      <c r="E189" s="7">
        <v>0</v>
      </c>
      <c r="F189" s="8" t="str">
        <f>IFERROR(E189/E444, "NA")</f>
        <v>NA</v>
      </c>
      <c r="G189" s="9"/>
      <c r="H189" s="10">
        <f t="shared" si="48"/>
        <v>0</v>
      </c>
      <c r="I189" s="8" t="str">
        <f>IFERROR(H189/H444, "NA")</f>
        <v>NA</v>
      </c>
      <c r="J189" s="9"/>
      <c r="K189" s="7">
        <v>0</v>
      </c>
      <c r="L189" s="8" t="str">
        <f>IFERROR(K189/K444, "NA")</f>
        <v>NA</v>
      </c>
      <c r="M189" s="9"/>
      <c r="N189" s="10">
        <f t="shared" si="49"/>
        <v>0</v>
      </c>
      <c r="O189" s="8" t="str">
        <f>IFERROR(N189/N444, "NA")</f>
        <v>NA</v>
      </c>
      <c r="P189" s="9"/>
      <c r="Q189" s="7">
        <v>0</v>
      </c>
      <c r="R189" s="8" t="str">
        <f>IFERROR(Q189/Q444, "NA")</f>
        <v>NA</v>
      </c>
      <c r="S189" s="9"/>
      <c r="T189" s="7">
        <v>0</v>
      </c>
      <c r="U189" s="8" t="str">
        <f>IFERROR(T189/T444, "NA")</f>
        <v>NA</v>
      </c>
      <c r="V189" s="9"/>
      <c r="W189" s="10">
        <f t="shared" si="50"/>
        <v>0</v>
      </c>
      <c r="X189" s="8" t="str">
        <f>IFERROR(W189/W444, "NA")</f>
        <v>NA</v>
      </c>
      <c r="Y189" s="9"/>
      <c r="Z189" s="7">
        <v>0</v>
      </c>
      <c r="AA189" s="8" t="str">
        <f>IFERROR(Z189/Z444, "NA")</f>
        <v>NA</v>
      </c>
      <c r="AB189" s="9"/>
      <c r="AC189" s="10">
        <f t="shared" si="51"/>
        <v>0</v>
      </c>
      <c r="AD189" s="8" t="str">
        <f>IFERROR(AC189/AC444, "NA")</f>
        <v>NA</v>
      </c>
    </row>
    <row r="190" spans="1:30" ht="16.5" hidden="1" customHeight="1" x14ac:dyDescent="0.45">
      <c r="A190" s="12" t="s">
        <v>174</v>
      </c>
      <c r="B190" s="7">
        <v>0</v>
      </c>
      <c r="C190" s="8" t="str">
        <f>IFERROR(B190/B444, "NA")</f>
        <v>NA</v>
      </c>
      <c r="D190" s="9"/>
      <c r="E190" s="7">
        <v>0</v>
      </c>
      <c r="F190" s="8" t="str">
        <f>IFERROR(E190/E444, "NA")</f>
        <v>NA</v>
      </c>
      <c r="G190" s="9"/>
      <c r="H190" s="10">
        <f t="shared" si="48"/>
        <v>0</v>
      </c>
      <c r="I190" s="8" t="str">
        <f>IFERROR(H190/H444, "NA")</f>
        <v>NA</v>
      </c>
      <c r="J190" s="9"/>
      <c r="K190" s="7">
        <v>0</v>
      </c>
      <c r="L190" s="8" t="str">
        <f>IFERROR(K190/K444, "NA")</f>
        <v>NA</v>
      </c>
      <c r="M190" s="9"/>
      <c r="N190" s="10">
        <f t="shared" si="49"/>
        <v>0</v>
      </c>
      <c r="O190" s="8" t="str">
        <f>IFERROR(N190/N444, "NA")</f>
        <v>NA</v>
      </c>
      <c r="P190" s="9"/>
      <c r="Q190" s="7">
        <v>0</v>
      </c>
      <c r="R190" s="8" t="str">
        <f>IFERROR(Q190/Q444, "NA")</f>
        <v>NA</v>
      </c>
      <c r="S190" s="9"/>
      <c r="T190" s="7">
        <v>0</v>
      </c>
      <c r="U190" s="8" t="str">
        <f>IFERROR(T190/T444, "NA")</f>
        <v>NA</v>
      </c>
      <c r="V190" s="9"/>
      <c r="W190" s="10">
        <f t="shared" si="50"/>
        <v>0</v>
      </c>
      <c r="X190" s="8" t="str">
        <f>IFERROR(W190/W444, "NA")</f>
        <v>NA</v>
      </c>
      <c r="Y190" s="9"/>
      <c r="Z190" s="7">
        <v>0</v>
      </c>
      <c r="AA190" s="8" t="str">
        <f>IFERROR(Z190/Z444, "NA")</f>
        <v>NA</v>
      </c>
      <c r="AB190" s="9"/>
      <c r="AC190" s="10">
        <f t="shared" si="51"/>
        <v>0</v>
      </c>
      <c r="AD190" s="8" t="str">
        <f>IFERROR(AC190/AC444, "NA")</f>
        <v>NA</v>
      </c>
    </row>
    <row r="191" spans="1:30" ht="16.5" hidden="1" customHeight="1" x14ac:dyDescent="0.45">
      <c r="A191" s="12" t="s">
        <v>175</v>
      </c>
      <c r="B191" s="7">
        <v>0</v>
      </c>
      <c r="C191" s="8" t="str">
        <f>IFERROR(B191/B444, "NA")</f>
        <v>NA</v>
      </c>
      <c r="D191" s="9"/>
      <c r="E191" s="7">
        <v>0</v>
      </c>
      <c r="F191" s="8" t="str">
        <f>IFERROR(E191/E444, "NA")</f>
        <v>NA</v>
      </c>
      <c r="G191" s="9"/>
      <c r="H191" s="10">
        <f t="shared" si="48"/>
        <v>0</v>
      </c>
      <c r="I191" s="8" t="str">
        <f>IFERROR(H191/H444, "NA")</f>
        <v>NA</v>
      </c>
      <c r="J191" s="9"/>
      <c r="K191" s="7">
        <v>0</v>
      </c>
      <c r="L191" s="8" t="str">
        <f>IFERROR(K191/K444, "NA")</f>
        <v>NA</v>
      </c>
      <c r="M191" s="9"/>
      <c r="N191" s="10">
        <f t="shared" si="49"/>
        <v>0</v>
      </c>
      <c r="O191" s="8" t="str">
        <f>IFERROR(N191/N444, "NA")</f>
        <v>NA</v>
      </c>
      <c r="P191" s="9"/>
      <c r="Q191" s="7">
        <v>0</v>
      </c>
      <c r="R191" s="8" t="str">
        <f>IFERROR(Q191/Q444, "NA")</f>
        <v>NA</v>
      </c>
      <c r="S191" s="9"/>
      <c r="T191" s="7">
        <v>0</v>
      </c>
      <c r="U191" s="8" t="str">
        <f>IFERROR(T191/T444, "NA")</f>
        <v>NA</v>
      </c>
      <c r="V191" s="9"/>
      <c r="W191" s="10">
        <f t="shared" si="50"/>
        <v>0</v>
      </c>
      <c r="X191" s="8" t="str">
        <f>IFERROR(W191/W444, "NA")</f>
        <v>NA</v>
      </c>
      <c r="Y191" s="9"/>
      <c r="Z191" s="7">
        <v>0</v>
      </c>
      <c r="AA191" s="8" t="str">
        <f>IFERROR(Z191/Z444, "NA")</f>
        <v>NA</v>
      </c>
      <c r="AB191" s="9"/>
      <c r="AC191" s="10">
        <f t="shared" si="51"/>
        <v>0</v>
      </c>
      <c r="AD191" s="8" t="str">
        <f>IFERROR(AC191/AC444, "NA")</f>
        <v>NA</v>
      </c>
    </row>
    <row r="192" spans="1:30" ht="16.5" hidden="1" customHeight="1" x14ac:dyDescent="0.45">
      <c r="A192" s="12" t="s">
        <v>176</v>
      </c>
      <c r="B192" s="7">
        <v>0</v>
      </c>
      <c r="C192" s="8" t="str">
        <f>IFERROR(B192/B444, "NA")</f>
        <v>NA</v>
      </c>
      <c r="D192" s="9"/>
      <c r="E192" s="7">
        <v>0</v>
      </c>
      <c r="F192" s="8" t="str">
        <f>IFERROR(E192/E444, "NA")</f>
        <v>NA</v>
      </c>
      <c r="G192" s="9"/>
      <c r="H192" s="10">
        <f t="shared" si="48"/>
        <v>0</v>
      </c>
      <c r="I192" s="8" t="str">
        <f>IFERROR(H192/H444, "NA")</f>
        <v>NA</v>
      </c>
      <c r="J192" s="9"/>
      <c r="K192" s="7">
        <v>0</v>
      </c>
      <c r="L192" s="8" t="str">
        <f>IFERROR(K192/K444, "NA")</f>
        <v>NA</v>
      </c>
      <c r="M192" s="9"/>
      <c r="N192" s="10">
        <f t="shared" si="49"/>
        <v>0</v>
      </c>
      <c r="O192" s="8" t="str">
        <f>IFERROR(N192/N444, "NA")</f>
        <v>NA</v>
      </c>
      <c r="P192" s="9"/>
      <c r="Q192" s="7">
        <v>0</v>
      </c>
      <c r="R192" s="8" t="str">
        <f>IFERROR(Q192/Q444, "NA")</f>
        <v>NA</v>
      </c>
      <c r="S192" s="9"/>
      <c r="T192" s="7">
        <v>0</v>
      </c>
      <c r="U192" s="8" t="str">
        <f>IFERROR(T192/T444, "NA")</f>
        <v>NA</v>
      </c>
      <c r="V192" s="9"/>
      <c r="W192" s="10">
        <f t="shared" si="50"/>
        <v>0</v>
      </c>
      <c r="X192" s="8" t="str">
        <f>IFERROR(W192/W444, "NA")</f>
        <v>NA</v>
      </c>
      <c r="Y192" s="9"/>
      <c r="Z192" s="7">
        <v>0</v>
      </c>
      <c r="AA192" s="8" t="str">
        <f>IFERROR(Z192/Z444, "NA")</f>
        <v>NA</v>
      </c>
      <c r="AB192" s="9"/>
      <c r="AC192" s="10">
        <f t="shared" si="51"/>
        <v>0</v>
      </c>
      <c r="AD192" s="8" t="str">
        <f>IFERROR(AC192/AC444, "NA")</f>
        <v>NA</v>
      </c>
    </row>
    <row r="193" spans="1:30" ht="16.5" customHeight="1" x14ac:dyDescent="0.45">
      <c r="A193" s="13" t="s">
        <v>177</v>
      </c>
      <c r="B193" s="14">
        <f>IFERROR(B186+B187+B188+B189+B190+B191+B192, "NA")</f>
        <v>0</v>
      </c>
      <c r="C193" s="15" t="str">
        <f>IFERROR(B193/B444, "NA")</f>
        <v>NA</v>
      </c>
      <c r="D193" s="2"/>
      <c r="E193" s="14">
        <f>IFERROR(E186+E187+E188+E189+E190+E191+E192, "NA")</f>
        <v>0</v>
      </c>
      <c r="F193" s="15" t="str">
        <f>IFERROR(E193/E444, "NA")</f>
        <v>NA</v>
      </c>
      <c r="G193" s="2"/>
      <c r="H193" s="14">
        <f t="shared" si="48"/>
        <v>0</v>
      </c>
      <c r="I193" s="15" t="str">
        <f>IFERROR(H193/H444, "NA")</f>
        <v>NA</v>
      </c>
      <c r="J193" s="2"/>
      <c r="K193" s="14">
        <f>IFERROR(K186+K187+K188+K189+K190+K191+K192, "NA")</f>
        <v>0</v>
      </c>
      <c r="L193" s="15" t="str">
        <f>IFERROR(K193/K444, "NA")</f>
        <v>NA</v>
      </c>
      <c r="M193" s="2"/>
      <c r="N193" s="14">
        <f t="shared" si="49"/>
        <v>0</v>
      </c>
      <c r="O193" s="15" t="str">
        <f>IFERROR(N193/N444, "NA")</f>
        <v>NA</v>
      </c>
      <c r="P193" s="2"/>
      <c r="Q193" s="14">
        <f>IFERROR(Q186+Q187+Q188+Q189+Q190+Q191+Q192, "NA")</f>
        <v>0</v>
      </c>
      <c r="R193" s="15" t="str">
        <f>IFERROR(Q193/Q444, "NA")</f>
        <v>NA</v>
      </c>
      <c r="S193" s="2"/>
      <c r="T193" s="14">
        <f>IFERROR(T186+T187+T188+T189+T190+T191+T192, "NA")</f>
        <v>0</v>
      </c>
      <c r="U193" s="15" t="str">
        <f>IFERROR(T193/T444, "NA")</f>
        <v>NA</v>
      </c>
      <c r="V193" s="2"/>
      <c r="W193" s="14">
        <f t="shared" si="50"/>
        <v>0</v>
      </c>
      <c r="X193" s="15" t="str">
        <f>IFERROR(W193/W444, "NA")</f>
        <v>NA</v>
      </c>
      <c r="Y193" s="2"/>
      <c r="Z193" s="14">
        <f>IFERROR(Z186+Z187+Z188+Z189+Z190+Z191+Z192, "NA")</f>
        <v>0</v>
      </c>
      <c r="AA193" s="15" t="str">
        <f>IFERROR(Z193/Z444, "NA")</f>
        <v>NA</v>
      </c>
      <c r="AB193" s="2"/>
      <c r="AC193" s="14">
        <f t="shared" si="51"/>
        <v>0</v>
      </c>
      <c r="AD193" s="15" t="str">
        <f>IFERROR(AC193/AC444, "NA")</f>
        <v>NA</v>
      </c>
    </row>
    <row r="194" spans="1:30" ht="16.5" hidden="1" customHeight="1" x14ac:dyDescent="0.45">
      <c r="A194" s="6" t="s">
        <v>178</v>
      </c>
      <c r="B194" s="7">
        <v>0</v>
      </c>
      <c r="C194" s="8" t="str">
        <f>IFERROR(B194/B444, "NA")</f>
        <v>NA</v>
      </c>
      <c r="D194" s="9"/>
      <c r="E194" s="7">
        <v>0</v>
      </c>
      <c r="F194" s="8" t="str">
        <f>IFERROR(E194/E444, "NA")</f>
        <v>NA</v>
      </c>
      <c r="G194" s="9"/>
      <c r="H194" s="10">
        <f t="shared" si="48"/>
        <v>0</v>
      </c>
      <c r="I194" s="8" t="str">
        <f>IFERROR(H194/H444, "NA")</f>
        <v>NA</v>
      </c>
      <c r="J194" s="9"/>
      <c r="K194" s="7">
        <v>0</v>
      </c>
      <c r="L194" s="8" t="str">
        <f>IFERROR(K194/K444, "NA")</f>
        <v>NA</v>
      </c>
      <c r="M194" s="9"/>
      <c r="N194" s="10">
        <f t="shared" si="49"/>
        <v>0</v>
      </c>
      <c r="O194" s="8" t="str">
        <f>IFERROR(N194/N444, "NA")</f>
        <v>NA</v>
      </c>
      <c r="P194" s="9"/>
      <c r="Q194" s="7">
        <v>0</v>
      </c>
      <c r="R194" s="8" t="str">
        <f>IFERROR(Q194/Q444, "NA")</f>
        <v>NA</v>
      </c>
      <c r="S194" s="9"/>
      <c r="T194" s="7">
        <v>0</v>
      </c>
      <c r="U194" s="8" t="str">
        <f>IFERROR(T194/T444, "NA")</f>
        <v>NA</v>
      </c>
      <c r="V194" s="9"/>
      <c r="W194" s="10">
        <f t="shared" si="50"/>
        <v>0</v>
      </c>
      <c r="X194" s="8" t="str">
        <f>IFERROR(W194/W444, "NA")</f>
        <v>NA</v>
      </c>
      <c r="Y194" s="9"/>
      <c r="Z194" s="7">
        <v>0</v>
      </c>
      <c r="AA194" s="8" t="str">
        <f>IFERROR(Z194/Z444, "NA")</f>
        <v>NA</v>
      </c>
      <c r="AB194" s="9"/>
      <c r="AC194" s="10">
        <f t="shared" si="51"/>
        <v>0</v>
      </c>
      <c r="AD194" s="8" t="str">
        <f>IFERROR(AC194/AC444, "NA")</f>
        <v>NA</v>
      </c>
    </row>
    <row r="195" spans="1:30" ht="16.5" hidden="1" customHeight="1" x14ac:dyDescent="0.45">
      <c r="A195" s="6" t="s">
        <v>179</v>
      </c>
      <c r="B195" s="7">
        <v>0</v>
      </c>
      <c r="C195" s="8" t="str">
        <f>IFERROR(B195/B444, "NA")</f>
        <v>NA</v>
      </c>
      <c r="D195" s="9"/>
      <c r="E195" s="7">
        <v>0</v>
      </c>
      <c r="F195" s="8" t="str">
        <f>IFERROR(E195/E444, "NA")</f>
        <v>NA</v>
      </c>
      <c r="G195" s="9"/>
      <c r="H195" s="10">
        <f t="shared" si="48"/>
        <v>0</v>
      </c>
      <c r="I195" s="8" t="str">
        <f>IFERROR(H195/H444, "NA")</f>
        <v>NA</v>
      </c>
      <c r="J195" s="9"/>
      <c r="K195" s="7">
        <v>0</v>
      </c>
      <c r="L195" s="8" t="str">
        <f>IFERROR(K195/K444, "NA")</f>
        <v>NA</v>
      </c>
      <c r="M195" s="9"/>
      <c r="N195" s="10">
        <f t="shared" si="49"/>
        <v>0</v>
      </c>
      <c r="O195" s="8" t="str">
        <f>IFERROR(N195/N444, "NA")</f>
        <v>NA</v>
      </c>
      <c r="P195" s="9"/>
      <c r="Q195" s="7">
        <v>0</v>
      </c>
      <c r="R195" s="8" t="str">
        <f>IFERROR(Q195/Q444, "NA")</f>
        <v>NA</v>
      </c>
      <c r="S195" s="9"/>
      <c r="T195" s="7">
        <v>0</v>
      </c>
      <c r="U195" s="8" t="str">
        <f>IFERROR(T195/T444, "NA")</f>
        <v>NA</v>
      </c>
      <c r="V195" s="9"/>
      <c r="W195" s="10">
        <f t="shared" si="50"/>
        <v>0</v>
      </c>
      <c r="X195" s="8" t="str">
        <f>IFERROR(W195/W444, "NA")</f>
        <v>NA</v>
      </c>
      <c r="Y195" s="9"/>
      <c r="Z195" s="7">
        <v>0</v>
      </c>
      <c r="AA195" s="8" t="str">
        <f>IFERROR(Z195/Z444, "NA")</f>
        <v>NA</v>
      </c>
      <c r="AB195" s="9"/>
      <c r="AC195" s="10">
        <f t="shared" si="51"/>
        <v>0</v>
      </c>
      <c r="AD195" s="8" t="str">
        <f>IFERROR(AC195/AC444, "NA")</f>
        <v>NA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0</v>
      </c>
      <c r="C196" s="15" t="str">
        <f>IFERROR(B196/B444, "NA")</f>
        <v>NA</v>
      </c>
      <c r="D196" s="2"/>
      <c r="E196" s="14">
        <f>IFERROR(E175+E177+E178+E179+E180+E181+E183+E184+E186+E187+E188+E189+E190+E191+E192+E194+E195, "NA")</f>
        <v>0</v>
      </c>
      <c r="F196" s="15" t="str">
        <f>IFERROR(E196/E444, "NA")</f>
        <v>NA</v>
      </c>
      <c r="G196" s="2"/>
      <c r="H196" s="14">
        <f t="shared" si="48"/>
        <v>0</v>
      </c>
      <c r="I196" s="15" t="str">
        <f>IFERROR(H196/H444, "NA")</f>
        <v>NA</v>
      </c>
      <c r="J196" s="2"/>
      <c r="K196" s="14">
        <f>IFERROR(K175+K177+K178+K179+K180+K181+K183+K184+K186+K187+K188+K189+K190+K191+K192+K194+K195, "NA")</f>
        <v>0</v>
      </c>
      <c r="L196" s="15" t="str">
        <f>IFERROR(K196/K444, "NA")</f>
        <v>NA</v>
      </c>
      <c r="M196" s="2"/>
      <c r="N196" s="14">
        <f t="shared" si="49"/>
        <v>0</v>
      </c>
      <c r="O196" s="15" t="str">
        <f>IFERROR(N196/N444, "NA")</f>
        <v>NA</v>
      </c>
      <c r="P196" s="2"/>
      <c r="Q196" s="14">
        <f>IFERROR(Q175+Q177+Q178+Q179+Q180+Q181+Q183+Q184+Q186+Q187+Q188+Q189+Q190+Q191+Q192+Q194+Q195, "NA")</f>
        <v>0</v>
      </c>
      <c r="R196" s="15" t="str">
        <f>IFERROR(Q196/Q444, "NA")</f>
        <v>NA</v>
      </c>
      <c r="S196" s="2"/>
      <c r="T196" s="14">
        <f>IFERROR(T175+T177+T178+T179+T180+T181+T183+T184+T186+T187+T188+T189+T190+T191+T192+T194+T195, "NA")</f>
        <v>0</v>
      </c>
      <c r="U196" s="15" t="str">
        <f>IFERROR(T196/T444, "NA")</f>
        <v>NA</v>
      </c>
      <c r="V196" s="2"/>
      <c r="W196" s="14">
        <f t="shared" si="50"/>
        <v>0</v>
      </c>
      <c r="X196" s="15" t="str">
        <f>IFERROR(W196/W444, "NA")</f>
        <v>NA</v>
      </c>
      <c r="Y196" s="2"/>
      <c r="Z196" s="14">
        <f>IFERROR(Z175+Z177+Z178+Z179+Z180+Z181+Z183+Z184+Z186+Z187+Z188+Z189+Z190+Z191+Z192+Z194+Z195, "NA")</f>
        <v>0</v>
      </c>
      <c r="AA196" s="15" t="str">
        <f>IFERROR(Z196/Z444, "NA")</f>
        <v>NA</v>
      </c>
      <c r="AB196" s="2"/>
      <c r="AC196" s="14">
        <f t="shared" si="51"/>
        <v>0</v>
      </c>
      <c r="AD196" s="15" t="str">
        <f>IFERROR(AC196/AC444, "NA")</f>
        <v>NA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0</v>
      </c>
      <c r="C197" s="15" t="str">
        <f>IFERROR(B197/B444, "NA")</f>
        <v>NA</v>
      </c>
      <c r="D197" s="2"/>
      <c r="E197" s="14">
        <f>IFERROR(E175+E177+E178+E179+E180+E181+E183+E184+E186+E187+E188+E189+E190+E191+E192+E194+E195, "NA")</f>
        <v>0</v>
      </c>
      <c r="F197" s="15" t="str">
        <f>IFERROR(E197/E444, "NA")</f>
        <v>NA</v>
      </c>
      <c r="G197" s="2"/>
      <c r="H197" s="14">
        <f t="shared" si="48"/>
        <v>0</v>
      </c>
      <c r="I197" s="15" t="str">
        <f>IFERROR(H197/H444, "NA")</f>
        <v>NA</v>
      </c>
      <c r="J197" s="2"/>
      <c r="K197" s="14">
        <f>IFERROR(K175+K177+K178+K179+K180+K181+K183+K184+K186+K187+K188+K189+K190+K191+K192+K194+K195, "NA")</f>
        <v>0</v>
      </c>
      <c r="L197" s="15" t="str">
        <f>IFERROR(K197/K444, "NA")</f>
        <v>NA</v>
      </c>
      <c r="M197" s="2"/>
      <c r="N197" s="14">
        <f t="shared" si="49"/>
        <v>0</v>
      </c>
      <c r="O197" s="15" t="str">
        <f>IFERROR(N197/N444, "NA")</f>
        <v>NA</v>
      </c>
      <c r="P197" s="2"/>
      <c r="Q197" s="14">
        <f>IFERROR(Q175+Q177+Q178+Q179+Q180+Q181+Q183+Q184+Q186+Q187+Q188+Q189+Q190+Q191+Q192+Q194+Q195, "NA")</f>
        <v>0</v>
      </c>
      <c r="R197" s="15" t="str">
        <f>IFERROR(Q197/Q444, "NA")</f>
        <v>NA</v>
      </c>
      <c r="S197" s="2"/>
      <c r="T197" s="14">
        <f>IFERROR(T175+T177+T178+T179+T180+T181+T183+T184+T186+T187+T188+T189+T190+T191+T192+T194+T195, "NA")</f>
        <v>0</v>
      </c>
      <c r="U197" s="15" t="str">
        <f>IFERROR(T197/T444, "NA")</f>
        <v>NA</v>
      </c>
      <c r="V197" s="2"/>
      <c r="W197" s="14">
        <f t="shared" si="50"/>
        <v>0</v>
      </c>
      <c r="X197" s="15" t="str">
        <f>IFERROR(W197/W444, "NA")</f>
        <v>NA</v>
      </c>
      <c r="Y197" s="2"/>
      <c r="Z197" s="14">
        <f>IFERROR(Z175+Z177+Z178+Z179+Z180+Z181+Z183+Z184+Z186+Z187+Z188+Z189+Z190+Z191+Z192+Z194+Z195, "NA")</f>
        <v>0</v>
      </c>
      <c r="AA197" s="15" t="str">
        <f>IFERROR(Z197/Z444, "NA")</f>
        <v>NA</v>
      </c>
      <c r="AB197" s="2"/>
      <c r="AC197" s="14">
        <f t="shared" si="51"/>
        <v>0</v>
      </c>
      <c r="AD197" s="15" t="str">
        <f>IFERROR(AC197/AC444, "NA")</f>
        <v>NA</v>
      </c>
    </row>
    <row r="198" spans="1:30" ht="16.5" customHeight="1" x14ac:dyDescent="0.45">
      <c r="A198" s="22" t="s">
        <v>181</v>
      </c>
      <c r="B198" s="23">
        <f>IFERROR(B172-B197, "NA")</f>
        <v>0</v>
      </c>
      <c r="C198" s="24" t="str">
        <f>IFERROR(B198/B444, "NA")</f>
        <v>NA</v>
      </c>
      <c r="D198" s="25"/>
      <c r="E198" s="23">
        <f>IFERROR(E172-E197, "NA")</f>
        <v>0</v>
      </c>
      <c r="F198" s="24" t="str">
        <f>IFERROR(E198/E444, "NA")</f>
        <v>NA</v>
      </c>
      <c r="G198" s="25"/>
      <c r="H198" s="23">
        <f>IFERROR(B198-E198, "NA")</f>
        <v>0</v>
      </c>
      <c r="I198" s="24" t="str">
        <f>IFERROR(H198/H444, "NA")</f>
        <v>NA</v>
      </c>
      <c r="J198" s="25"/>
      <c r="K198" s="23">
        <f>IFERROR(K172-K197, "NA")</f>
        <v>0</v>
      </c>
      <c r="L198" s="24" t="str">
        <f>IFERROR(K198/K444, "NA")</f>
        <v>NA</v>
      </c>
      <c r="M198" s="25"/>
      <c r="N198" s="23">
        <f>IFERROR(B198-K198, "NA")</f>
        <v>0</v>
      </c>
      <c r="O198" s="24" t="str">
        <f>IFERROR(N198/N444, "NA")</f>
        <v>NA</v>
      </c>
      <c r="P198" s="25"/>
      <c r="Q198" s="23">
        <f>IFERROR(Q172-Q197, "NA")</f>
        <v>0</v>
      </c>
      <c r="R198" s="24" t="str">
        <f>IFERROR(Q198/Q444, "NA")</f>
        <v>NA</v>
      </c>
      <c r="S198" s="25"/>
      <c r="T198" s="23">
        <f>IFERROR(T172-T197, "NA")</f>
        <v>0</v>
      </c>
      <c r="U198" s="24" t="str">
        <f>IFERROR(T198/T444, "NA")</f>
        <v>NA</v>
      </c>
      <c r="V198" s="25"/>
      <c r="W198" s="23">
        <f>IFERROR(Q198-T198, "NA")</f>
        <v>0</v>
      </c>
      <c r="X198" s="24" t="str">
        <f>IFERROR(W198/W444, "NA")</f>
        <v>NA</v>
      </c>
      <c r="Y198" s="25"/>
      <c r="Z198" s="23">
        <f>IFERROR(Z172-Z197, "NA")</f>
        <v>0</v>
      </c>
      <c r="AA198" s="24" t="str">
        <f>IFERROR(Z198/Z444, "NA")</f>
        <v>NA</v>
      </c>
      <c r="AB198" s="25"/>
      <c r="AC198" s="23">
        <f>IFERROR(Q198-Z198, "NA")</f>
        <v>0</v>
      </c>
      <c r="AD198" s="24" t="str">
        <f>IFERROR(AC198/AC444, "NA")</f>
        <v>NA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hidden="1" customHeight="1" x14ac:dyDescent="0.45">
      <c r="A201" s="6" t="s">
        <v>183</v>
      </c>
      <c r="B201" s="7">
        <v>0</v>
      </c>
      <c r="C201" s="8" t="str">
        <f>IFERROR(B201/B444, "NA")</f>
        <v>NA</v>
      </c>
      <c r="D201" s="9"/>
      <c r="E201" s="7">
        <v>0</v>
      </c>
      <c r="F201" s="8" t="str">
        <f>IFERROR(E201/E444, "NA")</f>
        <v>NA</v>
      </c>
      <c r="G201" s="9"/>
      <c r="H201" s="10">
        <f t="shared" ref="H201:H209" si="52">IFERROR(-(B201-E201), "NA")</f>
        <v>0</v>
      </c>
      <c r="I201" s="8" t="str">
        <f>IFERROR(H201/H444, "NA")</f>
        <v>NA</v>
      </c>
      <c r="J201" s="9"/>
      <c r="K201" s="7">
        <v>0</v>
      </c>
      <c r="L201" s="8" t="str">
        <f>IFERROR(K201/K444, "NA")</f>
        <v>NA</v>
      </c>
      <c r="M201" s="9"/>
      <c r="N201" s="10">
        <f t="shared" ref="N201:N209" si="53">IFERROR(-(B201-K201), "NA")</f>
        <v>0</v>
      </c>
      <c r="O201" s="8" t="str">
        <f>IFERROR(N201/N444, "NA")</f>
        <v>NA</v>
      </c>
      <c r="P201" s="9"/>
      <c r="Q201" s="7">
        <v>0</v>
      </c>
      <c r="R201" s="8" t="str">
        <f>IFERROR(Q201/Q444, "NA")</f>
        <v>NA</v>
      </c>
      <c r="S201" s="9"/>
      <c r="T201" s="7">
        <v>0</v>
      </c>
      <c r="U201" s="8" t="str">
        <f>IFERROR(T201/T444, "NA")</f>
        <v>NA</v>
      </c>
      <c r="V201" s="9"/>
      <c r="W201" s="10">
        <f t="shared" ref="W201:W209" si="54">IFERROR(-(Q201-T201), "NA")</f>
        <v>0</v>
      </c>
      <c r="X201" s="8" t="str">
        <f>IFERROR(W201/W444, "NA")</f>
        <v>NA</v>
      </c>
      <c r="Y201" s="9"/>
      <c r="Z201" s="7">
        <v>0</v>
      </c>
      <c r="AA201" s="8" t="str">
        <f>IFERROR(Z201/Z444, "NA")</f>
        <v>NA</v>
      </c>
      <c r="AB201" s="9"/>
      <c r="AC201" s="10">
        <f t="shared" ref="AC201:AC209" si="55">IFERROR(-(Q201-Z201), "NA")</f>
        <v>0</v>
      </c>
      <c r="AD201" s="8" t="str">
        <f>IFERROR(AC201/AC444, "NA")</f>
        <v>NA</v>
      </c>
    </row>
    <row r="202" spans="1:30" ht="16.5" hidden="1" customHeight="1" x14ac:dyDescent="0.45">
      <c r="A202" s="6" t="s">
        <v>184</v>
      </c>
      <c r="B202" s="7">
        <v>0</v>
      </c>
      <c r="C202" s="8" t="str">
        <f>IFERROR(B202/B444, "NA")</f>
        <v>NA</v>
      </c>
      <c r="D202" s="9"/>
      <c r="E202" s="7">
        <v>0</v>
      </c>
      <c r="F202" s="8" t="str">
        <f>IFERROR(E202/E444, "NA")</f>
        <v>NA</v>
      </c>
      <c r="G202" s="9"/>
      <c r="H202" s="10">
        <f t="shared" si="52"/>
        <v>0</v>
      </c>
      <c r="I202" s="8" t="str">
        <f>IFERROR(H202/H444, "NA")</f>
        <v>NA</v>
      </c>
      <c r="J202" s="9"/>
      <c r="K202" s="7">
        <v>0</v>
      </c>
      <c r="L202" s="8" t="str">
        <f>IFERROR(K202/K444, "NA")</f>
        <v>NA</v>
      </c>
      <c r="M202" s="9"/>
      <c r="N202" s="10">
        <f t="shared" si="53"/>
        <v>0</v>
      </c>
      <c r="O202" s="8" t="str">
        <f>IFERROR(N202/N444, "NA")</f>
        <v>NA</v>
      </c>
      <c r="P202" s="9"/>
      <c r="Q202" s="7">
        <v>0</v>
      </c>
      <c r="R202" s="8" t="str">
        <f>IFERROR(Q202/Q444, "NA")</f>
        <v>NA</v>
      </c>
      <c r="S202" s="9"/>
      <c r="T202" s="7">
        <v>0</v>
      </c>
      <c r="U202" s="8" t="str">
        <f>IFERROR(T202/T444, "NA")</f>
        <v>NA</v>
      </c>
      <c r="V202" s="9"/>
      <c r="W202" s="10">
        <f t="shared" si="54"/>
        <v>0</v>
      </c>
      <c r="X202" s="8" t="str">
        <f>IFERROR(W202/W444, "NA")</f>
        <v>NA</v>
      </c>
      <c r="Y202" s="9"/>
      <c r="Z202" s="7">
        <v>0</v>
      </c>
      <c r="AA202" s="8" t="str">
        <f>IFERROR(Z202/Z444, "NA")</f>
        <v>NA</v>
      </c>
      <c r="AB202" s="9"/>
      <c r="AC202" s="10">
        <f t="shared" si="55"/>
        <v>0</v>
      </c>
      <c r="AD202" s="8" t="str">
        <f>IFERROR(AC202/AC444, "NA")</f>
        <v>NA</v>
      </c>
    </row>
    <row r="203" spans="1:30" ht="16.5" hidden="1" customHeight="1" x14ac:dyDescent="0.45">
      <c r="A203" s="6" t="s">
        <v>185</v>
      </c>
      <c r="B203" s="7">
        <v>0</v>
      </c>
      <c r="C203" s="8" t="str">
        <f>IFERROR(B203/B444, "NA")</f>
        <v>NA</v>
      </c>
      <c r="D203" s="9"/>
      <c r="E203" s="7">
        <v>0</v>
      </c>
      <c r="F203" s="8" t="str">
        <f>IFERROR(E203/E444, "NA")</f>
        <v>NA</v>
      </c>
      <c r="G203" s="9"/>
      <c r="H203" s="10">
        <f t="shared" si="52"/>
        <v>0</v>
      </c>
      <c r="I203" s="8" t="str">
        <f>IFERROR(H203/H444, "NA")</f>
        <v>NA</v>
      </c>
      <c r="J203" s="9"/>
      <c r="K203" s="7">
        <v>0</v>
      </c>
      <c r="L203" s="8" t="str">
        <f>IFERROR(K203/K444, "NA")</f>
        <v>NA</v>
      </c>
      <c r="M203" s="9"/>
      <c r="N203" s="10">
        <f t="shared" si="53"/>
        <v>0</v>
      </c>
      <c r="O203" s="8" t="str">
        <f>IFERROR(N203/N444, "NA")</f>
        <v>NA</v>
      </c>
      <c r="P203" s="9"/>
      <c r="Q203" s="7">
        <v>0</v>
      </c>
      <c r="R203" s="8" t="str">
        <f>IFERROR(Q203/Q444, "NA")</f>
        <v>NA</v>
      </c>
      <c r="S203" s="9"/>
      <c r="T203" s="7">
        <v>0</v>
      </c>
      <c r="U203" s="8" t="str">
        <f>IFERROR(T203/T444, "NA")</f>
        <v>NA</v>
      </c>
      <c r="V203" s="9"/>
      <c r="W203" s="10">
        <f t="shared" si="54"/>
        <v>0</v>
      </c>
      <c r="X203" s="8" t="str">
        <f>IFERROR(W203/W444, "NA")</f>
        <v>NA</v>
      </c>
      <c r="Y203" s="9"/>
      <c r="Z203" s="7">
        <v>0</v>
      </c>
      <c r="AA203" s="8" t="str">
        <f>IFERROR(Z203/Z444, "NA")</f>
        <v>NA</v>
      </c>
      <c r="AB203" s="9"/>
      <c r="AC203" s="10">
        <f t="shared" si="55"/>
        <v>0</v>
      </c>
      <c r="AD203" s="8" t="str">
        <f>IFERROR(AC203/AC444, "NA")</f>
        <v>NA</v>
      </c>
    </row>
    <row r="204" spans="1:30" ht="16.5" hidden="1" customHeight="1" x14ac:dyDescent="0.45">
      <c r="A204" s="6" t="s">
        <v>186</v>
      </c>
      <c r="B204" s="7">
        <v>0</v>
      </c>
      <c r="C204" s="8" t="str">
        <f>IFERROR(B204/B444, "NA")</f>
        <v>NA</v>
      </c>
      <c r="D204" s="9"/>
      <c r="E204" s="7">
        <v>0</v>
      </c>
      <c r="F204" s="8" t="str">
        <f>IFERROR(E204/E444, "NA")</f>
        <v>NA</v>
      </c>
      <c r="G204" s="9"/>
      <c r="H204" s="10">
        <f t="shared" si="52"/>
        <v>0</v>
      </c>
      <c r="I204" s="8" t="str">
        <f>IFERROR(H204/H444, "NA")</f>
        <v>NA</v>
      </c>
      <c r="J204" s="9"/>
      <c r="K204" s="7">
        <v>0</v>
      </c>
      <c r="L204" s="8" t="str">
        <f>IFERROR(K204/K444, "NA")</f>
        <v>NA</v>
      </c>
      <c r="M204" s="9"/>
      <c r="N204" s="10">
        <f t="shared" si="53"/>
        <v>0</v>
      </c>
      <c r="O204" s="8" t="str">
        <f>IFERROR(N204/N444, "NA")</f>
        <v>NA</v>
      </c>
      <c r="P204" s="9"/>
      <c r="Q204" s="7">
        <v>0</v>
      </c>
      <c r="R204" s="8" t="str">
        <f>IFERROR(Q204/Q444, "NA")</f>
        <v>NA</v>
      </c>
      <c r="S204" s="9"/>
      <c r="T204" s="7">
        <v>0</v>
      </c>
      <c r="U204" s="8" t="str">
        <f>IFERROR(T204/T444, "NA")</f>
        <v>NA</v>
      </c>
      <c r="V204" s="9"/>
      <c r="W204" s="10">
        <f t="shared" si="54"/>
        <v>0</v>
      </c>
      <c r="X204" s="8" t="str">
        <f>IFERROR(W204/W444, "NA")</f>
        <v>NA</v>
      </c>
      <c r="Y204" s="9"/>
      <c r="Z204" s="7">
        <v>0</v>
      </c>
      <c r="AA204" s="8" t="str">
        <f>IFERROR(Z204/Z444, "NA")</f>
        <v>NA</v>
      </c>
      <c r="AB204" s="9"/>
      <c r="AC204" s="10">
        <f t="shared" si="55"/>
        <v>0</v>
      </c>
      <c r="AD204" s="8" t="str">
        <f>IFERROR(AC204/AC444, "NA")</f>
        <v>NA</v>
      </c>
    </row>
    <row r="205" spans="1:30" ht="16.5" hidden="1" customHeight="1" x14ac:dyDescent="0.45">
      <c r="A205" s="6" t="s">
        <v>187</v>
      </c>
      <c r="B205" s="7">
        <v>0</v>
      </c>
      <c r="C205" s="8" t="str">
        <f>IFERROR(B205/B444, "NA")</f>
        <v>NA</v>
      </c>
      <c r="D205" s="9"/>
      <c r="E205" s="7">
        <v>0</v>
      </c>
      <c r="F205" s="8" t="str">
        <f>IFERROR(E205/E444, "NA")</f>
        <v>NA</v>
      </c>
      <c r="G205" s="9"/>
      <c r="H205" s="10">
        <f t="shared" si="52"/>
        <v>0</v>
      </c>
      <c r="I205" s="8" t="str">
        <f>IFERROR(H205/H444, "NA")</f>
        <v>NA</v>
      </c>
      <c r="J205" s="9"/>
      <c r="K205" s="7">
        <v>0</v>
      </c>
      <c r="L205" s="8" t="str">
        <f>IFERROR(K205/K444, "NA")</f>
        <v>NA</v>
      </c>
      <c r="M205" s="9"/>
      <c r="N205" s="10">
        <f t="shared" si="53"/>
        <v>0</v>
      </c>
      <c r="O205" s="8" t="str">
        <f>IFERROR(N205/N444, "NA")</f>
        <v>NA</v>
      </c>
      <c r="P205" s="9"/>
      <c r="Q205" s="7">
        <v>0</v>
      </c>
      <c r="R205" s="8" t="str">
        <f>IFERROR(Q205/Q444, "NA")</f>
        <v>NA</v>
      </c>
      <c r="S205" s="9"/>
      <c r="T205" s="7">
        <v>0</v>
      </c>
      <c r="U205" s="8" t="str">
        <f>IFERROR(T205/T444, "NA")</f>
        <v>NA</v>
      </c>
      <c r="V205" s="9"/>
      <c r="W205" s="10">
        <f t="shared" si="54"/>
        <v>0</v>
      </c>
      <c r="X205" s="8" t="str">
        <f>IFERROR(W205/W444, "NA")</f>
        <v>NA</v>
      </c>
      <c r="Y205" s="9"/>
      <c r="Z205" s="7">
        <v>0</v>
      </c>
      <c r="AA205" s="8" t="str">
        <f>IFERROR(Z205/Z444, "NA")</f>
        <v>NA</v>
      </c>
      <c r="AB205" s="9"/>
      <c r="AC205" s="10">
        <f t="shared" si="55"/>
        <v>0</v>
      </c>
      <c r="AD205" s="8" t="str">
        <f>IFERROR(AC205/AC444, "NA")</f>
        <v>NA</v>
      </c>
    </row>
    <row r="206" spans="1:30" ht="16.5" hidden="1" customHeight="1" x14ac:dyDescent="0.45">
      <c r="A206" s="6" t="s">
        <v>188</v>
      </c>
      <c r="B206" s="7">
        <v>0</v>
      </c>
      <c r="C206" s="8" t="str">
        <f>IFERROR(B206/B444, "NA")</f>
        <v>NA</v>
      </c>
      <c r="D206" s="9"/>
      <c r="E206" s="7">
        <v>0</v>
      </c>
      <c r="F206" s="8" t="str">
        <f>IFERROR(E206/E444, "NA")</f>
        <v>NA</v>
      </c>
      <c r="G206" s="9"/>
      <c r="H206" s="10">
        <f t="shared" si="52"/>
        <v>0</v>
      </c>
      <c r="I206" s="8" t="str">
        <f>IFERROR(H206/H444, "NA")</f>
        <v>NA</v>
      </c>
      <c r="J206" s="9"/>
      <c r="K206" s="7">
        <v>0</v>
      </c>
      <c r="L206" s="8" t="str">
        <f>IFERROR(K206/K444, "NA")</f>
        <v>NA</v>
      </c>
      <c r="M206" s="9"/>
      <c r="N206" s="10">
        <f t="shared" si="53"/>
        <v>0</v>
      </c>
      <c r="O206" s="8" t="str">
        <f>IFERROR(N206/N444, "NA")</f>
        <v>NA</v>
      </c>
      <c r="P206" s="9"/>
      <c r="Q206" s="7">
        <v>0</v>
      </c>
      <c r="R206" s="8" t="str">
        <f>IFERROR(Q206/Q444, "NA")</f>
        <v>NA</v>
      </c>
      <c r="S206" s="9"/>
      <c r="T206" s="7">
        <v>0</v>
      </c>
      <c r="U206" s="8" t="str">
        <f>IFERROR(T206/T444, "NA")</f>
        <v>NA</v>
      </c>
      <c r="V206" s="9"/>
      <c r="W206" s="10">
        <f t="shared" si="54"/>
        <v>0</v>
      </c>
      <c r="X206" s="8" t="str">
        <f>IFERROR(W206/W444, "NA")</f>
        <v>NA</v>
      </c>
      <c r="Y206" s="9"/>
      <c r="Z206" s="7">
        <v>0</v>
      </c>
      <c r="AA206" s="8" t="str">
        <f>IFERROR(Z206/Z444, "NA")</f>
        <v>NA</v>
      </c>
      <c r="AB206" s="9"/>
      <c r="AC206" s="10">
        <f t="shared" si="55"/>
        <v>0</v>
      </c>
      <c r="AD206" s="8" t="str">
        <f>IFERROR(AC206/AC444, "NA")</f>
        <v>NA</v>
      </c>
    </row>
    <row r="207" spans="1:30" ht="16.5" hidden="1" customHeight="1" x14ac:dyDescent="0.45">
      <c r="A207" s="6" t="s">
        <v>189</v>
      </c>
      <c r="B207" s="7">
        <v>0</v>
      </c>
      <c r="C207" s="8" t="str">
        <f>IFERROR(B207/B444, "NA")</f>
        <v>NA</v>
      </c>
      <c r="D207" s="9"/>
      <c r="E207" s="7">
        <v>0</v>
      </c>
      <c r="F207" s="8" t="str">
        <f>IFERROR(E207/E444, "NA")</f>
        <v>NA</v>
      </c>
      <c r="G207" s="9"/>
      <c r="H207" s="10">
        <f t="shared" si="52"/>
        <v>0</v>
      </c>
      <c r="I207" s="8" t="str">
        <f>IFERROR(H207/H444, "NA")</f>
        <v>NA</v>
      </c>
      <c r="J207" s="9"/>
      <c r="K207" s="7">
        <v>0</v>
      </c>
      <c r="L207" s="8" t="str">
        <f>IFERROR(K207/K444, "NA")</f>
        <v>NA</v>
      </c>
      <c r="M207" s="9"/>
      <c r="N207" s="10">
        <f t="shared" si="53"/>
        <v>0</v>
      </c>
      <c r="O207" s="8" t="str">
        <f>IFERROR(N207/N444, "NA")</f>
        <v>NA</v>
      </c>
      <c r="P207" s="9"/>
      <c r="Q207" s="7">
        <v>0</v>
      </c>
      <c r="R207" s="8" t="str">
        <f>IFERROR(Q207/Q444, "NA")</f>
        <v>NA</v>
      </c>
      <c r="S207" s="9"/>
      <c r="T207" s="7">
        <v>0</v>
      </c>
      <c r="U207" s="8" t="str">
        <f>IFERROR(T207/T444, "NA")</f>
        <v>NA</v>
      </c>
      <c r="V207" s="9"/>
      <c r="W207" s="10">
        <f t="shared" si="54"/>
        <v>0</v>
      </c>
      <c r="X207" s="8" t="str">
        <f>IFERROR(W207/W444, "NA")</f>
        <v>NA</v>
      </c>
      <c r="Y207" s="9"/>
      <c r="Z207" s="7">
        <v>0</v>
      </c>
      <c r="AA207" s="8" t="str">
        <f>IFERROR(Z207/Z444, "NA")</f>
        <v>NA</v>
      </c>
      <c r="AB207" s="9"/>
      <c r="AC207" s="10">
        <f t="shared" si="55"/>
        <v>0</v>
      </c>
      <c r="AD207" s="8" t="str">
        <f>IFERROR(AC207/AC444, "NA")</f>
        <v>NA</v>
      </c>
    </row>
    <row r="208" spans="1:30" ht="16.5" hidden="1" customHeight="1" x14ac:dyDescent="0.45">
      <c r="A208" s="6" t="s">
        <v>190</v>
      </c>
      <c r="B208" s="7">
        <v>0</v>
      </c>
      <c r="C208" s="8" t="str">
        <f>IFERROR(B208/B444, "NA")</f>
        <v>NA</v>
      </c>
      <c r="D208" s="9"/>
      <c r="E208" s="7">
        <v>0</v>
      </c>
      <c r="F208" s="8" t="str">
        <f>IFERROR(E208/E444, "NA")</f>
        <v>NA</v>
      </c>
      <c r="G208" s="9"/>
      <c r="H208" s="10">
        <f t="shared" si="52"/>
        <v>0</v>
      </c>
      <c r="I208" s="8" t="str">
        <f>IFERROR(H208/H444, "NA")</f>
        <v>NA</v>
      </c>
      <c r="J208" s="9"/>
      <c r="K208" s="7">
        <v>0</v>
      </c>
      <c r="L208" s="8" t="str">
        <f>IFERROR(K208/K444, "NA")</f>
        <v>NA</v>
      </c>
      <c r="M208" s="9"/>
      <c r="N208" s="10">
        <f t="shared" si="53"/>
        <v>0</v>
      </c>
      <c r="O208" s="8" t="str">
        <f>IFERROR(N208/N444, "NA")</f>
        <v>NA</v>
      </c>
      <c r="P208" s="9"/>
      <c r="Q208" s="7">
        <v>0</v>
      </c>
      <c r="R208" s="8" t="str">
        <f>IFERROR(Q208/Q444, "NA")</f>
        <v>NA</v>
      </c>
      <c r="S208" s="9"/>
      <c r="T208" s="7">
        <v>0</v>
      </c>
      <c r="U208" s="8" t="str">
        <f>IFERROR(T208/T444, "NA")</f>
        <v>NA</v>
      </c>
      <c r="V208" s="9"/>
      <c r="W208" s="10">
        <f t="shared" si="54"/>
        <v>0</v>
      </c>
      <c r="X208" s="8" t="str">
        <f>IFERROR(W208/W444, "NA")</f>
        <v>NA</v>
      </c>
      <c r="Y208" s="9"/>
      <c r="Z208" s="7">
        <v>0</v>
      </c>
      <c r="AA208" s="8" t="str">
        <f>IFERROR(Z208/Z444, "NA")</f>
        <v>NA</v>
      </c>
      <c r="AB208" s="9"/>
      <c r="AC208" s="10">
        <f t="shared" si="55"/>
        <v>0</v>
      </c>
      <c r="AD208" s="8" t="str">
        <f>IFERROR(AC208/AC444, "NA")</f>
        <v>NA</v>
      </c>
    </row>
    <row r="209" spans="1:30" ht="16.5" customHeight="1" x14ac:dyDescent="0.45">
      <c r="A209" s="19" t="s">
        <v>191</v>
      </c>
      <c r="B209" s="14">
        <f>IFERROR(B201+B202+B203+B204+B205+B206+B207+B208, "NA")</f>
        <v>0</v>
      </c>
      <c r="C209" s="15" t="str">
        <f>IFERROR(B209/B444, "NA")</f>
        <v>NA</v>
      </c>
      <c r="D209" s="2"/>
      <c r="E209" s="14">
        <f>IFERROR(E201+E202+E203+E204+E205+E206+E207+E208, "NA")</f>
        <v>0</v>
      </c>
      <c r="F209" s="15" t="str">
        <f>IFERROR(E209/E444, "NA")</f>
        <v>NA</v>
      </c>
      <c r="G209" s="2"/>
      <c r="H209" s="14">
        <f t="shared" si="52"/>
        <v>0</v>
      </c>
      <c r="I209" s="15" t="str">
        <f>IFERROR(H209/H444, "NA")</f>
        <v>NA</v>
      </c>
      <c r="J209" s="2"/>
      <c r="K209" s="14">
        <f>IFERROR(K201+K202+K203+K204+K205+K206+K207+K208, "NA")</f>
        <v>0</v>
      </c>
      <c r="L209" s="15" t="str">
        <f>IFERROR(K209/K444, "NA")</f>
        <v>NA</v>
      </c>
      <c r="M209" s="2"/>
      <c r="N209" s="14">
        <f t="shared" si="53"/>
        <v>0</v>
      </c>
      <c r="O209" s="15" t="str">
        <f>IFERROR(N209/N444, "NA")</f>
        <v>NA</v>
      </c>
      <c r="P209" s="2"/>
      <c r="Q209" s="14">
        <f>IFERROR(Q201+Q202+Q203+Q204+Q205+Q206+Q207+Q208, "NA")</f>
        <v>0</v>
      </c>
      <c r="R209" s="15" t="str">
        <f>IFERROR(Q209/Q444, "NA")</f>
        <v>NA</v>
      </c>
      <c r="S209" s="2"/>
      <c r="T209" s="14">
        <f>IFERROR(T201+T202+T203+T204+T205+T206+T207+T208, "NA")</f>
        <v>0</v>
      </c>
      <c r="U209" s="15" t="str">
        <f>IFERROR(T209/T444, "NA")</f>
        <v>NA</v>
      </c>
      <c r="V209" s="2"/>
      <c r="W209" s="14">
        <f t="shared" si="54"/>
        <v>0</v>
      </c>
      <c r="X209" s="15" t="str">
        <f>IFERROR(W209/W444, "NA")</f>
        <v>NA</v>
      </c>
      <c r="Y209" s="2"/>
      <c r="Z209" s="14">
        <f>IFERROR(Z201+Z202+Z203+Z204+Z205+Z206+Z207+Z208, "NA")</f>
        <v>0</v>
      </c>
      <c r="AA209" s="15" t="str">
        <f>IFERROR(Z209/Z444, "NA")</f>
        <v>NA</v>
      </c>
      <c r="AB209" s="2"/>
      <c r="AC209" s="14">
        <f t="shared" si="55"/>
        <v>0</v>
      </c>
      <c r="AD209" s="15" t="str">
        <f>IFERROR(AC209/AC444, "NA")</f>
        <v>NA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 t="str">
        <f>IFERROR(B211/B444, "NA")</f>
        <v>NA</v>
      </c>
      <c r="D211" s="9"/>
      <c r="E211" s="7">
        <v>0</v>
      </c>
      <c r="F211" s="8" t="str">
        <f>IFERROR(E211/E444, "NA")</f>
        <v>NA</v>
      </c>
      <c r="G211" s="9"/>
      <c r="H211" s="10">
        <f>IFERROR(-(B211-E211), "NA")</f>
        <v>0</v>
      </c>
      <c r="I211" s="8" t="str">
        <f>IFERROR(H211/H444, "NA")</f>
        <v>NA</v>
      </c>
      <c r="J211" s="9"/>
      <c r="K211" s="7">
        <v>0</v>
      </c>
      <c r="L211" s="8" t="str">
        <f>IFERROR(K211/K444, "NA")</f>
        <v>NA</v>
      </c>
      <c r="M211" s="9"/>
      <c r="N211" s="10">
        <f>IFERROR(-(B211-K211), "NA")</f>
        <v>0</v>
      </c>
      <c r="O211" s="8" t="str">
        <f>IFERROR(N211/N444, "NA")</f>
        <v>NA</v>
      </c>
      <c r="P211" s="9"/>
      <c r="Q211" s="7">
        <v>0</v>
      </c>
      <c r="R211" s="8" t="str">
        <f>IFERROR(Q211/Q444, "NA")</f>
        <v>NA</v>
      </c>
      <c r="S211" s="9"/>
      <c r="T211" s="7">
        <v>0</v>
      </c>
      <c r="U211" s="8" t="str">
        <f>IFERROR(T211/T444, "NA")</f>
        <v>NA</v>
      </c>
      <c r="V211" s="9"/>
      <c r="W211" s="10">
        <f>IFERROR(-(Q211-T211), "NA")</f>
        <v>0</v>
      </c>
      <c r="X211" s="8" t="str">
        <f>IFERROR(W211/W444, "NA")</f>
        <v>NA</v>
      </c>
      <c r="Y211" s="9"/>
      <c r="Z211" s="7">
        <v>0</v>
      </c>
      <c r="AA211" s="8" t="str">
        <f>IFERROR(Z211/Z444, "NA")</f>
        <v>NA</v>
      </c>
      <c r="AB211" s="9"/>
      <c r="AC211" s="10">
        <f>IFERROR(-(Q211-Z211), "NA")</f>
        <v>0</v>
      </c>
      <c r="AD211" s="8" t="str">
        <f>IFERROR(AC211/AC444, "NA")</f>
        <v>NA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hidden="1" customHeight="1" x14ac:dyDescent="0.45">
      <c r="A213" s="12" t="s">
        <v>193</v>
      </c>
      <c r="B213" s="7">
        <v>0</v>
      </c>
      <c r="C213" s="8" t="str">
        <f>IFERROR(B213/B444, "NA")</f>
        <v>NA</v>
      </c>
      <c r="D213" s="9"/>
      <c r="E213" s="7">
        <v>0</v>
      </c>
      <c r="F213" s="8" t="str">
        <f>IFERROR(E213/E444, "NA")</f>
        <v>NA</v>
      </c>
      <c r="G213" s="9"/>
      <c r="H213" s="10">
        <f t="shared" ref="H213:H227" si="56">IFERROR(-(B213-E213), "NA")</f>
        <v>0</v>
      </c>
      <c r="I213" s="8" t="str">
        <f>IFERROR(H213/H444, "NA")</f>
        <v>NA</v>
      </c>
      <c r="J213" s="9"/>
      <c r="K213" s="7">
        <v>0</v>
      </c>
      <c r="L213" s="8" t="str">
        <f>IFERROR(K213/K444, "NA")</f>
        <v>NA</v>
      </c>
      <c r="M213" s="9"/>
      <c r="N213" s="10">
        <f t="shared" ref="N213:N227" si="57">IFERROR(-(B213-K213), "NA")</f>
        <v>0</v>
      </c>
      <c r="O213" s="8" t="str">
        <f>IFERROR(N213/N444, "NA")</f>
        <v>NA</v>
      </c>
      <c r="P213" s="9"/>
      <c r="Q213" s="7">
        <v>0</v>
      </c>
      <c r="R213" s="8" t="str">
        <f>IFERROR(Q213/Q444, "NA")</f>
        <v>NA</v>
      </c>
      <c r="S213" s="9"/>
      <c r="T213" s="7">
        <v>0</v>
      </c>
      <c r="U213" s="8" t="str">
        <f>IFERROR(T213/T444, "NA")</f>
        <v>NA</v>
      </c>
      <c r="V213" s="9"/>
      <c r="W213" s="10">
        <f t="shared" ref="W213:W227" si="58">IFERROR(-(Q213-T213), "NA")</f>
        <v>0</v>
      </c>
      <c r="X213" s="8" t="str">
        <f>IFERROR(W213/W444, "NA")</f>
        <v>NA</v>
      </c>
      <c r="Y213" s="9"/>
      <c r="Z213" s="7">
        <v>0</v>
      </c>
      <c r="AA213" s="8" t="str">
        <f>IFERROR(Z213/Z444, "NA")</f>
        <v>NA</v>
      </c>
      <c r="AB213" s="9"/>
      <c r="AC213" s="10">
        <f t="shared" ref="AC213:AC227" si="59">IFERROR(-(Q213-Z213), "NA")</f>
        <v>0</v>
      </c>
      <c r="AD213" s="8" t="str">
        <f>IFERROR(AC213/AC444, "NA")</f>
        <v>NA</v>
      </c>
    </row>
    <row r="214" spans="1:30" ht="16.5" hidden="1" customHeight="1" x14ac:dyDescent="0.45">
      <c r="A214" s="12" t="s">
        <v>194</v>
      </c>
      <c r="B214" s="7">
        <v>0</v>
      </c>
      <c r="C214" s="8" t="str">
        <f>IFERROR(B214/B444, "NA")</f>
        <v>NA</v>
      </c>
      <c r="D214" s="9"/>
      <c r="E214" s="7">
        <v>0</v>
      </c>
      <c r="F214" s="8" t="str">
        <f>IFERROR(E214/E444, "NA")</f>
        <v>NA</v>
      </c>
      <c r="G214" s="9"/>
      <c r="H214" s="10">
        <f t="shared" si="56"/>
        <v>0</v>
      </c>
      <c r="I214" s="8" t="str">
        <f>IFERROR(H214/H444, "NA")</f>
        <v>NA</v>
      </c>
      <c r="J214" s="9"/>
      <c r="K214" s="7">
        <v>0</v>
      </c>
      <c r="L214" s="8" t="str">
        <f>IFERROR(K214/K444, "NA")</f>
        <v>NA</v>
      </c>
      <c r="M214" s="9"/>
      <c r="N214" s="10">
        <f t="shared" si="57"/>
        <v>0</v>
      </c>
      <c r="O214" s="8" t="str">
        <f>IFERROR(N214/N444, "NA")</f>
        <v>NA</v>
      </c>
      <c r="P214" s="9"/>
      <c r="Q214" s="7">
        <v>0</v>
      </c>
      <c r="R214" s="8" t="str">
        <f>IFERROR(Q214/Q444, "NA")</f>
        <v>NA</v>
      </c>
      <c r="S214" s="9"/>
      <c r="T214" s="7">
        <v>0</v>
      </c>
      <c r="U214" s="8" t="str">
        <f>IFERROR(T214/T444, "NA")</f>
        <v>NA</v>
      </c>
      <c r="V214" s="9"/>
      <c r="W214" s="10">
        <f t="shared" si="58"/>
        <v>0</v>
      </c>
      <c r="X214" s="8" t="str">
        <f>IFERROR(W214/W444, "NA")</f>
        <v>NA</v>
      </c>
      <c r="Y214" s="9"/>
      <c r="Z214" s="7">
        <v>0</v>
      </c>
      <c r="AA214" s="8" t="str">
        <f>IFERROR(Z214/Z444, "NA")</f>
        <v>NA</v>
      </c>
      <c r="AB214" s="9"/>
      <c r="AC214" s="10">
        <f t="shared" si="59"/>
        <v>0</v>
      </c>
      <c r="AD214" s="8" t="str">
        <f>IFERROR(AC214/AC444, "NA")</f>
        <v>NA</v>
      </c>
    </row>
    <row r="215" spans="1:30" ht="16.5" hidden="1" customHeight="1" x14ac:dyDescent="0.45">
      <c r="A215" s="12" t="s">
        <v>195</v>
      </c>
      <c r="B215" s="7">
        <v>0</v>
      </c>
      <c r="C215" s="8" t="str">
        <f>IFERROR(B215/B444, "NA")</f>
        <v>NA</v>
      </c>
      <c r="D215" s="9"/>
      <c r="E215" s="7">
        <v>0</v>
      </c>
      <c r="F215" s="8" t="str">
        <f>IFERROR(E215/E444, "NA")</f>
        <v>NA</v>
      </c>
      <c r="G215" s="9"/>
      <c r="H215" s="10">
        <f t="shared" si="56"/>
        <v>0</v>
      </c>
      <c r="I215" s="8" t="str">
        <f>IFERROR(H215/H444, "NA")</f>
        <v>NA</v>
      </c>
      <c r="J215" s="9"/>
      <c r="K215" s="7">
        <v>0</v>
      </c>
      <c r="L215" s="8" t="str">
        <f>IFERROR(K215/K444, "NA")</f>
        <v>NA</v>
      </c>
      <c r="M215" s="9"/>
      <c r="N215" s="10">
        <f t="shared" si="57"/>
        <v>0</v>
      </c>
      <c r="O215" s="8" t="str">
        <f>IFERROR(N215/N444, "NA")</f>
        <v>NA</v>
      </c>
      <c r="P215" s="9"/>
      <c r="Q215" s="7">
        <v>0</v>
      </c>
      <c r="R215" s="8" t="str">
        <f>IFERROR(Q215/Q444, "NA")</f>
        <v>NA</v>
      </c>
      <c r="S215" s="9"/>
      <c r="T215" s="7">
        <v>0</v>
      </c>
      <c r="U215" s="8" t="str">
        <f>IFERROR(T215/T444, "NA")</f>
        <v>NA</v>
      </c>
      <c r="V215" s="9"/>
      <c r="W215" s="10">
        <f t="shared" si="58"/>
        <v>0</v>
      </c>
      <c r="X215" s="8" t="str">
        <f>IFERROR(W215/W444, "NA")</f>
        <v>NA</v>
      </c>
      <c r="Y215" s="9"/>
      <c r="Z215" s="7">
        <v>0</v>
      </c>
      <c r="AA215" s="8" t="str">
        <f>IFERROR(Z215/Z444, "NA")</f>
        <v>NA</v>
      </c>
      <c r="AB215" s="9"/>
      <c r="AC215" s="10">
        <f t="shared" si="59"/>
        <v>0</v>
      </c>
      <c r="AD215" s="8" t="str">
        <f>IFERROR(AC215/AC444, "NA")</f>
        <v>NA</v>
      </c>
    </row>
    <row r="216" spans="1:30" ht="16.5" hidden="1" customHeight="1" x14ac:dyDescent="0.45">
      <c r="A216" s="12" t="s">
        <v>196</v>
      </c>
      <c r="B216" s="7">
        <v>0</v>
      </c>
      <c r="C216" s="8" t="str">
        <f>IFERROR(B216/B444, "NA")</f>
        <v>NA</v>
      </c>
      <c r="D216" s="9"/>
      <c r="E216" s="7">
        <v>0</v>
      </c>
      <c r="F216" s="8" t="str">
        <f>IFERROR(E216/E444, "NA")</f>
        <v>NA</v>
      </c>
      <c r="G216" s="9"/>
      <c r="H216" s="10">
        <f t="shared" si="56"/>
        <v>0</v>
      </c>
      <c r="I216" s="8" t="str">
        <f>IFERROR(H216/H444, "NA")</f>
        <v>NA</v>
      </c>
      <c r="J216" s="9"/>
      <c r="K216" s="7">
        <v>0</v>
      </c>
      <c r="L216" s="8" t="str">
        <f>IFERROR(K216/K444, "NA")</f>
        <v>NA</v>
      </c>
      <c r="M216" s="9"/>
      <c r="N216" s="10">
        <f t="shared" si="57"/>
        <v>0</v>
      </c>
      <c r="O216" s="8" t="str">
        <f>IFERROR(N216/N444, "NA")</f>
        <v>NA</v>
      </c>
      <c r="P216" s="9"/>
      <c r="Q216" s="7">
        <v>0</v>
      </c>
      <c r="R216" s="8" t="str">
        <f>IFERROR(Q216/Q444, "NA")</f>
        <v>NA</v>
      </c>
      <c r="S216" s="9"/>
      <c r="T216" s="7">
        <v>0</v>
      </c>
      <c r="U216" s="8" t="str">
        <f>IFERROR(T216/T444, "NA")</f>
        <v>NA</v>
      </c>
      <c r="V216" s="9"/>
      <c r="W216" s="10">
        <f t="shared" si="58"/>
        <v>0</v>
      </c>
      <c r="X216" s="8" t="str">
        <f>IFERROR(W216/W444, "NA")</f>
        <v>NA</v>
      </c>
      <c r="Y216" s="9"/>
      <c r="Z216" s="7">
        <v>0</v>
      </c>
      <c r="AA216" s="8" t="str">
        <f>IFERROR(Z216/Z444, "NA")</f>
        <v>NA</v>
      </c>
      <c r="AB216" s="9"/>
      <c r="AC216" s="10">
        <f t="shared" si="59"/>
        <v>0</v>
      </c>
      <c r="AD216" s="8" t="str">
        <f>IFERROR(AC216/AC444, "NA")</f>
        <v>NA</v>
      </c>
    </row>
    <row r="217" spans="1:30" ht="16.5" hidden="1" customHeight="1" x14ac:dyDescent="0.45">
      <c r="A217" s="12" t="s">
        <v>197</v>
      </c>
      <c r="B217" s="7">
        <v>0</v>
      </c>
      <c r="C217" s="8" t="str">
        <f>IFERROR(B217/B444, "NA")</f>
        <v>NA</v>
      </c>
      <c r="D217" s="9"/>
      <c r="E217" s="7">
        <v>0</v>
      </c>
      <c r="F217" s="8" t="str">
        <f>IFERROR(E217/E444, "NA")</f>
        <v>NA</v>
      </c>
      <c r="G217" s="9"/>
      <c r="H217" s="10">
        <f t="shared" si="56"/>
        <v>0</v>
      </c>
      <c r="I217" s="8" t="str">
        <f>IFERROR(H217/H444, "NA")</f>
        <v>NA</v>
      </c>
      <c r="J217" s="9"/>
      <c r="K217" s="7">
        <v>0</v>
      </c>
      <c r="L217" s="8" t="str">
        <f>IFERROR(K217/K444, "NA")</f>
        <v>NA</v>
      </c>
      <c r="M217" s="9"/>
      <c r="N217" s="10">
        <f t="shared" si="57"/>
        <v>0</v>
      </c>
      <c r="O217" s="8" t="str">
        <f>IFERROR(N217/N444, "NA")</f>
        <v>NA</v>
      </c>
      <c r="P217" s="9"/>
      <c r="Q217" s="7">
        <v>0</v>
      </c>
      <c r="R217" s="8" t="str">
        <f>IFERROR(Q217/Q444, "NA")</f>
        <v>NA</v>
      </c>
      <c r="S217" s="9"/>
      <c r="T217" s="7">
        <v>0</v>
      </c>
      <c r="U217" s="8" t="str">
        <f>IFERROR(T217/T444, "NA")</f>
        <v>NA</v>
      </c>
      <c r="V217" s="9"/>
      <c r="W217" s="10">
        <f t="shared" si="58"/>
        <v>0</v>
      </c>
      <c r="X217" s="8" t="str">
        <f>IFERROR(W217/W444, "NA")</f>
        <v>NA</v>
      </c>
      <c r="Y217" s="9"/>
      <c r="Z217" s="7">
        <v>0</v>
      </c>
      <c r="AA217" s="8" t="str">
        <f>IFERROR(Z217/Z444, "NA")</f>
        <v>NA</v>
      </c>
      <c r="AB217" s="9"/>
      <c r="AC217" s="10">
        <f t="shared" si="59"/>
        <v>0</v>
      </c>
      <c r="AD217" s="8" t="str">
        <f>IFERROR(AC217/AC444, "NA")</f>
        <v>NA</v>
      </c>
    </row>
    <row r="218" spans="1:30" ht="16.5" customHeight="1" x14ac:dyDescent="0.45">
      <c r="A218" s="13" t="s">
        <v>198</v>
      </c>
      <c r="B218" s="14">
        <f>IFERROR(B213+B214+B215+B216+B217, "NA")</f>
        <v>0</v>
      </c>
      <c r="C218" s="15" t="str">
        <f>IFERROR(B218/B444, "NA")</f>
        <v>NA</v>
      </c>
      <c r="D218" s="2"/>
      <c r="E218" s="14">
        <f>IFERROR(E213+E214+E215+E216+E217, "NA")</f>
        <v>0</v>
      </c>
      <c r="F218" s="15" t="str">
        <f>IFERROR(E218/E444, "NA")</f>
        <v>NA</v>
      </c>
      <c r="G218" s="2"/>
      <c r="H218" s="14">
        <f t="shared" si="56"/>
        <v>0</v>
      </c>
      <c r="I218" s="15" t="str">
        <f>IFERROR(H218/H444, "NA")</f>
        <v>NA</v>
      </c>
      <c r="J218" s="2"/>
      <c r="K218" s="14">
        <f>IFERROR(K213+K214+K215+K216+K217, "NA")</f>
        <v>0</v>
      </c>
      <c r="L218" s="15" t="str">
        <f>IFERROR(K218/K444, "NA")</f>
        <v>NA</v>
      </c>
      <c r="M218" s="2"/>
      <c r="N218" s="14">
        <f t="shared" si="57"/>
        <v>0</v>
      </c>
      <c r="O218" s="15" t="str">
        <f>IFERROR(N218/N444, "NA")</f>
        <v>NA</v>
      </c>
      <c r="P218" s="2"/>
      <c r="Q218" s="14">
        <f>IFERROR(Q213+Q214+Q215+Q216+Q217, "NA")</f>
        <v>0</v>
      </c>
      <c r="R218" s="15" t="str">
        <f>IFERROR(Q218/Q444, "NA")</f>
        <v>NA</v>
      </c>
      <c r="S218" s="2"/>
      <c r="T218" s="14">
        <f>IFERROR(T213+T214+T215+T216+T217, "NA")</f>
        <v>0</v>
      </c>
      <c r="U218" s="15" t="str">
        <f>IFERROR(T218/T444, "NA")</f>
        <v>NA</v>
      </c>
      <c r="V218" s="2"/>
      <c r="W218" s="14">
        <f t="shared" si="58"/>
        <v>0</v>
      </c>
      <c r="X218" s="15" t="str">
        <f>IFERROR(W218/W444, "NA")</f>
        <v>NA</v>
      </c>
      <c r="Y218" s="2"/>
      <c r="Z218" s="14">
        <f>IFERROR(Z213+Z214+Z215+Z216+Z217, "NA")</f>
        <v>0</v>
      </c>
      <c r="AA218" s="15" t="str">
        <f>IFERROR(Z218/Z444, "NA")</f>
        <v>NA</v>
      </c>
      <c r="AB218" s="2"/>
      <c r="AC218" s="14">
        <f t="shared" si="59"/>
        <v>0</v>
      </c>
      <c r="AD218" s="15" t="str">
        <f>IFERROR(AC218/AC444, "NA")</f>
        <v>NA</v>
      </c>
    </row>
    <row r="219" spans="1:30" ht="16.5" hidden="1" customHeight="1" x14ac:dyDescent="0.45">
      <c r="A219" s="6" t="s">
        <v>199</v>
      </c>
      <c r="B219" s="7">
        <v>0</v>
      </c>
      <c r="C219" s="8" t="str">
        <f>IFERROR(B219/B444, "NA")</f>
        <v>NA</v>
      </c>
      <c r="D219" s="9"/>
      <c r="E219" s="7">
        <v>0</v>
      </c>
      <c r="F219" s="8" t="str">
        <f>IFERROR(E219/E444, "NA")</f>
        <v>NA</v>
      </c>
      <c r="G219" s="9"/>
      <c r="H219" s="10">
        <f t="shared" si="56"/>
        <v>0</v>
      </c>
      <c r="I219" s="8" t="str">
        <f>IFERROR(H219/H444, "NA")</f>
        <v>NA</v>
      </c>
      <c r="J219" s="9"/>
      <c r="K219" s="7">
        <v>0</v>
      </c>
      <c r="L219" s="8" t="str">
        <f>IFERROR(K219/K444, "NA")</f>
        <v>NA</v>
      </c>
      <c r="M219" s="9"/>
      <c r="N219" s="10">
        <f t="shared" si="57"/>
        <v>0</v>
      </c>
      <c r="O219" s="8" t="str">
        <f>IFERROR(N219/N444, "NA")</f>
        <v>NA</v>
      </c>
      <c r="P219" s="9"/>
      <c r="Q219" s="7">
        <v>0</v>
      </c>
      <c r="R219" s="8" t="str">
        <f>IFERROR(Q219/Q444, "NA")</f>
        <v>NA</v>
      </c>
      <c r="S219" s="9"/>
      <c r="T219" s="7">
        <v>0</v>
      </c>
      <c r="U219" s="8" t="str">
        <f>IFERROR(T219/T444, "NA")</f>
        <v>NA</v>
      </c>
      <c r="V219" s="9"/>
      <c r="W219" s="10">
        <f t="shared" si="58"/>
        <v>0</v>
      </c>
      <c r="X219" s="8" t="str">
        <f>IFERROR(W219/W444, "NA")</f>
        <v>NA</v>
      </c>
      <c r="Y219" s="9"/>
      <c r="Z219" s="7">
        <v>0</v>
      </c>
      <c r="AA219" s="8" t="str">
        <f>IFERROR(Z219/Z444, "NA")</f>
        <v>NA</v>
      </c>
      <c r="AB219" s="9"/>
      <c r="AC219" s="10">
        <f t="shared" si="59"/>
        <v>0</v>
      </c>
      <c r="AD219" s="8" t="str">
        <f>IFERROR(AC219/AC444, "NA")</f>
        <v>NA</v>
      </c>
    </row>
    <row r="220" spans="1:30" ht="16.5" hidden="1" customHeight="1" x14ac:dyDescent="0.45">
      <c r="A220" s="6" t="s">
        <v>200</v>
      </c>
      <c r="B220" s="7">
        <v>0</v>
      </c>
      <c r="C220" s="8" t="str">
        <f>IFERROR(B220/B444, "NA")</f>
        <v>NA</v>
      </c>
      <c r="D220" s="9"/>
      <c r="E220" s="7">
        <v>0</v>
      </c>
      <c r="F220" s="8" t="str">
        <f>IFERROR(E220/E444, "NA")</f>
        <v>NA</v>
      </c>
      <c r="G220" s="9"/>
      <c r="H220" s="10">
        <f t="shared" si="56"/>
        <v>0</v>
      </c>
      <c r="I220" s="8" t="str">
        <f>IFERROR(H220/H444, "NA")</f>
        <v>NA</v>
      </c>
      <c r="J220" s="9"/>
      <c r="K220" s="7">
        <v>0</v>
      </c>
      <c r="L220" s="8" t="str">
        <f>IFERROR(K220/K444, "NA")</f>
        <v>NA</v>
      </c>
      <c r="M220" s="9"/>
      <c r="N220" s="10">
        <f t="shared" si="57"/>
        <v>0</v>
      </c>
      <c r="O220" s="8" t="str">
        <f>IFERROR(N220/N444, "NA")</f>
        <v>NA</v>
      </c>
      <c r="P220" s="9"/>
      <c r="Q220" s="7">
        <v>0</v>
      </c>
      <c r="R220" s="8" t="str">
        <f>IFERROR(Q220/Q444, "NA")</f>
        <v>NA</v>
      </c>
      <c r="S220" s="9"/>
      <c r="T220" s="7">
        <v>0</v>
      </c>
      <c r="U220" s="8" t="str">
        <f>IFERROR(T220/T444, "NA")</f>
        <v>NA</v>
      </c>
      <c r="V220" s="9"/>
      <c r="W220" s="10">
        <f t="shared" si="58"/>
        <v>0</v>
      </c>
      <c r="X220" s="8" t="str">
        <f>IFERROR(W220/W444, "NA")</f>
        <v>NA</v>
      </c>
      <c r="Y220" s="9"/>
      <c r="Z220" s="7">
        <v>0</v>
      </c>
      <c r="AA220" s="8" t="str">
        <f>IFERROR(Z220/Z444, "NA")</f>
        <v>NA</v>
      </c>
      <c r="AB220" s="9"/>
      <c r="AC220" s="10">
        <f t="shared" si="59"/>
        <v>0</v>
      </c>
      <c r="AD220" s="8" t="str">
        <f>IFERROR(AC220/AC444, "NA")</f>
        <v>NA</v>
      </c>
    </row>
    <row r="221" spans="1:30" ht="16.5" hidden="1" customHeight="1" x14ac:dyDescent="0.45">
      <c r="A221" s="6" t="s">
        <v>201</v>
      </c>
      <c r="B221" s="7">
        <v>0</v>
      </c>
      <c r="C221" s="8" t="str">
        <f>IFERROR(B221/B444, "NA")</f>
        <v>NA</v>
      </c>
      <c r="D221" s="9"/>
      <c r="E221" s="7">
        <v>0</v>
      </c>
      <c r="F221" s="8" t="str">
        <f>IFERROR(E221/E444, "NA")</f>
        <v>NA</v>
      </c>
      <c r="G221" s="9"/>
      <c r="H221" s="10">
        <f t="shared" si="56"/>
        <v>0</v>
      </c>
      <c r="I221" s="8" t="str">
        <f>IFERROR(H221/H444, "NA")</f>
        <v>NA</v>
      </c>
      <c r="J221" s="9"/>
      <c r="K221" s="7">
        <v>0</v>
      </c>
      <c r="L221" s="8" t="str">
        <f>IFERROR(K221/K444, "NA")</f>
        <v>NA</v>
      </c>
      <c r="M221" s="9"/>
      <c r="N221" s="10">
        <f t="shared" si="57"/>
        <v>0</v>
      </c>
      <c r="O221" s="8" t="str">
        <f>IFERROR(N221/N444, "NA")</f>
        <v>NA</v>
      </c>
      <c r="P221" s="9"/>
      <c r="Q221" s="7">
        <v>0</v>
      </c>
      <c r="R221" s="8" t="str">
        <f>IFERROR(Q221/Q444, "NA")</f>
        <v>NA</v>
      </c>
      <c r="S221" s="9"/>
      <c r="T221" s="7">
        <v>0</v>
      </c>
      <c r="U221" s="8" t="str">
        <f>IFERROR(T221/T444, "NA")</f>
        <v>NA</v>
      </c>
      <c r="V221" s="9"/>
      <c r="W221" s="10">
        <f t="shared" si="58"/>
        <v>0</v>
      </c>
      <c r="X221" s="8" t="str">
        <f>IFERROR(W221/W444, "NA")</f>
        <v>NA</v>
      </c>
      <c r="Y221" s="9"/>
      <c r="Z221" s="7">
        <v>0</v>
      </c>
      <c r="AA221" s="8" t="str">
        <f>IFERROR(Z221/Z444, "NA")</f>
        <v>NA</v>
      </c>
      <c r="AB221" s="9"/>
      <c r="AC221" s="10">
        <f t="shared" si="59"/>
        <v>0</v>
      </c>
      <c r="AD221" s="8" t="str">
        <f>IFERROR(AC221/AC444, "NA")</f>
        <v>NA</v>
      </c>
    </row>
    <row r="222" spans="1:30" ht="16.5" hidden="1" customHeight="1" x14ac:dyDescent="0.45">
      <c r="A222" s="6" t="s">
        <v>202</v>
      </c>
      <c r="B222" s="7">
        <v>0</v>
      </c>
      <c r="C222" s="8" t="str">
        <f>IFERROR(B222/B444, "NA")</f>
        <v>NA</v>
      </c>
      <c r="D222" s="9"/>
      <c r="E222" s="7">
        <v>0</v>
      </c>
      <c r="F222" s="8" t="str">
        <f>IFERROR(E222/E444, "NA")</f>
        <v>NA</v>
      </c>
      <c r="G222" s="9"/>
      <c r="H222" s="10">
        <f t="shared" si="56"/>
        <v>0</v>
      </c>
      <c r="I222" s="8" t="str">
        <f>IFERROR(H222/H444, "NA")</f>
        <v>NA</v>
      </c>
      <c r="J222" s="9"/>
      <c r="K222" s="7">
        <v>0</v>
      </c>
      <c r="L222" s="8" t="str">
        <f>IFERROR(K222/K444, "NA")</f>
        <v>NA</v>
      </c>
      <c r="M222" s="9"/>
      <c r="N222" s="10">
        <f t="shared" si="57"/>
        <v>0</v>
      </c>
      <c r="O222" s="8" t="str">
        <f>IFERROR(N222/N444, "NA")</f>
        <v>NA</v>
      </c>
      <c r="P222" s="9"/>
      <c r="Q222" s="7">
        <v>0</v>
      </c>
      <c r="R222" s="8" t="str">
        <f>IFERROR(Q222/Q444, "NA")</f>
        <v>NA</v>
      </c>
      <c r="S222" s="9"/>
      <c r="T222" s="7">
        <v>0</v>
      </c>
      <c r="U222" s="8" t="str">
        <f>IFERROR(T222/T444, "NA")</f>
        <v>NA</v>
      </c>
      <c r="V222" s="9"/>
      <c r="W222" s="10">
        <f t="shared" si="58"/>
        <v>0</v>
      </c>
      <c r="X222" s="8" t="str">
        <f>IFERROR(W222/W444, "NA")</f>
        <v>NA</v>
      </c>
      <c r="Y222" s="9"/>
      <c r="Z222" s="7">
        <v>0</v>
      </c>
      <c r="AA222" s="8" t="str">
        <f>IFERROR(Z222/Z444, "NA")</f>
        <v>NA</v>
      </c>
      <c r="AB222" s="9"/>
      <c r="AC222" s="10">
        <f t="shared" si="59"/>
        <v>0</v>
      </c>
      <c r="AD222" s="8" t="str">
        <f>IFERROR(AC222/AC444, "NA")</f>
        <v>NA</v>
      </c>
    </row>
    <row r="223" spans="1:30" ht="16.5" hidden="1" customHeight="1" x14ac:dyDescent="0.45">
      <c r="A223" s="6" t="s">
        <v>203</v>
      </c>
      <c r="B223" s="7">
        <v>0</v>
      </c>
      <c r="C223" s="8" t="str">
        <f>IFERROR(B223/B444, "NA")</f>
        <v>NA</v>
      </c>
      <c r="D223" s="9"/>
      <c r="E223" s="7">
        <v>0</v>
      </c>
      <c r="F223" s="8" t="str">
        <f>IFERROR(E223/E444, "NA")</f>
        <v>NA</v>
      </c>
      <c r="G223" s="9"/>
      <c r="H223" s="10">
        <f t="shared" si="56"/>
        <v>0</v>
      </c>
      <c r="I223" s="8" t="str">
        <f>IFERROR(H223/H444, "NA")</f>
        <v>NA</v>
      </c>
      <c r="J223" s="9"/>
      <c r="K223" s="7">
        <v>0</v>
      </c>
      <c r="L223" s="8" t="str">
        <f>IFERROR(K223/K444, "NA")</f>
        <v>NA</v>
      </c>
      <c r="M223" s="9"/>
      <c r="N223" s="10">
        <f t="shared" si="57"/>
        <v>0</v>
      </c>
      <c r="O223" s="8" t="str">
        <f>IFERROR(N223/N444, "NA")</f>
        <v>NA</v>
      </c>
      <c r="P223" s="9"/>
      <c r="Q223" s="7">
        <v>0</v>
      </c>
      <c r="R223" s="8" t="str">
        <f>IFERROR(Q223/Q444, "NA")</f>
        <v>NA</v>
      </c>
      <c r="S223" s="9"/>
      <c r="T223" s="7">
        <v>0</v>
      </c>
      <c r="U223" s="8" t="str">
        <f>IFERROR(T223/T444, "NA")</f>
        <v>NA</v>
      </c>
      <c r="V223" s="9"/>
      <c r="W223" s="10">
        <f t="shared" si="58"/>
        <v>0</v>
      </c>
      <c r="X223" s="8" t="str">
        <f>IFERROR(W223/W444, "NA")</f>
        <v>NA</v>
      </c>
      <c r="Y223" s="9"/>
      <c r="Z223" s="7">
        <v>0</v>
      </c>
      <c r="AA223" s="8" t="str">
        <f>IFERROR(Z223/Z444, "NA")</f>
        <v>NA</v>
      </c>
      <c r="AB223" s="9"/>
      <c r="AC223" s="10">
        <f t="shared" si="59"/>
        <v>0</v>
      </c>
      <c r="AD223" s="8" t="str">
        <f>IFERROR(AC223/AC444, "NA")</f>
        <v>NA</v>
      </c>
    </row>
    <row r="224" spans="1:30" ht="16.5" hidden="1" customHeight="1" x14ac:dyDescent="0.45">
      <c r="A224" s="6" t="s">
        <v>204</v>
      </c>
      <c r="B224" s="7">
        <v>0</v>
      </c>
      <c r="C224" s="8" t="str">
        <f>IFERROR(B224/B444, "NA")</f>
        <v>NA</v>
      </c>
      <c r="D224" s="9"/>
      <c r="E224" s="7">
        <v>0</v>
      </c>
      <c r="F224" s="8" t="str">
        <f>IFERROR(E224/E444, "NA")</f>
        <v>NA</v>
      </c>
      <c r="G224" s="9"/>
      <c r="H224" s="10">
        <f t="shared" si="56"/>
        <v>0</v>
      </c>
      <c r="I224" s="8" t="str">
        <f>IFERROR(H224/H444, "NA")</f>
        <v>NA</v>
      </c>
      <c r="J224" s="9"/>
      <c r="K224" s="7">
        <v>0</v>
      </c>
      <c r="L224" s="8" t="str">
        <f>IFERROR(K224/K444, "NA")</f>
        <v>NA</v>
      </c>
      <c r="M224" s="9"/>
      <c r="N224" s="10">
        <f t="shared" si="57"/>
        <v>0</v>
      </c>
      <c r="O224" s="8" t="str">
        <f>IFERROR(N224/N444, "NA")</f>
        <v>NA</v>
      </c>
      <c r="P224" s="9"/>
      <c r="Q224" s="7">
        <v>0</v>
      </c>
      <c r="R224" s="8" t="str">
        <f>IFERROR(Q224/Q444, "NA")</f>
        <v>NA</v>
      </c>
      <c r="S224" s="9"/>
      <c r="T224" s="7">
        <v>0</v>
      </c>
      <c r="U224" s="8" t="str">
        <f>IFERROR(T224/T444, "NA")</f>
        <v>NA</v>
      </c>
      <c r="V224" s="9"/>
      <c r="W224" s="10">
        <f t="shared" si="58"/>
        <v>0</v>
      </c>
      <c r="X224" s="8" t="str">
        <f>IFERROR(W224/W444, "NA")</f>
        <v>NA</v>
      </c>
      <c r="Y224" s="9"/>
      <c r="Z224" s="7">
        <v>0</v>
      </c>
      <c r="AA224" s="8" t="str">
        <f>IFERROR(Z224/Z444, "NA")</f>
        <v>NA</v>
      </c>
      <c r="AB224" s="9"/>
      <c r="AC224" s="10">
        <f t="shared" si="59"/>
        <v>0</v>
      </c>
      <c r="AD224" s="8" t="str">
        <f>IFERROR(AC224/AC444, "NA")</f>
        <v>NA</v>
      </c>
    </row>
    <row r="225" spans="1:30" ht="16.5" hidden="1" customHeight="1" x14ac:dyDescent="0.45">
      <c r="A225" s="6" t="s">
        <v>205</v>
      </c>
      <c r="B225" s="7">
        <v>0</v>
      </c>
      <c r="C225" s="8" t="str">
        <f>IFERROR(B225/B444, "NA")</f>
        <v>NA</v>
      </c>
      <c r="D225" s="9"/>
      <c r="E225" s="7">
        <v>0</v>
      </c>
      <c r="F225" s="8" t="str">
        <f>IFERROR(E225/E444, "NA")</f>
        <v>NA</v>
      </c>
      <c r="G225" s="9"/>
      <c r="H225" s="10">
        <f t="shared" si="56"/>
        <v>0</v>
      </c>
      <c r="I225" s="8" t="str">
        <f>IFERROR(H225/H444, "NA")</f>
        <v>NA</v>
      </c>
      <c r="J225" s="9"/>
      <c r="K225" s="7">
        <v>0</v>
      </c>
      <c r="L225" s="8" t="str">
        <f>IFERROR(K225/K444, "NA")</f>
        <v>NA</v>
      </c>
      <c r="M225" s="9"/>
      <c r="N225" s="10">
        <f t="shared" si="57"/>
        <v>0</v>
      </c>
      <c r="O225" s="8" t="str">
        <f>IFERROR(N225/N444, "NA")</f>
        <v>NA</v>
      </c>
      <c r="P225" s="9"/>
      <c r="Q225" s="7">
        <v>0</v>
      </c>
      <c r="R225" s="8" t="str">
        <f>IFERROR(Q225/Q444, "NA")</f>
        <v>NA</v>
      </c>
      <c r="S225" s="9"/>
      <c r="T225" s="7">
        <v>0</v>
      </c>
      <c r="U225" s="8" t="str">
        <f>IFERROR(T225/T444, "NA")</f>
        <v>NA</v>
      </c>
      <c r="V225" s="9"/>
      <c r="W225" s="10">
        <f t="shared" si="58"/>
        <v>0</v>
      </c>
      <c r="X225" s="8" t="str">
        <f>IFERROR(W225/W444, "NA")</f>
        <v>NA</v>
      </c>
      <c r="Y225" s="9"/>
      <c r="Z225" s="7">
        <v>0</v>
      </c>
      <c r="AA225" s="8" t="str">
        <f>IFERROR(Z225/Z444, "NA")</f>
        <v>NA</v>
      </c>
      <c r="AB225" s="9"/>
      <c r="AC225" s="10">
        <f t="shared" si="59"/>
        <v>0</v>
      </c>
      <c r="AD225" s="8" t="str">
        <f>IFERROR(AC225/AC444, "NA")</f>
        <v>NA</v>
      </c>
    </row>
    <row r="226" spans="1:30" ht="16.5" hidden="1" customHeight="1" x14ac:dyDescent="0.45">
      <c r="A226" s="6" t="s">
        <v>206</v>
      </c>
      <c r="B226" s="7">
        <v>0</v>
      </c>
      <c r="C226" s="8" t="str">
        <f>IFERROR(B226/B444, "NA")</f>
        <v>NA</v>
      </c>
      <c r="D226" s="9"/>
      <c r="E226" s="7">
        <v>0</v>
      </c>
      <c r="F226" s="8" t="str">
        <f>IFERROR(E226/E444, "NA")</f>
        <v>NA</v>
      </c>
      <c r="G226" s="9"/>
      <c r="H226" s="10">
        <f t="shared" si="56"/>
        <v>0</v>
      </c>
      <c r="I226" s="8" t="str">
        <f>IFERROR(H226/H444, "NA")</f>
        <v>NA</v>
      </c>
      <c r="J226" s="9"/>
      <c r="K226" s="7">
        <v>0</v>
      </c>
      <c r="L226" s="8" t="str">
        <f>IFERROR(K226/K444, "NA")</f>
        <v>NA</v>
      </c>
      <c r="M226" s="9"/>
      <c r="N226" s="10">
        <f t="shared" si="57"/>
        <v>0</v>
      </c>
      <c r="O226" s="8" t="str">
        <f>IFERROR(N226/N444, "NA")</f>
        <v>NA</v>
      </c>
      <c r="P226" s="9"/>
      <c r="Q226" s="7">
        <v>0</v>
      </c>
      <c r="R226" s="8" t="str">
        <f>IFERROR(Q226/Q444, "NA")</f>
        <v>NA</v>
      </c>
      <c r="S226" s="9"/>
      <c r="T226" s="7">
        <v>0</v>
      </c>
      <c r="U226" s="8" t="str">
        <f>IFERROR(T226/T444, "NA")</f>
        <v>NA</v>
      </c>
      <c r="V226" s="9"/>
      <c r="W226" s="10">
        <f t="shared" si="58"/>
        <v>0</v>
      </c>
      <c r="X226" s="8" t="str">
        <f>IFERROR(W226/W444, "NA")</f>
        <v>NA</v>
      </c>
      <c r="Y226" s="9"/>
      <c r="Z226" s="7">
        <v>0</v>
      </c>
      <c r="AA226" s="8" t="str">
        <f>IFERROR(Z226/Z444, "NA")</f>
        <v>NA</v>
      </c>
      <c r="AB226" s="9"/>
      <c r="AC226" s="10">
        <f t="shared" si="59"/>
        <v>0</v>
      </c>
      <c r="AD226" s="8" t="str">
        <f>IFERROR(AC226/AC444, "NA")</f>
        <v>NA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0</v>
      </c>
      <c r="C227" s="15" t="str">
        <f>IFERROR(B227/B444, "NA")</f>
        <v>NA</v>
      </c>
      <c r="D227" s="2"/>
      <c r="E227" s="14">
        <f>IFERROR(E211+E213+E214+E215+E216+E217+E219+E220+E221+E222+E223+E224+E225+E226, "NA")</f>
        <v>0</v>
      </c>
      <c r="F227" s="15" t="str">
        <f>IFERROR(E227/E444, "NA")</f>
        <v>NA</v>
      </c>
      <c r="G227" s="2"/>
      <c r="H227" s="14">
        <f t="shared" si="56"/>
        <v>0</v>
      </c>
      <c r="I227" s="15" t="str">
        <f>IFERROR(H227/H444, "NA")</f>
        <v>NA</v>
      </c>
      <c r="J227" s="2"/>
      <c r="K227" s="14">
        <f>IFERROR(K211+K213+K214+K215+K216+K217+K219+K220+K221+K222+K223+K224+K225+K226, "NA")</f>
        <v>0</v>
      </c>
      <c r="L227" s="15" t="str">
        <f>IFERROR(K227/K444, "NA")</f>
        <v>NA</v>
      </c>
      <c r="M227" s="2"/>
      <c r="N227" s="14">
        <f t="shared" si="57"/>
        <v>0</v>
      </c>
      <c r="O227" s="15" t="str">
        <f>IFERROR(N227/N444, "NA")</f>
        <v>NA</v>
      </c>
      <c r="P227" s="2"/>
      <c r="Q227" s="14">
        <f>IFERROR(Q211+Q213+Q214+Q215+Q216+Q217+Q219+Q220+Q221+Q222+Q223+Q224+Q225+Q226, "NA")</f>
        <v>0</v>
      </c>
      <c r="R227" s="15" t="str">
        <f>IFERROR(Q227/Q444, "NA")</f>
        <v>NA</v>
      </c>
      <c r="S227" s="2"/>
      <c r="T227" s="14">
        <f>IFERROR(T211+T213+T214+T215+T216+T217+T219+T220+T221+T222+T223+T224+T225+T226, "NA")</f>
        <v>0</v>
      </c>
      <c r="U227" s="15" t="str">
        <f>IFERROR(T227/T444, "NA")</f>
        <v>NA</v>
      </c>
      <c r="V227" s="2"/>
      <c r="W227" s="14">
        <f t="shared" si="58"/>
        <v>0</v>
      </c>
      <c r="X227" s="15" t="str">
        <f>IFERROR(W227/W444, "NA")</f>
        <v>NA</v>
      </c>
      <c r="Y227" s="2"/>
      <c r="Z227" s="14">
        <f>IFERROR(Z211+Z213+Z214+Z215+Z216+Z217+Z219+Z220+Z221+Z222+Z223+Z224+Z225+Z226, "NA")</f>
        <v>0</v>
      </c>
      <c r="AA227" s="15" t="str">
        <f>IFERROR(Z227/Z444, "NA")</f>
        <v>NA</v>
      </c>
      <c r="AB227" s="2"/>
      <c r="AC227" s="14">
        <f t="shared" si="59"/>
        <v>0</v>
      </c>
      <c r="AD227" s="15" t="str">
        <f>IFERROR(AC227/AC444, "NA")</f>
        <v>NA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hidden="1" customHeight="1" x14ac:dyDescent="0.45">
      <c r="A229" s="6" t="s">
        <v>208</v>
      </c>
      <c r="B229" s="7">
        <v>0</v>
      </c>
      <c r="C229" s="8" t="str">
        <f>IFERROR(B229/B444, "NA")</f>
        <v>NA</v>
      </c>
      <c r="D229" s="9"/>
      <c r="E229" s="7">
        <v>0</v>
      </c>
      <c r="F229" s="8" t="str">
        <f>IFERROR(E229/E444, "NA")</f>
        <v>NA</v>
      </c>
      <c r="G229" s="9"/>
      <c r="H229" s="10">
        <f t="shared" ref="H229:H236" si="60">IFERROR(-(B229-E229), "NA")</f>
        <v>0</v>
      </c>
      <c r="I229" s="8" t="str">
        <f>IFERROR(H229/H444, "NA")</f>
        <v>NA</v>
      </c>
      <c r="J229" s="9"/>
      <c r="K229" s="7">
        <v>0</v>
      </c>
      <c r="L229" s="8" t="str">
        <f>IFERROR(K229/K444, "NA")</f>
        <v>NA</v>
      </c>
      <c r="M229" s="9"/>
      <c r="N229" s="10">
        <f t="shared" ref="N229:N236" si="61">IFERROR(-(B229-K229), "NA")</f>
        <v>0</v>
      </c>
      <c r="O229" s="8" t="str">
        <f>IFERROR(N229/N444, "NA")</f>
        <v>NA</v>
      </c>
      <c r="P229" s="9"/>
      <c r="Q229" s="7">
        <v>0</v>
      </c>
      <c r="R229" s="8" t="str">
        <f>IFERROR(Q229/Q444, "NA")</f>
        <v>NA</v>
      </c>
      <c r="S229" s="9"/>
      <c r="T229" s="7">
        <v>0</v>
      </c>
      <c r="U229" s="8" t="str">
        <f>IFERROR(T229/T444, "NA")</f>
        <v>NA</v>
      </c>
      <c r="V229" s="9"/>
      <c r="W229" s="10">
        <f t="shared" ref="W229:W236" si="62">IFERROR(-(Q229-T229), "NA")</f>
        <v>0</v>
      </c>
      <c r="X229" s="8" t="str">
        <f>IFERROR(W229/W444, "NA")</f>
        <v>NA</v>
      </c>
      <c r="Y229" s="9"/>
      <c r="Z229" s="7">
        <v>0</v>
      </c>
      <c r="AA229" s="8" t="str">
        <f>IFERROR(Z229/Z444, "NA")</f>
        <v>NA</v>
      </c>
      <c r="AB229" s="9"/>
      <c r="AC229" s="10">
        <f t="shared" ref="AC229:AC236" si="63">IFERROR(-(Q229-Z229), "NA")</f>
        <v>0</v>
      </c>
      <c r="AD229" s="8" t="str">
        <f>IFERROR(AC229/AC444, "NA")</f>
        <v>NA</v>
      </c>
    </row>
    <row r="230" spans="1:30" ht="16.5" hidden="1" customHeight="1" x14ac:dyDescent="0.45">
      <c r="A230" s="6" t="s">
        <v>209</v>
      </c>
      <c r="B230" s="7">
        <v>0</v>
      </c>
      <c r="C230" s="8" t="str">
        <f>IFERROR(B230/B444, "NA")</f>
        <v>NA</v>
      </c>
      <c r="D230" s="9"/>
      <c r="E230" s="7">
        <v>0</v>
      </c>
      <c r="F230" s="8" t="str">
        <f>IFERROR(E230/E444, "NA")</f>
        <v>NA</v>
      </c>
      <c r="G230" s="9"/>
      <c r="H230" s="10">
        <f t="shared" si="60"/>
        <v>0</v>
      </c>
      <c r="I230" s="8" t="str">
        <f>IFERROR(H230/H444, "NA")</f>
        <v>NA</v>
      </c>
      <c r="J230" s="9"/>
      <c r="K230" s="7">
        <v>0</v>
      </c>
      <c r="L230" s="8" t="str">
        <f>IFERROR(K230/K444, "NA")</f>
        <v>NA</v>
      </c>
      <c r="M230" s="9"/>
      <c r="N230" s="10">
        <f t="shared" si="61"/>
        <v>0</v>
      </c>
      <c r="O230" s="8" t="str">
        <f>IFERROR(N230/N444, "NA")</f>
        <v>NA</v>
      </c>
      <c r="P230" s="9"/>
      <c r="Q230" s="7">
        <v>0</v>
      </c>
      <c r="R230" s="8" t="str">
        <f>IFERROR(Q230/Q444, "NA")</f>
        <v>NA</v>
      </c>
      <c r="S230" s="9"/>
      <c r="T230" s="7">
        <v>0</v>
      </c>
      <c r="U230" s="8" t="str">
        <f>IFERROR(T230/T444, "NA")</f>
        <v>NA</v>
      </c>
      <c r="V230" s="9"/>
      <c r="W230" s="10">
        <f t="shared" si="62"/>
        <v>0</v>
      </c>
      <c r="X230" s="8" t="str">
        <f>IFERROR(W230/W444, "NA")</f>
        <v>NA</v>
      </c>
      <c r="Y230" s="9"/>
      <c r="Z230" s="7">
        <v>0</v>
      </c>
      <c r="AA230" s="8" t="str">
        <f>IFERROR(Z230/Z444, "NA")</f>
        <v>NA</v>
      </c>
      <c r="AB230" s="9"/>
      <c r="AC230" s="10">
        <f t="shared" si="63"/>
        <v>0</v>
      </c>
      <c r="AD230" s="8" t="str">
        <f>IFERROR(AC230/AC444, "NA")</f>
        <v>NA</v>
      </c>
    </row>
    <row r="231" spans="1:30" ht="16.5" hidden="1" customHeight="1" x14ac:dyDescent="0.45">
      <c r="A231" s="6" t="s">
        <v>210</v>
      </c>
      <c r="B231" s="7">
        <v>0</v>
      </c>
      <c r="C231" s="8" t="str">
        <f>IFERROR(B231/B444, "NA")</f>
        <v>NA</v>
      </c>
      <c r="D231" s="9"/>
      <c r="E231" s="7">
        <v>0</v>
      </c>
      <c r="F231" s="8" t="str">
        <f>IFERROR(E231/E444, "NA")</f>
        <v>NA</v>
      </c>
      <c r="G231" s="9"/>
      <c r="H231" s="10">
        <f t="shared" si="60"/>
        <v>0</v>
      </c>
      <c r="I231" s="8" t="str">
        <f>IFERROR(H231/H444, "NA")</f>
        <v>NA</v>
      </c>
      <c r="J231" s="9"/>
      <c r="K231" s="7">
        <v>0</v>
      </c>
      <c r="L231" s="8" t="str">
        <f>IFERROR(K231/K444, "NA")</f>
        <v>NA</v>
      </c>
      <c r="M231" s="9"/>
      <c r="N231" s="10">
        <f t="shared" si="61"/>
        <v>0</v>
      </c>
      <c r="O231" s="8" t="str">
        <f>IFERROR(N231/N444, "NA")</f>
        <v>NA</v>
      </c>
      <c r="P231" s="9"/>
      <c r="Q231" s="7">
        <v>0</v>
      </c>
      <c r="R231" s="8" t="str">
        <f>IFERROR(Q231/Q444, "NA")</f>
        <v>NA</v>
      </c>
      <c r="S231" s="9"/>
      <c r="T231" s="7">
        <v>0</v>
      </c>
      <c r="U231" s="8" t="str">
        <f>IFERROR(T231/T444, "NA")</f>
        <v>NA</v>
      </c>
      <c r="V231" s="9"/>
      <c r="W231" s="10">
        <f t="shared" si="62"/>
        <v>0</v>
      </c>
      <c r="X231" s="8" t="str">
        <f>IFERROR(W231/W444, "NA")</f>
        <v>NA</v>
      </c>
      <c r="Y231" s="9"/>
      <c r="Z231" s="7">
        <v>0</v>
      </c>
      <c r="AA231" s="8" t="str">
        <f>IFERROR(Z231/Z444, "NA")</f>
        <v>NA</v>
      </c>
      <c r="AB231" s="9"/>
      <c r="AC231" s="10">
        <f t="shared" si="63"/>
        <v>0</v>
      </c>
      <c r="AD231" s="8" t="str">
        <f>IFERROR(AC231/AC444, "NA")</f>
        <v>NA</v>
      </c>
    </row>
    <row r="232" spans="1:30" ht="16.5" hidden="1" customHeight="1" x14ac:dyDescent="0.45">
      <c r="A232" s="6" t="s">
        <v>211</v>
      </c>
      <c r="B232" s="7">
        <v>0</v>
      </c>
      <c r="C232" s="8" t="str">
        <f>IFERROR(B232/B444, "NA")</f>
        <v>NA</v>
      </c>
      <c r="D232" s="9"/>
      <c r="E232" s="7">
        <v>0</v>
      </c>
      <c r="F232" s="8" t="str">
        <f>IFERROR(E232/E444, "NA")</f>
        <v>NA</v>
      </c>
      <c r="G232" s="9"/>
      <c r="H232" s="10">
        <f t="shared" si="60"/>
        <v>0</v>
      </c>
      <c r="I232" s="8" t="str">
        <f>IFERROR(H232/H444, "NA")</f>
        <v>NA</v>
      </c>
      <c r="J232" s="9"/>
      <c r="K232" s="7">
        <v>0</v>
      </c>
      <c r="L232" s="8" t="str">
        <f>IFERROR(K232/K444, "NA")</f>
        <v>NA</v>
      </c>
      <c r="M232" s="9"/>
      <c r="N232" s="10">
        <f t="shared" si="61"/>
        <v>0</v>
      </c>
      <c r="O232" s="8" t="str">
        <f>IFERROR(N232/N444, "NA")</f>
        <v>NA</v>
      </c>
      <c r="P232" s="9"/>
      <c r="Q232" s="7">
        <v>0</v>
      </c>
      <c r="R232" s="8" t="str">
        <f>IFERROR(Q232/Q444, "NA")</f>
        <v>NA</v>
      </c>
      <c r="S232" s="9"/>
      <c r="T232" s="7">
        <v>0</v>
      </c>
      <c r="U232" s="8" t="str">
        <f>IFERROR(T232/T444, "NA")</f>
        <v>NA</v>
      </c>
      <c r="V232" s="9"/>
      <c r="W232" s="10">
        <f t="shared" si="62"/>
        <v>0</v>
      </c>
      <c r="X232" s="8" t="str">
        <f>IFERROR(W232/W444, "NA")</f>
        <v>NA</v>
      </c>
      <c r="Y232" s="9"/>
      <c r="Z232" s="7">
        <v>0</v>
      </c>
      <c r="AA232" s="8" t="str">
        <f>IFERROR(Z232/Z444, "NA")</f>
        <v>NA</v>
      </c>
      <c r="AB232" s="9"/>
      <c r="AC232" s="10">
        <f t="shared" si="63"/>
        <v>0</v>
      </c>
      <c r="AD232" s="8" t="str">
        <f>IFERROR(AC232/AC444, "NA")</f>
        <v>NA</v>
      </c>
    </row>
    <row r="233" spans="1:30" ht="16.5" hidden="1" customHeight="1" x14ac:dyDescent="0.45">
      <c r="A233" s="6" t="s">
        <v>212</v>
      </c>
      <c r="B233" s="7">
        <v>0</v>
      </c>
      <c r="C233" s="8" t="str">
        <f>IFERROR(B233/B444, "NA")</f>
        <v>NA</v>
      </c>
      <c r="D233" s="9"/>
      <c r="E233" s="7">
        <v>0</v>
      </c>
      <c r="F233" s="8" t="str">
        <f>IFERROR(E233/E444, "NA")</f>
        <v>NA</v>
      </c>
      <c r="G233" s="9"/>
      <c r="H233" s="10">
        <f t="shared" si="60"/>
        <v>0</v>
      </c>
      <c r="I233" s="8" t="str">
        <f>IFERROR(H233/H444, "NA")</f>
        <v>NA</v>
      </c>
      <c r="J233" s="9"/>
      <c r="K233" s="7">
        <v>0</v>
      </c>
      <c r="L233" s="8" t="str">
        <f>IFERROR(K233/K444, "NA")</f>
        <v>NA</v>
      </c>
      <c r="M233" s="9"/>
      <c r="N233" s="10">
        <f t="shared" si="61"/>
        <v>0</v>
      </c>
      <c r="O233" s="8" t="str">
        <f>IFERROR(N233/N444, "NA")</f>
        <v>NA</v>
      </c>
      <c r="P233" s="9"/>
      <c r="Q233" s="7">
        <v>0</v>
      </c>
      <c r="R233" s="8" t="str">
        <f>IFERROR(Q233/Q444, "NA")</f>
        <v>NA</v>
      </c>
      <c r="S233" s="9"/>
      <c r="T233" s="7">
        <v>0</v>
      </c>
      <c r="U233" s="8" t="str">
        <f>IFERROR(T233/T444, "NA")</f>
        <v>NA</v>
      </c>
      <c r="V233" s="9"/>
      <c r="W233" s="10">
        <f t="shared" si="62"/>
        <v>0</v>
      </c>
      <c r="X233" s="8" t="str">
        <f>IFERROR(W233/W444, "NA")</f>
        <v>NA</v>
      </c>
      <c r="Y233" s="9"/>
      <c r="Z233" s="7">
        <v>0</v>
      </c>
      <c r="AA233" s="8" t="str">
        <f>IFERROR(Z233/Z444, "NA")</f>
        <v>NA</v>
      </c>
      <c r="AB233" s="9"/>
      <c r="AC233" s="10">
        <f t="shared" si="63"/>
        <v>0</v>
      </c>
      <c r="AD233" s="8" t="str">
        <f>IFERROR(AC233/AC444, "NA")</f>
        <v>NA</v>
      </c>
    </row>
    <row r="234" spans="1:30" ht="16.5" hidden="1" customHeight="1" x14ac:dyDescent="0.45">
      <c r="A234" s="6" t="s">
        <v>213</v>
      </c>
      <c r="B234" s="7">
        <v>0</v>
      </c>
      <c r="C234" s="8" t="str">
        <f>IFERROR(B234/B444, "NA")</f>
        <v>NA</v>
      </c>
      <c r="D234" s="9"/>
      <c r="E234" s="7">
        <v>0</v>
      </c>
      <c r="F234" s="8" t="str">
        <f>IFERROR(E234/E444, "NA")</f>
        <v>NA</v>
      </c>
      <c r="G234" s="9"/>
      <c r="H234" s="10">
        <f t="shared" si="60"/>
        <v>0</v>
      </c>
      <c r="I234" s="8" t="str">
        <f>IFERROR(H234/H444, "NA")</f>
        <v>NA</v>
      </c>
      <c r="J234" s="9"/>
      <c r="K234" s="7">
        <v>0</v>
      </c>
      <c r="L234" s="8" t="str">
        <f>IFERROR(K234/K444, "NA")</f>
        <v>NA</v>
      </c>
      <c r="M234" s="9"/>
      <c r="N234" s="10">
        <f t="shared" si="61"/>
        <v>0</v>
      </c>
      <c r="O234" s="8" t="str">
        <f>IFERROR(N234/N444, "NA")</f>
        <v>NA</v>
      </c>
      <c r="P234" s="9"/>
      <c r="Q234" s="7">
        <v>0</v>
      </c>
      <c r="R234" s="8" t="str">
        <f>IFERROR(Q234/Q444, "NA")</f>
        <v>NA</v>
      </c>
      <c r="S234" s="9"/>
      <c r="T234" s="7">
        <v>0</v>
      </c>
      <c r="U234" s="8" t="str">
        <f>IFERROR(T234/T444, "NA")</f>
        <v>NA</v>
      </c>
      <c r="V234" s="9"/>
      <c r="W234" s="10">
        <f t="shared" si="62"/>
        <v>0</v>
      </c>
      <c r="X234" s="8" t="str">
        <f>IFERROR(W234/W444, "NA")</f>
        <v>NA</v>
      </c>
      <c r="Y234" s="9"/>
      <c r="Z234" s="7">
        <v>0</v>
      </c>
      <c r="AA234" s="8" t="str">
        <f>IFERROR(Z234/Z444, "NA")</f>
        <v>NA</v>
      </c>
      <c r="AB234" s="9"/>
      <c r="AC234" s="10">
        <f t="shared" si="63"/>
        <v>0</v>
      </c>
      <c r="AD234" s="8" t="str">
        <f>IFERROR(AC234/AC444, "NA")</f>
        <v>NA</v>
      </c>
    </row>
    <row r="235" spans="1:30" ht="16.5" hidden="1" customHeight="1" x14ac:dyDescent="0.45">
      <c r="A235" s="6" t="s">
        <v>214</v>
      </c>
      <c r="B235" s="7">
        <v>0</v>
      </c>
      <c r="C235" s="8" t="str">
        <f>IFERROR(B235/B444, "NA")</f>
        <v>NA</v>
      </c>
      <c r="D235" s="9"/>
      <c r="E235" s="7">
        <v>0</v>
      </c>
      <c r="F235" s="8" t="str">
        <f>IFERROR(E235/E444, "NA")</f>
        <v>NA</v>
      </c>
      <c r="G235" s="9"/>
      <c r="H235" s="10">
        <f t="shared" si="60"/>
        <v>0</v>
      </c>
      <c r="I235" s="8" t="str">
        <f>IFERROR(H235/H444, "NA")</f>
        <v>NA</v>
      </c>
      <c r="J235" s="9"/>
      <c r="K235" s="7">
        <v>0</v>
      </c>
      <c r="L235" s="8" t="str">
        <f>IFERROR(K235/K444, "NA")</f>
        <v>NA</v>
      </c>
      <c r="M235" s="9"/>
      <c r="N235" s="10">
        <f t="shared" si="61"/>
        <v>0</v>
      </c>
      <c r="O235" s="8" t="str">
        <f>IFERROR(N235/N444, "NA")</f>
        <v>NA</v>
      </c>
      <c r="P235" s="9"/>
      <c r="Q235" s="7">
        <v>0</v>
      </c>
      <c r="R235" s="8" t="str">
        <f>IFERROR(Q235/Q444, "NA")</f>
        <v>NA</v>
      </c>
      <c r="S235" s="9"/>
      <c r="T235" s="7">
        <v>0</v>
      </c>
      <c r="U235" s="8" t="str">
        <f>IFERROR(T235/T444, "NA")</f>
        <v>NA</v>
      </c>
      <c r="V235" s="9"/>
      <c r="W235" s="10">
        <f t="shared" si="62"/>
        <v>0</v>
      </c>
      <c r="X235" s="8" t="str">
        <f>IFERROR(W235/W444, "NA")</f>
        <v>NA</v>
      </c>
      <c r="Y235" s="9"/>
      <c r="Z235" s="7">
        <v>0</v>
      </c>
      <c r="AA235" s="8" t="str">
        <f>IFERROR(Z235/Z444, "NA")</f>
        <v>NA</v>
      </c>
      <c r="AB235" s="9"/>
      <c r="AC235" s="10">
        <f t="shared" si="63"/>
        <v>0</v>
      </c>
      <c r="AD235" s="8" t="str">
        <f>IFERROR(AC235/AC444, "NA")</f>
        <v>NA</v>
      </c>
    </row>
    <row r="236" spans="1:30" ht="16.5" customHeight="1" x14ac:dyDescent="0.45">
      <c r="A236" s="19" t="s">
        <v>215</v>
      </c>
      <c r="B236" s="14">
        <f>IFERROR(B229+B230+B231+B232+B233+B234+B235, "NA")</f>
        <v>0</v>
      </c>
      <c r="C236" s="15" t="str">
        <f>IFERROR(B236/B444, "NA")</f>
        <v>NA</v>
      </c>
      <c r="D236" s="2"/>
      <c r="E236" s="14">
        <f>IFERROR(E229+E230+E231+E232+E233+E234+E235, "NA")</f>
        <v>0</v>
      </c>
      <c r="F236" s="15" t="str">
        <f>IFERROR(E236/E444, "NA")</f>
        <v>NA</v>
      </c>
      <c r="G236" s="2"/>
      <c r="H236" s="14">
        <f t="shared" si="60"/>
        <v>0</v>
      </c>
      <c r="I236" s="15" t="str">
        <f>IFERROR(H236/H444, "NA")</f>
        <v>NA</v>
      </c>
      <c r="J236" s="2"/>
      <c r="K236" s="14">
        <f>IFERROR(K229+K230+K231+K232+K233+K234+K235, "NA")</f>
        <v>0</v>
      </c>
      <c r="L236" s="15" t="str">
        <f>IFERROR(K236/K444, "NA")</f>
        <v>NA</v>
      </c>
      <c r="M236" s="2"/>
      <c r="N236" s="14">
        <f t="shared" si="61"/>
        <v>0</v>
      </c>
      <c r="O236" s="15" t="str">
        <f>IFERROR(N236/N444, "NA")</f>
        <v>NA</v>
      </c>
      <c r="P236" s="2"/>
      <c r="Q236" s="14">
        <f>IFERROR(Q229+Q230+Q231+Q232+Q233+Q234+Q235, "NA")</f>
        <v>0</v>
      </c>
      <c r="R236" s="15" t="str">
        <f>IFERROR(Q236/Q444, "NA")</f>
        <v>NA</v>
      </c>
      <c r="S236" s="2"/>
      <c r="T236" s="14">
        <f>IFERROR(T229+T230+T231+T232+T233+T234+T235, "NA")</f>
        <v>0</v>
      </c>
      <c r="U236" s="15" t="str">
        <f>IFERROR(T236/T444, "NA")</f>
        <v>NA</v>
      </c>
      <c r="V236" s="2"/>
      <c r="W236" s="14">
        <f t="shared" si="62"/>
        <v>0</v>
      </c>
      <c r="X236" s="15" t="str">
        <f>IFERROR(W236/W444, "NA")</f>
        <v>NA</v>
      </c>
      <c r="Y236" s="2"/>
      <c r="Z236" s="14">
        <f>IFERROR(Z229+Z230+Z231+Z232+Z233+Z234+Z235, "NA")</f>
        <v>0</v>
      </c>
      <c r="AA236" s="15" t="str">
        <f>IFERROR(Z236/Z444, "NA")</f>
        <v>NA</v>
      </c>
      <c r="AB236" s="2"/>
      <c r="AC236" s="14">
        <f t="shared" si="63"/>
        <v>0</v>
      </c>
      <c r="AD236" s="15" t="str">
        <f>IFERROR(AC236/AC444, "NA")</f>
        <v>NA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 t="str">
        <f>IFERROR(B238/B444, "NA")</f>
        <v>NA</v>
      </c>
      <c r="D238" s="9"/>
      <c r="E238" s="7">
        <v>0</v>
      </c>
      <c r="F238" s="8" t="str">
        <f>IFERROR(E238/E444, "NA")</f>
        <v>NA</v>
      </c>
      <c r="G238" s="9"/>
      <c r="H238" s="10">
        <f>IFERROR(-(B238-E238), "NA")</f>
        <v>0</v>
      </c>
      <c r="I238" s="8" t="str">
        <f>IFERROR(H238/H444, "NA")</f>
        <v>NA</v>
      </c>
      <c r="J238" s="9"/>
      <c r="K238" s="7">
        <v>0</v>
      </c>
      <c r="L238" s="8" t="str">
        <f>IFERROR(K238/K444, "NA")</f>
        <v>NA</v>
      </c>
      <c r="M238" s="9"/>
      <c r="N238" s="10">
        <f>IFERROR(-(B238-K238), "NA")</f>
        <v>0</v>
      </c>
      <c r="O238" s="8" t="str">
        <f>IFERROR(N238/N444, "NA")</f>
        <v>NA</v>
      </c>
      <c r="P238" s="9"/>
      <c r="Q238" s="7">
        <v>0</v>
      </c>
      <c r="R238" s="8" t="str">
        <f>IFERROR(Q238/Q444, "NA")</f>
        <v>NA</v>
      </c>
      <c r="S238" s="9"/>
      <c r="T238" s="7">
        <v>0</v>
      </c>
      <c r="U238" s="8" t="str">
        <f>IFERROR(T238/T444, "NA")</f>
        <v>NA</v>
      </c>
      <c r="V238" s="9"/>
      <c r="W238" s="10">
        <f>IFERROR(-(Q238-T238), "NA")</f>
        <v>0</v>
      </c>
      <c r="X238" s="8" t="str">
        <f>IFERROR(W238/W444, "NA")</f>
        <v>NA</v>
      </c>
      <c r="Y238" s="9"/>
      <c r="Z238" s="7">
        <v>0</v>
      </c>
      <c r="AA238" s="8" t="str">
        <f>IFERROR(Z238/Z444, "NA")</f>
        <v>NA</v>
      </c>
      <c r="AB238" s="9"/>
      <c r="AC238" s="10">
        <f>IFERROR(-(Q238-Z238), "NA")</f>
        <v>0</v>
      </c>
      <c r="AD238" s="8" t="str">
        <f>IFERROR(AC238/AC444, "NA")</f>
        <v>NA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hidden="1" customHeight="1" x14ac:dyDescent="0.45">
      <c r="A240" s="12" t="s">
        <v>217</v>
      </c>
      <c r="B240" s="7">
        <v>0</v>
      </c>
      <c r="C240" s="8" t="str">
        <f>IFERROR(B240/B444, "NA")</f>
        <v>NA</v>
      </c>
      <c r="D240" s="9"/>
      <c r="E240" s="7">
        <v>0</v>
      </c>
      <c r="F240" s="8" t="str">
        <f>IFERROR(E240/E444, "NA")</f>
        <v>NA</v>
      </c>
      <c r="G240" s="9"/>
      <c r="H240" s="10">
        <f t="shared" ref="H240:H263" si="64">IFERROR(-(B240-E240), "NA")</f>
        <v>0</v>
      </c>
      <c r="I240" s="8" t="str">
        <f>IFERROR(H240/H444, "NA")</f>
        <v>NA</v>
      </c>
      <c r="J240" s="9"/>
      <c r="K240" s="7">
        <v>0</v>
      </c>
      <c r="L240" s="8" t="str">
        <f>IFERROR(K240/K444, "NA")</f>
        <v>NA</v>
      </c>
      <c r="M240" s="9"/>
      <c r="N240" s="10">
        <f t="shared" ref="N240:N263" si="65">IFERROR(-(B240-K240), "NA")</f>
        <v>0</v>
      </c>
      <c r="O240" s="8" t="str">
        <f>IFERROR(N240/N444, "NA")</f>
        <v>NA</v>
      </c>
      <c r="P240" s="9"/>
      <c r="Q240" s="7">
        <v>0</v>
      </c>
      <c r="R240" s="8" t="str">
        <f>IFERROR(Q240/Q444, "NA")</f>
        <v>NA</v>
      </c>
      <c r="S240" s="9"/>
      <c r="T240" s="7">
        <v>0</v>
      </c>
      <c r="U240" s="8" t="str">
        <f>IFERROR(T240/T444, "NA")</f>
        <v>NA</v>
      </c>
      <c r="V240" s="9"/>
      <c r="W240" s="10">
        <f t="shared" ref="W240:W263" si="66">IFERROR(-(Q240-T240), "NA")</f>
        <v>0</v>
      </c>
      <c r="X240" s="8" t="str">
        <f>IFERROR(W240/W444, "NA")</f>
        <v>NA</v>
      </c>
      <c r="Y240" s="9"/>
      <c r="Z240" s="7">
        <v>0</v>
      </c>
      <c r="AA240" s="8" t="str">
        <f>IFERROR(Z240/Z444, "NA")</f>
        <v>NA</v>
      </c>
      <c r="AB240" s="9"/>
      <c r="AC240" s="10">
        <f t="shared" ref="AC240:AC263" si="67">IFERROR(-(Q240-Z240), "NA")</f>
        <v>0</v>
      </c>
      <c r="AD240" s="8" t="str">
        <f>IFERROR(AC240/AC444, "NA")</f>
        <v>NA</v>
      </c>
    </row>
    <row r="241" spans="1:30" ht="16.5" hidden="1" customHeight="1" x14ac:dyDescent="0.45">
      <c r="A241" s="12" t="s">
        <v>218</v>
      </c>
      <c r="B241" s="7">
        <v>0</v>
      </c>
      <c r="C241" s="8" t="str">
        <f>IFERROR(B241/B444, "NA")</f>
        <v>NA</v>
      </c>
      <c r="D241" s="9"/>
      <c r="E241" s="7">
        <v>0</v>
      </c>
      <c r="F241" s="8" t="str">
        <f>IFERROR(E241/E444, "NA")</f>
        <v>NA</v>
      </c>
      <c r="G241" s="9"/>
      <c r="H241" s="10">
        <f t="shared" si="64"/>
        <v>0</v>
      </c>
      <c r="I241" s="8" t="str">
        <f>IFERROR(H241/H444, "NA")</f>
        <v>NA</v>
      </c>
      <c r="J241" s="9"/>
      <c r="K241" s="7">
        <v>0</v>
      </c>
      <c r="L241" s="8" t="str">
        <f>IFERROR(K241/K444, "NA")</f>
        <v>NA</v>
      </c>
      <c r="M241" s="9"/>
      <c r="N241" s="10">
        <f t="shared" si="65"/>
        <v>0</v>
      </c>
      <c r="O241" s="8" t="str">
        <f>IFERROR(N241/N444, "NA")</f>
        <v>NA</v>
      </c>
      <c r="P241" s="9"/>
      <c r="Q241" s="7">
        <v>0</v>
      </c>
      <c r="R241" s="8" t="str">
        <f>IFERROR(Q241/Q444, "NA")</f>
        <v>NA</v>
      </c>
      <c r="S241" s="9"/>
      <c r="T241" s="7">
        <v>0</v>
      </c>
      <c r="U241" s="8" t="str">
        <f>IFERROR(T241/T444, "NA")</f>
        <v>NA</v>
      </c>
      <c r="V241" s="9"/>
      <c r="W241" s="10">
        <f t="shared" si="66"/>
        <v>0</v>
      </c>
      <c r="X241" s="8" t="str">
        <f>IFERROR(W241/W444, "NA")</f>
        <v>NA</v>
      </c>
      <c r="Y241" s="9"/>
      <c r="Z241" s="7">
        <v>0</v>
      </c>
      <c r="AA241" s="8" t="str">
        <f>IFERROR(Z241/Z444, "NA")</f>
        <v>NA</v>
      </c>
      <c r="AB241" s="9"/>
      <c r="AC241" s="10">
        <f t="shared" si="67"/>
        <v>0</v>
      </c>
      <c r="AD241" s="8" t="str">
        <f>IFERROR(AC241/AC444, "NA")</f>
        <v>NA</v>
      </c>
    </row>
    <row r="242" spans="1:30" ht="16.5" hidden="1" customHeight="1" x14ac:dyDescent="0.45">
      <c r="A242" s="12" t="s">
        <v>219</v>
      </c>
      <c r="B242" s="7">
        <v>0</v>
      </c>
      <c r="C242" s="8" t="str">
        <f>IFERROR(B242/B444, "NA")</f>
        <v>NA</v>
      </c>
      <c r="D242" s="9"/>
      <c r="E242" s="7">
        <v>0</v>
      </c>
      <c r="F242" s="8" t="str">
        <f>IFERROR(E242/E444, "NA")</f>
        <v>NA</v>
      </c>
      <c r="G242" s="9"/>
      <c r="H242" s="10">
        <f t="shared" si="64"/>
        <v>0</v>
      </c>
      <c r="I242" s="8" t="str">
        <f>IFERROR(H242/H444, "NA")</f>
        <v>NA</v>
      </c>
      <c r="J242" s="9"/>
      <c r="K242" s="7">
        <v>0</v>
      </c>
      <c r="L242" s="8" t="str">
        <f>IFERROR(K242/K444, "NA")</f>
        <v>NA</v>
      </c>
      <c r="M242" s="9"/>
      <c r="N242" s="10">
        <f t="shared" si="65"/>
        <v>0</v>
      </c>
      <c r="O242" s="8" t="str">
        <f>IFERROR(N242/N444, "NA")</f>
        <v>NA</v>
      </c>
      <c r="P242" s="9"/>
      <c r="Q242" s="7">
        <v>0</v>
      </c>
      <c r="R242" s="8" t="str">
        <f>IFERROR(Q242/Q444, "NA")</f>
        <v>NA</v>
      </c>
      <c r="S242" s="9"/>
      <c r="T242" s="7">
        <v>0</v>
      </c>
      <c r="U242" s="8" t="str">
        <f>IFERROR(T242/T444, "NA")</f>
        <v>NA</v>
      </c>
      <c r="V242" s="9"/>
      <c r="W242" s="10">
        <f t="shared" si="66"/>
        <v>0</v>
      </c>
      <c r="X242" s="8" t="str">
        <f>IFERROR(W242/W444, "NA")</f>
        <v>NA</v>
      </c>
      <c r="Y242" s="9"/>
      <c r="Z242" s="7">
        <v>0</v>
      </c>
      <c r="AA242" s="8" t="str">
        <f>IFERROR(Z242/Z444, "NA")</f>
        <v>NA</v>
      </c>
      <c r="AB242" s="9"/>
      <c r="AC242" s="10">
        <f t="shared" si="67"/>
        <v>0</v>
      </c>
      <c r="AD242" s="8" t="str">
        <f>IFERROR(AC242/AC444, "NA")</f>
        <v>NA</v>
      </c>
    </row>
    <row r="243" spans="1:30" ht="16.5" hidden="1" customHeight="1" x14ac:dyDescent="0.45">
      <c r="A243" s="12" t="s">
        <v>220</v>
      </c>
      <c r="B243" s="7">
        <v>0</v>
      </c>
      <c r="C243" s="8" t="str">
        <f>IFERROR(B243/B444, "NA")</f>
        <v>NA</v>
      </c>
      <c r="D243" s="9"/>
      <c r="E243" s="7">
        <v>0</v>
      </c>
      <c r="F243" s="8" t="str">
        <f>IFERROR(E243/E444, "NA")</f>
        <v>NA</v>
      </c>
      <c r="G243" s="9"/>
      <c r="H243" s="10">
        <f t="shared" si="64"/>
        <v>0</v>
      </c>
      <c r="I243" s="8" t="str">
        <f>IFERROR(H243/H444, "NA")</f>
        <v>NA</v>
      </c>
      <c r="J243" s="9"/>
      <c r="K243" s="7">
        <v>0</v>
      </c>
      <c r="L243" s="8" t="str">
        <f>IFERROR(K243/K444, "NA")</f>
        <v>NA</v>
      </c>
      <c r="M243" s="9"/>
      <c r="N243" s="10">
        <f t="shared" si="65"/>
        <v>0</v>
      </c>
      <c r="O243" s="8" t="str">
        <f>IFERROR(N243/N444, "NA")</f>
        <v>NA</v>
      </c>
      <c r="P243" s="9"/>
      <c r="Q243" s="7">
        <v>0</v>
      </c>
      <c r="R243" s="8" t="str">
        <f>IFERROR(Q243/Q444, "NA")</f>
        <v>NA</v>
      </c>
      <c r="S243" s="9"/>
      <c r="T243" s="7">
        <v>0</v>
      </c>
      <c r="U243" s="8" t="str">
        <f>IFERROR(T243/T444, "NA")</f>
        <v>NA</v>
      </c>
      <c r="V243" s="9"/>
      <c r="W243" s="10">
        <f t="shared" si="66"/>
        <v>0</v>
      </c>
      <c r="X243" s="8" t="str">
        <f>IFERROR(W243/W444, "NA")</f>
        <v>NA</v>
      </c>
      <c r="Y243" s="9"/>
      <c r="Z243" s="7">
        <v>0</v>
      </c>
      <c r="AA243" s="8" t="str">
        <f>IFERROR(Z243/Z444, "NA")</f>
        <v>NA</v>
      </c>
      <c r="AB243" s="9"/>
      <c r="AC243" s="10">
        <f t="shared" si="67"/>
        <v>0</v>
      </c>
      <c r="AD243" s="8" t="str">
        <f>IFERROR(AC243/AC444, "NA")</f>
        <v>NA</v>
      </c>
    </row>
    <row r="244" spans="1:30" ht="16.5" hidden="1" customHeight="1" x14ac:dyDescent="0.45">
      <c r="A244" s="12" t="s">
        <v>221</v>
      </c>
      <c r="B244" s="7">
        <v>0</v>
      </c>
      <c r="C244" s="8" t="str">
        <f>IFERROR(B244/B444, "NA")</f>
        <v>NA</v>
      </c>
      <c r="D244" s="9"/>
      <c r="E244" s="7">
        <v>0</v>
      </c>
      <c r="F244" s="8" t="str">
        <f>IFERROR(E244/E444, "NA")</f>
        <v>NA</v>
      </c>
      <c r="G244" s="9"/>
      <c r="H244" s="10">
        <f t="shared" si="64"/>
        <v>0</v>
      </c>
      <c r="I244" s="8" t="str">
        <f>IFERROR(H244/H444, "NA")</f>
        <v>NA</v>
      </c>
      <c r="J244" s="9"/>
      <c r="K244" s="7">
        <v>0</v>
      </c>
      <c r="L244" s="8" t="str">
        <f>IFERROR(K244/K444, "NA")</f>
        <v>NA</v>
      </c>
      <c r="M244" s="9"/>
      <c r="N244" s="10">
        <f t="shared" si="65"/>
        <v>0</v>
      </c>
      <c r="O244" s="8" t="str">
        <f>IFERROR(N244/N444, "NA")</f>
        <v>NA</v>
      </c>
      <c r="P244" s="9"/>
      <c r="Q244" s="7">
        <v>0</v>
      </c>
      <c r="R244" s="8" t="str">
        <f>IFERROR(Q244/Q444, "NA")</f>
        <v>NA</v>
      </c>
      <c r="S244" s="9"/>
      <c r="T244" s="7">
        <v>0</v>
      </c>
      <c r="U244" s="8" t="str">
        <f>IFERROR(T244/T444, "NA")</f>
        <v>NA</v>
      </c>
      <c r="V244" s="9"/>
      <c r="W244" s="10">
        <f t="shared" si="66"/>
        <v>0</v>
      </c>
      <c r="X244" s="8" t="str">
        <f>IFERROR(W244/W444, "NA")</f>
        <v>NA</v>
      </c>
      <c r="Y244" s="9"/>
      <c r="Z244" s="7">
        <v>0</v>
      </c>
      <c r="AA244" s="8" t="str">
        <f>IFERROR(Z244/Z444, "NA")</f>
        <v>NA</v>
      </c>
      <c r="AB244" s="9"/>
      <c r="AC244" s="10">
        <f t="shared" si="67"/>
        <v>0</v>
      </c>
      <c r="AD244" s="8" t="str">
        <f>IFERROR(AC244/AC444, "NA")</f>
        <v>NA</v>
      </c>
    </row>
    <row r="245" spans="1:30" ht="16.5" hidden="1" customHeight="1" x14ac:dyDescent="0.45">
      <c r="A245" s="12" t="s">
        <v>222</v>
      </c>
      <c r="B245" s="7">
        <v>0</v>
      </c>
      <c r="C245" s="8" t="str">
        <f>IFERROR(B245/B444, "NA")</f>
        <v>NA</v>
      </c>
      <c r="D245" s="9"/>
      <c r="E245" s="7">
        <v>0</v>
      </c>
      <c r="F245" s="8" t="str">
        <f>IFERROR(E245/E444, "NA")</f>
        <v>NA</v>
      </c>
      <c r="G245" s="9"/>
      <c r="H245" s="10">
        <f t="shared" si="64"/>
        <v>0</v>
      </c>
      <c r="I245" s="8" t="str">
        <f>IFERROR(H245/H444, "NA")</f>
        <v>NA</v>
      </c>
      <c r="J245" s="9"/>
      <c r="K245" s="7">
        <v>0</v>
      </c>
      <c r="L245" s="8" t="str">
        <f>IFERROR(K245/K444, "NA")</f>
        <v>NA</v>
      </c>
      <c r="M245" s="9"/>
      <c r="N245" s="10">
        <f t="shared" si="65"/>
        <v>0</v>
      </c>
      <c r="O245" s="8" t="str">
        <f>IFERROR(N245/N444, "NA")</f>
        <v>NA</v>
      </c>
      <c r="P245" s="9"/>
      <c r="Q245" s="7">
        <v>0</v>
      </c>
      <c r="R245" s="8" t="str">
        <f>IFERROR(Q245/Q444, "NA")</f>
        <v>NA</v>
      </c>
      <c r="S245" s="9"/>
      <c r="T245" s="7">
        <v>0</v>
      </c>
      <c r="U245" s="8" t="str">
        <f>IFERROR(T245/T444, "NA")</f>
        <v>NA</v>
      </c>
      <c r="V245" s="9"/>
      <c r="W245" s="10">
        <f t="shared" si="66"/>
        <v>0</v>
      </c>
      <c r="X245" s="8" t="str">
        <f>IFERROR(W245/W444, "NA")</f>
        <v>NA</v>
      </c>
      <c r="Y245" s="9"/>
      <c r="Z245" s="7">
        <v>0</v>
      </c>
      <c r="AA245" s="8" t="str">
        <f>IFERROR(Z245/Z444, "NA")</f>
        <v>NA</v>
      </c>
      <c r="AB245" s="9"/>
      <c r="AC245" s="10">
        <f t="shared" si="67"/>
        <v>0</v>
      </c>
      <c r="AD245" s="8" t="str">
        <f>IFERROR(AC245/AC444, "NA")</f>
        <v>NA</v>
      </c>
    </row>
    <row r="246" spans="1:30" ht="16.5" hidden="1" customHeight="1" x14ac:dyDescent="0.45">
      <c r="A246" s="12" t="s">
        <v>223</v>
      </c>
      <c r="B246" s="7">
        <v>0</v>
      </c>
      <c r="C246" s="8" t="str">
        <f>IFERROR(B246/B444, "NA")</f>
        <v>NA</v>
      </c>
      <c r="D246" s="9"/>
      <c r="E246" s="7">
        <v>0</v>
      </c>
      <c r="F246" s="8" t="str">
        <f>IFERROR(E246/E444, "NA")</f>
        <v>NA</v>
      </c>
      <c r="G246" s="9"/>
      <c r="H246" s="10">
        <f t="shared" si="64"/>
        <v>0</v>
      </c>
      <c r="I246" s="8" t="str">
        <f>IFERROR(H246/H444, "NA")</f>
        <v>NA</v>
      </c>
      <c r="J246" s="9"/>
      <c r="K246" s="7">
        <v>0</v>
      </c>
      <c r="L246" s="8" t="str">
        <f>IFERROR(K246/K444, "NA")</f>
        <v>NA</v>
      </c>
      <c r="M246" s="9"/>
      <c r="N246" s="10">
        <f t="shared" si="65"/>
        <v>0</v>
      </c>
      <c r="O246" s="8" t="str">
        <f>IFERROR(N246/N444, "NA")</f>
        <v>NA</v>
      </c>
      <c r="P246" s="9"/>
      <c r="Q246" s="7">
        <v>0</v>
      </c>
      <c r="R246" s="8" t="str">
        <f>IFERROR(Q246/Q444, "NA")</f>
        <v>NA</v>
      </c>
      <c r="S246" s="9"/>
      <c r="T246" s="7">
        <v>0</v>
      </c>
      <c r="U246" s="8" t="str">
        <f>IFERROR(T246/T444, "NA")</f>
        <v>NA</v>
      </c>
      <c r="V246" s="9"/>
      <c r="W246" s="10">
        <f t="shared" si="66"/>
        <v>0</v>
      </c>
      <c r="X246" s="8" t="str">
        <f>IFERROR(W246/W444, "NA")</f>
        <v>NA</v>
      </c>
      <c r="Y246" s="9"/>
      <c r="Z246" s="7">
        <v>0</v>
      </c>
      <c r="AA246" s="8" t="str">
        <f>IFERROR(Z246/Z444, "NA")</f>
        <v>NA</v>
      </c>
      <c r="AB246" s="9"/>
      <c r="AC246" s="10">
        <f t="shared" si="67"/>
        <v>0</v>
      </c>
      <c r="AD246" s="8" t="str">
        <f>IFERROR(AC246/AC444, "NA")</f>
        <v>NA</v>
      </c>
    </row>
    <row r="247" spans="1:30" ht="16.5" hidden="1" customHeight="1" x14ac:dyDescent="0.45">
      <c r="A247" s="12" t="s">
        <v>224</v>
      </c>
      <c r="B247" s="7">
        <v>0</v>
      </c>
      <c r="C247" s="8" t="str">
        <f>IFERROR(B247/B444, "NA")</f>
        <v>NA</v>
      </c>
      <c r="D247" s="9"/>
      <c r="E247" s="7">
        <v>0</v>
      </c>
      <c r="F247" s="8" t="str">
        <f>IFERROR(E247/E444, "NA")</f>
        <v>NA</v>
      </c>
      <c r="G247" s="9"/>
      <c r="H247" s="10">
        <f t="shared" si="64"/>
        <v>0</v>
      </c>
      <c r="I247" s="8" t="str">
        <f>IFERROR(H247/H444, "NA")</f>
        <v>NA</v>
      </c>
      <c r="J247" s="9"/>
      <c r="K247" s="7">
        <v>0</v>
      </c>
      <c r="L247" s="8" t="str">
        <f>IFERROR(K247/K444, "NA")</f>
        <v>NA</v>
      </c>
      <c r="M247" s="9"/>
      <c r="N247" s="10">
        <f t="shared" si="65"/>
        <v>0</v>
      </c>
      <c r="O247" s="8" t="str">
        <f>IFERROR(N247/N444, "NA")</f>
        <v>NA</v>
      </c>
      <c r="P247" s="9"/>
      <c r="Q247" s="7">
        <v>0</v>
      </c>
      <c r="R247" s="8" t="str">
        <f>IFERROR(Q247/Q444, "NA")</f>
        <v>NA</v>
      </c>
      <c r="S247" s="9"/>
      <c r="T247" s="7">
        <v>0</v>
      </c>
      <c r="U247" s="8" t="str">
        <f>IFERROR(T247/T444, "NA")</f>
        <v>NA</v>
      </c>
      <c r="V247" s="9"/>
      <c r="W247" s="10">
        <f t="shared" si="66"/>
        <v>0</v>
      </c>
      <c r="X247" s="8" t="str">
        <f>IFERROR(W247/W444, "NA")</f>
        <v>NA</v>
      </c>
      <c r="Y247" s="9"/>
      <c r="Z247" s="7">
        <v>0</v>
      </c>
      <c r="AA247" s="8" t="str">
        <f>IFERROR(Z247/Z444, "NA")</f>
        <v>NA</v>
      </c>
      <c r="AB247" s="9"/>
      <c r="AC247" s="10">
        <f t="shared" si="67"/>
        <v>0</v>
      </c>
      <c r="AD247" s="8" t="str">
        <f>IFERROR(AC247/AC444, "NA")</f>
        <v>NA</v>
      </c>
    </row>
    <row r="248" spans="1:30" ht="16.5" hidden="1" customHeight="1" x14ac:dyDescent="0.45">
      <c r="A248" s="12" t="s">
        <v>225</v>
      </c>
      <c r="B248" s="7">
        <v>0</v>
      </c>
      <c r="C248" s="8" t="str">
        <f>IFERROR(B248/B444, "NA")</f>
        <v>NA</v>
      </c>
      <c r="D248" s="9"/>
      <c r="E248" s="7">
        <v>0</v>
      </c>
      <c r="F248" s="8" t="str">
        <f>IFERROR(E248/E444, "NA")</f>
        <v>NA</v>
      </c>
      <c r="G248" s="9"/>
      <c r="H248" s="10">
        <f t="shared" si="64"/>
        <v>0</v>
      </c>
      <c r="I248" s="8" t="str">
        <f>IFERROR(H248/H444, "NA")</f>
        <v>NA</v>
      </c>
      <c r="J248" s="9"/>
      <c r="K248" s="7">
        <v>0</v>
      </c>
      <c r="L248" s="8" t="str">
        <f>IFERROR(K248/K444, "NA")</f>
        <v>NA</v>
      </c>
      <c r="M248" s="9"/>
      <c r="N248" s="10">
        <f t="shared" si="65"/>
        <v>0</v>
      </c>
      <c r="O248" s="8" t="str">
        <f>IFERROR(N248/N444, "NA")</f>
        <v>NA</v>
      </c>
      <c r="P248" s="9"/>
      <c r="Q248" s="7">
        <v>0</v>
      </c>
      <c r="R248" s="8" t="str">
        <f>IFERROR(Q248/Q444, "NA")</f>
        <v>NA</v>
      </c>
      <c r="S248" s="9"/>
      <c r="T248" s="7">
        <v>0</v>
      </c>
      <c r="U248" s="8" t="str">
        <f>IFERROR(T248/T444, "NA")</f>
        <v>NA</v>
      </c>
      <c r="V248" s="9"/>
      <c r="W248" s="10">
        <f t="shared" si="66"/>
        <v>0</v>
      </c>
      <c r="X248" s="8" t="str">
        <f>IFERROR(W248/W444, "NA")</f>
        <v>NA</v>
      </c>
      <c r="Y248" s="9"/>
      <c r="Z248" s="7">
        <v>0</v>
      </c>
      <c r="AA248" s="8" t="str">
        <f>IFERROR(Z248/Z444, "NA")</f>
        <v>NA</v>
      </c>
      <c r="AB248" s="9"/>
      <c r="AC248" s="10">
        <f t="shared" si="67"/>
        <v>0</v>
      </c>
      <c r="AD248" s="8" t="str">
        <f>IFERROR(AC248/AC444, "NA")</f>
        <v>NA</v>
      </c>
    </row>
    <row r="249" spans="1:30" ht="16.5" hidden="1" customHeight="1" x14ac:dyDescent="0.45">
      <c r="A249" s="12" t="s">
        <v>226</v>
      </c>
      <c r="B249" s="7">
        <v>0</v>
      </c>
      <c r="C249" s="8" t="str">
        <f>IFERROR(B249/B444, "NA")</f>
        <v>NA</v>
      </c>
      <c r="D249" s="9"/>
      <c r="E249" s="7">
        <v>0</v>
      </c>
      <c r="F249" s="8" t="str">
        <f>IFERROR(E249/E444, "NA")</f>
        <v>NA</v>
      </c>
      <c r="G249" s="9"/>
      <c r="H249" s="10">
        <f t="shared" si="64"/>
        <v>0</v>
      </c>
      <c r="I249" s="8" t="str">
        <f>IFERROR(H249/H444, "NA")</f>
        <v>NA</v>
      </c>
      <c r="J249" s="9"/>
      <c r="K249" s="7">
        <v>0</v>
      </c>
      <c r="L249" s="8" t="str">
        <f>IFERROR(K249/K444, "NA")</f>
        <v>NA</v>
      </c>
      <c r="M249" s="9"/>
      <c r="N249" s="10">
        <f t="shared" si="65"/>
        <v>0</v>
      </c>
      <c r="O249" s="8" t="str">
        <f>IFERROR(N249/N444, "NA")</f>
        <v>NA</v>
      </c>
      <c r="P249" s="9"/>
      <c r="Q249" s="7">
        <v>0</v>
      </c>
      <c r="R249" s="8" t="str">
        <f>IFERROR(Q249/Q444, "NA")</f>
        <v>NA</v>
      </c>
      <c r="S249" s="9"/>
      <c r="T249" s="7">
        <v>0</v>
      </c>
      <c r="U249" s="8" t="str">
        <f>IFERROR(T249/T444, "NA")</f>
        <v>NA</v>
      </c>
      <c r="V249" s="9"/>
      <c r="W249" s="10">
        <f t="shared" si="66"/>
        <v>0</v>
      </c>
      <c r="X249" s="8" t="str">
        <f>IFERROR(W249/W444, "NA")</f>
        <v>NA</v>
      </c>
      <c r="Y249" s="9"/>
      <c r="Z249" s="7">
        <v>0</v>
      </c>
      <c r="AA249" s="8" t="str">
        <f>IFERROR(Z249/Z444, "NA")</f>
        <v>NA</v>
      </c>
      <c r="AB249" s="9"/>
      <c r="AC249" s="10">
        <f t="shared" si="67"/>
        <v>0</v>
      </c>
      <c r="AD249" s="8" t="str">
        <f>IFERROR(AC249/AC444, "NA")</f>
        <v>NA</v>
      </c>
    </row>
    <row r="250" spans="1:30" ht="16.5" hidden="1" customHeight="1" x14ac:dyDescent="0.45">
      <c r="A250" s="12" t="s">
        <v>227</v>
      </c>
      <c r="B250" s="7">
        <v>0</v>
      </c>
      <c r="C250" s="8" t="str">
        <f>IFERROR(B250/B444, "NA")</f>
        <v>NA</v>
      </c>
      <c r="D250" s="9"/>
      <c r="E250" s="7">
        <v>0</v>
      </c>
      <c r="F250" s="8" t="str">
        <f>IFERROR(E250/E444, "NA")</f>
        <v>NA</v>
      </c>
      <c r="G250" s="9"/>
      <c r="H250" s="10">
        <f t="shared" si="64"/>
        <v>0</v>
      </c>
      <c r="I250" s="8" t="str">
        <f>IFERROR(H250/H444, "NA")</f>
        <v>NA</v>
      </c>
      <c r="J250" s="9"/>
      <c r="K250" s="7">
        <v>0</v>
      </c>
      <c r="L250" s="8" t="str">
        <f>IFERROR(K250/K444, "NA")</f>
        <v>NA</v>
      </c>
      <c r="M250" s="9"/>
      <c r="N250" s="10">
        <f t="shared" si="65"/>
        <v>0</v>
      </c>
      <c r="O250" s="8" t="str">
        <f>IFERROR(N250/N444, "NA")</f>
        <v>NA</v>
      </c>
      <c r="P250" s="9"/>
      <c r="Q250" s="7">
        <v>0</v>
      </c>
      <c r="R250" s="8" t="str">
        <f>IFERROR(Q250/Q444, "NA")</f>
        <v>NA</v>
      </c>
      <c r="S250" s="9"/>
      <c r="T250" s="7">
        <v>0</v>
      </c>
      <c r="U250" s="8" t="str">
        <f>IFERROR(T250/T444, "NA")</f>
        <v>NA</v>
      </c>
      <c r="V250" s="9"/>
      <c r="W250" s="10">
        <f t="shared" si="66"/>
        <v>0</v>
      </c>
      <c r="X250" s="8" t="str">
        <f>IFERROR(W250/W444, "NA")</f>
        <v>NA</v>
      </c>
      <c r="Y250" s="9"/>
      <c r="Z250" s="7">
        <v>0</v>
      </c>
      <c r="AA250" s="8" t="str">
        <f>IFERROR(Z250/Z444, "NA")</f>
        <v>NA</v>
      </c>
      <c r="AB250" s="9"/>
      <c r="AC250" s="10">
        <f t="shared" si="67"/>
        <v>0</v>
      </c>
      <c r="AD250" s="8" t="str">
        <f>IFERROR(AC250/AC444, "NA")</f>
        <v>NA</v>
      </c>
    </row>
    <row r="251" spans="1:30" ht="16.5" hidden="1" customHeight="1" x14ac:dyDescent="0.45">
      <c r="A251" s="12" t="s">
        <v>228</v>
      </c>
      <c r="B251" s="7">
        <v>0</v>
      </c>
      <c r="C251" s="8" t="str">
        <f>IFERROR(B251/B444, "NA")</f>
        <v>NA</v>
      </c>
      <c r="D251" s="9"/>
      <c r="E251" s="7">
        <v>0</v>
      </c>
      <c r="F251" s="8" t="str">
        <f>IFERROR(E251/E444, "NA")</f>
        <v>NA</v>
      </c>
      <c r="G251" s="9"/>
      <c r="H251" s="10">
        <f t="shared" si="64"/>
        <v>0</v>
      </c>
      <c r="I251" s="8" t="str">
        <f>IFERROR(H251/H444, "NA")</f>
        <v>NA</v>
      </c>
      <c r="J251" s="9"/>
      <c r="K251" s="7">
        <v>0</v>
      </c>
      <c r="L251" s="8" t="str">
        <f>IFERROR(K251/K444, "NA")</f>
        <v>NA</v>
      </c>
      <c r="M251" s="9"/>
      <c r="N251" s="10">
        <f t="shared" si="65"/>
        <v>0</v>
      </c>
      <c r="O251" s="8" t="str">
        <f>IFERROR(N251/N444, "NA")</f>
        <v>NA</v>
      </c>
      <c r="P251" s="9"/>
      <c r="Q251" s="7">
        <v>0</v>
      </c>
      <c r="R251" s="8" t="str">
        <f>IFERROR(Q251/Q444, "NA")</f>
        <v>NA</v>
      </c>
      <c r="S251" s="9"/>
      <c r="T251" s="7">
        <v>0</v>
      </c>
      <c r="U251" s="8" t="str">
        <f>IFERROR(T251/T444, "NA")</f>
        <v>NA</v>
      </c>
      <c r="V251" s="9"/>
      <c r="W251" s="10">
        <f t="shared" si="66"/>
        <v>0</v>
      </c>
      <c r="X251" s="8" t="str">
        <f>IFERROR(W251/W444, "NA")</f>
        <v>NA</v>
      </c>
      <c r="Y251" s="9"/>
      <c r="Z251" s="7">
        <v>0</v>
      </c>
      <c r="AA251" s="8" t="str">
        <f>IFERROR(Z251/Z444, "NA")</f>
        <v>NA</v>
      </c>
      <c r="AB251" s="9"/>
      <c r="AC251" s="10">
        <f t="shared" si="67"/>
        <v>0</v>
      </c>
      <c r="AD251" s="8" t="str">
        <f>IFERROR(AC251/AC444, "NA")</f>
        <v>NA</v>
      </c>
    </row>
    <row r="252" spans="1:30" ht="16.5" hidden="1" customHeight="1" x14ac:dyDescent="0.45">
      <c r="A252" s="12" t="s">
        <v>229</v>
      </c>
      <c r="B252" s="7">
        <v>0</v>
      </c>
      <c r="C252" s="8" t="str">
        <f>IFERROR(B252/B444, "NA")</f>
        <v>NA</v>
      </c>
      <c r="D252" s="9"/>
      <c r="E252" s="7">
        <v>0</v>
      </c>
      <c r="F252" s="8" t="str">
        <f>IFERROR(E252/E444, "NA")</f>
        <v>NA</v>
      </c>
      <c r="G252" s="9"/>
      <c r="H252" s="10">
        <f t="shared" si="64"/>
        <v>0</v>
      </c>
      <c r="I252" s="8" t="str">
        <f>IFERROR(H252/H444, "NA")</f>
        <v>NA</v>
      </c>
      <c r="J252" s="9"/>
      <c r="K252" s="7">
        <v>0</v>
      </c>
      <c r="L252" s="8" t="str">
        <f>IFERROR(K252/K444, "NA")</f>
        <v>NA</v>
      </c>
      <c r="M252" s="9"/>
      <c r="N252" s="10">
        <f t="shared" si="65"/>
        <v>0</v>
      </c>
      <c r="O252" s="8" t="str">
        <f>IFERROR(N252/N444, "NA")</f>
        <v>NA</v>
      </c>
      <c r="P252" s="9"/>
      <c r="Q252" s="7">
        <v>0</v>
      </c>
      <c r="R252" s="8" t="str">
        <f>IFERROR(Q252/Q444, "NA")</f>
        <v>NA</v>
      </c>
      <c r="S252" s="9"/>
      <c r="T252" s="7">
        <v>0</v>
      </c>
      <c r="U252" s="8" t="str">
        <f>IFERROR(T252/T444, "NA")</f>
        <v>NA</v>
      </c>
      <c r="V252" s="9"/>
      <c r="W252" s="10">
        <f t="shared" si="66"/>
        <v>0</v>
      </c>
      <c r="X252" s="8" t="str">
        <f>IFERROR(W252/W444, "NA")</f>
        <v>NA</v>
      </c>
      <c r="Y252" s="9"/>
      <c r="Z252" s="7">
        <v>0</v>
      </c>
      <c r="AA252" s="8" t="str">
        <f>IFERROR(Z252/Z444, "NA")</f>
        <v>NA</v>
      </c>
      <c r="AB252" s="9"/>
      <c r="AC252" s="10">
        <f t="shared" si="67"/>
        <v>0</v>
      </c>
      <c r="AD252" s="8" t="str">
        <f>IFERROR(AC252/AC444, "NA")</f>
        <v>NA</v>
      </c>
    </row>
    <row r="253" spans="1:30" ht="16.5" hidden="1" customHeight="1" x14ac:dyDescent="0.45">
      <c r="A253" s="12" t="s">
        <v>230</v>
      </c>
      <c r="B253" s="7">
        <v>0</v>
      </c>
      <c r="C253" s="8" t="str">
        <f>IFERROR(B253/B444, "NA")</f>
        <v>NA</v>
      </c>
      <c r="D253" s="9"/>
      <c r="E253" s="7">
        <v>0</v>
      </c>
      <c r="F253" s="8" t="str">
        <f>IFERROR(E253/E444, "NA")</f>
        <v>NA</v>
      </c>
      <c r="G253" s="9"/>
      <c r="H253" s="10">
        <f t="shared" si="64"/>
        <v>0</v>
      </c>
      <c r="I253" s="8" t="str">
        <f>IFERROR(H253/H444, "NA")</f>
        <v>NA</v>
      </c>
      <c r="J253" s="9"/>
      <c r="K253" s="7">
        <v>0</v>
      </c>
      <c r="L253" s="8" t="str">
        <f>IFERROR(K253/K444, "NA")</f>
        <v>NA</v>
      </c>
      <c r="M253" s="9"/>
      <c r="N253" s="10">
        <f t="shared" si="65"/>
        <v>0</v>
      </c>
      <c r="O253" s="8" t="str">
        <f>IFERROR(N253/N444, "NA")</f>
        <v>NA</v>
      </c>
      <c r="P253" s="9"/>
      <c r="Q253" s="7">
        <v>0</v>
      </c>
      <c r="R253" s="8" t="str">
        <f>IFERROR(Q253/Q444, "NA")</f>
        <v>NA</v>
      </c>
      <c r="S253" s="9"/>
      <c r="T253" s="7">
        <v>0</v>
      </c>
      <c r="U253" s="8" t="str">
        <f>IFERROR(T253/T444, "NA")</f>
        <v>NA</v>
      </c>
      <c r="V253" s="9"/>
      <c r="W253" s="10">
        <f t="shared" si="66"/>
        <v>0</v>
      </c>
      <c r="X253" s="8" t="str">
        <f>IFERROR(W253/W444, "NA")</f>
        <v>NA</v>
      </c>
      <c r="Y253" s="9"/>
      <c r="Z253" s="7">
        <v>0</v>
      </c>
      <c r="AA253" s="8" t="str">
        <f>IFERROR(Z253/Z444, "NA")</f>
        <v>NA</v>
      </c>
      <c r="AB253" s="9"/>
      <c r="AC253" s="10">
        <f t="shared" si="67"/>
        <v>0</v>
      </c>
      <c r="AD253" s="8" t="str">
        <f>IFERROR(AC253/AC444, "NA")</f>
        <v>NA</v>
      </c>
    </row>
    <row r="254" spans="1:30" ht="16.5" hidden="1" customHeight="1" x14ac:dyDescent="0.45">
      <c r="A254" s="12" t="s">
        <v>231</v>
      </c>
      <c r="B254" s="7">
        <v>0</v>
      </c>
      <c r="C254" s="8" t="str">
        <f>IFERROR(B254/B444, "NA")</f>
        <v>NA</v>
      </c>
      <c r="D254" s="9"/>
      <c r="E254" s="7">
        <v>0</v>
      </c>
      <c r="F254" s="8" t="str">
        <f>IFERROR(E254/E444, "NA")</f>
        <v>NA</v>
      </c>
      <c r="G254" s="9"/>
      <c r="H254" s="10">
        <f t="shared" si="64"/>
        <v>0</v>
      </c>
      <c r="I254" s="8" t="str">
        <f>IFERROR(H254/H444, "NA")</f>
        <v>NA</v>
      </c>
      <c r="J254" s="9"/>
      <c r="K254" s="7">
        <v>0</v>
      </c>
      <c r="L254" s="8" t="str">
        <f>IFERROR(K254/K444, "NA")</f>
        <v>NA</v>
      </c>
      <c r="M254" s="9"/>
      <c r="N254" s="10">
        <f t="shared" si="65"/>
        <v>0</v>
      </c>
      <c r="O254" s="8" t="str">
        <f>IFERROR(N254/N444, "NA")</f>
        <v>NA</v>
      </c>
      <c r="P254" s="9"/>
      <c r="Q254" s="7">
        <v>0</v>
      </c>
      <c r="R254" s="8" t="str">
        <f>IFERROR(Q254/Q444, "NA")</f>
        <v>NA</v>
      </c>
      <c r="S254" s="9"/>
      <c r="T254" s="7">
        <v>0</v>
      </c>
      <c r="U254" s="8" t="str">
        <f>IFERROR(T254/T444, "NA")</f>
        <v>NA</v>
      </c>
      <c r="V254" s="9"/>
      <c r="W254" s="10">
        <f t="shared" si="66"/>
        <v>0</v>
      </c>
      <c r="X254" s="8" t="str">
        <f>IFERROR(W254/W444, "NA")</f>
        <v>NA</v>
      </c>
      <c r="Y254" s="9"/>
      <c r="Z254" s="7">
        <v>0</v>
      </c>
      <c r="AA254" s="8" t="str">
        <f>IFERROR(Z254/Z444, "NA")</f>
        <v>NA</v>
      </c>
      <c r="AB254" s="9"/>
      <c r="AC254" s="10">
        <f t="shared" si="67"/>
        <v>0</v>
      </c>
      <c r="AD254" s="8" t="str">
        <f>IFERROR(AC254/AC444, "NA")</f>
        <v>NA</v>
      </c>
    </row>
    <row r="255" spans="1:30" ht="16.5" hidden="1" customHeight="1" x14ac:dyDescent="0.45">
      <c r="A255" s="12" t="s">
        <v>232</v>
      </c>
      <c r="B255" s="7">
        <v>0</v>
      </c>
      <c r="C255" s="8" t="str">
        <f>IFERROR(B255/B444, "NA")</f>
        <v>NA</v>
      </c>
      <c r="D255" s="9"/>
      <c r="E255" s="7">
        <v>0</v>
      </c>
      <c r="F255" s="8" t="str">
        <f>IFERROR(E255/E444, "NA")</f>
        <v>NA</v>
      </c>
      <c r="G255" s="9"/>
      <c r="H255" s="10">
        <f t="shared" si="64"/>
        <v>0</v>
      </c>
      <c r="I255" s="8" t="str">
        <f>IFERROR(H255/H444, "NA")</f>
        <v>NA</v>
      </c>
      <c r="J255" s="9"/>
      <c r="K255" s="7">
        <v>0</v>
      </c>
      <c r="L255" s="8" t="str">
        <f>IFERROR(K255/K444, "NA")</f>
        <v>NA</v>
      </c>
      <c r="M255" s="9"/>
      <c r="N255" s="10">
        <f t="shared" si="65"/>
        <v>0</v>
      </c>
      <c r="O255" s="8" t="str">
        <f>IFERROR(N255/N444, "NA")</f>
        <v>NA</v>
      </c>
      <c r="P255" s="9"/>
      <c r="Q255" s="7">
        <v>0</v>
      </c>
      <c r="R255" s="8" t="str">
        <f>IFERROR(Q255/Q444, "NA")</f>
        <v>NA</v>
      </c>
      <c r="S255" s="9"/>
      <c r="T255" s="7">
        <v>0</v>
      </c>
      <c r="U255" s="8" t="str">
        <f>IFERROR(T255/T444, "NA")</f>
        <v>NA</v>
      </c>
      <c r="V255" s="9"/>
      <c r="W255" s="10">
        <f t="shared" si="66"/>
        <v>0</v>
      </c>
      <c r="X255" s="8" t="str">
        <f>IFERROR(W255/W444, "NA")</f>
        <v>NA</v>
      </c>
      <c r="Y255" s="9"/>
      <c r="Z255" s="7">
        <v>0</v>
      </c>
      <c r="AA255" s="8" t="str">
        <f>IFERROR(Z255/Z444, "NA")</f>
        <v>NA</v>
      </c>
      <c r="AB255" s="9"/>
      <c r="AC255" s="10">
        <f t="shared" si="67"/>
        <v>0</v>
      </c>
      <c r="AD255" s="8" t="str">
        <f>IFERROR(AC255/AC444, "NA")</f>
        <v>NA</v>
      </c>
    </row>
    <row r="256" spans="1:30" ht="16.5" hidden="1" customHeight="1" x14ac:dyDescent="0.45">
      <c r="A256" s="12" t="s">
        <v>233</v>
      </c>
      <c r="B256" s="7">
        <v>0</v>
      </c>
      <c r="C256" s="8" t="str">
        <f>IFERROR(B256/B444, "NA")</f>
        <v>NA</v>
      </c>
      <c r="D256" s="9"/>
      <c r="E256" s="7">
        <v>0</v>
      </c>
      <c r="F256" s="8" t="str">
        <f>IFERROR(E256/E444, "NA")</f>
        <v>NA</v>
      </c>
      <c r="G256" s="9"/>
      <c r="H256" s="10">
        <f t="shared" si="64"/>
        <v>0</v>
      </c>
      <c r="I256" s="8" t="str">
        <f>IFERROR(H256/H444, "NA")</f>
        <v>NA</v>
      </c>
      <c r="J256" s="9"/>
      <c r="K256" s="7">
        <v>0</v>
      </c>
      <c r="L256" s="8" t="str">
        <f>IFERROR(K256/K444, "NA")</f>
        <v>NA</v>
      </c>
      <c r="M256" s="9"/>
      <c r="N256" s="10">
        <f t="shared" si="65"/>
        <v>0</v>
      </c>
      <c r="O256" s="8" t="str">
        <f>IFERROR(N256/N444, "NA")</f>
        <v>NA</v>
      </c>
      <c r="P256" s="9"/>
      <c r="Q256" s="7">
        <v>0</v>
      </c>
      <c r="R256" s="8" t="str">
        <f>IFERROR(Q256/Q444, "NA")</f>
        <v>NA</v>
      </c>
      <c r="S256" s="9"/>
      <c r="T256" s="7">
        <v>0</v>
      </c>
      <c r="U256" s="8" t="str">
        <f>IFERROR(T256/T444, "NA")</f>
        <v>NA</v>
      </c>
      <c r="V256" s="9"/>
      <c r="W256" s="10">
        <f t="shared" si="66"/>
        <v>0</v>
      </c>
      <c r="X256" s="8" t="str">
        <f>IFERROR(W256/W444, "NA")</f>
        <v>NA</v>
      </c>
      <c r="Y256" s="9"/>
      <c r="Z256" s="7">
        <v>0</v>
      </c>
      <c r="AA256" s="8" t="str">
        <f>IFERROR(Z256/Z444, "NA")</f>
        <v>NA</v>
      </c>
      <c r="AB256" s="9"/>
      <c r="AC256" s="10">
        <f t="shared" si="67"/>
        <v>0</v>
      </c>
      <c r="AD256" s="8" t="str">
        <f>IFERROR(AC256/AC444, "NA")</f>
        <v>NA</v>
      </c>
    </row>
    <row r="257" spans="1:30" ht="16.5" hidden="1" customHeight="1" x14ac:dyDescent="0.45">
      <c r="A257" s="12" t="s">
        <v>234</v>
      </c>
      <c r="B257" s="7">
        <v>0</v>
      </c>
      <c r="C257" s="8" t="str">
        <f>IFERROR(B257/B444, "NA")</f>
        <v>NA</v>
      </c>
      <c r="D257" s="9"/>
      <c r="E257" s="7">
        <v>0</v>
      </c>
      <c r="F257" s="8" t="str">
        <f>IFERROR(E257/E444, "NA")</f>
        <v>NA</v>
      </c>
      <c r="G257" s="9"/>
      <c r="H257" s="10">
        <f t="shared" si="64"/>
        <v>0</v>
      </c>
      <c r="I257" s="8" t="str">
        <f>IFERROR(H257/H444, "NA")</f>
        <v>NA</v>
      </c>
      <c r="J257" s="9"/>
      <c r="K257" s="7">
        <v>0</v>
      </c>
      <c r="L257" s="8" t="str">
        <f>IFERROR(K257/K444, "NA")</f>
        <v>NA</v>
      </c>
      <c r="M257" s="9"/>
      <c r="N257" s="10">
        <f t="shared" si="65"/>
        <v>0</v>
      </c>
      <c r="O257" s="8" t="str">
        <f>IFERROR(N257/N444, "NA")</f>
        <v>NA</v>
      </c>
      <c r="P257" s="9"/>
      <c r="Q257" s="7">
        <v>0</v>
      </c>
      <c r="R257" s="8" t="str">
        <f>IFERROR(Q257/Q444, "NA")</f>
        <v>NA</v>
      </c>
      <c r="S257" s="9"/>
      <c r="T257" s="7">
        <v>0</v>
      </c>
      <c r="U257" s="8" t="str">
        <f>IFERROR(T257/T444, "NA")</f>
        <v>NA</v>
      </c>
      <c r="V257" s="9"/>
      <c r="W257" s="10">
        <f t="shared" si="66"/>
        <v>0</v>
      </c>
      <c r="X257" s="8" t="str">
        <f>IFERROR(W257/W444, "NA")</f>
        <v>NA</v>
      </c>
      <c r="Y257" s="9"/>
      <c r="Z257" s="7">
        <v>0</v>
      </c>
      <c r="AA257" s="8" t="str">
        <f>IFERROR(Z257/Z444, "NA")</f>
        <v>NA</v>
      </c>
      <c r="AB257" s="9"/>
      <c r="AC257" s="10">
        <f t="shared" si="67"/>
        <v>0</v>
      </c>
      <c r="AD257" s="8" t="str">
        <f>IFERROR(AC257/AC444, "NA")</f>
        <v>NA</v>
      </c>
    </row>
    <row r="258" spans="1:30" ht="16.5" hidden="1" customHeight="1" x14ac:dyDescent="0.45">
      <c r="A258" s="12" t="s">
        <v>235</v>
      </c>
      <c r="B258" s="7">
        <v>0</v>
      </c>
      <c r="C258" s="8" t="str">
        <f>IFERROR(B258/B444, "NA")</f>
        <v>NA</v>
      </c>
      <c r="D258" s="9"/>
      <c r="E258" s="7">
        <v>0</v>
      </c>
      <c r="F258" s="8" t="str">
        <f>IFERROR(E258/E444, "NA")</f>
        <v>NA</v>
      </c>
      <c r="G258" s="9"/>
      <c r="H258" s="10">
        <f t="shared" si="64"/>
        <v>0</v>
      </c>
      <c r="I258" s="8" t="str">
        <f>IFERROR(H258/H444, "NA")</f>
        <v>NA</v>
      </c>
      <c r="J258" s="9"/>
      <c r="K258" s="7">
        <v>0</v>
      </c>
      <c r="L258" s="8" t="str">
        <f>IFERROR(K258/K444, "NA")</f>
        <v>NA</v>
      </c>
      <c r="M258" s="9"/>
      <c r="N258" s="10">
        <f t="shared" si="65"/>
        <v>0</v>
      </c>
      <c r="O258" s="8" t="str">
        <f>IFERROR(N258/N444, "NA")</f>
        <v>NA</v>
      </c>
      <c r="P258" s="9"/>
      <c r="Q258" s="7">
        <v>0</v>
      </c>
      <c r="R258" s="8" t="str">
        <f>IFERROR(Q258/Q444, "NA")</f>
        <v>NA</v>
      </c>
      <c r="S258" s="9"/>
      <c r="T258" s="7">
        <v>0</v>
      </c>
      <c r="U258" s="8" t="str">
        <f>IFERROR(T258/T444, "NA")</f>
        <v>NA</v>
      </c>
      <c r="V258" s="9"/>
      <c r="W258" s="10">
        <f t="shared" si="66"/>
        <v>0</v>
      </c>
      <c r="X258" s="8" t="str">
        <f>IFERROR(W258/W444, "NA")</f>
        <v>NA</v>
      </c>
      <c r="Y258" s="9"/>
      <c r="Z258" s="7">
        <v>0</v>
      </c>
      <c r="AA258" s="8" t="str">
        <f>IFERROR(Z258/Z444, "NA")</f>
        <v>NA</v>
      </c>
      <c r="AB258" s="9"/>
      <c r="AC258" s="10">
        <f t="shared" si="67"/>
        <v>0</v>
      </c>
      <c r="AD258" s="8" t="str">
        <f>IFERROR(AC258/AC444, "NA")</f>
        <v>NA</v>
      </c>
    </row>
    <row r="259" spans="1:30" ht="16.5" hidden="1" customHeight="1" x14ac:dyDescent="0.45">
      <c r="A259" s="12" t="s">
        <v>236</v>
      </c>
      <c r="B259" s="7">
        <v>0</v>
      </c>
      <c r="C259" s="8" t="str">
        <f>IFERROR(B259/B444, "NA")</f>
        <v>NA</v>
      </c>
      <c r="D259" s="9"/>
      <c r="E259" s="7">
        <v>0</v>
      </c>
      <c r="F259" s="8" t="str">
        <f>IFERROR(E259/E444, "NA")</f>
        <v>NA</v>
      </c>
      <c r="G259" s="9"/>
      <c r="H259" s="10">
        <f t="shared" si="64"/>
        <v>0</v>
      </c>
      <c r="I259" s="8" t="str">
        <f>IFERROR(H259/H444, "NA")</f>
        <v>NA</v>
      </c>
      <c r="J259" s="9"/>
      <c r="K259" s="7">
        <v>0</v>
      </c>
      <c r="L259" s="8" t="str">
        <f>IFERROR(K259/K444, "NA")</f>
        <v>NA</v>
      </c>
      <c r="M259" s="9"/>
      <c r="N259" s="10">
        <f t="shared" si="65"/>
        <v>0</v>
      </c>
      <c r="O259" s="8" t="str">
        <f>IFERROR(N259/N444, "NA")</f>
        <v>NA</v>
      </c>
      <c r="P259" s="9"/>
      <c r="Q259" s="7">
        <v>0</v>
      </c>
      <c r="R259" s="8" t="str">
        <f>IFERROR(Q259/Q444, "NA")</f>
        <v>NA</v>
      </c>
      <c r="S259" s="9"/>
      <c r="T259" s="7">
        <v>0</v>
      </c>
      <c r="U259" s="8" t="str">
        <f>IFERROR(T259/T444, "NA")</f>
        <v>NA</v>
      </c>
      <c r="V259" s="9"/>
      <c r="W259" s="10">
        <f t="shared" si="66"/>
        <v>0</v>
      </c>
      <c r="X259" s="8" t="str">
        <f>IFERROR(W259/W444, "NA")</f>
        <v>NA</v>
      </c>
      <c r="Y259" s="9"/>
      <c r="Z259" s="7">
        <v>0</v>
      </c>
      <c r="AA259" s="8" t="str">
        <f>IFERROR(Z259/Z444, "NA")</f>
        <v>NA</v>
      </c>
      <c r="AB259" s="9"/>
      <c r="AC259" s="10">
        <f t="shared" si="67"/>
        <v>0</v>
      </c>
      <c r="AD259" s="8" t="str">
        <f>IFERROR(AC259/AC444, "NA")</f>
        <v>NA</v>
      </c>
    </row>
    <row r="260" spans="1:30" ht="16.5" hidden="1" customHeight="1" x14ac:dyDescent="0.45">
      <c r="A260" s="12" t="s">
        <v>237</v>
      </c>
      <c r="B260" s="7">
        <v>0</v>
      </c>
      <c r="C260" s="8" t="str">
        <f>IFERROR(B260/B444, "NA")</f>
        <v>NA</v>
      </c>
      <c r="D260" s="9"/>
      <c r="E260" s="7">
        <v>0</v>
      </c>
      <c r="F260" s="8" t="str">
        <f>IFERROR(E260/E444, "NA")</f>
        <v>NA</v>
      </c>
      <c r="G260" s="9"/>
      <c r="H260" s="10">
        <f t="shared" si="64"/>
        <v>0</v>
      </c>
      <c r="I260" s="8" t="str">
        <f>IFERROR(H260/H444, "NA")</f>
        <v>NA</v>
      </c>
      <c r="J260" s="9"/>
      <c r="K260" s="7">
        <v>0</v>
      </c>
      <c r="L260" s="8" t="str">
        <f>IFERROR(K260/K444, "NA")</f>
        <v>NA</v>
      </c>
      <c r="M260" s="9"/>
      <c r="N260" s="10">
        <f t="shared" si="65"/>
        <v>0</v>
      </c>
      <c r="O260" s="8" t="str">
        <f>IFERROR(N260/N444, "NA")</f>
        <v>NA</v>
      </c>
      <c r="P260" s="9"/>
      <c r="Q260" s="7">
        <v>0</v>
      </c>
      <c r="R260" s="8" t="str">
        <f>IFERROR(Q260/Q444, "NA")</f>
        <v>NA</v>
      </c>
      <c r="S260" s="9"/>
      <c r="T260" s="7">
        <v>0</v>
      </c>
      <c r="U260" s="8" t="str">
        <f>IFERROR(T260/T444, "NA")</f>
        <v>NA</v>
      </c>
      <c r="V260" s="9"/>
      <c r="W260" s="10">
        <f t="shared" si="66"/>
        <v>0</v>
      </c>
      <c r="X260" s="8" t="str">
        <f>IFERROR(W260/W444, "NA")</f>
        <v>NA</v>
      </c>
      <c r="Y260" s="9"/>
      <c r="Z260" s="7">
        <v>0</v>
      </c>
      <c r="AA260" s="8" t="str">
        <f>IFERROR(Z260/Z444, "NA")</f>
        <v>NA</v>
      </c>
      <c r="AB260" s="9"/>
      <c r="AC260" s="10">
        <f t="shared" si="67"/>
        <v>0</v>
      </c>
      <c r="AD260" s="8" t="str">
        <f>IFERROR(AC260/AC444, "NA")</f>
        <v>NA</v>
      </c>
    </row>
    <row r="261" spans="1:30" ht="16.5" hidden="1" customHeight="1" x14ac:dyDescent="0.45">
      <c r="A261" s="12" t="s">
        <v>238</v>
      </c>
      <c r="B261" s="7">
        <v>0</v>
      </c>
      <c r="C261" s="8" t="str">
        <f>IFERROR(B261/B444, "NA")</f>
        <v>NA</v>
      </c>
      <c r="D261" s="9"/>
      <c r="E261" s="7">
        <v>0</v>
      </c>
      <c r="F261" s="8" t="str">
        <f>IFERROR(E261/E444, "NA")</f>
        <v>NA</v>
      </c>
      <c r="G261" s="9"/>
      <c r="H261" s="10">
        <f t="shared" si="64"/>
        <v>0</v>
      </c>
      <c r="I261" s="8" t="str">
        <f>IFERROR(H261/H444, "NA")</f>
        <v>NA</v>
      </c>
      <c r="J261" s="9"/>
      <c r="K261" s="7">
        <v>0</v>
      </c>
      <c r="L261" s="8" t="str">
        <f>IFERROR(K261/K444, "NA")</f>
        <v>NA</v>
      </c>
      <c r="M261" s="9"/>
      <c r="N261" s="10">
        <f t="shared" si="65"/>
        <v>0</v>
      </c>
      <c r="O261" s="8" t="str">
        <f>IFERROR(N261/N444, "NA")</f>
        <v>NA</v>
      </c>
      <c r="P261" s="9"/>
      <c r="Q261" s="7">
        <v>0</v>
      </c>
      <c r="R261" s="8" t="str">
        <f>IFERROR(Q261/Q444, "NA")</f>
        <v>NA</v>
      </c>
      <c r="S261" s="9"/>
      <c r="T261" s="7">
        <v>0</v>
      </c>
      <c r="U261" s="8" t="str">
        <f>IFERROR(T261/T444, "NA")</f>
        <v>NA</v>
      </c>
      <c r="V261" s="9"/>
      <c r="W261" s="10">
        <f t="shared" si="66"/>
        <v>0</v>
      </c>
      <c r="X261" s="8" t="str">
        <f>IFERROR(W261/W444, "NA")</f>
        <v>NA</v>
      </c>
      <c r="Y261" s="9"/>
      <c r="Z261" s="7">
        <v>0</v>
      </c>
      <c r="AA261" s="8" t="str">
        <f>IFERROR(Z261/Z444, "NA")</f>
        <v>NA</v>
      </c>
      <c r="AB261" s="9"/>
      <c r="AC261" s="10">
        <f t="shared" si="67"/>
        <v>0</v>
      </c>
      <c r="AD261" s="8" t="str">
        <f>IFERROR(AC261/AC444, "NA")</f>
        <v>NA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0</v>
      </c>
      <c r="C262" s="15" t="str">
        <f>IFERROR(B262/B444, "NA")</f>
        <v>NA</v>
      </c>
      <c r="D262" s="2"/>
      <c r="E262" s="14">
        <f>IFERROR(E240+E241+E242+E243+E244+E245+E246+E247+E248+E249+E250+E251+E252+E253+E254+E255+E256+E257+E258+E259+E260+E261, "NA")</f>
        <v>0</v>
      </c>
      <c r="F262" s="15" t="str">
        <f>IFERROR(E262/E444, "NA")</f>
        <v>NA</v>
      </c>
      <c r="G262" s="2"/>
      <c r="H262" s="14">
        <f t="shared" si="64"/>
        <v>0</v>
      </c>
      <c r="I262" s="15" t="str">
        <f>IFERROR(H262/H444, "NA")</f>
        <v>NA</v>
      </c>
      <c r="J262" s="2"/>
      <c r="K262" s="14">
        <f>IFERROR(K240+K241+K242+K243+K244+K245+K246+K247+K248+K249+K250+K251+K252+K253+K254+K255+K256+K257+K258+K259+K260+K261, "NA")</f>
        <v>0</v>
      </c>
      <c r="L262" s="15" t="str">
        <f>IFERROR(K262/K444, "NA")</f>
        <v>NA</v>
      </c>
      <c r="M262" s="2"/>
      <c r="N262" s="14">
        <f t="shared" si="65"/>
        <v>0</v>
      </c>
      <c r="O262" s="15" t="str">
        <f>IFERROR(N262/N444, "NA")</f>
        <v>NA</v>
      </c>
      <c r="P262" s="2"/>
      <c r="Q262" s="14">
        <f>IFERROR(Q240+Q241+Q242+Q243+Q244+Q245+Q246+Q247+Q248+Q249+Q250+Q251+Q252+Q253+Q254+Q255+Q256+Q257+Q258+Q259+Q260+Q261, "NA")</f>
        <v>0</v>
      </c>
      <c r="R262" s="15" t="str">
        <f>IFERROR(Q262/Q444, "NA")</f>
        <v>NA</v>
      </c>
      <c r="S262" s="2"/>
      <c r="T262" s="14">
        <f>IFERROR(T240+T241+T242+T243+T244+T245+T246+T247+T248+T249+T250+T251+T252+T253+T254+T255+T256+T257+T258+T259+T260+T261, "NA")</f>
        <v>0</v>
      </c>
      <c r="U262" s="15" t="str">
        <f>IFERROR(T262/T444, "NA")</f>
        <v>NA</v>
      </c>
      <c r="V262" s="2"/>
      <c r="W262" s="14">
        <f t="shared" si="66"/>
        <v>0</v>
      </c>
      <c r="X262" s="15" t="str">
        <f>IFERROR(W262/W444, "NA")</f>
        <v>NA</v>
      </c>
      <c r="Y262" s="2"/>
      <c r="Z262" s="14">
        <f>IFERROR(Z240+Z241+Z242+Z243+Z244+Z245+Z246+Z247+Z248+Z249+Z250+Z251+Z252+Z253+Z254+Z255+Z256+Z257+Z258+Z259+Z260+Z261, "NA")</f>
        <v>0</v>
      </c>
      <c r="AA262" s="15" t="str">
        <f>IFERROR(Z262/Z444, "NA")</f>
        <v>NA</v>
      </c>
      <c r="AB262" s="2"/>
      <c r="AC262" s="14">
        <f t="shared" si="67"/>
        <v>0</v>
      </c>
      <c r="AD262" s="15" t="str">
        <f>IFERROR(AC262/AC444, "NA")</f>
        <v>NA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0</v>
      </c>
      <c r="C263" s="15" t="str">
        <f>IFERROR(B263/B444, "NA")</f>
        <v>NA</v>
      </c>
      <c r="D263" s="2"/>
      <c r="E263" s="14">
        <f>IFERROR(E238+E240+E241+E242+E243+E244+E245+E246+E247+E248+E249+E250+E251+E252+E253+E254+E255+E256+E257+E258+E259+E260+E261, "NA")</f>
        <v>0</v>
      </c>
      <c r="F263" s="15" t="str">
        <f>IFERROR(E263/E444, "NA")</f>
        <v>NA</v>
      </c>
      <c r="G263" s="2"/>
      <c r="H263" s="14">
        <f t="shared" si="64"/>
        <v>0</v>
      </c>
      <c r="I263" s="15" t="str">
        <f>IFERROR(H263/H444, "NA")</f>
        <v>NA</v>
      </c>
      <c r="J263" s="2"/>
      <c r="K263" s="14">
        <f>IFERROR(K238+K240+K241+K242+K243+K244+K245+K246+K247+K248+K249+K250+K251+K252+K253+K254+K255+K256+K257+K258+K259+K260+K261, "NA")</f>
        <v>0</v>
      </c>
      <c r="L263" s="15" t="str">
        <f>IFERROR(K263/K444, "NA")</f>
        <v>NA</v>
      </c>
      <c r="M263" s="2"/>
      <c r="N263" s="14">
        <f t="shared" si="65"/>
        <v>0</v>
      </c>
      <c r="O263" s="15" t="str">
        <f>IFERROR(N263/N444, "NA")</f>
        <v>NA</v>
      </c>
      <c r="P263" s="2"/>
      <c r="Q263" s="14">
        <f>IFERROR(Q238+Q240+Q241+Q242+Q243+Q244+Q245+Q246+Q247+Q248+Q249+Q250+Q251+Q252+Q253+Q254+Q255+Q256+Q257+Q258+Q259+Q260+Q261, "NA")</f>
        <v>0</v>
      </c>
      <c r="R263" s="15" t="str">
        <f>IFERROR(Q263/Q444, "NA")</f>
        <v>NA</v>
      </c>
      <c r="S263" s="2"/>
      <c r="T263" s="14">
        <f>IFERROR(T238+T240+T241+T242+T243+T244+T245+T246+T247+T248+T249+T250+T251+T252+T253+T254+T255+T256+T257+T258+T259+T260+T261, "NA")</f>
        <v>0</v>
      </c>
      <c r="U263" s="15" t="str">
        <f>IFERROR(T263/T444, "NA")</f>
        <v>NA</v>
      </c>
      <c r="V263" s="2"/>
      <c r="W263" s="14">
        <f t="shared" si="66"/>
        <v>0</v>
      </c>
      <c r="X263" s="15" t="str">
        <f>IFERROR(W263/W444, "NA")</f>
        <v>NA</v>
      </c>
      <c r="Y263" s="2"/>
      <c r="Z263" s="14">
        <f>IFERROR(Z238+Z240+Z241+Z242+Z243+Z244+Z245+Z246+Z247+Z248+Z249+Z250+Z251+Z252+Z253+Z254+Z255+Z256+Z257+Z258+Z259+Z260+Z261, "NA")</f>
        <v>0</v>
      </c>
      <c r="AA263" s="15" t="str">
        <f>IFERROR(Z263/Z444, "NA")</f>
        <v>NA</v>
      </c>
      <c r="AB263" s="2"/>
      <c r="AC263" s="14">
        <f t="shared" si="67"/>
        <v>0</v>
      </c>
      <c r="AD263" s="15" t="str">
        <f>IFERROR(AC263/AC444, "NA")</f>
        <v>NA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hidden="1" customHeight="1" x14ac:dyDescent="0.45">
      <c r="A265" s="6" t="s">
        <v>241</v>
      </c>
      <c r="B265" s="7">
        <v>0</v>
      </c>
      <c r="C265" s="8" t="str">
        <f>IFERROR(B265/B444, "NA")</f>
        <v>NA</v>
      </c>
      <c r="D265" s="9"/>
      <c r="E265" s="7">
        <v>0</v>
      </c>
      <c r="F265" s="8" t="str">
        <f>IFERROR(E265/E444, "NA")</f>
        <v>NA</v>
      </c>
      <c r="G265" s="9"/>
      <c r="H265" s="10">
        <f>IFERROR(-(B265-E265), "NA")</f>
        <v>0</v>
      </c>
      <c r="I265" s="8" t="str">
        <f>IFERROR(H265/H444, "NA")</f>
        <v>NA</v>
      </c>
      <c r="J265" s="9"/>
      <c r="K265" s="7">
        <v>0</v>
      </c>
      <c r="L265" s="8" t="str">
        <f>IFERROR(K265/K444, "NA")</f>
        <v>NA</v>
      </c>
      <c r="M265" s="9"/>
      <c r="N265" s="10">
        <f>IFERROR(-(B265-K265), "NA")</f>
        <v>0</v>
      </c>
      <c r="O265" s="8" t="str">
        <f>IFERROR(N265/N444, "NA")</f>
        <v>NA</v>
      </c>
      <c r="P265" s="9"/>
      <c r="Q265" s="7">
        <v>0</v>
      </c>
      <c r="R265" s="8" t="str">
        <f>IFERROR(Q265/Q444, "NA")</f>
        <v>NA</v>
      </c>
      <c r="S265" s="9"/>
      <c r="T265" s="7">
        <v>0</v>
      </c>
      <c r="U265" s="8" t="str">
        <f>IFERROR(T265/T444, "NA")</f>
        <v>NA</v>
      </c>
      <c r="V265" s="9"/>
      <c r="W265" s="10">
        <f>IFERROR(-(Q265-T265), "NA")</f>
        <v>0</v>
      </c>
      <c r="X265" s="8" t="str">
        <f>IFERROR(W265/W444, "NA")</f>
        <v>NA</v>
      </c>
      <c r="Y265" s="9"/>
      <c r="Z265" s="7">
        <v>0</v>
      </c>
      <c r="AA265" s="8" t="str">
        <f>IFERROR(Z265/Z444, "NA")</f>
        <v>NA</v>
      </c>
      <c r="AB265" s="9"/>
      <c r="AC265" s="10">
        <f>IFERROR(-(Q265-Z265), "NA")</f>
        <v>0</v>
      </c>
      <c r="AD265" s="8" t="str">
        <f>IFERROR(AC265/AC444, "NA")</f>
        <v>NA</v>
      </c>
    </row>
    <row r="266" spans="1:30" ht="16.5" hidden="1" customHeight="1" x14ac:dyDescent="0.45">
      <c r="A266" s="6" t="s">
        <v>242</v>
      </c>
      <c r="B266" s="7">
        <v>0</v>
      </c>
      <c r="C266" s="8" t="str">
        <f>IFERROR(B266/B444, "NA")</f>
        <v>NA</v>
      </c>
      <c r="D266" s="9"/>
      <c r="E266" s="7">
        <v>0</v>
      </c>
      <c r="F266" s="8" t="str">
        <f>IFERROR(E266/E444, "NA")</f>
        <v>NA</v>
      </c>
      <c r="G266" s="9"/>
      <c r="H266" s="10">
        <f>IFERROR(-(B266-E266), "NA")</f>
        <v>0</v>
      </c>
      <c r="I266" s="8" t="str">
        <f>IFERROR(H266/H444, "NA")</f>
        <v>NA</v>
      </c>
      <c r="J266" s="9"/>
      <c r="K266" s="7">
        <v>0</v>
      </c>
      <c r="L266" s="8" t="str">
        <f>IFERROR(K266/K444, "NA")</f>
        <v>NA</v>
      </c>
      <c r="M266" s="9"/>
      <c r="N266" s="10">
        <f>IFERROR(-(B266-K266), "NA")</f>
        <v>0</v>
      </c>
      <c r="O266" s="8" t="str">
        <f>IFERROR(N266/N444, "NA")</f>
        <v>NA</v>
      </c>
      <c r="P266" s="9"/>
      <c r="Q266" s="7">
        <v>0</v>
      </c>
      <c r="R266" s="8" t="str">
        <f>IFERROR(Q266/Q444, "NA")</f>
        <v>NA</v>
      </c>
      <c r="S266" s="9"/>
      <c r="T266" s="7">
        <v>0</v>
      </c>
      <c r="U266" s="8" t="str">
        <f>IFERROR(T266/T444, "NA")</f>
        <v>NA</v>
      </c>
      <c r="V266" s="9"/>
      <c r="W266" s="10">
        <f>IFERROR(-(Q266-T266), "NA")</f>
        <v>0</v>
      </c>
      <c r="X266" s="8" t="str">
        <f>IFERROR(W266/W444, "NA")</f>
        <v>NA</v>
      </c>
      <c r="Y266" s="9"/>
      <c r="Z266" s="7">
        <v>0</v>
      </c>
      <c r="AA266" s="8" t="str">
        <f>IFERROR(Z266/Z444, "NA")</f>
        <v>NA</v>
      </c>
      <c r="AB266" s="9"/>
      <c r="AC266" s="10">
        <f>IFERROR(-(Q266-Z266), "NA")</f>
        <v>0</v>
      </c>
      <c r="AD266" s="8" t="str">
        <f>IFERROR(AC266/AC444, "NA")</f>
        <v>NA</v>
      </c>
    </row>
    <row r="267" spans="1:30" ht="16.5" customHeight="1" x14ac:dyDescent="0.45">
      <c r="A267" s="19" t="s">
        <v>243</v>
      </c>
      <c r="B267" s="14">
        <f>IFERROR(B265+B266, "NA")</f>
        <v>0</v>
      </c>
      <c r="C267" s="15" t="str">
        <f>IFERROR(B267/B444, "NA")</f>
        <v>NA</v>
      </c>
      <c r="D267" s="2"/>
      <c r="E267" s="14">
        <f>IFERROR(E265+E266, "NA")</f>
        <v>0</v>
      </c>
      <c r="F267" s="15" t="str">
        <f>IFERROR(E267/E444, "NA")</f>
        <v>NA</v>
      </c>
      <c r="G267" s="2"/>
      <c r="H267" s="14">
        <f>IFERROR(-(B267-E267), "NA")</f>
        <v>0</v>
      </c>
      <c r="I267" s="15" t="str">
        <f>IFERROR(H267/H444, "NA")</f>
        <v>NA</v>
      </c>
      <c r="J267" s="2"/>
      <c r="K267" s="14">
        <f>IFERROR(K265+K266, "NA")</f>
        <v>0</v>
      </c>
      <c r="L267" s="15" t="str">
        <f>IFERROR(K267/K444, "NA")</f>
        <v>NA</v>
      </c>
      <c r="M267" s="2"/>
      <c r="N267" s="14">
        <f>IFERROR(-(B267-K267), "NA")</f>
        <v>0</v>
      </c>
      <c r="O267" s="15" t="str">
        <f>IFERROR(N267/N444, "NA")</f>
        <v>NA</v>
      </c>
      <c r="P267" s="2"/>
      <c r="Q267" s="14">
        <f>IFERROR(Q265+Q266, "NA")</f>
        <v>0</v>
      </c>
      <c r="R267" s="15" t="str">
        <f>IFERROR(Q267/Q444, "NA")</f>
        <v>NA</v>
      </c>
      <c r="S267" s="2"/>
      <c r="T267" s="14">
        <f>IFERROR(T265+T266, "NA")</f>
        <v>0</v>
      </c>
      <c r="U267" s="15" t="str">
        <f>IFERROR(T267/T444, "NA")</f>
        <v>NA</v>
      </c>
      <c r="V267" s="2"/>
      <c r="W267" s="14">
        <f>IFERROR(-(Q267-T267), "NA")</f>
        <v>0</v>
      </c>
      <c r="X267" s="15" t="str">
        <f>IFERROR(W267/W444, "NA")</f>
        <v>NA</v>
      </c>
      <c r="Y267" s="2"/>
      <c r="Z267" s="14">
        <f>IFERROR(Z265+Z266, "NA")</f>
        <v>0</v>
      </c>
      <c r="AA267" s="15" t="str">
        <f>IFERROR(Z267/Z444, "NA")</f>
        <v>NA</v>
      </c>
      <c r="AB267" s="2"/>
      <c r="AC267" s="14">
        <f>IFERROR(-(Q267-Z267), "NA")</f>
        <v>0</v>
      </c>
      <c r="AD267" s="15" t="str">
        <f>IFERROR(AC267/AC444, "NA")</f>
        <v>NA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 t="str">
        <f>IFERROR(B269/B444, "NA")</f>
        <v>NA</v>
      </c>
      <c r="D269" s="9"/>
      <c r="E269" s="7">
        <v>0</v>
      </c>
      <c r="F269" s="8" t="str">
        <f>IFERROR(E269/E444, "NA")</f>
        <v>NA</v>
      </c>
      <c r="G269" s="9"/>
      <c r="H269" s="10">
        <f>IFERROR(-(B269-E269), "NA")</f>
        <v>0</v>
      </c>
      <c r="I269" s="8" t="str">
        <f>IFERROR(H269/H444, "NA")</f>
        <v>NA</v>
      </c>
      <c r="J269" s="9"/>
      <c r="K269" s="7">
        <v>0</v>
      </c>
      <c r="L269" s="8" t="str">
        <f>IFERROR(K269/K444, "NA")</f>
        <v>NA</v>
      </c>
      <c r="M269" s="9"/>
      <c r="N269" s="10">
        <f>IFERROR(-(B269-K269), "NA")</f>
        <v>0</v>
      </c>
      <c r="O269" s="8" t="str">
        <f>IFERROR(N269/N444, "NA")</f>
        <v>NA</v>
      </c>
      <c r="P269" s="9"/>
      <c r="Q269" s="7">
        <v>0</v>
      </c>
      <c r="R269" s="8" t="str">
        <f>IFERROR(Q269/Q444, "NA")</f>
        <v>NA</v>
      </c>
      <c r="S269" s="9"/>
      <c r="T269" s="7">
        <v>0</v>
      </c>
      <c r="U269" s="8" t="str">
        <f>IFERROR(T269/T444, "NA")</f>
        <v>NA</v>
      </c>
      <c r="V269" s="9"/>
      <c r="W269" s="10">
        <f>IFERROR(-(Q269-T269), "NA")</f>
        <v>0</v>
      </c>
      <c r="X269" s="8" t="str">
        <f>IFERROR(W269/W444, "NA")</f>
        <v>NA</v>
      </c>
      <c r="Y269" s="9"/>
      <c r="Z269" s="7">
        <v>0</v>
      </c>
      <c r="AA269" s="8" t="str">
        <f>IFERROR(Z269/Z444, "NA")</f>
        <v>NA</v>
      </c>
      <c r="AB269" s="9"/>
      <c r="AC269" s="10">
        <f>IFERROR(-(Q269-Z269), "NA")</f>
        <v>0</v>
      </c>
      <c r="AD269" s="8" t="str">
        <f>IFERROR(AC269/AC444, "NA")</f>
        <v>NA</v>
      </c>
    </row>
    <row r="270" spans="1:30" ht="16.5" hidden="1" customHeight="1" x14ac:dyDescent="0.45">
      <c r="A270" s="6" t="s">
        <v>245</v>
      </c>
      <c r="B270" s="7">
        <v>0</v>
      </c>
      <c r="C270" s="8" t="str">
        <f>IFERROR(B270/B444, "NA")</f>
        <v>NA</v>
      </c>
      <c r="D270" s="9"/>
      <c r="E270" s="7">
        <v>0</v>
      </c>
      <c r="F270" s="8" t="str">
        <f>IFERROR(E270/E444, "NA")</f>
        <v>NA</v>
      </c>
      <c r="G270" s="9"/>
      <c r="H270" s="10">
        <f>IFERROR(-(B270-E270), "NA")</f>
        <v>0</v>
      </c>
      <c r="I270" s="8" t="str">
        <f>IFERROR(H270/H444, "NA")</f>
        <v>NA</v>
      </c>
      <c r="J270" s="9"/>
      <c r="K270" s="7">
        <v>0</v>
      </c>
      <c r="L270" s="8" t="str">
        <f>IFERROR(K270/K444, "NA")</f>
        <v>NA</v>
      </c>
      <c r="M270" s="9"/>
      <c r="N270" s="10">
        <f>IFERROR(-(B270-K270), "NA")</f>
        <v>0</v>
      </c>
      <c r="O270" s="8" t="str">
        <f>IFERROR(N270/N444, "NA")</f>
        <v>NA</v>
      </c>
      <c r="P270" s="9"/>
      <c r="Q270" s="7">
        <v>0</v>
      </c>
      <c r="R270" s="8" t="str">
        <f>IFERROR(Q270/Q444, "NA")</f>
        <v>NA</v>
      </c>
      <c r="S270" s="9"/>
      <c r="T270" s="7">
        <v>0</v>
      </c>
      <c r="U270" s="8" t="str">
        <f>IFERROR(T270/T444, "NA")</f>
        <v>NA</v>
      </c>
      <c r="V270" s="9"/>
      <c r="W270" s="10">
        <f>IFERROR(-(Q270-T270), "NA")</f>
        <v>0</v>
      </c>
      <c r="X270" s="8" t="str">
        <f>IFERROR(W270/W444, "NA")</f>
        <v>NA</v>
      </c>
      <c r="Y270" s="9"/>
      <c r="Z270" s="7">
        <v>0</v>
      </c>
      <c r="AA270" s="8" t="str">
        <f>IFERROR(Z270/Z444, "NA")</f>
        <v>NA</v>
      </c>
      <c r="AB270" s="9"/>
      <c r="AC270" s="10">
        <f>IFERROR(-(Q270-Z270), "NA")</f>
        <v>0</v>
      </c>
      <c r="AD270" s="8" t="str">
        <f>IFERROR(AC270/AC444, "NA")</f>
        <v>NA</v>
      </c>
    </row>
    <row r="271" spans="1:30" ht="16.5" hidden="1" customHeight="1" x14ac:dyDescent="0.45">
      <c r="A271" s="6" t="s">
        <v>246</v>
      </c>
      <c r="B271" s="7">
        <v>0</v>
      </c>
      <c r="C271" s="8" t="str">
        <f>IFERROR(B271/B444, "NA")</f>
        <v>NA</v>
      </c>
      <c r="D271" s="9"/>
      <c r="E271" s="7">
        <v>0</v>
      </c>
      <c r="F271" s="8" t="str">
        <f>IFERROR(E271/E444, "NA")</f>
        <v>NA</v>
      </c>
      <c r="G271" s="9"/>
      <c r="H271" s="10">
        <f>IFERROR(-(B271-E271), "NA")</f>
        <v>0</v>
      </c>
      <c r="I271" s="8" t="str">
        <f>IFERROR(H271/H444, "NA")</f>
        <v>NA</v>
      </c>
      <c r="J271" s="9"/>
      <c r="K271" s="7">
        <v>0</v>
      </c>
      <c r="L271" s="8" t="str">
        <f>IFERROR(K271/K444, "NA")</f>
        <v>NA</v>
      </c>
      <c r="M271" s="9"/>
      <c r="N271" s="10">
        <f>IFERROR(-(B271-K271), "NA")</f>
        <v>0</v>
      </c>
      <c r="O271" s="8" t="str">
        <f>IFERROR(N271/N444, "NA")</f>
        <v>NA</v>
      </c>
      <c r="P271" s="9"/>
      <c r="Q271" s="7">
        <v>0</v>
      </c>
      <c r="R271" s="8" t="str">
        <f>IFERROR(Q271/Q444, "NA")</f>
        <v>NA</v>
      </c>
      <c r="S271" s="9"/>
      <c r="T271" s="7">
        <v>0</v>
      </c>
      <c r="U271" s="8" t="str">
        <f>IFERROR(T271/T444, "NA")</f>
        <v>NA</v>
      </c>
      <c r="V271" s="9"/>
      <c r="W271" s="10">
        <f>IFERROR(-(Q271-T271), "NA")</f>
        <v>0</v>
      </c>
      <c r="X271" s="8" t="str">
        <f>IFERROR(W271/W444, "NA")</f>
        <v>NA</v>
      </c>
      <c r="Y271" s="9"/>
      <c r="Z271" s="7">
        <v>0</v>
      </c>
      <c r="AA271" s="8" t="str">
        <f>IFERROR(Z271/Z444, "NA")</f>
        <v>NA</v>
      </c>
      <c r="AB271" s="9"/>
      <c r="AC271" s="10">
        <f>IFERROR(-(Q271-Z271), "NA")</f>
        <v>0</v>
      </c>
      <c r="AD271" s="8" t="str">
        <f>IFERROR(AC271/AC444, "NA")</f>
        <v>NA</v>
      </c>
    </row>
    <row r="272" spans="1:30" ht="16.5" hidden="1" customHeight="1" x14ac:dyDescent="0.45">
      <c r="A272" s="6" t="s">
        <v>247</v>
      </c>
      <c r="B272" s="7">
        <v>0</v>
      </c>
      <c r="C272" s="8" t="str">
        <f>IFERROR(B272/B444, "NA")</f>
        <v>NA</v>
      </c>
      <c r="D272" s="9"/>
      <c r="E272" s="7">
        <v>0</v>
      </c>
      <c r="F272" s="8" t="str">
        <f>IFERROR(E272/E444, "NA")</f>
        <v>NA</v>
      </c>
      <c r="G272" s="9"/>
      <c r="H272" s="10">
        <f>IFERROR(-(B272-E272), "NA")</f>
        <v>0</v>
      </c>
      <c r="I272" s="8" t="str">
        <f>IFERROR(H272/H444, "NA")</f>
        <v>NA</v>
      </c>
      <c r="J272" s="9"/>
      <c r="K272" s="7">
        <v>0</v>
      </c>
      <c r="L272" s="8" t="str">
        <f>IFERROR(K272/K444, "NA")</f>
        <v>NA</v>
      </c>
      <c r="M272" s="9"/>
      <c r="N272" s="10">
        <f>IFERROR(-(B272-K272), "NA")</f>
        <v>0</v>
      </c>
      <c r="O272" s="8" t="str">
        <f>IFERROR(N272/N444, "NA")</f>
        <v>NA</v>
      </c>
      <c r="P272" s="9"/>
      <c r="Q272" s="7">
        <v>0</v>
      </c>
      <c r="R272" s="8" t="str">
        <f>IFERROR(Q272/Q444, "NA")</f>
        <v>NA</v>
      </c>
      <c r="S272" s="9"/>
      <c r="T272" s="7">
        <v>0</v>
      </c>
      <c r="U272" s="8" t="str">
        <f>IFERROR(T272/T444, "NA")</f>
        <v>NA</v>
      </c>
      <c r="V272" s="9"/>
      <c r="W272" s="10">
        <f>IFERROR(-(Q272-T272), "NA")</f>
        <v>0</v>
      </c>
      <c r="X272" s="8" t="str">
        <f>IFERROR(W272/W444, "NA")</f>
        <v>NA</v>
      </c>
      <c r="Y272" s="9"/>
      <c r="Z272" s="7">
        <v>0</v>
      </c>
      <c r="AA272" s="8" t="str">
        <f>IFERROR(Z272/Z444, "NA")</f>
        <v>NA</v>
      </c>
      <c r="AB272" s="9"/>
      <c r="AC272" s="10">
        <f>IFERROR(-(Q272-Z272), "NA")</f>
        <v>0</v>
      </c>
      <c r="AD272" s="8" t="str">
        <f>IFERROR(AC272/AC444, "NA")</f>
        <v>NA</v>
      </c>
    </row>
    <row r="273" spans="1:30" ht="16.5" customHeight="1" x14ac:dyDescent="0.45">
      <c r="A273" s="19" t="s">
        <v>248</v>
      </c>
      <c r="B273" s="14">
        <f>IFERROR(B269+B270+B271+B272, "NA")</f>
        <v>0</v>
      </c>
      <c r="C273" s="15" t="str">
        <f>IFERROR(B273/B444, "NA")</f>
        <v>NA</v>
      </c>
      <c r="D273" s="2"/>
      <c r="E273" s="14">
        <f>IFERROR(E269+E270+E271+E272, "NA")</f>
        <v>0</v>
      </c>
      <c r="F273" s="15" t="str">
        <f>IFERROR(E273/E444, "NA")</f>
        <v>NA</v>
      </c>
      <c r="G273" s="2"/>
      <c r="H273" s="14">
        <f>IFERROR(-(B273-E273), "NA")</f>
        <v>0</v>
      </c>
      <c r="I273" s="15" t="str">
        <f>IFERROR(H273/H444, "NA")</f>
        <v>NA</v>
      </c>
      <c r="J273" s="2"/>
      <c r="K273" s="14">
        <f>IFERROR(K269+K270+K271+K272, "NA")</f>
        <v>0</v>
      </c>
      <c r="L273" s="15" t="str">
        <f>IFERROR(K273/K444, "NA")</f>
        <v>NA</v>
      </c>
      <c r="M273" s="2"/>
      <c r="N273" s="14">
        <f>IFERROR(-(B273-K273), "NA")</f>
        <v>0</v>
      </c>
      <c r="O273" s="15" t="str">
        <f>IFERROR(N273/N444, "NA")</f>
        <v>NA</v>
      </c>
      <c r="P273" s="2"/>
      <c r="Q273" s="14">
        <f>IFERROR(Q269+Q270+Q271+Q272, "NA")</f>
        <v>0</v>
      </c>
      <c r="R273" s="15" t="str">
        <f>IFERROR(Q273/Q444, "NA")</f>
        <v>NA</v>
      </c>
      <c r="S273" s="2"/>
      <c r="T273" s="14">
        <f>IFERROR(T269+T270+T271+T272, "NA")</f>
        <v>0</v>
      </c>
      <c r="U273" s="15" t="str">
        <f>IFERROR(T273/T444, "NA")</f>
        <v>NA</v>
      </c>
      <c r="V273" s="2"/>
      <c r="W273" s="14">
        <f>IFERROR(-(Q273-T273), "NA")</f>
        <v>0</v>
      </c>
      <c r="X273" s="15" t="str">
        <f>IFERROR(W273/W444, "NA")</f>
        <v>NA</v>
      </c>
      <c r="Y273" s="2"/>
      <c r="Z273" s="14">
        <f>IFERROR(Z269+Z270+Z271+Z272, "NA")</f>
        <v>0</v>
      </c>
      <c r="AA273" s="15" t="str">
        <f>IFERROR(Z273/Z444, "NA")</f>
        <v>NA</v>
      </c>
      <c r="AB273" s="2"/>
      <c r="AC273" s="14">
        <f>IFERROR(-(Q273-Z273), "NA")</f>
        <v>0</v>
      </c>
      <c r="AD273" s="15" t="str">
        <f>IFERROR(AC273/AC444, "NA")</f>
        <v>NA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 t="str">
        <f>IFERROR(B275/B444, "NA")</f>
        <v>NA</v>
      </c>
      <c r="D275" s="9"/>
      <c r="E275" s="7">
        <v>0</v>
      </c>
      <c r="F275" s="8" t="str">
        <f>IFERROR(E275/E444, "NA")</f>
        <v>NA</v>
      </c>
      <c r="G275" s="9"/>
      <c r="H275" s="10">
        <f t="shared" ref="H275:H284" si="68">IFERROR(-(B275-E275), "NA")</f>
        <v>0</v>
      </c>
      <c r="I275" s="8" t="str">
        <f>IFERROR(H275/H444, "NA")</f>
        <v>NA</v>
      </c>
      <c r="J275" s="9"/>
      <c r="K275" s="7">
        <v>0</v>
      </c>
      <c r="L275" s="8" t="str">
        <f>IFERROR(K275/K444, "NA")</f>
        <v>NA</v>
      </c>
      <c r="M275" s="9"/>
      <c r="N275" s="10">
        <f t="shared" ref="N275:N284" si="69">IFERROR(-(B275-K275), "NA")</f>
        <v>0</v>
      </c>
      <c r="O275" s="8" t="str">
        <f>IFERROR(N275/N444, "NA")</f>
        <v>NA</v>
      </c>
      <c r="P275" s="9"/>
      <c r="Q275" s="7">
        <v>0</v>
      </c>
      <c r="R275" s="8" t="str">
        <f>IFERROR(Q275/Q444, "NA")</f>
        <v>NA</v>
      </c>
      <c r="S275" s="9"/>
      <c r="T275" s="7">
        <v>0</v>
      </c>
      <c r="U275" s="8" t="str">
        <f>IFERROR(T275/T444, "NA")</f>
        <v>NA</v>
      </c>
      <c r="V275" s="9"/>
      <c r="W275" s="10">
        <f t="shared" ref="W275:W284" si="70">IFERROR(-(Q275-T275), "NA")</f>
        <v>0</v>
      </c>
      <c r="X275" s="8" t="str">
        <f>IFERROR(W275/W444, "NA")</f>
        <v>NA</v>
      </c>
      <c r="Y275" s="9"/>
      <c r="Z275" s="7">
        <v>0</v>
      </c>
      <c r="AA275" s="8" t="str">
        <f>IFERROR(Z275/Z444, "NA")</f>
        <v>NA</v>
      </c>
      <c r="AB275" s="9"/>
      <c r="AC275" s="10">
        <f t="shared" ref="AC275:AC284" si="71">IFERROR(-(Q275-Z275), "NA")</f>
        <v>0</v>
      </c>
      <c r="AD275" s="8" t="str">
        <f>IFERROR(AC275/AC444, "NA")</f>
        <v>NA</v>
      </c>
    </row>
    <row r="276" spans="1:30" ht="16.5" hidden="1" customHeight="1" x14ac:dyDescent="0.45">
      <c r="A276" s="6" t="s">
        <v>250</v>
      </c>
      <c r="B276" s="7">
        <v>0</v>
      </c>
      <c r="C276" s="8" t="str">
        <f>IFERROR(B276/B444, "NA")</f>
        <v>NA</v>
      </c>
      <c r="D276" s="9"/>
      <c r="E276" s="7">
        <v>0</v>
      </c>
      <c r="F276" s="8" t="str">
        <f>IFERROR(E276/E444, "NA")</f>
        <v>NA</v>
      </c>
      <c r="G276" s="9"/>
      <c r="H276" s="10">
        <f t="shared" si="68"/>
        <v>0</v>
      </c>
      <c r="I276" s="8" t="str">
        <f>IFERROR(H276/H444, "NA")</f>
        <v>NA</v>
      </c>
      <c r="J276" s="9"/>
      <c r="K276" s="7">
        <v>0</v>
      </c>
      <c r="L276" s="8" t="str">
        <f>IFERROR(K276/K444, "NA")</f>
        <v>NA</v>
      </c>
      <c r="M276" s="9"/>
      <c r="N276" s="10">
        <f t="shared" si="69"/>
        <v>0</v>
      </c>
      <c r="O276" s="8" t="str">
        <f>IFERROR(N276/N444, "NA")</f>
        <v>NA</v>
      </c>
      <c r="P276" s="9"/>
      <c r="Q276" s="7">
        <v>0</v>
      </c>
      <c r="R276" s="8" t="str">
        <f>IFERROR(Q276/Q444, "NA")</f>
        <v>NA</v>
      </c>
      <c r="S276" s="9"/>
      <c r="T276" s="7">
        <v>0</v>
      </c>
      <c r="U276" s="8" t="str">
        <f>IFERROR(T276/T444, "NA")</f>
        <v>NA</v>
      </c>
      <c r="V276" s="9"/>
      <c r="W276" s="10">
        <f t="shared" si="70"/>
        <v>0</v>
      </c>
      <c r="X276" s="8" t="str">
        <f>IFERROR(W276/W444, "NA")</f>
        <v>NA</v>
      </c>
      <c r="Y276" s="9"/>
      <c r="Z276" s="7">
        <v>0</v>
      </c>
      <c r="AA276" s="8" t="str">
        <f>IFERROR(Z276/Z444, "NA")</f>
        <v>NA</v>
      </c>
      <c r="AB276" s="9"/>
      <c r="AC276" s="10">
        <f t="shared" si="71"/>
        <v>0</v>
      </c>
      <c r="AD276" s="8" t="str">
        <f>IFERROR(AC276/AC444, "NA")</f>
        <v>NA</v>
      </c>
    </row>
    <row r="277" spans="1:30" ht="16.5" hidden="1" customHeight="1" x14ac:dyDescent="0.45">
      <c r="A277" s="6" t="s">
        <v>251</v>
      </c>
      <c r="B277" s="7">
        <v>0</v>
      </c>
      <c r="C277" s="8" t="str">
        <f>IFERROR(B277/B444, "NA")</f>
        <v>NA</v>
      </c>
      <c r="D277" s="9"/>
      <c r="E277" s="7">
        <v>0</v>
      </c>
      <c r="F277" s="8" t="str">
        <f>IFERROR(E277/E444, "NA")</f>
        <v>NA</v>
      </c>
      <c r="G277" s="9"/>
      <c r="H277" s="10">
        <f t="shared" si="68"/>
        <v>0</v>
      </c>
      <c r="I277" s="8" t="str">
        <f>IFERROR(H277/H444, "NA")</f>
        <v>NA</v>
      </c>
      <c r="J277" s="9"/>
      <c r="K277" s="7">
        <v>0</v>
      </c>
      <c r="L277" s="8" t="str">
        <f>IFERROR(K277/K444, "NA")</f>
        <v>NA</v>
      </c>
      <c r="M277" s="9"/>
      <c r="N277" s="10">
        <f t="shared" si="69"/>
        <v>0</v>
      </c>
      <c r="O277" s="8" t="str">
        <f>IFERROR(N277/N444, "NA")</f>
        <v>NA</v>
      </c>
      <c r="P277" s="9"/>
      <c r="Q277" s="7">
        <v>0</v>
      </c>
      <c r="R277" s="8" t="str">
        <f>IFERROR(Q277/Q444, "NA")</f>
        <v>NA</v>
      </c>
      <c r="S277" s="9"/>
      <c r="T277" s="7">
        <v>0</v>
      </c>
      <c r="U277" s="8" t="str">
        <f>IFERROR(T277/T444, "NA")</f>
        <v>NA</v>
      </c>
      <c r="V277" s="9"/>
      <c r="W277" s="10">
        <f t="shared" si="70"/>
        <v>0</v>
      </c>
      <c r="X277" s="8" t="str">
        <f>IFERROR(W277/W444, "NA")</f>
        <v>NA</v>
      </c>
      <c r="Y277" s="9"/>
      <c r="Z277" s="7">
        <v>0</v>
      </c>
      <c r="AA277" s="8" t="str">
        <f>IFERROR(Z277/Z444, "NA")</f>
        <v>NA</v>
      </c>
      <c r="AB277" s="9"/>
      <c r="AC277" s="10">
        <f t="shared" si="71"/>
        <v>0</v>
      </c>
      <c r="AD277" s="8" t="str">
        <f>IFERROR(AC277/AC444, "NA")</f>
        <v>NA</v>
      </c>
    </row>
    <row r="278" spans="1:30" ht="16.5" hidden="1" customHeight="1" x14ac:dyDescent="0.45">
      <c r="A278" s="6" t="s">
        <v>252</v>
      </c>
      <c r="B278" s="7">
        <v>0</v>
      </c>
      <c r="C278" s="8" t="str">
        <f>IFERROR(B278/B444, "NA")</f>
        <v>NA</v>
      </c>
      <c r="D278" s="9"/>
      <c r="E278" s="7">
        <v>0</v>
      </c>
      <c r="F278" s="8" t="str">
        <f>IFERROR(E278/E444, "NA")</f>
        <v>NA</v>
      </c>
      <c r="G278" s="9"/>
      <c r="H278" s="10">
        <f t="shared" si="68"/>
        <v>0</v>
      </c>
      <c r="I278" s="8" t="str">
        <f>IFERROR(H278/H444, "NA")</f>
        <v>NA</v>
      </c>
      <c r="J278" s="9"/>
      <c r="K278" s="7">
        <v>0</v>
      </c>
      <c r="L278" s="8" t="str">
        <f>IFERROR(K278/K444, "NA")</f>
        <v>NA</v>
      </c>
      <c r="M278" s="9"/>
      <c r="N278" s="10">
        <f t="shared" si="69"/>
        <v>0</v>
      </c>
      <c r="O278" s="8" t="str">
        <f>IFERROR(N278/N444, "NA")</f>
        <v>NA</v>
      </c>
      <c r="P278" s="9"/>
      <c r="Q278" s="7">
        <v>0</v>
      </c>
      <c r="R278" s="8" t="str">
        <f>IFERROR(Q278/Q444, "NA")</f>
        <v>NA</v>
      </c>
      <c r="S278" s="9"/>
      <c r="T278" s="7">
        <v>0</v>
      </c>
      <c r="U278" s="8" t="str">
        <f>IFERROR(T278/T444, "NA")</f>
        <v>NA</v>
      </c>
      <c r="V278" s="9"/>
      <c r="W278" s="10">
        <f t="shared" si="70"/>
        <v>0</v>
      </c>
      <c r="X278" s="8" t="str">
        <f>IFERROR(W278/W444, "NA")</f>
        <v>NA</v>
      </c>
      <c r="Y278" s="9"/>
      <c r="Z278" s="7">
        <v>0</v>
      </c>
      <c r="AA278" s="8" t="str">
        <f>IFERROR(Z278/Z444, "NA")</f>
        <v>NA</v>
      </c>
      <c r="AB278" s="9"/>
      <c r="AC278" s="10">
        <f t="shared" si="71"/>
        <v>0</v>
      </c>
      <c r="AD278" s="8" t="str">
        <f>IFERROR(AC278/AC444, "NA")</f>
        <v>NA</v>
      </c>
    </row>
    <row r="279" spans="1:30" ht="16.5" hidden="1" customHeight="1" x14ac:dyDescent="0.45">
      <c r="A279" s="6" t="s">
        <v>253</v>
      </c>
      <c r="B279" s="7">
        <v>0</v>
      </c>
      <c r="C279" s="8" t="str">
        <f>IFERROR(B279/B444, "NA")</f>
        <v>NA</v>
      </c>
      <c r="D279" s="9"/>
      <c r="E279" s="7">
        <v>0</v>
      </c>
      <c r="F279" s="8" t="str">
        <f>IFERROR(E279/E444, "NA")</f>
        <v>NA</v>
      </c>
      <c r="G279" s="9"/>
      <c r="H279" s="10">
        <f t="shared" si="68"/>
        <v>0</v>
      </c>
      <c r="I279" s="8" t="str">
        <f>IFERROR(H279/H444, "NA")</f>
        <v>NA</v>
      </c>
      <c r="J279" s="9"/>
      <c r="K279" s="7">
        <v>0</v>
      </c>
      <c r="L279" s="8" t="str">
        <f>IFERROR(K279/K444, "NA")</f>
        <v>NA</v>
      </c>
      <c r="M279" s="9"/>
      <c r="N279" s="10">
        <f t="shared" si="69"/>
        <v>0</v>
      </c>
      <c r="O279" s="8" t="str">
        <f>IFERROR(N279/N444, "NA")</f>
        <v>NA</v>
      </c>
      <c r="P279" s="9"/>
      <c r="Q279" s="7">
        <v>0</v>
      </c>
      <c r="R279" s="8" t="str">
        <f>IFERROR(Q279/Q444, "NA")</f>
        <v>NA</v>
      </c>
      <c r="S279" s="9"/>
      <c r="T279" s="7">
        <v>0</v>
      </c>
      <c r="U279" s="8" t="str">
        <f>IFERROR(T279/T444, "NA")</f>
        <v>NA</v>
      </c>
      <c r="V279" s="9"/>
      <c r="W279" s="10">
        <f t="shared" si="70"/>
        <v>0</v>
      </c>
      <c r="X279" s="8" t="str">
        <f>IFERROR(W279/W444, "NA")</f>
        <v>NA</v>
      </c>
      <c r="Y279" s="9"/>
      <c r="Z279" s="7">
        <v>0</v>
      </c>
      <c r="AA279" s="8" t="str">
        <f>IFERROR(Z279/Z444, "NA")</f>
        <v>NA</v>
      </c>
      <c r="AB279" s="9"/>
      <c r="AC279" s="10">
        <f t="shared" si="71"/>
        <v>0</v>
      </c>
      <c r="AD279" s="8" t="str">
        <f>IFERROR(AC279/AC444, "NA")</f>
        <v>NA</v>
      </c>
    </row>
    <row r="280" spans="1:30" ht="16.5" hidden="1" customHeight="1" x14ac:dyDescent="0.45">
      <c r="A280" s="6" t="s">
        <v>254</v>
      </c>
      <c r="B280" s="7">
        <v>0</v>
      </c>
      <c r="C280" s="8" t="str">
        <f>IFERROR(B280/B444, "NA")</f>
        <v>NA</v>
      </c>
      <c r="D280" s="9"/>
      <c r="E280" s="7">
        <v>0</v>
      </c>
      <c r="F280" s="8" t="str">
        <f>IFERROR(E280/E444, "NA")</f>
        <v>NA</v>
      </c>
      <c r="G280" s="9"/>
      <c r="H280" s="10">
        <f t="shared" si="68"/>
        <v>0</v>
      </c>
      <c r="I280" s="8" t="str">
        <f>IFERROR(H280/H444, "NA")</f>
        <v>NA</v>
      </c>
      <c r="J280" s="9"/>
      <c r="K280" s="7">
        <v>0</v>
      </c>
      <c r="L280" s="8" t="str">
        <f>IFERROR(K280/K444, "NA")</f>
        <v>NA</v>
      </c>
      <c r="M280" s="9"/>
      <c r="N280" s="10">
        <f t="shared" si="69"/>
        <v>0</v>
      </c>
      <c r="O280" s="8" t="str">
        <f>IFERROR(N280/N444, "NA")</f>
        <v>NA</v>
      </c>
      <c r="P280" s="9"/>
      <c r="Q280" s="7">
        <v>0</v>
      </c>
      <c r="R280" s="8" t="str">
        <f>IFERROR(Q280/Q444, "NA")</f>
        <v>NA</v>
      </c>
      <c r="S280" s="9"/>
      <c r="T280" s="7">
        <v>0</v>
      </c>
      <c r="U280" s="8" t="str">
        <f>IFERROR(T280/T444, "NA")</f>
        <v>NA</v>
      </c>
      <c r="V280" s="9"/>
      <c r="W280" s="10">
        <f t="shared" si="70"/>
        <v>0</v>
      </c>
      <c r="X280" s="8" t="str">
        <f>IFERROR(W280/W444, "NA")</f>
        <v>NA</v>
      </c>
      <c r="Y280" s="9"/>
      <c r="Z280" s="7">
        <v>0</v>
      </c>
      <c r="AA280" s="8" t="str">
        <f>IFERROR(Z280/Z444, "NA")</f>
        <v>NA</v>
      </c>
      <c r="AB280" s="9"/>
      <c r="AC280" s="10">
        <f t="shared" si="71"/>
        <v>0</v>
      </c>
      <c r="AD280" s="8" t="str">
        <f>IFERROR(AC280/AC444, "NA")</f>
        <v>NA</v>
      </c>
    </row>
    <row r="281" spans="1:30" ht="16.5" hidden="1" customHeight="1" x14ac:dyDescent="0.45">
      <c r="A281" s="6" t="s">
        <v>255</v>
      </c>
      <c r="B281" s="7">
        <v>0</v>
      </c>
      <c r="C281" s="8" t="str">
        <f>IFERROR(B281/B444, "NA")</f>
        <v>NA</v>
      </c>
      <c r="D281" s="9"/>
      <c r="E281" s="7">
        <v>0</v>
      </c>
      <c r="F281" s="8" t="str">
        <f>IFERROR(E281/E444, "NA")</f>
        <v>NA</v>
      </c>
      <c r="G281" s="9"/>
      <c r="H281" s="10">
        <f t="shared" si="68"/>
        <v>0</v>
      </c>
      <c r="I281" s="8" t="str">
        <f>IFERROR(H281/H444, "NA")</f>
        <v>NA</v>
      </c>
      <c r="J281" s="9"/>
      <c r="K281" s="7">
        <v>0</v>
      </c>
      <c r="L281" s="8" t="str">
        <f>IFERROR(K281/K444, "NA")</f>
        <v>NA</v>
      </c>
      <c r="M281" s="9"/>
      <c r="N281" s="10">
        <f t="shared" si="69"/>
        <v>0</v>
      </c>
      <c r="O281" s="8" t="str">
        <f>IFERROR(N281/N444, "NA")</f>
        <v>NA</v>
      </c>
      <c r="P281" s="9"/>
      <c r="Q281" s="7">
        <v>0</v>
      </c>
      <c r="R281" s="8" t="str">
        <f>IFERROR(Q281/Q444, "NA")</f>
        <v>NA</v>
      </c>
      <c r="S281" s="9"/>
      <c r="T281" s="7">
        <v>0</v>
      </c>
      <c r="U281" s="8" t="str">
        <f>IFERROR(T281/T444, "NA")</f>
        <v>NA</v>
      </c>
      <c r="V281" s="9"/>
      <c r="W281" s="10">
        <f t="shared" si="70"/>
        <v>0</v>
      </c>
      <c r="X281" s="8" t="str">
        <f>IFERROR(W281/W444, "NA")</f>
        <v>NA</v>
      </c>
      <c r="Y281" s="9"/>
      <c r="Z281" s="7">
        <v>0</v>
      </c>
      <c r="AA281" s="8" t="str">
        <f>IFERROR(Z281/Z444, "NA")</f>
        <v>NA</v>
      </c>
      <c r="AB281" s="9"/>
      <c r="AC281" s="10">
        <f t="shared" si="71"/>
        <v>0</v>
      </c>
      <c r="AD281" s="8" t="str">
        <f>IFERROR(AC281/AC444, "NA")</f>
        <v>NA</v>
      </c>
    </row>
    <row r="282" spans="1:30" ht="16.5" hidden="1" customHeight="1" x14ac:dyDescent="0.45">
      <c r="A282" s="6" t="s">
        <v>256</v>
      </c>
      <c r="B282" s="7">
        <v>0</v>
      </c>
      <c r="C282" s="8" t="str">
        <f>IFERROR(B282/B444, "NA")</f>
        <v>NA</v>
      </c>
      <c r="D282" s="9"/>
      <c r="E282" s="7">
        <v>0</v>
      </c>
      <c r="F282" s="8" t="str">
        <f>IFERROR(E282/E444, "NA")</f>
        <v>NA</v>
      </c>
      <c r="G282" s="9"/>
      <c r="H282" s="10">
        <f t="shared" si="68"/>
        <v>0</v>
      </c>
      <c r="I282" s="8" t="str">
        <f>IFERROR(H282/H444, "NA")</f>
        <v>NA</v>
      </c>
      <c r="J282" s="9"/>
      <c r="K282" s="7">
        <v>0</v>
      </c>
      <c r="L282" s="8" t="str">
        <f>IFERROR(K282/K444, "NA")</f>
        <v>NA</v>
      </c>
      <c r="M282" s="9"/>
      <c r="N282" s="10">
        <f t="shared" si="69"/>
        <v>0</v>
      </c>
      <c r="O282" s="8" t="str">
        <f>IFERROR(N282/N444, "NA")</f>
        <v>NA</v>
      </c>
      <c r="P282" s="9"/>
      <c r="Q282" s="7">
        <v>0</v>
      </c>
      <c r="R282" s="8" t="str">
        <f>IFERROR(Q282/Q444, "NA")</f>
        <v>NA</v>
      </c>
      <c r="S282" s="9"/>
      <c r="T282" s="7">
        <v>0</v>
      </c>
      <c r="U282" s="8" t="str">
        <f>IFERROR(T282/T444, "NA")</f>
        <v>NA</v>
      </c>
      <c r="V282" s="9"/>
      <c r="W282" s="10">
        <f t="shared" si="70"/>
        <v>0</v>
      </c>
      <c r="X282" s="8" t="str">
        <f>IFERROR(W282/W444, "NA")</f>
        <v>NA</v>
      </c>
      <c r="Y282" s="9"/>
      <c r="Z282" s="7">
        <v>0</v>
      </c>
      <c r="AA282" s="8" t="str">
        <f>IFERROR(Z282/Z444, "NA")</f>
        <v>NA</v>
      </c>
      <c r="AB282" s="9"/>
      <c r="AC282" s="10">
        <f t="shared" si="71"/>
        <v>0</v>
      </c>
      <c r="AD282" s="8" t="str">
        <f>IFERROR(AC282/AC444, "NA")</f>
        <v>NA</v>
      </c>
    </row>
    <row r="283" spans="1:30" ht="16.5" hidden="1" customHeight="1" x14ac:dyDescent="0.45">
      <c r="A283" s="6" t="s">
        <v>257</v>
      </c>
      <c r="B283" s="7">
        <v>0</v>
      </c>
      <c r="C283" s="8" t="str">
        <f>IFERROR(B283/B444, "NA")</f>
        <v>NA</v>
      </c>
      <c r="D283" s="9"/>
      <c r="E283" s="7">
        <v>0</v>
      </c>
      <c r="F283" s="8" t="str">
        <f>IFERROR(E283/E444, "NA")</f>
        <v>NA</v>
      </c>
      <c r="G283" s="9"/>
      <c r="H283" s="10">
        <f t="shared" si="68"/>
        <v>0</v>
      </c>
      <c r="I283" s="8" t="str">
        <f>IFERROR(H283/H444, "NA")</f>
        <v>NA</v>
      </c>
      <c r="J283" s="9"/>
      <c r="K283" s="7">
        <v>0</v>
      </c>
      <c r="L283" s="8" t="str">
        <f>IFERROR(K283/K444, "NA")</f>
        <v>NA</v>
      </c>
      <c r="M283" s="9"/>
      <c r="N283" s="10">
        <f t="shared" si="69"/>
        <v>0</v>
      </c>
      <c r="O283" s="8" t="str">
        <f>IFERROR(N283/N444, "NA")</f>
        <v>NA</v>
      </c>
      <c r="P283" s="9"/>
      <c r="Q283" s="7">
        <v>0</v>
      </c>
      <c r="R283" s="8" t="str">
        <f>IFERROR(Q283/Q444, "NA")</f>
        <v>NA</v>
      </c>
      <c r="S283" s="9"/>
      <c r="T283" s="7">
        <v>0</v>
      </c>
      <c r="U283" s="8" t="str">
        <f>IFERROR(T283/T444, "NA")</f>
        <v>NA</v>
      </c>
      <c r="V283" s="9"/>
      <c r="W283" s="10">
        <f t="shared" si="70"/>
        <v>0</v>
      </c>
      <c r="X283" s="8" t="str">
        <f>IFERROR(W283/W444, "NA")</f>
        <v>NA</v>
      </c>
      <c r="Y283" s="9"/>
      <c r="Z283" s="7">
        <v>0</v>
      </c>
      <c r="AA283" s="8" t="str">
        <f>IFERROR(Z283/Z444, "NA")</f>
        <v>NA</v>
      </c>
      <c r="AB283" s="9"/>
      <c r="AC283" s="10">
        <f t="shared" si="71"/>
        <v>0</v>
      </c>
      <c r="AD283" s="8" t="str">
        <f>IFERROR(AC283/AC444, "NA")</f>
        <v>NA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 t="str">
        <f>IFERROR(B284/B444, "NA")</f>
        <v>NA</v>
      </c>
      <c r="D284" s="2"/>
      <c r="E284" s="14">
        <f>IFERROR(E275+E276+E277+E278+E279+E280+E281+E282+E283, "NA")</f>
        <v>0</v>
      </c>
      <c r="F284" s="15" t="str">
        <f>IFERROR(E284/E444, "NA")</f>
        <v>NA</v>
      </c>
      <c r="G284" s="2"/>
      <c r="H284" s="14">
        <f t="shared" si="68"/>
        <v>0</v>
      </c>
      <c r="I284" s="15" t="str">
        <f>IFERROR(H284/H444, "NA")</f>
        <v>NA</v>
      </c>
      <c r="J284" s="2"/>
      <c r="K284" s="14">
        <f>IFERROR(K275+K276+K277+K278+K279+K280+K281+K282+K283, "NA")</f>
        <v>0</v>
      </c>
      <c r="L284" s="15" t="str">
        <f>IFERROR(K284/K444, "NA")</f>
        <v>NA</v>
      </c>
      <c r="M284" s="2"/>
      <c r="N284" s="14">
        <f t="shared" si="69"/>
        <v>0</v>
      </c>
      <c r="O284" s="15" t="str">
        <f>IFERROR(N284/N444, "NA")</f>
        <v>NA</v>
      </c>
      <c r="P284" s="2"/>
      <c r="Q284" s="14">
        <f>IFERROR(Q275+Q276+Q277+Q278+Q279+Q280+Q281+Q282+Q283, "NA")</f>
        <v>0</v>
      </c>
      <c r="R284" s="15" t="str">
        <f>IFERROR(Q284/Q444, "NA")</f>
        <v>NA</v>
      </c>
      <c r="S284" s="2"/>
      <c r="T284" s="14">
        <f>IFERROR(T275+T276+T277+T278+T279+T280+T281+T282+T283, "NA")</f>
        <v>0</v>
      </c>
      <c r="U284" s="15" t="str">
        <f>IFERROR(T284/T444, "NA")</f>
        <v>NA</v>
      </c>
      <c r="V284" s="2"/>
      <c r="W284" s="14">
        <f t="shared" si="70"/>
        <v>0</v>
      </c>
      <c r="X284" s="15" t="str">
        <f>IFERROR(W284/W444, "NA")</f>
        <v>NA</v>
      </c>
      <c r="Y284" s="2"/>
      <c r="Z284" s="14">
        <f>IFERROR(Z275+Z276+Z277+Z278+Z279+Z280+Z281+Z282+Z283, "NA")</f>
        <v>0</v>
      </c>
      <c r="AA284" s="15" t="str">
        <f>IFERROR(Z284/Z444, "NA")</f>
        <v>NA</v>
      </c>
      <c r="AB284" s="2"/>
      <c r="AC284" s="14">
        <f t="shared" si="71"/>
        <v>0</v>
      </c>
      <c r="AD284" s="15" t="str">
        <f>IFERROR(AC284/AC444, "NA")</f>
        <v>NA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 t="str">
        <f>IFERROR(B286/B444, "NA")</f>
        <v>NA</v>
      </c>
      <c r="D286" s="9"/>
      <c r="E286" s="7">
        <v>0</v>
      </c>
      <c r="F286" s="8" t="str">
        <f>IFERROR(E286/E444, "NA")</f>
        <v>NA</v>
      </c>
      <c r="G286" s="9"/>
      <c r="H286" s="10">
        <f t="shared" ref="H286:H295" si="72">IFERROR(-(B286-E286), "NA")</f>
        <v>0</v>
      </c>
      <c r="I286" s="8" t="str">
        <f>IFERROR(H286/H444, "NA")</f>
        <v>NA</v>
      </c>
      <c r="J286" s="9"/>
      <c r="K286" s="7">
        <v>0</v>
      </c>
      <c r="L286" s="8" t="str">
        <f>IFERROR(K286/K444, "NA")</f>
        <v>NA</v>
      </c>
      <c r="M286" s="9"/>
      <c r="N286" s="10">
        <f t="shared" ref="N286:N295" si="73">IFERROR(-(B286-K286), "NA")</f>
        <v>0</v>
      </c>
      <c r="O286" s="8" t="str">
        <f>IFERROR(N286/N444, "NA")</f>
        <v>NA</v>
      </c>
      <c r="P286" s="9"/>
      <c r="Q286" s="7">
        <v>0</v>
      </c>
      <c r="R286" s="8" t="str">
        <f>IFERROR(Q286/Q444, "NA")</f>
        <v>NA</v>
      </c>
      <c r="S286" s="9"/>
      <c r="T286" s="7">
        <v>0</v>
      </c>
      <c r="U286" s="8" t="str">
        <f>IFERROR(T286/T444, "NA")</f>
        <v>NA</v>
      </c>
      <c r="V286" s="9"/>
      <c r="W286" s="10">
        <f t="shared" ref="W286:W295" si="74">IFERROR(-(Q286-T286), "NA")</f>
        <v>0</v>
      </c>
      <c r="X286" s="8" t="str">
        <f>IFERROR(W286/W444, "NA")</f>
        <v>NA</v>
      </c>
      <c r="Y286" s="9"/>
      <c r="Z286" s="7">
        <v>0</v>
      </c>
      <c r="AA286" s="8" t="str">
        <f>IFERROR(Z286/Z444, "NA")</f>
        <v>NA</v>
      </c>
      <c r="AB286" s="9"/>
      <c r="AC286" s="10">
        <f t="shared" ref="AC286:AC295" si="75">IFERROR(-(Q286-Z286), "NA")</f>
        <v>0</v>
      </c>
      <c r="AD286" s="8" t="str">
        <f>IFERROR(AC286/AC444, "NA")</f>
        <v>NA</v>
      </c>
    </row>
    <row r="287" spans="1:30" ht="16.5" hidden="1" customHeight="1" x14ac:dyDescent="0.45">
      <c r="A287" s="6" t="s">
        <v>260</v>
      </c>
      <c r="B287" s="7">
        <v>0</v>
      </c>
      <c r="C287" s="8" t="str">
        <f>IFERROR(B287/B444, "NA")</f>
        <v>NA</v>
      </c>
      <c r="D287" s="9"/>
      <c r="E287" s="7">
        <v>0</v>
      </c>
      <c r="F287" s="8" t="str">
        <f>IFERROR(E287/E444, "NA")</f>
        <v>NA</v>
      </c>
      <c r="G287" s="9"/>
      <c r="H287" s="10">
        <f t="shared" si="72"/>
        <v>0</v>
      </c>
      <c r="I287" s="8" t="str">
        <f>IFERROR(H287/H444, "NA")</f>
        <v>NA</v>
      </c>
      <c r="J287" s="9"/>
      <c r="K287" s="7">
        <v>0</v>
      </c>
      <c r="L287" s="8" t="str">
        <f>IFERROR(K287/K444, "NA")</f>
        <v>NA</v>
      </c>
      <c r="M287" s="9"/>
      <c r="N287" s="10">
        <f t="shared" si="73"/>
        <v>0</v>
      </c>
      <c r="O287" s="8" t="str">
        <f>IFERROR(N287/N444, "NA")</f>
        <v>NA</v>
      </c>
      <c r="P287" s="9"/>
      <c r="Q287" s="7">
        <v>0</v>
      </c>
      <c r="R287" s="8" t="str">
        <f>IFERROR(Q287/Q444, "NA")</f>
        <v>NA</v>
      </c>
      <c r="S287" s="9"/>
      <c r="T287" s="7">
        <v>0</v>
      </c>
      <c r="U287" s="8" t="str">
        <f>IFERROR(T287/T444, "NA")</f>
        <v>NA</v>
      </c>
      <c r="V287" s="9"/>
      <c r="W287" s="10">
        <f t="shared" si="74"/>
        <v>0</v>
      </c>
      <c r="X287" s="8" t="str">
        <f>IFERROR(W287/W444, "NA")</f>
        <v>NA</v>
      </c>
      <c r="Y287" s="9"/>
      <c r="Z287" s="7">
        <v>0</v>
      </c>
      <c r="AA287" s="8" t="str">
        <f>IFERROR(Z287/Z444, "NA")</f>
        <v>NA</v>
      </c>
      <c r="AB287" s="9"/>
      <c r="AC287" s="10">
        <f t="shared" si="75"/>
        <v>0</v>
      </c>
      <c r="AD287" s="8" t="str">
        <f>IFERROR(AC287/AC444, "NA")</f>
        <v>NA</v>
      </c>
    </row>
    <row r="288" spans="1:30" ht="16.5" hidden="1" customHeight="1" x14ac:dyDescent="0.45">
      <c r="A288" s="6" t="s">
        <v>261</v>
      </c>
      <c r="B288" s="7">
        <v>0</v>
      </c>
      <c r="C288" s="8" t="str">
        <f>IFERROR(B288/B444, "NA")</f>
        <v>NA</v>
      </c>
      <c r="D288" s="9"/>
      <c r="E288" s="7">
        <v>0</v>
      </c>
      <c r="F288" s="8" t="str">
        <f>IFERROR(E288/E444, "NA")</f>
        <v>NA</v>
      </c>
      <c r="G288" s="9"/>
      <c r="H288" s="10">
        <f t="shared" si="72"/>
        <v>0</v>
      </c>
      <c r="I288" s="8" t="str">
        <f>IFERROR(H288/H444, "NA")</f>
        <v>NA</v>
      </c>
      <c r="J288" s="9"/>
      <c r="K288" s="7">
        <v>0</v>
      </c>
      <c r="L288" s="8" t="str">
        <f>IFERROR(K288/K444, "NA")</f>
        <v>NA</v>
      </c>
      <c r="M288" s="9"/>
      <c r="N288" s="10">
        <f t="shared" si="73"/>
        <v>0</v>
      </c>
      <c r="O288" s="8" t="str">
        <f>IFERROR(N288/N444, "NA")</f>
        <v>NA</v>
      </c>
      <c r="P288" s="9"/>
      <c r="Q288" s="7">
        <v>0</v>
      </c>
      <c r="R288" s="8" t="str">
        <f>IFERROR(Q288/Q444, "NA")</f>
        <v>NA</v>
      </c>
      <c r="S288" s="9"/>
      <c r="T288" s="7">
        <v>0</v>
      </c>
      <c r="U288" s="8" t="str">
        <f>IFERROR(T288/T444, "NA")</f>
        <v>NA</v>
      </c>
      <c r="V288" s="9"/>
      <c r="W288" s="10">
        <f t="shared" si="74"/>
        <v>0</v>
      </c>
      <c r="X288" s="8" t="str">
        <f>IFERROR(W288/W444, "NA")</f>
        <v>NA</v>
      </c>
      <c r="Y288" s="9"/>
      <c r="Z288" s="7">
        <v>0</v>
      </c>
      <c r="AA288" s="8" t="str">
        <f>IFERROR(Z288/Z444, "NA")</f>
        <v>NA</v>
      </c>
      <c r="AB288" s="9"/>
      <c r="AC288" s="10">
        <f t="shared" si="75"/>
        <v>0</v>
      </c>
      <c r="AD288" s="8" t="str">
        <f>IFERROR(AC288/AC444, "NA")</f>
        <v>NA</v>
      </c>
    </row>
    <row r="289" spans="1:30" ht="16.5" hidden="1" customHeight="1" x14ac:dyDescent="0.45">
      <c r="A289" s="6" t="s">
        <v>262</v>
      </c>
      <c r="B289" s="7">
        <v>0</v>
      </c>
      <c r="C289" s="8" t="str">
        <f>IFERROR(B289/B444, "NA")</f>
        <v>NA</v>
      </c>
      <c r="D289" s="9"/>
      <c r="E289" s="7">
        <v>0</v>
      </c>
      <c r="F289" s="8" t="str">
        <f>IFERROR(E289/E444, "NA")</f>
        <v>NA</v>
      </c>
      <c r="G289" s="9"/>
      <c r="H289" s="10">
        <f t="shared" si="72"/>
        <v>0</v>
      </c>
      <c r="I289" s="8" t="str">
        <f>IFERROR(H289/H444, "NA")</f>
        <v>NA</v>
      </c>
      <c r="J289" s="9"/>
      <c r="K289" s="7">
        <v>0</v>
      </c>
      <c r="L289" s="8" t="str">
        <f>IFERROR(K289/K444, "NA")</f>
        <v>NA</v>
      </c>
      <c r="M289" s="9"/>
      <c r="N289" s="10">
        <f t="shared" si="73"/>
        <v>0</v>
      </c>
      <c r="O289" s="8" t="str">
        <f>IFERROR(N289/N444, "NA")</f>
        <v>NA</v>
      </c>
      <c r="P289" s="9"/>
      <c r="Q289" s="7">
        <v>0</v>
      </c>
      <c r="R289" s="8" t="str">
        <f>IFERROR(Q289/Q444, "NA")</f>
        <v>NA</v>
      </c>
      <c r="S289" s="9"/>
      <c r="T289" s="7">
        <v>0</v>
      </c>
      <c r="U289" s="8" t="str">
        <f>IFERROR(T289/T444, "NA")</f>
        <v>NA</v>
      </c>
      <c r="V289" s="9"/>
      <c r="W289" s="10">
        <f t="shared" si="74"/>
        <v>0</v>
      </c>
      <c r="X289" s="8" t="str">
        <f>IFERROR(W289/W444, "NA")</f>
        <v>NA</v>
      </c>
      <c r="Y289" s="9"/>
      <c r="Z289" s="7">
        <v>0</v>
      </c>
      <c r="AA289" s="8" t="str">
        <f>IFERROR(Z289/Z444, "NA")</f>
        <v>NA</v>
      </c>
      <c r="AB289" s="9"/>
      <c r="AC289" s="10">
        <f t="shared" si="75"/>
        <v>0</v>
      </c>
      <c r="AD289" s="8" t="str">
        <f>IFERROR(AC289/AC444, "NA")</f>
        <v>NA</v>
      </c>
    </row>
    <row r="290" spans="1:30" ht="16.5" hidden="1" customHeight="1" x14ac:dyDescent="0.45">
      <c r="A290" s="6" t="s">
        <v>263</v>
      </c>
      <c r="B290" s="7">
        <v>0</v>
      </c>
      <c r="C290" s="8" t="str">
        <f>IFERROR(B290/B444, "NA")</f>
        <v>NA</v>
      </c>
      <c r="D290" s="9"/>
      <c r="E290" s="7">
        <v>0</v>
      </c>
      <c r="F290" s="8" t="str">
        <f>IFERROR(E290/E444, "NA")</f>
        <v>NA</v>
      </c>
      <c r="G290" s="9"/>
      <c r="H290" s="10">
        <f t="shared" si="72"/>
        <v>0</v>
      </c>
      <c r="I290" s="8" t="str">
        <f>IFERROR(H290/H444, "NA")</f>
        <v>NA</v>
      </c>
      <c r="J290" s="9"/>
      <c r="K290" s="7">
        <v>0</v>
      </c>
      <c r="L290" s="8" t="str">
        <f>IFERROR(K290/K444, "NA")</f>
        <v>NA</v>
      </c>
      <c r="M290" s="9"/>
      <c r="N290" s="10">
        <f t="shared" si="73"/>
        <v>0</v>
      </c>
      <c r="O290" s="8" t="str">
        <f>IFERROR(N290/N444, "NA")</f>
        <v>NA</v>
      </c>
      <c r="P290" s="9"/>
      <c r="Q290" s="7">
        <v>0</v>
      </c>
      <c r="R290" s="8" t="str">
        <f>IFERROR(Q290/Q444, "NA")</f>
        <v>NA</v>
      </c>
      <c r="S290" s="9"/>
      <c r="T290" s="7">
        <v>0</v>
      </c>
      <c r="U290" s="8" t="str">
        <f>IFERROR(T290/T444, "NA")</f>
        <v>NA</v>
      </c>
      <c r="V290" s="9"/>
      <c r="W290" s="10">
        <f t="shared" si="74"/>
        <v>0</v>
      </c>
      <c r="X290" s="8" t="str">
        <f>IFERROR(W290/W444, "NA")</f>
        <v>NA</v>
      </c>
      <c r="Y290" s="9"/>
      <c r="Z290" s="7">
        <v>0</v>
      </c>
      <c r="AA290" s="8" t="str">
        <f>IFERROR(Z290/Z444, "NA")</f>
        <v>NA</v>
      </c>
      <c r="AB290" s="9"/>
      <c r="AC290" s="10">
        <f t="shared" si="75"/>
        <v>0</v>
      </c>
      <c r="AD290" s="8" t="str">
        <f>IFERROR(AC290/AC444, "NA")</f>
        <v>NA</v>
      </c>
    </row>
    <row r="291" spans="1:30" ht="16.5" hidden="1" customHeight="1" x14ac:dyDescent="0.45">
      <c r="A291" s="6" t="s">
        <v>264</v>
      </c>
      <c r="B291" s="7">
        <v>0</v>
      </c>
      <c r="C291" s="8" t="str">
        <f>IFERROR(B291/B444, "NA")</f>
        <v>NA</v>
      </c>
      <c r="D291" s="9"/>
      <c r="E291" s="7">
        <v>0</v>
      </c>
      <c r="F291" s="8" t="str">
        <f>IFERROR(E291/E444, "NA")</f>
        <v>NA</v>
      </c>
      <c r="G291" s="9"/>
      <c r="H291" s="10">
        <f t="shared" si="72"/>
        <v>0</v>
      </c>
      <c r="I291" s="8" t="str">
        <f>IFERROR(H291/H444, "NA")</f>
        <v>NA</v>
      </c>
      <c r="J291" s="9"/>
      <c r="K291" s="7">
        <v>0</v>
      </c>
      <c r="L291" s="8" t="str">
        <f>IFERROR(K291/K444, "NA")</f>
        <v>NA</v>
      </c>
      <c r="M291" s="9"/>
      <c r="N291" s="10">
        <f t="shared" si="73"/>
        <v>0</v>
      </c>
      <c r="O291" s="8" t="str">
        <f>IFERROR(N291/N444, "NA")</f>
        <v>NA</v>
      </c>
      <c r="P291" s="9"/>
      <c r="Q291" s="7">
        <v>0</v>
      </c>
      <c r="R291" s="8" t="str">
        <f>IFERROR(Q291/Q444, "NA")</f>
        <v>NA</v>
      </c>
      <c r="S291" s="9"/>
      <c r="T291" s="7">
        <v>0</v>
      </c>
      <c r="U291" s="8" t="str">
        <f>IFERROR(T291/T444, "NA")</f>
        <v>NA</v>
      </c>
      <c r="V291" s="9"/>
      <c r="W291" s="10">
        <f t="shared" si="74"/>
        <v>0</v>
      </c>
      <c r="X291" s="8" t="str">
        <f>IFERROR(W291/W444, "NA")</f>
        <v>NA</v>
      </c>
      <c r="Y291" s="9"/>
      <c r="Z291" s="7">
        <v>0</v>
      </c>
      <c r="AA291" s="8" t="str">
        <f>IFERROR(Z291/Z444, "NA")</f>
        <v>NA</v>
      </c>
      <c r="AB291" s="9"/>
      <c r="AC291" s="10">
        <f t="shared" si="75"/>
        <v>0</v>
      </c>
      <c r="AD291" s="8" t="str">
        <f>IFERROR(AC291/AC444, "NA")</f>
        <v>NA</v>
      </c>
    </row>
    <row r="292" spans="1:30" ht="16.5" hidden="1" customHeight="1" x14ac:dyDescent="0.45">
      <c r="A292" s="6" t="s">
        <v>265</v>
      </c>
      <c r="B292" s="7">
        <v>0</v>
      </c>
      <c r="C292" s="8" t="str">
        <f>IFERROR(B292/B444, "NA")</f>
        <v>NA</v>
      </c>
      <c r="D292" s="9"/>
      <c r="E292" s="7">
        <v>0</v>
      </c>
      <c r="F292" s="8" t="str">
        <f>IFERROR(E292/E444, "NA")</f>
        <v>NA</v>
      </c>
      <c r="G292" s="9"/>
      <c r="H292" s="10">
        <f t="shared" si="72"/>
        <v>0</v>
      </c>
      <c r="I292" s="8" t="str">
        <f>IFERROR(H292/H444, "NA")</f>
        <v>NA</v>
      </c>
      <c r="J292" s="9"/>
      <c r="K292" s="7">
        <v>0</v>
      </c>
      <c r="L292" s="8" t="str">
        <f>IFERROR(K292/K444, "NA")</f>
        <v>NA</v>
      </c>
      <c r="M292" s="9"/>
      <c r="N292" s="10">
        <f t="shared" si="73"/>
        <v>0</v>
      </c>
      <c r="O292" s="8" t="str">
        <f>IFERROR(N292/N444, "NA")</f>
        <v>NA</v>
      </c>
      <c r="P292" s="9"/>
      <c r="Q292" s="7">
        <v>0</v>
      </c>
      <c r="R292" s="8" t="str">
        <f>IFERROR(Q292/Q444, "NA")</f>
        <v>NA</v>
      </c>
      <c r="S292" s="9"/>
      <c r="T292" s="7">
        <v>0</v>
      </c>
      <c r="U292" s="8" t="str">
        <f>IFERROR(T292/T444, "NA")</f>
        <v>NA</v>
      </c>
      <c r="V292" s="9"/>
      <c r="W292" s="10">
        <f t="shared" si="74"/>
        <v>0</v>
      </c>
      <c r="X292" s="8" t="str">
        <f>IFERROR(W292/W444, "NA")</f>
        <v>NA</v>
      </c>
      <c r="Y292" s="9"/>
      <c r="Z292" s="7">
        <v>0</v>
      </c>
      <c r="AA292" s="8" t="str">
        <f>IFERROR(Z292/Z444, "NA")</f>
        <v>NA</v>
      </c>
      <c r="AB292" s="9"/>
      <c r="AC292" s="10">
        <f t="shared" si="75"/>
        <v>0</v>
      </c>
      <c r="AD292" s="8" t="str">
        <f>IFERROR(AC292/AC444, "NA")</f>
        <v>NA</v>
      </c>
    </row>
    <row r="293" spans="1:30" ht="16.5" hidden="1" customHeight="1" x14ac:dyDescent="0.45">
      <c r="A293" s="6" t="s">
        <v>266</v>
      </c>
      <c r="B293" s="7">
        <v>0</v>
      </c>
      <c r="C293" s="8" t="str">
        <f>IFERROR(B293/B444, "NA")</f>
        <v>NA</v>
      </c>
      <c r="D293" s="9"/>
      <c r="E293" s="7">
        <v>0</v>
      </c>
      <c r="F293" s="8" t="str">
        <f>IFERROR(E293/E444, "NA")</f>
        <v>NA</v>
      </c>
      <c r="G293" s="9"/>
      <c r="H293" s="10">
        <f t="shared" si="72"/>
        <v>0</v>
      </c>
      <c r="I293" s="8" t="str">
        <f>IFERROR(H293/H444, "NA")</f>
        <v>NA</v>
      </c>
      <c r="J293" s="9"/>
      <c r="K293" s="7">
        <v>0</v>
      </c>
      <c r="L293" s="8" t="str">
        <f>IFERROR(K293/K444, "NA")</f>
        <v>NA</v>
      </c>
      <c r="M293" s="9"/>
      <c r="N293" s="10">
        <f t="shared" si="73"/>
        <v>0</v>
      </c>
      <c r="O293" s="8" t="str">
        <f>IFERROR(N293/N444, "NA")</f>
        <v>NA</v>
      </c>
      <c r="P293" s="9"/>
      <c r="Q293" s="7">
        <v>0</v>
      </c>
      <c r="R293" s="8" t="str">
        <f>IFERROR(Q293/Q444, "NA")</f>
        <v>NA</v>
      </c>
      <c r="S293" s="9"/>
      <c r="T293" s="7">
        <v>0</v>
      </c>
      <c r="U293" s="8" t="str">
        <f>IFERROR(T293/T444, "NA")</f>
        <v>NA</v>
      </c>
      <c r="V293" s="9"/>
      <c r="W293" s="10">
        <f t="shared" si="74"/>
        <v>0</v>
      </c>
      <c r="X293" s="8" t="str">
        <f>IFERROR(W293/W444, "NA")</f>
        <v>NA</v>
      </c>
      <c r="Y293" s="9"/>
      <c r="Z293" s="7">
        <v>0</v>
      </c>
      <c r="AA293" s="8" t="str">
        <f>IFERROR(Z293/Z444, "NA")</f>
        <v>NA</v>
      </c>
      <c r="AB293" s="9"/>
      <c r="AC293" s="10">
        <f t="shared" si="75"/>
        <v>0</v>
      </c>
      <c r="AD293" s="8" t="str">
        <f>IFERROR(AC293/AC444, "NA")</f>
        <v>NA</v>
      </c>
    </row>
    <row r="294" spans="1:30" ht="16.5" hidden="1" customHeight="1" x14ac:dyDescent="0.45">
      <c r="A294" s="6" t="s">
        <v>267</v>
      </c>
      <c r="B294" s="7">
        <v>0</v>
      </c>
      <c r="C294" s="8" t="str">
        <f>IFERROR(B294/B444, "NA")</f>
        <v>NA</v>
      </c>
      <c r="D294" s="9"/>
      <c r="E294" s="7">
        <v>0</v>
      </c>
      <c r="F294" s="8" t="str">
        <f>IFERROR(E294/E444, "NA")</f>
        <v>NA</v>
      </c>
      <c r="G294" s="9"/>
      <c r="H294" s="10">
        <f t="shared" si="72"/>
        <v>0</v>
      </c>
      <c r="I294" s="8" t="str">
        <f>IFERROR(H294/H444, "NA")</f>
        <v>NA</v>
      </c>
      <c r="J294" s="9"/>
      <c r="K294" s="7">
        <v>0</v>
      </c>
      <c r="L294" s="8" t="str">
        <f>IFERROR(K294/K444, "NA")</f>
        <v>NA</v>
      </c>
      <c r="M294" s="9"/>
      <c r="N294" s="10">
        <f t="shared" si="73"/>
        <v>0</v>
      </c>
      <c r="O294" s="8" t="str">
        <f>IFERROR(N294/N444, "NA")</f>
        <v>NA</v>
      </c>
      <c r="P294" s="9"/>
      <c r="Q294" s="7">
        <v>0</v>
      </c>
      <c r="R294" s="8" t="str">
        <f>IFERROR(Q294/Q444, "NA")</f>
        <v>NA</v>
      </c>
      <c r="S294" s="9"/>
      <c r="T294" s="7">
        <v>0</v>
      </c>
      <c r="U294" s="8" t="str">
        <f>IFERROR(T294/T444, "NA")</f>
        <v>NA</v>
      </c>
      <c r="V294" s="9"/>
      <c r="W294" s="10">
        <f t="shared" si="74"/>
        <v>0</v>
      </c>
      <c r="X294" s="8" t="str">
        <f>IFERROR(W294/W444, "NA")</f>
        <v>NA</v>
      </c>
      <c r="Y294" s="9"/>
      <c r="Z294" s="7">
        <v>0</v>
      </c>
      <c r="AA294" s="8" t="str">
        <f>IFERROR(Z294/Z444, "NA")</f>
        <v>NA</v>
      </c>
      <c r="AB294" s="9"/>
      <c r="AC294" s="10">
        <f t="shared" si="75"/>
        <v>0</v>
      </c>
      <c r="AD294" s="8" t="str">
        <f>IFERROR(AC294/AC444, "NA")</f>
        <v>NA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0</v>
      </c>
      <c r="C295" s="15" t="str">
        <f>IFERROR(B295/B444, "NA")</f>
        <v>NA</v>
      </c>
      <c r="D295" s="2"/>
      <c r="E295" s="14">
        <f>IFERROR(E286+E287+E288+E289+E290+E291+E292+E293+E294, "NA")</f>
        <v>0</v>
      </c>
      <c r="F295" s="15" t="str">
        <f>IFERROR(E295/E444, "NA")</f>
        <v>NA</v>
      </c>
      <c r="G295" s="2"/>
      <c r="H295" s="14">
        <f t="shared" si="72"/>
        <v>0</v>
      </c>
      <c r="I295" s="15" t="str">
        <f>IFERROR(H295/H444, "NA")</f>
        <v>NA</v>
      </c>
      <c r="J295" s="2"/>
      <c r="K295" s="14">
        <f>IFERROR(K286+K287+K288+K289+K290+K291+K292+K293+K294, "NA")</f>
        <v>0</v>
      </c>
      <c r="L295" s="15" t="str">
        <f>IFERROR(K295/K444, "NA")</f>
        <v>NA</v>
      </c>
      <c r="M295" s="2"/>
      <c r="N295" s="14">
        <f t="shared" si="73"/>
        <v>0</v>
      </c>
      <c r="O295" s="15" t="str">
        <f>IFERROR(N295/N444, "NA")</f>
        <v>NA</v>
      </c>
      <c r="P295" s="2"/>
      <c r="Q295" s="14">
        <f>IFERROR(Q286+Q287+Q288+Q289+Q290+Q291+Q292+Q293+Q294, "NA")</f>
        <v>0</v>
      </c>
      <c r="R295" s="15" t="str">
        <f>IFERROR(Q295/Q444, "NA")</f>
        <v>NA</v>
      </c>
      <c r="S295" s="2"/>
      <c r="T295" s="14">
        <f>IFERROR(T286+T287+T288+T289+T290+T291+T292+T293+T294, "NA")</f>
        <v>0</v>
      </c>
      <c r="U295" s="15" t="str">
        <f>IFERROR(T295/T444, "NA")</f>
        <v>NA</v>
      </c>
      <c r="V295" s="2"/>
      <c r="W295" s="14">
        <f t="shared" si="74"/>
        <v>0</v>
      </c>
      <c r="X295" s="15" t="str">
        <f>IFERROR(W295/W444, "NA")</f>
        <v>NA</v>
      </c>
      <c r="Y295" s="2"/>
      <c r="Z295" s="14">
        <f>IFERROR(Z286+Z287+Z288+Z289+Z290+Z291+Z292+Z293+Z294, "NA")</f>
        <v>0</v>
      </c>
      <c r="AA295" s="15" t="str">
        <f>IFERROR(Z295/Z444, "NA")</f>
        <v>NA</v>
      </c>
      <c r="AB295" s="2"/>
      <c r="AC295" s="14">
        <f t="shared" si="75"/>
        <v>0</v>
      </c>
      <c r="AD295" s="15" t="str">
        <f>IFERROR(AC295/AC444, "NA")</f>
        <v>NA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hidden="1" customHeight="1" x14ac:dyDescent="0.45">
      <c r="A297" s="6" t="s">
        <v>269</v>
      </c>
      <c r="B297" s="7">
        <v>0</v>
      </c>
      <c r="C297" s="8" t="str">
        <f>IFERROR(B297/B444, "NA")</f>
        <v>NA</v>
      </c>
      <c r="D297" s="9"/>
      <c r="E297" s="7">
        <v>0</v>
      </c>
      <c r="F297" s="8" t="str">
        <f>IFERROR(E297/E444, "NA")</f>
        <v>NA</v>
      </c>
      <c r="G297" s="9"/>
      <c r="H297" s="10">
        <f t="shared" ref="H297:H325" si="76">IFERROR(-(B297-E297), "NA")</f>
        <v>0</v>
      </c>
      <c r="I297" s="8" t="str">
        <f>IFERROR(H297/H444, "NA")</f>
        <v>NA</v>
      </c>
      <c r="J297" s="9"/>
      <c r="K297" s="7">
        <v>0</v>
      </c>
      <c r="L297" s="8" t="str">
        <f>IFERROR(K297/K444, "NA")</f>
        <v>NA</v>
      </c>
      <c r="M297" s="9"/>
      <c r="N297" s="10">
        <f t="shared" ref="N297:N325" si="77">IFERROR(-(B297-K297), "NA")</f>
        <v>0</v>
      </c>
      <c r="O297" s="8" t="str">
        <f>IFERROR(N297/N444, "NA")</f>
        <v>NA</v>
      </c>
      <c r="P297" s="9"/>
      <c r="Q297" s="7">
        <v>0</v>
      </c>
      <c r="R297" s="8" t="str">
        <f>IFERROR(Q297/Q444, "NA")</f>
        <v>NA</v>
      </c>
      <c r="S297" s="9"/>
      <c r="T297" s="7">
        <v>0</v>
      </c>
      <c r="U297" s="8" t="str">
        <f>IFERROR(T297/T444, "NA")</f>
        <v>NA</v>
      </c>
      <c r="V297" s="9"/>
      <c r="W297" s="10">
        <f t="shared" ref="W297:W325" si="78">IFERROR(-(Q297-T297), "NA")</f>
        <v>0</v>
      </c>
      <c r="X297" s="8" t="str">
        <f>IFERROR(W297/W444, "NA")</f>
        <v>NA</v>
      </c>
      <c r="Y297" s="9"/>
      <c r="Z297" s="7">
        <v>0</v>
      </c>
      <c r="AA297" s="8" t="str">
        <f>IFERROR(Z297/Z444, "NA")</f>
        <v>NA</v>
      </c>
      <c r="AB297" s="9"/>
      <c r="AC297" s="10">
        <f t="shared" ref="AC297:AC325" si="79">IFERROR(-(Q297-Z297), "NA")</f>
        <v>0</v>
      </c>
      <c r="AD297" s="8" t="str">
        <f>IFERROR(AC297/AC444, "NA")</f>
        <v>NA</v>
      </c>
    </row>
    <row r="298" spans="1:30" ht="16.5" hidden="1" customHeight="1" x14ac:dyDescent="0.45">
      <c r="A298" s="6" t="s">
        <v>270</v>
      </c>
      <c r="B298" s="7">
        <v>0</v>
      </c>
      <c r="C298" s="8" t="str">
        <f>IFERROR(B298/B444, "NA")</f>
        <v>NA</v>
      </c>
      <c r="D298" s="9"/>
      <c r="E298" s="7">
        <v>0</v>
      </c>
      <c r="F298" s="8" t="str">
        <f>IFERROR(E298/E444, "NA")</f>
        <v>NA</v>
      </c>
      <c r="G298" s="9"/>
      <c r="H298" s="10">
        <f t="shared" si="76"/>
        <v>0</v>
      </c>
      <c r="I298" s="8" t="str">
        <f>IFERROR(H298/H444, "NA")</f>
        <v>NA</v>
      </c>
      <c r="J298" s="9"/>
      <c r="K298" s="7">
        <v>0</v>
      </c>
      <c r="L298" s="8" t="str">
        <f>IFERROR(K298/K444, "NA")</f>
        <v>NA</v>
      </c>
      <c r="M298" s="9"/>
      <c r="N298" s="10">
        <f t="shared" si="77"/>
        <v>0</v>
      </c>
      <c r="O298" s="8" t="str">
        <f>IFERROR(N298/N444, "NA")</f>
        <v>NA</v>
      </c>
      <c r="P298" s="9"/>
      <c r="Q298" s="7">
        <v>0</v>
      </c>
      <c r="R298" s="8" t="str">
        <f>IFERROR(Q298/Q444, "NA")</f>
        <v>NA</v>
      </c>
      <c r="S298" s="9"/>
      <c r="T298" s="7">
        <v>0</v>
      </c>
      <c r="U298" s="8" t="str">
        <f>IFERROR(T298/T444, "NA")</f>
        <v>NA</v>
      </c>
      <c r="V298" s="9"/>
      <c r="W298" s="10">
        <f t="shared" si="78"/>
        <v>0</v>
      </c>
      <c r="X298" s="8" t="str">
        <f>IFERROR(W298/W444, "NA")</f>
        <v>NA</v>
      </c>
      <c r="Y298" s="9"/>
      <c r="Z298" s="7">
        <v>0</v>
      </c>
      <c r="AA298" s="8" t="str">
        <f>IFERROR(Z298/Z444, "NA")</f>
        <v>NA</v>
      </c>
      <c r="AB298" s="9"/>
      <c r="AC298" s="10">
        <f t="shared" si="79"/>
        <v>0</v>
      </c>
      <c r="AD298" s="8" t="str">
        <f>IFERROR(AC298/AC444, "NA")</f>
        <v>NA</v>
      </c>
    </row>
    <row r="299" spans="1:30" ht="16.5" hidden="1" customHeight="1" x14ac:dyDescent="0.45">
      <c r="A299" s="6" t="s">
        <v>271</v>
      </c>
      <c r="B299" s="7">
        <v>0</v>
      </c>
      <c r="C299" s="8" t="str">
        <f>IFERROR(B299/B444, "NA")</f>
        <v>NA</v>
      </c>
      <c r="D299" s="9"/>
      <c r="E299" s="7">
        <v>0</v>
      </c>
      <c r="F299" s="8" t="str">
        <f>IFERROR(E299/E444, "NA")</f>
        <v>NA</v>
      </c>
      <c r="G299" s="9"/>
      <c r="H299" s="10">
        <f t="shared" si="76"/>
        <v>0</v>
      </c>
      <c r="I299" s="8" t="str">
        <f>IFERROR(H299/H444, "NA")</f>
        <v>NA</v>
      </c>
      <c r="J299" s="9"/>
      <c r="K299" s="7">
        <v>0</v>
      </c>
      <c r="L299" s="8" t="str">
        <f>IFERROR(K299/K444, "NA")</f>
        <v>NA</v>
      </c>
      <c r="M299" s="9"/>
      <c r="N299" s="10">
        <f t="shared" si="77"/>
        <v>0</v>
      </c>
      <c r="O299" s="8" t="str">
        <f>IFERROR(N299/N444, "NA")</f>
        <v>NA</v>
      </c>
      <c r="P299" s="9"/>
      <c r="Q299" s="7">
        <v>0</v>
      </c>
      <c r="R299" s="8" t="str">
        <f>IFERROR(Q299/Q444, "NA")</f>
        <v>NA</v>
      </c>
      <c r="S299" s="9"/>
      <c r="T299" s="7">
        <v>0</v>
      </c>
      <c r="U299" s="8" t="str">
        <f>IFERROR(T299/T444, "NA")</f>
        <v>NA</v>
      </c>
      <c r="V299" s="9"/>
      <c r="W299" s="10">
        <f t="shared" si="78"/>
        <v>0</v>
      </c>
      <c r="X299" s="8" t="str">
        <f>IFERROR(W299/W444, "NA")</f>
        <v>NA</v>
      </c>
      <c r="Y299" s="9"/>
      <c r="Z299" s="7">
        <v>0</v>
      </c>
      <c r="AA299" s="8" t="str">
        <f>IFERROR(Z299/Z444, "NA")</f>
        <v>NA</v>
      </c>
      <c r="AB299" s="9"/>
      <c r="AC299" s="10">
        <f t="shared" si="79"/>
        <v>0</v>
      </c>
      <c r="AD299" s="8" t="str">
        <f>IFERROR(AC299/AC444, "NA")</f>
        <v>NA</v>
      </c>
    </row>
    <row r="300" spans="1:30" ht="16.5" hidden="1" customHeight="1" x14ac:dyDescent="0.45">
      <c r="A300" s="6" t="s">
        <v>272</v>
      </c>
      <c r="B300" s="7">
        <v>0</v>
      </c>
      <c r="C300" s="8" t="str">
        <f>IFERROR(B300/B444, "NA")</f>
        <v>NA</v>
      </c>
      <c r="D300" s="9"/>
      <c r="E300" s="7">
        <v>0</v>
      </c>
      <c r="F300" s="8" t="str">
        <f>IFERROR(E300/E444, "NA")</f>
        <v>NA</v>
      </c>
      <c r="G300" s="9"/>
      <c r="H300" s="10">
        <f t="shared" si="76"/>
        <v>0</v>
      </c>
      <c r="I300" s="8" t="str">
        <f>IFERROR(H300/H444, "NA")</f>
        <v>NA</v>
      </c>
      <c r="J300" s="9"/>
      <c r="K300" s="7">
        <v>0</v>
      </c>
      <c r="L300" s="8" t="str">
        <f>IFERROR(K300/K444, "NA")</f>
        <v>NA</v>
      </c>
      <c r="M300" s="9"/>
      <c r="N300" s="10">
        <f t="shared" si="77"/>
        <v>0</v>
      </c>
      <c r="O300" s="8" t="str">
        <f>IFERROR(N300/N444, "NA")</f>
        <v>NA</v>
      </c>
      <c r="P300" s="9"/>
      <c r="Q300" s="7">
        <v>0</v>
      </c>
      <c r="R300" s="8" t="str">
        <f>IFERROR(Q300/Q444, "NA")</f>
        <v>NA</v>
      </c>
      <c r="S300" s="9"/>
      <c r="T300" s="7">
        <v>0</v>
      </c>
      <c r="U300" s="8" t="str">
        <f>IFERROR(T300/T444, "NA")</f>
        <v>NA</v>
      </c>
      <c r="V300" s="9"/>
      <c r="W300" s="10">
        <f t="shared" si="78"/>
        <v>0</v>
      </c>
      <c r="X300" s="8" t="str">
        <f>IFERROR(W300/W444, "NA")</f>
        <v>NA</v>
      </c>
      <c r="Y300" s="9"/>
      <c r="Z300" s="7">
        <v>0</v>
      </c>
      <c r="AA300" s="8" t="str">
        <f>IFERROR(Z300/Z444, "NA")</f>
        <v>NA</v>
      </c>
      <c r="AB300" s="9"/>
      <c r="AC300" s="10">
        <f t="shared" si="79"/>
        <v>0</v>
      </c>
      <c r="AD300" s="8" t="str">
        <f>IFERROR(AC300/AC444, "NA")</f>
        <v>NA</v>
      </c>
    </row>
    <row r="301" spans="1:30" ht="16.5" hidden="1" customHeight="1" x14ac:dyDescent="0.45">
      <c r="A301" s="6" t="s">
        <v>273</v>
      </c>
      <c r="B301" s="7">
        <v>0</v>
      </c>
      <c r="C301" s="8" t="str">
        <f>IFERROR(B301/B444, "NA")</f>
        <v>NA</v>
      </c>
      <c r="D301" s="9"/>
      <c r="E301" s="7">
        <v>0</v>
      </c>
      <c r="F301" s="8" t="str">
        <f>IFERROR(E301/E444, "NA")</f>
        <v>NA</v>
      </c>
      <c r="G301" s="9"/>
      <c r="H301" s="10">
        <f t="shared" si="76"/>
        <v>0</v>
      </c>
      <c r="I301" s="8" t="str">
        <f>IFERROR(H301/H444, "NA")</f>
        <v>NA</v>
      </c>
      <c r="J301" s="9"/>
      <c r="K301" s="7">
        <v>0</v>
      </c>
      <c r="L301" s="8" t="str">
        <f>IFERROR(K301/K444, "NA")</f>
        <v>NA</v>
      </c>
      <c r="M301" s="9"/>
      <c r="N301" s="10">
        <f t="shared" si="77"/>
        <v>0</v>
      </c>
      <c r="O301" s="8" t="str">
        <f>IFERROR(N301/N444, "NA")</f>
        <v>NA</v>
      </c>
      <c r="P301" s="9"/>
      <c r="Q301" s="7">
        <v>0</v>
      </c>
      <c r="R301" s="8" t="str">
        <f>IFERROR(Q301/Q444, "NA")</f>
        <v>NA</v>
      </c>
      <c r="S301" s="9"/>
      <c r="T301" s="7">
        <v>0</v>
      </c>
      <c r="U301" s="8" t="str">
        <f>IFERROR(T301/T444, "NA")</f>
        <v>NA</v>
      </c>
      <c r="V301" s="9"/>
      <c r="W301" s="10">
        <f t="shared" si="78"/>
        <v>0</v>
      </c>
      <c r="X301" s="8" t="str">
        <f>IFERROR(W301/W444, "NA")</f>
        <v>NA</v>
      </c>
      <c r="Y301" s="9"/>
      <c r="Z301" s="7">
        <v>0</v>
      </c>
      <c r="AA301" s="8" t="str">
        <f>IFERROR(Z301/Z444, "NA")</f>
        <v>NA</v>
      </c>
      <c r="AB301" s="9"/>
      <c r="AC301" s="10">
        <f t="shared" si="79"/>
        <v>0</v>
      </c>
      <c r="AD301" s="8" t="str">
        <f>IFERROR(AC301/AC444, "NA")</f>
        <v>NA</v>
      </c>
    </row>
    <row r="302" spans="1:30" ht="16.5" hidden="1" customHeight="1" x14ac:dyDescent="0.45">
      <c r="A302" s="6" t="s">
        <v>274</v>
      </c>
      <c r="B302" s="7">
        <v>0</v>
      </c>
      <c r="C302" s="8" t="str">
        <f>IFERROR(B302/B444, "NA")</f>
        <v>NA</v>
      </c>
      <c r="D302" s="9"/>
      <c r="E302" s="7">
        <v>0</v>
      </c>
      <c r="F302" s="8" t="str">
        <f>IFERROR(E302/E444, "NA")</f>
        <v>NA</v>
      </c>
      <c r="G302" s="9"/>
      <c r="H302" s="10">
        <f t="shared" si="76"/>
        <v>0</v>
      </c>
      <c r="I302" s="8" t="str">
        <f>IFERROR(H302/H444, "NA")</f>
        <v>NA</v>
      </c>
      <c r="J302" s="9"/>
      <c r="K302" s="7">
        <v>0</v>
      </c>
      <c r="L302" s="8" t="str">
        <f>IFERROR(K302/K444, "NA")</f>
        <v>NA</v>
      </c>
      <c r="M302" s="9"/>
      <c r="N302" s="10">
        <f t="shared" si="77"/>
        <v>0</v>
      </c>
      <c r="O302" s="8" t="str">
        <f>IFERROR(N302/N444, "NA")</f>
        <v>NA</v>
      </c>
      <c r="P302" s="9"/>
      <c r="Q302" s="7">
        <v>0</v>
      </c>
      <c r="R302" s="8" t="str">
        <f>IFERROR(Q302/Q444, "NA")</f>
        <v>NA</v>
      </c>
      <c r="S302" s="9"/>
      <c r="T302" s="7">
        <v>0</v>
      </c>
      <c r="U302" s="8" t="str">
        <f>IFERROR(T302/T444, "NA")</f>
        <v>NA</v>
      </c>
      <c r="V302" s="9"/>
      <c r="W302" s="10">
        <f t="shared" si="78"/>
        <v>0</v>
      </c>
      <c r="X302" s="8" t="str">
        <f>IFERROR(W302/W444, "NA")</f>
        <v>NA</v>
      </c>
      <c r="Y302" s="9"/>
      <c r="Z302" s="7">
        <v>0</v>
      </c>
      <c r="AA302" s="8" t="str">
        <f>IFERROR(Z302/Z444, "NA")</f>
        <v>NA</v>
      </c>
      <c r="AB302" s="9"/>
      <c r="AC302" s="10">
        <f t="shared" si="79"/>
        <v>0</v>
      </c>
      <c r="AD302" s="8" t="str">
        <f>IFERROR(AC302/AC444, "NA")</f>
        <v>NA</v>
      </c>
    </row>
    <row r="303" spans="1:30" ht="16.5" hidden="1" customHeight="1" x14ac:dyDescent="0.45">
      <c r="A303" s="6" t="s">
        <v>275</v>
      </c>
      <c r="B303" s="7">
        <v>0</v>
      </c>
      <c r="C303" s="8" t="str">
        <f>IFERROR(B303/B444, "NA")</f>
        <v>NA</v>
      </c>
      <c r="D303" s="9"/>
      <c r="E303" s="7">
        <v>0</v>
      </c>
      <c r="F303" s="8" t="str">
        <f>IFERROR(E303/E444, "NA")</f>
        <v>NA</v>
      </c>
      <c r="G303" s="9"/>
      <c r="H303" s="10">
        <f t="shared" si="76"/>
        <v>0</v>
      </c>
      <c r="I303" s="8" t="str">
        <f>IFERROR(H303/H444, "NA")</f>
        <v>NA</v>
      </c>
      <c r="J303" s="9"/>
      <c r="K303" s="7">
        <v>0</v>
      </c>
      <c r="L303" s="8" t="str">
        <f>IFERROR(K303/K444, "NA")</f>
        <v>NA</v>
      </c>
      <c r="M303" s="9"/>
      <c r="N303" s="10">
        <f t="shared" si="77"/>
        <v>0</v>
      </c>
      <c r="O303" s="8" t="str">
        <f>IFERROR(N303/N444, "NA")</f>
        <v>NA</v>
      </c>
      <c r="P303" s="9"/>
      <c r="Q303" s="7">
        <v>0</v>
      </c>
      <c r="R303" s="8" t="str">
        <f>IFERROR(Q303/Q444, "NA")</f>
        <v>NA</v>
      </c>
      <c r="S303" s="9"/>
      <c r="T303" s="7">
        <v>0</v>
      </c>
      <c r="U303" s="8" t="str">
        <f>IFERROR(T303/T444, "NA")</f>
        <v>NA</v>
      </c>
      <c r="V303" s="9"/>
      <c r="W303" s="10">
        <f t="shared" si="78"/>
        <v>0</v>
      </c>
      <c r="X303" s="8" t="str">
        <f>IFERROR(W303/W444, "NA")</f>
        <v>NA</v>
      </c>
      <c r="Y303" s="9"/>
      <c r="Z303" s="7">
        <v>0</v>
      </c>
      <c r="AA303" s="8" t="str">
        <f>IFERROR(Z303/Z444, "NA")</f>
        <v>NA</v>
      </c>
      <c r="AB303" s="9"/>
      <c r="AC303" s="10">
        <f t="shared" si="79"/>
        <v>0</v>
      </c>
      <c r="AD303" s="8" t="str">
        <f>IFERROR(AC303/AC444, "NA")</f>
        <v>NA</v>
      </c>
    </row>
    <row r="304" spans="1:30" ht="16.5" hidden="1" customHeight="1" x14ac:dyDescent="0.45">
      <c r="A304" s="6" t="s">
        <v>276</v>
      </c>
      <c r="B304" s="7">
        <v>0</v>
      </c>
      <c r="C304" s="8" t="str">
        <f>IFERROR(B304/B444, "NA")</f>
        <v>NA</v>
      </c>
      <c r="D304" s="9"/>
      <c r="E304" s="7">
        <v>0</v>
      </c>
      <c r="F304" s="8" t="str">
        <f>IFERROR(E304/E444, "NA")</f>
        <v>NA</v>
      </c>
      <c r="G304" s="9"/>
      <c r="H304" s="10">
        <f t="shared" si="76"/>
        <v>0</v>
      </c>
      <c r="I304" s="8" t="str">
        <f>IFERROR(H304/H444, "NA")</f>
        <v>NA</v>
      </c>
      <c r="J304" s="9"/>
      <c r="K304" s="7">
        <v>0</v>
      </c>
      <c r="L304" s="8" t="str">
        <f>IFERROR(K304/K444, "NA")</f>
        <v>NA</v>
      </c>
      <c r="M304" s="9"/>
      <c r="N304" s="10">
        <f t="shared" si="77"/>
        <v>0</v>
      </c>
      <c r="O304" s="8" t="str">
        <f>IFERROR(N304/N444, "NA")</f>
        <v>NA</v>
      </c>
      <c r="P304" s="9"/>
      <c r="Q304" s="7">
        <v>0</v>
      </c>
      <c r="R304" s="8" t="str">
        <f>IFERROR(Q304/Q444, "NA")</f>
        <v>NA</v>
      </c>
      <c r="S304" s="9"/>
      <c r="T304" s="7">
        <v>0</v>
      </c>
      <c r="U304" s="8" t="str">
        <f>IFERROR(T304/T444, "NA")</f>
        <v>NA</v>
      </c>
      <c r="V304" s="9"/>
      <c r="W304" s="10">
        <f t="shared" si="78"/>
        <v>0</v>
      </c>
      <c r="X304" s="8" t="str">
        <f>IFERROR(W304/W444, "NA")</f>
        <v>NA</v>
      </c>
      <c r="Y304" s="9"/>
      <c r="Z304" s="7">
        <v>0</v>
      </c>
      <c r="AA304" s="8" t="str">
        <f>IFERROR(Z304/Z444, "NA")</f>
        <v>NA</v>
      </c>
      <c r="AB304" s="9"/>
      <c r="AC304" s="10">
        <f t="shared" si="79"/>
        <v>0</v>
      </c>
      <c r="AD304" s="8" t="str">
        <f>IFERROR(AC304/AC444, "NA")</f>
        <v>NA</v>
      </c>
    </row>
    <row r="305" spans="1:30" ht="16.5" hidden="1" customHeight="1" x14ac:dyDescent="0.45">
      <c r="A305" s="6" t="s">
        <v>277</v>
      </c>
      <c r="B305" s="7">
        <v>0</v>
      </c>
      <c r="C305" s="8" t="str">
        <f>IFERROR(B305/B444, "NA")</f>
        <v>NA</v>
      </c>
      <c r="D305" s="9"/>
      <c r="E305" s="7">
        <v>0</v>
      </c>
      <c r="F305" s="8" t="str">
        <f>IFERROR(E305/E444, "NA")</f>
        <v>NA</v>
      </c>
      <c r="G305" s="9"/>
      <c r="H305" s="10">
        <f t="shared" si="76"/>
        <v>0</v>
      </c>
      <c r="I305" s="8" t="str">
        <f>IFERROR(H305/H444, "NA")</f>
        <v>NA</v>
      </c>
      <c r="J305" s="9"/>
      <c r="K305" s="7">
        <v>0</v>
      </c>
      <c r="L305" s="8" t="str">
        <f>IFERROR(K305/K444, "NA")</f>
        <v>NA</v>
      </c>
      <c r="M305" s="9"/>
      <c r="N305" s="10">
        <f t="shared" si="77"/>
        <v>0</v>
      </c>
      <c r="O305" s="8" t="str">
        <f>IFERROR(N305/N444, "NA")</f>
        <v>NA</v>
      </c>
      <c r="P305" s="9"/>
      <c r="Q305" s="7">
        <v>0</v>
      </c>
      <c r="R305" s="8" t="str">
        <f>IFERROR(Q305/Q444, "NA")</f>
        <v>NA</v>
      </c>
      <c r="S305" s="9"/>
      <c r="T305" s="7">
        <v>0</v>
      </c>
      <c r="U305" s="8" t="str">
        <f>IFERROR(T305/T444, "NA")</f>
        <v>NA</v>
      </c>
      <c r="V305" s="9"/>
      <c r="W305" s="10">
        <f t="shared" si="78"/>
        <v>0</v>
      </c>
      <c r="X305" s="8" t="str">
        <f>IFERROR(W305/W444, "NA")</f>
        <v>NA</v>
      </c>
      <c r="Y305" s="9"/>
      <c r="Z305" s="7">
        <v>0</v>
      </c>
      <c r="AA305" s="8" t="str">
        <f>IFERROR(Z305/Z444, "NA")</f>
        <v>NA</v>
      </c>
      <c r="AB305" s="9"/>
      <c r="AC305" s="10">
        <f t="shared" si="79"/>
        <v>0</v>
      </c>
      <c r="AD305" s="8" t="str">
        <f>IFERROR(AC305/AC444, "NA")</f>
        <v>NA</v>
      </c>
    </row>
    <row r="306" spans="1:30" ht="16.5" hidden="1" customHeight="1" x14ac:dyDescent="0.45">
      <c r="A306" s="6" t="s">
        <v>278</v>
      </c>
      <c r="B306" s="7">
        <v>0</v>
      </c>
      <c r="C306" s="8" t="str">
        <f>IFERROR(B306/B444, "NA")</f>
        <v>NA</v>
      </c>
      <c r="D306" s="9"/>
      <c r="E306" s="7">
        <v>0</v>
      </c>
      <c r="F306" s="8" t="str">
        <f>IFERROR(E306/E444, "NA")</f>
        <v>NA</v>
      </c>
      <c r="G306" s="9"/>
      <c r="H306" s="10">
        <f t="shared" si="76"/>
        <v>0</v>
      </c>
      <c r="I306" s="8" t="str">
        <f>IFERROR(H306/H444, "NA")</f>
        <v>NA</v>
      </c>
      <c r="J306" s="9"/>
      <c r="K306" s="7">
        <v>0</v>
      </c>
      <c r="L306" s="8" t="str">
        <f>IFERROR(K306/K444, "NA")</f>
        <v>NA</v>
      </c>
      <c r="M306" s="9"/>
      <c r="N306" s="10">
        <f t="shared" si="77"/>
        <v>0</v>
      </c>
      <c r="O306" s="8" t="str">
        <f>IFERROR(N306/N444, "NA")</f>
        <v>NA</v>
      </c>
      <c r="P306" s="9"/>
      <c r="Q306" s="7">
        <v>0</v>
      </c>
      <c r="R306" s="8" t="str">
        <f>IFERROR(Q306/Q444, "NA")</f>
        <v>NA</v>
      </c>
      <c r="S306" s="9"/>
      <c r="T306" s="7">
        <v>0</v>
      </c>
      <c r="U306" s="8" t="str">
        <f>IFERROR(T306/T444, "NA")</f>
        <v>NA</v>
      </c>
      <c r="V306" s="9"/>
      <c r="W306" s="10">
        <f t="shared" si="78"/>
        <v>0</v>
      </c>
      <c r="X306" s="8" t="str">
        <f>IFERROR(W306/W444, "NA")</f>
        <v>NA</v>
      </c>
      <c r="Y306" s="9"/>
      <c r="Z306" s="7">
        <v>0</v>
      </c>
      <c r="AA306" s="8" t="str">
        <f>IFERROR(Z306/Z444, "NA")</f>
        <v>NA</v>
      </c>
      <c r="AB306" s="9"/>
      <c r="AC306" s="10">
        <f t="shared" si="79"/>
        <v>0</v>
      </c>
      <c r="AD306" s="8" t="str">
        <f>IFERROR(AC306/AC444, "NA")</f>
        <v>NA</v>
      </c>
    </row>
    <row r="307" spans="1:30" ht="16.5" hidden="1" customHeight="1" x14ac:dyDescent="0.45">
      <c r="A307" s="6" t="s">
        <v>279</v>
      </c>
      <c r="B307" s="7">
        <v>0</v>
      </c>
      <c r="C307" s="8" t="str">
        <f>IFERROR(B307/B444, "NA")</f>
        <v>NA</v>
      </c>
      <c r="D307" s="9"/>
      <c r="E307" s="7">
        <v>0</v>
      </c>
      <c r="F307" s="8" t="str">
        <f>IFERROR(E307/E444, "NA")</f>
        <v>NA</v>
      </c>
      <c r="G307" s="9"/>
      <c r="H307" s="10">
        <f t="shared" si="76"/>
        <v>0</v>
      </c>
      <c r="I307" s="8" t="str">
        <f>IFERROR(H307/H444, "NA")</f>
        <v>NA</v>
      </c>
      <c r="J307" s="9"/>
      <c r="K307" s="7">
        <v>0</v>
      </c>
      <c r="L307" s="8" t="str">
        <f>IFERROR(K307/K444, "NA")</f>
        <v>NA</v>
      </c>
      <c r="M307" s="9"/>
      <c r="N307" s="10">
        <f t="shared" si="77"/>
        <v>0</v>
      </c>
      <c r="O307" s="8" t="str">
        <f>IFERROR(N307/N444, "NA")</f>
        <v>NA</v>
      </c>
      <c r="P307" s="9"/>
      <c r="Q307" s="7">
        <v>0</v>
      </c>
      <c r="R307" s="8" t="str">
        <f>IFERROR(Q307/Q444, "NA")</f>
        <v>NA</v>
      </c>
      <c r="S307" s="9"/>
      <c r="T307" s="7">
        <v>0</v>
      </c>
      <c r="U307" s="8" t="str">
        <f>IFERROR(T307/T444, "NA")</f>
        <v>NA</v>
      </c>
      <c r="V307" s="9"/>
      <c r="W307" s="10">
        <f t="shared" si="78"/>
        <v>0</v>
      </c>
      <c r="X307" s="8" t="str">
        <f>IFERROR(W307/W444, "NA")</f>
        <v>NA</v>
      </c>
      <c r="Y307" s="9"/>
      <c r="Z307" s="7">
        <v>0</v>
      </c>
      <c r="AA307" s="8" t="str">
        <f>IFERROR(Z307/Z444, "NA")</f>
        <v>NA</v>
      </c>
      <c r="AB307" s="9"/>
      <c r="AC307" s="10">
        <f t="shared" si="79"/>
        <v>0</v>
      </c>
      <c r="AD307" s="8" t="str">
        <f>IFERROR(AC307/AC444, "NA")</f>
        <v>NA</v>
      </c>
    </row>
    <row r="308" spans="1:30" ht="16.5" hidden="1" customHeight="1" x14ac:dyDescent="0.45">
      <c r="A308" s="6" t="s">
        <v>280</v>
      </c>
      <c r="B308" s="7">
        <v>0</v>
      </c>
      <c r="C308" s="8" t="str">
        <f>IFERROR(B308/B444, "NA")</f>
        <v>NA</v>
      </c>
      <c r="D308" s="9"/>
      <c r="E308" s="7">
        <v>0</v>
      </c>
      <c r="F308" s="8" t="str">
        <f>IFERROR(E308/E444, "NA")</f>
        <v>NA</v>
      </c>
      <c r="G308" s="9"/>
      <c r="H308" s="10">
        <f t="shared" si="76"/>
        <v>0</v>
      </c>
      <c r="I308" s="8" t="str">
        <f>IFERROR(H308/H444, "NA")</f>
        <v>NA</v>
      </c>
      <c r="J308" s="9"/>
      <c r="K308" s="7">
        <v>0</v>
      </c>
      <c r="L308" s="8" t="str">
        <f>IFERROR(K308/K444, "NA")</f>
        <v>NA</v>
      </c>
      <c r="M308" s="9"/>
      <c r="N308" s="10">
        <f t="shared" si="77"/>
        <v>0</v>
      </c>
      <c r="O308" s="8" t="str">
        <f>IFERROR(N308/N444, "NA")</f>
        <v>NA</v>
      </c>
      <c r="P308" s="9"/>
      <c r="Q308" s="7">
        <v>0</v>
      </c>
      <c r="R308" s="8" t="str">
        <f>IFERROR(Q308/Q444, "NA")</f>
        <v>NA</v>
      </c>
      <c r="S308" s="9"/>
      <c r="T308" s="7">
        <v>0</v>
      </c>
      <c r="U308" s="8" t="str">
        <f>IFERROR(T308/T444, "NA")</f>
        <v>NA</v>
      </c>
      <c r="V308" s="9"/>
      <c r="W308" s="10">
        <f t="shared" si="78"/>
        <v>0</v>
      </c>
      <c r="X308" s="8" t="str">
        <f>IFERROR(W308/W444, "NA")</f>
        <v>NA</v>
      </c>
      <c r="Y308" s="9"/>
      <c r="Z308" s="7">
        <v>0</v>
      </c>
      <c r="AA308" s="8" t="str">
        <f>IFERROR(Z308/Z444, "NA")</f>
        <v>NA</v>
      </c>
      <c r="AB308" s="9"/>
      <c r="AC308" s="10">
        <f t="shared" si="79"/>
        <v>0</v>
      </c>
      <c r="AD308" s="8" t="str">
        <f>IFERROR(AC308/AC444, "NA")</f>
        <v>NA</v>
      </c>
    </row>
    <row r="309" spans="1:30" ht="16.5" hidden="1" customHeight="1" x14ac:dyDescent="0.45">
      <c r="A309" s="6" t="s">
        <v>281</v>
      </c>
      <c r="B309" s="7">
        <v>0</v>
      </c>
      <c r="C309" s="8" t="str">
        <f>IFERROR(B309/B444, "NA")</f>
        <v>NA</v>
      </c>
      <c r="D309" s="9"/>
      <c r="E309" s="7">
        <v>0</v>
      </c>
      <c r="F309" s="8" t="str">
        <f>IFERROR(E309/E444, "NA")</f>
        <v>NA</v>
      </c>
      <c r="G309" s="9"/>
      <c r="H309" s="10">
        <f t="shared" si="76"/>
        <v>0</v>
      </c>
      <c r="I309" s="8" t="str">
        <f>IFERROR(H309/H444, "NA")</f>
        <v>NA</v>
      </c>
      <c r="J309" s="9"/>
      <c r="K309" s="7">
        <v>0</v>
      </c>
      <c r="L309" s="8" t="str">
        <f>IFERROR(K309/K444, "NA")</f>
        <v>NA</v>
      </c>
      <c r="M309" s="9"/>
      <c r="N309" s="10">
        <f t="shared" si="77"/>
        <v>0</v>
      </c>
      <c r="O309" s="8" t="str">
        <f>IFERROR(N309/N444, "NA")</f>
        <v>NA</v>
      </c>
      <c r="P309" s="9"/>
      <c r="Q309" s="7">
        <v>0</v>
      </c>
      <c r="R309" s="8" t="str">
        <f>IFERROR(Q309/Q444, "NA")</f>
        <v>NA</v>
      </c>
      <c r="S309" s="9"/>
      <c r="T309" s="7">
        <v>0</v>
      </c>
      <c r="U309" s="8" t="str">
        <f>IFERROR(T309/T444, "NA")</f>
        <v>NA</v>
      </c>
      <c r="V309" s="9"/>
      <c r="W309" s="10">
        <f t="shared" si="78"/>
        <v>0</v>
      </c>
      <c r="X309" s="8" t="str">
        <f>IFERROR(W309/W444, "NA")</f>
        <v>NA</v>
      </c>
      <c r="Y309" s="9"/>
      <c r="Z309" s="7">
        <v>0</v>
      </c>
      <c r="AA309" s="8" t="str">
        <f>IFERROR(Z309/Z444, "NA")</f>
        <v>NA</v>
      </c>
      <c r="AB309" s="9"/>
      <c r="AC309" s="10">
        <f t="shared" si="79"/>
        <v>0</v>
      </c>
      <c r="AD309" s="8" t="str">
        <f>IFERROR(AC309/AC444, "NA")</f>
        <v>NA</v>
      </c>
    </row>
    <row r="310" spans="1:30" ht="16.5" hidden="1" customHeight="1" x14ac:dyDescent="0.45">
      <c r="A310" s="6" t="s">
        <v>282</v>
      </c>
      <c r="B310" s="7">
        <v>0</v>
      </c>
      <c r="C310" s="8" t="str">
        <f>IFERROR(B310/B444, "NA")</f>
        <v>NA</v>
      </c>
      <c r="D310" s="9"/>
      <c r="E310" s="7">
        <v>0</v>
      </c>
      <c r="F310" s="8" t="str">
        <f>IFERROR(E310/E444, "NA")</f>
        <v>NA</v>
      </c>
      <c r="G310" s="9"/>
      <c r="H310" s="10">
        <f t="shared" si="76"/>
        <v>0</v>
      </c>
      <c r="I310" s="8" t="str">
        <f>IFERROR(H310/H444, "NA")</f>
        <v>NA</v>
      </c>
      <c r="J310" s="9"/>
      <c r="K310" s="7">
        <v>0</v>
      </c>
      <c r="L310" s="8" t="str">
        <f>IFERROR(K310/K444, "NA")</f>
        <v>NA</v>
      </c>
      <c r="M310" s="9"/>
      <c r="N310" s="10">
        <f t="shared" si="77"/>
        <v>0</v>
      </c>
      <c r="O310" s="8" t="str">
        <f>IFERROR(N310/N444, "NA")</f>
        <v>NA</v>
      </c>
      <c r="P310" s="9"/>
      <c r="Q310" s="7">
        <v>0</v>
      </c>
      <c r="R310" s="8" t="str">
        <f>IFERROR(Q310/Q444, "NA")</f>
        <v>NA</v>
      </c>
      <c r="S310" s="9"/>
      <c r="T310" s="7">
        <v>0</v>
      </c>
      <c r="U310" s="8" t="str">
        <f>IFERROR(T310/T444, "NA")</f>
        <v>NA</v>
      </c>
      <c r="V310" s="9"/>
      <c r="W310" s="10">
        <f t="shared" si="78"/>
        <v>0</v>
      </c>
      <c r="X310" s="8" t="str">
        <f>IFERROR(W310/W444, "NA")</f>
        <v>NA</v>
      </c>
      <c r="Y310" s="9"/>
      <c r="Z310" s="7">
        <v>0</v>
      </c>
      <c r="AA310" s="8" t="str">
        <f>IFERROR(Z310/Z444, "NA")</f>
        <v>NA</v>
      </c>
      <c r="AB310" s="9"/>
      <c r="AC310" s="10">
        <f t="shared" si="79"/>
        <v>0</v>
      </c>
      <c r="AD310" s="8" t="str">
        <f>IFERROR(AC310/AC444, "NA")</f>
        <v>NA</v>
      </c>
    </row>
    <row r="311" spans="1:30" ht="16.5" hidden="1" customHeight="1" x14ac:dyDescent="0.45">
      <c r="A311" s="6" t="s">
        <v>283</v>
      </c>
      <c r="B311" s="7">
        <v>0</v>
      </c>
      <c r="C311" s="8" t="str">
        <f>IFERROR(B311/B444, "NA")</f>
        <v>NA</v>
      </c>
      <c r="D311" s="9"/>
      <c r="E311" s="7">
        <v>0</v>
      </c>
      <c r="F311" s="8" t="str">
        <f>IFERROR(E311/E444, "NA")</f>
        <v>NA</v>
      </c>
      <c r="G311" s="9"/>
      <c r="H311" s="10">
        <f t="shared" si="76"/>
        <v>0</v>
      </c>
      <c r="I311" s="8" t="str">
        <f>IFERROR(H311/H444, "NA")</f>
        <v>NA</v>
      </c>
      <c r="J311" s="9"/>
      <c r="K311" s="7">
        <v>0</v>
      </c>
      <c r="L311" s="8" t="str">
        <f>IFERROR(K311/K444, "NA")</f>
        <v>NA</v>
      </c>
      <c r="M311" s="9"/>
      <c r="N311" s="10">
        <f t="shared" si="77"/>
        <v>0</v>
      </c>
      <c r="O311" s="8" t="str">
        <f>IFERROR(N311/N444, "NA")</f>
        <v>NA</v>
      </c>
      <c r="P311" s="9"/>
      <c r="Q311" s="7">
        <v>0</v>
      </c>
      <c r="R311" s="8" t="str">
        <f>IFERROR(Q311/Q444, "NA")</f>
        <v>NA</v>
      </c>
      <c r="S311" s="9"/>
      <c r="T311" s="7">
        <v>0</v>
      </c>
      <c r="U311" s="8" t="str">
        <f>IFERROR(T311/T444, "NA")</f>
        <v>NA</v>
      </c>
      <c r="V311" s="9"/>
      <c r="W311" s="10">
        <f t="shared" si="78"/>
        <v>0</v>
      </c>
      <c r="X311" s="8" t="str">
        <f>IFERROR(W311/W444, "NA")</f>
        <v>NA</v>
      </c>
      <c r="Y311" s="9"/>
      <c r="Z311" s="7">
        <v>0</v>
      </c>
      <c r="AA311" s="8" t="str">
        <f>IFERROR(Z311/Z444, "NA")</f>
        <v>NA</v>
      </c>
      <c r="AB311" s="9"/>
      <c r="AC311" s="10">
        <f t="shared" si="79"/>
        <v>0</v>
      </c>
      <c r="AD311" s="8" t="str">
        <f>IFERROR(AC311/AC444, "NA")</f>
        <v>NA</v>
      </c>
    </row>
    <row r="312" spans="1:30" ht="16.5" hidden="1" customHeight="1" x14ac:dyDescent="0.45">
      <c r="A312" s="6" t="s">
        <v>284</v>
      </c>
      <c r="B312" s="7">
        <v>0</v>
      </c>
      <c r="C312" s="8" t="str">
        <f>IFERROR(B312/B444, "NA")</f>
        <v>NA</v>
      </c>
      <c r="D312" s="9"/>
      <c r="E312" s="7">
        <v>0</v>
      </c>
      <c r="F312" s="8" t="str">
        <f>IFERROR(E312/E444, "NA")</f>
        <v>NA</v>
      </c>
      <c r="G312" s="9"/>
      <c r="H312" s="10">
        <f t="shared" si="76"/>
        <v>0</v>
      </c>
      <c r="I312" s="8" t="str">
        <f>IFERROR(H312/H444, "NA")</f>
        <v>NA</v>
      </c>
      <c r="J312" s="9"/>
      <c r="K312" s="7">
        <v>0</v>
      </c>
      <c r="L312" s="8" t="str">
        <f>IFERROR(K312/K444, "NA")</f>
        <v>NA</v>
      </c>
      <c r="M312" s="9"/>
      <c r="N312" s="10">
        <f t="shared" si="77"/>
        <v>0</v>
      </c>
      <c r="O312" s="8" t="str">
        <f>IFERROR(N312/N444, "NA")</f>
        <v>NA</v>
      </c>
      <c r="P312" s="9"/>
      <c r="Q312" s="7">
        <v>0</v>
      </c>
      <c r="R312" s="8" t="str">
        <f>IFERROR(Q312/Q444, "NA")</f>
        <v>NA</v>
      </c>
      <c r="S312" s="9"/>
      <c r="T312" s="7">
        <v>0</v>
      </c>
      <c r="U312" s="8" t="str">
        <f>IFERROR(T312/T444, "NA")</f>
        <v>NA</v>
      </c>
      <c r="V312" s="9"/>
      <c r="W312" s="10">
        <f t="shared" si="78"/>
        <v>0</v>
      </c>
      <c r="X312" s="8" t="str">
        <f>IFERROR(W312/W444, "NA")</f>
        <v>NA</v>
      </c>
      <c r="Y312" s="9"/>
      <c r="Z312" s="7">
        <v>0</v>
      </c>
      <c r="AA312" s="8" t="str">
        <f>IFERROR(Z312/Z444, "NA")</f>
        <v>NA</v>
      </c>
      <c r="AB312" s="9"/>
      <c r="AC312" s="10">
        <f t="shared" si="79"/>
        <v>0</v>
      </c>
      <c r="AD312" s="8" t="str">
        <f>IFERROR(AC312/AC444, "NA")</f>
        <v>NA</v>
      </c>
    </row>
    <row r="313" spans="1:30" ht="16.5" hidden="1" customHeight="1" x14ac:dyDescent="0.45">
      <c r="A313" s="6" t="s">
        <v>285</v>
      </c>
      <c r="B313" s="7">
        <v>0</v>
      </c>
      <c r="C313" s="8" t="str">
        <f>IFERROR(B313/B444, "NA")</f>
        <v>NA</v>
      </c>
      <c r="D313" s="9"/>
      <c r="E313" s="7">
        <v>0</v>
      </c>
      <c r="F313" s="8" t="str">
        <f>IFERROR(E313/E444, "NA")</f>
        <v>NA</v>
      </c>
      <c r="G313" s="9"/>
      <c r="H313" s="10">
        <f t="shared" si="76"/>
        <v>0</v>
      </c>
      <c r="I313" s="8" t="str">
        <f>IFERROR(H313/H444, "NA")</f>
        <v>NA</v>
      </c>
      <c r="J313" s="9"/>
      <c r="K313" s="7">
        <v>0</v>
      </c>
      <c r="L313" s="8" t="str">
        <f>IFERROR(K313/K444, "NA")</f>
        <v>NA</v>
      </c>
      <c r="M313" s="9"/>
      <c r="N313" s="10">
        <f t="shared" si="77"/>
        <v>0</v>
      </c>
      <c r="O313" s="8" t="str">
        <f>IFERROR(N313/N444, "NA")</f>
        <v>NA</v>
      </c>
      <c r="P313" s="9"/>
      <c r="Q313" s="7">
        <v>0</v>
      </c>
      <c r="R313" s="8" t="str">
        <f>IFERROR(Q313/Q444, "NA")</f>
        <v>NA</v>
      </c>
      <c r="S313" s="9"/>
      <c r="T313" s="7">
        <v>0</v>
      </c>
      <c r="U313" s="8" t="str">
        <f>IFERROR(T313/T444, "NA")</f>
        <v>NA</v>
      </c>
      <c r="V313" s="9"/>
      <c r="W313" s="10">
        <f t="shared" si="78"/>
        <v>0</v>
      </c>
      <c r="X313" s="8" t="str">
        <f>IFERROR(W313/W444, "NA")</f>
        <v>NA</v>
      </c>
      <c r="Y313" s="9"/>
      <c r="Z313" s="7">
        <v>0</v>
      </c>
      <c r="AA313" s="8" t="str">
        <f>IFERROR(Z313/Z444, "NA")</f>
        <v>NA</v>
      </c>
      <c r="AB313" s="9"/>
      <c r="AC313" s="10">
        <f t="shared" si="79"/>
        <v>0</v>
      </c>
      <c r="AD313" s="8" t="str">
        <f>IFERROR(AC313/AC444, "NA")</f>
        <v>NA</v>
      </c>
    </row>
    <row r="314" spans="1:30" ht="16.5" hidden="1" customHeight="1" x14ac:dyDescent="0.45">
      <c r="A314" s="6" t="s">
        <v>286</v>
      </c>
      <c r="B314" s="7">
        <v>0</v>
      </c>
      <c r="C314" s="8" t="str">
        <f>IFERROR(B314/B444, "NA")</f>
        <v>NA</v>
      </c>
      <c r="D314" s="9"/>
      <c r="E314" s="7">
        <v>0</v>
      </c>
      <c r="F314" s="8" t="str">
        <f>IFERROR(E314/E444, "NA")</f>
        <v>NA</v>
      </c>
      <c r="G314" s="9"/>
      <c r="H314" s="10">
        <f t="shared" si="76"/>
        <v>0</v>
      </c>
      <c r="I314" s="8" t="str">
        <f>IFERROR(H314/H444, "NA")</f>
        <v>NA</v>
      </c>
      <c r="J314" s="9"/>
      <c r="K314" s="7">
        <v>0</v>
      </c>
      <c r="L314" s="8" t="str">
        <f>IFERROR(K314/K444, "NA")</f>
        <v>NA</v>
      </c>
      <c r="M314" s="9"/>
      <c r="N314" s="10">
        <f t="shared" si="77"/>
        <v>0</v>
      </c>
      <c r="O314" s="8" t="str">
        <f>IFERROR(N314/N444, "NA")</f>
        <v>NA</v>
      </c>
      <c r="P314" s="9"/>
      <c r="Q314" s="7">
        <v>0</v>
      </c>
      <c r="R314" s="8" t="str">
        <f>IFERROR(Q314/Q444, "NA")</f>
        <v>NA</v>
      </c>
      <c r="S314" s="9"/>
      <c r="T314" s="7">
        <v>0</v>
      </c>
      <c r="U314" s="8" t="str">
        <f>IFERROR(T314/T444, "NA")</f>
        <v>NA</v>
      </c>
      <c r="V314" s="9"/>
      <c r="W314" s="10">
        <f t="shared" si="78"/>
        <v>0</v>
      </c>
      <c r="X314" s="8" t="str">
        <f>IFERROR(W314/W444, "NA")</f>
        <v>NA</v>
      </c>
      <c r="Y314" s="9"/>
      <c r="Z314" s="7">
        <v>0</v>
      </c>
      <c r="AA314" s="8" t="str">
        <f>IFERROR(Z314/Z444, "NA")</f>
        <v>NA</v>
      </c>
      <c r="AB314" s="9"/>
      <c r="AC314" s="10">
        <f t="shared" si="79"/>
        <v>0</v>
      </c>
      <c r="AD314" s="8" t="str">
        <f>IFERROR(AC314/AC444, "NA")</f>
        <v>NA</v>
      </c>
    </row>
    <row r="315" spans="1:30" ht="16.5" hidden="1" customHeight="1" x14ac:dyDescent="0.45">
      <c r="A315" s="6" t="s">
        <v>287</v>
      </c>
      <c r="B315" s="7">
        <v>0</v>
      </c>
      <c r="C315" s="8" t="str">
        <f>IFERROR(B315/B444, "NA")</f>
        <v>NA</v>
      </c>
      <c r="D315" s="9"/>
      <c r="E315" s="7">
        <v>0</v>
      </c>
      <c r="F315" s="8" t="str">
        <f>IFERROR(E315/E444, "NA")</f>
        <v>NA</v>
      </c>
      <c r="G315" s="9"/>
      <c r="H315" s="10">
        <f t="shared" si="76"/>
        <v>0</v>
      </c>
      <c r="I315" s="8" t="str">
        <f>IFERROR(H315/H444, "NA")</f>
        <v>NA</v>
      </c>
      <c r="J315" s="9"/>
      <c r="K315" s="7">
        <v>0</v>
      </c>
      <c r="L315" s="8" t="str">
        <f>IFERROR(K315/K444, "NA")</f>
        <v>NA</v>
      </c>
      <c r="M315" s="9"/>
      <c r="N315" s="10">
        <f t="shared" si="77"/>
        <v>0</v>
      </c>
      <c r="O315" s="8" t="str">
        <f>IFERROR(N315/N444, "NA")</f>
        <v>NA</v>
      </c>
      <c r="P315" s="9"/>
      <c r="Q315" s="7">
        <v>0</v>
      </c>
      <c r="R315" s="8" t="str">
        <f>IFERROR(Q315/Q444, "NA")</f>
        <v>NA</v>
      </c>
      <c r="S315" s="9"/>
      <c r="T315" s="7">
        <v>0</v>
      </c>
      <c r="U315" s="8" t="str">
        <f>IFERROR(T315/T444, "NA")</f>
        <v>NA</v>
      </c>
      <c r="V315" s="9"/>
      <c r="W315" s="10">
        <f t="shared" si="78"/>
        <v>0</v>
      </c>
      <c r="X315" s="8" t="str">
        <f>IFERROR(W315/W444, "NA")</f>
        <v>NA</v>
      </c>
      <c r="Y315" s="9"/>
      <c r="Z315" s="7">
        <v>0</v>
      </c>
      <c r="AA315" s="8" t="str">
        <f>IFERROR(Z315/Z444, "NA")</f>
        <v>NA</v>
      </c>
      <c r="AB315" s="9"/>
      <c r="AC315" s="10">
        <f t="shared" si="79"/>
        <v>0</v>
      </c>
      <c r="AD315" s="8" t="str">
        <f>IFERROR(AC315/AC444, "NA")</f>
        <v>NA</v>
      </c>
    </row>
    <row r="316" spans="1:30" ht="16.5" hidden="1" customHeight="1" x14ac:dyDescent="0.45">
      <c r="A316" s="6" t="s">
        <v>288</v>
      </c>
      <c r="B316" s="7">
        <v>0</v>
      </c>
      <c r="C316" s="8" t="str">
        <f>IFERROR(B316/B444, "NA")</f>
        <v>NA</v>
      </c>
      <c r="D316" s="9"/>
      <c r="E316" s="7">
        <v>0</v>
      </c>
      <c r="F316" s="8" t="str">
        <f>IFERROR(E316/E444, "NA")</f>
        <v>NA</v>
      </c>
      <c r="G316" s="9"/>
      <c r="H316" s="10">
        <f t="shared" si="76"/>
        <v>0</v>
      </c>
      <c r="I316" s="8" t="str">
        <f>IFERROR(H316/H444, "NA")</f>
        <v>NA</v>
      </c>
      <c r="J316" s="9"/>
      <c r="K316" s="7">
        <v>0</v>
      </c>
      <c r="L316" s="8" t="str">
        <f>IFERROR(K316/K444, "NA")</f>
        <v>NA</v>
      </c>
      <c r="M316" s="9"/>
      <c r="N316" s="10">
        <f t="shared" si="77"/>
        <v>0</v>
      </c>
      <c r="O316" s="8" t="str">
        <f>IFERROR(N316/N444, "NA")</f>
        <v>NA</v>
      </c>
      <c r="P316" s="9"/>
      <c r="Q316" s="7">
        <v>0</v>
      </c>
      <c r="R316" s="8" t="str">
        <f>IFERROR(Q316/Q444, "NA")</f>
        <v>NA</v>
      </c>
      <c r="S316" s="9"/>
      <c r="T316" s="7">
        <v>0</v>
      </c>
      <c r="U316" s="8" t="str">
        <f>IFERROR(T316/T444, "NA")</f>
        <v>NA</v>
      </c>
      <c r="V316" s="9"/>
      <c r="W316" s="10">
        <f t="shared" si="78"/>
        <v>0</v>
      </c>
      <c r="X316" s="8" t="str">
        <f>IFERROR(W316/W444, "NA")</f>
        <v>NA</v>
      </c>
      <c r="Y316" s="9"/>
      <c r="Z316" s="7">
        <v>0</v>
      </c>
      <c r="AA316" s="8" t="str">
        <f>IFERROR(Z316/Z444, "NA")</f>
        <v>NA</v>
      </c>
      <c r="AB316" s="9"/>
      <c r="AC316" s="10">
        <f t="shared" si="79"/>
        <v>0</v>
      </c>
      <c r="AD316" s="8" t="str">
        <f>IFERROR(AC316/AC444, "NA")</f>
        <v>NA</v>
      </c>
    </row>
    <row r="317" spans="1:30" ht="16.5" hidden="1" customHeight="1" x14ac:dyDescent="0.45">
      <c r="A317" s="6" t="s">
        <v>289</v>
      </c>
      <c r="B317" s="7">
        <v>0</v>
      </c>
      <c r="C317" s="8" t="str">
        <f>IFERROR(B317/B444, "NA")</f>
        <v>NA</v>
      </c>
      <c r="D317" s="9"/>
      <c r="E317" s="7">
        <v>0</v>
      </c>
      <c r="F317" s="8" t="str">
        <f>IFERROR(E317/E444, "NA")</f>
        <v>NA</v>
      </c>
      <c r="G317" s="9"/>
      <c r="H317" s="10">
        <f t="shared" si="76"/>
        <v>0</v>
      </c>
      <c r="I317" s="8" t="str">
        <f>IFERROR(H317/H444, "NA")</f>
        <v>NA</v>
      </c>
      <c r="J317" s="9"/>
      <c r="K317" s="7">
        <v>0</v>
      </c>
      <c r="L317" s="8" t="str">
        <f>IFERROR(K317/K444, "NA")</f>
        <v>NA</v>
      </c>
      <c r="M317" s="9"/>
      <c r="N317" s="10">
        <f t="shared" si="77"/>
        <v>0</v>
      </c>
      <c r="O317" s="8" t="str">
        <f>IFERROR(N317/N444, "NA")</f>
        <v>NA</v>
      </c>
      <c r="P317" s="9"/>
      <c r="Q317" s="7">
        <v>0</v>
      </c>
      <c r="R317" s="8" t="str">
        <f>IFERROR(Q317/Q444, "NA")</f>
        <v>NA</v>
      </c>
      <c r="S317" s="9"/>
      <c r="T317" s="7">
        <v>0</v>
      </c>
      <c r="U317" s="8" t="str">
        <f>IFERROR(T317/T444, "NA")</f>
        <v>NA</v>
      </c>
      <c r="V317" s="9"/>
      <c r="W317" s="10">
        <f t="shared" si="78"/>
        <v>0</v>
      </c>
      <c r="X317" s="8" t="str">
        <f>IFERROR(W317/W444, "NA")</f>
        <v>NA</v>
      </c>
      <c r="Y317" s="9"/>
      <c r="Z317" s="7">
        <v>0</v>
      </c>
      <c r="AA317" s="8" t="str">
        <f>IFERROR(Z317/Z444, "NA")</f>
        <v>NA</v>
      </c>
      <c r="AB317" s="9"/>
      <c r="AC317" s="10">
        <f t="shared" si="79"/>
        <v>0</v>
      </c>
      <c r="AD317" s="8" t="str">
        <f>IFERROR(AC317/AC444, "NA")</f>
        <v>NA</v>
      </c>
    </row>
    <row r="318" spans="1:30" ht="16.5" hidden="1" customHeight="1" x14ac:dyDescent="0.45">
      <c r="A318" s="6" t="s">
        <v>290</v>
      </c>
      <c r="B318" s="7">
        <v>0</v>
      </c>
      <c r="C318" s="8" t="str">
        <f>IFERROR(B318/B444, "NA")</f>
        <v>NA</v>
      </c>
      <c r="D318" s="9"/>
      <c r="E318" s="7">
        <v>0</v>
      </c>
      <c r="F318" s="8" t="str">
        <f>IFERROR(E318/E444, "NA")</f>
        <v>NA</v>
      </c>
      <c r="G318" s="9"/>
      <c r="H318" s="10">
        <f t="shared" si="76"/>
        <v>0</v>
      </c>
      <c r="I318" s="8" t="str">
        <f>IFERROR(H318/H444, "NA")</f>
        <v>NA</v>
      </c>
      <c r="J318" s="9"/>
      <c r="K318" s="7">
        <v>0</v>
      </c>
      <c r="L318" s="8" t="str">
        <f>IFERROR(K318/K444, "NA")</f>
        <v>NA</v>
      </c>
      <c r="M318" s="9"/>
      <c r="N318" s="10">
        <f t="shared" si="77"/>
        <v>0</v>
      </c>
      <c r="O318" s="8" t="str">
        <f>IFERROR(N318/N444, "NA")</f>
        <v>NA</v>
      </c>
      <c r="P318" s="9"/>
      <c r="Q318" s="7">
        <v>0</v>
      </c>
      <c r="R318" s="8" t="str">
        <f>IFERROR(Q318/Q444, "NA")</f>
        <v>NA</v>
      </c>
      <c r="S318" s="9"/>
      <c r="T318" s="7">
        <v>0</v>
      </c>
      <c r="U318" s="8" t="str">
        <f>IFERROR(T318/T444, "NA")</f>
        <v>NA</v>
      </c>
      <c r="V318" s="9"/>
      <c r="W318" s="10">
        <f t="shared" si="78"/>
        <v>0</v>
      </c>
      <c r="X318" s="8" t="str">
        <f>IFERROR(W318/W444, "NA")</f>
        <v>NA</v>
      </c>
      <c r="Y318" s="9"/>
      <c r="Z318" s="7">
        <v>0</v>
      </c>
      <c r="AA318" s="8" t="str">
        <f>IFERROR(Z318/Z444, "NA")</f>
        <v>NA</v>
      </c>
      <c r="AB318" s="9"/>
      <c r="AC318" s="10">
        <f t="shared" si="79"/>
        <v>0</v>
      </c>
      <c r="AD318" s="8" t="str">
        <f>IFERROR(AC318/AC444, "NA")</f>
        <v>NA</v>
      </c>
    </row>
    <row r="319" spans="1:30" ht="16.5" hidden="1" customHeight="1" x14ac:dyDescent="0.45">
      <c r="A319" s="6" t="s">
        <v>291</v>
      </c>
      <c r="B319" s="7">
        <v>0</v>
      </c>
      <c r="C319" s="8" t="str">
        <f>IFERROR(B319/B444, "NA")</f>
        <v>NA</v>
      </c>
      <c r="D319" s="9"/>
      <c r="E319" s="7">
        <v>0</v>
      </c>
      <c r="F319" s="8" t="str">
        <f>IFERROR(E319/E444, "NA")</f>
        <v>NA</v>
      </c>
      <c r="G319" s="9"/>
      <c r="H319" s="10">
        <f t="shared" si="76"/>
        <v>0</v>
      </c>
      <c r="I319" s="8" t="str">
        <f>IFERROR(H319/H444, "NA")</f>
        <v>NA</v>
      </c>
      <c r="J319" s="9"/>
      <c r="K319" s="7">
        <v>0</v>
      </c>
      <c r="L319" s="8" t="str">
        <f>IFERROR(K319/K444, "NA")</f>
        <v>NA</v>
      </c>
      <c r="M319" s="9"/>
      <c r="N319" s="10">
        <f t="shared" si="77"/>
        <v>0</v>
      </c>
      <c r="O319" s="8" t="str">
        <f>IFERROR(N319/N444, "NA")</f>
        <v>NA</v>
      </c>
      <c r="P319" s="9"/>
      <c r="Q319" s="7">
        <v>0</v>
      </c>
      <c r="R319" s="8" t="str">
        <f>IFERROR(Q319/Q444, "NA")</f>
        <v>NA</v>
      </c>
      <c r="S319" s="9"/>
      <c r="T319" s="7">
        <v>0</v>
      </c>
      <c r="U319" s="8" t="str">
        <f>IFERROR(T319/T444, "NA")</f>
        <v>NA</v>
      </c>
      <c r="V319" s="9"/>
      <c r="W319" s="10">
        <f t="shared" si="78"/>
        <v>0</v>
      </c>
      <c r="X319" s="8" t="str">
        <f>IFERROR(W319/W444, "NA")</f>
        <v>NA</v>
      </c>
      <c r="Y319" s="9"/>
      <c r="Z319" s="7">
        <v>0</v>
      </c>
      <c r="AA319" s="8" t="str">
        <f>IFERROR(Z319/Z444, "NA")</f>
        <v>NA</v>
      </c>
      <c r="AB319" s="9"/>
      <c r="AC319" s="10">
        <f t="shared" si="79"/>
        <v>0</v>
      </c>
      <c r="AD319" s="8" t="str">
        <f>IFERROR(AC319/AC444, "NA")</f>
        <v>NA</v>
      </c>
    </row>
    <row r="320" spans="1:30" ht="16.5" hidden="1" customHeight="1" x14ac:dyDescent="0.45">
      <c r="A320" s="6" t="s">
        <v>292</v>
      </c>
      <c r="B320" s="7">
        <v>0</v>
      </c>
      <c r="C320" s="8" t="str">
        <f>IFERROR(B320/B444, "NA")</f>
        <v>NA</v>
      </c>
      <c r="D320" s="9"/>
      <c r="E320" s="7">
        <v>0</v>
      </c>
      <c r="F320" s="8" t="str">
        <f>IFERROR(E320/E444, "NA")</f>
        <v>NA</v>
      </c>
      <c r="G320" s="9"/>
      <c r="H320" s="10">
        <f t="shared" si="76"/>
        <v>0</v>
      </c>
      <c r="I320" s="8" t="str">
        <f>IFERROR(H320/H444, "NA")</f>
        <v>NA</v>
      </c>
      <c r="J320" s="9"/>
      <c r="K320" s="7">
        <v>0</v>
      </c>
      <c r="L320" s="8" t="str">
        <f>IFERROR(K320/K444, "NA")</f>
        <v>NA</v>
      </c>
      <c r="M320" s="9"/>
      <c r="N320" s="10">
        <f t="shared" si="77"/>
        <v>0</v>
      </c>
      <c r="O320" s="8" t="str">
        <f>IFERROR(N320/N444, "NA")</f>
        <v>NA</v>
      </c>
      <c r="P320" s="9"/>
      <c r="Q320" s="7">
        <v>0</v>
      </c>
      <c r="R320" s="8" t="str">
        <f>IFERROR(Q320/Q444, "NA")</f>
        <v>NA</v>
      </c>
      <c r="S320" s="9"/>
      <c r="T320" s="7">
        <v>0</v>
      </c>
      <c r="U320" s="8" t="str">
        <f>IFERROR(T320/T444, "NA")</f>
        <v>NA</v>
      </c>
      <c r="V320" s="9"/>
      <c r="W320" s="10">
        <f t="shared" si="78"/>
        <v>0</v>
      </c>
      <c r="X320" s="8" t="str">
        <f>IFERROR(W320/W444, "NA")</f>
        <v>NA</v>
      </c>
      <c r="Y320" s="9"/>
      <c r="Z320" s="7">
        <v>0</v>
      </c>
      <c r="AA320" s="8" t="str">
        <f>IFERROR(Z320/Z444, "NA")</f>
        <v>NA</v>
      </c>
      <c r="AB320" s="9"/>
      <c r="AC320" s="10">
        <f t="shared" si="79"/>
        <v>0</v>
      </c>
      <c r="AD320" s="8" t="str">
        <f>IFERROR(AC320/AC444, "NA")</f>
        <v>NA</v>
      </c>
    </row>
    <row r="321" spans="1:30" ht="16.5" hidden="1" customHeight="1" x14ac:dyDescent="0.45">
      <c r="A321" s="6" t="s">
        <v>293</v>
      </c>
      <c r="B321" s="7">
        <v>0</v>
      </c>
      <c r="C321" s="8" t="str">
        <f>IFERROR(B321/B444, "NA")</f>
        <v>NA</v>
      </c>
      <c r="D321" s="9"/>
      <c r="E321" s="7">
        <v>0</v>
      </c>
      <c r="F321" s="8" t="str">
        <f>IFERROR(E321/E444, "NA")</f>
        <v>NA</v>
      </c>
      <c r="G321" s="9"/>
      <c r="H321" s="10">
        <f t="shared" si="76"/>
        <v>0</v>
      </c>
      <c r="I321" s="8" t="str">
        <f>IFERROR(H321/H444, "NA")</f>
        <v>NA</v>
      </c>
      <c r="J321" s="9"/>
      <c r="K321" s="7">
        <v>0</v>
      </c>
      <c r="L321" s="8" t="str">
        <f>IFERROR(K321/K444, "NA")</f>
        <v>NA</v>
      </c>
      <c r="M321" s="9"/>
      <c r="N321" s="10">
        <f t="shared" si="77"/>
        <v>0</v>
      </c>
      <c r="O321" s="8" t="str">
        <f>IFERROR(N321/N444, "NA")</f>
        <v>NA</v>
      </c>
      <c r="P321" s="9"/>
      <c r="Q321" s="7">
        <v>0</v>
      </c>
      <c r="R321" s="8" t="str">
        <f>IFERROR(Q321/Q444, "NA")</f>
        <v>NA</v>
      </c>
      <c r="S321" s="9"/>
      <c r="T321" s="7">
        <v>0</v>
      </c>
      <c r="U321" s="8" t="str">
        <f>IFERROR(T321/T444, "NA")</f>
        <v>NA</v>
      </c>
      <c r="V321" s="9"/>
      <c r="W321" s="10">
        <f t="shared" si="78"/>
        <v>0</v>
      </c>
      <c r="X321" s="8" t="str">
        <f>IFERROR(W321/W444, "NA")</f>
        <v>NA</v>
      </c>
      <c r="Y321" s="9"/>
      <c r="Z321" s="7">
        <v>0</v>
      </c>
      <c r="AA321" s="8" t="str">
        <f>IFERROR(Z321/Z444, "NA")</f>
        <v>NA</v>
      </c>
      <c r="AB321" s="9"/>
      <c r="AC321" s="10">
        <f t="shared" si="79"/>
        <v>0</v>
      </c>
      <c r="AD321" s="8" t="str">
        <f>IFERROR(AC321/AC444, "NA")</f>
        <v>NA</v>
      </c>
    </row>
    <row r="322" spans="1:30" ht="16.5" hidden="1" customHeight="1" x14ac:dyDescent="0.45">
      <c r="A322" s="6" t="s">
        <v>294</v>
      </c>
      <c r="B322" s="7">
        <v>0</v>
      </c>
      <c r="C322" s="8" t="str">
        <f>IFERROR(B322/B444, "NA")</f>
        <v>NA</v>
      </c>
      <c r="D322" s="9"/>
      <c r="E322" s="7">
        <v>0</v>
      </c>
      <c r="F322" s="8" t="str">
        <f>IFERROR(E322/E444, "NA")</f>
        <v>NA</v>
      </c>
      <c r="G322" s="9"/>
      <c r="H322" s="10">
        <f t="shared" si="76"/>
        <v>0</v>
      </c>
      <c r="I322" s="8" t="str">
        <f>IFERROR(H322/H444, "NA")</f>
        <v>NA</v>
      </c>
      <c r="J322" s="9"/>
      <c r="K322" s="7">
        <v>0</v>
      </c>
      <c r="L322" s="8" t="str">
        <f>IFERROR(K322/K444, "NA")</f>
        <v>NA</v>
      </c>
      <c r="M322" s="9"/>
      <c r="N322" s="10">
        <f t="shared" si="77"/>
        <v>0</v>
      </c>
      <c r="O322" s="8" t="str">
        <f>IFERROR(N322/N444, "NA")</f>
        <v>NA</v>
      </c>
      <c r="P322" s="9"/>
      <c r="Q322" s="7">
        <v>0</v>
      </c>
      <c r="R322" s="8" t="str">
        <f>IFERROR(Q322/Q444, "NA")</f>
        <v>NA</v>
      </c>
      <c r="S322" s="9"/>
      <c r="T322" s="7">
        <v>0</v>
      </c>
      <c r="U322" s="8" t="str">
        <f>IFERROR(T322/T444, "NA")</f>
        <v>NA</v>
      </c>
      <c r="V322" s="9"/>
      <c r="W322" s="10">
        <f t="shared" si="78"/>
        <v>0</v>
      </c>
      <c r="X322" s="8" t="str">
        <f>IFERROR(W322/W444, "NA")</f>
        <v>NA</v>
      </c>
      <c r="Y322" s="9"/>
      <c r="Z322" s="7">
        <v>0</v>
      </c>
      <c r="AA322" s="8" t="str">
        <f>IFERROR(Z322/Z444, "NA")</f>
        <v>NA</v>
      </c>
      <c r="AB322" s="9"/>
      <c r="AC322" s="10">
        <f t="shared" si="79"/>
        <v>0</v>
      </c>
      <c r="AD322" s="8" t="str">
        <f>IFERROR(AC322/AC444, "NA")</f>
        <v>NA</v>
      </c>
    </row>
    <row r="323" spans="1:30" ht="16.5" hidden="1" customHeight="1" x14ac:dyDescent="0.45">
      <c r="A323" s="6" t="s">
        <v>295</v>
      </c>
      <c r="B323" s="7">
        <v>0</v>
      </c>
      <c r="C323" s="8" t="str">
        <f>IFERROR(B323/B444, "NA")</f>
        <v>NA</v>
      </c>
      <c r="D323" s="9"/>
      <c r="E323" s="7">
        <v>0</v>
      </c>
      <c r="F323" s="8" t="str">
        <f>IFERROR(E323/E444, "NA")</f>
        <v>NA</v>
      </c>
      <c r="G323" s="9"/>
      <c r="H323" s="10">
        <f t="shared" si="76"/>
        <v>0</v>
      </c>
      <c r="I323" s="8" t="str">
        <f>IFERROR(H323/H444, "NA")</f>
        <v>NA</v>
      </c>
      <c r="J323" s="9"/>
      <c r="K323" s="7">
        <v>0</v>
      </c>
      <c r="L323" s="8" t="str">
        <f>IFERROR(K323/K444, "NA")</f>
        <v>NA</v>
      </c>
      <c r="M323" s="9"/>
      <c r="N323" s="10">
        <f t="shared" si="77"/>
        <v>0</v>
      </c>
      <c r="O323" s="8" t="str">
        <f>IFERROR(N323/N444, "NA")</f>
        <v>NA</v>
      </c>
      <c r="P323" s="9"/>
      <c r="Q323" s="7">
        <v>0</v>
      </c>
      <c r="R323" s="8" t="str">
        <f>IFERROR(Q323/Q444, "NA")</f>
        <v>NA</v>
      </c>
      <c r="S323" s="9"/>
      <c r="T323" s="7">
        <v>0</v>
      </c>
      <c r="U323" s="8" t="str">
        <f>IFERROR(T323/T444, "NA")</f>
        <v>NA</v>
      </c>
      <c r="V323" s="9"/>
      <c r="W323" s="10">
        <f t="shared" si="78"/>
        <v>0</v>
      </c>
      <c r="X323" s="8" t="str">
        <f>IFERROR(W323/W444, "NA")</f>
        <v>NA</v>
      </c>
      <c r="Y323" s="9"/>
      <c r="Z323" s="7">
        <v>0</v>
      </c>
      <c r="AA323" s="8" t="str">
        <f>IFERROR(Z323/Z444, "NA")</f>
        <v>NA</v>
      </c>
      <c r="AB323" s="9"/>
      <c r="AC323" s="10">
        <f t="shared" si="79"/>
        <v>0</v>
      </c>
      <c r="AD323" s="8" t="str">
        <f>IFERROR(AC323/AC444, "NA")</f>
        <v>NA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0</v>
      </c>
      <c r="C324" s="15" t="str">
        <f>IFERROR(B324/B444, "NA")</f>
        <v>NA</v>
      </c>
      <c r="D324" s="2"/>
      <c r="E324" s="14">
        <f>IFERROR(E297+E298+E299+E300+E301+E302+E303+E304+E305+E306+E307+E308+E309+E310+E311+E312+E313+E314+E315+E316+E317+E318+E319+E320+E321+E322+E323, "NA")</f>
        <v>0</v>
      </c>
      <c r="F324" s="15" t="str">
        <f>IFERROR(E324/E444, "NA")</f>
        <v>NA</v>
      </c>
      <c r="G324" s="2"/>
      <c r="H324" s="14">
        <f t="shared" si="76"/>
        <v>0</v>
      </c>
      <c r="I324" s="15" t="str">
        <f>IFERROR(H324/H444, "NA")</f>
        <v>NA</v>
      </c>
      <c r="J324" s="2"/>
      <c r="K324" s="14">
        <f>IFERROR(K297+K298+K299+K300+K301+K302+K303+K304+K305+K306+K307+K308+K309+K310+K311+K312+K313+K314+K315+K316+K317+K318+K319+K320+K321+K322+K323, "NA")</f>
        <v>0</v>
      </c>
      <c r="L324" s="15" t="str">
        <f>IFERROR(K324/K444, "NA")</f>
        <v>NA</v>
      </c>
      <c r="M324" s="2"/>
      <c r="N324" s="14">
        <f t="shared" si="77"/>
        <v>0</v>
      </c>
      <c r="O324" s="15" t="str">
        <f>IFERROR(N324/N444, "NA")</f>
        <v>NA</v>
      </c>
      <c r="P324" s="2"/>
      <c r="Q324" s="14">
        <f>IFERROR(Q297+Q298+Q299+Q300+Q301+Q302+Q303+Q304+Q305+Q306+Q307+Q308+Q309+Q310+Q311+Q312+Q313+Q314+Q315+Q316+Q317+Q318+Q319+Q320+Q321+Q322+Q323, "NA")</f>
        <v>0</v>
      </c>
      <c r="R324" s="15" t="str">
        <f>IFERROR(Q324/Q444, "NA")</f>
        <v>NA</v>
      </c>
      <c r="S324" s="2"/>
      <c r="T324" s="14">
        <f>IFERROR(T297+T298+T299+T300+T301+T302+T303+T304+T305+T306+T307+T308+T309+T310+T311+T312+T313+T314+T315+T316+T317+T318+T319+T320+T321+T322+T323, "NA")</f>
        <v>0</v>
      </c>
      <c r="U324" s="15" t="str">
        <f>IFERROR(T324/T444, "NA")</f>
        <v>NA</v>
      </c>
      <c r="V324" s="2"/>
      <c r="W324" s="14">
        <f t="shared" si="78"/>
        <v>0</v>
      </c>
      <c r="X324" s="15" t="str">
        <f>IFERROR(W324/W444, "NA")</f>
        <v>NA</v>
      </c>
      <c r="Y324" s="2"/>
      <c r="Z324" s="14">
        <f>IFERROR(Z297+Z298+Z299+Z300+Z301+Z302+Z303+Z304+Z305+Z306+Z307+Z308+Z309+Z310+Z311+Z312+Z313+Z314+Z315+Z316+Z317+Z318+Z319+Z320+Z321+Z322+Z323, "NA")</f>
        <v>0</v>
      </c>
      <c r="AA324" s="15" t="str">
        <f>IFERROR(Z324/Z444, "NA")</f>
        <v>NA</v>
      </c>
      <c r="AB324" s="2"/>
      <c r="AC324" s="14">
        <f t="shared" si="79"/>
        <v>0</v>
      </c>
      <c r="AD324" s="15" t="str">
        <f>IFERROR(AC324/AC444, "NA")</f>
        <v>NA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0</v>
      </c>
      <c r="C325" s="15" t="str">
        <f>IFERROR(B325/B444, "NA")</f>
        <v>NA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0</v>
      </c>
      <c r="F325" s="15" t="str">
        <f>IFERROR(E325/E444, "NA")</f>
        <v>NA</v>
      </c>
      <c r="G325" s="2"/>
      <c r="H325" s="14">
        <f t="shared" si="76"/>
        <v>0</v>
      </c>
      <c r="I325" s="15" t="str">
        <f>IFERROR(H325/H444, "NA")</f>
        <v>NA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0</v>
      </c>
      <c r="L325" s="15" t="str">
        <f>IFERROR(K325/K444, "NA")</f>
        <v>NA</v>
      </c>
      <c r="M325" s="2"/>
      <c r="N325" s="14">
        <f t="shared" si="77"/>
        <v>0</v>
      </c>
      <c r="O325" s="15" t="str">
        <f>IFERROR(N325/N444, "NA")</f>
        <v>NA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0</v>
      </c>
      <c r="R325" s="15" t="str">
        <f>IFERROR(Q325/Q444, "NA")</f>
        <v>NA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0</v>
      </c>
      <c r="U325" s="15" t="str">
        <f>IFERROR(T325/T444, "NA")</f>
        <v>NA</v>
      </c>
      <c r="V325" s="2"/>
      <c r="W325" s="14">
        <f t="shared" si="78"/>
        <v>0</v>
      </c>
      <c r="X325" s="15" t="str">
        <f>IFERROR(W325/W444, "NA")</f>
        <v>NA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0</v>
      </c>
      <c r="AA325" s="15" t="str">
        <f>IFERROR(Z325/Z444, "NA")</f>
        <v>NA</v>
      </c>
      <c r="AB325" s="2"/>
      <c r="AC325" s="14">
        <f t="shared" si="79"/>
        <v>0</v>
      </c>
      <c r="AD325" s="15" t="str">
        <f>IFERROR(AC325/AC444, "NA")</f>
        <v>NA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 t="str">
        <f>IFERROR(B328/B444, "NA")</f>
        <v>NA</v>
      </c>
      <c r="D328" s="9"/>
      <c r="E328" s="7">
        <v>0</v>
      </c>
      <c r="F328" s="8" t="str">
        <f>IFERROR(E328/E444, "NA")</f>
        <v>NA</v>
      </c>
      <c r="G328" s="9"/>
      <c r="H328" s="10">
        <f t="shared" ref="H328:H335" si="80">IFERROR(-(B328-E328), "NA")</f>
        <v>0</v>
      </c>
      <c r="I328" s="8" t="str">
        <f>IFERROR(H328/H444, "NA")</f>
        <v>NA</v>
      </c>
      <c r="J328" s="9"/>
      <c r="K328" s="7">
        <v>0</v>
      </c>
      <c r="L328" s="8" t="str">
        <f>IFERROR(K328/K444, "NA")</f>
        <v>NA</v>
      </c>
      <c r="M328" s="9"/>
      <c r="N328" s="10">
        <f t="shared" ref="N328:N335" si="81">IFERROR(-(B328-K328), "NA")</f>
        <v>0</v>
      </c>
      <c r="O328" s="8" t="str">
        <f>IFERROR(N328/N444, "NA")</f>
        <v>NA</v>
      </c>
      <c r="P328" s="9"/>
      <c r="Q328" s="7">
        <v>0</v>
      </c>
      <c r="R328" s="8" t="str">
        <f>IFERROR(Q328/Q444, "NA")</f>
        <v>NA</v>
      </c>
      <c r="S328" s="9"/>
      <c r="T328" s="7">
        <v>0</v>
      </c>
      <c r="U328" s="8" t="str">
        <f>IFERROR(T328/T444, "NA")</f>
        <v>NA</v>
      </c>
      <c r="V328" s="9"/>
      <c r="W328" s="10">
        <f t="shared" ref="W328:W335" si="82">IFERROR(-(Q328-T328), "NA")</f>
        <v>0</v>
      </c>
      <c r="X328" s="8" t="str">
        <f>IFERROR(W328/W444, "NA")</f>
        <v>NA</v>
      </c>
      <c r="Y328" s="9"/>
      <c r="Z328" s="7">
        <v>0</v>
      </c>
      <c r="AA328" s="8" t="str">
        <f>IFERROR(Z328/Z444, "NA")</f>
        <v>NA</v>
      </c>
      <c r="AB328" s="9"/>
      <c r="AC328" s="10">
        <f t="shared" ref="AC328:AC335" si="83">IFERROR(-(Q328-Z328), "NA")</f>
        <v>0</v>
      </c>
      <c r="AD328" s="8" t="str">
        <f>IFERROR(AC328/AC444, "NA")</f>
        <v>NA</v>
      </c>
    </row>
    <row r="329" spans="1:30" ht="16.5" hidden="1" customHeight="1" x14ac:dyDescent="0.45">
      <c r="A329" s="6" t="s">
        <v>300</v>
      </c>
      <c r="B329" s="7">
        <v>0</v>
      </c>
      <c r="C329" s="8" t="str">
        <f>IFERROR(B329/B444, "NA")</f>
        <v>NA</v>
      </c>
      <c r="D329" s="9"/>
      <c r="E329" s="7">
        <v>0</v>
      </c>
      <c r="F329" s="8" t="str">
        <f>IFERROR(E329/E444, "NA")</f>
        <v>NA</v>
      </c>
      <c r="G329" s="9"/>
      <c r="H329" s="10">
        <f t="shared" si="80"/>
        <v>0</v>
      </c>
      <c r="I329" s="8" t="str">
        <f>IFERROR(H329/H444, "NA")</f>
        <v>NA</v>
      </c>
      <c r="J329" s="9"/>
      <c r="K329" s="7">
        <v>0</v>
      </c>
      <c r="L329" s="8" t="str">
        <f>IFERROR(K329/K444, "NA")</f>
        <v>NA</v>
      </c>
      <c r="M329" s="9"/>
      <c r="N329" s="10">
        <f t="shared" si="81"/>
        <v>0</v>
      </c>
      <c r="O329" s="8" t="str">
        <f>IFERROR(N329/N444, "NA")</f>
        <v>NA</v>
      </c>
      <c r="P329" s="9"/>
      <c r="Q329" s="7">
        <v>0</v>
      </c>
      <c r="R329" s="8" t="str">
        <f>IFERROR(Q329/Q444, "NA")</f>
        <v>NA</v>
      </c>
      <c r="S329" s="9"/>
      <c r="T329" s="7">
        <v>0</v>
      </c>
      <c r="U329" s="8" t="str">
        <f>IFERROR(T329/T444, "NA")</f>
        <v>NA</v>
      </c>
      <c r="V329" s="9"/>
      <c r="W329" s="10">
        <f t="shared" si="82"/>
        <v>0</v>
      </c>
      <c r="X329" s="8" t="str">
        <f>IFERROR(W329/W444, "NA")</f>
        <v>NA</v>
      </c>
      <c r="Y329" s="9"/>
      <c r="Z329" s="7">
        <v>0</v>
      </c>
      <c r="AA329" s="8" t="str">
        <f>IFERROR(Z329/Z444, "NA")</f>
        <v>NA</v>
      </c>
      <c r="AB329" s="9"/>
      <c r="AC329" s="10">
        <f t="shared" si="83"/>
        <v>0</v>
      </c>
      <c r="AD329" s="8" t="str">
        <f>IFERROR(AC329/AC444, "NA")</f>
        <v>NA</v>
      </c>
    </row>
    <row r="330" spans="1:30" ht="16.5" hidden="1" customHeight="1" x14ac:dyDescent="0.45">
      <c r="A330" s="6" t="s">
        <v>301</v>
      </c>
      <c r="B330" s="7">
        <v>0</v>
      </c>
      <c r="C330" s="8" t="str">
        <f>IFERROR(B330/B444, "NA")</f>
        <v>NA</v>
      </c>
      <c r="D330" s="9"/>
      <c r="E330" s="7">
        <v>0</v>
      </c>
      <c r="F330" s="8" t="str">
        <f>IFERROR(E330/E444, "NA")</f>
        <v>NA</v>
      </c>
      <c r="G330" s="9"/>
      <c r="H330" s="10">
        <f t="shared" si="80"/>
        <v>0</v>
      </c>
      <c r="I330" s="8" t="str">
        <f>IFERROR(H330/H444, "NA")</f>
        <v>NA</v>
      </c>
      <c r="J330" s="9"/>
      <c r="K330" s="7">
        <v>0</v>
      </c>
      <c r="L330" s="8" t="str">
        <f>IFERROR(K330/K444, "NA")</f>
        <v>NA</v>
      </c>
      <c r="M330" s="9"/>
      <c r="N330" s="10">
        <f t="shared" si="81"/>
        <v>0</v>
      </c>
      <c r="O330" s="8" t="str">
        <f>IFERROR(N330/N444, "NA")</f>
        <v>NA</v>
      </c>
      <c r="P330" s="9"/>
      <c r="Q330" s="7">
        <v>0</v>
      </c>
      <c r="R330" s="8" t="str">
        <f>IFERROR(Q330/Q444, "NA")</f>
        <v>NA</v>
      </c>
      <c r="S330" s="9"/>
      <c r="T330" s="7">
        <v>0</v>
      </c>
      <c r="U330" s="8" t="str">
        <f>IFERROR(T330/T444, "NA")</f>
        <v>NA</v>
      </c>
      <c r="V330" s="9"/>
      <c r="W330" s="10">
        <f t="shared" si="82"/>
        <v>0</v>
      </c>
      <c r="X330" s="8" t="str">
        <f>IFERROR(W330/W444, "NA")</f>
        <v>NA</v>
      </c>
      <c r="Y330" s="9"/>
      <c r="Z330" s="7">
        <v>0</v>
      </c>
      <c r="AA330" s="8" t="str">
        <f>IFERROR(Z330/Z444, "NA")</f>
        <v>NA</v>
      </c>
      <c r="AB330" s="9"/>
      <c r="AC330" s="10">
        <f t="shared" si="83"/>
        <v>0</v>
      </c>
      <c r="AD330" s="8" t="str">
        <f>IFERROR(AC330/AC444, "NA")</f>
        <v>NA</v>
      </c>
    </row>
    <row r="331" spans="1:30" ht="16.5" hidden="1" customHeight="1" x14ac:dyDescent="0.45">
      <c r="A331" s="6" t="s">
        <v>302</v>
      </c>
      <c r="B331" s="7">
        <v>0</v>
      </c>
      <c r="C331" s="8" t="str">
        <f>IFERROR(B331/B444, "NA")</f>
        <v>NA</v>
      </c>
      <c r="D331" s="9"/>
      <c r="E331" s="7">
        <v>0</v>
      </c>
      <c r="F331" s="8" t="str">
        <f>IFERROR(E331/E444, "NA")</f>
        <v>NA</v>
      </c>
      <c r="G331" s="9"/>
      <c r="H331" s="10">
        <f t="shared" si="80"/>
        <v>0</v>
      </c>
      <c r="I331" s="8" t="str">
        <f>IFERROR(H331/H444, "NA")</f>
        <v>NA</v>
      </c>
      <c r="J331" s="9"/>
      <c r="K331" s="7">
        <v>0</v>
      </c>
      <c r="L331" s="8" t="str">
        <f>IFERROR(K331/K444, "NA")</f>
        <v>NA</v>
      </c>
      <c r="M331" s="9"/>
      <c r="N331" s="10">
        <f t="shared" si="81"/>
        <v>0</v>
      </c>
      <c r="O331" s="8" t="str">
        <f>IFERROR(N331/N444, "NA")</f>
        <v>NA</v>
      </c>
      <c r="P331" s="9"/>
      <c r="Q331" s="7">
        <v>0</v>
      </c>
      <c r="R331" s="8" t="str">
        <f>IFERROR(Q331/Q444, "NA")</f>
        <v>NA</v>
      </c>
      <c r="S331" s="9"/>
      <c r="T331" s="7">
        <v>0</v>
      </c>
      <c r="U331" s="8" t="str">
        <f>IFERROR(T331/T444, "NA")</f>
        <v>NA</v>
      </c>
      <c r="V331" s="9"/>
      <c r="W331" s="10">
        <f t="shared" si="82"/>
        <v>0</v>
      </c>
      <c r="X331" s="8" t="str">
        <f>IFERROR(W331/W444, "NA")</f>
        <v>NA</v>
      </c>
      <c r="Y331" s="9"/>
      <c r="Z331" s="7">
        <v>0</v>
      </c>
      <c r="AA331" s="8" t="str">
        <f>IFERROR(Z331/Z444, "NA")</f>
        <v>NA</v>
      </c>
      <c r="AB331" s="9"/>
      <c r="AC331" s="10">
        <f t="shared" si="83"/>
        <v>0</v>
      </c>
      <c r="AD331" s="8" t="str">
        <f>IFERROR(AC331/AC444, "NA")</f>
        <v>NA</v>
      </c>
    </row>
    <row r="332" spans="1:30" ht="16.5" hidden="1" customHeight="1" x14ac:dyDescent="0.45">
      <c r="A332" s="6" t="s">
        <v>303</v>
      </c>
      <c r="B332" s="7">
        <v>0</v>
      </c>
      <c r="C332" s="8" t="str">
        <f>IFERROR(B332/B444, "NA")</f>
        <v>NA</v>
      </c>
      <c r="D332" s="9"/>
      <c r="E332" s="7">
        <v>0</v>
      </c>
      <c r="F332" s="8" t="str">
        <f>IFERROR(E332/E444, "NA")</f>
        <v>NA</v>
      </c>
      <c r="G332" s="9"/>
      <c r="H332" s="10">
        <f t="shared" si="80"/>
        <v>0</v>
      </c>
      <c r="I332" s="8" t="str">
        <f>IFERROR(H332/H444, "NA")</f>
        <v>NA</v>
      </c>
      <c r="J332" s="9"/>
      <c r="K332" s="7">
        <v>0</v>
      </c>
      <c r="L332" s="8" t="str">
        <f>IFERROR(K332/K444, "NA")</f>
        <v>NA</v>
      </c>
      <c r="M332" s="9"/>
      <c r="N332" s="10">
        <f t="shared" si="81"/>
        <v>0</v>
      </c>
      <c r="O332" s="8" t="str">
        <f>IFERROR(N332/N444, "NA")</f>
        <v>NA</v>
      </c>
      <c r="P332" s="9"/>
      <c r="Q332" s="7">
        <v>0</v>
      </c>
      <c r="R332" s="8" t="str">
        <f>IFERROR(Q332/Q444, "NA")</f>
        <v>NA</v>
      </c>
      <c r="S332" s="9"/>
      <c r="T332" s="7">
        <v>0</v>
      </c>
      <c r="U332" s="8" t="str">
        <f>IFERROR(T332/T444, "NA")</f>
        <v>NA</v>
      </c>
      <c r="V332" s="9"/>
      <c r="W332" s="10">
        <f t="shared" si="82"/>
        <v>0</v>
      </c>
      <c r="X332" s="8" t="str">
        <f>IFERROR(W332/W444, "NA")</f>
        <v>NA</v>
      </c>
      <c r="Y332" s="9"/>
      <c r="Z332" s="7">
        <v>0</v>
      </c>
      <c r="AA332" s="8" t="str">
        <f>IFERROR(Z332/Z444, "NA")</f>
        <v>NA</v>
      </c>
      <c r="AB332" s="9"/>
      <c r="AC332" s="10">
        <f t="shared" si="83"/>
        <v>0</v>
      </c>
      <c r="AD332" s="8" t="str">
        <f>IFERROR(AC332/AC444, "NA")</f>
        <v>NA</v>
      </c>
    </row>
    <row r="333" spans="1:30" ht="16.5" hidden="1" customHeight="1" x14ac:dyDescent="0.45">
      <c r="A333" s="6" t="s">
        <v>304</v>
      </c>
      <c r="B333" s="7">
        <v>0</v>
      </c>
      <c r="C333" s="8" t="str">
        <f>IFERROR(B333/B444, "NA")</f>
        <v>NA</v>
      </c>
      <c r="D333" s="9"/>
      <c r="E333" s="7">
        <v>0</v>
      </c>
      <c r="F333" s="8" t="str">
        <f>IFERROR(E333/E444, "NA")</f>
        <v>NA</v>
      </c>
      <c r="G333" s="9"/>
      <c r="H333" s="10">
        <f t="shared" si="80"/>
        <v>0</v>
      </c>
      <c r="I333" s="8" t="str">
        <f>IFERROR(H333/H444, "NA")</f>
        <v>NA</v>
      </c>
      <c r="J333" s="9"/>
      <c r="K333" s="7">
        <v>0</v>
      </c>
      <c r="L333" s="8" t="str">
        <f>IFERROR(K333/K444, "NA")</f>
        <v>NA</v>
      </c>
      <c r="M333" s="9"/>
      <c r="N333" s="10">
        <f t="shared" si="81"/>
        <v>0</v>
      </c>
      <c r="O333" s="8" t="str">
        <f>IFERROR(N333/N444, "NA")</f>
        <v>NA</v>
      </c>
      <c r="P333" s="9"/>
      <c r="Q333" s="7">
        <v>0</v>
      </c>
      <c r="R333" s="8" t="str">
        <f>IFERROR(Q333/Q444, "NA")</f>
        <v>NA</v>
      </c>
      <c r="S333" s="9"/>
      <c r="T333" s="7">
        <v>0</v>
      </c>
      <c r="U333" s="8" t="str">
        <f>IFERROR(T333/T444, "NA")</f>
        <v>NA</v>
      </c>
      <c r="V333" s="9"/>
      <c r="W333" s="10">
        <f t="shared" si="82"/>
        <v>0</v>
      </c>
      <c r="X333" s="8" t="str">
        <f>IFERROR(W333/W444, "NA")</f>
        <v>NA</v>
      </c>
      <c r="Y333" s="9"/>
      <c r="Z333" s="7">
        <v>0</v>
      </c>
      <c r="AA333" s="8" t="str">
        <f>IFERROR(Z333/Z444, "NA")</f>
        <v>NA</v>
      </c>
      <c r="AB333" s="9"/>
      <c r="AC333" s="10">
        <f t="shared" si="83"/>
        <v>0</v>
      </c>
      <c r="AD333" s="8" t="str">
        <f>IFERROR(AC333/AC444, "NA")</f>
        <v>NA</v>
      </c>
    </row>
    <row r="334" spans="1:30" ht="16.5" hidden="1" customHeight="1" x14ac:dyDescent="0.45">
      <c r="A334" s="6" t="s">
        <v>305</v>
      </c>
      <c r="B334" s="7">
        <v>0</v>
      </c>
      <c r="C334" s="8" t="str">
        <f>IFERROR(B334/B444, "NA")</f>
        <v>NA</v>
      </c>
      <c r="D334" s="9"/>
      <c r="E334" s="7">
        <v>0</v>
      </c>
      <c r="F334" s="8" t="str">
        <f>IFERROR(E334/E444, "NA")</f>
        <v>NA</v>
      </c>
      <c r="G334" s="9"/>
      <c r="H334" s="10">
        <f t="shared" si="80"/>
        <v>0</v>
      </c>
      <c r="I334" s="8" t="str">
        <f>IFERROR(H334/H444, "NA")</f>
        <v>NA</v>
      </c>
      <c r="J334" s="9"/>
      <c r="K334" s="7">
        <v>0</v>
      </c>
      <c r="L334" s="8" t="str">
        <f>IFERROR(K334/K444, "NA")</f>
        <v>NA</v>
      </c>
      <c r="M334" s="9"/>
      <c r="N334" s="10">
        <f t="shared" si="81"/>
        <v>0</v>
      </c>
      <c r="O334" s="8" t="str">
        <f>IFERROR(N334/N444, "NA")</f>
        <v>NA</v>
      </c>
      <c r="P334" s="9"/>
      <c r="Q334" s="7">
        <v>0</v>
      </c>
      <c r="R334" s="8" t="str">
        <f>IFERROR(Q334/Q444, "NA")</f>
        <v>NA</v>
      </c>
      <c r="S334" s="9"/>
      <c r="T334" s="7">
        <v>0</v>
      </c>
      <c r="U334" s="8" t="str">
        <f>IFERROR(T334/T444, "NA")</f>
        <v>NA</v>
      </c>
      <c r="V334" s="9"/>
      <c r="W334" s="10">
        <f t="shared" si="82"/>
        <v>0</v>
      </c>
      <c r="X334" s="8" t="str">
        <f>IFERROR(W334/W444, "NA")</f>
        <v>NA</v>
      </c>
      <c r="Y334" s="9"/>
      <c r="Z334" s="7">
        <v>0</v>
      </c>
      <c r="AA334" s="8" t="str">
        <f>IFERROR(Z334/Z444, "NA")</f>
        <v>NA</v>
      </c>
      <c r="AB334" s="9"/>
      <c r="AC334" s="10">
        <f t="shared" si="83"/>
        <v>0</v>
      </c>
      <c r="AD334" s="8" t="str">
        <f>IFERROR(AC334/AC444, "NA")</f>
        <v>NA</v>
      </c>
    </row>
    <row r="335" spans="1:30" ht="16.5" hidden="1" customHeight="1" x14ac:dyDescent="0.45">
      <c r="A335" s="6" t="s">
        <v>306</v>
      </c>
      <c r="B335" s="7">
        <v>0</v>
      </c>
      <c r="C335" s="8" t="str">
        <f>IFERROR(B335/B444, "NA")</f>
        <v>NA</v>
      </c>
      <c r="D335" s="9"/>
      <c r="E335" s="7">
        <v>0</v>
      </c>
      <c r="F335" s="8" t="str">
        <f>IFERROR(E335/E444, "NA")</f>
        <v>NA</v>
      </c>
      <c r="G335" s="9"/>
      <c r="H335" s="10">
        <f t="shared" si="80"/>
        <v>0</v>
      </c>
      <c r="I335" s="8" t="str">
        <f>IFERROR(H335/H444, "NA")</f>
        <v>NA</v>
      </c>
      <c r="J335" s="9"/>
      <c r="K335" s="7">
        <v>0</v>
      </c>
      <c r="L335" s="8" t="str">
        <f>IFERROR(K335/K444, "NA")</f>
        <v>NA</v>
      </c>
      <c r="M335" s="9"/>
      <c r="N335" s="10">
        <f t="shared" si="81"/>
        <v>0</v>
      </c>
      <c r="O335" s="8" t="str">
        <f>IFERROR(N335/N444, "NA")</f>
        <v>NA</v>
      </c>
      <c r="P335" s="9"/>
      <c r="Q335" s="7">
        <v>0</v>
      </c>
      <c r="R335" s="8" t="str">
        <f>IFERROR(Q335/Q444, "NA")</f>
        <v>NA</v>
      </c>
      <c r="S335" s="9"/>
      <c r="T335" s="7">
        <v>0</v>
      </c>
      <c r="U335" s="8" t="str">
        <f>IFERROR(T335/T444, "NA")</f>
        <v>NA</v>
      </c>
      <c r="V335" s="9"/>
      <c r="W335" s="10">
        <f t="shared" si="82"/>
        <v>0</v>
      </c>
      <c r="X335" s="8" t="str">
        <f>IFERROR(W335/W444, "NA")</f>
        <v>NA</v>
      </c>
      <c r="Y335" s="9"/>
      <c r="Z335" s="7">
        <v>0</v>
      </c>
      <c r="AA335" s="8" t="str">
        <f>IFERROR(Z335/Z444, "NA")</f>
        <v>NA</v>
      </c>
      <c r="AB335" s="9"/>
      <c r="AC335" s="10">
        <f t="shared" si="83"/>
        <v>0</v>
      </c>
      <c r="AD335" s="8" t="str">
        <f>IFERROR(AC335/AC444, "NA")</f>
        <v>NA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hidden="1" customHeight="1" x14ac:dyDescent="0.45">
      <c r="A337" s="12" t="s">
        <v>307</v>
      </c>
      <c r="B337" s="7">
        <v>0</v>
      </c>
      <c r="C337" s="8" t="str">
        <f>IFERROR(B337/B444, "NA")</f>
        <v>NA</v>
      </c>
      <c r="D337" s="9"/>
      <c r="E337" s="7">
        <v>0</v>
      </c>
      <c r="F337" s="8" t="str">
        <f>IFERROR(E337/E444, "NA")</f>
        <v>NA</v>
      </c>
      <c r="G337" s="9"/>
      <c r="H337" s="10">
        <f t="shared" ref="H337:H344" si="84">IFERROR(-(B337-E337), "NA")</f>
        <v>0</v>
      </c>
      <c r="I337" s="8" t="str">
        <f>IFERROR(H337/H444, "NA")</f>
        <v>NA</v>
      </c>
      <c r="J337" s="9"/>
      <c r="K337" s="7">
        <v>0</v>
      </c>
      <c r="L337" s="8" t="str">
        <f>IFERROR(K337/K444, "NA")</f>
        <v>NA</v>
      </c>
      <c r="M337" s="9"/>
      <c r="N337" s="10">
        <f t="shared" ref="N337:N344" si="85">IFERROR(-(B337-K337), "NA")</f>
        <v>0</v>
      </c>
      <c r="O337" s="8" t="str">
        <f>IFERROR(N337/N444, "NA")</f>
        <v>NA</v>
      </c>
      <c r="P337" s="9"/>
      <c r="Q337" s="7">
        <v>0</v>
      </c>
      <c r="R337" s="8" t="str">
        <f>IFERROR(Q337/Q444, "NA")</f>
        <v>NA</v>
      </c>
      <c r="S337" s="9"/>
      <c r="T337" s="7">
        <v>0</v>
      </c>
      <c r="U337" s="8" t="str">
        <f>IFERROR(T337/T444, "NA")</f>
        <v>NA</v>
      </c>
      <c r="V337" s="9"/>
      <c r="W337" s="10">
        <f t="shared" ref="W337:W344" si="86">IFERROR(-(Q337-T337), "NA")</f>
        <v>0</v>
      </c>
      <c r="X337" s="8" t="str">
        <f>IFERROR(W337/W444, "NA")</f>
        <v>NA</v>
      </c>
      <c r="Y337" s="9"/>
      <c r="Z337" s="7">
        <v>0</v>
      </c>
      <c r="AA337" s="8" t="str">
        <f>IFERROR(Z337/Z444, "NA")</f>
        <v>NA</v>
      </c>
      <c r="AB337" s="9"/>
      <c r="AC337" s="10">
        <f t="shared" ref="AC337:AC344" si="87">IFERROR(-(Q337-Z337), "NA")</f>
        <v>0</v>
      </c>
      <c r="AD337" s="8" t="str">
        <f>IFERROR(AC337/AC444, "NA")</f>
        <v>NA</v>
      </c>
    </row>
    <row r="338" spans="1:30" ht="16.5" hidden="1" customHeight="1" x14ac:dyDescent="0.45">
      <c r="A338" s="12" t="s">
        <v>308</v>
      </c>
      <c r="B338" s="7">
        <v>0</v>
      </c>
      <c r="C338" s="8" t="str">
        <f>IFERROR(B338/B444, "NA")</f>
        <v>NA</v>
      </c>
      <c r="D338" s="9"/>
      <c r="E338" s="7">
        <v>0</v>
      </c>
      <c r="F338" s="8" t="str">
        <f>IFERROR(E338/E444, "NA")</f>
        <v>NA</v>
      </c>
      <c r="G338" s="9"/>
      <c r="H338" s="10">
        <f t="shared" si="84"/>
        <v>0</v>
      </c>
      <c r="I338" s="8" t="str">
        <f>IFERROR(H338/H444, "NA")</f>
        <v>NA</v>
      </c>
      <c r="J338" s="9"/>
      <c r="K338" s="7">
        <v>0</v>
      </c>
      <c r="L338" s="8" t="str">
        <f>IFERROR(K338/K444, "NA")</f>
        <v>NA</v>
      </c>
      <c r="M338" s="9"/>
      <c r="N338" s="10">
        <f t="shared" si="85"/>
        <v>0</v>
      </c>
      <c r="O338" s="8" t="str">
        <f>IFERROR(N338/N444, "NA")</f>
        <v>NA</v>
      </c>
      <c r="P338" s="9"/>
      <c r="Q338" s="7">
        <v>0</v>
      </c>
      <c r="R338" s="8" t="str">
        <f>IFERROR(Q338/Q444, "NA")</f>
        <v>NA</v>
      </c>
      <c r="S338" s="9"/>
      <c r="T338" s="7">
        <v>0</v>
      </c>
      <c r="U338" s="8" t="str">
        <f>IFERROR(T338/T444, "NA")</f>
        <v>NA</v>
      </c>
      <c r="V338" s="9"/>
      <c r="W338" s="10">
        <f t="shared" si="86"/>
        <v>0</v>
      </c>
      <c r="X338" s="8" t="str">
        <f>IFERROR(W338/W444, "NA")</f>
        <v>NA</v>
      </c>
      <c r="Y338" s="9"/>
      <c r="Z338" s="7">
        <v>0</v>
      </c>
      <c r="AA338" s="8" t="str">
        <f>IFERROR(Z338/Z444, "NA")</f>
        <v>NA</v>
      </c>
      <c r="AB338" s="9"/>
      <c r="AC338" s="10">
        <f t="shared" si="87"/>
        <v>0</v>
      </c>
      <c r="AD338" s="8" t="str">
        <f>IFERROR(AC338/AC444, "NA")</f>
        <v>NA</v>
      </c>
    </row>
    <row r="339" spans="1:30" ht="16.5" hidden="1" customHeight="1" x14ac:dyDescent="0.45">
      <c r="A339" s="12" t="s">
        <v>309</v>
      </c>
      <c r="B339" s="7">
        <v>0</v>
      </c>
      <c r="C339" s="8" t="str">
        <f>IFERROR(B339/B444, "NA")</f>
        <v>NA</v>
      </c>
      <c r="D339" s="9"/>
      <c r="E339" s="7">
        <v>0</v>
      </c>
      <c r="F339" s="8" t="str">
        <f>IFERROR(E339/E444, "NA")</f>
        <v>NA</v>
      </c>
      <c r="G339" s="9"/>
      <c r="H339" s="10">
        <f t="shared" si="84"/>
        <v>0</v>
      </c>
      <c r="I339" s="8" t="str">
        <f>IFERROR(H339/H444, "NA")</f>
        <v>NA</v>
      </c>
      <c r="J339" s="9"/>
      <c r="K339" s="7">
        <v>0</v>
      </c>
      <c r="L339" s="8" t="str">
        <f>IFERROR(K339/K444, "NA")</f>
        <v>NA</v>
      </c>
      <c r="M339" s="9"/>
      <c r="N339" s="10">
        <f t="shared" si="85"/>
        <v>0</v>
      </c>
      <c r="O339" s="8" t="str">
        <f>IFERROR(N339/N444, "NA")</f>
        <v>NA</v>
      </c>
      <c r="P339" s="9"/>
      <c r="Q339" s="7">
        <v>0</v>
      </c>
      <c r="R339" s="8" t="str">
        <f>IFERROR(Q339/Q444, "NA")</f>
        <v>NA</v>
      </c>
      <c r="S339" s="9"/>
      <c r="T339" s="7">
        <v>0</v>
      </c>
      <c r="U339" s="8" t="str">
        <f>IFERROR(T339/T444, "NA")</f>
        <v>NA</v>
      </c>
      <c r="V339" s="9"/>
      <c r="W339" s="10">
        <f t="shared" si="86"/>
        <v>0</v>
      </c>
      <c r="X339" s="8" t="str">
        <f>IFERROR(W339/W444, "NA")</f>
        <v>NA</v>
      </c>
      <c r="Y339" s="9"/>
      <c r="Z339" s="7">
        <v>0</v>
      </c>
      <c r="AA339" s="8" t="str">
        <f>IFERROR(Z339/Z444, "NA")</f>
        <v>NA</v>
      </c>
      <c r="AB339" s="9"/>
      <c r="AC339" s="10">
        <f t="shared" si="87"/>
        <v>0</v>
      </c>
      <c r="AD339" s="8" t="str">
        <f>IFERROR(AC339/AC444, "NA")</f>
        <v>NA</v>
      </c>
    </row>
    <row r="340" spans="1:30" ht="16.5" hidden="1" customHeight="1" x14ac:dyDescent="0.45">
      <c r="A340" s="12" t="s">
        <v>310</v>
      </c>
      <c r="B340" s="7">
        <v>0</v>
      </c>
      <c r="C340" s="8" t="str">
        <f>IFERROR(B340/B444, "NA")</f>
        <v>NA</v>
      </c>
      <c r="D340" s="9"/>
      <c r="E340" s="7">
        <v>0</v>
      </c>
      <c r="F340" s="8" t="str">
        <f>IFERROR(E340/E444, "NA")</f>
        <v>NA</v>
      </c>
      <c r="G340" s="9"/>
      <c r="H340" s="10">
        <f t="shared" si="84"/>
        <v>0</v>
      </c>
      <c r="I340" s="8" t="str">
        <f>IFERROR(H340/H444, "NA")</f>
        <v>NA</v>
      </c>
      <c r="J340" s="9"/>
      <c r="K340" s="7">
        <v>0</v>
      </c>
      <c r="L340" s="8" t="str">
        <f>IFERROR(K340/K444, "NA")</f>
        <v>NA</v>
      </c>
      <c r="M340" s="9"/>
      <c r="N340" s="10">
        <f t="shared" si="85"/>
        <v>0</v>
      </c>
      <c r="O340" s="8" t="str">
        <f>IFERROR(N340/N444, "NA")</f>
        <v>NA</v>
      </c>
      <c r="P340" s="9"/>
      <c r="Q340" s="7">
        <v>0</v>
      </c>
      <c r="R340" s="8" t="str">
        <f>IFERROR(Q340/Q444, "NA")</f>
        <v>NA</v>
      </c>
      <c r="S340" s="9"/>
      <c r="T340" s="7">
        <v>0</v>
      </c>
      <c r="U340" s="8" t="str">
        <f>IFERROR(T340/T444, "NA")</f>
        <v>NA</v>
      </c>
      <c r="V340" s="9"/>
      <c r="W340" s="10">
        <f t="shared" si="86"/>
        <v>0</v>
      </c>
      <c r="X340" s="8" t="str">
        <f>IFERROR(W340/W444, "NA")</f>
        <v>NA</v>
      </c>
      <c r="Y340" s="9"/>
      <c r="Z340" s="7">
        <v>0</v>
      </c>
      <c r="AA340" s="8" t="str">
        <f>IFERROR(Z340/Z444, "NA")</f>
        <v>NA</v>
      </c>
      <c r="AB340" s="9"/>
      <c r="AC340" s="10">
        <f t="shared" si="87"/>
        <v>0</v>
      </c>
      <c r="AD340" s="8" t="str">
        <f>IFERROR(AC340/AC444, "NA")</f>
        <v>NA</v>
      </c>
    </row>
    <row r="341" spans="1:30" ht="16.5" hidden="1" customHeight="1" x14ac:dyDescent="0.45">
      <c r="A341" s="12" t="s">
        <v>311</v>
      </c>
      <c r="B341" s="7">
        <v>0</v>
      </c>
      <c r="C341" s="8" t="str">
        <f>IFERROR(B341/B444, "NA")</f>
        <v>NA</v>
      </c>
      <c r="D341" s="9"/>
      <c r="E341" s="7">
        <v>0</v>
      </c>
      <c r="F341" s="8" t="str">
        <f>IFERROR(E341/E444, "NA")</f>
        <v>NA</v>
      </c>
      <c r="G341" s="9"/>
      <c r="H341" s="10">
        <f t="shared" si="84"/>
        <v>0</v>
      </c>
      <c r="I341" s="8" t="str">
        <f>IFERROR(H341/H444, "NA")</f>
        <v>NA</v>
      </c>
      <c r="J341" s="9"/>
      <c r="K341" s="7">
        <v>0</v>
      </c>
      <c r="L341" s="8" t="str">
        <f>IFERROR(K341/K444, "NA")</f>
        <v>NA</v>
      </c>
      <c r="M341" s="9"/>
      <c r="N341" s="10">
        <f t="shared" si="85"/>
        <v>0</v>
      </c>
      <c r="O341" s="8" t="str">
        <f>IFERROR(N341/N444, "NA")</f>
        <v>NA</v>
      </c>
      <c r="P341" s="9"/>
      <c r="Q341" s="7">
        <v>0</v>
      </c>
      <c r="R341" s="8" t="str">
        <f>IFERROR(Q341/Q444, "NA")</f>
        <v>NA</v>
      </c>
      <c r="S341" s="9"/>
      <c r="T341" s="7">
        <v>0</v>
      </c>
      <c r="U341" s="8" t="str">
        <f>IFERROR(T341/T444, "NA")</f>
        <v>NA</v>
      </c>
      <c r="V341" s="9"/>
      <c r="W341" s="10">
        <f t="shared" si="86"/>
        <v>0</v>
      </c>
      <c r="X341" s="8" t="str">
        <f>IFERROR(W341/W444, "NA")</f>
        <v>NA</v>
      </c>
      <c r="Y341" s="9"/>
      <c r="Z341" s="7">
        <v>0</v>
      </c>
      <c r="AA341" s="8" t="str">
        <f>IFERROR(Z341/Z444, "NA")</f>
        <v>NA</v>
      </c>
      <c r="AB341" s="9"/>
      <c r="AC341" s="10">
        <f t="shared" si="87"/>
        <v>0</v>
      </c>
      <c r="AD341" s="8" t="str">
        <f>IFERROR(AC341/AC444, "NA")</f>
        <v>NA</v>
      </c>
    </row>
    <row r="342" spans="1:30" ht="16.5" customHeight="1" x14ac:dyDescent="0.45">
      <c r="A342" s="13" t="s">
        <v>312</v>
      </c>
      <c r="B342" s="14">
        <f>IFERROR(B337+B338+B339+B340+B341, "NA")</f>
        <v>0</v>
      </c>
      <c r="C342" s="15" t="str">
        <f>IFERROR(B342/B444, "NA")</f>
        <v>NA</v>
      </c>
      <c r="D342" s="2"/>
      <c r="E342" s="14">
        <f>IFERROR(E337+E338+E339+E340+E341, "NA")</f>
        <v>0</v>
      </c>
      <c r="F342" s="15" t="str">
        <f>IFERROR(E342/E444, "NA")</f>
        <v>NA</v>
      </c>
      <c r="G342" s="2"/>
      <c r="H342" s="14">
        <f t="shared" si="84"/>
        <v>0</v>
      </c>
      <c r="I342" s="15" t="str">
        <f>IFERROR(H342/H444, "NA")</f>
        <v>NA</v>
      </c>
      <c r="J342" s="2"/>
      <c r="K342" s="14">
        <f>IFERROR(K337+K338+K339+K340+K341, "NA")</f>
        <v>0</v>
      </c>
      <c r="L342" s="15" t="str">
        <f>IFERROR(K342/K444, "NA")</f>
        <v>NA</v>
      </c>
      <c r="M342" s="2"/>
      <c r="N342" s="14">
        <f t="shared" si="85"/>
        <v>0</v>
      </c>
      <c r="O342" s="15" t="str">
        <f>IFERROR(N342/N444, "NA")</f>
        <v>NA</v>
      </c>
      <c r="P342" s="2"/>
      <c r="Q342" s="14">
        <f>IFERROR(Q337+Q338+Q339+Q340+Q341, "NA")</f>
        <v>0</v>
      </c>
      <c r="R342" s="15" t="str">
        <f>IFERROR(Q342/Q444, "NA")</f>
        <v>NA</v>
      </c>
      <c r="S342" s="2"/>
      <c r="T342" s="14">
        <f>IFERROR(T337+T338+T339+T340+T341, "NA")</f>
        <v>0</v>
      </c>
      <c r="U342" s="15" t="str">
        <f>IFERROR(T342/T444, "NA")</f>
        <v>NA</v>
      </c>
      <c r="V342" s="2"/>
      <c r="W342" s="14">
        <f t="shared" si="86"/>
        <v>0</v>
      </c>
      <c r="X342" s="15" t="str">
        <f>IFERROR(W342/W444, "NA")</f>
        <v>NA</v>
      </c>
      <c r="Y342" s="2"/>
      <c r="Z342" s="14">
        <f>IFERROR(Z337+Z338+Z339+Z340+Z341, "NA")</f>
        <v>0</v>
      </c>
      <c r="AA342" s="15" t="str">
        <f>IFERROR(Z342/Z444, "NA")</f>
        <v>NA</v>
      </c>
      <c r="AB342" s="2"/>
      <c r="AC342" s="14">
        <f t="shared" si="87"/>
        <v>0</v>
      </c>
      <c r="AD342" s="15" t="str">
        <f>IFERROR(AC342/AC444, "NA")</f>
        <v>NA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0</v>
      </c>
      <c r="C343" s="15" t="str">
        <f>IFERROR(B343/B444, "NA")</f>
        <v>NA</v>
      </c>
      <c r="D343" s="2"/>
      <c r="E343" s="14">
        <f>IFERROR(E328+E329+E330+E331+E332+E333+E334+E335+E337+E338+E339+E340+E341, "NA")</f>
        <v>0</v>
      </c>
      <c r="F343" s="15" t="str">
        <f>IFERROR(E343/E444, "NA")</f>
        <v>NA</v>
      </c>
      <c r="G343" s="2"/>
      <c r="H343" s="14">
        <f t="shared" si="84"/>
        <v>0</v>
      </c>
      <c r="I343" s="15" t="str">
        <f>IFERROR(H343/H444, "NA")</f>
        <v>NA</v>
      </c>
      <c r="J343" s="2"/>
      <c r="K343" s="14">
        <f>IFERROR(K328+K329+K330+K331+K332+K333+K334+K335+K337+K338+K339+K340+K341, "NA")</f>
        <v>0</v>
      </c>
      <c r="L343" s="15" t="str">
        <f>IFERROR(K343/K444, "NA")</f>
        <v>NA</v>
      </c>
      <c r="M343" s="2"/>
      <c r="N343" s="14">
        <f t="shared" si="85"/>
        <v>0</v>
      </c>
      <c r="O343" s="15" t="str">
        <f>IFERROR(N343/N444, "NA")</f>
        <v>NA</v>
      </c>
      <c r="P343" s="2"/>
      <c r="Q343" s="14">
        <f>IFERROR(Q328+Q329+Q330+Q331+Q332+Q333+Q334+Q335+Q337+Q338+Q339+Q340+Q341, "NA")</f>
        <v>0</v>
      </c>
      <c r="R343" s="15" t="str">
        <f>IFERROR(Q343/Q444, "NA")</f>
        <v>NA</v>
      </c>
      <c r="S343" s="2"/>
      <c r="T343" s="14">
        <f>IFERROR(T328+T329+T330+T331+T332+T333+T334+T335+T337+T338+T339+T340+T341, "NA")</f>
        <v>0</v>
      </c>
      <c r="U343" s="15" t="str">
        <f>IFERROR(T343/T444, "NA")</f>
        <v>NA</v>
      </c>
      <c r="V343" s="2"/>
      <c r="W343" s="14">
        <f t="shared" si="86"/>
        <v>0</v>
      </c>
      <c r="X343" s="15" t="str">
        <f>IFERROR(W343/W444, "NA")</f>
        <v>NA</v>
      </c>
      <c r="Y343" s="2"/>
      <c r="Z343" s="14">
        <f>IFERROR(Z328+Z329+Z330+Z331+Z332+Z333+Z334+Z335+Z337+Z338+Z339+Z340+Z341, "NA")</f>
        <v>0</v>
      </c>
      <c r="AA343" s="15" t="str">
        <f>IFERROR(Z343/Z444, "NA")</f>
        <v>NA</v>
      </c>
      <c r="AB343" s="2"/>
      <c r="AC343" s="14">
        <f t="shared" si="87"/>
        <v>0</v>
      </c>
      <c r="AD343" s="15" t="str">
        <f>IFERROR(AC343/AC444, "NA")</f>
        <v>NA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0</v>
      </c>
      <c r="C344" s="15" t="str">
        <f>IFERROR(B344/B444, "NA")</f>
        <v>NA</v>
      </c>
      <c r="D344" s="2"/>
      <c r="E344" s="14">
        <f>IFERROR(E328+E329+E330+E331+E332+E333+E334+E335+E337+E338+E339+E340+E341, "NA")</f>
        <v>0</v>
      </c>
      <c r="F344" s="15" t="str">
        <f>IFERROR(E344/E444, "NA")</f>
        <v>NA</v>
      </c>
      <c r="G344" s="2"/>
      <c r="H344" s="14">
        <f t="shared" si="84"/>
        <v>0</v>
      </c>
      <c r="I344" s="15" t="str">
        <f>IFERROR(H344/H444, "NA")</f>
        <v>NA</v>
      </c>
      <c r="J344" s="2"/>
      <c r="K344" s="14">
        <f>IFERROR(K328+K329+K330+K331+K332+K333+K334+K335+K337+K338+K339+K340+K341, "NA")</f>
        <v>0</v>
      </c>
      <c r="L344" s="15" t="str">
        <f>IFERROR(K344/K444, "NA")</f>
        <v>NA</v>
      </c>
      <c r="M344" s="2"/>
      <c r="N344" s="14">
        <f t="shared" si="85"/>
        <v>0</v>
      </c>
      <c r="O344" s="15" t="str">
        <f>IFERROR(N344/N444, "NA")</f>
        <v>NA</v>
      </c>
      <c r="P344" s="2"/>
      <c r="Q344" s="14">
        <f>IFERROR(Q328+Q329+Q330+Q331+Q332+Q333+Q334+Q335+Q337+Q338+Q339+Q340+Q341, "NA")</f>
        <v>0</v>
      </c>
      <c r="R344" s="15" t="str">
        <f>IFERROR(Q344/Q444, "NA")</f>
        <v>NA</v>
      </c>
      <c r="S344" s="2"/>
      <c r="T344" s="14">
        <f>IFERROR(T328+T329+T330+T331+T332+T333+T334+T335+T337+T338+T339+T340+T341, "NA")</f>
        <v>0</v>
      </c>
      <c r="U344" s="15" t="str">
        <f>IFERROR(T344/T444, "NA")</f>
        <v>NA</v>
      </c>
      <c r="V344" s="2"/>
      <c r="W344" s="14">
        <f t="shared" si="86"/>
        <v>0</v>
      </c>
      <c r="X344" s="15" t="str">
        <f>IFERROR(W344/W444, "NA")</f>
        <v>NA</v>
      </c>
      <c r="Y344" s="2"/>
      <c r="Z344" s="14">
        <f>IFERROR(Z328+Z329+Z330+Z331+Z332+Z333+Z334+Z335+Z337+Z338+Z339+Z340+Z341, "NA")</f>
        <v>0</v>
      </c>
      <c r="AA344" s="15" t="str">
        <f>IFERROR(Z344/Z444, "NA")</f>
        <v>NA</v>
      </c>
      <c r="AB344" s="2"/>
      <c r="AC344" s="14">
        <f t="shared" si="87"/>
        <v>0</v>
      </c>
      <c r="AD344" s="15" t="str">
        <f>IFERROR(AC344/AC444, "NA")</f>
        <v>NA</v>
      </c>
    </row>
    <row r="345" spans="1:30" ht="16.5" customHeight="1" x14ac:dyDescent="0.45">
      <c r="A345" s="22" t="s">
        <v>315</v>
      </c>
      <c r="B345" s="23">
        <f>IFERROR(B198-B325-B344, "NA")</f>
        <v>0</v>
      </c>
      <c r="C345" s="24" t="str">
        <f>IFERROR(B345/B444, "NA")</f>
        <v>NA</v>
      </c>
      <c r="D345" s="25"/>
      <c r="E345" s="23">
        <f>IFERROR(E198-E325-E344, "NA")</f>
        <v>0</v>
      </c>
      <c r="F345" s="24" t="str">
        <f>IFERROR(E345/E444, "NA")</f>
        <v>NA</v>
      </c>
      <c r="G345" s="25"/>
      <c r="H345" s="23">
        <f>IFERROR(B345-E345, "NA")</f>
        <v>0</v>
      </c>
      <c r="I345" s="24" t="str">
        <f>IFERROR(H345/H444, "NA")</f>
        <v>NA</v>
      </c>
      <c r="J345" s="25"/>
      <c r="K345" s="23">
        <f>IFERROR(K198-K325-K344, "NA")</f>
        <v>0</v>
      </c>
      <c r="L345" s="24" t="str">
        <f>IFERROR(K345/K444, "NA")</f>
        <v>NA</v>
      </c>
      <c r="M345" s="25"/>
      <c r="N345" s="23">
        <f>IFERROR(B345-K345, "NA")</f>
        <v>0</v>
      </c>
      <c r="O345" s="24" t="str">
        <f>IFERROR(N345/N444, "NA")</f>
        <v>NA</v>
      </c>
      <c r="P345" s="25"/>
      <c r="Q345" s="23">
        <f>IFERROR(Q198-Q325-Q344, "NA")</f>
        <v>0</v>
      </c>
      <c r="R345" s="24" t="str">
        <f>IFERROR(Q345/Q444, "NA")</f>
        <v>NA</v>
      </c>
      <c r="S345" s="25"/>
      <c r="T345" s="23">
        <f>IFERROR(T198-T325-T344, "NA")</f>
        <v>0</v>
      </c>
      <c r="U345" s="24" t="str">
        <f>IFERROR(T345/T444, "NA")</f>
        <v>NA</v>
      </c>
      <c r="V345" s="25"/>
      <c r="W345" s="23">
        <f>IFERROR(Q345-T345, "NA")</f>
        <v>0</v>
      </c>
      <c r="X345" s="24" t="str">
        <f>IFERROR(W345/W444, "NA")</f>
        <v>NA</v>
      </c>
      <c r="Y345" s="25"/>
      <c r="Z345" s="23">
        <f>IFERROR(Z198-Z325-Z344, "NA")</f>
        <v>0</v>
      </c>
      <c r="AA345" s="24" t="str">
        <f>IFERROR(Z345/Z444, "NA")</f>
        <v>NA</v>
      </c>
      <c r="AB345" s="25"/>
      <c r="AC345" s="23">
        <f>IFERROR(Q345-Z345, "NA")</f>
        <v>0</v>
      </c>
      <c r="AD345" s="24" t="str">
        <f>IFERROR(AC345/AC444, "NA")</f>
        <v>NA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 t="str">
        <f>IFERROR(B347/B444, "NA")</f>
        <v>NA</v>
      </c>
      <c r="D347" s="9"/>
      <c r="E347" s="7">
        <v>0</v>
      </c>
      <c r="F347" s="8" t="str">
        <f>IFERROR(E347/E444, "NA")</f>
        <v>NA</v>
      </c>
      <c r="G347" s="9"/>
      <c r="H347" s="10">
        <f>IFERROR(-(B347-E347), "NA")</f>
        <v>0</v>
      </c>
      <c r="I347" s="8" t="str">
        <f>IFERROR(H347/H444, "NA")</f>
        <v>NA</v>
      </c>
      <c r="J347" s="9"/>
      <c r="K347" s="7">
        <v>0</v>
      </c>
      <c r="L347" s="8" t="str">
        <f>IFERROR(K347/K444, "NA")</f>
        <v>NA</v>
      </c>
      <c r="M347" s="9"/>
      <c r="N347" s="10">
        <f>IFERROR(-(B347-K347), "NA")</f>
        <v>0</v>
      </c>
      <c r="O347" s="8" t="str">
        <f>IFERROR(N347/N444, "NA")</f>
        <v>NA</v>
      </c>
      <c r="P347" s="9"/>
      <c r="Q347" s="7">
        <v>0</v>
      </c>
      <c r="R347" s="8" t="str">
        <f>IFERROR(Q347/Q444, "NA")</f>
        <v>NA</v>
      </c>
      <c r="S347" s="9"/>
      <c r="T347" s="7">
        <v>0</v>
      </c>
      <c r="U347" s="8" t="str">
        <f>IFERROR(T347/T444, "NA")</f>
        <v>NA</v>
      </c>
      <c r="V347" s="9"/>
      <c r="W347" s="10">
        <f>IFERROR(-(Q347-T347), "NA")</f>
        <v>0</v>
      </c>
      <c r="X347" s="8" t="str">
        <f>IFERROR(W347/W444, "NA")</f>
        <v>NA</v>
      </c>
      <c r="Y347" s="9"/>
      <c r="Z347" s="7">
        <v>0</v>
      </c>
      <c r="AA347" s="8" t="str">
        <f>IFERROR(Z347/Z444, "NA")</f>
        <v>NA</v>
      </c>
      <c r="AB347" s="9"/>
      <c r="AC347" s="10">
        <f>IFERROR(-(Q347-Z347), "NA")</f>
        <v>0</v>
      </c>
      <c r="AD347" s="8" t="str">
        <f>IFERROR(AC347/AC444, "NA")</f>
        <v>NA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 t="str">
        <f>IFERROR(B349/B444, "NA")</f>
        <v>NA</v>
      </c>
      <c r="D349" s="9"/>
      <c r="E349" s="7">
        <v>0</v>
      </c>
      <c r="F349" s="8" t="str">
        <f>IFERROR(E349/E444, "NA")</f>
        <v>NA</v>
      </c>
      <c r="G349" s="9"/>
      <c r="H349" s="10">
        <f t="shared" ref="H349:H358" si="88">IFERROR(-(B349-E349), "NA")</f>
        <v>0</v>
      </c>
      <c r="I349" s="8" t="str">
        <f>IFERROR(H349/H444, "NA")</f>
        <v>NA</v>
      </c>
      <c r="J349" s="9"/>
      <c r="K349" s="7">
        <v>0</v>
      </c>
      <c r="L349" s="8" t="str">
        <f>IFERROR(K349/K444, "NA")</f>
        <v>NA</v>
      </c>
      <c r="M349" s="9"/>
      <c r="N349" s="10">
        <f t="shared" ref="N349:N358" si="89">IFERROR(-(B349-K349), "NA")</f>
        <v>0</v>
      </c>
      <c r="O349" s="8" t="str">
        <f>IFERROR(N349/N444, "NA")</f>
        <v>NA</v>
      </c>
      <c r="P349" s="9"/>
      <c r="Q349" s="7">
        <v>0</v>
      </c>
      <c r="R349" s="8" t="str">
        <f>IFERROR(Q349/Q444, "NA")</f>
        <v>NA</v>
      </c>
      <c r="S349" s="9"/>
      <c r="T349" s="7">
        <v>0</v>
      </c>
      <c r="U349" s="8" t="str">
        <f>IFERROR(T349/T444, "NA")</f>
        <v>NA</v>
      </c>
      <c r="V349" s="9"/>
      <c r="W349" s="10">
        <f t="shared" ref="W349:W358" si="90">IFERROR(-(Q349-T349), "NA")</f>
        <v>0</v>
      </c>
      <c r="X349" s="8" t="str">
        <f>IFERROR(W349/W444, "NA")</f>
        <v>NA</v>
      </c>
      <c r="Y349" s="9"/>
      <c r="Z349" s="7">
        <v>0</v>
      </c>
      <c r="AA349" s="8" t="str">
        <f>IFERROR(Z349/Z444, "NA")</f>
        <v>NA</v>
      </c>
      <c r="AB349" s="9"/>
      <c r="AC349" s="10">
        <f t="shared" ref="AC349:AC358" si="91">IFERROR(-(Q349-Z349), "NA")</f>
        <v>0</v>
      </c>
      <c r="AD349" s="8" t="str">
        <f>IFERROR(AC349/AC444, "NA")</f>
        <v>NA</v>
      </c>
    </row>
    <row r="350" spans="1:30" ht="16.5" customHeight="1" x14ac:dyDescent="0.45">
      <c r="A350" s="6" t="s">
        <v>319</v>
      </c>
      <c r="B350" s="7">
        <v>41182.639999999999</v>
      </c>
      <c r="C350" s="8" t="str">
        <f>IFERROR(B350/B444, "NA")</f>
        <v>NA</v>
      </c>
      <c r="D350" s="9"/>
      <c r="E350" s="7">
        <v>62115</v>
      </c>
      <c r="F350" s="8" t="str">
        <f>IFERROR(E350/E444, "NA")</f>
        <v>NA</v>
      </c>
      <c r="G350" s="9"/>
      <c r="H350" s="10">
        <f t="shared" si="88"/>
        <v>20932.36</v>
      </c>
      <c r="I350" s="8" t="str">
        <f>IFERROR(H350/H444, "NA")</f>
        <v>NA</v>
      </c>
      <c r="J350" s="9"/>
      <c r="K350" s="7">
        <v>47249.96</v>
      </c>
      <c r="L350" s="8" t="str">
        <f>IFERROR(K350/K444, "NA")</f>
        <v>NA</v>
      </c>
      <c r="M350" s="9"/>
      <c r="N350" s="10">
        <f t="shared" si="89"/>
        <v>6067.32</v>
      </c>
      <c r="O350" s="8" t="str">
        <f>IFERROR(N350/N444, "NA")</f>
        <v>NA</v>
      </c>
      <c r="P350" s="9"/>
      <c r="Q350" s="7">
        <v>262612.25</v>
      </c>
      <c r="R350" s="8" t="str">
        <f>IFERROR(Q350/Q444, "NA")</f>
        <v>NA</v>
      </c>
      <c r="S350" s="9"/>
      <c r="T350" s="7">
        <v>318797</v>
      </c>
      <c r="U350" s="8" t="str">
        <f>IFERROR(T350/T444, "NA")</f>
        <v>NA</v>
      </c>
      <c r="V350" s="9"/>
      <c r="W350" s="10">
        <f t="shared" si="90"/>
        <v>56184.75</v>
      </c>
      <c r="X350" s="8" t="str">
        <f>IFERROR(W350/W444, "NA")</f>
        <v>NA</v>
      </c>
      <c r="Y350" s="9"/>
      <c r="Z350" s="7">
        <v>267378.34000000003</v>
      </c>
      <c r="AA350" s="8" t="str">
        <f>IFERROR(Z350/Z444, "NA")</f>
        <v>NA</v>
      </c>
      <c r="AB350" s="9"/>
      <c r="AC350" s="10">
        <f t="shared" si="91"/>
        <v>4766.0900000000256</v>
      </c>
      <c r="AD350" s="8" t="str">
        <f>IFERROR(AC350/AC444, "NA")</f>
        <v>NA</v>
      </c>
    </row>
    <row r="351" spans="1:30" ht="16.5" hidden="1" customHeight="1" x14ac:dyDescent="0.45">
      <c r="A351" s="6" t="s">
        <v>320</v>
      </c>
      <c r="B351" s="7">
        <v>0</v>
      </c>
      <c r="C351" s="8" t="str">
        <f>IFERROR(B351/B444, "NA")</f>
        <v>NA</v>
      </c>
      <c r="D351" s="9"/>
      <c r="E351" s="7">
        <v>0</v>
      </c>
      <c r="F351" s="8" t="str">
        <f>IFERROR(E351/E444, "NA")</f>
        <v>NA</v>
      </c>
      <c r="G351" s="9"/>
      <c r="H351" s="10">
        <f t="shared" si="88"/>
        <v>0</v>
      </c>
      <c r="I351" s="8" t="str">
        <f>IFERROR(H351/H444, "NA")</f>
        <v>NA</v>
      </c>
      <c r="J351" s="9"/>
      <c r="K351" s="7">
        <v>0</v>
      </c>
      <c r="L351" s="8" t="str">
        <f>IFERROR(K351/K444, "NA")</f>
        <v>NA</v>
      </c>
      <c r="M351" s="9"/>
      <c r="N351" s="10">
        <f t="shared" si="89"/>
        <v>0</v>
      </c>
      <c r="O351" s="8" t="str">
        <f>IFERROR(N351/N444, "NA")</f>
        <v>NA</v>
      </c>
      <c r="P351" s="9"/>
      <c r="Q351" s="7">
        <v>0</v>
      </c>
      <c r="R351" s="8" t="str">
        <f>IFERROR(Q351/Q444, "NA")</f>
        <v>NA</v>
      </c>
      <c r="S351" s="9"/>
      <c r="T351" s="7">
        <v>0</v>
      </c>
      <c r="U351" s="8" t="str">
        <f>IFERROR(T351/T444, "NA")</f>
        <v>NA</v>
      </c>
      <c r="V351" s="9"/>
      <c r="W351" s="10">
        <f t="shared" si="90"/>
        <v>0</v>
      </c>
      <c r="X351" s="8" t="str">
        <f>IFERROR(W351/W444, "NA")</f>
        <v>NA</v>
      </c>
      <c r="Y351" s="9"/>
      <c r="Z351" s="7">
        <v>0</v>
      </c>
      <c r="AA351" s="8" t="str">
        <f>IFERROR(Z351/Z444, "NA")</f>
        <v>NA</v>
      </c>
      <c r="AB351" s="9"/>
      <c r="AC351" s="10">
        <f t="shared" si="91"/>
        <v>0</v>
      </c>
      <c r="AD351" s="8" t="str">
        <f>IFERROR(AC351/AC444, "NA")</f>
        <v>NA</v>
      </c>
    </row>
    <row r="352" spans="1:30" ht="16.5" customHeight="1" x14ac:dyDescent="0.45">
      <c r="A352" s="6" t="s">
        <v>321</v>
      </c>
      <c r="B352" s="7">
        <v>0</v>
      </c>
      <c r="C352" s="8" t="str">
        <f>IFERROR(B352/B444, "NA")</f>
        <v>NA</v>
      </c>
      <c r="D352" s="9"/>
      <c r="E352" s="7">
        <v>0</v>
      </c>
      <c r="F352" s="8" t="str">
        <f>IFERROR(E352/E444, "NA")</f>
        <v>NA</v>
      </c>
      <c r="G352" s="9"/>
      <c r="H352" s="10">
        <f t="shared" si="88"/>
        <v>0</v>
      </c>
      <c r="I352" s="8" t="str">
        <f>IFERROR(H352/H444, "NA")</f>
        <v>NA</v>
      </c>
      <c r="J352" s="9"/>
      <c r="K352" s="7">
        <v>10576.93</v>
      </c>
      <c r="L352" s="8" t="str">
        <f>IFERROR(K352/K444, "NA")</f>
        <v>NA</v>
      </c>
      <c r="M352" s="9"/>
      <c r="N352" s="10">
        <f t="shared" si="89"/>
        <v>10576.93</v>
      </c>
      <c r="O352" s="8" t="str">
        <f>IFERROR(N352/N444, "NA")</f>
        <v>NA</v>
      </c>
      <c r="P352" s="9"/>
      <c r="Q352" s="7">
        <v>0</v>
      </c>
      <c r="R352" s="8" t="str">
        <f>IFERROR(Q352/Q444, "NA")</f>
        <v>NA</v>
      </c>
      <c r="S352" s="9"/>
      <c r="T352" s="7">
        <v>12375</v>
      </c>
      <c r="U352" s="8" t="str">
        <f>IFERROR(T352/T444, "NA")</f>
        <v>NA</v>
      </c>
      <c r="V352" s="9"/>
      <c r="W352" s="10">
        <f t="shared" si="90"/>
        <v>12375</v>
      </c>
      <c r="X352" s="8" t="str">
        <f>IFERROR(W352/W444, "NA")</f>
        <v>NA</v>
      </c>
      <c r="Y352" s="9"/>
      <c r="Z352" s="7">
        <v>46346.18</v>
      </c>
      <c r="AA352" s="8" t="str">
        <f>IFERROR(Z352/Z444, "NA")</f>
        <v>NA</v>
      </c>
      <c r="AB352" s="9"/>
      <c r="AC352" s="10">
        <f t="shared" si="91"/>
        <v>46346.18</v>
      </c>
      <c r="AD352" s="8" t="str">
        <f>IFERROR(AC352/AC444, "NA")</f>
        <v>NA</v>
      </c>
    </row>
    <row r="353" spans="1:30" ht="16.5" customHeight="1" x14ac:dyDescent="0.45">
      <c r="A353" s="6" t="s">
        <v>322</v>
      </c>
      <c r="B353" s="7">
        <v>0</v>
      </c>
      <c r="C353" s="8" t="str">
        <f>IFERROR(B353/B444, "NA")</f>
        <v>NA</v>
      </c>
      <c r="D353" s="9"/>
      <c r="E353" s="7">
        <v>5483.6</v>
      </c>
      <c r="F353" s="8" t="str">
        <f>IFERROR(E353/E444, "NA")</f>
        <v>NA</v>
      </c>
      <c r="G353" s="9"/>
      <c r="H353" s="10">
        <f t="shared" si="88"/>
        <v>5483.6</v>
      </c>
      <c r="I353" s="8" t="str">
        <f>IFERROR(H353/H444, "NA")</f>
        <v>NA</v>
      </c>
      <c r="J353" s="9"/>
      <c r="K353" s="7">
        <v>0</v>
      </c>
      <c r="L353" s="8" t="str">
        <f>IFERROR(K353/K444, "NA")</f>
        <v>NA</v>
      </c>
      <c r="M353" s="9"/>
      <c r="N353" s="10">
        <f t="shared" si="89"/>
        <v>0</v>
      </c>
      <c r="O353" s="8" t="str">
        <f>IFERROR(N353/N444, "NA")</f>
        <v>NA</v>
      </c>
      <c r="P353" s="9"/>
      <c r="Q353" s="7">
        <v>6774.8</v>
      </c>
      <c r="R353" s="8" t="str">
        <f>IFERROR(Q353/Q444, "NA")</f>
        <v>NA</v>
      </c>
      <c r="S353" s="9"/>
      <c r="T353" s="7">
        <v>23712.21</v>
      </c>
      <c r="U353" s="8" t="str">
        <f>IFERROR(T353/T444, "NA")</f>
        <v>NA</v>
      </c>
      <c r="V353" s="9"/>
      <c r="W353" s="10">
        <f t="shared" si="90"/>
        <v>16937.41</v>
      </c>
      <c r="X353" s="8" t="str">
        <f>IFERROR(W353/W444, "NA")</f>
        <v>NA</v>
      </c>
      <c r="Y353" s="9"/>
      <c r="Z353" s="7">
        <v>0</v>
      </c>
      <c r="AA353" s="8" t="str">
        <f>IFERROR(Z353/Z444, "NA")</f>
        <v>NA</v>
      </c>
      <c r="AB353" s="9"/>
      <c r="AC353" s="10">
        <f t="shared" si="91"/>
        <v>-6774.8</v>
      </c>
      <c r="AD353" s="8" t="str">
        <f>IFERROR(AC353/AC444, "NA")</f>
        <v>NA</v>
      </c>
    </row>
    <row r="354" spans="1:30" ht="16.5" customHeight="1" x14ac:dyDescent="0.45">
      <c r="A354" s="6" t="s">
        <v>323</v>
      </c>
      <c r="B354" s="7">
        <v>3454.45</v>
      </c>
      <c r="C354" s="8" t="str">
        <f>IFERROR(B354/B444, "NA")</f>
        <v>NA</v>
      </c>
      <c r="D354" s="9"/>
      <c r="E354" s="7">
        <v>4654.5200000000004</v>
      </c>
      <c r="F354" s="8" t="str">
        <f>IFERROR(E354/E444, "NA")</f>
        <v>NA</v>
      </c>
      <c r="G354" s="9"/>
      <c r="H354" s="10">
        <f t="shared" si="88"/>
        <v>1200.0700000000006</v>
      </c>
      <c r="I354" s="8" t="str">
        <f>IFERROR(H354/H444, "NA")</f>
        <v>NA</v>
      </c>
      <c r="J354" s="9"/>
      <c r="K354" s="7">
        <v>4835.63</v>
      </c>
      <c r="L354" s="8" t="str">
        <f>IFERROR(K354/K444, "NA")</f>
        <v>NA</v>
      </c>
      <c r="M354" s="9"/>
      <c r="N354" s="10">
        <f t="shared" si="89"/>
        <v>1381.1800000000003</v>
      </c>
      <c r="O354" s="8" t="str">
        <f>IFERROR(N354/N444, "NA")</f>
        <v>NA</v>
      </c>
      <c r="P354" s="9"/>
      <c r="Q354" s="7">
        <v>23661.43</v>
      </c>
      <c r="R354" s="8" t="str">
        <f>IFERROR(Q354/Q444, "NA")</f>
        <v>NA</v>
      </c>
      <c r="S354" s="9"/>
      <c r="T354" s="7">
        <v>28362.639999999999</v>
      </c>
      <c r="U354" s="8" t="str">
        <f>IFERROR(T354/T444, "NA")</f>
        <v>NA</v>
      </c>
      <c r="V354" s="9"/>
      <c r="W354" s="10">
        <f t="shared" si="90"/>
        <v>4701.2099999999991</v>
      </c>
      <c r="X354" s="8" t="str">
        <f>IFERROR(W354/W444, "NA")</f>
        <v>NA</v>
      </c>
      <c r="Y354" s="9"/>
      <c r="Z354" s="7">
        <v>24719.3</v>
      </c>
      <c r="AA354" s="8" t="str">
        <f>IFERROR(Z354/Z444, "NA")</f>
        <v>NA</v>
      </c>
      <c r="AB354" s="9"/>
      <c r="AC354" s="10">
        <f t="shared" si="91"/>
        <v>1057.869999999999</v>
      </c>
      <c r="AD354" s="8" t="str">
        <f>IFERROR(AC354/AC444, "NA")</f>
        <v>NA</v>
      </c>
    </row>
    <row r="355" spans="1:30" ht="16.5" customHeight="1" x14ac:dyDescent="0.45">
      <c r="A355" s="6" t="s">
        <v>324</v>
      </c>
      <c r="B355" s="7">
        <v>212</v>
      </c>
      <c r="C355" s="8" t="str">
        <f>IFERROR(B355/B444, "NA")</f>
        <v>NA</v>
      </c>
      <c r="D355" s="9"/>
      <c r="E355" s="7">
        <v>280</v>
      </c>
      <c r="F355" s="8" t="str">
        <f>IFERROR(E355/E444, "NA")</f>
        <v>NA</v>
      </c>
      <c r="G355" s="9"/>
      <c r="H355" s="10">
        <f t="shared" si="88"/>
        <v>68</v>
      </c>
      <c r="I355" s="8" t="str">
        <f>IFERROR(H355/H444, "NA")</f>
        <v>NA</v>
      </c>
      <c r="J355" s="9"/>
      <c r="K355" s="7">
        <v>254.4</v>
      </c>
      <c r="L355" s="8" t="str">
        <f>IFERROR(K355/K444, "NA")</f>
        <v>NA</v>
      </c>
      <c r="M355" s="9"/>
      <c r="N355" s="10">
        <f t="shared" si="89"/>
        <v>42.400000000000006</v>
      </c>
      <c r="O355" s="8" t="str">
        <f>IFERROR(N355/N444, "NA")</f>
        <v>NA</v>
      </c>
      <c r="P355" s="9"/>
      <c r="Q355" s="7">
        <v>1219</v>
      </c>
      <c r="R355" s="8" t="str">
        <f>IFERROR(Q355/Q444, "NA")</f>
        <v>NA</v>
      </c>
      <c r="S355" s="9"/>
      <c r="T355" s="7">
        <v>1470</v>
      </c>
      <c r="U355" s="8" t="str">
        <f>IFERROR(T355/T444, "NA")</f>
        <v>NA</v>
      </c>
      <c r="V355" s="9"/>
      <c r="W355" s="10">
        <f t="shared" si="90"/>
        <v>251</v>
      </c>
      <c r="X355" s="8" t="str">
        <f>IFERROR(W355/W444, "NA")</f>
        <v>NA</v>
      </c>
      <c r="Y355" s="9"/>
      <c r="Z355" s="7">
        <v>1030.32</v>
      </c>
      <c r="AA355" s="8" t="str">
        <f>IFERROR(Z355/Z444, "NA")</f>
        <v>NA</v>
      </c>
      <c r="AB355" s="9"/>
      <c r="AC355" s="10">
        <f t="shared" si="91"/>
        <v>-188.68000000000006</v>
      </c>
      <c r="AD355" s="8" t="str">
        <f>IFERROR(AC355/AC444, "NA")</f>
        <v>NA</v>
      </c>
    </row>
    <row r="356" spans="1:30" ht="16.5" customHeight="1" x14ac:dyDescent="0.45">
      <c r="A356" s="6" t="s">
        <v>325</v>
      </c>
      <c r="B356" s="7">
        <v>6687.5</v>
      </c>
      <c r="C356" s="8" t="str">
        <f>IFERROR(B356/B444, "NA")</f>
        <v>NA</v>
      </c>
      <c r="D356" s="9"/>
      <c r="E356" s="7">
        <v>6187.5</v>
      </c>
      <c r="F356" s="8" t="str">
        <f>IFERROR(E356/E444, "NA")</f>
        <v>NA</v>
      </c>
      <c r="G356" s="9"/>
      <c r="H356" s="10">
        <f t="shared" si="88"/>
        <v>-500</v>
      </c>
      <c r="I356" s="8" t="str">
        <f>IFERROR(H356/H444, "NA")</f>
        <v>NA</v>
      </c>
      <c r="J356" s="9"/>
      <c r="K356" s="7">
        <v>10000</v>
      </c>
      <c r="L356" s="8" t="str">
        <f>IFERROR(K356/K444, "NA")</f>
        <v>NA</v>
      </c>
      <c r="M356" s="9"/>
      <c r="N356" s="10">
        <f t="shared" si="89"/>
        <v>3312.5</v>
      </c>
      <c r="O356" s="8" t="str">
        <f>IFERROR(N356/N444, "NA")</f>
        <v>NA</v>
      </c>
      <c r="P356" s="9"/>
      <c r="Q356" s="7">
        <v>34050</v>
      </c>
      <c r="R356" s="8" t="str">
        <f>IFERROR(Q356/Q444, "NA")</f>
        <v>NA</v>
      </c>
      <c r="S356" s="9"/>
      <c r="T356" s="7">
        <v>30937.5</v>
      </c>
      <c r="U356" s="8" t="str">
        <f>IFERROR(T356/T444, "NA")</f>
        <v>NA</v>
      </c>
      <c r="V356" s="9"/>
      <c r="W356" s="10">
        <f t="shared" si="90"/>
        <v>-3112.5</v>
      </c>
      <c r="X356" s="8" t="str">
        <f>IFERROR(W356/W444, "NA")</f>
        <v>NA</v>
      </c>
      <c r="Y356" s="9"/>
      <c r="Z356" s="7">
        <v>11800</v>
      </c>
      <c r="AA356" s="8" t="str">
        <f>IFERROR(Z356/Z444, "NA")</f>
        <v>NA</v>
      </c>
      <c r="AB356" s="9"/>
      <c r="AC356" s="10">
        <f t="shared" si="91"/>
        <v>-22250</v>
      </c>
      <c r="AD356" s="8" t="str">
        <f>IFERROR(AC356/AC444, "NA")</f>
        <v>NA</v>
      </c>
    </row>
    <row r="357" spans="1:30" ht="16.5" customHeight="1" x14ac:dyDescent="0.45">
      <c r="A357" s="6" t="s">
        <v>326</v>
      </c>
      <c r="B357" s="7">
        <v>3674.43</v>
      </c>
      <c r="C357" s="8" t="str">
        <f>IFERROR(B357/B444, "NA")</f>
        <v>NA</v>
      </c>
      <c r="D357" s="9"/>
      <c r="E357" s="7">
        <v>2546.7199999999998</v>
      </c>
      <c r="F357" s="8" t="str">
        <f>IFERROR(E357/E444, "NA")</f>
        <v>NA</v>
      </c>
      <c r="G357" s="9"/>
      <c r="H357" s="10">
        <f t="shared" si="88"/>
        <v>-1127.71</v>
      </c>
      <c r="I357" s="8" t="str">
        <f>IFERROR(H357/H444, "NA")</f>
        <v>NA</v>
      </c>
      <c r="J357" s="9"/>
      <c r="K357" s="7">
        <v>2976.76</v>
      </c>
      <c r="L357" s="8" t="str">
        <f>IFERROR(K357/K444, "NA")</f>
        <v>NA</v>
      </c>
      <c r="M357" s="9"/>
      <c r="N357" s="10">
        <f t="shared" si="89"/>
        <v>-697.66999999999962</v>
      </c>
      <c r="O357" s="8" t="str">
        <f>IFERROR(N357/N444, "NA")</f>
        <v>NA</v>
      </c>
      <c r="P357" s="9"/>
      <c r="Q357" s="7">
        <v>17505.03</v>
      </c>
      <c r="R357" s="8" t="str">
        <f>IFERROR(Q357/Q444, "NA")</f>
        <v>NA</v>
      </c>
      <c r="S357" s="9"/>
      <c r="T357" s="7">
        <v>13070.68</v>
      </c>
      <c r="U357" s="8" t="str">
        <f>IFERROR(T357/T444, "NA")</f>
        <v>NA</v>
      </c>
      <c r="V357" s="9"/>
      <c r="W357" s="10">
        <f t="shared" si="90"/>
        <v>-4434.3499999999985</v>
      </c>
      <c r="X357" s="8" t="str">
        <f>IFERROR(W357/W444, "NA")</f>
        <v>NA</v>
      </c>
      <c r="Y357" s="9"/>
      <c r="Z357" s="7">
        <v>11965.25</v>
      </c>
      <c r="AA357" s="8" t="str">
        <f>IFERROR(Z357/Z444, "NA")</f>
        <v>NA</v>
      </c>
      <c r="AB357" s="9"/>
      <c r="AC357" s="10">
        <f t="shared" si="91"/>
        <v>-5539.7799999999988</v>
      </c>
      <c r="AD357" s="8" t="str">
        <f>IFERROR(AC357/AC444, "NA")</f>
        <v>NA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55211.02</v>
      </c>
      <c r="C358" s="15" t="str">
        <f>IFERROR(B358/B444, "NA")</f>
        <v>NA</v>
      </c>
      <c r="D358" s="2"/>
      <c r="E358" s="14">
        <f>IFERROR(E349+E350+E351+E352+E353+E354+E355+E356+E357, "NA")</f>
        <v>81267.340000000011</v>
      </c>
      <c r="F358" s="15" t="str">
        <f>IFERROR(E358/E444, "NA")</f>
        <v>NA</v>
      </c>
      <c r="G358" s="2"/>
      <c r="H358" s="14">
        <f t="shared" si="88"/>
        <v>26056.320000000014</v>
      </c>
      <c r="I358" s="15" t="str">
        <f>IFERROR(H358/H444, "NA")</f>
        <v>NA</v>
      </c>
      <c r="J358" s="2"/>
      <c r="K358" s="14">
        <f>IFERROR(K349+K350+K351+K352+K353+K354+K355+K356+K357, "NA")</f>
        <v>75893.679999999993</v>
      </c>
      <c r="L358" s="15" t="str">
        <f>IFERROR(K358/K444, "NA")</f>
        <v>NA</v>
      </c>
      <c r="M358" s="2"/>
      <c r="N358" s="14">
        <f t="shared" si="89"/>
        <v>20682.659999999996</v>
      </c>
      <c r="O358" s="15" t="str">
        <f>IFERROR(N358/N444, "NA")</f>
        <v>NA</v>
      </c>
      <c r="P358" s="2"/>
      <c r="Q358" s="14">
        <f>IFERROR(Q349+Q350+Q351+Q352+Q353+Q354+Q355+Q356+Q357, "NA")</f>
        <v>345822.51</v>
      </c>
      <c r="R358" s="15" t="str">
        <f>IFERROR(Q358/Q444, "NA")</f>
        <v>NA</v>
      </c>
      <c r="S358" s="2"/>
      <c r="T358" s="14">
        <f>IFERROR(T349+T350+T351+T352+T353+T354+T355+T356+T357, "NA")</f>
        <v>428725.03</v>
      </c>
      <c r="U358" s="15" t="str">
        <f>IFERROR(T358/T444, "NA")</f>
        <v>NA</v>
      </c>
      <c r="V358" s="2"/>
      <c r="W358" s="14">
        <f t="shared" si="90"/>
        <v>82902.520000000019</v>
      </c>
      <c r="X358" s="15" t="str">
        <f>IFERROR(W358/W444, "NA")</f>
        <v>NA</v>
      </c>
      <c r="Y358" s="2"/>
      <c r="Z358" s="14">
        <f>IFERROR(Z349+Z350+Z351+Z352+Z353+Z354+Z355+Z356+Z357, "NA")</f>
        <v>363239.39</v>
      </c>
      <c r="AA358" s="15" t="str">
        <f>IFERROR(Z358/Z444, "NA")</f>
        <v>NA</v>
      </c>
      <c r="AB358" s="2"/>
      <c r="AC358" s="14">
        <f t="shared" si="91"/>
        <v>17416.880000000005</v>
      </c>
      <c r="AD358" s="15" t="str">
        <f>IFERROR(AC358/AC444, "NA")</f>
        <v>NA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customHeight="1" x14ac:dyDescent="0.45">
      <c r="A360" s="6" t="s">
        <v>328</v>
      </c>
      <c r="B360" s="7">
        <v>0</v>
      </c>
      <c r="C360" s="8" t="str">
        <f>IFERROR(B360/B444, "NA")</f>
        <v>NA</v>
      </c>
      <c r="D360" s="9"/>
      <c r="E360" s="7">
        <v>1500</v>
      </c>
      <c r="F360" s="8" t="str">
        <f>IFERROR(E360/E444, "NA")</f>
        <v>NA</v>
      </c>
      <c r="G360" s="9"/>
      <c r="H360" s="10">
        <f t="shared" ref="H360:H383" si="92">IFERROR(-(B360-E360), "NA")</f>
        <v>1500</v>
      </c>
      <c r="I360" s="8" t="str">
        <f>IFERROR(H360/H444, "NA")</f>
        <v>NA</v>
      </c>
      <c r="J360" s="9"/>
      <c r="K360" s="7">
        <v>0</v>
      </c>
      <c r="L360" s="8" t="str">
        <f>IFERROR(K360/K444, "NA")</f>
        <v>NA</v>
      </c>
      <c r="M360" s="9"/>
      <c r="N360" s="10">
        <f t="shared" ref="N360:N383" si="93">IFERROR(-(B360-K360), "NA")</f>
        <v>0</v>
      </c>
      <c r="O360" s="8" t="str">
        <f>IFERROR(N360/N444, "NA")</f>
        <v>NA</v>
      </c>
      <c r="P360" s="9"/>
      <c r="Q360" s="7">
        <v>0</v>
      </c>
      <c r="R360" s="8" t="str">
        <f>IFERROR(Q360/Q444, "NA")</f>
        <v>NA</v>
      </c>
      <c r="S360" s="9"/>
      <c r="T360" s="7">
        <v>7000</v>
      </c>
      <c r="U360" s="8" t="str">
        <f>IFERROR(T360/T444, "NA")</f>
        <v>NA</v>
      </c>
      <c r="V360" s="9"/>
      <c r="W360" s="10">
        <f t="shared" ref="W360:W383" si="94">IFERROR(-(Q360-T360), "NA")</f>
        <v>7000</v>
      </c>
      <c r="X360" s="8" t="str">
        <f>IFERROR(W360/W444, "NA")</f>
        <v>NA</v>
      </c>
      <c r="Y360" s="9"/>
      <c r="Z360" s="7">
        <v>0</v>
      </c>
      <c r="AA360" s="8" t="str">
        <f>IFERROR(Z360/Z444, "NA")</f>
        <v>NA</v>
      </c>
      <c r="AB360" s="9"/>
      <c r="AC360" s="10">
        <f t="shared" ref="AC360:AC383" si="95">IFERROR(-(Q360-Z360), "NA")</f>
        <v>0</v>
      </c>
      <c r="AD360" s="8" t="str">
        <f>IFERROR(AC360/AC444, "NA")</f>
        <v>NA</v>
      </c>
    </row>
    <row r="361" spans="1:30" ht="16.5" customHeight="1" x14ac:dyDescent="0.45">
      <c r="A361" s="6" t="s">
        <v>329</v>
      </c>
      <c r="B361" s="7">
        <v>0</v>
      </c>
      <c r="C361" s="8" t="str">
        <f>IFERROR(B361/B444, "NA")</f>
        <v>NA</v>
      </c>
      <c r="D361" s="9"/>
      <c r="E361" s="7">
        <v>0</v>
      </c>
      <c r="F361" s="8" t="str">
        <f>IFERROR(E361/E444, "NA")</f>
        <v>NA</v>
      </c>
      <c r="G361" s="9"/>
      <c r="H361" s="10">
        <f t="shared" si="92"/>
        <v>0</v>
      </c>
      <c r="I361" s="8" t="str">
        <f>IFERROR(H361/H444, "NA")</f>
        <v>NA</v>
      </c>
      <c r="J361" s="9"/>
      <c r="K361" s="7">
        <v>475.76</v>
      </c>
      <c r="L361" s="8" t="str">
        <f>IFERROR(K361/K444, "NA")</f>
        <v>NA</v>
      </c>
      <c r="M361" s="9"/>
      <c r="N361" s="10">
        <f t="shared" si="93"/>
        <v>475.76</v>
      </c>
      <c r="O361" s="8" t="str">
        <f>IFERROR(N361/N444, "NA")</f>
        <v>NA</v>
      </c>
      <c r="P361" s="9"/>
      <c r="Q361" s="7">
        <v>0</v>
      </c>
      <c r="R361" s="8" t="str">
        <f>IFERROR(Q361/Q444, "NA")</f>
        <v>NA</v>
      </c>
      <c r="S361" s="9"/>
      <c r="T361" s="7">
        <v>0</v>
      </c>
      <c r="U361" s="8" t="str">
        <f>IFERROR(T361/T444, "NA")</f>
        <v>NA</v>
      </c>
      <c r="V361" s="9"/>
      <c r="W361" s="10">
        <f t="shared" si="94"/>
        <v>0</v>
      </c>
      <c r="X361" s="8" t="str">
        <f>IFERROR(W361/W444, "NA")</f>
        <v>NA</v>
      </c>
      <c r="Y361" s="9"/>
      <c r="Z361" s="7">
        <v>2118.3000000000002</v>
      </c>
      <c r="AA361" s="8" t="str">
        <f>IFERROR(Z361/Z444, "NA")</f>
        <v>NA</v>
      </c>
      <c r="AB361" s="9"/>
      <c r="AC361" s="10">
        <f t="shared" si="95"/>
        <v>2118.3000000000002</v>
      </c>
      <c r="AD361" s="8" t="str">
        <f>IFERROR(AC361/AC444, "NA")</f>
        <v>NA</v>
      </c>
    </row>
    <row r="362" spans="1:30" ht="16.5" customHeight="1" x14ac:dyDescent="0.45">
      <c r="A362" s="6" t="s">
        <v>330</v>
      </c>
      <c r="B362" s="7">
        <v>679.65</v>
      </c>
      <c r="C362" s="8" t="str">
        <f>IFERROR(B362/B444, "NA")</f>
        <v>NA</v>
      </c>
      <c r="D362" s="9"/>
      <c r="E362" s="7">
        <v>400</v>
      </c>
      <c r="F362" s="8" t="str">
        <f>IFERROR(E362/E444, "NA")</f>
        <v>NA</v>
      </c>
      <c r="G362" s="9"/>
      <c r="H362" s="10">
        <f t="shared" si="92"/>
        <v>-279.64999999999998</v>
      </c>
      <c r="I362" s="8" t="str">
        <f>IFERROR(H362/H444, "NA")</f>
        <v>NA</v>
      </c>
      <c r="J362" s="9"/>
      <c r="K362" s="7">
        <v>302.31</v>
      </c>
      <c r="L362" s="8" t="str">
        <f>IFERROR(K362/K444, "NA")</f>
        <v>NA</v>
      </c>
      <c r="M362" s="9"/>
      <c r="N362" s="10">
        <f t="shared" si="93"/>
        <v>-377.34</v>
      </c>
      <c r="O362" s="8" t="str">
        <f>IFERROR(N362/N444, "NA")</f>
        <v>NA</v>
      </c>
      <c r="P362" s="9"/>
      <c r="Q362" s="7">
        <v>4176.6000000000004</v>
      </c>
      <c r="R362" s="8" t="str">
        <f>IFERROR(Q362/Q444, "NA")</f>
        <v>NA</v>
      </c>
      <c r="S362" s="9"/>
      <c r="T362" s="7">
        <v>2200</v>
      </c>
      <c r="U362" s="8" t="str">
        <f>IFERROR(T362/T444, "NA")</f>
        <v>NA</v>
      </c>
      <c r="V362" s="9"/>
      <c r="W362" s="10">
        <f t="shared" si="94"/>
        <v>-1976.6000000000004</v>
      </c>
      <c r="X362" s="8" t="str">
        <f>IFERROR(W362/W444, "NA")</f>
        <v>NA</v>
      </c>
      <c r="Y362" s="9"/>
      <c r="Z362" s="7">
        <v>1820.15</v>
      </c>
      <c r="AA362" s="8" t="str">
        <f>IFERROR(Z362/Z444, "NA")</f>
        <v>NA</v>
      </c>
      <c r="AB362" s="9"/>
      <c r="AC362" s="10">
        <f t="shared" si="95"/>
        <v>-2356.4500000000003</v>
      </c>
      <c r="AD362" s="8" t="str">
        <f>IFERROR(AC362/AC444, "NA")</f>
        <v>NA</v>
      </c>
    </row>
    <row r="363" spans="1:30" ht="16.5" customHeight="1" x14ac:dyDescent="0.45">
      <c r="A363" s="6" t="s">
        <v>331</v>
      </c>
      <c r="B363" s="7">
        <v>1574.06</v>
      </c>
      <c r="C363" s="8" t="str">
        <f>IFERROR(B363/B444, "NA")</f>
        <v>NA</v>
      </c>
      <c r="D363" s="9"/>
      <c r="E363" s="7">
        <v>200</v>
      </c>
      <c r="F363" s="8" t="str">
        <f>IFERROR(E363/E444, "NA")</f>
        <v>NA</v>
      </c>
      <c r="G363" s="9"/>
      <c r="H363" s="10">
        <f t="shared" si="92"/>
        <v>-1374.06</v>
      </c>
      <c r="I363" s="8" t="str">
        <f>IFERROR(H363/H444, "NA")</f>
        <v>NA</v>
      </c>
      <c r="J363" s="9"/>
      <c r="K363" s="7">
        <v>10081.290000000001</v>
      </c>
      <c r="L363" s="8" t="str">
        <f>IFERROR(K363/K444, "NA")</f>
        <v>NA</v>
      </c>
      <c r="M363" s="9"/>
      <c r="N363" s="10">
        <f t="shared" si="93"/>
        <v>8507.2300000000014</v>
      </c>
      <c r="O363" s="8" t="str">
        <f>IFERROR(N363/N444, "NA")</f>
        <v>NA</v>
      </c>
      <c r="P363" s="9"/>
      <c r="Q363" s="7">
        <v>5001.76</v>
      </c>
      <c r="R363" s="8" t="str">
        <f>IFERROR(Q363/Q444, "NA")</f>
        <v>NA</v>
      </c>
      <c r="S363" s="9"/>
      <c r="T363" s="7">
        <v>1050</v>
      </c>
      <c r="U363" s="8" t="str">
        <f>IFERROR(T363/T444, "NA")</f>
        <v>NA</v>
      </c>
      <c r="V363" s="9"/>
      <c r="W363" s="10">
        <f t="shared" si="94"/>
        <v>-3951.76</v>
      </c>
      <c r="X363" s="8" t="str">
        <f>IFERROR(W363/W444, "NA")</f>
        <v>NA</v>
      </c>
      <c r="Y363" s="9"/>
      <c r="Z363" s="7">
        <v>14004.22</v>
      </c>
      <c r="AA363" s="8" t="str">
        <f>IFERROR(Z363/Z444, "NA")</f>
        <v>NA</v>
      </c>
      <c r="AB363" s="9"/>
      <c r="AC363" s="10">
        <f t="shared" si="95"/>
        <v>9002.4599999999991</v>
      </c>
      <c r="AD363" s="8" t="str">
        <f>IFERROR(AC363/AC444, "NA")</f>
        <v>NA</v>
      </c>
    </row>
    <row r="364" spans="1:30" ht="16.5" customHeight="1" x14ac:dyDescent="0.45">
      <c r="A364" s="6" t="s">
        <v>332</v>
      </c>
      <c r="B364" s="7">
        <v>1034.8499999999999</v>
      </c>
      <c r="C364" s="8" t="str">
        <f>IFERROR(B364/B444, "NA")</f>
        <v>NA</v>
      </c>
      <c r="D364" s="9"/>
      <c r="E364" s="7">
        <v>0</v>
      </c>
      <c r="F364" s="8" t="str">
        <f>IFERROR(E364/E444, "NA")</f>
        <v>NA</v>
      </c>
      <c r="G364" s="9"/>
      <c r="H364" s="10">
        <f t="shared" si="92"/>
        <v>-1034.8499999999999</v>
      </c>
      <c r="I364" s="8" t="str">
        <f>IFERROR(H364/H444, "NA")</f>
        <v>NA</v>
      </c>
      <c r="J364" s="9"/>
      <c r="K364" s="7">
        <v>256.42</v>
      </c>
      <c r="L364" s="8" t="str">
        <f>IFERROR(K364/K444, "NA")</f>
        <v>NA</v>
      </c>
      <c r="M364" s="9"/>
      <c r="N364" s="10">
        <f t="shared" si="93"/>
        <v>-778.42999999999984</v>
      </c>
      <c r="O364" s="8" t="str">
        <f>IFERROR(N364/N444, "NA")</f>
        <v>NA</v>
      </c>
      <c r="P364" s="9"/>
      <c r="Q364" s="7">
        <v>3959.6</v>
      </c>
      <c r="R364" s="8" t="str">
        <f>IFERROR(Q364/Q444, "NA")</f>
        <v>NA</v>
      </c>
      <c r="S364" s="9"/>
      <c r="T364" s="7">
        <v>0</v>
      </c>
      <c r="U364" s="8" t="str">
        <f>IFERROR(T364/T444, "NA")</f>
        <v>NA</v>
      </c>
      <c r="V364" s="9"/>
      <c r="W364" s="10">
        <f t="shared" si="94"/>
        <v>-3959.6</v>
      </c>
      <c r="X364" s="8" t="str">
        <f>IFERROR(W364/W444, "NA")</f>
        <v>NA</v>
      </c>
      <c r="Y364" s="9"/>
      <c r="Z364" s="7">
        <v>2659.74</v>
      </c>
      <c r="AA364" s="8" t="str">
        <f>IFERROR(Z364/Z444, "NA")</f>
        <v>NA</v>
      </c>
      <c r="AB364" s="9"/>
      <c r="AC364" s="10">
        <f t="shared" si="95"/>
        <v>-1299.8600000000001</v>
      </c>
      <c r="AD364" s="8" t="str">
        <f>IFERROR(AC364/AC444, "NA")</f>
        <v>NA</v>
      </c>
    </row>
    <row r="365" spans="1:30" ht="16.5" customHeight="1" x14ac:dyDescent="0.45">
      <c r="A365" s="6" t="s">
        <v>333</v>
      </c>
      <c r="B365" s="7">
        <v>1823.32</v>
      </c>
      <c r="C365" s="8" t="str">
        <f>IFERROR(B365/B444, "NA")</f>
        <v>NA</v>
      </c>
      <c r="D365" s="9"/>
      <c r="E365" s="7">
        <v>210</v>
      </c>
      <c r="F365" s="8" t="str">
        <f>IFERROR(E365/E444, "NA")</f>
        <v>NA</v>
      </c>
      <c r="G365" s="9"/>
      <c r="H365" s="10">
        <f t="shared" si="92"/>
        <v>-1613.32</v>
      </c>
      <c r="I365" s="8" t="str">
        <f>IFERROR(H365/H444, "NA")</f>
        <v>NA</v>
      </c>
      <c r="J365" s="9"/>
      <c r="K365" s="7">
        <v>0</v>
      </c>
      <c r="L365" s="8" t="str">
        <f>IFERROR(K365/K444, "NA")</f>
        <v>NA</v>
      </c>
      <c r="M365" s="9"/>
      <c r="N365" s="10">
        <f t="shared" si="93"/>
        <v>-1823.32</v>
      </c>
      <c r="O365" s="8" t="str">
        <f>IFERROR(N365/N444, "NA")</f>
        <v>NA</v>
      </c>
      <c r="P365" s="9"/>
      <c r="Q365" s="7">
        <v>4358.38</v>
      </c>
      <c r="R365" s="8" t="str">
        <f>IFERROR(Q365/Q444, "NA")</f>
        <v>NA</v>
      </c>
      <c r="S365" s="9"/>
      <c r="T365" s="7">
        <v>840</v>
      </c>
      <c r="U365" s="8" t="str">
        <f>IFERROR(T365/T444, "NA")</f>
        <v>NA</v>
      </c>
      <c r="V365" s="9"/>
      <c r="W365" s="10">
        <f t="shared" si="94"/>
        <v>-3518.38</v>
      </c>
      <c r="X365" s="8" t="str">
        <f>IFERROR(W365/W444, "NA")</f>
        <v>NA</v>
      </c>
      <c r="Y365" s="9"/>
      <c r="Z365" s="7">
        <v>0</v>
      </c>
      <c r="AA365" s="8" t="str">
        <f>IFERROR(Z365/Z444, "NA")</f>
        <v>NA</v>
      </c>
      <c r="AB365" s="9"/>
      <c r="AC365" s="10">
        <f t="shared" si="95"/>
        <v>-4358.38</v>
      </c>
      <c r="AD365" s="8" t="str">
        <f>IFERROR(AC365/AC444, "NA")</f>
        <v>NA</v>
      </c>
    </row>
    <row r="366" spans="1:30" ht="16.5" customHeight="1" x14ac:dyDescent="0.45">
      <c r="A366" s="6" t="s">
        <v>334</v>
      </c>
      <c r="B366" s="7">
        <v>1375.6</v>
      </c>
      <c r="C366" s="8" t="str">
        <f>IFERROR(B366/B444, "NA")</f>
        <v>NA</v>
      </c>
      <c r="D366" s="9"/>
      <c r="E366" s="7">
        <v>345</v>
      </c>
      <c r="F366" s="8" t="str">
        <f>IFERROR(E366/E444, "NA")</f>
        <v>NA</v>
      </c>
      <c r="G366" s="9"/>
      <c r="H366" s="10">
        <f t="shared" si="92"/>
        <v>-1030.5999999999999</v>
      </c>
      <c r="I366" s="8" t="str">
        <f>IFERROR(H366/H444, "NA")</f>
        <v>NA</v>
      </c>
      <c r="J366" s="9"/>
      <c r="K366" s="7">
        <v>0</v>
      </c>
      <c r="L366" s="8" t="str">
        <f>IFERROR(K366/K444, "NA")</f>
        <v>NA</v>
      </c>
      <c r="M366" s="9"/>
      <c r="N366" s="10">
        <f t="shared" si="93"/>
        <v>-1375.6</v>
      </c>
      <c r="O366" s="8" t="str">
        <f>IFERROR(N366/N444, "NA")</f>
        <v>NA</v>
      </c>
      <c r="P366" s="9"/>
      <c r="Q366" s="7">
        <v>2793.51</v>
      </c>
      <c r="R366" s="8" t="str">
        <f>IFERROR(Q366/Q444, "NA")</f>
        <v>NA</v>
      </c>
      <c r="S366" s="9"/>
      <c r="T366" s="7">
        <v>1725</v>
      </c>
      <c r="U366" s="8" t="str">
        <f>IFERROR(T366/T444, "NA")</f>
        <v>NA</v>
      </c>
      <c r="V366" s="9"/>
      <c r="W366" s="10">
        <f t="shared" si="94"/>
        <v>-1068.5100000000002</v>
      </c>
      <c r="X366" s="8" t="str">
        <f>IFERROR(W366/W444, "NA")</f>
        <v>NA</v>
      </c>
      <c r="Y366" s="9"/>
      <c r="Z366" s="7">
        <v>0</v>
      </c>
      <c r="AA366" s="8" t="str">
        <f>IFERROR(Z366/Z444, "NA")</f>
        <v>NA</v>
      </c>
      <c r="AB366" s="9"/>
      <c r="AC366" s="10">
        <f t="shared" si="95"/>
        <v>-2793.51</v>
      </c>
      <c r="AD366" s="8" t="str">
        <f>IFERROR(AC366/AC444, "NA")</f>
        <v>NA</v>
      </c>
    </row>
    <row r="367" spans="1:30" ht="16.5" customHeight="1" x14ac:dyDescent="0.45">
      <c r="A367" s="6" t="s">
        <v>335</v>
      </c>
      <c r="B367" s="7">
        <v>0</v>
      </c>
      <c r="C367" s="8" t="str">
        <f>IFERROR(B367/B444, "NA")</f>
        <v>NA</v>
      </c>
      <c r="D367" s="9"/>
      <c r="E367" s="7">
        <v>0</v>
      </c>
      <c r="F367" s="8" t="str">
        <f>IFERROR(E367/E444, "NA")</f>
        <v>NA</v>
      </c>
      <c r="G367" s="9"/>
      <c r="H367" s="10">
        <f t="shared" si="92"/>
        <v>0</v>
      </c>
      <c r="I367" s="8" t="str">
        <f>IFERROR(H367/H444, "NA")</f>
        <v>NA</v>
      </c>
      <c r="J367" s="9"/>
      <c r="K367" s="7">
        <v>0</v>
      </c>
      <c r="L367" s="8" t="str">
        <f>IFERROR(K367/K444, "NA")</f>
        <v>NA</v>
      </c>
      <c r="M367" s="9"/>
      <c r="N367" s="10">
        <f t="shared" si="93"/>
        <v>0</v>
      </c>
      <c r="O367" s="8" t="str">
        <f>IFERROR(N367/N444, "NA")</f>
        <v>NA</v>
      </c>
      <c r="P367" s="9"/>
      <c r="Q367" s="7">
        <v>5481.74</v>
      </c>
      <c r="R367" s="8" t="str">
        <f>IFERROR(Q367/Q444, "NA")</f>
        <v>NA</v>
      </c>
      <c r="S367" s="9"/>
      <c r="T367" s="7">
        <v>0</v>
      </c>
      <c r="U367" s="8" t="str">
        <f>IFERROR(T367/T444, "NA")</f>
        <v>NA</v>
      </c>
      <c r="V367" s="9"/>
      <c r="W367" s="10">
        <f t="shared" si="94"/>
        <v>-5481.74</v>
      </c>
      <c r="X367" s="8" t="str">
        <f>IFERROR(W367/W444, "NA")</f>
        <v>NA</v>
      </c>
      <c r="Y367" s="9"/>
      <c r="Z367" s="7">
        <v>0</v>
      </c>
      <c r="AA367" s="8" t="str">
        <f>IFERROR(Z367/Z444, "NA")</f>
        <v>NA</v>
      </c>
      <c r="AB367" s="9"/>
      <c r="AC367" s="10">
        <f t="shared" si="95"/>
        <v>-5481.74</v>
      </c>
      <c r="AD367" s="8" t="str">
        <f>IFERROR(AC367/AC444, "NA")</f>
        <v>NA</v>
      </c>
    </row>
    <row r="368" spans="1:30" ht="16.5" customHeight="1" x14ac:dyDescent="0.45">
      <c r="A368" s="19" t="s">
        <v>336</v>
      </c>
      <c r="B368" s="14">
        <f>IFERROR(B360+B361+B362+B363+B364+B365+B366+B367, "NA")</f>
        <v>6487.48</v>
      </c>
      <c r="C368" s="15" t="str">
        <f>IFERROR(B368/B444, "NA")</f>
        <v>NA</v>
      </c>
      <c r="D368" s="2"/>
      <c r="E368" s="14">
        <f>IFERROR(E360+E361+E362+E363+E364+E365+E366+E367, "NA")</f>
        <v>2655</v>
      </c>
      <c r="F368" s="15" t="str">
        <f>IFERROR(E368/E444, "NA")</f>
        <v>NA</v>
      </c>
      <c r="G368" s="2"/>
      <c r="H368" s="14">
        <f t="shared" si="92"/>
        <v>-3832.4799999999996</v>
      </c>
      <c r="I368" s="15" t="str">
        <f>IFERROR(H368/H444, "NA")</f>
        <v>NA</v>
      </c>
      <c r="J368" s="2"/>
      <c r="K368" s="14">
        <f>IFERROR(K360+K361+K362+K363+K364+K365+K366+K367, "NA")</f>
        <v>11115.78</v>
      </c>
      <c r="L368" s="15" t="str">
        <f>IFERROR(K368/K444, "NA")</f>
        <v>NA</v>
      </c>
      <c r="M368" s="2"/>
      <c r="N368" s="14">
        <f t="shared" si="93"/>
        <v>4628.3000000000011</v>
      </c>
      <c r="O368" s="15" t="str">
        <f>IFERROR(N368/N444, "NA")</f>
        <v>NA</v>
      </c>
      <c r="P368" s="2"/>
      <c r="Q368" s="14">
        <f>IFERROR(Q360+Q361+Q362+Q363+Q364+Q365+Q366+Q367, "NA")</f>
        <v>25771.589999999997</v>
      </c>
      <c r="R368" s="15" t="str">
        <f>IFERROR(Q368/Q444, "NA")</f>
        <v>NA</v>
      </c>
      <c r="S368" s="2"/>
      <c r="T368" s="14">
        <f>IFERROR(T360+T361+T362+T363+T364+T365+T366+T367, "NA")</f>
        <v>12815</v>
      </c>
      <c r="U368" s="15" t="str">
        <f>IFERROR(T368/T444, "NA")</f>
        <v>NA</v>
      </c>
      <c r="V368" s="2"/>
      <c r="W368" s="14">
        <f t="shared" si="94"/>
        <v>-12956.589999999997</v>
      </c>
      <c r="X368" s="15" t="str">
        <f>IFERROR(W368/W444, "NA")</f>
        <v>NA</v>
      </c>
      <c r="Y368" s="2"/>
      <c r="Z368" s="14">
        <f>IFERROR(Z360+Z361+Z362+Z363+Z364+Z365+Z366+Z367, "NA")</f>
        <v>20602.409999999996</v>
      </c>
      <c r="AA368" s="15" t="str">
        <f>IFERROR(Z368/Z444, "NA")</f>
        <v>NA</v>
      </c>
      <c r="AB368" s="2"/>
      <c r="AC368" s="14">
        <f t="shared" si="95"/>
        <v>-5169.18</v>
      </c>
      <c r="AD368" s="15" t="str">
        <f>IFERROR(AC368/AC444, "NA")</f>
        <v>NA</v>
      </c>
    </row>
    <row r="369" spans="1:30" ht="16.5" hidden="1" customHeight="1" x14ac:dyDescent="0.45">
      <c r="A369" s="20" t="s">
        <v>337</v>
      </c>
      <c r="B369" s="7">
        <v>0</v>
      </c>
      <c r="C369" s="8" t="str">
        <f>IFERROR(B369/B444, "NA")</f>
        <v>NA</v>
      </c>
      <c r="D369" s="9"/>
      <c r="E369" s="7">
        <v>0</v>
      </c>
      <c r="F369" s="8" t="str">
        <f>IFERROR(E369/E444, "NA")</f>
        <v>NA</v>
      </c>
      <c r="G369" s="9"/>
      <c r="H369" s="10">
        <f t="shared" si="92"/>
        <v>0</v>
      </c>
      <c r="I369" s="8" t="str">
        <f>IFERROR(H369/H444, "NA")</f>
        <v>NA</v>
      </c>
      <c r="J369" s="9"/>
      <c r="K369" s="7">
        <v>0</v>
      </c>
      <c r="L369" s="8" t="str">
        <f>IFERROR(K369/K444, "NA")</f>
        <v>NA</v>
      </c>
      <c r="M369" s="9"/>
      <c r="N369" s="10">
        <f t="shared" si="93"/>
        <v>0</v>
      </c>
      <c r="O369" s="8" t="str">
        <f>IFERROR(N369/N444, "NA")</f>
        <v>NA</v>
      </c>
      <c r="P369" s="9"/>
      <c r="Q369" s="7">
        <v>0</v>
      </c>
      <c r="R369" s="8" t="str">
        <f>IFERROR(Q369/Q444, "NA")</f>
        <v>NA</v>
      </c>
      <c r="S369" s="9"/>
      <c r="T369" s="7">
        <v>0</v>
      </c>
      <c r="U369" s="8" t="str">
        <f>IFERROR(T369/T444, "NA")</f>
        <v>NA</v>
      </c>
      <c r="V369" s="9"/>
      <c r="W369" s="10">
        <f t="shared" si="94"/>
        <v>0</v>
      </c>
      <c r="X369" s="8" t="str">
        <f>IFERROR(W369/W444, "NA")</f>
        <v>NA</v>
      </c>
      <c r="Y369" s="9"/>
      <c r="Z369" s="7">
        <v>0</v>
      </c>
      <c r="AA369" s="8" t="str">
        <f>IFERROR(Z369/Z444, "NA")</f>
        <v>NA</v>
      </c>
      <c r="AB369" s="9"/>
      <c r="AC369" s="10">
        <f t="shared" si="95"/>
        <v>0</v>
      </c>
      <c r="AD369" s="8" t="str">
        <f>IFERROR(AC369/AC444, "NA")</f>
        <v>NA</v>
      </c>
    </row>
    <row r="370" spans="1:30" ht="16.5" customHeight="1" x14ac:dyDescent="0.45">
      <c r="A370" s="20" t="s">
        <v>338</v>
      </c>
      <c r="B370" s="7">
        <v>98</v>
      </c>
      <c r="C370" s="8" t="str">
        <f>IFERROR(B370/B444, "NA")</f>
        <v>NA</v>
      </c>
      <c r="D370" s="9"/>
      <c r="E370" s="7">
        <v>635</v>
      </c>
      <c r="F370" s="8" t="str">
        <f>IFERROR(E370/E444, "NA")</f>
        <v>NA</v>
      </c>
      <c r="G370" s="9"/>
      <c r="H370" s="10">
        <f t="shared" si="92"/>
        <v>537</v>
      </c>
      <c r="I370" s="8" t="str">
        <f>IFERROR(H370/H444, "NA")</f>
        <v>NA</v>
      </c>
      <c r="J370" s="9"/>
      <c r="K370" s="7">
        <v>272.5</v>
      </c>
      <c r="L370" s="8" t="str">
        <f>IFERROR(K370/K444, "NA")</f>
        <v>NA</v>
      </c>
      <c r="M370" s="9"/>
      <c r="N370" s="10">
        <f t="shared" si="93"/>
        <v>174.5</v>
      </c>
      <c r="O370" s="8" t="str">
        <f>IFERROR(N370/N444, "NA")</f>
        <v>NA</v>
      </c>
      <c r="P370" s="9"/>
      <c r="Q370" s="7">
        <v>1389</v>
      </c>
      <c r="R370" s="8" t="str">
        <f>IFERROR(Q370/Q444, "NA")</f>
        <v>NA</v>
      </c>
      <c r="S370" s="9"/>
      <c r="T370" s="7">
        <v>3175</v>
      </c>
      <c r="U370" s="8" t="str">
        <f>IFERROR(T370/T444, "NA")</f>
        <v>NA</v>
      </c>
      <c r="V370" s="9"/>
      <c r="W370" s="10">
        <f t="shared" si="94"/>
        <v>1786</v>
      </c>
      <c r="X370" s="8" t="str">
        <f>IFERROR(W370/W444, "NA")</f>
        <v>NA</v>
      </c>
      <c r="Y370" s="9"/>
      <c r="Z370" s="7">
        <v>2622.6</v>
      </c>
      <c r="AA370" s="8" t="str">
        <f>IFERROR(Z370/Z444, "NA")</f>
        <v>NA</v>
      </c>
      <c r="AB370" s="9"/>
      <c r="AC370" s="10">
        <f t="shared" si="95"/>
        <v>1233.5999999999999</v>
      </c>
      <c r="AD370" s="8" t="str">
        <f>IFERROR(AC370/AC444, "NA")</f>
        <v>NA</v>
      </c>
    </row>
    <row r="371" spans="1:30" ht="16.5" customHeight="1" x14ac:dyDescent="0.45">
      <c r="A371" s="20" t="s">
        <v>339</v>
      </c>
      <c r="B371" s="7">
        <v>1529.36</v>
      </c>
      <c r="C371" s="8" t="str">
        <f>IFERROR(B371/B444, "NA")</f>
        <v>NA</v>
      </c>
      <c r="D371" s="9"/>
      <c r="E371" s="7">
        <v>100</v>
      </c>
      <c r="F371" s="8" t="str">
        <f>IFERROR(E371/E444, "NA")</f>
        <v>NA</v>
      </c>
      <c r="G371" s="9"/>
      <c r="H371" s="10">
        <f t="shared" si="92"/>
        <v>-1429.36</v>
      </c>
      <c r="I371" s="8" t="str">
        <f>IFERROR(H371/H444, "NA")</f>
        <v>NA</v>
      </c>
      <c r="J371" s="9"/>
      <c r="K371" s="7">
        <v>761.17</v>
      </c>
      <c r="L371" s="8" t="str">
        <f>IFERROR(K371/K444, "NA")</f>
        <v>NA</v>
      </c>
      <c r="M371" s="9"/>
      <c r="N371" s="10">
        <f t="shared" si="93"/>
        <v>-768.18999999999994</v>
      </c>
      <c r="O371" s="8" t="str">
        <f>IFERROR(N371/N444, "NA")</f>
        <v>NA</v>
      </c>
      <c r="P371" s="9"/>
      <c r="Q371" s="7">
        <v>2404.83</v>
      </c>
      <c r="R371" s="8" t="str">
        <f>IFERROR(Q371/Q444, "NA")</f>
        <v>NA</v>
      </c>
      <c r="S371" s="9"/>
      <c r="T371" s="7">
        <v>500</v>
      </c>
      <c r="U371" s="8" t="str">
        <f>IFERROR(T371/T444, "NA")</f>
        <v>NA</v>
      </c>
      <c r="V371" s="9"/>
      <c r="W371" s="10">
        <f t="shared" si="94"/>
        <v>-1904.83</v>
      </c>
      <c r="X371" s="8" t="str">
        <f>IFERROR(W371/W444, "NA")</f>
        <v>NA</v>
      </c>
      <c r="Y371" s="9"/>
      <c r="Z371" s="7">
        <v>2970.47</v>
      </c>
      <c r="AA371" s="8" t="str">
        <f>IFERROR(Z371/Z444, "NA")</f>
        <v>NA</v>
      </c>
      <c r="AB371" s="9"/>
      <c r="AC371" s="10">
        <f t="shared" si="95"/>
        <v>565.63999999999987</v>
      </c>
      <c r="AD371" s="8" t="str">
        <f>IFERROR(AC371/AC444, "NA")</f>
        <v>NA</v>
      </c>
    </row>
    <row r="372" spans="1:30" ht="16.5" customHeight="1" x14ac:dyDescent="0.45">
      <c r="A372" s="20" t="s">
        <v>340</v>
      </c>
      <c r="B372" s="7">
        <v>277.17</v>
      </c>
      <c r="C372" s="8" t="str">
        <f>IFERROR(B372/B444, "NA")</f>
        <v>NA</v>
      </c>
      <c r="D372" s="9"/>
      <c r="E372" s="7">
        <v>0</v>
      </c>
      <c r="F372" s="8" t="str">
        <f>IFERROR(E372/E444, "NA")</f>
        <v>NA</v>
      </c>
      <c r="G372" s="9"/>
      <c r="H372" s="10">
        <f t="shared" si="92"/>
        <v>-277.17</v>
      </c>
      <c r="I372" s="8" t="str">
        <f>IFERROR(H372/H444, "NA")</f>
        <v>NA</v>
      </c>
      <c r="J372" s="9"/>
      <c r="K372" s="7">
        <v>0</v>
      </c>
      <c r="L372" s="8" t="str">
        <f>IFERROR(K372/K444, "NA")</f>
        <v>NA</v>
      </c>
      <c r="M372" s="9"/>
      <c r="N372" s="10">
        <f t="shared" si="93"/>
        <v>-277.17</v>
      </c>
      <c r="O372" s="8" t="str">
        <f>IFERROR(N372/N444, "NA")</f>
        <v>NA</v>
      </c>
      <c r="P372" s="9"/>
      <c r="Q372" s="7">
        <v>2108.6799999999998</v>
      </c>
      <c r="R372" s="8" t="str">
        <f>IFERROR(Q372/Q444, "NA")</f>
        <v>NA</v>
      </c>
      <c r="S372" s="9"/>
      <c r="T372" s="7">
        <v>3500</v>
      </c>
      <c r="U372" s="8" t="str">
        <f>IFERROR(T372/T444, "NA")</f>
        <v>NA</v>
      </c>
      <c r="V372" s="9"/>
      <c r="W372" s="10">
        <f t="shared" si="94"/>
        <v>1391.3200000000002</v>
      </c>
      <c r="X372" s="8" t="str">
        <f>IFERROR(W372/W444, "NA")</f>
        <v>NA</v>
      </c>
      <c r="Y372" s="9"/>
      <c r="Z372" s="7">
        <v>3450</v>
      </c>
      <c r="AA372" s="8" t="str">
        <f>IFERROR(Z372/Z444, "NA")</f>
        <v>NA</v>
      </c>
      <c r="AB372" s="9"/>
      <c r="AC372" s="10">
        <f t="shared" si="95"/>
        <v>1341.3200000000002</v>
      </c>
      <c r="AD372" s="8" t="str">
        <f>IFERROR(AC372/AC444, "NA")</f>
        <v>NA</v>
      </c>
    </row>
    <row r="373" spans="1:30" ht="16.5" customHeight="1" x14ac:dyDescent="0.45">
      <c r="A373" s="20" t="s">
        <v>341</v>
      </c>
      <c r="B373" s="7">
        <v>368.33</v>
      </c>
      <c r="C373" s="8" t="str">
        <f>IFERROR(B373/B444, "NA")</f>
        <v>NA</v>
      </c>
      <c r="D373" s="9"/>
      <c r="E373" s="7">
        <v>325</v>
      </c>
      <c r="F373" s="8" t="str">
        <f>IFERROR(E373/E444, "NA")</f>
        <v>NA</v>
      </c>
      <c r="G373" s="9"/>
      <c r="H373" s="10">
        <f t="shared" si="92"/>
        <v>-43.329999999999984</v>
      </c>
      <c r="I373" s="8" t="str">
        <f>IFERROR(H373/H444, "NA")</f>
        <v>NA</v>
      </c>
      <c r="J373" s="9"/>
      <c r="K373" s="7">
        <v>930.61</v>
      </c>
      <c r="L373" s="8" t="str">
        <f>IFERROR(K373/K444, "NA")</f>
        <v>NA</v>
      </c>
      <c r="M373" s="9"/>
      <c r="N373" s="10">
        <f t="shared" si="93"/>
        <v>562.28</v>
      </c>
      <c r="O373" s="8" t="str">
        <f>IFERROR(N373/N444, "NA")</f>
        <v>NA</v>
      </c>
      <c r="P373" s="9"/>
      <c r="Q373" s="7">
        <v>2150.64</v>
      </c>
      <c r="R373" s="8" t="str">
        <f>IFERROR(Q373/Q444, "NA")</f>
        <v>NA</v>
      </c>
      <c r="S373" s="9"/>
      <c r="T373" s="7">
        <v>1625</v>
      </c>
      <c r="U373" s="8" t="str">
        <f>IFERROR(T373/T444, "NA")</f>
        <v>NA</v>
      </c>
      <c r="V373" s="9"/>
      <c r="W373" s="10">
        <f t="shared" si="94"/>
        <v>-525.63999999999987</v>
      </c>
      <c r="X373" s="8" t="str">
        <f>IFERROR(W373/W444, "NA")</f>
        <v>NA</v>
      </c>
      <c r="Y373" s="9"/>
      <c r="Z373" s="7">
        <v>4343.79</v>
      </c>
      <c r="AA373" s="8" t="str">
        <f>IFERROR(Z373/Z444, "NA")</f>
        <v>NA</v>
      </c>
      <c r="AB373" s="9"/>
      <c r="AC373" s="10">
        <f t="shared" si="95"/>
        <v>2193.15</v>
      </c>
      <c r="AD373" s="8" t="str">
        <f>IFERROR(AC373/AC444, "NA")</f>
        <v>NA</v>
      </c>
    </row>
    <row r="374" spans="1:30" ht="16.5" customHeight="1" x14ac:dyDescent="0.45">
      <c r="A374" s="20" t="s">
        <v>342</v>
      </c>
      <c r="B374" s="7">
        <v>1925</v>
      </c>
      <c r="C374" s="8" t="str">
        <f>IFERROR(B374/B444, "NA")</f>
        <v>NA</v>
      </c>
      <c r="D374" s="9"/>
      <c r="E374" s="7">
        <v>1900</v>
      </c>
      <c r="F374" s="8" t="str">
        <f>IFERROR(E374/E444, "NA")</f>
        <v>NA</v>
      </c>
      <c r="G374" s="9"/>
      <c r="H374" s="10">
        <f t="shared" si="92"/>
        <v>-25</v>
      </c>
      <c r="I374" s="8" t="str">
        <f>IFERROR(H374/H444, "NA")</f>
        <v>NA</v>
      </c>
      <c r="J374" s="9"/>
      <c r="K374" s="7">
        <v>1883.11</v>
      </c>
      <c r="L374" s="8" t="str">
        <f>IFERROR(K374/K444, "NA")</f>
        <v>NA</v>
      </c>
      <c r="M374" s="9"/>
      <c r="N374" s="10">
        <f t="shared" si="93"/>
        <v>-41.8900000000001</v>
      </c>
      <c r="O374" s="8" t="str">
        <f>IFERROR(N374/N444, "NA")</f>
        <v>NA</v>
      </c>
      <c r="P374" s="9"/>
      <c r="Q374" s="7">
        <v>9584.01</v>
      </c>
      <c r="R374" s="8" t="str">
        <f>IFERROR(Q374/Q444, "NA")</f>
        <v>NA</v>
      </c>
      <c r="S374" s="9"/>
      <c r="T374" s="7">
        <v>9500</v>
      </c>
      <c r="U374" s="8" t="str">
        <f>IFERROR(T374/T444, "NA")</f>
        <v>NA</v>
      </c>
      <c r="V374" s="9"/>
      <c r="W374" s="10">
        <f t="shared" si="94"/>
        <v>-84.010000000000218</v>
      </c>
      <c r="X374" s="8" t="str">
        <f>IFERROR(W374/W444, "NA")</f>
        <v>NA</v>
      </c>
      <c r="Y374" s="9"/>
      <c r="Z374" s="7">
        <v>8826.7000000000007</v>
      </c>
      <c r="AA374" s="8" t="str">
        <f>IFERROR(Z374/Z444, "NA")</f>
        <v>NA</v>
      </c>
      <c r="AB374" s="9"/>
      <c r="AC374" s="10">
        <f t="shared" si="95"/>
        <v>-757.30999999999949</v>
      </c>
      <c r="AD374" s="8" t="str">
        <f>IFERROR(AC374/AC444, "NA")</f>
        <v>NA</v>
      </c>
    </row>
    <row r="375" spans="1:30" ht="16.5" customHeight="1" x14ac:dyDescent="0.45">
      <c r="A375" s="20" t="s">
        <v>343</v>
      </c>
      <c r="B375" s="7">
        <v>0</v>
      </c>
      <c r="C375" s="8" t="str">
        <f>IFERROR(B375/B444, "NA")</f>
        <v>NA</v>
      </c>
      <c r="D375" s="9"/>
      <c r="E375" s="7">
        <v>0</v>
      </c>
      <c r="F375" s="8" t="str">
        <f>IFERROR(E375/E444, "NA")</f>
        <v>NA</v>
      </c>
      <c r="G375" s="9"/>
      <c r="H375" s="10">
        <f t="shared" si="92"/>
        <v>0</v>
      </c>
      <c r="I375" s="8" t="str">
        <f>IFERROR(H375/H444, "NA")</f>
        <v>NA</v>
      </c>
      <c r="J375" s="9"/>
      <c r="K375" s="7">
        <v>0</v>
      </c>
      <c r="L375" s="8" t="str">
        <f>IFERROR(K375/K444, "NA")</f>
        <v>NA</v>
      </c>
      <c r="M375" s="9"/>
      <c r="N375" s="10">
        <f t="shared" si="93"/>
        <v>0</v>
      </c>
      <c r="O375" s="8" t="str">
        <f>IFERROR(N375/N444, "NA")</f>
        <v>NA</v>
      </c>
      <c r="P375" s="9"/>
      <c r="Q375" s="7">
        <v>205.26</v>
      </c>
      <c r="R375" s="8" t="str">
        <f>IFERROR(Q375/Q444, "NA")</f>
        <v>NA</v>
      </c>
      <c r="S375" s="9"/>
      <c r="T375" s="7">
        <v>0</v>
      </c>
      <c r="U375" s="8" t="str">
        <f>IFERROR(T375/T444, "NA")</f>
        <v>NA</v>
      </c>
      <c r="V375" s="9"/>
      <c r="W375" s="10">
        <f t="shared" si="94"/>
        <v>-205.26</v>
      </c>
      <c r="X375" s="8" t="str">
        <f>IFERROR(W375/W444, "NA")</f>
        <v>NA</v>
      </c>
      <c r="Y375" s="9"/>
      <c r="Z375" s="7">
        <v>184.99</v>
      </c>
      <c r="AA375" s="8" t="str">
        <f>IFERROR(Z375/Z444, "NA")</f>
        <v>NA</v>
      </c>
      <c r="AB375" s="9"/>
      <c r="AC375" s="10">
        <f t="shared" si="95"/>
        <v>-20.269999999999982</v>
      </c>
      <c r="AD375" s="8" t="str">
        <f>IFERROR(AC375/AC444, "NA")</f>
        <v>NA</v>
      </c>
    </row>
    <row r="376" spans="1:30" ht="16.5" customHeight="1" x14ac:dyDescent="0.45">
      <c r="A376" s="20" t="s">
        <v>344</v>
      </c>
      <c r="B376" s="7">
        <v>0</v>
      </c>
      <c r="C376" s="8" t="str">
        <f>IFERROR(B376/B444, "NA")</f>
        <v>NA</v>
      </c>
      <c r="D376" s="9"/>
      <c r="E376" s="7">
        <v>0</v>
      </c>
      <c r="F376" s="8" t="str">
        <f>IFERROR(E376/E444, "NA")</f>
        <v>NA</v>
      </c>
      <c r="G376" s="9"/>
      <c r="H376" s="10">
        <f t="shared" si="92"/>
        <v>0</v>
      </c>
      <c r="I376" s="8" t="str">
        <f>IFERROR(H376/H444, "NA")</f>
        <v>NA</v>
      </c>
      <c r="J376" s="9"/>
      <c r="K376" s="7">
        <v>0</v>
      </c>
      <c r="L376" s="8" t="str">
        <f>IFERROR(K376/K444, "NA")</f>
        <v>NA</v>
      </c>
      <c r="M376" s="9"/>
      <c r="N376" s="10">
        <f t="shared" si="93"/>
        <v>0</v>
      </c>
      <c r="O376" s="8" t="str">
        <f>IFERROR(N376/N444, "NA")</f>
        <v>NA</v>
      </c>
      <c r="P376" s="9"/>
      <c r="Q376" s="7">
        <v>-2413</v>
      </c>
      <c r="R376" s="8" t="str">
        <f>IFERROR(Q376/Q444, "NA")</f>
        <v>NA</v>
      </c>
      <c r="S376" s="9"/>
      <c r="T376" s="7">
        <v>0</v>
      </c>
      <c r="U376" s="8" t="str">
        <f>IFERROR(T376/T444, "NA")</f>
        <v>NA</v>
      </c>
      <c r="V376" s="9"/>
      <c r="W376" s="10">
        <f t="shared" si="94"/>
        <v>2413</v>
      </c>
      <c r="X376" s="8" t="str">
        <f>IFERROR(W376/W444, "NA")</f>
        <v>NA</v>
      </c>
      <c r="Y376" s="9"/>
      <c r="Z376" s="7">
        <v>0</v>
      </c>
      <c r="AA376" s="8" t="str">
        <f>IFERROR(Z376/Z444, "NA")</f>
        <v>NA</v>
      </c>
      <c r="AB376" s="9"/>
      <c r="AC376" s="10">
        <f t="shared" si="95"/>
        <v>2413</v>
      </c>
      <c r="AD376" s="8" t="str">
        <f>IFERROR(AC376/AC444, "NA")</f>
        <v>NA</v>
      </c>
    </row>
    <row r="377" spans="1:30" ht="16.5" hidden="1" customHeight="1" x14ac:dyDescent="0.45">
      <c r="A377" s="20" t="s">
        <v>345</v>
      </c>
      <c r="B377" s="7">
        <v>0</v>
      </c>
      <c r="C377" s="8" t="str">
        <f>IFERROR(B377/B444, "NA")</f>
        <v>NA</v>
      </c>
      <c r="D377" s="9"/>
      <c r="E377" s="7">
        <v>0</v>
      </c>
      <c r="F377" s="8" t="str">
        <f>IFERROR(E377/E444, "NA")</f>
        <v>NA</v>
      </c>
      <c r="G377" s="9"/>
      <c r="H377" s="10">
        <f t="shared" si="92"/>
        <v>0</v>
      </c>
      <c r="I377" s="8" t="str">
        <f>IFERROR(H377/H444, "NA")</f>
        <v>NA</v>
      </c>
      <c r="J377" s="9"/>
      <c r="K377" s="7">
        <v>0</v>
      </c>
      <c r="L377" s="8" t="str">
        <f>IFERROR(K377/K444, "NA")</f>
        <v>NA</v>
      </c>
      <c r="M377" s="9"/>
      <c r="N377" s="10">
        <f t="shared" si="93"/>
        <v>0</v>
      </c>
      <c r="O377" s="8" t="str">
        <f>IFERROR(N377/N444, "NA")</f>
        <v>NA</v>
      </c>
      <c r="P377" s="9"/>
      <c r="Q377" s="7">
        <v>0</v>
      </c>
      <c r="R377" s="8" t="str">
        <f>IFERROR(Q377/Q444, "NA")</f>
        <v>NA</v>
      </c>
      <c r="S377" s="9"/>
      <c r="T377" s="7">
        <v>0</v>
      </c>
      <c r="U377" s="8" t="str">
        <f>IFERROR(T377/T444, "NA")</f>
        <v>NA</v>
      </c>
      <c r="V377" s="9"/>
      <c r="W377" s="10">
        <f t="shared" si="94"/>
        <v>0</v>
      </c>
      <c r="X377" s="8" t="str">
        <f>IFERROR(W377/W444, "NA")</f>
        <v>NA</v>
      </c>
      <c r="Y377" s="9"/>
      <c r="Z377" s="7">
        <v>0</v>
      </c>
      <c r="AA377" s="8" t="str">
        <f>IFERROR(Z377/Z444, "NA")</f>
        <v>NA</v>
      </c>
      <c r="AB377" s="9"/>
      <c r="AC377" s="10">
        <f t="shared" si="95"/>
        <v>0</v>
      </c>
      <c r="AD377" s="8" t="str">
        <f>IFERROR(AC377/AC444, "NA")</f>
        <v>NA</v>
      </c>
    </row>
    <row r="378" spans="1:30" ht="16.5" customHeight="1" x14ac:dyDescent="0.45">
      <c r="A378" s="20" t="s">
        <v>346</v>
      </c>
      <c r="B378" s="7">
        <v>9061.9</v>
      </c>
      <c r="C378" s="8" t="str">
        <f>IFERROR(B378/B444, "NA")</f>
        <v>NA</v>
      </c>
      <c r="D378" s="9"/>
      <c r="E378" s="7">
        <v>8470.33</v>
      </c>
      <c r="F378" s="8" t="str">
        <f>IFERROR(E378/E444, "NA")</f>
        <v>NA</v>
      </c>
      <c r="G378" s="9"/>
      <c r="H378" s="10">
        <f t="shared" si="92"/>
        <v>-591.56999999999971</v>
      </c>
      <c r="I378" s="8" t="str">
        <f>IFERROR(H378/H444, "NA")</f>
        <v>NA</v>
      </c>
      <c r="J378" s="9"/>
      <c r="K378" s="7">
        <v>6121.35</v>
      </c>
      <c r="L378" s="8" t="str">
        <f>IFERROR(K378/K444, "NA")</f>
        <v>NA</v>
      </c>
      <c r="M378" s="9"/>
      <c r="N378" s="10">
        <f t="shared" si="93"/>
        <v>-2940.5499999999993</v>
      </c>
      <c r="O378" s="8" t="str">
        <f>IFERROR(N378/N444, "NA")</f>
        <v>NA</v>
      </c>
      <c r="P378" s="9"/>
      <c r="Q378" s="7">
        <v>43630.02</v>
      </c>
      <c r="R378" s="8" t="str">
        <f>IFERROR(Q378/Q444, "NA")</f>
        <v>NA</v>
      </c>
      <c r="S378" s="9"/>
      <c r="T378" s="7">
        <v>42351.65</v>
      </c>
      <c r="U378" s="8" t="str">
        <f>IFERROR(T378/T444, "NA")</f>
        <v>NA</v>
      </c>
      <c r="V378" s="9"/>
      <c r="W378" s="10">
        <f t="shared" si="94"/>
        <v>-1278.3699999999953</v>
      </c>
      <c r="X378" s="8" t="str">
        <f>IFERROR(W378/W444, "NA")</f>
        <v>NA</v>
      </c>
      <c r="Y378" s="9"/>
      <c r="Z378" s="7">
        <v>29240.639999999999</v>
      </c>
      <c r="AA378" s="8" t="str">
        <f>IFERROR(Z378/Z444, "NA")</f>
        <v>NA</v>
      </c>
      <c r="AB378" s="9"/>
      <c r="AC378" s="10">
        <f t="shared" si="95"/>
        <v>-14389.379999999997</v>
      </c>
      <c r="AD378" s="8" t="str">
        <f>IFERROR(AC378/AC444, "NA")</f>
        <v>NA</v>
      </c>
    </row>
    <row r="379" spans="1:30" ht="16.5" customHeight="1" x14ac:dyDescent="0.45">
      <c r="A379" s="20" t="s">
        <v>347</v>
      </c>
      <c r="B379" s="7">
        <v>1217.19</v>
      </c>
      <c r="C379" s="8" t="str">
        <f>IFERROR(B379/B444, "NA")</f>
        <v>NA</v>
      </c>
      <c r="D379" s="9"/>
      <c r="E379" s="7">
        <v>200</v>
      </c>
      <c r="F379" s="8" t="str">
        <f>IFERROR(E379/E444, "NA")</f>
        <v>NA</v>
      </c>
      <c r="G379" s="9"/>
      <c r="H379" s="10">
        <f t="shared" si="92"/>
        <v>-1017.19</v>
      </c>
      <c r="I379" s="8" t="str">
        <f>IFERROR(H379/H444, "NA")</f>
        <v>NA</v>
      </c>
      <c r="J379" s="9"/>
      <c r="K379" s="7">
        <v>156.80000000000001</v>
      </c>
      <c r="L379" s="8" t="str">
        <f>IFERROR(K379/K444, "NA")</f>
        <v>NA</v>
      </c>
      <c r="M379" s="9"/>
      <c r="N379" s="10">
        <f t="shared" si="93"/>
        <v>-1060.3900000000001</v>
      </c>
      <c r="O379" s="8" t="str">
        <f>IFERROR(N379/N444, "NA")</f>
        <v>NA</v>
      </c>
      <c r="P379" s="9"/>
      <c r="Q379" s="7">
        <v>5028.83</v>
      </c>
      <c r="R379" s="8" t="str">
        <f>IFERROR(Q379/Q444, "NA")</f>
        <v>NA</v>
      </c>
      <c r="S379" s="9"/>
      <c r="T379" s="7">
        <v>1000</v>
      </c>
      <c r="U379" s="8" t="str">
        <f>IFERROR(T379/T444, "NA")</f>
        <v>NA</v>
      </c>
      <c r="V379" s="9"/>
      <c r="W379" s="10">
        <f t="shared" si="94"/>
        <v>-4028.83</v>
      </c>
      <c r="X379" s="8" t="str">
        <f>IFERROR(W379/W444, "NA")</f>
        <v>NA</v>
      </c>
      <c r="Y379" s="9"/>
      <c r="Z379" s="7">
        <v>1515.03</v>
      </c>
      <c r="AA379" s="8" t="str">
        <f>IFERROR(Z379/Z444, "NA")</f>
        <v>NA</v>
      </c>
      <c r="AB379" s="9"/>
      <c r="AC379" s="10">
        <f t="shared" si="95"/>
        <v>-3513.8</v>
      </c>
      <c r="AD379" s="8" t="str">
        <f>IFERROR(AC379/AC444, "NA")</f>
        <v>NA</v>
      </c>
    </row>
    <row r="380" spans="1:30" ht="16.5" customHeight="1" x14ac:dyDescent="0.45">
      <c r="A380" s="20" t="s">
        <v>348</v>
      </c>
      <c r="B380" s="7">
        <v>11500</v>
      </c>
      <c r="C380" s="8" t="str">
        <f>IFERROR(B380/B444, "NA")</f>
        <v>NA</v>
      </c>
      <c r="D380" s="9"/>
      <c r="E380" s="7">
        <v>11500</v>
      </c>
      <c r="F380" s="8" t="str">
        <f>IFERROR(E380/E444, "NA")</f>
        <v>NA</v>
      </c>
      <c r="G380" s="9"/>
      <c r="H380" s="10">
        <f t="shared" si="92"/>
        <v>0</v>
      </c>
      <c r="I380" s="8" t="str">
        <f>IFERROR(H380/H444, "NA")</f>
        <v>NA</v>
      </c>
      <c r="J380" s="9"/>
      <c r="K380" s="7">
        <v>11500</v>
      </c>
      <c r="L380" s="8" t="str">
        <f>IFERROR(K380/K444, "NA")</f>
        <v>NA</v>
      </c>
      <c r="M380" s="9"/>
      <c r="N380" s="10">
        <f t="shared" si="93"/>
        <v>0</v>
      </c>
      <c r="O380" s="8" t="str">
        <f>IFERROR(N380/N444, "NA")</f>
        <v>NA</v>
      </c>
      <c r="P380" s="9"/>
      <c r="Q380" s="7">
        <v>57500</v>
      </c>
      <c r="R380" s="8" t="str">
        <f>IFERROR(Q380/Q444, "NA")</f>
        <v>NA</v>
      </c>
      <c r="S380" s="9"/>
      <c r="T380" s="7">
        <v>57500</v>
      </c>
      <c r="U380" s="8" t="str">
        <f>IFERROR(T380/T444, "NA")</f>
        <v>NA</v>
      </c>
      <c r="V380" s="9"/>
      <c r="W380" s="10">
        <f t="shared" si="94"/>
        <v>0</v>
      </c>
      <c r="X380" s="8" t="str">
        <f>IFERROR(W380/W444, "NA")</f>
        <v>NA</v>
      </c>
      <c r="Y380" s="9"/>
      <c r="Z380" s="7">
        <v>57500</v>
      </c>
      <c r="AA380" s="8" t="str">
        <f>IFERROR(Z380/Z444, "NA")</f>
        <v>NA</v>
      </c>
      <c r="AB380" s="9"/>
      <c r="AC380" s="10">
        <f t="shared" si="95"/>
        <v>0</v>
      </c>
      <c r="AD380" s="8" t="str">
        <f>IFERROR(AC380/AC444, "NA")</f>
        <v>NA</v>
      </c>
    </row>
    <row r="381" spans="1:30" ht="16.5" customHeight="1" x14ac:dyDescent="0.45">
      <c r="A381" s="20" t="s">
        <v>349</v>
      </c>
      <c r="B381" s="7">
        <v>4000</v>
      </c>
      <c r="C381" s="8" t="str">
        <f>IFERROR(B381/B444, "NA")</f>
        <v>NA</v>
      </c>
      <c r="D381" s="9"/>
      <c r="E381" s="7">
        <v>4000</v>
      </c>
      <c r="F381" s="8" t="str">
        <f>IFERROR(E381/E444, "NA")</f>
        <v>NA</v>
      </c>
      <c r="G381" s="9"/>
      <c r="H381" s="10">
        <f t="shared" si="92"/>
        <v>0</v>
      </c>
      <c r="I381" s="8" t="str">
        <f>IFERROR(H381/H444, "NA")</f>
        <v>NA</v>
      </c>
      <c r="J381" s="9"/>
      <c r="K381" s="7">
        <v>4167</v>
      </c>
      <c r="L381" s="8" t="str">
        <f>IFERROR(K381/K444, "NA")</f>
        <v>NA</v>
      </c>
      <c r="M381" s="9"/>
      <c r="N381" s="10">
        <f t="shared" si="93"/>
        <v>167</v>
      </c>
      <c r="O381" s="8" t="str">
        <f>IFERROR(N381/N444, "NA")</f>
        <v>NA</v>
      </c>
      <c r="P381" s="9"/>
      <c r="Q381" s="7">
        <v>30491.51</v>
      </c>
      <c r="R381" s="8" t="str">
        <f>IFERROR(Q381/Q444, "NA")</f>
        <v>NA</v>
      </c>
      <c r="S381" s="9"/>
      <c r="T381" s="7">
        <v>20000</v>
      </c>
      <c r="U381" s="8" t="str">
        <f>IFERROR(T381/T444, "NA")</f>
        <v>NA</v>
      </c>
      <c r="V381" s="9"/>
      <c r="W381" s="10">
        <f t="shared" si="94"/>
        <v>-10491.509999999998</v>
      </c>
      <c r="X381" s="8" t="str">
        <f>IFERROR(W381/W444, "NA")</f>
        <v>NA</v>
      </c>
      <c r="Y381" s="9"/>
      <c r="Z381" s="7">
        <v>40029.519999999997</v>
      </c>
      <c r="AA381" s="8" t="str">
        <f>IFERROR(Z381/Z444, "NA")</f>
        <v>NA</v>
      </c>
      <c r="AB381" s="9"/>
      <c r="AC381" s="10">
        <f t="shared" si="95"/>
        <v>9538.0099999999984</v>
      </c>
      <c r="AD381" s="8" t="str">
        <f>IFERROR(AC381/AC444, "NA")</f>
        <v>NA</v>
      </c>
    </row>
    <row r="382" spans="1:30" ht="16.5" customHeight="1" x14ac:dyDescent="0.45">
      <c r="A382" s="20" t="s">
        <v>350</v>
      </c>
      <c r="B382" s="7">
        <v>648.72</v>
      </c>
      <c r="C382" s="8" t="str">
        <f>IFERROR(B382/B444, "NA")</f>
        <v>NA</v>
      </c>
      <c r="D382" s="9"/>
      <c r="E382" s="7">
        <v>795</v>
      </c>
      <c r="F382" s="8" t="str">
        <f>IFERROR(E382/E444, "NA")</f>
        <v>NA</v>
      </c>
      <c r="G382" s="9"/>
      <c r="H382" s="10">
        <f t="shared" si="92"/>
        <v>146.27999999999997</v>
      </c>
      <c r="I382" s="8" t="str">
        <f>IFERROR(H382/H444, "NA")</f>
        <v>NA</v>
      </c>
      <c r="J382" s="9"/>
      <c r="K382" s="7">
        <v>0</v>
      </c>
      <c r="L382" s="8" t="str">
        <f>IFERROR(K382/K444, "NA")</f>
        <v>NA</v>
      </c>
      <c r="M382" s="9"/>
      <c r="N382" s="10">
        <f t="shared" si="93"/>
        <v>-648.72</v>
      </c>
      <c r="O382" s="8" t="str">
        <f>IFERROR(N382/N444, "NA")</f>
        <v>NA</v>
      </c>
      <c r="P382" s="9"/>
      <c r="Q382" s="7">
        <v>2791.76</v>
      </c>
      <c r="R382" s="8" t="str">
        <f>IFERROR(Q382/Q444, "NA")</f>
        <v>NA</v>
      </c>
      <c r="S382" s="9"/>
      <c r="T382" s="7">
        <v>3975</v>
      </c>
      <c r="U382" s="8" t="str">
        <f>IFERROR(T382/T444, "NA")</f>
        <v>NA</v>
      </c>
      <c r="V382" s="9"/>
      <c r="W382" s="10">
        <f t="shared" si="94"/>
        <v>1183.2399999999998</v>
      </c>
      <c r="X382" s="8" t="str">
        <f>IFERROR(W382/W444, "NA")</f>
        <v>NA</v>
      </c>
      <c r="Y382" s="9"/>
      <c r="Z382" s="7">
        <v>1479.69</v>
      </c>
      <c r="AA382" s="8" t="str">
        <f>IFERROR(Z382/Z444, "NA")</f>
        <v>NA</v>
      </c>
      <c r="AB382" s="9"/>
      <c r="AC382" s="10">
        <f t="shared" si="95"/>
        <v>-1312.0700000000002</v>
      </c>
      <c r="AD382" s="8" t="str">
        <f>IFERROR(AC382/AC444, "NA")</f>
        <v>NA</v>
      </c>
    </row>
    <row r="383" spans="1:30" ht="16.5" hidden="1" customHeight="1" x14ac:dyDescent="0.45">
      <c r="A383" s="20" t="s">
        <v>351</v>
      </c>
      <c r="B383" s="7">
        <v>0</v>
      </c>
      <c r="C383" s="8" t="str">
        <f>IFERROR(B383/B444, "NA")</f>
        <v>NA</v>
      </c>
      <c r="D383" s="9"/>
      <c r="E383" s="7">
        <v>0</v>
      </c>
      <c r="F383" s="8" t="str">
        <f>IFERROR(E383/E444, "NA")</f>
        <v>NA</v>
      </c>
      <c r="G383" s="9"/>
      <c r="H383" s="10">
        <f t="shared" si="92"/>
        <v>0</v>
      </c>
      <c r="I383" s="8" t="str">
        <f>IFERROR(H383/H444, "NA")</f>
        <v>NA</v>
      </c>
      <c r="J383" s="9"/>
      <c r="K383" s="7">
        <v>0</v>
      </c>
      <c r="L383" s="8" t="str">
        <f>IFERROR(K383/K444, "NA")</f>
        <v>NA</v>
      </c>
      <c r="M383" s="9"/>
      <c r="N383" s="10">
        <f t="shared" si="93"/>
        <v>0</v>
      </c>
      <c r="O383" s="8" t="str">
        <f>IFERROR(N383/N444, "NA")</f>
        <v>NA</v>
      </c>
      <c r="P383" s="9"/>
      <c r="Q383" s="7">
        <v>0</v>
      </c>
      <c r="R383" s="8" t="str">
        <f>IFERROR(Q383/Q444, "NA")</f>
        <v>NA</v>
      </c>
      <c r="S383" s="9"/>
      <c r="T383" s="7">
        <v>0</v>
      </c>
      <c r="U383" s="8" t="str">
        <f>IFERROR(T383/T444, "NA")</f>
        <v>NA</v>
      </c>
      <c r="V383" s="9"/>
      <c r="W383" s="10">
        <f t="shared" si="94"/>
        <v>0</v>
      </c>
      <c r="X383" s="8" t="str">
        <f>IFERROR(W383/W444, "NA")</f>
        <v>NA</v>
      </c>
      <c r="Y383" s="9"/>
      <c r="Z383" s="7">
        <v>0</v>
      </c>
      <c r="AA383" s="8" t="str">
        <f>IFERROR(Z383/Z444, "NA")</f>
        <v>NA</v>
      </c>
      <c r="AB383" s="9"/>
      <c r="AC383" s="10">
        <f t="shared" si="95"/>
        <v>0</v>
      </c>
      <c r="AD383" s="8" t="str">
        <f>IFERROR(AC383/AC444, "NA")</f>
        <v>NA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customHeight="1" x14ac:dyDescent="0.45">
      <c r="A385" s="6" t="s">
        <v>352</v>
      </c>
      <c r="B385" s="7">
        <v>3768.79</v>
      </c>
      <c r="C385" s="8" t="str">
        <f>IFERROR(B385/B444, "NA")</f>
        <v>NA</v>
      </c>
      <c r="D385" s="9"/>
      <c r="E385" s="7">
        <v>1303.52</v>
      </c>
      <c r="F385" s="8" t="str">
        <f>IFERROR(E385/E444, "NA")</f>
        <v>NA</v>
      </c>
      <c r="G385" s="9"/>
      <c r="H385" s="10">
        <f>IFERROR(-(B385-E385), "NA")</f>
        <v>-2465.27</v>
      </c>
      <c r="I385" s="8" t="str">
        <f>IFERROR(H385/H444, "NA")</f>
        <v>NA</v>
      </c>
      <c r="J385" s="9"/>
      <c r="K385" s="7">
        <v>972.2</v>
      </c>
      <c r="L385" s="8" t="str">
        <f>IFERROR(K385/K444, "NA")</f>
        <v>NA</v>
      </c>
      <c r="M385" s="9"/>
      <c r="N385" s="10">
        <f>IFERROR(-(B385-K385), "NA")</f>
        <v>-2796.59</v>
      </c>
      <c r="O385" s="8" t="str">
        <f>IFERROR(N385/N444, "NA")</f>
        <v>NA</v>
      </c>
      <c r="P385" s="9"/>
      <c r="Q385" s="7">
        <v>17586.55</v>
      </c>
      <c r="R385" s="8" t="str">
        <f>IFERROR(Q385/Q444, "NA")</f>
        <v>NA</v>
      </c>
      <c r="S385" s="9"/>
      <c r="T385" s="7">
        <v>13475.64</v>
      </c>
      <c r="U385" s="8" t="str">
        <f>IFERROR(T385/T444, "NA")</f>
        <v>NA</v>
      </c>
      <c r="V385" s="9"/>
      <c r="W385" s="10">
        <f>IFERROR(-(Q385-T385), "NA")</f>
        <v>-4110.91</v>
      </c>
      <c r="X385" s="8" t="str">
        <f>IFERROR(W385/W444, "NA")</f>
        <v>NA</v>
      </c>
      <c r="Y385" s="9"/>
      <c r="Z385" s="7">
        <v>11114.23</v>
      </c>
      <c r="AA385" s="8" t="str">
        <f>IFERROR(Z385/Z444, "NA")</f>
        <v>NA</v>
      </c>
      <c r="AB385" s="9"/>
      <c r="AC385" s="10">
        <f>IFERROR(-(Q385-Z385), "NA")</f>
        <v>-6472.32</v>
      </c>
      <c r="AD385" s="8" t="str">
        <f>IFERROR(AC385/AC444, "NA")</f>
        <v>NA</v>
      </c>
    </row>
    <row r="386" spans="1:30" ht="16.5" customHeight="1" x14ac:dyDescent="0.45">
      <c r="A386" s="6" t="s">
        <v>353</v>
      </c>
      <c r="B386" s="7">
        <v>0</v>
      </c>
      <c r="C386" s="8" t="str">
        <f>IFERROR(B386/B444, "NA")</f>
        <v>NA</v>
      </c>
      <c r="D386" s="9"/>
      <c r="E386" s="7">
        <v>0</v>
      </c>
      <c r="F386" s="8" t="str">
        <f>IFERROR(E386/E444, "NA")</f>
        <v>NA</v>
      </c>
      <c r="G386" s="9"/>
      <c r="H386" s="10">
        <f>IFERROR(-(B386-E386), "NA")</f>
        <v>0</v>
      </c>
      <c r="I386" s="8" t="str">
        <f>IFERROR(H386/H444, "NA")</f>
        <v>NA</v>
      </c>
      <c r="J386" s="9"/>
      <c r="K386" s="7">
        <v>1716.9</v>
      </c>
      <c r="L386" s="8" t="str">
        <f>IFERROR(K386/K444, "NA")</f>
        <v>NA</v>
      </c>
      <c r="M386" s="9"/>
      <c r="N386" s="10">
        <f>IFERROR(-(B386-K386), "NA")</f>
        <v>1716.9</v>
      </c>
      <c r="O386" s="8" t="str">
        <f>IFERROR(N386/N444, "NA")</f>
        <v>NA</v>
      </c>
      <c r="P386" s="9"/>
      <c r="Q386" s="7">
        <v>51.47</v>
      </c>
      <c r="R386" s="8" t="str">
        <f>IFERROR(Q386/Q444, "NA")</f>
        <v>NA</v>
      </c>
      <c r="S386" s="9"/>
      <c r="T386" s="7">
        <v>0</v>
      </c>
      <c r="U386" s="8" t="str">
        <f>IFERROR(T386/T444, "NA")</f>
        <v>NA</v>
      </c>
      <c r="V386" s="9"/>
      <c r="W386" s="10">
        <f>IFERROR(-(Q386-T386), "NA")</f>
        <v>-51.47</v>
      </c>
      <c r="X386" s="8" t="str">
        <f>IFERROR(W386/W444, "NA")</f>
        <v>NA</v>
      </c>
      <c r="Y386" s="9"/>
      <c r="Z386" s="7">
        <v>4371.13</v>
      </c>
      <c r="AA386" s="8" t="str">
        <f>IFERROR(Z386/Z444, "NA")</f>
        <v>NA</v>
      </c>
      <c r="AB386" s="9"/>
      <c r="AC386" s="10">
        <f>IFERROR(-(Q386-Z386), "NA")</f>
        <v>4319.66</v>
      </c>
      <c r="AD386" s="8" t="str">
        <f>IFERROR(AC386/AC444, "NA")</f>
        <v>NA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 t="str">
        <f>IFERROR(B388/B444, "NA")</f>
        <v>NA</v>
      </c>
      <c r="D388" s="9"/>
      <c r="E388" s="7">
        <v>0</v>
      </c>
      <c r="F388" s="8" t="str">
        <f>IFERROR(E388/E444, "NA")</f>
        <v>NA</v>
      </c>
      <c r="G388" s="9"/>
      <c r="H388" s="10">
        <f t="shared" ref="H388:H403" si="96">IFERROR(-(B388-E388), "NA")</f>
        <v>0</v>
      </c>
      <c r="I388" s="8" t="str">
        <f>IFERROR(H388/H444, "NA")</f>
        <v>NA</v>
      </c>
      <c r="J388" s="9"/>
      <c r="K388" s="7">
        <v>0</v>
      </c>
      <c r="L388" s="8" t="str">
        <f>IFERROR(K388/K444, "NA")</f>
        <v>NA</v>
      </c>
      <c r="M388" s="9"/>
      <c r="N388" s="10">
        <f t="shared" ref="N388:N403" si="97">IFERROR(-(B388-K388), "NA")</f>
        <v>0</v>
      </c>
      <c r="O388" s="8" t="str">
        <f>IFERROR(N388/N444, "NA")</f>
        <v>NA</v>
      </c>
      <c r="P388" s="9"/>
      <c r="Q388" s="7">
        <v>0</v>
      </c>
      <c r="R388" s="8" t="str">
        <f>IFERROR(Q388/Q444, "NA")</f>
        <v>NA</v>
      </c>
      <c r="S388" s="9"/>
      <c r="T388" s="7">
        <v>0</v>
      </c>
      <c r="U388" s="8" t="str">
        <f>IFERROR(T388/T444, "NA")</f>
        <v>NA</v>
      </c>
      <c r="V388" s="9"/>
      <c r="W388" s="10">
        <f t="shared" ref="W388:W403" si="98">IFERROR(-(Q388-T388), "NA")</f>
        <v>0</v>
      </c>
      <c r="X388" s="8" t="str">
        <f>IFERROR(W388/W444, "NA")</f>
        <v>NA</v>
      </c>
      <c r="Y388" s="9"/>
      <c r="Z388" s="7">
        <v>0</v>
      </c>
      <c r="AA388" s="8" t="str">
        <f>IFERROR(Z388/Z444, "NA")</f>
        <v>NA</v>
      </c>
      <c r="AB388" s="9"/>
      <c r="AC388" s="10">
        <f t="shared" ref="AC388:AC403" si="99">IFERROR(-(Q388-Z388), "NA")</f>
        <v>0</v>
      </c>
      <c r="AD388" s="8" t="str">
        <f>IFERROR(AC388/AC444, "NA")</f>
        <v>NA</v>
      </c>
    </row>
    <row r="389" spans="1:30" ht="16.5" customHeight="1" x14ac:dyDescent="0.45">
      <c r="A389" s="12" t="s">
        <v>355</v>
      </c>
      <c r="B389" s="7">
        <v>4539.07</v>
      </c>
      <c r="C389" s="8" t="str">
        <f>IFERROR(B389/B444, "NA")</f>
        <v>NA</v>
      </c>
      <c r="D389" s="9"/>
      <c r="E389" s="7">
        <v>2957.52</v>
      </c>
      <c r="F389" s="8" t="str">
        <f>IFERROR(E389/E444, "NA")</f>
        <v>NA</v>
      </c>
      <c r="G389" s="9"/>
      <c r="H389" s="10">
        <f t="shared" si="96"/>
        <v>-1581.5499999999997</v>
      </c>
      <c r="I389" s="8" t="str">
        <f>IFERROR(H389/H444, "NA")</f>
        <v>NA</v>
      </c>
      <c r="J389" s="9"/>
      <c r="K389" s="7">
        <v>1350.03</v>
      </c>
      <c r="L389" s="8" t="str">
        <f>IFERROR(K389/K444, "NA")</f>
        <v>NA</v>
      </c>
      <c r="M389" s="9"/>
      <c r="N389" s="10">
        <f t="shared" si="97"/>
        <v>-3189.04</v>
      </c>
      <c r="O389" s="8" t="str">
        <f>IFERROR(N389/N444, "NA")</f>
        <v>NA</v>
      </c>
      <c r="P389" s="9"/>
      <c r="Q389" s="7">
        <v>21081.37</v>
      </c>
      <c r="R389" s="8" t="str">
        <f>IFERROR(Q389/Q444, "NA")</f>
        <v>NA</v>
      </c>
      <c r="S389" s="9"/>
      <c r="T389" s="7">
        <v>13042.94</v>
      </c>
      <c r="U389" s="8" t="str">
        <f>IFERROR(T389/T444, "NA")</f>
        <v>NA</v>
      </c>
      <c r="V389" s="9"/>
      <c r="W389" s="10">
        <f t="shared" si="98"/>
        <v>-8038.4299999999985</v>
      </c>
      <c r="X389" s="8" t="str">
        <f>IFERROR(W389/W444, "NA")</f>
        <v>NA</v>
      </c>
      <c r="Y389" s="9"/>
      <c r="Z389" s="7">
        <v>6132.48</v>
      </c>
      <c r="AA389" s="8" t="str">
        <f>IFERROR(Z389/Z444, "NA")</f>
        <v>NA</v>
      </c>
      <c r="AB389" s="9"/>
      <c r="AC389" s="10">
        <f t="shared" si="99"/>
        <v>-14948.89</v>
      </c>
      <c r="AD389" s="8" t="str">
        <f>IFERROR(AC389/AC444, "NA")</f>
        <v>NA</v>
      </c>
    </row>
    <row r="390" spans="1:30" ht="16.5" customHeight="1" x14ac:dyDescent="0.45">
      <c r="A390" s="12" t="s">
        <v>356</v>
      </c>
      <c r="B390" s="7">
        <v>9868.84</v>
      </c>
      <c r="C390" s="8" t="str">
        <f>IFERROR(B390/B444, "NA")</f>
        <v>NA</v>
      </c>
      <c r="D390" s="9"/>
      <c r="E390" s="7">
        <v>14370.95</v>
      </c>
      <c r="F390" s="8" t="str">
        <f>IFERROR(E390/E444, "NA")</f>
        <v>NA</v>
      </c>
      <c r="G390" s="9"/>
      <c r="H390" s="10">
        <f t="shared" si="96"/>
        <v>4502.1100000000006</v>
      </c>
      <c r="I390" s="8" t="str">
        <f>IFERROR(H390/H444, "NA")</f>
        <v>NA</v>
      </c>
      <c r="J390" s="9"/>
      <c r="K390" s="7">
        <v>18850.62</v>
      </c>
      <c r="L390" s="8" t="str">
        <f>IFERROR(K390/K444, "NA")</f>
        <v>NA</v>
      </c>
      <c r="M390" s="9"/>
      <c r="N390" s="10">
        <f t="shared" si="97"/>
        <v>8981.7799999999988</v>
      </c>
      <c r="O390" s="8" t="str">
        <f>IFERROR(N390/N444, "NA")</f>
        <v>NA</v>
      </c>
      <c r="P390" s="9"/>
      <c r="Q390" s="7">
        <v>54838.06</v>
      </c>
      <c r="R390" s="8" t="str">
        <f>IFERROR(Q390/Q444, "NA")</f>
        <v>NA</v>
      </c>
      <c r="S390" s="9"/>
      <c r="T390" s="7">
        <v>63377.14</v>
      </c>
      <c r="U390" s="8" t="str">
        <f>IFERROR(T390/T444, "NA")</f>
        <v>NA</v>
      </c>
      <c r="V390" s="9"/>
      <c r="W390" s="10">
        <f t="shared" si="98"/>
        <v>8539.0800000000017</v>
      </c>
      <c r="X390" s="8" t="str">
        <f>IFERROR(W390/W444, "NA")</f>
        <v>NA</v>
      </c>
      <c r="Y390" s="9"/>
      <c r="Z390" s="7">
        <v>66370.27</v>
      </c>
      <c r="AA390" s="8" t="str">
        <f>IFERROR(Z390/Z444, "NA")</f>
        <v>NA</v>
      </c>
      <c r="AB390" s="9"/>
      <c r="AC390" s="10">
        <f t="shared" si="99"/>
        <v>11532.210000000006</v>
      </c>
      <c r="AD390" s="8" t="str">
        <f>IFERROR(AC390/AC444, "NA")</f>
        <v>NA</v>
      </c>
    </row>
    <row r="391" spans="1:30" ht="16.5" hidden="1" customHeight="1" x14ac:dyDescent="0.45">
      <c r="A391" s="12" t="s">
        <v>357</v>
      </c>
      <c r="B391" s="7">
        <v>0</v>
      </c>
      <c r="C391" s="8" t="str">
        <f>IFERROR(B391/B444, "NA")</f>
        <v>NA</v>
      </c>
      <c r="D391" s="9"/>
      <c r="E391" s="7">
        <v>0</v>
      </c>
      <c r="F391" s="8" t="str">
        <f>IFERROR(E391/E444, "NA")</f>
        <v>NA</v>
      </c>
      <c r="G391" s="9"/>
      <c r="H391" s="10">
        <f t="shared" si="96"/>
        <v>0</v>
      </c>
      <c r="I391" s="8" t="str">
        <f>IFERROR(H391/H444, "NA")</f>
        <v>NA</v>
      </c>
      <c r="J391" s="9"/>
      <c r="K391" s="7">
        <v>0</v>
      </c>
      <c r="L391" s="8" t="str">
        <f>IFERROR(K391/K444, "NA")</f>
        <v>NA</v>
      </c>
      <c r="M391" s="9"/>
      <c r="N391" s="10">
        <f t="shared" si="97"/>
        <v>0</v>
      </c>
      <c r="O391" s="8" t="str">
        <f>IFERROR(N391/N444, "NA")</f>
        <v>NA</v>
      </c>
      <c r="P391" s="9"/>
      <c r="Q391" s="7">
        <v>0</v>
      </c>
      <c r="R391" s="8" t="str">
        <f>IFERROR(Q391/Q444, "NA")</f>
        <v>NA</v>
      </c>
      <c r="S391" s="9"/>
      <c r="T391" s="7">
        <v>0</v>
      </c>
      <c r="U391" s="8" t="str">
        <f>IFERROR(T391/T444, "NA")</f>
        <v>NA</v>
      </c>
      <c r="V391" s="9"/>
      <c r="W391" s="10">
        <f t="shared" si="98"/>
        <v>0</v>
      </c>
      <c r="X391" s="8" t="str">
        <f>IFERROR(W391/W444, "NA")</f>
        <v>NA</v>
      </c>
      <c r="Y391" s="9"/>
      <c r="Z391" s="7">
        <v>0</v>
      </c>
      <c r="AA391" s="8" t="str">
        <f>IFERROR(Z391/Z444, "NA")</f>
        <v>NA</v>
      </c>
      <c r="AB391" s="9"/>
      <c r="AC391" s="10">
        <f t="shared" si="99"/>
        <v>0</v>
      </c>
      <c r="AD391" s="8" t="str">
        <f>IFERROR(AC391/AC444, "NA")</f>
        <v>NA</v>
      </c>
    </row>
    <row r="392" spans="1:30" ht="16.5" customHeight="1" x14ac:dyDescent="0.45">
      <c r="A392" s="12" t="s">
        <v>358</v>
      </c>
      <c r="B392" s="7">
        <v>4240.24</v>
      </c>
      <c r="C392" s="8" t="str">
        <f>IFERROR(B392/B444, "NA")</f>
        <v>NA</v>
      </c>
      <c r="D392" s="9"/>
      <c r="E392" s="7">
        <v>2207.7199999999998</v>
      </c>
      <c r="F392" s="8" t="str">
        <f>IFERROR(E392/E444, "NA")</f>
        <v>NA</v>
      </c>
      <c r="G392" s="9"/>
      <c r="H392" s="10">
        <f t="shared" si="96"/>
        <v>-2032.52</v>
      </c>
      <c r="I392" s="8" t="str">
        <f>IFERROR(H392/H444, "NA")</f>
        <v>NA</v>
      </c>
      <c r="J392" s="9"/>
      <c r="K392" s="7">
        <v>3951.46</v>
      </c>
      <c r="L392" s="8" t="str">
        <f>IFERROR(K392/K444, "NA")</f>
        <v>NA</v>
      </c>
      <c r="M392" s="9"/>
      <c r="N392" s="10">
        <f t="shared" si="97"/>
        <v>-288.77999999999975</v>
      </c>
      <c r="O392" s="8" t="str">
        <f>IFERROR(N392/N444, "NA")</f>
        <v>NA</v>
      </c>
      <c r="P392" s="9"/>
      <c r="Q392" s="7">
        <v>24215.119999999999</v>
      </c>
      <c r="R392" s="8" t="str">
        <f>IFERROR(Q392/Q444, "NA")</f>
        <v>NA</v>
      </c>
      <c r="S392" s="9"/>
      <c r="T392" s="7">
        <v>9736.24</v>
      </c>
      <c r="U392" s="8" t="str">
        <f>IFERROR(T392/T444, "NA")</f>
        <v>NA</v>
      </c>
      <c r="V392" s="9"/>
      <c r="W392" s="10">
        <f t="shared" si="98"/>
        <v>-14478.88</v>
      </c>
      <c r="X392" s="8" t="str">
        <f>IFERROR(W392/W444, "NA")</f>
        <v>NA</v>
      </c>
      <c r="Y392" s="9"/>
      <c r="Z392" s="7">
        <v>14029.43</v>
      </c>
      <c r="AA392" s="8" t="str">
        <f>IFERROR(Z392/Z444, "NA")</f>
        <v>NA</v>
      </c>
      <c r="AB392" s="9"/>
      <c r="AC392" s="10">
        <f t="shared" si="99"/>
        <v>-10185.689999999999</v>
      </c>
      <c r="AD392" s="8" t="str">
        <f>IFERROR(AC392/AC444, "NA")</f>
        <v>NA</v>
      </c>
    </row>
    <row r="393" spans="1:30" ht="16.5" customHeight="1" x14ac:dyDescent="0.45">
      <c r="A393" s="13" t="s">
        <v>359</v>
      </c>
      <c r="B393" s="14">
        <f>IFERROR(B388+B389+B390+B391+B392, "NA")</f>
        <v>18648.150000000001</v>
      </c>
      <c r="C393" s="15" t="str">
        <f>IFERROR(B393/B444, "NA")</f>
        <v>NA</v>
      </c>
      <c r="D393" s="2"/>
      <c r="E393" s="14">
        <f>IFERROR(E388+E389+E390+E391+E392, "NA")</f>
        <v>19536.190000000002</v>
      </c>
      <c r="F393" s="15" t="str">
        <f>IFERROR(E393/E444, "NA")</f>
        <v>NA</v>
      </c>
      <c r="G393" s="2"/>
      <c r="H393" s="14">
        <f t="shared" si="96"/>
        <v>888.04000000000087</v>
      </c>
      <c r="I393" s="15" t="str">
        <f>IFERROR(H393/H444, "NA")</f>
        <v>NA</v>
      </c>
      <c r="J393" s="2"/>
      <c r="K393" s="14">
        <f>IFERROR(K388+K389+K390+K391+K392, "NA")</f>
        <v>24152.109999999997</v>
      </c>
      <c r="L393" s="15" t="str">
        <f>IFERROR(K393/K444, "NA")</f>
        <v>NA</v>
      </c>
      <c r="M393" s="2"/>
      <c r="N393" s="14">
        <f t="shared" si="97"/>
        <v>5503.9599999999955</v>
      </c>
      <c r="O393" s="15" t="str">
        <f>IFERROR(N393/N444, "NA")</f>
        <v>NA</v>
      </c>
      <c r="P393" s="2"/>
      <c r="Q393" s="14">
        <f>IFERROR(Q388+Q389+Q390+Q391+Q392, "NA")</f>
        <v>100134.54999999999</v>
      </c>
      <c r="R393" s="15" t="str">
        <f>IFERROR(Q393/Q444, "NA")</f>
        <v>NA</v>
      </c>
      <c r="S393" s="2"/>
      <c r="T393" s="14">
        <f>IFERROR(T388+T389+T390+T391+T392, "NA")</f>
        <v>86156.32</v>
      </c>
      <c r="U393" s="15" t="str">
        <f>IFERROR(T393/T444, "NA")</f>
        <v>NA</v>
      </c>
      <c r="V393" s="2"/>
      <c r="W393" s="14">
        <f t="shared" si="98"/>
        <v>-13978.229999999981</v>
      </c>
      <c r="X393" s="15" t="str">
        <f>IFERROR(W393/W444, "NA")</f>
        <v>NA</v>
      </c>
      <c r="Y393" s="2"/>
      <c r="Z393" s="14">
        <f>IFERROR(Z388+Z389+Z390+Z391+Z392, "NA")</f>
        <v>86532.18</v>
      </c>
      <c r="AA393" s="15" t="str">
        <f>IFERROR(Z393/Z444, "NA")</f>
        <v>NA</v>
      </c>
      <c r="AB393" s="2"/>
      <c r="AC393" s="14">
        <f t="shared" si="99"/>
        <v>-13602.369999999995</v>
      </c>
      <c r="AD393" s="15" t="str">
        <f>IFERROR(AC393/AC444, "NA")</f>
        <v>NA</v>
      </c>
    </row>
    <row r="394" spans="1:30" ht="16.5" customHeight="1" x14ac:dyDescent="0.45">
      <c r="A394" s="6" t="s">
        <v>360</v>
      </c>
      <c r="B394" s="7">
        <v>0</v>
      </c>
      <c r="C394" s="8" t="str">
        <f>IFERROR(B394/B444, "NA")</f>
        <v>NA</v>
      </c>
      <c r="D394" s="9"/>
      <c r="E394" s="7">
        <v>5865.85</v>
      </c>
      <c r="F394" s="8" t="str">
        <f>IFERROR(E394/E444, "NA")</f>
        <v>NA</v>
      </c>
      <c r="G394" s="9"/>
      <c r="H394" s="10">
        <f t="shared" si="96"/>
        <v>5865.85</v>
      </c>
      <c r="I394" s="8" t="str">
        <f>IFERROR(H394/H444, "NA")</f>
        <v>NA</v>
      </c>
      <c r="J394" s="9"/>
      <c r="K394" s="7">
        <v>6179.76</v>
      </c>
      <c r="L394" s="8" t="str">
        <f>IFERROR(K394/K444, "NA")</f>
        <v>NA</v>
      </c>
      <c r="M394" s="9"/>
      <c r="N394" s="10">
        <f t="shared" si="97"/>
        <v>6179.76</v>
      </c>
      <c r="O394" s="8" t="str">
        <f>IFERROR(N394/N444, "NA")</f>
        <v>NA</v>
      </c>
      <c r="P394" s="9"/>
      <c r="Q394" s="7">
        <v>6612.06</v>
      </c>
      <c r="R394" s="8" t="str">
        <f>IFERROR(Q394/Q444, "NA")</f>
        <v>NA</v>
      </c>
      <c r="S394" s="9"/>
      <c r="T394" s="7">
        <v>21318.14</v>
      </c>
      <c r="U394" s="8" t="str">
        <f>IFERROR(T394/T444, "NA")</f>
        <v>NA</v>
      </c>
      <c r="V394" s="9"/>
      <c r="W394" s="10">
        <f t="shared" si="98"/>
        <v>14706.079999999998</v>
      </c>
      <c r="X394" s="8" t="str">
        <f>IFERROR(W394/W444, "NA")</f>
        <v>NA</v>
      </c>
      <c r="Y394" s="9"/>
      <c r="Z394" s="7">
        <v>27465.7</v>
      </c>
      <c r="AA394" s="8" t="str">
        <f>IFERROR(Z394/Z444, "NA")</f>
        <v>NA</v>
      </c>
      <c r="AB394" s="9"/>
      <c r="AC394" s="10">
        <f t="shared" si="99"/>
        <v>20853.64</v>
      </c>
      <c r="AD394" s="8" t="str">
        <f>IFERROR(AC394/AC444, "NA")</f>
        <v>NA</v>
      </c>
    </row>
    <row r="395" spans="1:30" ht="16.5" hidden="1" customHeight="1" x14ac:dyDescent="0.45">
      <c r="A395" s="6" t="s">
        <v>361</v>
      </c>
      <c r="B395" s="7">
        <v>0</v>
      </c>
      <c r="C395" s="8" t="str">
        <f>IFERROR(B395/B444, "NA")</f>
        <v>NA</v>
      </c>
      <c r="D395" s="9"/>
      <c r="E395" s="7">
        <v>0</v>
      </c>
      <c r="F395" s="8" t="str">
        <f>IFERROR(E395/E444, "NA")</f>
        <v>NA</v>
      </c>
      <c r="G395" s="9"/>
      <c r="H395" s="10">
        <f t="shared" si="96"/>
        <v>0</v>
      </c>
      <c r="I395" s="8" t="str">
        <f>IFERROR(H395/H444, "NA")</f>
        <v>NA</v>
      </c>
      <c r="J395" s="9"/>
      <c r="K395" s="7">
        <v>0</v>
      </c>
      <c r="L395" s="8" t="str">
        <f>IFERROR(K395/K444, "NA")</f>
        <v>NA</v>
      </c>
      <c r="M395" s="9"/>
      <c r="N395" s="10">
        <f t="shared" si="97"/>
        <v>0</v>
      </c>
      <c r="O395" s="8" t="str">
        <f>IFERROR(N395/N444, "NA")</f>
        <v>NA</v>
      </c>
      <c r="P395" s="9"/>
      <c r="Q395" s="7">
        <v>0</v>
      </c>
      <c r="R395" s="8" t="str">
        <f>IFERROR(Q395/Q444, "NA")</f>
        <v>NA</v>
      </c>
      <c r="S395" s="9"/>
      <c r="T395" s="7">
        <v>0</v>
      </c>
      <c r="U395" s="8" t="str">
        <f>IFERROR(T395/T444, "NA")</f>
        <v>NA</v>
      </c>
      <c r="V395" s="9"/>
      <c r="W395" s="10">
        <f t="shared" si="98"/>
        <v>0</v>
      </c>
      <c r="X395" s="8" t="str">
        <f>IFERROR(W395/W444, "NA")</f>
        <v>NA</v>
      </c>
      <c r="Y395" s="9"/>
      <c r="Z395" s="7">
        <v>0</v>
      </c>
      <c r="AA395" s="8" t="str">
        <f>IFERROR(Z395/Z444, "NA")</f>
        <v>NA</v>
      </c>
      <c r="AB395" s="9"/>
      <c r="AC395" s="10">
        <f t="shared" si="99"/>
        <v>0</v>
      </c>
      <c r="AD395" s="8" t="str">
        <f>IFERROR(AC395/AC444, "NA")</f>
        <v>NA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22416.940000000002</v>
      </c>
      <c r="C396" s="15" t="str">
        <f>IFERROR(B396/B444, "NA")</f>
        <v>NA</v>
      </c>
      <c r="D396" s="2"/>
      <c r="E396" s="14">
        <f>IFERROR(E385+E386+E388+E389+E390+E391+E392+E394+E395, "NA")</f>
        <v>26705.560000000005</v>
      </c>
      <c r="F396" s="15" t="str">
        <f>IFERROR(E396/E444, "NA")</f>
        <v>NA</v>
      </c>
      <c r="G396" s="2"/>
      <c r="H396" s="14">
        <f t="shared" si="96"/>
        <v>4288.6200000000026</v>
      </c>
      <c r="I396" s="15" t="str">
        <f>IFERROR(H396/H444, "NA")</f>
        <v>NA</v>
      </c>
      <c r="J396" s="2"/>
      <c r="K396" s="14">
        <f>IFERROR(K385+K386+K388+K389+K390+K391+K392+K394+K395, "NA")</f>
        <v>33020.97</v>
      </c>
      <c r="L396" s="15" t="str">
        <f>IFERROR(K396/K444, "NA")</f>
        <v>NA</v>
      </c>
      <c r="M396" s="2"/>
      <c r="N396" s="14">
        <f t="shared" si="97"/>
        <v>10604.029999999999</v>
      </c>
      <c r="O396" s="15" t="str">
        <f>IFERROR(N396/N444, "NA")</f>
        <v>NA</v>
      </c>
      <c r="P396" s="2"/>
      <c r="Q396" s="14">
        <f>IFERROR(Q385+Q386+Q388+Q389+Q390+Q391+Q392+Q394+Q395, "NA")</f>
        <v>124384.62999999999</v>
      </c>
      <c r="R396" s="15" t="str">
        <f>IFERROR(Q396/Q444, "NA")</f>
        <v>NA</v>
      </c>
      <c r="S396" s="2"/>
      <c r="T396" s="14">
        <f>IFERROR(T385+T386+T388+T389+T390+T391+T392+T394+T395, "NA")</f>
        <v>120950.1</v>
      </c>
      <c r="U396" s="15" t="str">
        <f>IFERROR(T396/T444, "NA")</f>
        <v>NA</v>
      </c>
      <c r="V396" s="2"/>
      <c r="W396" s="14">
        <f t="shared" si="98"/>
        <v>-3434.5299999999843</v>
      </c>
      <c r="X396" s="15" t="str">
        <f>IFERROR(W396/W444, "NA")</f>
        <v>NA</v>
      </c>
      <c r="Y396" s="2"/>
      <c r="Z396" s="14">
        <f>IFERROR(Z385+Z386+Z388+Z389+Z390+Z391+Z392+Z394+Z395, "NA")</f>
        <v>129483.24</v>
      </c>
      <c r="AA396" s="15" t="str">
        <f>IFERROR(Z396/Z444, "NA")</f>
        <v>NA</v>
      </c>
      <c r="AB396" s="2"/>
      <c r="AC396" s="14">
        <f t="shared" si="99"/>
        <v>5098.6100000000151</v>
      </c>
      <c r="AD396" s="15" t="str">
        <f>IFERROR(AC396/AC444, "NA")</f>
        <v>NA</v>
      </c>
    </row>
    <row r="397" spans="1:30" ht="16.5" customHeight="1" x14ac:dyDescent="0.45">
      <c r="A397" s="20" t="s">
        <v>363</v>
      </c>
      <c r="B397" s="7">
        <v>6516.99</v>
      </c>
      <c r="C397" s="8" t="str">
        <f>IFERROR(B397/B444, "NA")</f>
        <v>NA</v>
      </c>
      <c r="D397" s="9"/>
      <c r="E397" s="7">
        <v>20224.240000000002</v>
      </c>
      <c r="F397" s="8" t="str">
        <f>IFERROR(E397/E444, "NA")</f>
        <v>NA</v>
      </c>
      <c r="G397" s="9"/>
      <c r="H397" s="10">
        <f t="shared" si="96"/>
        <v>13707.250000000002</v>
      </c>
      <c r="I397" s="8" t="str">
        <f>IFERROR(H397/H444, "NA")</f>
        <v>NA</v>
      </c>
      <c r="J397" s="9"/>
      <c r="K397" s="7">
        <v>10609.45</v>
      </c>
      <c r="L397" s="8" t="str">
        <f>IFERROR(K397/K444, "NA")</f>
        <v>NA</v>
      </c>
      <c r="M397" s="9"/>
      <c r="N397" s="10">
        <f t="shared" si="97"/>
        <v>4092.4600000000009</v>
      </c>
      <c r="O397" s="8" t="str">
        <f>IFERROR(N397/N444, "NA")</f>
        <v>NA</v>
      </c>
      <c r="P397" s="9"/>
      <c r="Q397" s="7">
        <v>22317.26</v>
      </c>
      <c r="R397" s="8" t="str">
        <f>IFERROR(Q397/Q444, "NA")</f>
        <v>NA</v>
      </c>
      <c r="S397" s="9"/>
      <c r="T397" s="7">
        <v>83530.289999999994</v>
      </c>
      <c r="U397" s="8" t="str">
        <f>IFERROR(T397/T444, "NA")</f>
        <v>NA</v>
      </c>
      <c r="V397" s="9"/>
      <c r="W397" s="10">
        <f t="shared" si="98"/>
        <v>61213.03</v>
      </c>
      <c r="X397" s="8" t="str">
        <f>IFERROR(W397/W444, "NA")</f>
        <v>NA</v>
      </c>
      <c r="Y397" s="9"/>
      <c r="Z397" s="7">
        <v>36263.39</v>
      </c>
      <c r="AA397" s="8" t="str">
        <f>IFERROR(Z397/Z444, "NA")</f>
        <v>NA</v>
      </c>
      <c r="AB397" s="9"/>
      <c r="AC397" s="10">
        <f t="shared" si="99"/>
        <v>13946.130000000001</v>
      </c>
      <c r="AD397" s="8" t="str">
        <f>IFERROR(AC397/AC444, "NA")</f>
        <v>NA</v>
      </c>
    </row>
    <row r="398" spans="1:30" ht="16.5" customHeight="1" x14ac:dyDescent="0.45">
      <c r="A398" s="20" t="s">
        <v>364</v>
      </c>
      <c r="B398" s="7">
        <v>120.93</v>
      </c>
      <c r="C398" s="8" t="str">
        <f>IFERROR(B398/B444, "NA")</f>
        <v>NA</v>
      </c>
      <c r="D398" s="9"/>
      <c r="E398" s="7">
        <v>75</v>
      </c>
      <c r="F398" s="8" t="str">
        <f>IFERROR(E398/E444, "NA")</f>
        <v>NA</v>
      </c>
      <c r="G398" s="9"/>
      <c r="H398" s="10">
        <f t="shared" si="96"/>
        <v>-45.930000000000007</v>
      </c>
      <c r="I398" s="8" t="str">
        <f>IFERROR(H398/H444, "NA")</f>
        <v>NA</v>
      </c>
      <c r="J398" s="9"/>
      <c r="K398" s="7">
        <v>107.39</v>
      </c>
      <c r="L398" s="8" t="str">
        <f>IFERROR(K398/K444, "NA")</f>
        <v>NA</v>
      </c>
      <c r="M398" s="9"/>
      <c r="N398" s="10">
        <f t="shared" si="97"/>
        <v>-13.540000000000006</v>
      </c>
      <c r="O398" s="8" t="str">
        <f>IFERROR(N398/N444, "NA")</f>
        <v>NA</v>
      </c>
      <c r="P398" s="9"/>
      <c r="Q398" s="7">
        <v>703.84</v>
      </c>
      <c r="R398" s="8" t="str">
        <f>IFERROR(Q398/Q444, "NA")</f>
        <v>NA</v>
      </c>
      <c r="S398" s="9"/>
      <c r="T398" s="7">
        <v>375</v>
      </c>
      <c r="U398" s="8" t="str">
        <f>IFERROR(T398/T444, "NA")</f>
        <v>NA</v>
      </c>
      <c r="V398" s="9"/>
      <c r="W398" s="10">
        <f t="shared" si="98"/>
        <v>-328.84000000000003</v>
      </c>
      <c r="X398" s="8" t="str">
        <f>IFERROR(W398/W444, "NA")</f>
        <v>NA</v>
      </c>
      <c r="Y398" s="9"/>
      <c r="Z398" s="7">
        <v>585.24</v>
      </c>
      <c r="AA398" s="8" t="str">
        <f>IFERROR(Z398/Z444, "NA")</f>
        <v>NA</v>
      </c>
      <c r="AB398" s="9"/>
      <c r="AC398" s="10">
        <f t="shared" si="99"/>
        <v>-118.60000000000002</v>
      </c>
      <c r="AD398" s="8" t="str">
        <f>IFERROR(AC398/AC444, "NA")</f>
        <v>NA</v>
      </c>
    </row>
    <row r="399" spans="1:30" ht="16.5" customHeight="1" x14ac:dyDescent="0.45">
      <c r="A399" s="20" t="s">
        <v>365</v>
      </c>
      <c r="B399" s="7">
        <v>0</v>
      </c>
      <c r="C399" s="8" t="str">
        <f>IFERROR(B399/B444, "NA")</f>
        <v>NA</v>
      </c>
      <c r="D399" s="9"/>
      <c r="E399" s="7">
        <v>700</v>
      </c>
      <c r="F399" s="8" t="str">
        <f>IFERROR(E399/E444, "NA")</f>
        <v>NA</v>
      </c>
      <c r="G399" s="9"/>
      <c r="H399" s="10">
        <f t="shared" si="96"/>
        <v>700</v>
      </c>
      <c r="I399" s="8" t="str">
        <f>IFERROR(H399/H444, "NA")</f>
        <v>NA</v>
      </c>
      <c r="J399" s="9"/>
      <c r="K399" s="7">
        <v>656</v>
      </c>
      <c r="L399" s="8" t="str">
        <f>IFERROR(K399/K444, "NA")</f>
        <v>NA</v>
      </c>
      <c r="M399" s="9"/>
      <c r="N399" s="10">
        <f t="shared" si="97"/>
        <v>656</v>
      </c>
      <c r="O399" s="8" t="str">
        <f>IFERROR(N399/N444, "NA")</f>
        <v>NA</v>
      </c>
      <c r="P399" s="9"/>
      <c r="Q399" s="7">
        <v>500</v>
      </c>
      <c r="R399" s="8" t="str">
        <f>IFERROR(Q399/Q444, "NA")</f>
        <v>NA</v>
      </c>
      <c r="S399" s="9"/>
      <c r="T399" s="7">
        <v>3500</v>
      </c>
      <c r="U399" s="8" t="str">
        <f>IFERROR(T399/T444, "NA")</f>
        <v>NA</v>
      </c>
      <c r="V399" s="9"/>
      <c r="W399" s="10">
        <f t="shared" si="98"/>
        <v>3000</v>
      </c>
      <c r="X399" s="8" t="str">
        <f>IFERROR(W399/W444, "NA")</f>
        <v>NA</v>
      </c>
      <c r="Y399" s="9"/>
      <c r="Z399" s="7">
        <v>3676</v>
      </c>
      <c r="AA399" s="8" t="str">
        <f>IFERROR(Z399/Z444, "NA")</f>
        <v>NA</v>
      </c>
      <c r="AB399" s="9"/>
      <c r="AC399" s="10">
        <f t="shared" si="99"/>
        <v>3176</v>
      </c>
      <c r="AD399" s="8" t="str">
        <f>IFERROR(AC399/AC444, "NA")</f>
        <v>NA</v>
      </c>
    </row>
    <row r="400" spans="1:30" ht="16.5" hidden="1" customHeight="1" x14ac:dyDescent="0.45">
      <c r="A400" s="20" t="s">
        <v>366</v>
      </c>
      <c r="B400" s="7">
        <v>0</v>
      </c>
      <c r="C400" s="8" t="str">
        <f>IFERROR(B400/B444, "NA")</f>
        <v>NA</v>
      </c>
      <c r="D400" s="9"/>
      <c r="E400" s="7">
        <v>0</v>
      </c>
      <c r="F400" s="8" t="str">
        <f>IFERROR(E400/E444, "NA")</f>
        <v>NA</v>
      </c>
      <c r="G400" s="9"/>
      <c r="H400" s="10">
        <f t="shared" si="96"/>
        <v>0</v>
      </c>
      <c r="I400" s="8" t="str">
        <f>IFERROR(H400/H444, "NA")</f>
        <v>NA</v>
      </c>
      <c r="J400" s="9"/>
      <c r="K400" s="7">
        <v>0</v>
      </c>
      <c r="L400" s="8" t="str">
        <f>IFERROR(K400/K444, "NA")</f>
        <v>NA</v>
      </c>
      <c r="M400" s="9"/>
      <c r="N400" s="10">
        <f t="shared" si="97"/>
        <v>0</v>
      </c>
      <c r="O400" s="8" t="str">
        <f>IFERROR(N400/N444, "NA")</f>
        <v>NA</v>
      </c>
      <c r="P400" s="9"/>
      <c r="Q400" s="7">
        <v>0</v>
      </c>
      <c r="R400" s="8" t="str">
        <f>IFERROR(Q400/Q444, "NA")</f>
        <v>NA</v>
      </c>
      <c r="S400" s="9"/>
      <c r="T400" s="7">
        <v>0</v>
      </c>
      <c r="U400" s="8" t="str">
        <f>IFERROR(T400/T444, "NA")</f>
        <v>NA</v>
      </c>
      <c r="V400" s="9"/>
      <c r="W400" s="10">
        <f t="shared" si="98"/>
        <v>0</v>
      </c>
      <c r="X400" s="8" t="str">
        <f>IFERROR(W400/W444, "NA")</f>
        <v>NA</v>
      </c>
      <c r="Y400" s="9"/>
      <c r="Z400" s="7">
        <v>0</v>
      </c>
      <c r="AA400" s="8" t="str">
        <f>IFERROR(Z400/Z444, "NA")</f>
        <v>NA</v>
      </c>
      <c r="AB400" s="9"/>
      <c r="AC400" s="10">
        <f t="shared" si="99"/>
        <v>0</v>
      </c>
      <c r="AD400" s="8" t="str">
        <f>IFERROR(AC400/AC444, "NA")</f>
        <v>NA</v>
      </c>
    </row>
    <row r="401" spans="1:30" ht="16.5" customHeight="1" x14ac:dyDescent="0.45">
      <c r="A401" s="20" t="s">
        <v>367</v>
      </c>
      <c r="B401" s="7">
        <v>0</v>
      </c>
      <c r="C401" s="8" t="str">
        <f>IFERROR(B401/B444, "NA")</f>
        <v>NA</v>
      </c>
      <c r="D401" s="9"/>
      <c r="E401" s="7">
        <v>0</v>
      </c>
      <c r="F401" s="8" t="str">
        <f>IFERROR(E401/E444, "NA")</f>
        <v>NA</v>
      </c>
      <c r="G401" s="9"/>
      <c r="H401" s="10">
        <f t="shared" si="96"/>
        <v>0</v>
      </c>
      <c r="I401" s="8" t="str">
        <f>IFERROR(H401/H444, "NA")</f>
        <v>NA</v>
      </c>
      <c r="J401" s="9"/>
      <c r="K401" s="7">
        <v>8333.33</v>
      </c>
      <c r="L401" s="8" t="str">
        <f>IFERROR(K401/K444, "NA")</f>
        <v>NA</v>
      </c>
      <c r="M401" s="9"/>
      <c r="N401" s="10">
        <f t="shared" si="97"/>
        <v>8333.33</v>
      </c>
      <c r="O401" s="8" t="str">
        <f>IFERROR(N401/N444, "NA")</f>
        <v>NA</v>
      </c>
      <c r="P401" s="9"/>
      <c r="Q401" s="7">
        <v>0</v>
      </c>
      <c r="R401" s="8" t="str">
        <f>IFERROR(Q401/Q444, "NA")</f>
        <v>NA</v>
      </c>
      <c r="S401" s="9"/>
      <c r="T401" s="7">
        <v>0</v>
      </c>
      <c r="U401" s="8" t="str">
        <f>IFERROR(T401/T444, "NA")</f>
        <v>NA</v>
      </c>
      <c r="V401" s="9"/>
      <c r="W401" s="10">
        <f t="shared" si="98"/>
        <v>0</v>
      </c>
      <c r="X401" s="8" t="str">
        <f>IFERROR(W401/W444, "NA")</f>
        <v>NA</v>
      </c>
      <c r="Y401" s="9"/>
      <c r="Z401" s="7">
        <v>41666.660000000003</v>
      </c>
      <c r="AA401" s="8" t="str">
        <f>IFERROR(Z401/Z444, "NA")</f>
        <v>NA</v>
      </c>
      <c r="AB401" s="9"/>
      <c r="AC401" s="10">
        <f t="shared" si="99"/>
        <v>41666.660000000003</v>
      </c>
      <c r="AD401" s="8" t="str">
        <f>IFERROR(AC401/AC444, "NA")</f>
        <v>NA</v>
      </c>
    </row>
    <row r="402" spans="1:30" ht="16.5" hidden="1" customHeight="1" x14ac:dyDescent="0.45">
      <c r="A402" s="20" t="s">
        <v>368</v>
      </c>
      <c r="B402" s="7">
        <v>0</v>
      </c>
      <c r="C402" s="8" t="str">
        <f>IFERROR(B402/B444, "NA")</f>
        <v>NA</v>
      </c>
      <c r="D402" s="9"/>
      <c r="E402" s="7">
        <v>0</v>
      </c>
      <c r="F402" s="8" t="str">
        <f>IFERROR(E402/E444, "NA")</f>
        <v>NA</v>
      </c>
      <c r="G402" s="9"/>
      <c r="H402" s="10">
        <f t="shared" si="96"/>
        <v>0</v>
      </c>
      <c r="I402" s="8" t="str">
        <f>IFERROR(H402/H444, "NA")</f>
        <v>NA</v>
      </c>
      <c r="J402" s="9"/>
      <c r="K402" s="7">
        <v>0</v>
      </c>
      <c r="L402" s="8" t="str">
        <f>IFERROR(K402/K444, "NA")</f>
        <v>NA</v>
      </c>
      <c r="M402" s="9"/>
      <c r="N402" s="10">
        <f t="shared" si="97"/>
        <v>0</v>
      </c>
      <c r="O402" s="8" t="str">
        <f>IFERROR(N402/N444, "NA")</f>
        <v>NA</v>
      </c>
      <c r="P402" s="9"/>
      <c r="Q402" s="7">
        <v>0</v>
      </c>
      <c r="R402" s="8" t="str">
        <f>IFERROR(Q402/Q444, "NA")</f>
        <v>NA</v>
      </c>
      <c r="S402" s="9"/>
      <c r="T402" s="7">
        <v>0</v>
      </c>
      <c r="U402" s="8" t="str">
        <f>IFERROR(T402/T444, "NA")</f>
        <v>NA</v>
      </c>
      <c r="V402" s="9"/>
      <c r="W402" s="10">
        <f t="shared" si="98"/>
        <v>0</v>
      </c>
      <c r="X402" s="8" t="str">
        <f>IFERROR(W402/W444, "NA")</f>
        <v>NA</v>
      </c>
      <c r="Y402" s="9"/>
      <c r="Z402" s="7">
        <v>0</v>
      </c>
      <c r="AA402" s="8" t="str">
        <f>IFERROR(Z402/Z444, "NA")</f>
        <v>NA</v>
      </c>
      <c r="AB402" s="9"/>
      <c r="AC402" s="10">
        <f t="shared" si="99"/>
        <v>0</v>
      </c>
      <c r="AD402" s="8" t="str">
        <f>IFERROR(AC402/AC444, "NA")</f>
        <v>NA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121379.02999999997</v>
      </c>
      <c r="C403" s="15" t="str">
        <f>IFERROR(B403/B444, "NA")</f>
        <v>NA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159552.47</v>
      </c>
      <c r="F403" s="15" t="str">
        <f>IFERROR(E403/E444, "NA")</f>
        <v>NA</v>
      </c>
      <c r="G403" s="2"/>
      <c r="H403" s="14">
        <f t="shared" si="96"/>
        <v>38173.440000000031</v>
      </c>
      <c r="I403" s="15" t="str">
        <f>IFERROR(H403/H444, "NA")</f>
        <v>NA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165529.13999999998</v>
      </c>
      <c r="L403" s="15" t="str">
        <f>IFERROR(K403/K444, "NA")</f>
        <v>NA</v>
      </c>
      <c r="M403" s="2"/>
      <c r="N403" s="14">
        <f t="shared" si="97"/>
        <v>44150.110000000015</v>
      </c>
      <c r="O403" s="15" t="str">
        <f>IFERROR(N403/N444, "NA")</f>
        <v>NA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674371.37000000011</v>
      </c>
      <c r="R403" s="15" t="str">
        <f>IFERROR(Q403/Q444, "NA")</f>
        <v>NA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793022.07000000007</v>
      </c>
      <c r="U403" s="15" t="str">
        <f>IFERROR(T403/T444, "NA")</f>
        <v>NA</v>
      </c>
      <c r="V403" s="2"/>
      <c r="W403" s="14">
        <f t="shared" si="98"/>
        <v>118650.69999999995</v>
      </c>
      <c r="X403" s="15" t="str">
        <f>IFERROR(W403/W444, "NA")</f>
        <v>NA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747679.75999999989</v>
      </c>
      <c r="AA403" s="15" t="str">
        <f>IFERROR(Z403/Z444, "NA")</f>
        <v>NA</v>
      </c>
      <c r="AB403" s="2"/>
      <c r="AC403" s="14">
        <f t="shared" si="99"/>
        <v>73308.389999999781</v>
      </c>
      <c r="AD403" s="15" t="str">
        <f>IFERROR(AC403/AC444, "NA")</f>
        <v>NA</v>
      </c>
    </row>
    <row r="404" spans="1:30" ht="16.5" customHeight="1" x14ac:dyDescent="0.45">
      <c r="A404" s="22" t="s">
        <v>370</v>
      </c>
      <c r="B404" s="23">
        <f>IFERROR(B345-B403, "NA")</f>
        <v>-121379.02999999997</v>
      </c>
      <c r="C404" s="24" t="str">
        <f>IFERROR(B404/B444, "NA")</f>
        <v>NA</v>
      </c>
      <c r="D404" s="25"/>
      <c r="E404" s="23">
        <f>IFERROR(E345-E403, "NA")</f>
        <v>-159552.47</v>
      </c>
      <c r="F404" s="24" t="str">
        <f>IFERROR(E404/E444, "NA")</f>
        <v>NA</v>
      </c>
      <c r="G404" s="25"/>
      <c r="H404" s="23">
        <f>IFERROR(B404-E404, "NA")</f>
        <v>38173.440000000031</v>
      </c>
      <c r="I404" s="24" t="str">
        <f>IFERROR(H404/H444, "NA")</f>
        <v>NA</v>
      </c>
      <c r="J404" s="25"/>
      <c r="K404" s="23">
        <f>IFERROR(K345-K403, "NA")</f>
        <v>-165529.13999999998</v>
      </c>
      <c r="L404" s="24" t="str">
        <f>IFERROR(K404/K444, "NA")</f>
        <v>NA</v>
      </c>
      <c r="M404" s="25"/>
      <c r="N404" s="23">
        <f>IFERROR(B404-K404, "NA")</f>
        <v>44150.110000000015</v>
      </c>
      <c r="O404" s="24" t="str">
        <f>IFERROR(N404/N444, "NA")</f>
        <v>NA</v>
      </c>
      <c r="P404" s="25"/>
      <c r="Q404" s="23">
        <f>IFERROR(Q345-Q403, "NA")</f>
        <v>-674371.37000000011</v>
      </c>
      <c r="R404" s="24" t="str">
        <f>IFERROR(Q404/Q444, "NA")</f>
        <v>NA</v>
      </c>
      <c r="S404" s="25"/>
      <c r="T404" s="23">
        <f>IFERROR(T345-T403, "NA")</f>
        <v>-793022.07000000007</v>
      </c>
      <c r="U404" s="24" t="str">
        <f>IFERROR(T404/T444, "NA")</f>
        <v>NA</v>
      </c>
      <c r="V404" s="25"/>
      <c r="W404" s="23">
        <f>IFERROR(Q404-T404, "NA")</f>
        <v>118650.69999999995</v>
      </c>
      <c r="X404" s="24" t="str">
        <f>IFERROR(W404/W444, "NA")</f>
        <v>NA</v>
      </c>
      <c r="Y404" s="25"/>
      <c r="Z404" s="23">
        <f>IFERROR(Z345-Z403, "NA")</f>
        <v>-747679.75999999989</v>
      </c>
      <c r="AA404" s="24" t="str">
        <f>IFERROR(Z404/Z444, "NA")</f>
        <v>NA</v>
      </c>
      <c r="AB404" s="25"/>
      <c r="AC404" s="23">
        <f>IFERROR(Q404-Z404, "NA")</f>
        <v>73308.389999999781</v>
      </c>
      <c r="AD404" s="24" t="str">
        <f>IFERROR(AC404/AC444, "NA")</f>
        <v>NA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 t="str">
        <f>IFERROR(B407/B444, "NA")</f>
        <v>NA</v>
      </c>
      <c r="D407" s="9"/>
      <c r="E407" s="7">
        <v>0</v>
      </c>
      <c r="F407" s="8" t="str">
        <f>IFERROR(E407/E444, "NA")</f>
        <v>NA</v>
      </c>
      <c r="G407" s="9"/>
      <c r="H407" s="10">
        <f t="shared" ref="H407:H429" si="100">IFERROR(-(B407-E407), "NA")</f>
        <v>0</v>
      </c>
      <c r="I407" s="8" t="str">
        <f>IFERROR(H407/H444, "NA")</f>
        <v>NA</v>
      </c>
      <c r="J407" s="9"/>
      <c r="K407" s="7">
        <v>0</v>
      </c>
      <c r="L407" s="8" t="str">
        <f>IFERROR(K407/K444, "NA")</f>
        <v>NA</v>
      </c>
      <c r="M407" s="9"/>
      <c r="N407" s="10">
        <f t="shared" ref="N407:N429" si="101">IFERROR(-(B407-K407), "NA")</f>
        <v>0</v>
      </c>
      <c r="O407" s="8" t="str">
        <f>IFERROR(N407/N444, "NA")</f>
        <v>NA</v>
      </c>
      <c r="P407" s="9"/>
      <c r="Q407" s="7">
        <v>0</v>
      </c>
      <c r="R407" s="8" t="str">
        <f>IFERROR(Q407/Q444, "NA")</f>
        <v>NA</v>
      </c>
      <c r="S407" s="9"/>
      <c r="T407" s="7">
        <v>0</v>
      </c>
      <c r="U407" s="8" t="str">
        <f>IFERROR(T407/T444, "NA")</f>
        <v>NA</v>
      </c>
      <c r="V407" s="9"/>
      <c r="W407" s="10">
        <f t="shared" ref="W407:W429" si="102">IFERROR(-(Q407-T407), "NA")</f>
        <v>0</v>
      </c>
      <c r="X407" s="8" t="str">
        <f>IFERROR(W407/W444, "NA")</f>
        <v>NA</v>
      </c>
      <c r="Y407" s="9"/>
      <c r="Z407" s="7">
        <v>0</v>
      </c>
      <c r="AA407" s="8" t="str">
        <f>IFERROR(Z407/Z444, "NA")</f>
        <v>NA</v>
      </c>
      <c r="AB407" s="9"/>
      <c r="AC407" s="10">
        <f t="shared" ref="AC407:AC429" si="103">IFERROR(-(Q407-Z407), "NA")</f>
        <v>0</v>
      </c>
      <c r="AD407" s="8" t="str">
        <f>IFERROR(AC407/AC444, "NA")</f>
        <v>NA</v>
      </c>
    </row>
    <row r="408" spans="1:30" ht="16.5" hidden="1" customHeight="1" x14ac:dyDescent="0.45">
      <c r="A408" s="6" t="s">
        <v>373</v>
      </c>
      <c r="B408" s="7">
        <v>0</v>
      </c>
      <c r="C408" s="8" t="str">
        <f>IFERROR(B408/B444, "NA")</f>
        <v>NA</v>
      </c>
      <c r="D408" s="9"/>
      <c r="E408" s="7">
        <v>0</v>
      </c>
      <c r="F408" s="8" t="str">
        <f>IFERROR(E408/E444, "NA")</f>
        <v>NA</v>
      </c>
      <c r="G408" s="9"/>
      <c r="H408" s="10">
        <f t="shared" si="100"/>
        <v>0</v>
      </c>
      <c r="I408" s="8" t="str">
        <f>IFERROR(H408/H444, "NA")</f>
        <v>NA</v>
      </c>
      <c r="J408" s="9"/>
      <c r="K408" s="7">
        <v>0</v>
      </c>
      <c r="L408" s="8" t="str">
        <f>IFERROR(K408/K444, "NA")</f>
        <v>NA</v>
      </c>
      <c r="M408" s="9"/>
      <c r="N408" s="10">
        <f t="shared" si="101"/>
        <v>0</v>
      </c>
      <c r="O408" s="8" t="str">
        <f>IFERROR(N408/N444, "NA")</f>
        <v>NA</v>
      </c>
      <c r="P408" s="9"/>
      <c r="Q408" s="7">
        <v>0</v>
      </c>
      <c r="R408" s="8" t="str">
        <f>IFERROR(Q408/Q444, "NA")</f>
        <v>NA</v>
      </c>
      <c r="S408" s="9"/>
      <c r="T408" s="7">
        <v>0</v>
      </c>
      <c r="U408" s="8" t="str">
        <f>IFERROR(T408/T444, "NA")</f>
        <v>NA</v>
      </c>
      <c r="V408" s="9"/>
      <c r="W408" s="10">
        <f t="shared" si="102"/>
        <v>0</v>
      </c>
      <c r="X408" s="8" t="str">
        <f>IFERROR(W408/W444, "NA")</f>
        <v>NA</v>
      </c>
      <c r="Y408" s="9"/>
      <c r="Z408" s="7">
        <v>0</v>
      </c>
      <c r="AA408" s="8" t="str">
        <f>IFERROR(Z408/Z444, "NA")</f>
        <v>NA</v>
      </c>
      <c r="AB408" s="9"/>
      <c r="AC408" s="10">
        <f t="shared" si="103"/>
        <v>0</v>
      </c>
      <c r="AD408" s="8" t="str">
        <f>IFERROR(AC408/AC444, "NA")</f>
        <v>NA</v>
      </c>
    </row>
    <row r="409" spans="1:30" ht="16.5" hidden="1" customHeight="1" x14ac:dyDescent="0.45">
      <c r="A409" s="6" t="s">
        <v>374</v>
      </c>
      <c r="B409" s="7">
        <v>0</v>
      </c>
      <c r="C409" s="8" t="str">
        <f>IFERROR(B409/B444, "NA")</f>
        <v>NA</v>
      </c>
      <c r="D409" s="9"/>
      <c r="E409" s="7">
        <v>0</v>
      </c>
      <c r="F409" s="8" t="str">
        <f>IFERROR(E409/E444, "NA")</f>
        <v>NA</v>
      </c>
      <c r="G409" s="9"/>
      <c r="H409" s="10">
        <f t="shared" si="100"/>
        <v>0</v>
      </c>
      <c r="I409" s="8" t="str">
        <f>IFERROR(H409/H444, "NA")</f>
        <v>NA</v>
      </c>
      <c r="J409" s="9"/>
      <c r="K409" s="7">
        <v>0</v>
      </c>
      <c r="L409" s="8" t="str">
        <f>IFERROR(K409/K444, "NA")</f>
        <v>NA</v>
      </c>
      <c r="M409" s="9"/>
      <c r="N409" s="10">
        <f t="shared" si="101"/>
        <v>0</v>
      </c>
      <c r="O409" s="8" t="str">
        <f>IFERROR(N409/N444, "NA")</f>
        <v>NA</v>
      </c>
      <c r="P409" s="9"/>
      <c r="Q409" s="7">
        <v>0</v>
      </c>
      <c r="R409" s="8" t="str">
        <f>IFERROR(Q409/Q444, "NA")</f>
        <v>NA</v>
      </c>
      <c r="S409" s="9"/>
      <c r="T409" s="7">
        <v>0</v>
      </c>
      <c r="U409" s="8" t="str">
        <f>IFERROR(T409/T444, "NA")</f>
        <v>NA</v>
      </c>
      <c r="V409" s="9"/>
      <c r="W409" s="10">
        <f t="shared" si="102"/>
        <v>0</v>
      </c>
      <c r="X409" s="8" t="str">
        <f>IFERROR(W409/W444, "NA")</f>
        <v>NA</v>
      </c>
      <c r="Y409" s="9"/>
      <c r="Z409" s="7">
        <v>0</v>
      </c>
      <c r="AA409" s="8" t="str">
        <f>IFERROR(Z409/Z444, "NA")</f>
        <v>NA</v>
      </c>
      <c r="AB409" s="9"/>
      <c r="AC409" s="10">
        <f t="shared" si="103"/>
        <v>0</v>
      </c>
      <c r="AD409" s="8" t="str">
        <f>IFERROR(AC409/AC444, "NA")</f>
        <v>NA</v>
      </c>
    </row>
    <row r="410" spans="1:30" ht="16.5" customHeight="1" x14ac:dyDescent="0.45">
      <c r="A410" s="6" t="s">
        <v>375</v>
      </c>
      <c r="B410" s="7">
        <v>59.7</v>
      </c>
      <c r="C410" s="8" t="str">
        <f>IFERROR(B410/B444, "NA")</f>
        <v>NA</v>
      </c>
      <c r="D410" s="9"/>
      <c r="E410" s="7">
        <v>0</v>
      </c>
      <c r="F410" s="8" t="str">
        <f>IFERROR(E410/E444, "NA")</f>
        <v>NA</v>
      </c>
      <c r="G410" s="9"/>
      <c r="H410" s="10">
        <f t="shared" si="100"/>
        <v>-59.7</v>
      </c>
      <c r="I410" s="8" t="str">
        <f>IFERROR(H410/H444, "NA")</f>
        <v>NA</v>
      </c>
      <c r="J410" s="9"/>
      <c r="K410" s="7">
        <v>184.89</v>
      </c>
      <c r="L410" s="8" t="str">
        <f>IFERROR(K410/K444, "NA")</f>
        <v>NA</v>
      </c>
      <c r="M410" s="9"/>
      <c r="N410" s="10">
        <f t="shared" si="101"/>
        <v>125.18999999999998</v>
      </c>
      <c r="O410" s="8" t="str">
        <f>IFERROR(N410/N444, "NA")</f>
        <v>NA</v>
      </c>
      <c r="P410" s="9"/>
      <c r="Q410" s="7">
        <v>423.69</v>
      </c>
      <c r="R410" s="8" t="str">
        <f>IFERROR(Q410/Q444, "NA")</f>
        <v>NA</v>
      </c>
      <c r="S410" s="9"/>
      <c r="T410" s="7">
        <v>0</v>
      </c>
      <c r="U410" s="8" t="str">
        <f>IFERROR(T410/T444, "NA")</f>
        <v>NA</v>
      </c>
      <c r="V410" s="9"/>
      <c r="W410" s="10">
        <f t="shared" si="102"/>
        <v>-423.69</v>
      </c>
      <c r="X410" s="8" t="str">
        <f>IFERROR(W410/W444, "NA")</f>
        <v>NA</v>
      </c>
      <c r="Y410" s="9"/>
      <c r="Z410" s="7">
        <v>924.45</v>
      </c>
      <c r="AA410" s="8" t="str">
        <f>IFERROR(Z410/Z444, "NA")</f>
        <v>NA</v>
      </c>
      <c r="AB410" s="9"/>
      <c r="AC410" s="10">
        <f t="shared" si="103"/>
        <v>500.76000000000005</v>
      </c>
      <c r="AD410" s="8" t="str">
        <f>IFERROR(AC410/AC444, "NA")</f>
        <v>NA</v>
      </c>
    </row>
    <row r="411" spans="1:30" ht="16.5" customHeight="1" x14ac:dyDescent="0.45">
      <c r="A411" s="6" t="s">
        <v>376</v>
      </c>
      <c r="B411" s="7">
        <v>268.37</v>
      </c>
      <c r="C411" s="8" t="str">
        <f>IFERROR(B411/B444, "NA")</f>
        <v>NA</v>
      </c>
      <c r="D411" s="9"/>
      <c r="E411" s="7">
        <v>0</v>
      </c>
      <c r="F411" s="8" t="str">
        <f>IFERROR(E411/E444, "NA")</f>
        <v>NA</v>
      </c>
      <c r="G411" s="9"/>
      <c r="H411" s="10">
        <f t="shared" si="100"/>
        <v>-268.37</v>
      </c>
      <c r="I411" s="8" t="str">
        <f>IFERROR(H411/H444, "NA")</f>
        <v>NA</v>
      </c>
      <c r="J411" s="9"/>
      <c r="K411" s="7">
        <v>0</v>
      </c>
      <c r="L411" s="8" t="str">
        <f>IFERROR(K411/K444, "NA")</f>
        <v>NA</v>
      </c>
      <c r="M411" s="9"/>
      <c r="N411" s="10">
        <f t="shared" si="101"/>
        <v>-268.37</v>
      </c>
      <c r="O411" s="8" t="str">
        <f>IFERROR(N411/N444, "NA")</f>
        <v>NA</v>
      </c>
      <c r="P411" s="9"/>
      <c r="Q411" s="7">
        <v>1073.48</v>
      </c>
      <c r="R411" s="8" t="str">
        <f>IFERROR(Q411/Q444, "NA")</f>
        <v>NA</v>
      </c>
      <c r="S411" s="9"/>
      <c r="T411" s="7">
        <v>0</v>
      </c>
      <c r="U411" s="8" t="str">
        <f>IFERROR(T411/T444, "NA")</f>
        <v>NA</v>
      </c>
      <c r="V411" s="9"/>
      <c r="W411" s="10">
        <f t="shared" si="102"/>
        <v>-1073.48</v>
      </c>
      <c r="X411" s="8" t="str">
        <f>IFERROR(W411/W444, "NA")</f>
        <v>NA</v>
      </c>
      <c r="Y411" s="9"/>
      <c r="Z411" s="7">
        <v>0</v>
      </c>
      <c r="AA411" s="8" t="str">
        <f>IFERROR(Z411/Z444, "NA")</f>
        <v>NA</v>
      </c>
      <c r="AB411" s="9"/>
      <c r="AC411" s="10">
        <f t="shared" si="103"/>
        <v>-1073.48</v>
      </c>
      <c r="AD411" s="8" t="str">
        <f>IFERROR(AC411/AC444, "NA")</f>
        <v>NA</v>
      </c>
    </row>
    <row r="412" spans="1:30" ht="16.5" hidden="1" customHeight="1" x14ac:dyDescent="0.45">
      <c r="A412" s="6" t="s">
        <v>377</v>
      </c>
      <c r="B412" s="7">
        <v>0</v>
      </c>
      <c r="C412" s="8" t="str">
        <f>IFERROR(B412/B444, "NA")</f>
        <v>NA</v>
      </c>
      <c r="D412" s="9"/>
      <c r="E412" s="7">
        <v>0</v>
      </c>
      <c r="F412" s="8" t="str">
        <f>IFERROR(E412/E444, "NA")</f>
        <v>NA</v>
      </c>
      <c r="G412" s="9"/>
      <c r="H412" s="10">
        <f t="shared" si="100"/>
        <v>0</v>
      </c>
      <c r="I412" s="8" t="str">
        <f>IFERROR(H412/H444, "NA")</f>
        <v>NA</v>
      </c>
      <c r="J412" s="9"/>
      <c r="K412" s="7">
        <v>0</v>
      </c>
      <c r="L412" s="8" t="str">
        <f>IFERROR(K412/K444, "NA")</f>
        <v>NA</v>
      </c>
      <c r="M412" s="9"/>
      <c r="N412" s="10">
        <f t="shared" si="101"/>
        <v>0</v>
      </c>
      <c r="O412" s="8" t="str">
        <f>IFERROR(N412/N444, "NA")</f>
        <v>NA</v>
      </c>
      <c r="P412" s="9"/>
      <c r="Q412" s="7">
        <v>0</v>
      </c>
      <c r="R412" s="8" t="str">
        <f>IFERROR(Q412/Q444, "NA")</f>
        <v>NA</v>
      </c>
      <c r="S412" s="9"/>
      <c r="T412" s="7">
        <v>0</v>
      </c>
      <c r="U412" s="8" t="str">
        <f>IFERROR(T412/T444, "NA")</f>
        <v>NA</v>
      </c>
      <c r="V412" s="9"/>
      <c r="W412" s="10">
        <f t="shared" si="102"/>
        <v>0</v>
      </c>
      <c r="X412" s="8" t="str">
        <f>IFERROR(W412/W444, "NA")</f>
        <v>NA</v>
      </c>
      <c r="Y412" s="9"/>
      <c r="Z412" s="7">
        <v>0</v>
      </c>
      <c r="AA412" s="8" t="str">
        <f>IFERROR(Z412/Z444, "NA")</f>
        <v>NA</v>
      </c>
      <c r="AB412" s="9"/>
      <c r="AC412" s="10">
        <f t="shared" si="103"/>
        <v>0</v>
      </c>
      <c r="AD412" s="8" t="str">
        <f>IFERROR(AC412/AC444, "NA")</f>
        <v>NA</v>
      </c>
    </row>
    <row r="413" spans="1:30" ht="16.5" hidden="1" customHeight="1" x14ac:dyDescent="0.45">
      <c r="A413" s="6" t="s">
        <v>378</v>
      </c>
      <c r="B413" s="7">
        <v>0</v>
      </c>
      <c r="C413" s="8" t="str">
        <f>IFERROR(B413/B444, "NA")</f>
        <v>NA</v>
      </c>
      <c r="D413" s="9"/>
      <c r="E413" s="7">
        <v>0</v>
      </c>
      <c r="F413" s="8" t="str">
        <f>IFERROR(E413/E444, "NA")</f>
        <v>NA</v>
      </c>
      <c r="G413" s="9"/>
      <c r="H413" s="10">
        <f t="shared" si="100"/>
        <v>0</v>
      </c>
      <c r="I413" s="8" t="str">
        <f>IFERROR(H413/H444, "NA")</f>
        <v>NA</v>
      </c>
      <c r="J413" s="9"/>
      <c r="K413" s="7">
        <v>0</v>
      </c>
      <c r="L413" s="8" t="str">
        <f>IFERROR(K413/K444, "NA")</f>
        <v>NA</v>
      </c>
      <c r="M413" s="9"/>
      <c r="N413" s="10">
        <f t="shared" si="101"/>
        <v>0</v>
      </c>
      <c r="O413" s="8" t="str">
        <f>IFERROR(N413/N444, "NA")</f>
        <v>NA</v>
      </c>
      <c r="P413" s="9"/>
      <c r="Q413" s="7">
        <v>0</v>
      </c>
      <c r="R413" s="8" t="str">
        <f>IFERROR(Q413/Q444, "NA")</f>
        <v>NA</v>
      </c>
      <c r="S413" s="9"/>
      <c r="T413" s="7">
        <v>0</v>
      </c>
      <c r="U413" s="8" t="str">
        <f>IFERROR(T413/T444, "NA")</f>
        <v>NA</v>
      </c>
      <c r="V413" s="9"/>
      <c r="W413" s="10">
        <f t="shared" si="102"/>
        <v>0</v>
      </c>
      <c r="X413" s="8" t="str">
        <f>IFERROR(W413/W444, "NA")</f>
        <v>NA</v>
      </c>
      <c r="Y413" s="9"/>
      <c r="Z413" s="7">
        <v>0</v>
      </c>
      <c r="AA413" s="8" t="str">
        <f>IFERROR(Z413/Z444, "NA")</f>
        <v>NA</v>
      </c>
      <c r="AB413" s="9"/>
      <c r="AC413" s="10">
        <f t="shared" si="103"/>
        <v>0</v>
      </c>
      <c r="AD413" s="8" t="str">
        <f>IFERROR(AC413/AC444, "NA")</f>
        <v>NA</v>
      </c>
    </row>
    <row r="414" spans="1:30" ht="16.5" hidden="1" customHeight="1" x14ac:dyDescent="0.45">
      <c r="A414" s="6" t="s">
        <v>379</v>
      </c>
      <c r="B414" s="7">
        <v>0</v>
      </c>
      <c r="C414" s="8" t="str">
        <f>IFERROR(B414/B444, "NA")</f>
        <v>NA</v>
      </c>
      <c r="D414" s="9"/>
      <c r="E414" s="7">
        <v>0</v>
      </c>
      <c r="F414" s="8" t="str">
        <f>IFERROR(E414/E444, "NA")</f>
        <v>NA</v>
      </c>
      <c r="G414" s="9"/>
      <c r="H414" s="10">
        <f t="shared" si="100"/>
        <v>0</v>
      </c>
      <c r="I414" s="8" t="str">
        <f>IFERROR(H414/H444, "NA")</f>
        <v>NA</v>
      </c>
      <c r="J414" s="9"/>
      <c r="K414" s="7">
        <v>0</v>
      </c>
      <c r="L414" s="8" t="str">
        <f>IFERROR(K414/K444, "NA")</f>
        <v>NA</v>
      </c>
      <c r="M414" s="9"/>
      <c r="N414" s="10">
        <f t="shared" si="101"/>
        <v>0</v>
      </c>
      <c r="O414" s="8" t="str">
        <f>IFERROR(N414/N444, "NA")</f>
        <v>NA</v>
      </c>
      <c r="P414" s="9"/>
      <c r="Q414" s="7">
        <v>0</v>
      </c>
      <c r="R414" s="8" t="str">
        <f>IFERROR(Q414/Q444, "NA")</f>
        <v>NA</v>
      </c>
      <c r="S414" s="9"/>
      <c r="T414" s="7">
        <v>0</v>
      </c>
      <c r="U414" s="8" t="str">
        <f>IFERROR(T414/T444, "NA")</f>
        <v>NA</v>
      </c>
      <c r="V414" s="9"/>
      <c r="W414" s="10">
        <f t="shared" si="102"/>
        <v>0</v>
      </c>
      <c r="X414" s="8" t="str">
        <f>IFERROR(W414/W444, "NA")</f>
        <v>NA</v>
      </c>
      <c r="Y414" s="9"/>
      <c r="Z414" s="7">
        <v>0</v>
      </c>
      <c r="AA414" s="8" t="str">
        <f>IFERROR(Z414/Z444, "NA")</f>
        <v>NA</v>
      </c>
      <c r="AB414" s="9"/>
      <c r="AC414" s="10">
        <f t="shared" si="103"/>
        <v>0</v>
      </c>
      <c r="AD414" s="8" t="str">
        <f>IFERROR(AC414/AC444, "NA")</f>
        <v>NA</v>
      </c>
    </row>
    <row r="415" spans="1:30" ht="16.5" hidden="1" customHeight="1" x14ac:dyDescent="0.45">
      <c r="A415" s="6" t="s">
        <v>380</v>
      </c>
      <c r="B415" s="7">
        <v>0</v>
      </c>
      <c r="C415" s="8" t="str">
        <f>IFERROR(B415/B444, "NA")</f>
        <v>NA</v>
      </c>
      <c r="D415" s="9"/>
      <c r="E415" s="7">
        <v>0</v>
      </c>
      <c r="F415" s="8" t="str">
        <f>IFERROR(E415/E444, "NA")</f>
        <v>NA</v>
      </c>
      <c r="G415" s="9"/>
      <c r="H415" s="10">
        <f t="shared" si="100"/>
        <v>0</v>
      </c>
      <c r="I415" s="8" t="str">
        <f>IFERROR(H415/H444, "NA")</f>
        <v>NA</v>
      </c>
      <c r="J415" s="9"/>
      <c r="K415" s="7">
        <v>0</v>
      </c>
      <c r="L415" s="8" t="str">
        <f>IFERROR(K415/K444, "NA")</f>
        <v>NA</v>
      </c>
      <c r="M415" s="9"/>
      <c r="N415" s="10">
        <f t="shared" si="101"/>
        <v>0</v>
      </c>
      <c r="O415" s="8" t="str">
        <f>IFERROR(N415/N444, "NA")</f>
        <v>NA</v>
      </c>
      <c r="P415" s="9"/>
      <c r="Q415" s="7">
        <v>0</v>
      </c>
      <c r="R415" s="8" t="str">
        <f>IFERROR(Q415/Q444, "NA")</f>
        <v>NA</v>
      </c>
      <c r="S415" s="9"/>
      <c r="T415" s="7">
        <v>0</v>
      </c>
      <c r="U415" s="8" t="str">
        <f>IFERROR(T415/T444, "NA")</f>
        <v>NA</v>
      </c>
      <c r="V415" s="9"/>
      <c r="W415" s="10">
        <f t="shared" si="102"/>
        <v>0</v>
      </c>
      <c r="X415" s="8" t="str">
        <f>IFERROR(W415/W444, "NA")</f>
        <v>NA</v>
      </c>
      <c r="Y415" s="9"/>
      <c r="Z415" s="7">
        <v>0</v>
      </c>
      <c r="AA415" s="8" t="str">
        <f>IFERROR(Z415/Z444, "NA")</f>
        <v>NA</v>
      </c>
      <c r="AB415" s="9"/>
      <c r="AC415" s="10">
        <f t="shared" si="103"/>
        <v>0</v>
      </c>
      <c r="AD415" s="8" t="str">
        <f>IFERROR(AC415/AC444, "NA")</f>
        <v>NA</v>
      </c>
    </row>
    <row r="416" spans="1:30" ht="16.5" hidden="1" customHeight="1" x14ac:dyDescent="0.45">
      <c r="A416" s="6" t="s">
        <v>381</v>
      </c>
      <c r="B416" s="7">
        <v>0</v>
      </c>
      <c r="C416" s="8" t="str">
        <f>IFERROR(B416/B444, "NA")</f>
        <v>NA</v>
      </c>
      <c r="D416" s="9"/>
      <c r="E416" s="7">
        <v>0</v>
      </c>
      <c r="F416" s="8" t="str">
        <f>IFERROR(E416/E444, "NA")</f>
        <v>NA</v>
      </c>
      <c r="G416" s="9"/>
      <c r="H416" s="10">
        <f t="shared" si="100"/>
        <v>0</v>
      </c>
      <c r="I416" s="8" t="str">
        <f>IFERROR(H416/H444, "NA")</f>
        <v>NA</v>
      </c>
      <c r="J416" s="9"/>
      <c r="K416" s="7">
        <v>0</v>
      </c>
      <c r="L416" s="8" t="str">
        <f>IFERROR(K416/K444, "NA")</f>
        <v>NA</v>
      </c>
      <c r="M416" s="9"/>
      <c r="N416" s="10">
        <f t="shared" si="101"/>
        <v>0</v>
      </c>
      <c r="O416" s="8" t="str">
        <f>IFERROR(N416/N444, "NA")</f>
        <v>NA</v>
      </c>
      <c r="P416" s="9"/>
      <c r="Q416" s="7">
        <v>0</v>
      </c>
      <c r="R416" s="8" t="str">
        <f>IFERROR(Q416/Q444, "NA")</f>
        <v>NA</v>
      </c>
      <c r="S416" s="9"/>
      <c r="T416" s="7">
        <v>0</v>
      </c>
      <c r="U416" s="8" t="str">
        <f>IFERROR(T416/T444, "NA")</f>
        <v>NA</v>
      </c>
      <c r="V416" s="9"/>
      <c r="W416" s="10">
        <f t="shared" si="102"/>
        <v>0</v>
      </c>
      <c r="X416" s="8" t="str">
        <f>IFERROR(W416/W444, "NA")</f>
        <v>NA</v>
      </c>
      <c r="Y416" s="9"/>
      <c r="Z416" s="7">
        <v>0</v>
      </c>
      <c r="AA416" s="8" t="str">
        <f>IFERROR(Z416/Z444, "NA")</f>
        <v>NA</v>
      </c>
      <c r="AB416" s="9"/>
      <c r="AC416" s="10">
        <f t="shared" si="103"/>
        <v>0</v>
      </c>
      <c r="AD416" s="8" t="str">
        <f>IFERROR(AC416/AC444, "NA")</f>
        <v>NA</v>
      </c>
    </row>
    <row r="417" spans="1:30" ht="16.5" hidden="1" customHeight="1" x14ac:dyDescent="0.45">
      <c r="A417" s="6" t="s">
        <v>382</v>
      </c>
      <c r="B417" s="7">
        <v>0</v>
      </c>
      <c r="C417" s="8" t="str">
        <f>IFERROR(B417/B444, "NA")</f>
        <v>NA</v>
      </c>
      <c r="D417" s="9"/>
      <c r="E417" s="7">
        <v>0</v>
      </c>
      <c r="F417" s="8" t="str">
        <f>IFERROR(E417/E444, "NA")</f>
        <v>NA</v>
      </c>
      <c r="G417" s="9"/>
      <c r="H417" s="10">
        <f t="shared" si="100"/>
        <v>0</v>
      </c>
      <c r="I417" s="8" t="str">
        <f>IFERROR(H417/H444, "NA")</f>
        <v>NA</v>
      </c>
      <c r="J417" s="9"/>
      <c r="K417" s="7">
        <v>0</v>
      </c>
      <c r="L417" s="8" t="str">
        <f>IFERROR(K417/K444, "NA")</f>
        <v>NA</v>
      </c>
      <c r="M417" s="9"/>
      <c r="N417" s="10">
        <f t="shared" si="101"/>
        <v>0</v>
      </c>
      <c r="O417" s="8" t="str">
        <f>IFERROR(N417/N444, "NA")</f>
        <v>NA</v>
      </c>
      <c r="P417" s="9"/>
      <c r="Q417" s="7">
        <v>0</v>
      </c>
      <c r="R417" s="8" t="str">
        <f>IFERROR(Q417/Q444, "NA")</f>
        <v>NA</v>
      </c>
      <c r="S417" s="9"/>
      <c r="T417" s="7">
        <v>0</v>
      </c>
      <c r="U417" s="8" t="str">
        <f>IFERROR(T417/T444, "NA")</f>
        <v>NA</v>
      </c>
      <c r="V417" s="9"/>
      <c r="W417" s="10">
        <f t="shared" si="102"/>
        <v>0</v>
      </c>
      <c r="X417" s="8" t="str">
        <f>IFERROR(W417/W444, "NA")</f>
        <v>NA</v>
      </c>
      <c r="Y417" s="9"/>
      <c r="Z417" s="7">
        <v>0</v>
      </c>
      <c r="AA417" s="8" t="str">
        <f>IFERROR(Z417/Z444, "NA")</f>
        <v>NA</v>
      </c>
      <c r="AB417" s="9"/>
      <c r="AC417" s="10">
        <f t="shared" si="103"/>
        <v>0</v>
      </c>
      <c r="AD417" s="8" t="str">
        <f>IFERROR(AC417/AC444, "NA")</f>
        <v>NA</v>
      </c>
    </row>
    <row r="418" spans="1:30" ht="16.5" customHeight="1" x14ac:dyDescent="0.45">
      <c r="A418" s="6" t="s">
        <v>383</v>
      </c>
      <c r="B418" s="7">
        <v>-2000</v>
      </c>
      <c r="C418" s="8" t="str">
        <f>IFERROR(B418/B444, "NA")</f>
        <v>NA</v>
      </c>
      <c r="D418" s="9"/>
      <c r="E418" s="7">
        <v>0</v>
      </c>
      <c r="F418" s="8" t="str">
        <f>IFERROR(E418/E444, "NA")</f>
        <v>NA</v>
      </c>
      <c r="G418" s="9"/>
      <c r="H418" s="10">
        <f t="shared" si="100"/>
        <v>2000</v>
      </c>
      <c r="I418" s="8" t="str">
        <f>IFERROR(H418/H444, "NA")</f>
        <v>NA</v>
      </c>
      <c r="J418" s="9"/>
      <c r="K418" s="7">
        <v>0</v>
      </c>
      <c r="L418" s="8" t="str">
        <f>IFERROR(K418/K444, "NA")</f>
        <v>NA</v>
      </c>
      <c r="M418" s="9"/>
      <c r="N418" s="10">
        <f t="shared" si="101"/>
        <v>2000</v>
      </c>
      <c r="O418" s="8" t="str">
        <f>IFERROR(N418/N444, "NA")</f>
        <v>NA</v>
      </c>
      <c r="P418" s="9"/>
      <c r="Q418" s="7">
        <v>-3725.69</v>
      </c>
      <c r="R418" s="8" t="str">
        <f>IFERROR(Q418/Q444, "NA")</f>
        <v>NA</v>
      </c>
      <c r="S418" s="9"/>
      <c r="T418" s="7">
        <v>0</v>
      </c>
      <c r="U418" s="8" t="str">
        <f>IFERROR(T418/T444, "NA")</f>
        <v>NA</v>
      </c>
      <c r="V418" s="9"/>
      <c r="W418" s="10">
        <f t="shared" si="102"/>
        <v>3725.69</v>
      </c>
      <c r="X418" s="8" t="str">
        <f>IFERROR(W418/W444, "NA")</f>
        <v>NA</v>
      </c>
      <c r="Y418" s="9"/>
      <c r="Z418" s="7">
        <v>-2278.69</v>
      </c>
      <c r="AA418" s="8" t="str">
        <f>IFERROR(Z418/Z444, "NA")</f>
        <v>NA</v>
      </c>
      <c r="AB418" s="9"/>
      <c r="AC418" s="10">
        <f t="shared" si="103"/>
        <v>1447</v>
      </c>
      <c r="AD418" s="8" t="str">
        <f>IFERROR(AC418/AC444, "NA")</f>
        <v>NA</v>
      </c>
    </row>
    <row r="419" spans="1:30" ht="16.5" hidden="1" customHeight="1" x14ac:dyDescent="0.45">
      <c r="A419" s="6" t="s">
        <v>384</v>
      </c>
      <c r="B419" s="7">
        <v>0</v>
      </c>
      <c r="C419" s="8" t="str">
        <f>IFERROR(B419/B444, "NA")</f>
        <v>NA</v>
      </c>
      <c r="D419" s="9"/>
      <c r="E419" s="7">
        <v>0</v>
      </c>
      <c r="F419" s="8" t="str">
        <f>IFERROR(E419/E444, "NA")</f>
        <v>NA</v>
      </c>
      <c r="G419" s="9"/>
      <c r="H419" s="10">
        <f t="shared" si="100"/>
        <v>0</v>
      </c>
      <c r="I419" s="8" t="str">
        <f>IFERROR(H419/H444, "NA")</f>
        <v>NA</v>
      </c>
      <c r="J419" s="9"/>
      <c r="K419" s="7">
        <v>0</v>
      </c>
      <c r="L419" s="8" t="str">
        <f>IFERROR(K419/K444, "NA")</f>
        <v>NA</v>
      </c>
      <c r="M419" s="9"/>
      <c r="N419" s="10">
        <f t="shared" si="101"/>
        <v>0</v>
      </c>
      <c r="O419" s="8" t="str">
        <f>IFERROR(N419/N444, "NA")</f>
        <v>NA</v>
      </c>
      <c r="P419" s="9"/>
      <c r="Q419" s="7">
        <v>0</v>
      </c>
      <c r="R419" s="8" t="str">
        <f>IFERROR(Q419/Q444, "NA")</f>
        <v>NA</v>
      </c>
      <c r="S419" s="9"/>
      <c r="T419" s="7">
        <v>0</v>
      </c>
      <c r="U419" s="8" t="str">
        <f>IFERROR(T419/T444, "NA")</f>
        <v>NA</v>
      </c>
      <c r="V419" s="9"/>
      <c r="W419" s="10">
        <f t="shared" si="102"/>
        <v>0</v>
      </c>
      <c r="X419" s="8" t="str">
        <f>IFERROR(W419/W444, "NA")</f>
        <v>NA</v>
      </c>
      <c r="Y419" s="9"/>
      <c r="Z419" s="7">
        <v>0</v>
      </c>
      <c r="AA419" s="8" t="str">
        <f>IFERROR(Z419/Z444, "NA")</f>
        <v>NA</v>
      </c>
      <c r="AB419" s="9"/>
      <c r="AC419" s="10">
        <f t="shared" si="103"/>
        <v>0</v>
      </c>
      <c r="AD419" s="8" t="str">
        <f>IFERROR(AC419/AC444, "NA")</f>
        <v>NA</v>
      </c>
    </row>
    <row r="420" spans="1:30" ht="16.5" hidden="1" customHeight="1" x14ac:dyDescent="0.45">
      <c r="A420" s="6" t="s">
        <v>385</v>
      </c>
      <c r="B420" s="7">
        <v>0</v>
      </c>
      <c r="C420" s="8" t="str">
        <f>IFERROR(B420/B444, "NA")</f>
        <v>NA</v>
      </c>
      <c r="D420" s="9"/>
      <c r="E420" s="7">
        <v>0</v>
      </c>
      <c r="F420" s="8" t="str">
        <f>IFERROR(E420/E444, "NA")</f>
        <v>NA</v>
      </c>
      <c r="G420" s="9"/>
      <c r="H420" s="10">
        <f t="shared" si="100"/>
        <v>0</v>
      </c>
      <c r="I420" s="8" t="str">
        <f>IFERROR(H420/H444, "NA")</f>
        <v>NA</v>
      </c>
      <c r="J420" s="9"/>
      <c r="K420" s="7">
        <v>0</v>
      </c>
      <c r="L420" s="8" t="str">
        <f>IFERROR(K420/K444, "NA")</f>
        <v>NA</v>
      </c>
      <c r="M420" s="9"/>
      <c r="N420" s="10">
        <f t="shared" si="101"/>
        <v>0</v>
      </c>
      <c r="O420" s="8" t="str">
        <f>IFERROR(N420/N444, "NA")</f>
        <v>NA</v>
      </c>
      <c r="P420" s="9"/>
      <c r="Q420" s="7">
        <v>0</v>
      </c>
      <c r="R420" s="8" t="str">
        <f>IFERROR(Q420/Q444, "NA")</f>
        <v>NA</v>
      </c>
      <c r="S420" s="9"/>
      <c r="T420" s="7">
        <v>0</v>
      </c>
      <c r="U420" s="8" t="str">
        <f>IFERROR(T420/T444, "NA")</f>
        <v>NA</v>
      </c>
      <c r="V420" s="9"/>
      <c r="W420" s="10">
        <f t="shared" si="102"/>
        <v>0</v>
      </c>
      <c r="X420" s="8" t="str">
        <f>IFERROR(W420/W444, "NA")</f>
        <v>NA</v>
      </c>
      <c r="Y420" s="9"/>
      <c r="Z420" s="7">
        <v>0</v>
      </c>
      <c r="AA420" s="8" t="str">
        <f>IFERROR(Z420/Z444, "NA")</f>
        <v>NA</v>
      </c>
      <c r="AB420" s="9"/>
      <c r="AC420" s="10">
        <f t="shared" si="103"/>
        <v>0</v>
      </c>
      <c r="AD420" s="8" t="str">
        <f>IFERROR(AC420/AC444, "NA")</f>
        <v>NA</v>
      </c>
    </row>
    <row r="421" spans="1:30" ht="16.5" hidden="1" customHeight="1" x14ac:dyDescent="0.45">
      <c r="A421" s="6" t="s">
        <v>386</v>
      </c>
      <c r="B421" s="7">
        <v>0</v>
      </c>
      <c r="C421" s="8" t="str">
        <f>IFERROR(B421/B444, "NA")</f>
        <v>NA</v>
      </c>
      <c r="D421" s="9"/>
      <c r="E421" s="7">
        <v>0</v>
      </c>
      <c r="F421" s="8" t="str">
        <f>IFERROR(E421/E444, "NA")</f>
        <v>NA</v>
      </c>
      <c r="G421" s="9"/>
      <c r="H421" s="10">
        <f t="shared" si="100"/>
        <v>0</v>
      </c>
      <c r="I421" s="8" t="str">
        <f>IFERROR(H421/H444, "NA")</f>
        <v>NA</v>
      </c>
      <c r="J421" s="9"/>
      <c r="K421" s="7">
        <v>0</v>
      </c>
      <c r="L421" s="8" t="str">
        <f>IFERROR(K421/K444, "NA")</f>
        <v>NA</v>
      </c>
      <c r="M421" s="9"/>
      <c r="N421" s="10">
        <f t="shared" si="101"/>
        <v>0</v>
      </c>
      <c r="O421" s="8" t="str">
        <f>IFERROR(N421/N444, "NA")</f>
        <v>NA</v>
      </c>
      <c r="P421" s="9"/>
      <c r="Q421" s="7">
        <v>0</v>
      </c>
      <c r="R421" s="8" t="str">
        <f>IFERROR(Q421/Q444, "NA")</f>
        <v>NA</v>
      </c>
      <c r="S421" s="9"/>
      <c r="T421" s="7">
        <v>0</v>
      </c>
      <c r="U421" s="8" t="str">
        <f>IFERROR(T421/T444, "NA")</f>
        <v>NA</v>
      </c>
      <c r="V421" s="9"/>
      <c r="W421" s="10">
        <f t="shared" si="102"/>
        <v>0</v>
      </c>
      <c r="X421" s="8" t="str">
        <f>IFERROR(W421/W444, "NA")</f>
        <v>NA</v>
      </c>
      <c r="Y421" s="9"/>
      <c r="Z421" s="7">
        <v>0</v>
      </c>
      <c r="AA421" s="8" t="str">
        <f>IFERROR(Z421/Z444, "NA")</f>
        <v>NA</v>
      </c>
      <c r="AB421" s="9"/>
      <c r="AC421" s="10">
        <f t="shared" si="103"/>
        <v>0</v>
      </c>
      <c r="AD421" s="8" t="str">
        <f>IFERROR(AC421/AC444, "NA")</f>
        <v>NA</v>
      </c>
    </row>
    <row r="422" spans="1:30" ht="16.5" hidden="1" customHeight="1" x14ac:dyDescent="0.45">
      <c r="A422" s="6" t="s">
        <v>387</v>
      </c>
      <c r="B422" s="7">
        <v>0</v>
      </c>
      <c r="C422" s="8" t="str">
        <f>IFERROR(B422/B444, "NA")</f>
        <v>NA</v>
      </c>
      <c r="D422" s="9"/>
      <c r="E422" s="7">
        <v>0</v>
      </c>
      <c r="F422" s="8" t="str">
        <f>IFERROR(E422/E444, "NA")</f>
        <v>NA</v>
      </c>
      <c r="G422" s="9"/>
      <c r="H422" s="10">
        <f t="shared" si="100"/>
        <v>0</v>
      </c>
      <c r="I422" s="8" t="str">
        <f>IFERROR(H422/H444, "NA")</f>
        <v>NA</v>
      </c>
      <c r="J422" s="9"/>
      <c r="K422" s="7">
        <v>0</v>
      </c>
      <c r="L422" s="8" t="str">
        <f>IFERROR(K422/K444, "NA")</f>
        <v>NA</v>
      </c>
      <c r="M422" s="9"/>
      <c r="N422" s="10">
        <f t="shared" si="101"/>
        <v>0</v>
      </c>
      <c r="O422" s="8" t="str">
        <f>IFERROR(N422/N444, "NA")</f>
        <v>NA</v>
      </c>
      <c r="P422" s="9"/>
      <c r="Q422" s="7">
        <v>0</v>
      </c>
      <c r="R422" s="8" t="str">
        <f>IFERROR(Q422/Q444, "NA")</f>
        <v>NA</v>
      </c>
      <c r="S422" s="9"/>
      <c r="T422" s="7">
        <v>0</v>
      </c>
      <c r="U422" s="8" t="str">
        <f>IFERROR(T422/T444, "NA")</f>
        <v>NA</v>
      </c>
      <c r="V422" s="9"/>
      <c r="W422" s="10">
        <f t="shared" si="102"/>
        <v>0</v>
      </c>
      <c r="X422" s="8" t="str">
        <f>IFERROR(W422/W444, "NA")</f>
        <v>NA</v>
      </c>
      <c r="Y422" s="9"/>
      <c r="Z422" s="7">
        <v>0</v>
      </c>
      <c r="AA422" s="8" t="str">
        <f>IFERROR(Z422/Z444, "NA")</f>
        <v>NA</v>
      </c>
      <c r="AB422" s="9"/>
      <c r="AC422" s="10">
        <f t="shared" si="103"/>
        <v>0</v>
      </c>
      <c r="AD422" s="8" t="str">
        <f>IFERROR(AC422/AC444, "NA")</f>
        <v>NA</v>
      </c>
    </row>
    <row r="423" spans="1:30" ht="16.5" customHeight="1" x14ac:dyDescent="0.45">
      <c r="A423" s="6" t="s">
        <v>388</v>
      </c>
      <c r="B423" s="7">
        <v>0</v>
      </c>
      <c r="C423" s="8" t="str">
        <f>IFERROR(B423/B444, "NA")</f>
        <v>NA</v>
      </c>
      <c r="D423" s="9"/>
      <c r="E423" s="7">
        <v>0</v>
      </c>
      <c r="F423" s="8" t="str">
        <f>IFERROR(E423/E444, "NA")</f>
        <v>NA</v>
      </c>
      <c r="G423" s="9"/>
      <c r="H423" s="10">
        <f t="shared" si="100"/>
        <v>0</v>
      </c>
      <c r="I423" s="8" t="str">
        <f>IFERROR(H423/H444, "NA")</f>
        <v>NA</v>
      </c>
      <c r="J423" s="9"/>
      <c r="K423" s="7">
        <v>0</v>
      </c>
      <c r="L423" s="8" t="str">
        <f>IFERROR(K423/K444, "NA")</f>
        <v>NA</v>
      </c>
      <c r="M423" s="9"/>
      <c r="N423" s="10">
        <f t="shared" si="101"/>
        <v>0</v>
      </c>
      <c r="O423" s="8" t="str">
        <f>IFERROR(N423/N444, "NA")</f>
        <v>NA</v>
      </c>
      <c r="P423" s="9"/>
      <c r="Q423" s="7">
        <v>-3.84</v>
      </c>
      <c r="R423" s="8" t="str">
        <f>IFERROR(Q423/Q444, "NA")</f>
        <v>NA</v>
      </c>
      <c r="S423" s="9"/>
      <c r="T423" s="7">
        <v>0</v>
      </c>
      <c r="U423" s="8" t="str">
        <f>IFERROR(T423/T444, "NA")</f>
        <v>NA</v>
      </c>
      <c r="V423" s="9"/>
      <c r="W423" s="10">
        <f t="shared" si="102"/>
        <v>3.84</v>
      </c>
      <c r="X423" s="8" t="str">
        <f>IFERROR(W423/W444, "NA")</f>
        <v>NA</v>
      </c>
      <c r="Y423" s="9"/>
      <c r="Z423" s="7">
        <v>0</v>
      </c>
      <c r="AA423" s="8" t="str">
        <f>IFERROR(Z423/Z444, "NA")</f>
        <v>NA</v>
      </c>
      <c r="AB423" s="9"/>
      <c r="AC423" s="10">
        <f t="shared" si="103"/>
        <v>3.84</v>
      </c>
      <c r="AD423" s="8" t="str">
        <f>IFERROR(AC423/AC444, "NA")</f>
        <v>NA</v>
      </c>
    </row>
    <row r="424" spans="1:30" ht="16.5" hidden="1" customHeight="1" x14ac:dyDescent="0.45">
      <c r="A424" s="6" t="s">
        <v>389</v>
      </c>
      <c r="B424" s="7">
        <v>0</v>
      </c>
      <c r="C424" s="8" t="str">
        <f>IFERROR(B424/B444, "NA")</f>
        <v>NA</v>
      </c>
      <c r="D424" s="9"/>
      <c r="E424" s="7">
        <v>0</v>
      </c>
      <c r="F424" s="8" t="str">
        <f>IFERROR(E424/E444, "NA")</f>
        <v>NA</v>
      </c>
      <c r="G424" s="9"/>
      <c r="H424" s="10">
        <f t="shared" si="100"/>
        <v>0</v>
      </c>
      <c r="I424" s="8" t="str">
        <f>IFERROR(H424/H444, "NA")</f>
        <v>NA</v>
      </c>
      <c r="J424" s="9"/>
      <c r="K424" s="7">
        <v>0</v>
      </c>
      <c r="L424" s="8" t="str">
        <f>IFERROR(K424/K444, "NA")</f>
        <v>NA</v>
      </c>
      <c r="M424" s="9"/>
      <c r="N424" s="10">
        <f t="shared" si="101"/>
        <v>0</v>
      </c>
      <c r="O424" s="8" t="str">
        <f>IFERROR(N424/N444, "NA")</f>
        <v>NA</v>
      </c>
      <c r="P424" s="9"/>
      <c r="Q424" s="7">
        <v>0</v>
      </c>
      <c r="R424" s="8" t="str">
        <f>IFERROR(Q424/Q444, "NA")</f>
        <v>NA</v>
      </c>
      <c r="S424" s="9"/>
      <c r="T424" s="7">
        <v>0</v>
      </c>
      <c r="U424" s="8" t="str">
        <f>IFERROR(T424/T444, "NA")</f>
        <v>NA</v>
      </c>
      <c r="V424" s="9"/>
      <c r="W424" s="10">
        <f t="shared" si="102"/>
        <v>0</v>
      </c>
      <c r="X424" s="8" t="str">
        <f>IFERROR(W424/W444, "NA")</f>
        <v>NA</v>
      </c>
      <c r="Y424" s="9"/>
      <c r="Z424" s="7">
        <v>0</v>
      </c>
      <c r="AA424" s="8" t="str">
        <f>IFERROR(Z424/Z444, "NA")</f>
        <v>NA</v>
      </c>
      <c r="AB424" s="9"/>
      <c r="AC424" s="10">
        <f t="shared" si="103"/>
        <v>0</v>
      </c>
      <c r="AD424" s="8" t="str">
        <f>IFERROR(AC424/AC444, "NA")</f>
        <v>NA</v>
      </c>
    </row>
    <row r="425" spans="1:30" ht="16.5" hidden="1" customHeight="1" x14ac:dyDescent="0.45">
      <c r="A425" s="6" t="s">
        <v>390</v>
      </c>
      <c r="B425" s="7">
        <v>0</v>
      </c>
      <c r="C425" s="8" t="str">
        <f>IFERROR(B425/B444, "NA")</f>
        <v>NA</v>
      </c>
      <c r="D425" s="9"/>
      <c r="E425" s="7">
        <v>0</v>
      </c>
      <c r="F425" s="8" t="str">
        <f>IFERROR(E425/E444, "NA")</f>
        <v>NA</v>
      </c>
      <c r="G425" s="9"/>
      <c r="H425" s="10">
        <f t="shared" si="100"/>
        <v>0</v>
      </c>
      <c r="I425" s="8" t="str">
        <f>IFERROR(H425/H444, "NA")</f>
        <v>NA</v>
      </c>
      <c r="J425" s="9"/>
      <c r="K425" s="7">
        <v>0</v>
      </c>
      <c r="L425" s="8" t="str">
        <f>IFERROR(K425/K444, "NA")</f>
        <v>NA</v>
      </c>
      <c r="M425" s="9"/>
      <c r="N425" s="10">
        <f t="shared" si="101"/>
        <v>0</v>
      </c>
      <c r="O425" s="8" t="str">
        <f>IFERROR(N425/N444, "NA")</f>
        <v>NA</v>
      </c>
      <c r="P425" s="9"/>
      <c r="Q425" s="7">
        <v>0</v>
      </c>
      <c r="R425" s="8" t="str">
        <f>IFERROR(Q425/Q444, "NA")</f>
        <v>NA</v>
      </c>
      <c r="S425" s="9"/>
      <c r="T425" s="7">
        <v>0</v>
      </c>
      <c r="U425" s="8" t="str">
        <f>IFERROR(T425/T444, "NA")</f>
        <v>NA</v>
      </c>
      <c r="V425" s="9"/>
      <c r="W425" s="10">
        <f t="shared" si="102"/>
        <v>0</v>
      </c>
      <c r="X425" s="8" t="str">
        <f>IFERROR(W425/W444, "NA")</f>
        <v>NA</v>
      </c>
      <c r="Y425" s="9"/>
      <c r="Z425" s="7">
        <v>0</v>
      </c>
      <c r="AA425" s="8" t="str">
        <f>IFERROR(Z425/Z444, "NA")</f>
        <v>NA</v>
      </c>
      <c r="AB425" s="9"/>
      <c r="AC425" s="10">
        <f t="shared" si="103"/>
        <v>0</v>
      </c>
      <c r="AD425" s="8" t="str">
        <f>IFERROR(AC425/AC444, "NA")</f>
        <v>NA</v>
      </c>
    </row>
    <row r="426" spans="1:30" ht="16.5" customHeight="1" x14ac:dyDescent="0.45">
      <c r="A426" s="6" t="s">
        <v>391</v>
      </c>
      <c r="B426" s="7">
        <v>-16428.3</v>
      </c>
      <c r="C426" s="8" t="str">
        <f>IFERROR(B426/B444, "NA")</f>
        <v>NA</v>
      </c>
      <c r="D426" s="9"/>
      <c r="E426" s="7">
        <v>0</v>
      </c>
      <c r="F426" s="8" t="str">
        <f>IFERROR(E426/E444, "NA")</f>
        <v>NA</v>
      </c>
      <c r="G426" s="9"/>
      <c r="H426" s="10">
        <f t="shared" si="100"/>
        <v>16428.3</v>
      </c>
      <c r="I426" s="8" t="str">
        <f>IFERROR(H426/H444, "NA")</f>
        <v>NA</v>
      </c>
      <c r="J426" s="9"/>
      <c r="K426" s="7">
        <v>-4.03</v>
      </c>
      <c r="L426" s="8" t="str">
        <f>IFERROR(K426/K444, "NA")</f>
        <v>NA</v>
      </c>
      <c r="M426" s="9"/>
      <c r="N426" s="10">
        <f t="shared" si="101"/>
        <v>16424.27</v>
      </c>
      <c r="O426" s="8" t="str">
        <f>IFERROR(N426/N444, "NA")</f>
        <v>NA</v>
      </c>
      <c r="P426" s="9"/>
      <c r="Q426" s="7">
        <v>-45843.37</v>
      </c>
      <c r="R426" s="8" t="str">
        <f>IFERROR(Q426/Q444, "NA")</f>
        <v>NA</v>
      </c>
      <c r="S426" s="9"/>
      <c r="T426" s="7">
        <v>0</v>
      </c>
      <c r="U426" s="8" t="str">
        <f>IFERROR(T426/T444, "NA")</f>
        <v>NA</v>
      </c>
      <c r="V426" s="9"/>
      <c r="W426" s="10">
        <f t="shared" si="102"/>
        <v>45843.37</v>
      </c>
      <c r="X426" s="8" t="str">
        <f>IFERROR(W426/W444, "NA")</f>
        <v>NA</v>
      </c>
      <c r="Y426" s="9"/>
      <c r="Z426" s="7">
        <v>-1460.91</v>
      </c>
      <c r="AA426" s="8" t="str">
        <f>IFERROR(Z426/Z444, "NA")</f>
        <v>NA</v>
      </c>
      <c r="AB426" s="9"/>
      <c r="AC426" s="10">
        <f t="shared" si="103"/>
        <v>44382.46</v>
      </c>
      <c r="AD426" s="8" t="str">
        <f>IFERROR(AC426/AC444, "NA")</f>
        <v>NA</v>
      </c>
    </row>
    <row r="427" spans="1:30" ht="16.5" hidden="1" customHeight="1" x14ac:dyDescent="0.45">
      <c r="A427" s="6" t="s">
        <v>392</v>
      </c>
      <c r="B427" s="7">
        <v>0</v>
      </c>
      <c r="C427" s="8" t="str">
        <f>IFERROR(B427/B444, "NA")</f>
        <v>NA</v>
      </c>
      <c r="D427" s="9"/>
      <c r="E427" s="7">
        <v>0</v>
      </c>
      <c r="F427" s="8" t="str">
        <f>IFERROR(E427/E444, "NA")</f>
        <v>NA</v>
      </c>
      <c r="G427" s="9"/>
      <c r="H427" s="10">
        <f t="shared" si="100"/>
        <v>0</v>
      </c>
      <c r="I427" s="8" t="str">
        <f>IFERROR(H427/H444, "NA")</f>
        <v>NA</v>
      </c>
      <c r="J427" s="9"/>
      <c r="K427" s="7">
        <v>0</v>
      </c>
      <c r="L427" s="8" t="str">
        <f>IFERROR(K427/K444, "NA")</f>
        <v>NA</v>
      </c>
      <c r="M427" s="9"/>
      <c r="N427" s="10">
        <f t="shared" si="101"/>
        <v>0</v>
      </c>
      <c r="O427" s="8" t="str">
        <f>IFERROR(N427/N444, "NA")</f>
        <v>NA</v>
      </c>
      <c r="P427" s="9"/>
      <c r="Q427" s="7">
        <v>0</v>
      </c>
      <c r="R427" s="8" t="str">
        <f>IFERROR(Q427/Q444, "NA")</f>
        <v>NA</v>
      </c>
      <c r="S427" s="9"/>
      <c r="T427" s="7">
        <v>0</v>
      </c>
      <c r="U427" s="8" t="str">
        <f>IFERROR(T427/T444, "NA")</f>
        <v>NA</v>
      </c>
      <c r="V427" s="9"/>
      <c r="W427" s="10">
        <f t="shared" si="102"/>
        <v>0</v>
      </c>
      <c r="X427" s="8" t="str">
        <f>IFERROR(W427/W444, "NA")</f>
        <v>NA</v>
      </c>
      <c r="Y427" s="9"/>
      <c r="Z427" s="7">
        <v>0</v>
      </c>
      <c r="AA427" s="8" t="str">
        <f>IFERROR(Z427/Z444, "NA")</f>
        <v>NA</v>
      </c>
      <c r="AB427" s="9"/>
      <c r="AC427" s="10">
        <f t="shared" si="103"/>
        <v>0</v>
      </c>
      <c r="AD427" s="8" t="str">
        <f>IFERROR(AC427/AC444, "NA")</f>
        <v>NA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-18100.23</v>
      </c>
      <c r="C428" s="15" t="str">
        <f>IFERROR(B428/B444, "NA")</f>
        <v>NA</v>
      </c>
      <c r="D428" s="2"/>
      <c r="E428" s="14">
        <f>IFERROR(E407+E408+E409+E410+E411+E412+E413+E414+E415+E416+E417+E418+E419+E420+E421+E422+E423+E424+E425+E426+E427, "NA")</f>
        <v>0</v>
      </c>
      <c r="F428" s="15" t="str">
        <f>IFERROR(E428/E444, "NA")</f>
        <v>NA</v>
      </c>
      <c r="G428" s="2"/>
      <c r="H428" s="14">
        <f t="shared" si="100"/>
        <v>18100.23</v>
      </c>
      <c r="I428" s="15" t="str">
        <f>IFERROR(H428/H444, "NA")</f>
        <v>NA</v>
      </c>
      <c r="J428" s="2"/>
      <c r="K428" s="14">
        <f>IFERROR(K407+K408+K409+K410+K411+K412+K413+K414+K415+K416+K417+K418+K419+K420+K421+K422+K423+K424+K425+K426+K427, "NA")</f>
        <v>180.85999999999999</v>
      </c>
      <c r="L428" s="15" t="str">
        <f>IFERROR(K428/K444, "NA")</f>
        <v>NA</v>
      </c>
      <c r="M428" s="2"/>
      <c r="N428" s="14">
        <f t="shared" si="101"/>
        <v>18281.09</v>
      </c>
      <c r="O428" s="15" t="str">
        <f>IFERROR(N428/N444, "NA")</f>
        <v>NA</v>
      </c>
      <c r="P428" s="2"/>
      <c r="Q428" s="14">
        <f>IFERROR(Q407+Q408+Q409+Q410+Q411+Q412+Q413+Q414+Q415+Q416+Q417+Q418+Q419+Q420+Q421+Q422+Q423+Q424+Q425+Q426+Q427, "NA")</f>
        <v>-48075.73</v>
      </c>
      <c r="R428" s="15" t="str">
        <f>IFERROR(Q428/Q444, "NA")</f>
        <v>NA</v>
      </c>
      <c r="S428" s="2"/>
      <c r="T428" s="14">
        <f>IFERROR(T407+T408+T409+T410+T411+T412+T413+T414+T415+T416+T417+T418+T419+T420+T421+T422+T423+T424+T425+T426+T427, "NA")</f>
        <v>0</v>
      </c>
      <c r="U428" s="15" t="str">
        <f>IFERROR(T428/T444, "NA")</f>
        <v>NA</v>
      </c>
      <c r="V428" s="2"/>
      <c r="W428" s="14">
        <f t="shared" si="102"/>
        <v>48075.73</v>
      </c>
      <c r="X428" s="15" t="str">
        <f>IFERROR(W428/W444, "NA")</f>
        <v>NA</v>
      </c>
      <c r="Y428" s="2"/>
      <c r="Z428" s="14">
        <f>IFERROR(Z407+Z408+Z409+Z410+Z411+Z412+Z413+Z414+Z415+Z416+Z417+Z418+Z419+Z420+Z421+Z422+Z423+Z424+Z425+Z426+Z427, "NA")</f>
        <v>-2815.15</v>
      </c>
      <c r="AA428" s="15" t="str">
        <f>IFERROR(Z428/Z444, "NA")</f>
        <v>NA</v>
      </c>
      <c r="AB428" s="2"/>
      <c r="AC428" s="14">
        <f t="shared" si="103"/>
        <v>45260.58</v>
      </c>
      <c r="AD428" s="15" t="str">
        <f>IFERROR(AC428/AC444, "NA")</f>
        <v>NA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-18100.23</v>
      </c>
      <c r="C429" s="15" t="str">
        <f>IFERROR(B429/B444, "NA")</f>
        <v>NA</v>
      </c>
      <c r="D429" s="2"/>
      <c r="E429" s="14">
        <f>IFERROR(E407+E408+E409+E410+E411+E412+E413+E414+E415+E416+E417+E418+E419+E420+E421+E422+E423+E424+E425+E426+E427, "NA")</f>
        <v>0</v>
      </c>
      <c r="F429" s="15" t="str">
        <f>IFERROR(E429/E444, "NA")</f>
        <v>NA</v>
      </c>
      <c r="G429" s="2"/>
      <c r="H429" s="14">
        <f t="shared" si="100"/>
        <v>18100.23</v>
      </c>
      <c r="I429" s="15" t="str">
        <f>IFERROR(H429/H444, "NA")</f>
        <v>NA</v>
      </c>
      <c r="J429" s="2"/>
      <c r="K429" s="14">
        <f>IFERROR(K407+K408+K409+K410+K411+K412+K413+K414+K415+K416+K417+K418+K419+K420+K421+K422+K423+K424+K425+K426+K427, "NA")</f>
        <v>180.85999999999999</v>
      </c>
      <c r="L429" s="15" t="str">
        <f>IFERROR(K429/K444, "NA")</f>
        <v>NA</v>
      </c>
      <c r="M429" s="2"/>
      <c r="N429" s="14">
        <f t="shared" si="101"/>
        <v>18281.09</v>
      </c>
      <c r="O429" s="15" t="str">
        <f>IFERROR(N429/N444, "NA")</f>
        <v>NA</v>
      </c>
      <c r="P429" s="2"/>
      <c r="Q429" s="14">
        <f>IFERROR(Q407+Q408+Q409+Q410+Q411+Q412+Q413+Q414+Q415+Q416+Q417+Q418+Q419+Q420+Q421+Q422+Q423+Q424+Q425+Q426+Q427, "NA")</f>
        <v>-48075.73</v>
      </c>
      <c r="R429" s="15" t="str">
        <f>IFERROR(Q429/Q444, "NA")</f>
        <v>NA</v>
      </c>
      <c r="S429" s="2"/>
      <c r="T429" s="14">
        <f>IFERROR(T407+T408+T409+T410+T411+T412+T413+T414+T415+T416+T417+T418+T419+T420+T421+T422+T423+T424+T425+T426+T427, "NA")</f>
        <v>0</v>
      </c>
      <c r="U429" s="15" t="str">
        <f>IFERROR(T429/T444, "NA")</f>
        <v>NA</v>
      </c>
      <c r="V429" s="2"/>
      <c r="W429" s="14">
        <f t="shared" si="102"/>
        <v>48075.73</v>
      </c>
      <c r="X429" s="15" t="str">
        <f>IFERROR(W429/W444, "NA")</f>
        <v>NA</v>
      </c>
      <c r="Y429" s="2"/>
      <c r="Z429" s="14">
        <f>IFERROR(Z407+Z408+Z409+Z410+Z411+Z412+Z413+Z414+Z415+Z416+Z417+Z418+Z419+Z420+Z421+Z422+Z423+Z424+Z425+Z426+Z427, "NA")</f>
        <v>-2815.15</v>
      </c>
      <c r="AA429" s="15" t="str">
        <f>IFERROR(Z429/Z444, "NA")</f>
        <v>NA</v>
      </c>
      <c r="AB429" s="2"/>
      <c r="AC429" s="14">
        <f t="shared" si="103"/>
        <v>45260.58</v>
      </c>
      <c r="AD429" s="15" t="str">
        <f>IFERROR(AC429/AC444, "NA")</f>
        <v>NA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 t="str">
        <f>IFERROR(B432/B444, "NA")</f>
        <v>NA</v>
      </c>
      <c r="D432" s="9"/>
      <c r="E432" s="7">
        <v>0</v>
      </c>
      <c r="F432" s="8" t="str">
        <f>IFERROR(E432/E444, "NA")</f>
        <v>NA</v>
      </c>
      <c r="G432" s="9"/>
      <c r="H432" s="10">
        <f t="shared" ref="H432:H442" si="104">IFERROR(-(B432-E432), "NA")</f>
        <v>0</v>
      </c>
      <c r="I432" s="8" t="str">
        <f>IFERROR(H432/H444, "NA")</f>
        <v>NA</v>
      </c>
      <c r="J432" s="9"/>
      <c r="K432" s="7">
        <v>0</v>
      </c>
      <c r="L432" s="8" t="str">
        <f>IFERROR(K432/K444, "NA")</f>
        <v>NA</v>
      </c>
      <c r="M432" s="9"/>
      <c r="N432" s="10">
        <f t="shared" ref="N432:N442" si="105">IFERROR(-(B432-K432), "NA")</f>
        <v>0</v>
      </c>
      <c r="O432" s="8" t="str">
        <f>IFERROR(N432/N444, "NA")</f>
        <v>NA</v>
      </c>
      <c r="P432" s="9"/>
      <c r="Q432" s="7">
        <v>0</v>
      </c>
      <c r="R432" s="8" t="str">
        <f>IFERROR(Q432/Q444, "NA")</f>
        <v>NA</v>
      </c>
      <c r="S432" s="9"/>
      <c r="T432" s="7">
        <v>0</v>
      </c>
      <c r="U432" s="8" t="str">
        <f>IFERROR(T432/T444, "NA")</f>
        <v>NA</v>
      </c>
      <c r="V432" s="9"/>
      <c r="W432" s="10">
        <f t="shared" ref="W432:W442" si="106">IFERROR(-(Q432-T432), "NA")</f>
        <v>0</v>
      </c>
      <c r="X432" s="8" t="str">
        <f>IFERROR(W432/W444, "NA")</f>
        <v>NA</v>
      </c>
      <c r="Y432" s="9"/>
      <c r="Z432" s="7">
        <v>0</v>
      </c>
      <c r="AA432" s="8" t="str">
        <f>IFERROR(Z432/Z444, "NA")</f>
        <v>NA</v>
      </c>
      <c r="AB432" s="9"/>
      <c r="AC432" s="10">
        <f t="shared" ref="AC432:AC442" si="107">IFERROR(-(Q432-Z432), "NA")</f>
        <v>0</v>
      </c>
      <c r="AD432" s="8" t="str">
        <f>IFERROR(AC432/AC444, "NA")</f>
        <v>NA</v>
      </c>
    </row>
    <row r="433" spans="1:30" ht="16.5" hidden="1" customHeight="1" x14ac:dyDescent="0.45">
      <c r="A433" s="6" t="s">
        <v>397</v>
      </c>
      <c r="B433" s="7">
        <v>0</v>
      </c>
      <c r="C433" s="8" t="str">
        <f>IFERROR(B433/B444, "NA")</f>
        <v>NA</v>
      </c>
      <c r="D433" s="9"/>
      <c r="E433" s="7">
        <v>0</v>
      </c>
      <c r="F433" s="8" t="str">
        <f>IFERROR(E433/E444, "NA")</f>
        <v>NA</v>
      </c>
      <c r="G433" s="9"/>
      <c r="H433" s="10">
        <f t="shared" si="104"/>
        <v>0</v>
      </c>
      <c r="I433" s="8" t="str">
        <f>IFERROR(H433/H444, "NA")</f>
        <v>NA</v>
      </c>
      <c r="J433" s="9"/>
      <c r="K433" s="7">
        <v>0</v>
      </c>
      <c r="L433" s="8" t="str">
        <f>IFERROR(K433/K444, "NA")</f>
        <v>NA</v>
      </c>
      <c r="M433" s="9"/>
      <c r="N433" s="10">
        <f t="shared" si="105"/>
        <v>0</v>
      </c>
      <c r="O433" s="8" t="str">
        <f>IFERROR(N433/N444, "NA")</f>
        <v>NA</v>
      </c>
      <c r="P433" s="9"/>
      <c r="Q433" s="7">
        <v>0</v>
      </c>
      <c r="R433" s="8" t="str">
        <f>IFERROR(Q433/Q444, "NA")</f>
        <v>NA</v>
      </c>
      <c r="S433" s="9"/>
      <c r="T433" s="7">
        <v>0</v>
      </c>
      <c r="U433" s="8" t="str">
        <f>IFERROR(T433/T444, "NA")</f>
        <v>NA</v>
      </c>
      <c r="V433" s="9"/>
      <c r="W433" s="10">
        <f t="shared" si="106"/>
        <v>0</v>
      </c>
      <c r="X433" s="8" t="str">
        <f>IFERROR(W433/W444, "NA")</f>
        <v>NA</v>
      </c>
      <c r="Y433" s="9"/>
      <c r="Z433" s="7">
        <v>0</v>
      </c>
      <c r="AA433" s="8" t="str">
        <f>IFERROR(Z433/Z444, "NA")</f>
        <v>NA</v>
      </c>
      <c r="AB433" s="9"/>
      <c r="AC433" s="10">
        <f t="shared" si="107"/>
        <v>0</v>
      </c>
      <c r="AD433" s="8" t="str">
        <f>IFERROR(AC433/AC444, "NA")</f>
        <v>NA</v>
      </c>
    </row>
    <row r="434" spans="1:30" ht="16.5" hidden="1" customHeight="1" x14ac:dyDescent="0.45">
      <c r="A434" s="6" t="s">
        <v>398</v>
      </c>
      <c r="B434" s="7">
        <v>0</v>
      </c>
      <c r="C434" s="8" t="str">
        <f>IFERROR(B434/B444, "NA")</f>
        <v>NA</v>
      </c>
      <c r="D434" s="9"/>
      <c r="E434" s="7">
        <v>0</v>
      </c>
      <c r="F434" s="8" t="str">
        <f>IFERROR(E434/E444, "NA")</f>
        <v>NA</v>
      </c>
      <c r="G434" s="9"/>
      <c r="H434" s="10">
        <f t="shared" si="104"/>
        <v>0</v>
      </c>
      <c r="I434" s="8" t="str">
        <f>IFERROR(H434/H444, "NA")</f>
        <v>NA</v>
      </c>
      <c r="J434" s="9"/>
      <c r="K434" s="7">
        <v>0</v>
      </c>
      <c r="L434" s="8" t="str">
        <f>IFERROR(K434/K444, "NA")</f>
        <v>NA</v>
      </c>
      <c r="M434" s="9"/>
      <c r="N434" s="10">
        <f t="shared" si="105"/>
        <v>0</v>
      </c>
      <c r="O434" s="8" t="str">
        <f>IFERROR(N434/N444, "NA")</f>
        <v>NA</v>
      </c>
      <c r="P434" s="9"/>
      <c r="Q434" s="7">
        <v>0</v>
      </c>
      <c r="R434" s="8" t="str">
        <f>IFERROR(Q434/Q444, "NA")</f>
        <v>NA</v>
      </c>
      <c r="S434" s="9"/>
      <c r="T434" s="7">
        <v>0</v>
      </c>
      <c r="U434" s="8" t="str">
        <f>IFERROR(T434/T444, "NA")</f>
        <v>NA</v>
      </c>
      <c r="V434" s="9"/>
      <c r="W434" s="10">
        <f t="shared" si="106"/>
        <v>0</v>
      </c>
      <c r="X434" s="8" t="str">
        <f>IFERROR(W434/W444, "NA")</f>
        <v>NA</v>
      </c>
      <c r="Y434" s="9"/>
      <c r="Z434" s="7">
        <v>0</v>
      </c>
      <c r="AA434" s="8" t="str">
        <f>IFERROR(Z434/Z444, "NA")</f>
        <v>NA</v>
      </c>
      <c r="AB434" s="9"/>
      <c r="AC434" s="10">
        <f t="shared" si="107"/>
        <v>0</v>
      </c>
      <c r="AD434" s="8" t="str">
        <f>IFERROR(AC434/AC444, "NA")</f>
        <v>NA</v>
      </c>
    </row>
    <row r="435" spans="1:30" ht="16.5" hidden="1" customHeight="1" x14ac:dyDescent="0.45">
      <c r="A435" s="6" t="s">
        <v>399</v>
      </c>
      <c r="B435" s="7">
        <v>0</v>
      </c>
      <c r="C435" s="8" t="str">
        <f>IFERROR(B435/B444, "NA")</f>
        <v>NA</v>
      </c>
      <c r="D435" s="9"/>
      <c r="E435" s="7">
        <v>0</v>
      </c>
      <c r="F435" s="8" t="str">
        <f>IFERROR(E435/E444, "NA")</f>
        <v>NA</v>
      </c>
      <c r="G435" s="9"/>
      <c r="H435" s="10">
        <f t="shared" si="104"/>
        <v>0</v>
      </c>
      <c r="I435" s="8" t="str">
        <f>IFERROR(H435/H444, "NA")</f>
        <v>NA</v>
      </c>
      <c r="J435" s="9"/>
      <c r="K435" s="7">
        <v>0</v>
      </c>
      <c r="L435" s="8" t="str">
        <f>IFERROR(K435/K444, "NA")</f>
        <v>NA</v>
      </c>
      <c r="M435" s="9"/>
      <c r="N435" s="10">
        <f t="shared" si="105"/>
        <v>0</v>
      </c>
      <c r="O435" s="8" t="str">
        <f>IFERROR(N435/N444, "NA")</f>
        <v>NA</v>
      </c>
      <c r="P435" s="9"/>
      <c r="Q435" s="7">
        <v>0</v>
      </c>
      <c r="R435" s="8" t="str">
        <f>IFERROR(Q435/Q444, "NA")</f>
        <v>NA</v>
      </c>
      <c r="S435" s="9"/>
      <c r="T435" s="7">
        <v>0</v>
      </c>
      <c r="U435" s="8" t="str">
        <f>IFERROR(T435/T444, "NA")</f>
        <v>NA</v>
      </c>
      <c r="V435" s="9"/>
      <c r="W435" s="10">
        <f t="shared" si="106"/>
        <v>0</v>
      </c>
      <c r="X435" s="8" t="str">
        <f>IFERROR(W435/W444, "NA")</f>
        <v>NA</v>
      </c>
      <c r="Y435" s="9"/>
      <c r="Z435" s="7">
        <v>0</v>
      </c>
      <c r="AA435" s="8" t="str">
        <f>IFERROR(Z435/Z444, "NA")</f>
        <v>NA</v>
      </c>
      <c r="AB435" s="9"/>
      <c r="AC435" s="10">
        <f t="shared" si="107"/>
        <v>0</v>
      </c>
      <c r="AD435" s="8" t="str">
        <f>IFERROR(AC435/AC444, "NA")</f>
        <v>NA</v>
      </c>
    </row>
    <row r="436" spans="1:30" ht="16.5" hidden="1" customHeight="1" x14ac:dyDescent="0.45">
      <c r="A436" s="6" t="s">
        <v>400</v>
      </c>
      <c r="B436" s="7">
        <v>0</v>
      </c>
      <c r="C436" s="8" t="str">
        <f>IFERROR(B436/B444, "NA")</f>
        <v>NA</v>
      </c>
      <c r="D436" s="9"/>
      <c r="E436" s="7">
        <v>0</v>
      </c>
      <c r="F436" s="8" t="str">
        <f>IFERROR(E436/E444, "NA")</f>
        <v>NA</v>
      </c>
      <c r="G436" s="9"/>
      <c r="H436" s="10">
        <f t="shared" si="104"/>
        <v>0</v>
      </c>
      <c r="I436" s="8" t="str">
        <f>IFERROR(H436/H444, "NA")</f>
        <v>NA</v>
      </c>
      <c r="J436" s="9"/>
      <c r="K436" s="7">
        <v>0</v>
      </c>
      <c r="L436" s="8" t="str">
        <f>IFERROR(K436/K444, "NA")</f>
        <v>NA</v>
      </c>
      <c r="M436" s="9"/>
      <c r="N436" s="10">
        <f t="shared" si="105"/>
        <v>0</v>
      </c>
      <c r="O436" s="8" t="str">
        <f>IFERROR(N436/N444, "NA")</f>
        <v>NA</v>
      </c>
      <c r="P436" s="9"/>
      <c r="Q436" s="7">
        <v>0</v>
      </c>
      <c r="R436" s="8" t="str">
        <f>IFERROR(Q436/Q444, "NA")</f>
        <v>NA</v>
      </c>
      <c r="S436" s="9"/>
      <c r="T436" s="7">
        <v>0</v>
      </c>
      <c r="U436" s="8" t="str">
        <f>IFERROR(T436/T444, "NA")</f>
        <v>NA</v>
      </c>
      <c r="V436" s="9"/>
      <c r="W436" s="10">
        <f t="shared" si="106"/>
        <v>0</v>
      </c>
      <c r="X436" s="8" t="str">
        <f>IFERROR(W436/W444, "NA")</f>
        <v>NA</v>
      </c>
      <c r="Y436" s="9"/>
      <c r="Z436" s="7">
        <v>0</v>
      </c>
      <c r="AA436" s="8" t="str">
        <f>IFERROR(Z436/Z444, "NA")</f>
        <v>NA</v>
      </c>
      <c r="AB436" s="9"/>
      <c r="AC436" s="10">
        <f t="shared" si="107"/>
        <v>0</v>
      </c>
      <c r="AD436" s="8" t="str">
        <f>IFERROR(AC436/AC444, "NA")</f>
        <v>NA</v>
      </c>
    </row>
    <row r="437" spans="1:30" ht="16.5" hidden="1" customHeight="1" x14ac:dyDescent="0.45">
      <c r="A437" s="6" t="s">
        <v>401</v>
      </c>
      <c r="B437" s="7">
        <v>0</v>
      </c>
      <c r="C437" s="8" t="str">
        <f>IFERROR(B437/B444, "NA")</f>
        <v>NA</v>
      </c>
      <c r="D437" s="9"/>
      <c r="E437" s="7">
        <v>0</v>
      </c>
      <c r="F437" s="8" t="str">
        <f>IFERROR(E437/E444, "NA")</f>
        <v>NA</v>
      </c>
      <c r="G437" s="9"/>
      <c r="H437" s="10">
        <f t="shared" si="104"/>
        <v>0</v>
      </c>
      <c r="I437" s="8" t="str">
        <f>IFERROR(H437/H444, "NA")</f>
        <v>NA</v>
      </c>
      <c r="J437" s="9"/>
      <c r="K437" s="7">
        <v>0</v>
      </c>
      <c r="L437" s="8" t="str">
        <f>IFERROR(K437/K444, "NA")</f>
        <v>NA</v>
      </c>
      <c r="M437" s="9"/>
      <c r="N437" s="10">
        <f t="shared" si="105"/>
        <v>0</v>
      </c>
      <c r="O437" s="8" t="str">
        <f>IFERROR(N437/N444, "NA")</f>
        <v>NA</v>
      </c>
      <c r="P437" s="9"/>
      <c r="Q437" s="7">
        <v>0</v>
      </c>
      <c r="R437" s="8" t="str">
        <f>IFERROR(Q437/Q444, "NA")</f>
        <v>NA</v>
      </c>
      <c r="S437" s="9"/>
      <c r="T437" s="7">
        <v>0</v>
      </c>
      <c r="U437" s="8" t="str">
        <f>IFERROR(T437/T444, "NA")</f>
        <v>NA</v>
      </c>
      <c r="V437" s="9"/>
      <c r="W437" s="10">
        <f t="shared" si="106"/>
        <v>0</v>
      </c>
      <c r="X437" s="8" t="str">
        <f>IFERROR(W437/W444, "NA")</f>
        <v>NA</v>
      </c>
      <c r="Y437" s="9"/>
      <c r="Z437" s="7">
        <v>0</v>
      </c>
      <c r="AA437" s="8" t="str">
        <f>IFERROR(Z437/Z444, "NA")</f>
        <v>NA</v>
      </c>
      <c r="AB437" s="9"/>
      <c r="AC437" s="10">
        <f t="shared" si="107"/>
        <v>0</v>
      </c>
      <c r="AD437" s="8" t="str">
        <f>IFERROR(AC437/AC444, "NA")</f>
        <v>NA</v>
      </c>
    </row>
    <row r="438" spans="1:30" ht="30.75" hidden="1" customHeight="1" x14ac:dyDescent="0.45">
      <c r="A438" s="6" t="s">
        <v>402</v>
      </c>
      <c r="B438" s="7">
        <v>0</v>
      </c>
      <c r="C438" s="8" t="str">
        <f>IFERROR(B438/B444, "NA")</f>
        <v>NA</v>
      </c>
      <c r="D438" s="9"/>
      <c r="E438" s="7">
        <v>0</v>
      </c>
      <c r="F438" s="8" t="str">
        <f>IFERROR(E438/E444, "NA")</f>
        <v>NA</v>
      </c>
      <c r="G438" s="9"/>
      <c r="H438" s="10">
        <f t="shared" si="104"/>
        <v>0</v>
      </c>
      <c r="I438" s="8" t="str">
        <f>IFERROR(H438/H444, "NA")</f>
        <v>NA</v>
      </c>
      <c r="J438" s="9"/>
      <c r="K438" s="7">
        <v>0</v>
      </c>
      <c r="L438" s="8" t="str">
        <f>IFERROR(K438/K444, "NA")</f>
        <v>NA</v>
      </c>
      <c r="M438" s="9"/>
      <c r="N438" s="10">
        <f t="shared" si="105"/>
        <v>0</v>
      </c>
      <c r="O438" s="8" t="str">
        <f>IFERROR(N438/N444, "NA")</f>
        <v>NA</v>
      </c>
      <c r="P438" s="9"/>
      <c r="Q438" s="7">
        <v>0</v>
      </c>
      <c r="R438" s="8" t="str">
        <f>IFERROR(Q438/Q444, "NA")</f>
        <v>NA</v>
      </c>
      <c r="S438" s="9"/>
      <c r="T438" s="7">
        <v>0</v>
      </c>
      <c r="U438" s="8" t="str">
        <f>IFERROR(T438/T444, "NA")</f>
        <v>NA</v>
      </c>
      <c r="V438" s="9"/>
      <c r="W438" s="10">
        <f t="shared" si="106"/>
        <v>0</v>
      </c>
      <c r="X438" s="8" t="str">
        <f>IFERROR(W438/W444, "NA")</f>
        <v>NA</v>
      </c>
      <c r="Y438" s="9"/>
      <c r="Z438" s="7">
        <v>0</v>
      </c>
      <c r="AA438" s="8" t="str">
        <f>IFERROR(Z438/Z444, "NA")</f>
        <v>NA</v>
      </c>
      <c r="AB438" s="9"/>
      <c r="AC438" s="10">
        <f t="shared" si="107"/>
        <v>0</v>
      </c>
      <c r="AD438" s="8" t="str">
        <f>IFERROR(AC438/AC444, "NA")</f>
        <v>NA</v>
      </c>
    </row>
    <row r="439" spans="1:30" ht="16.5" hidden="1" customHeight="1" x14ac:dyDescent="0.45">
      <c r="A439" s="6" t="s">
        <v>403</v>
      </c>
      <c r="B439" s="7">
        <v>0</v>
      </c>
      <c r="C439" s="8" t="str">
        <f>IFERROR(B439/B444, "NA")</f>
        <v>NA</v>
      </c>
      <c r="D439" s="9"/>
      <c r="E439" s="7">
        <v>0</v>
      </c>
      <c r="F439" s="8" t="str">
        <f>IFERROR(E439/E444, "NA")</f>
        <v>NA</v>
      </c>
      <c r="G439" s="9"/>
      <c r="H439" s="10">
        <f t="shared" si="104"/>
        <v>0</v>
      </c>
      <c r="I439" s="8" t="str">
        <f>IFERROR(H439/H444, "NA")</f>
        <v>NA</v>
      </c>
      <c r="J439" s="9"/>
      <c r="K439" s="7">
        <v>0</v>
      </c>
      <c r="L439" s="8" t="str">
        <f>IFERROR(K439/K444, "NA")</f>
        <v>NA</v>
      </c>
      <c r="M439" s="9"/>
      <c r="N439" s="10">
        <f t="shared" si="105"/>
        <v>0</v>
      </c>
      <c r="O439" s="8" t="str">
        <f>IFERROR(N439/N444, "NA")</f>
        <v>NA</v>
      </c>
      <c r="P439" s="9"/>
      <c r="Q439" s="7">
        <v>0</v>
      </c>
      <c r="R439" s="8" t="str">
        <f>IFERROR(Q439/Q444, "NA")</f>
        <v>NA</v>
      </c>
      <c r="S439" s="9"/>
      <c r="T439" s="7">
        <v>0</v>
      </c>
      <c r="U439" s="8" t="str">
        <f>IFERROR(T439/T444, "NA")</f>
        <v>NA</v>
      </c>
      <c r="V439" s="9"/>
      <c r="W439" s="10">
        <f t="shared" si="106"/>
        <v>0</v>
      </c>
      <c r="X439" s="8" t="str">
        <f>IFERROR(W439/W444, "NA")</f>
        <v>NA</v>
      </c>
      <c r="Y439" s="9"/>
      <c r="Z439" s="7">
        <v>0</v>
      </c>
      <c r="AA439" s="8" t="str">
        <f>IFERROR(Z439/Z444, "NA")</f>
        <v>NA</v>
      </c>
      <c r="AB439" s="9"/>
      <c r="AC439" s="10">
        <f t="shared" si="107"/>
        <v>0</v>
      </c>
      <c r="AD439" s="8" t="str">
        <f>IFERROR(AC439/AC444, "NA")</f>
        <v>NA</v>
      </c>
    </row>
    <row r="440" spans="1:30" ht="30.75" hidden="1" customHeight="1" x14ac:dyDescent="0.45">
      <c r="A440" s="6" t="s">
        <v>404</v>
      </c>
      <c r="B440" s="7">
        <v>0</v>
      </c>
      <c r="C440" s="8" t="str">
        <f>IFERROR(B440/B444, "NA")</f>
        <v>NA</v>
      </c>
      <c r="D440" s="9"/>
      <c r="E440" s="7">
        <v>0</v>
      </c>
      <c r="F440" s="8" t="str">
        <f>IFERROR(E440/E444, "NA")</f>
        <v>NA</v>
      </c>
      <c r="G440" s="9"/>
      <c r="H440" s="10">
        <f t="shared" si="104"/>
        <v>0</v>
      </c>
      <c r="I440" s="8" t="str">
        <f>IFERROR(H440/H444, "NA")</f>
        <v>NA</v>
      </c>
      <c r="J440" s="9"/>
      <c r="K440" s="7">
        <v>0</v>
      </c>
      <c r="L440" s="8" t="str">
        <f>IFERROR(K440/K444, "NA")</f>
        <v>NA</v>
      </c>
      <c r="M440" s="9"/>
      <c r="N440" s="10">
        <f t="shared" si="105"/>
        <v>0</v>
      </c>
      <c r="O440" s="8" t="str">
        <f>IFERROR(N440/N444, "NA")</f>
        <v>NA</v>
      </c>
      <c r="P440" s="9"/>
      <c r="Q440" s="7">
        <v>0</v>
      </c>
      <c r="R440" s="8" t="str">
        <f>IFERROR(Q440/Q444, "NA")</f>
        <v>NA</v>
      </c>
      <c r="S440" s="9"/>
      <c r="T440" s="7">
        <v>0</v>
      </c>
      <c r="U440" s="8" t="str">
        <f>IFERROR(T440/T444, "NA")</f>
        <v>NA</v>
      </c>
      <c r="V440" s="9"/>
      <c r="W440" s="10">
        <f t="shared" si="106"/>
        <v>0</v>
      </c>
      <c r="X440" s="8" t="str">
        <f>IFERROR(W440/W444, "NA")</f>
        <v>NA</v>
      </c>
      <c r="Y440" s="9"/>
      <c r="Z440" s="7">
        <v>0</v>
      </c>
      <c r="AA440" s="8" t="str">
        <f>IFERROR(Z440/Z444, "NA")</f>
        <v>NA</v>
      </c>
      <c r="AB440" s="9"/>
      <c r="AC440" s="10">
        <f t="shared" si="107"/>
        <v>0</v>
      </c>
      <c r="AD440" s="8" t="str">
        <f>IFERROR(AC440/AC444, "NA")</f>
        <v>NA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 t="str">
        <f>IFERROR(B441/B444, "NA")</f>
        <v>NA</v>
      </c>
      <c r="D441" s="2"/>
      <c r="E441" s="14">
        <f>IFERROR(E432+E433+E434+E435+E436+E437+E438+E439+E440, "NA")</f>
        <v>0</v>
      </c>
      <c r="F441" s="15" t="str">
        <f>IFERROR(E441/E444, "NA")</f>
        <v>NA</v>
      </c>
      <c r="G441" s="2"/>
      <c r="H441" s="14">
        <f t="shared" si="104"/>
        <v>0</v>
      </c>
      <c r="I441" s="15" t="str">
        <f>IFERROR(H441/H444, "NA")</f>
        <v>NA</v>
      </c>
      <c r="J441" s="2"/>
      <c r="K441" s="14">
        <f>IFERROR(K432+K433+K434+K435+K436+K437+K438+K439+K440, "NA")</f>
        <v>0</v>
      </c>
      <c r="L441" s="15" t="str">
        <f>IFERROR(K441/K444, "NA")</f>
        <v>NA</v>
      </c>
      <c r="M441" s="2"/>
      <c r="N441" s="14">
        <f t="shared" si="105"/>
        <v>0</v>
      </c>
      <c r="O441" s="15" t="str">
        <f>IFERROR(N441/N444, "NA")</f>
        <v>NA</v>
      </c>
      <c r="P441" s="2"/>
      <c r="Q441" s="14">
        <f>IFERROR(Q432+Q433+Q434+Q435+Q436+Q437+Q438+Q439+Q440, "NA")</f>
        <v>0</v>
      </c>
      <c r="R441" s="15" t="str">
        <f>IFERROR(Q441/Q444, "NA")</f>
        <v>NA</v>
      </c>
      <c r="S441" s="2"/>
      <c r="T441" s="14">
        <f>IFERROR(T432+T433+T434+T435+T436+T437+T438+T439+T440, "NA")</f>
        <v>0</v>
      </c>
      <c r="U441" s="15" t="str">
        <f>IFERROR(T441/T444, "NA")</f>
        <v>NA</v>
      </c>
      <c r="V441" s="2"/>
      <c r="W441" s="14">
        <f t="shared" si="106"/>
        <v>0</v>
      </c>
      <c r="X441" s="15" t="str">
        <f>IFERROR(W441/W444, "NA")</f>
        <v>NA</v>
      </c>
      <c r="Y441" s="2"/>
      <c r="Z441" s="14">
        <f>IFERROR(Z432+Z433+Z434+Z435+Z436+Z437+Z438+Z439+Z440, "NA")</f>
        <v>0</v>
      </c>
      <c r="AA441" s="15" t="str">
        <f>IFERROR(Z441/Z444, "NA")</f>
        <v>NA</v>
      </c>
      <c r="AB441" s="2"/>
      <c r="AC441" s="14">
        <f t="shared" si="107"/>
        <v>0</v>
      </c>
      <c r="AD441" s="15" t="str">
        <f>IFERROR(AC441/AC444, "NA")</f>
        <v>NA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 t="str">
        <f>IFERROR(B442/B444, "NA")</f>
        <v>NA</v>
      </c>
      <c r="D442" s="2"/>
      <c r="E442" s="14">
        <f>IFERROR(E432+E433+E434+E435+E436+E437+E438+E439+E440, "NA")</f>
        <v>0</v>
      </c>
      <c r="F442" s="15" t="str">
        <f>IFERROR(E442/E444, "NA")</f>
        <v>NA</v>
      </c>
      <c r="G442" s="2"/>
      <c r="H442" s="14">
        <f t="shared" si="104"/>
        <v>0</v>
      </c>
      <c r="I442" s="15" t="str">
        <f>IFERROR(H442/H444, "NA")</f>
        <v>NA</v>
      </c>
      <c r="J442" s="2"/>
      <c r="K442" s="14">
        <f>IFERROR(K432+K433+K434+K435+K436+K437+K438+K439+K440, "NA")</f>
        <v>0</v>
      </c>
      <c r="L442" s="15" t="str">
        <f>IFERROR(K442/K444, "NA")</f>
        <v>NA</v>
      </c>
      <c r="M442" s="2"/>
      <c r="N442" s="14">
        <f t="shared" si="105"/>
        <v>0</v>
      </c>
      <c r="O442" s="15" t="str">
        <f>IFERROR(N442/N444, "NA")</f>
        <v>NA</v>
      </c>
      <c r="P442" s="2"/>
      <c r="Q442" s="14">
        <f>IFERROR(Q432+Q433+Q434+Q435+Q436+Q437+Q438+Q439+Q440, "NA")</f>
        <v>0</v>
      </c>
      <c r="R442" s="15" t="str">
        <f>IFERROR(Q442/Q444, "NA")</f>
        <v>NA</v>
      </c>
      <c r="S442" s="2"/>
      <c r="T442" s="14">
        <f>IFERROR(T432+T433+T434+T435+T436+T437+T438+T439+T440, "NA")</f>
        <v>0</v>
      </c>
      <c r="U442" s="15" t="str">
        <f>IFERROR(T442/T444, "NA")</f>
        <v>NA</v>
      </c>
      <c r="V442" s="2"/>
      <c r="W442" s="14">
        <f t="shared" si="106"/>
        <v>0</v>
      </c>
      <c r="X442" s="15" t="str">
        <f>IFERROR(W442/W444, "NA")</f>
        <v>NA</v>
      </c>
      <c r="Y442" s="2"/>
      <c r="Z442" s="14">
        <f>IFERROR(Z432+Z433+Z434+Z435+Z436+Z437+Z438+Z439+Z440, "NA")</f>
        <v>0</v>
      </c>
      <c r="AA442" s="15" t="str">
        <f>IFERROR(Z442/Z444, "NA")</f>
        <v>NA</v>
      </c>
      <c r="AB442" s="2"/>
      <c r="AC442" s="14">
        <f t="shared" si="107"/>
        <v>0</v>
      </c>
      <c r="AD442" s="15" t="str">
        <f>IFERROR(AC442/AC444, "NA")</f>
        <v>NA</v>
      </c>
    </row>
    <row r="443" spans="1:30" ht="16.5" customHeight="1" x14ac:dyDescent="0.45">
      <c r="A443" s="22" t="s">
        <v>407</v>
      </c>
      <c r="B443" s="23">
        <f>IFERROR(B404-B429-B442, "NA")</f>
        <v>-103278.79999999997</v>
      </c>
      <c r="C443" s="24" t="str">
        <f>IFERROR(B443/B444, "NA")</f>
        <v>NA</v>
      </c>
      <c r="D443" s="25"/>
      <c r="E443" s="23">
        <f>IFERROR(E404-E429-E442, "NA")</f>
        <v>-159552.47</v>
      </c>
      <c r="F443" s="24" t="str">
        <f>IFERROR(E443/E444, "NA")</f>
        <v>NA</v>
      </c>
      <c r="G443" s="25"/>
      <c r="H443" s="23">
        <f>IFERROR(B443-E443, "NA")</f>
        <v>56273.670000000027</v>
      </c>
      <c r="I443" s="24" t="str">
        <f>IFERROR(H443/H444, "NA")</f>
        <v>NA</v>
      </c>
      <c r="J443" s="25"/>
      <c r="K443" s="23">
        <f>IFERROR(K404-K429-K442, "NA")</f>
        <v>-165709.99999999997</v>
      </c>
      <c r="L443" s="24" t="str">
        <f>IFERROR(K443/K444, "NA")</f>
        <v>NA</v>
      </c>
      <c r="M443" s="25"/>
      <c r="N443" s="23">
        <f>IFERROR(B443-K443, "NA")</f>
        <v>62431.199999999997</v>
      </c>
      <c r="O443" s="24" t="str">
        <f>IFERROR(N443/N444, "NA")</f>
        <v>NA</v>
      </c>
      <c r="P443" s="25"/>
      <c r="Q443" s="23">
        <f>IFERROR(Q404-Q429-Q442, "NA")</f>
        <v>-626295.64000000013</v>
      </c>
      <c r="R443" s="24" t="str">
        <f>IFERROR(Q443/Q444, "NA")</f>
        <v>NA</v>
      </c>
      <c r="S443" s="25"/>
      <c r="T443" s="23">
        <f>IFERROR(T404-T429-T442, "NA")</f>
        <v>-793022.07000000007</v>
      </c>
      <c r="U443" s="24" t="str">
        <f>IFERROR(T443/T444, "NA")</f>
        <v>NA</v>
      </c>
      <c r="V443" s="25"/>
      <c r="W443" s="23">
        <f>IFERROR(Q443-T443, "NA")</f>
        <v>166726.42999999993</v>
      </c>
      <c r="X443" s="24" t="str">
        <f>IFERROR(W443/W444, "NA")</f>
        <v>NA</v>
      </c>
      <c r="Y443" s="25"/>
      <c r="Z443" s="23">
        <f>IFERROR(Z404-Z429-Z442, "NA")</f>
        <v>-744864.60999999987</v>
      </c>
      <c r="AA443" s="24" t="str">
        <f>IFERROR(Z443/Z444, "NA")</f>
        <v>NA</v>
      </c>
      <c r="AB443" s="25"/>
      <c r="AC443" s="23">
        <f>IFERROR(Q443-Z443, "NA")</f>
        <v>118568.96999999974</v>
      </c>
      <c r="AD443" s="24" t="str">
        <f>IFERROR(AC443/AC444, "NA")</f>
        <v>NA</v>
      </c>
    </row>
    <row r="444" spans="1:30" ht="15.75" hidden="1" x14ac:dyDescent="0.45">
      <c r="A444" s="26" t="s">
        <v>117</v>
      </c>
      <c r="B444" s="7">
        <v>0</v>
      </c>
      <c r="C444" s="27"/>
      <c r="D444" s="9"/>
      <c r="E444" s="7">
        <v>0</v>
      </c>
      <c r="F444" s="27"/>
      <c r="G444" s="9"/>
      <c r="H444" s="10">
        <f>IFERROR(B444-E444, "NA")</f>
        <v>0</v>
      </c>
      <c r="I444" s="27"/>
      <c r="J444" s="9"/>
      <c r="K444" s="7">
        <v>0</v>
      </c>
      <c r="L444" s="27"/>
      <c r="M444" s="9"/>
      <c r="N444" s="10">
        <f>IFERROR(B444-K444, "NA")</f>
        <v>0</v>
      </c>
      <c r="O444" s="27"/>
      <c r="P444" s="9"/>
      <c r="Q444" s="7">
        <v>0</v>
      </c>
      <c r="R444" s="27"/>
      <c r="S444" s="9"/>
      <c r="T444" s="7">
        <v>0</v>
      </c>
      <c r="U444" s="27"/>
      <c r="V444" s="9"/>
      <c r="W444" s="10">
        <f>IFERROR(Q444-T444, "NA")</f>
        <v>0</v>
      </c>
      <c r="X444" s="27"/>
      <c r="Y444" s="9"/>
      <c r="Z444" s="7">
        <v>0</v>
      </c>
      <c r="AA444" s="27"/>
      <c r="AB444" s="9"/>
      <c r="AC444" s="10">
        <f>IFERROR(Q444-Z444, "NA")</f>
        <v>0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412</v>
      </c>
      <c r="B3" s="31" t="s">
        <v>412</v>
      </c>
      <c r="C3" s="31" t="s">
        <v>412</v>
      </c>
      <c r="D3" s="31" t="s">
        <v>412</v>
      </c>
      <c r="E3" s="31" t="s">
        <v>412</v>
      </c>
      <c r="F3" s="31" t="s">
        <v>412</v>
      </c>
      <c r="G3" s="31" t="s">
        <v>412</v>
      </c>
      <c r="H3" s="31" t="s">
        <v>412</v>
      </c>
      <c r="I3" s="31" t="s">
        <v>412</v>
      </c>
      <c r="J3" s="31" t="s">
        <v>412</v>
      </c>
      <c r="K3" s="31" t="s">
        <v>412</v>
      </c>
      <c r="L3" s="31" t="s">
        <v>412</v>
      </c>
      <c r="M3" s="31" t="s">
        <v>412</v>
      </c>
      <c r="N3" s="31" t="s">
        <v>412</v>
      </c>
      <c r="O3" s="31" t="s">
        <v>412</v>
      </c>
      <c r="P3" s="31" t="s">
        <v>412</v>
      </c>
      <c r="Q3" s="31" t="s">
        <v>412</v>
      </c>
      <c r="R3" s="31" t="s">
        <v>412</v>
      </c>
      <c r="S3" s="31" t="s">
        <v>412</v>
      </c>
      <c r="T3" s="31" t="s">
        <v>412</v>
      </c>
      <c r="U3" s="31" t="s">
        <v>412</v>
      </c>
      <c r="V3" s="31" t="s">
        <v>412</v>
      </c>
      <c r="W3" s="31" t="s">
        <v>412</v>
      </c>
      <c r="X3" s="31" t="s">
        <v>412</v>
      </c>
      <c r="Y3" s="31" t="s">
        <v>412</v>
      </c>
      <c r="Z3" s="31" t="s">
        <v>412</v>
      </c>
      <c r="AA3" s="31" t="s">
        <v>412</v>
      </c>
      <c r="AB3" s="31" t="s">
        <v>412</v>
      </c>
      <c r="AC3" s="31" t="s">
        <v>412</v>
      </c>
      <c r="AD3" s="31" t="s">
        <v>412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59396.25</v>
      </c>
      <c r="F10" s="8">
        <f>IFERROR(E10/E444, "NA")</f>
        <v>0.56399999999999995</v>
      </c>
      <c r="G10" s="9"/>
      <c r="H10" s="10">
        <f t="shared" ref="H10:H19" si="0">IFERROR(B10-E10, "NA")</f>
        <v>-59396.25</v>
      </c>
      <c r="I10" s="8">
        <f>IFERROR(H10/H444, "NA")</f>
        <v>2.9688075586413993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243719.93</v>
      </c>
      <c r="U10" s="8">
        <f>IFERROR(T10/T444, "NA")</f>
        <v>0.56400000712752552</v>
      </c>
      <c r="V10" s="9"/>
      <c r="W10" s="10">
        <f t="shared" ref="W10:W19" si="2">IFERROR(Q10-T10, "NA")</f>
        <v>-243719.93</v>
      </c>
      <c r="X10" s="8">
        <f>IFERROR(W10/W444, "NA")</f>
        <v>11.273611821661113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40108.67</v>
      </c>
      <c r="C11" s="8">
        <f>IFERROR(B11/B444, "NA")</f>
        <v>0.47017556733879423</v>
      </c>
      <c r="D11" s="9"/>
      <c r="E11" s="7">
        <v>0</v>
      </c>
      <c r="F11" s="8">
        <f>IFERROR(E11/E444, "NA")</f>
        <v>0</v>
      </c>
      <c r="G11" s="9"/>
      <c r="H11" s="10">
        <f t="shared" si="0"/>
        <v>40108.67</v>
      </c>
      <c r="I11" s="8">
        <f>IFERROR(H11/H444, "NA")</f>
        <v>-2.0047548904695756</v>
      </c>
      <c r="J11" s="9"/>
      <c r="K11" s="7">
        <v>43887.61</v>
      </c>
      <c r="L11" s="8">
        <f>IFERROR(K11/K444, "NA")</f>
        <v>0.47924752839387752</v>
      </c>
      <c r="M11" s="9"/>
      <c r="N11" s="10">
        <f t="shared" si="1"/>
        <v>-3778.9400000000023</v>
      </c>
      <c r="O11" s="8">
        <f>IFERROR(N11/N444, "NA")</f>
        <v>0.60266811262529185</v>
      </c>
      <c r="P11" s="9"/>
      <c r="Q11" s="7">
        <v>188503.08</v>
      </c>
      <c r="R11" s="8">
        <f>IFERROR(Q11/Q444, "NA")</f>
        <v>0.4591936384523298</v>
      </c>
      <c r="S11" s="9"/>
      <c r="T11" s="7">
        <v>0</v>
      </c>
      <c r="U11" s="8">
        <f>IFERROR(T11/T444, "NA")</f>
        <v>0</v>
      </c>
      <c r="V11" s="9"/>
      <c r="W11" s="10">
        <f t="shared" si="2"/>
        <v>188503.08</v>
      </c>
      <c r="X11" s="8">
        <f>IFERROR(W11/W444, "NA")</f>
        <v>-8.7194779315238211</v>
      </c>
      <c r="Y11" s="9"/>
      <c r="Z11" s="7">
        <v>208975.21</v>
      </c>
      <c r="AA11" s="8">
        <f>IFERROR(Z11/Z444, "NA")</f>
        <v>0.53433638721922339</v>
      </c>
      <c r="AB11" s="9"/>
      <c r="AC11" s="10">
        <f t="shared" si="3"/>
        <v>-20472.130000000005</v>
      </c>
      <c r="AD11" s="8">
        <f>IFERROR(AC11/AC444, "NA")</f>
        <v>-1.0543986304029738</v>
      </c>
    </row>
    <row r="12" spans="1:30" ht="16.5" customHeight="1" x14ac:dyDescent="0.45">
      <c r="A12" s="12" t="s">
        <v>14</v>
      </c>
      <c r="B12" s="7">
        <v>4432.1000000000004</v>
      </c>
      <c r="C12" s="8">
        <f>IFERROR(B12/B444, "NA")</f>
        <v>5.1955478254508816E-2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4432.1000000000004</v>
      </c>
      <c r="I12" s="8">
        <f>IFERROR(H12/H444, "NA")</f>
        <v>-0.2215300120909072</v>
      </c>
      <c r="J12" s="9"/>
      <c r="K12" s="7">
        <v>4573.3500000000004</v>
      </c>
      <c r="L12" s="8">
        <f>IFERROR(K12/K444, "NA")</f>
        <v>4.9940442962834841E-2</v>
      </c>
      <c r="M12" s="9"/>
      <c r="N12" s="10">
        <f t="shared" si="1"/>
        <v>-141.25</v>
      </c>
      <c r="O12" s="8">
        <f>IFERROR(N12/N444, "NA")</f>
        <v>2.252665321712502E-2</v>
      </c>
      <c r="P12" s="9"/>
      <c r="Q12" s="7">
        <v>19815.400000000001</v>
      </c>
      <c r="R12" s="8">
        <f>IFERROR(Q12/Q444, "NA")</f>
        <v>4.8270328651331837E-2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19815.400000000001</v>
      </c>
      <c r="X12" s="8">
        <f>IFERROR(W12/W444, "NA")</f>
        <v>-0.91658949553671565</v>
      </c>
      <c r="Y12" s="9"/>
      <c r="Z12" s="7">
        <v>18182.849999999999</v>
      </c>
      <c r="AA12" s="8">
        <f>IFERROR(Z12/Z444, "NA")</f>
        <v>4.6492396769688887E-2</v>
      </c>
      <c r="AB12" s="9"/>
      <c r="AC12" s="10">
        <f t="shared" si="3"/>
        <v>1632.5500000000029</v>
      </c>
      <c r="AD12" s="8">
        <f>IFERROR(AC12/AC444, "NA")</f>
        <v>8.4083018428682196E-2</v>
      </c>
    </row>
    <row r="13" spans="1:30" ht="16.5" customHeight="1" x14ac:dyDescent="0.45">
      <c r="A13" s="12" t="s">
        <v>15</v>
      </c>
      <c r="B13" s="7">
        <v>363</v>
      </c>
      <c r="C13" s="8">
        <f>IFERROR(B13/B444, "NA")</f>
        <v>4.2552827342313346E-3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363</v>
      </c>
      <c r="I13" s="8">
        <f>IFERROR(H13/H444, "NA")</f>
        <v>-1.8143858303964106E-2</v>
      </c>
      <c r="J13" s="9"/>
      <c r="K13" s="7">
        <v>120</v>
      </c>
      <c r="L13" s="8">
        <f>IFERROR(K13/K444, "NA")</f>
        <v>1.3103858562192223E-3</v>
      </c>
      <c r="M13" s="9"/>
      <c r="N13" s="10">
        <f t="shared" si="1"/>
        <v>243</v>
      </c>
      <c r="O13" s="8">
        <f>IFERROR(N13/N444, "NA")</f>
        <v>-3.875381756999207E-2</v>
      </c>
      <c r="P13" s="9"/>
      <c r="Q13" s="7">
        <v>1039.5</v>
      </c>
      <c r="R13" s="8">
        <f>IFERROR(Q13/Q444, "NA")</f>
        <v>2.532222747613444E-3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1039.5</v>
      </c>
      <c r="X13" s="8">
        <f>IFERROR(W13/W444, "NA")</f>
        <v>-4.808355019885624E-2</v>
      </c>
      <c r="Y13" s="9"/>
      <c r="Z13" s="7">
        <v>1124.27</v>
      </c>
      <c r="AA13" s="8">
        <f>IFERROR(Z13/Z444, "NA")</f>
        <v>2.8746872418932193E-3</v>
      </c>
      <c r="AB13" s="9"/>
      <c r="AC13" s="10">
        <f t="shared" si="3"/>
        <v>-84.769999999999982</v>
      </c>
      <c r="AD13" s="8">
        <f>IFERROR(AC13/AC444, "NA")</f>
        <v>-4.3660025556334419E-3</v>
      </c>
    </row>
    <row r="14" spans="1:30" ht="16.5" customHeight="1" x14ac:dyDescent="0.45">
      <c r="A14" s="12" t="s">
        <v>16</v>
      </c>
      <c r="B14" s="7">
        <v>320</v>
      </c>
      <c r="C14" s="8">
        <f>IFERROR(B14/B444, "NA")</f>
        <v>3.7512134296254192E-3</v>
      </c>
      <c r="D14" s="9"/>
      <c r="E14" s="7">
        <v>0</v>
      </c>
      <c r="F14" s="8">
        <f>IFERROR(E14/E444, "NA")</f>
        <v>0</v>
      </c>
      <c r="G14" s="9"/>
      <c r="H14" s="10">
        <f t="shared" si="0"/>
        <v>320</v>
      </c>
      <c r="I14" s="8">
        <f>IFERROR(H14/H444, "NA")</f>
        <v>-1.599458583269563E-2</v>
      </c>
      <c r="J14" s="9"/>
      <c r="K14" s="7">
        <v>220</v>
      </c>
      <c r="L14" s="8">
        <f>IFERROR(K14/K444, "NA")</f>
        <v>2.4023740697352407E-3</v>
      </c>
      <c r="M14" s="9"/>
      <c r="N14" s="10">
        <f t="shared" si="1"/>
        <v>100</v>
      </c>
      <c r="O14" s="8">
        <f>IFERROR(N14/N444, "NA")</f>
        <v>-1.5948073074070812E-2</v>
      </c>
      <c r="P14" s="9"/>
      <c r="Q14" s="7">
        <v>1565</v>
      </c>
      <c r="R14" s="8">
        <f>IFERROR(Q14/Q444, "NA")</f>
        <v>3.812341125555594E-3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1565</v>
      </c>
      <c r="X14" s="8">
        <f>IFERROR(W14/W444, "NA")</f>
        <v>-7.239129972218375E-2</v>
      </c>
      <c r="Y14" s="9"/>
      <c r="Z14" s="7">
        <v>1934.99</v>
      </c>
      <c r="AA14" s="8">
        <f>IFERROR(Z14/Z444, "NA")</f>
        <v>4.9476469764300045E-3</v>
      </c>
      <c r="AB14" s="9"/>
      <c r="AC14" s="10">
        <f t="shared" si="3"/>
        <v>-369.99</v>
      </c>
      <c r="AD14" s="8">
        <f>IFERROR(AC14/AC444, "NA")</f>
        <v>-1.905600195303548E-2</v>
      </c>
    </row>
    <row r="15" spans="1:30" ht="16.5" customHeight="1" x14ac:dyDescent="0.45">
      <c r="A15" s="12" t="s">
        <v>17</v>
      </c>
      <c r="B15" s="7">
        <v>29</v>
      </c>
      <c r="C15" s="8">
        <f>IFERROR(B15/B444, "NA")</f>
        <v>3.3995371705980361E-4</v>
      </c>
      <c r="D15" s="9"/>
      <c r="E15" s="7">
        <v>0</v>
      </c>
      <c r="F15" s="8">
        <f>IFERROR(E15/E444, "NA")</f>
        <v>0</v>
      </c>
      <c r="G15" s="9"/>
      <c r="H15" s="10">
        <f t="shared" si="0"/>
        <v>29</v>
      </c>
      <c r="I15" s="8">
        <f>IFERROR(H15/H444, "NA")</f>
        <v>-1.4495093410880414E-3</v>
      </c>
      <c r="J15" s="9"/>
      <c r="K15" s="7">
        <v>88</v>
      </c>
      <c r="L15" s="8">
        <f>IFERROR(K15/K444, "NA")</f>
        <v>9.6094962789409631E-4</v>
      </c>
      <c r="M15" s="9"/>
      <c r="N15" s="10">
        <f t="shared" si="1"/>
        <v>-59</v>
      </c>
      <c r="O15" s="8">
        <f>IFERROR(N15/N444, "NA")</f>
        <v>9.4093631137017776E-3</v>
      </c>
      <c r="P15" s="9"/>
      <c r="Q15" s="7">
        <v>187</v>
      </c>
      <c r="R15" s="8">
        <f>IFERROR(Q15/Q444, "NA")</f>
        <v>4.5553213449130744E-4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187</v>
      </c>
      <c r="X15" s="8">
        <f>IFERROR(W15/W444, "NA")</f>
        <v>-8.6499508294238733E-3</v>
      </c>
      <c r="Y15" s="9"/>
      <c r="Z15" s="7">
        <v>224</v>
      </c>
      <c r="AA15" s="8">
        <f>IFERROR(Z15/Z444, "NA")</f>
        <v>5.727538244230311E-4</v>
      </c>
      <c r="AB15" s="9"/>
      <c r="AC15" s="10">
        <f t="shared" si="3"/>
        <v>-37</v>
      </c>
      <c r="AD15" s="8">
        <f>IFERROR(AC15/AC444, "NA")</f>
        <v>-1.9056516994035318E-3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1.35</v>
      </c>
      <c r="R16" s="8">
        <f>IFERROR(Q16/Q444, "NA")</f>
        <v>3.2886009709265512E-6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1.35</v>
      </c>
      <c r="X16" s="8">
        <f>IFERROR(W16/W444, "NA")</f>
        <v>-6.2446169089423688E-5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1.35</v>
      </c>
      <c r="AD16" s="8">
        <f>IFERROR(AC16/AC444, "NA")</f>
        <v>6.9530534978236969E-5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45252.77</v>
      </c>
      <c r="C18" s="15">
        <f>IFERROR(B18/B444, "NA")</f>
        <v>0.53047749547421963</v>
      </c>
      <c r="D18" s="2"/>
      <c r="E18" s="14">
        <f>IFERROR(E10+E11+E12+E13+E14+E15+E16+E17, "NA")</f>
        <v>59396.25</v>
      </c>
      <c r="F18" s="15">
        <f>IFERROR(E18/E444, "NA")</f>
        <v>0.56399999999999995</v>
      </c>
      <c r="G18" s="2"/>
      <c r="H18" s="14">
        <f t="shared" si="0"/>
        <v>-14143.480000000003</v>
      </c>
      <c r="I18" s="15">
        <f>IFERROR(H18/H444, "NA")</f>
        <v>0.70693470260316882</v>
      </c>
      <c r="J18" s="2"/>
      <c r="K18" s="14">
        <f>IFERROR(K10+K11+K12+K13+K14+K15+K16+K17, "NA")</f>
        <v>48888.959999999999</v>
      </c>
      <c r="L18" s="15">
        <f>IFERROR(K18/K444, "NA")</f>
        <v>0.53386168091056085</v>
      </c>
      <c r="M18" s="2"/>
      <c r="N18" s="14">
        <f t="shared" si="1"/>
        <v>-3636.1900000000023</v>
      </c>
      <c r="O18" s="15">
        <f>IFERROR(N18/N444, "NA")</f>
        <v>0.57990223831205578</v>
      </c>
      <c r="P18" s="2"/>
      <c r="Q18" s="14">
        <f>IFERROR(Q10+Q11+Q12+Q13+Q14+Q15+Q16+Q17, "NA")</f>
        <v>211111.33</v>
      </c>
      <c r="R18" s="15">
        <f>IFERROR(Q18/Q444, "NA")</f>
        <v>0.51426735171229288</v>
      </c>
      <c r="S18" s="2"/>
      <c r="T18" s="14">
        <f>IFERROR(T10+T11+T12+T13+T14+T15+T16+T17, "NA")</f>
        <v>243719.93</v>
      </c>
      <c r="U18" s="15">
        <f>IFERROR(T18/T444, "NA")</f>
        <v>0.56400000712752552</v>
      </c>
      <c r="V18" s="2"/>
      <c r="W18" s="14">
        <f t="shared" si="2"/>
        <v>-32608.600000000006</v>
      </c>
      <c r="X18" s="15">
        <f>IFERROR(W18/W444, "NA")</f>
        <v>1.5083571476810234</v>
      </c>
      <c r="Y18" s="2"/>
      <c r="Z18" s="14">
        <f>IFERROR(Z10+Z11+Z12+Z13+Z14+Z15+Z16+Z17, "NA")</f>
        <v>230441.31999999998</v>
      </c>
      <c r="AA18" s="15">
        <f>IFERROR(Z18/Z444, "NA")</f>
        <v>0.58922387203165849</v>
      </c>
      <c r="AB18" s="2"/>
      <c r="AC18" s="14">
        <f t="shared" si="3"/>
        <v>-19329.989999999991</v>
      </c>
      <c r="AD18" s="15">
        <f>IFERROR(AC18/AC444, "NA")</f>
        <v>-0.99557373764738533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11163.12</v>
      </c>
      <c r="F21" s="8">
        <f>IFERROR(E21/E444, "NA")</f>
        <v>0.10599995252225521</v>
      </c>
      <c r="G21" s="9"/>
      <c r="H21" s="10">
        <f t="shared" ref="H21:H29" si="4">IFERROR(B21-E21, "NA")</f>
        <v>-11163.12</v>
      </c>
      <c r="I21" s="8">
        <f>IFERROR(H21/H444, "NA")</f>
        <v>0.5579671281271289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45805.51</v>
      </c>
      <c r="U21" s="8">
        <f>IFERROR(T21/T444, "NA")</f>
        <v>0.10599998107040298</v>
      </c>
      <c r="V21" s="9"/>
      <c r="W21" s="10">
        <f t="shared" ref="W21:W29" si="6">IFERROR(Q21-T21, "NA")</f>
        <v>-45805.51</v>
      </c>
      <c r="X21" s="8">
        <f>IFERROR(W21/W444, "NA")</f>
        <v>2.1187989797683611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6218.3</v>
      </c>
      <c r="C22" s="8">
        <f>IFERROR(B22/B444, "NA")</f>
        <v>7.2894282716999201E-2</v>
      </c>
      <c r="D22" s="9"/>
      <c r="E22" s="7">
        <v>0</v>
      </c>
      <c r="F22" s="8">
        <f>IFERROR(E22/E444, "NA")</f>
        <v>0</v>
      </c>
      <c r="G22" s="9"/>
      <c r="H22" s="10">
        <f t="shared" si="4"/>
        <v>6218.3</v>
      </c>
      <c r="I22" s="8">
        <f>IFERROR(H22/H444, "NA")</f>
        <v>-0.31080979088578509</v>
      </c>
      <c r="J22" s="9"/>
      <c r="K22" s="7">
        <v>7990.93</v>
      </c>
      <c r="L22" s="8">
        <f>IFERROR(K22/K444, "NA")</f>
        <v>8.7260013750315585E-2</v>
      </c>
      <c r="M22" s="9"/>
      <c r="N22" s="10">
        <f t="shared" si="5"/>
        <v>-1772.63</v>
      </c>
      <c r="O22" s="8">
        <f>IFERROR(N22/N444, "NA")</f>
        <v>0.28270032773290144</v>
      </c>
      <c r="P22" s="9"/>
      <c r="Q22" s="7">
        <v>32706.15</v>
      </c>
      <c r="R22" s="8">
        <f>IFERROR(Q22/Q444, "NA")</f>
        <v>7.9672204922421788E-2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32706.15</v>
      </c>
      <c r="X22" s="8">
        <f>IFERROR(W22/W444, "NA")</f>
        <v>-1.5128694616030034</v>
      </c>
      <c r="Y22" s="9"/>
      <c r="Z22" s="7">
        <v>34705.19</v>
      </c>
      <c r="AA22" s="8">
        <f>IFERROR(Z22/Z444, "NA")</f>
        <v>8.8738974552803287E-2</v>
      </c>
      <c r="AB22" s="9"/>
      <c r="AC22" s="10">
        <f t="shared" si="7"/>
        <v>-1999.0400000000009</v>
      </c>
      <c r="AD22" s="8">
        <f>IFERROR(AC22/AC444, "NA")</f>
        <v>-0.10295875603177398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396.93</v>
      </c>
      <c r="C24" s="8">
        <f>IFERROR(B24/B444, "NA")</f>
        <v>4.6530285831913052E-3</v>
      </c>
      <c r="D24" s="9"/>
      <c r="E24" s="7">
        <v>0</v>
      </c>
      <c r="F24" s="8">
        <f>IFERROR(E24/E444, "NA")</f>
        <v>0</v>
      </c>
      <c r="G24" s="9"/>
      <c r="H24" s="10">
        <f t="shared" si="4"/>
        <v>396.93</v>
      </c>
      <c r="I24" s="8">
        <f>IFERROR(H24/H444, "NA")</f>
        <v>-1.9839784233037113E-2</v>
      </c>
      <c r="J24" s="9"/>
      <c r="K24" s="7">
        <v>331.55</v>
      </c>
      <c r="L24" s="8">
        <f>IFERROR(K24/K444, "NA")</f>
        <v>3.6204869219123598E-3</v>
      </c>
      <c r="M24" s="9"/>
      <c r="N24" s="10">
        <f t="shared" si="5"/>
        <v>65.38</v>
      </c>
      <c r="O24" s="8">
        <f>IFERROR(N24/N444, "NA")</f>
        <v>-1.0426850175827495E-2</v>
      </c>
      <c r="P24" s="9"/>
      <c r="Q24" s="7">
        <v>3059.13</v>
      </c>
      <c r="R24" s="8">
        <f>IFERROR(Q24/Q444, "NA")</f>
        <v>7.4520428801411404E-3</v>
      </c>
      <c r="S24" s="9"/>
      <c r="T24" s="7">
        <v>0</v>
      </c>
      <c r="U24" s="8">
        <f>IFERROR(T24/T444, "NA")</f>
        <v>0</v>
      </c>
      <c r="V24" s="9"/>
      <c r="W24" s="10">
        <f t="shared" si="6"/>
        <v>3059.13</v>
      </c>
      <c r="X24" s="8">
        <f>IFERROR(W24/W444, "NA")</f>
        <v>-0.14150440684928051</v>
      </c>
      <c r="Y24" s="9"/>
      <c r="Z24" s="7">
        <v>1638.3</v>
      </c>
      <c r="AA24" s="8">
        <f>IFERROR(Z24/Z444, "NA")</f>
        <v>4.1890294221082671E-3</v>
      </c>
      <c r="AB24" s="9"/>
      <c r="AC24" s="10">
        <f t="shared" si="7"/>
        <v>1420.8300000000002</v>
      </c>
      <c r="AD24" s="8">
        <f>IFERROR(AC24/AC444, "NA")</f>
        <v>7.3178570380095148E-2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568.41</v>
      </c>
      <c r="L27" s="8">
        <f>IFERROR(K27/K444, "NA")</f>
        <v>6.2069702044464008E-3</v>
      </c>
      <c r="M27" s="9"/>
      <c r="N27" s="10">
        <f t="shared" si="5"/>
        <v>-568.41</v>
      </c>
      <c r="O27" s="8">
        <f>IFERROR(N27/N444, "NA")</f>
        <v>9.0650442160325889E-2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2007.39</v>
      </c>
      <c r="AA27" s="8">
        <f>IFERROR(Z27/Z444, "NA")</f>
        <v>5.1327691946810201E-3</v>
      </c>
      <c r="AB27" s="9"/>
      <c r="AC27" s="10">
        <f t="shared" si="7"/>
        <v>-2007.39</v>
      </c>
      <c r="AD27" s="8">
        <f>IFERROR(AC27/AC444, "NA")</f>
        <v>-0.10338881526663934</v>
      </c>
    </row>
    <row r="28" spans="1:30" ht="16.5" customHeight="1" x14ac:dyDescent="0.45">
      <c r="A28" s="12" t="s">
        <v>29</v>
      </c>
      <c r="B28" s="7">
        <v>910.48</v>
      </c>
      <c r="C28" s="8">
        <f>IFERROR(B28/B444, "NA")</f>
        <v>1.0673140010641725E-2</v>
      </c>
      <c r="D28" s="9"/>
      <c r="E28" s="7">
        <v>0</v>
      </c>
      <c r="F28" s="8">
        <f>IFERROR(E28/E444, "NA")</f>
        <v>0</v>
      </c>
      <c r="G28" s="9"/>
      <c r="H28" s="10">
        <f t="shared" si="4"/>
        <v>910.48</v>
      </c>
      <c r="I28" s="8">
        <f>IFERROR(H28/H444, "NA")</f>
        <v>-4.5508595340477243E-2</v>
      </c>
      <c r="J28" s="9"/>
      <c r="K28" s="7">
        <v>850.71</v>
      </c>
      <c r="L28" s="8">
        <f>IFERROR(K28/K444, "NA")</f>
        <v>9.2896529312021213E-3</v>
      </c>
      <c r="M28" s="9"/>
      <c r="N28" s="10">
        <f t="shared" si="5"/>
        <v>59.769999999999982</v>
      </c>
      <c r="O28" s="8">
        <f>IFERROR(N28/N444, "NA")</f>
        <v>-9.5321632763721211E-3</v>
      </c>
      <c r="P28" s="9"/>
      <c r="Q28" s="7">
        <v>4127.1099999999997</v>
      </c>
      <c r="R28" s="8">
        <f>IFERROR(Q28/Q444, "NA")</f>
        <v>1.0053642928237539E-2</v>
      </c>
      <c r="S28" s="9"/>
      <c r="T28" s="7">
        <v>0</v>
      </c>
      <c r="U28" s="8">
        <f>IFERROR(T28/T444, "NA")</f>
        <v>0</v>
      </c>
      <c r="V28" s="9"/>
      <c r="W28" s="10">
        <f t="shared" si="6"/>
        <v>4127.1099999999997</v>
      </c>
      <c r="X28" s="8">
        <f>IFERROR(W28/W444, "NA")</f>
        <v>-0.19090533993381584</v>
      </c>
      <c r="Y28" s="9"/>
      <c r="Z28" s="7">
        <v>4103.7700000000004</v>
      </c>
      <c r="AA28" s="8">
        <f>IFERROR(Z28/Z444, "NA")</f>
        <v>1.0493080187734387E-2</v>
      </c>
      <c r="AB28" s="9"/>
      <c r="AC28" s="10">
        <f t="shared" si="7"/>
        <v>23.339999999999236</v>
      </c>
      <c r="AD28" s="8">
        <f>IFERROR(AC28/AC444, "NA")</f>
        <v>1.2021056936237021E-3</v>
      </c>
    </row>
    <row r="29" spans="1:30" ht="16.5" customHeight="1" x14ac:dyDescent="0.45">
      <c r="A29" s="13" t="s">
        <v>30</v>
      </c>
      <c r="B29" s="14">
        <f>IFERROR(B21+B22+B23+B24+B25+B26+B27+B28, "NA")</f>
        <v>7525.7100000000009</v>
      </c>
      <c r="C29" s="15">
        <f>IFERROR(B29/B444, "NA")</f>
        <v>8.822045131083224E-2</v>
      </c>
      <c r="D29" s="2"/>
      <c r="E29" s="14">
        <f>IFERROR(E21+E22+E23+E24+E25+E26+E27+E28, "NA")</f>
        <v>11163.12</v>
      </c>
      <c r="F29" s="15">
        <f>IFERROR(E29/E444, "NA")</f>
        <v>0.10599995252225521</v>
      </c>
      <c r="G29" s="2"/>
      <c r="H29" s="14">
        <f t="shared" si="4"/>
        <v>-3637.41</v>
      </c>
      <c r="I29" s="15">
        <f>IFERROR(H29/H444, "NA")</f>
        <v>0.1818089576678294</v>
      </c>
      <c r="J29" s="2"/>
      <c r="K29" s="14">
        <f>IFERROR(K21+K22+K23+K24+K25+K26+K27+K28, "NA")</f>
        <v>9741.5999999999985</v>
      </c>
      <c r="L29" s="15">
        <f>IFERROR(K29/K444, "NA")</f>
        <v>0.10637712380787645</v>
      </c>
      <c r="M29" s="2"/>
      <c r="N29" s="14">
        <f t="shared" si="5"/>
        <v>-2215.8899999999976</v>
      </c>
      <c r="O29" s="15">
        <f>IFERROR(N29/N444, "NA")</f>
        <v>0.35339175644102733</v>
      </c>
      <c r="P29" s="2"/>
      <c r="Q29" s="14">
        <f>IFERROR(Q21+Q22+Q23+Q24+Q25+Q26+Q27+Q28, "NA")</f>
        <v>39892.39</v>
      </c>
      <c r="R29" s="15">
        <f>IFERROR(Q29/Q444, "NA")</f>
        <v>9.7177890730800465E-2</v>
      </c>
      <c r="S29" s="2"/>
      <c r="T29" s="14">
        <f>IFERROR(T21+T22+T23+T24+T25+T26+T27+T28, "NA")</f>
        <v>45805.51</v>
      </c>
      <c r="U29" s="15">
        <f>IFERROR(T29/T444, "NA")</f>
        <v>0.10599998107040298</v>
      </c>
      <c r="V29" s="2"/>
      <c r="W29" s="14">
        <f t="shared" si="6"/>
        <v>-5913.1200000000026</v>
      </c>
      <c r="X29" s="15">
        <f>IFERROR(W29/W444, "NA")</f>
        <v>0.27351977138226158</v>
      </c>
      <c r="Y29" s="2"/>
      <c r="Z29" s="14">
        <f>IFERROR(Z21+Z22+Z23+Z24+Z25+Z26+Z27+Z28, "NA")</f>
        <v>42454.650000000009</v>
      </c>
      <c r="AA29" s="15">
        <f>IFERROR(Z29/Z444, "NA")</f>
        <v>0.10855385335732698</v>
      </c>
      <c r="AB29" s="2"/>
      <c r="AC29" s="14">
        <f t="shared" si="7"/>
        <v>-2562.2600000000093</v>
      </c>
      <c r="AD29" s="15">
        <f>IFERROR(AC29/AC444, "NA")</f>
        <v>-0.1319668952246949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22642.19</v>
      </c>
      <c r="F31" s="8">
        <f>IFERROR(E31/E444, "NA")</f>
        <v>0.21500002373887239</v>
      </c>
      <c r="G31" s="9"/>
      <c r="H31" s="10">
        <f t="shared" ref="H31:H40" si="8">IFERROR(B31-E31, "NA")</f>
        <v>-22642.19</v>
      </c>
      <c r="I31" s="8">
        <f>IFERROR(H31/H444, "NA")</f>
        <v>1.1317264106100082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92907.42</v>
      </c>
      <c r="U31" s="8">
        <f>IFERROR(T31/T444, "NA")</f>
        <v>0.21500000242983822</v>
      </c>
      <c r="V31" s="9"/>
      <c r="W31" s="10">
        <f t="shared" ref="W31:W40" si="10">IFERROR(Q31-T31, "NA")</f>
        <v>-92907.42</v>
      </c>
      <c r="X31" s="8">
        <f>IFERROR(W31/W444, "NA")</f>
        <v>4.2975647844311879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3001.93</v>
      </c>
      <c r="C33" s="8">
        <f>IFERROR(B33/B444, "NA")</f>
        <v>3.5190250408735732E-2</v>
      </c>
      <c r="D33" s="9"/>
      <c r="E33" s="7">
        <v>0</v>
      </c>
      <c r="F33" s="8">
        <f>IFERROR(E33/E444, "NA")</f>
        <v>0</v>
      </c>
      <c r="G33" s="9"/>
      <c r="H33" s="10">
        <f t="shared" si="8"/>
        <v>3001.93</v>
      </c>
      <c r="I33" s="8">
        <f>IFERROR(H33/H444, "NA")</f>
        <v>-0.15004570952732496</v>
      </c>
      <c r="J33" s="9"/>
      <c r="K33" s="7">
        <v>3738.18</v>
      </c>
      <c r="L33" s="8">
        <f>IFERROR(K33/K444, "NA")</f>
        <v>4.0820485000013104E-2</v>
      </c>
      <c r="M33" s="9"/>
      <c r="N33" s="10">
        <f t="shared" si="9"/>
        <v>-736.25</v>
      </c>
      <c r="O33" s="8">
        <f>IFERROR(N33/N444, "NA")</f>
        <v>0.11741768800784634</v>
      </c>
      <c r="P33" s="9"/>
      <c r="Q33" s="7">
        <v>26394.31</v>
      </c>
      <c r="R33" s="8">
        <f>IFERROR(Q33/Q444, "NA")</f>
        <v>6.4296558142915836E-2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26394.31</v>
      </c>
      <c r="X33" s="8">
        <f>IFERROR(W33/W444, "NA")</f>
        <v>-1.2209063298212344</v>
      </c>
      <c r="Y33" s="9"/>
      <c r="Z33" s="7">
        <v>21627.45</v>
      </c>
      <c r="AA33" s="8">
        <f>IFERROR(Z33/Z444, "NA")</f>
        <v>5.5300020982222697E-2</v>
      </c>
      <c r="AB33" s="9"/>
      <c r="AC33" s="10">
        <f t="shared" si="11"/>
        <v>4766.8600000000006</v>
      </c>
      <c r="AD33" s="8">
        <f>IFERROR(AC33/AC444, "NA")</f>
        <v>0.24551283404915461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395.5</v>
      </c>
      <c r="C35" s="8">
        <f>IFERROR(B35/B444, "NA")</f>
        <v>4.6362653481776669E-3</v>
      </c>
      <c r="D35" s="9"/>
      <c r="E35" s="7">
        <v>0</v>
      </c>
      <c r="F35" s="8">
        <f>IFERROR(E35/E444, "NA")</f>
        <v>0</v>
      </c>
      <c r="G35" s="9"/>
      <c r="H35" s="10">
        <f t="shared" si="8"/>
        <v>395.5</v>
      </c>
      <c r="I35" s="8">
        <f>IFERROR(H35/H444, "NA")</f>
        <v>-1.9768308427597255E-2</v>
      </c>
      <c r="J35" s="9"/>
      <c r="K35" s="7">
        <v>0</v>
      </c>
      <c r="L35" s="8">
        <f>IFERROR(K35/K444, "NA")</f>
        <v>0</v>
      </c>
      <c r="M35" s="9"/>
      <c r="N35" s="10">
        <f t="shared" si="9"/>
        <v>395.5</v>
      </c>
      <c r="O35" s="8">
        <f>IFERROR(N35/N444, "NA")</f>
        <v>-6.307462900795005E-2</v>
      </c>
      <c r="P35" s="9"/>
      <c r="Q35" s="7">
        <v>2688.16</v>
      </c>
      <c r="R35" s="8">
        <f>IFERROR(Q35/Q444, "NA")</f>
        <v>6.5483596933377155E-3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2688.16</v>
      </c>
      <c r="X35" s="8">
        <f>IFERROR(W35/W444, "NA")</f>
        <v>-0.12434466214772234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2688.16</v>
      </c>
      <c r="AD35" s="8">
        <f>IFERROR(AC35/AC444, "NA")</f>
        <v>0.13845126141266481</v>
      </c>
    </row>
    <row r="36" spans="1:30" ht="16.5" customHeight="1" x14ac:dyDescent="0.45">
      <c r="A36" s="12" t="s">
        <v>36</v>
      </c>
      <c r="B36" s="7">
        <v>7704.16</v>
      </c>
      <c r="C36" s="8">
        <f>IFERROR(B36/B444, "NA")</f>
        <v>9.0312338924946778E-2</v>
      </c>
      <c r="D36" s="9"/>
      <c r="E36" s="7">
        <v>0</v>
      </c>
      <c r="F36" s="8">
        <f>IFERROR(E36/E444, "NA")</f>
        <v>0</v>
      </c>
      <c r="G36" s="9"/>
      <c r="H36" s="10">
        <f t="shared" si="8"/>
        <v>7704.16</v>
      </c>
      <c r="I36" s="8">
        <f>IFERROR(H36/H444, "NA")</f>
        <v>-0.3850776512150636</v>
      </c>
      <c r="J36" s="9"/>
      <c r="K36" s="7">
        <v>9526.49</v>
      </c>
      <c r="L36" s="8">
        <f>IFERROR(K36/K444, "NA")</f>
        <v>0.10402814796178216</v>
      </c>
      <c r="M36" s="9"/>
      <c r="N36" s="10">
        <f t="shared" si="9"/>
        <v>-1822.33</v>
      </c>
      <c r="O36" s="8">
        <f>IFERROR(N36/N444, "NA")</f>
        <v>0.2906265200507146</v>
      </c>
      <c r="P36" s="9"/>
      <c r="Q36" s="7">
        <v>52835.75</v>
      </c>
      <c r="R36" s="8">
        <f>IFERROR(Q36/Q444, "NA")</f>
        <v>0.12870792499972777</v>
      </c>
      <c r="S36" s="9"/>
      <c r="T36" s="7">
        <v>0</v>
      </c>
      <c r="U36" s="8">
        <f>IFERROR(T36/T444, "NA")</f>
        <v>0</v>
      </c>
      <c r="V36" s="9"/>
      <c r="W36" s="10">
        <f t="shared" si="10"/>
        <v>52835.75</v>
      </c>
      <c r="X36" s="8">
        <f>IFERROR(W36/W444, "NA")</f>
        <v>-2.4439927247900131</v>
      </c>
      <c r="Y36" s="9"/>
      <c r="Z36" s="7">
        <v>40685.620000000003</v>
      </c>
      <c r="AA36" s="8">
        <f>IFERROR(Z36/Z444, "NA")</f>
        <v>0.10403055559831323</v>
      </c>
      <c r="AB36" s="9"/>
      <c r="AC36" s="10">
        <f t="shared" si="11"/>
        <v>12150.129999999997</v>
      </c>
      <c r="AD36" s="8">
        <f>IFERROR(AC36/AC444, "NA")</f>
        <v>0.62578151033713048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527.20000000000005</v>
      </c>
      <c r="C39" s="8">
        <f>IFERROR(B39/B444, "NA")</f>
        <v>6.180124125307879E-3</v>
      </c>
      <c r="D39" s="9"/>
      <c r="E39" s="7">
        <v>0</v>
      </c>
      <c r="F39" s="8">
        <f>IFERROR(E39/E444, "NA")</f>
        <v>0</v>
      </c>
      <c r="G39" s="9"/>
      <c r="H39" s="10">
        <f t="shared" si="8"/>
        <v>527.20000000000005</v>
      </c>
      <c r="I39" s="8">
        <f>IFERROR(H39/H444, "NA")</f>
        <v>-2.6351080159366051E-2</v>
      </c>
      <c r="J39" s="9"/>
      <c r="K39" s="7">
        <v>996.48</v>
      </c>
      <c r="L39" s="8">
        <f>IFERROR(K39/K444, "NA")</f>
        <v>1.0881444150044422E-2</v>
      </c>
      <c r="M39" s="9"/>
      <c r="N39" s="10">
        <f t="shared" si="9"/>
        <v>-469.28</v>
      </c>
      <c r="O39" s="8">
        <f>IFERROR(N39/N444, "NA")</f>
        <v>7.4841117321999495E-2</v>
      </c>
      <c r="P39" s="9"/>
      <c r="Q39" s="7">
        <v>3090.8</v>
      </c>
      <c r="R39" s="8">
        <f>IFERROR(Q39/Q444, "NA")</f>
        <v>7.5291910229183584E-3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3090.8</v>
      </c>
      <c r="X39" s="8">
        <f>IFERROR(W39/W444, "NA")</f>
        <v>-0.14296934771969685</v>
      </c>
      <c r="Y39" s="9"/>
      <c r="Z39" s="7">
        <v>4701.07</v>
      </c>
      <c r="AA39" s="8">
        <f>IFERROR(Z39/Z444, "NA")</f>
        <v>1.2020338488305261E-2</v>
      </c>
      <c r="AB39" s="9"/>
      <c r="AC39" s="10">
        <f t="shared" si="11"/>
        <v>-1610.2699999999995</v>
      </c>
      <c r="AD39" s="8">
        <f>IFERROR(AC39/AC444, "NA")</f>
        <v>-8.2935507081041193E-2</v>
      </c>
    </row>
    <row r="40" spans="1:30" ht="16.5" customHeight="1" x14ac:dyDescent="0.45">
      <c r="A40" s="13" t="s">
        <v>40</v>
      </c>
      <c r="B40" s="14">
        <f>IFERROR(B31+B32+B33+B34+B35+B36+B37+B38+B39, "NA")</f>
        <v>11628.79</v>
      </c>
      <c r="C40" s="15">
        <f>IFERROR(B40/B444, "NA")</f>
        <v>0.13631897880716806</v>
      </c>
      <c r="D40" s="2"/>
      <c r="E40" s="14">
        <f>IFERROR(E31+E32+E33+E34+E35+E36+E37+E38+E39, "NA")</f>
        <v>22642.19</v>
      </c>
      <c r="F40" s="15">
        <f>IFERROR(E40/E444, "NA")</f>
        <v>0.21500002373887239</v>
      </c>
      <c r="G40" s="2"/>
      <c r="H40" s="14">
        <f t="shared" si="8"/>
        <v>-11013.399999999998</v>
      </c>
      <c r="I40" s="15">
        <f>IFERROR(H40/H444, "NA")</f>
        <v>0.55048366128065629</v>
      </c>
      <c r="J40" s="2"/>
      <c r="K40" s="14">
        <f>IFERROR(K31+K32+K33+K34+K35+K36+K37+K38+K39, "NA")</f>
        <v>14261.15</v>
      </c>
      <c r="L40" s="15">
        <f>IFERROR(K40/K444, "NA")</f>
        <v>0.15573007711183967</v>
      </c>
      <c r="M40" s="2"/>
      <c r="N40" s="14">
        <f t="shared" si="9"/>
        <v>-2632.3599999999988</v>
      </c>
      <c r="O40" s="15">
        <f>IFERROR(N40/N444, "NA")</f>
        <v>0.4198106963726102</v>
      </c>
      <c r="P40" s="2"/>
      <c r="Q40" s="14">
        <f>IFERROR(Q31+Q32+Q33+Q34+Q35+Q36+Q37+Q38+Q39, "NA")</f>
        <v>85009.02</v>
      </c>
      <c r="R40" s="15">
        <f>IFERROR(Q40/Q444, "NA")</f>
        <v>0.2070820338588997</v>
      </c>
      <c r="S40" s="2"/>
      <c r="T40" s="14">
        <f>IFERROR(T31+T32+T33+T34+T35+T36+T37+T38+T39, "NA")</f>
        <v>92907.42</v>
      </c>
      <c r="U40" s="15">
        <f>IFERROR(T40/T444, "NA")</f>
        <v>0.21500000242983822</v>
      </c>
      <c r="V40" s="2"/>
      <c r="W40" s="14">
        <f t="shared" si="10"/>
        <v>-7898.3999999999942</v>
      </c>
      <c r="X40" s="15">
        <f>IFERROR(W40/W444, "NA")</f>
        <v>0.36535171995252125</v>
      </c>
      <c r="Y40" s="2"/>
      <c r="Z40" s="14">
        <f>IFERROR(Z31+Z32+Z33+Z34+Z35+Z36+Z37+Z38+Z39, "NA")</f>
        <v>67014.140000000014</v>
      </c>
      <c r="AA40" s="15">
        <f>IFERROR(Z40/Z444, "NA")</f>
        <v>0.17135091506884123</v>
      </c>
      <c r="AB40" s="2"/>
      <c r="AC40" s="14">
        <f t="shared" si="11"/>
        <v>17994.87999999999</v>
      </c>
      <c r="AD40" s="15">
        <f>IFERROR(AC40/AC444, "NA")</f>
        <v>0.92681009871790832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5601.7</v>
      </c>
      <c r="C43" s="8">
        <f>IFERROR(B43/B444, "NA")</f>
        <v>6.5666163339789724E-2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5601.7</v>
      </c>
      <c r="I43" s="8">
        <f>IFERROR(H43/H444, "NA")</f>
        <v>-0.2799902233094097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5601.7</v>
      </c>
      <c r="O43" s="8">
        <f>IFERROR(N43/N444, "NA")</f>
        <v>-0.89336320939022462</v>
      </c>
      <c r="P43" s="9"/>
      <c r="Q43" s="7">
        <v>28282.560000000001</v>
      </c>
      <c r="R43" s="8">
        <f>IFERROR(Q43/Q444, "NA")</f>
        <v>6.8896336500954392E-2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28282.560000000001</v>
      </c>
      <c r="X43" s="8">
        <f>IFERROR(W43/W444, "NA")</f>
        <v>-1.3082500178087191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28282.560000000001</v>
      </c>
      <c r="AD43" s="8">
        <f>IFERROR(AC43/AC444, "NA")</f>
        <v>1.4566677980400635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15480.94</v>
      </c>
      <c r="F46" s="8">
        <f>IFERROR(E46/E444, "NA")</f>
        <v>0.14700002373887242</v>
      </c>
      <c r="G46" s="9"/>
      <c r="H46" s="10">
        <f t="shared" ref="H46:H62" si="12">IFERROR(B46-E46, "NA")</f>
        <v>-15480.94</v>
      </c>
      <c r="I46" s="8">
        <f>IFERROR(H46/H444, "NA")</f>
        <v>0.77378507375253458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63522.75</v>
      </c>
      <c r="U46" s="8">
        <f>IFERROR(T46/T444, "NA")</f>
        <v>0.14700000715066683</v>
      </c>
      <c r="V46" s="9"/>
      <c r="W46" s="10">
        <f t="shared" ref="W46:W62" si="14">IFERROR(Q46-T46, "NA")</f>
        <v>-63522.75</v>
      </c>
      <c r="X46" s="8">
        <f>IFERROR(W46/W444, "NA")</f>
        <v>2.9383351018705097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customHeight="1" x14ac:dyDescent="0.45">
      <c r="A47" s="17" t="s">
        <v>45</v>
      </c>
      <c r="B47" s="7">
        <v>860.07</v>
      </c>
      <c r="C47" s="8">
        <f>IFERROR(B47/B444, "NA")</f>
        <v>1.0082206670056045E-2</v>
      </c>
      <c r="D47" s="9"/>
      <c r="E47" s="7">
        <v>0</v>
      </c>
      <c r="F47" s="8">
        <f>IFERROR(E47/E444, "NA")</f>
        <v>0</v>
      </c>
      <c r="G47" s="9"/>
      <c r="H47" s="10">
        <f t="shared" si="12"/>
        <v>860.07</v>
      </c>
      <c r="I47" s="8">
        <f>IFERROR(H47/H444, "NA")</f>
        <v>-4.2988948241020411E-2</v>
      </c>
      <c r="J47" s="9"/>
      <c r="K47" s="7">
        <v>0</v>
      </c>
      <c r="L47" s="8">
        <f>IFERROR(K47/K444, "NA")</f>
        <v>0</v>
      </c>
      <c r="M47" s="9"/>
      <c r="N47" s="10">
        <f t="shared" si="13"/>
        <v>860.07</v>
      </c>
      <c r="O47" s="8">
        <f>IFERROR(N47/N444, "NA")</f>
        <v>-0.13716459208816084</v>
      </c>
      <c r="P47" s="9"/>
      <c r="Q47" s="7">
        <v>5411.31</v>
      </c>
      <c r="R47" s="8">
        <f>IFERROR(Q47/Q444, "NA")</f>
        <v>1.3181955051840411E-2</v>
      </c>
      <c r="S47" s="9"/>
      <c r="T47" s="7">
        <v>0</v>
      </c>
      <c r="U47" s="8">
        <f>IFERROR(T47/T444, "NA")</f>
        <v>0</v>
      </c>
      <c r="V47" s="9"/>
      <c r="W47" s="10">
        <f t="shared" si="14"/>
        <v>5411.31</v>
      </c>
      <c r="X47" s="8">
        <f>IFERROR(W47/W444, "NA")</f>
        <v>-0.2503078364853995</v>
      </c>
      <c r="Y47" s="9"/>
      <c r="Z47" s="7">
        <v>1638.6</v>
      </c>
      <c r="AA47" s="8">
        <f>IFERROR(Z47/Z444, "NA")</f>
        <v>4.1897965031231195E-3</v>
      </c>
      <c r="AB47" s="9"/>
      <c r="AC47" s="10">
        <f t="shared" si="15"/>
        <v>3772.7100000000005</v>
      </c>
      <c r="AD47" s="8">
        <f>IFERROR(AC47/AC444, "NA")</f>
        <v>0.19431003305018105</v>
      </c>
    </row>
    <row r="48" spans="1:30" ht="16.5" customHeight="1" x14ac:dyDescent="0.45">
      <c r="A48" s="17" t="s">
        <v>46</v>
      </c>
      <c r="B48" s="7">
        <v>2874.85</v>
      </c>
      <c r="C48" s="8">
        <f>IFERROR(B48/B444, "NA")</f>
        <v>3.370054977549574E-2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2874.85</v>
      </c>
      <c r="I48" s="8">
        <f>IFERROR(H48/H444, "NA")</f>
        <v>-0.14369385962851572</v>
      </c>
      <c r="J48" s="9"/>
      <c r="K48" s="7">
        <v>12571.09</v>
      </c>
      <c r="L48" s="8">
        <f>IFERROR(K48/K444, "NA")</f>
        <v>0.13727482111049086</v>
      </c>
      <c r="M48" s="9"/>
      <c r="N48" s="10">
        <f t="shared" si="13"/>
        <v>-9696.24</v>
      </c>
      <c r="O48" s="8">
        <f>IFERROR(N48/N444, "NA")</f>
        <v>1.5463634406372835</v>
      </c>
      <c r="P48" s="9"/>
      <c r="Q48" s="7">
        <v>30309.95</v>
      </c>
      <c r="R48" s="8">
        <f>IFERROR(Q48/Q444, "NA")</f>
        <v>7.3835059999063118E-2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30309.95</v>
      </c>
      <c r="X48" s="8">
        <f>IFERROR(W48/W444, "NA")</f>
        <v>-1.4020298242903537</v>
      </c>
      <c r="Y48" s="9"/>
      <c r="Z48" s="7">
        <v>35559.86</v>
      </c>
      <c r="AA48" s="8">
        <f>IFERROR(Z48/Z444, "NA")</f>
        <v>9.092431165601593E-2</v>
      </c>
      <c r="AB48" s="9"/>
      <c r="AC48" s="10">
        <f t="shared" si="15"/>
        <v>-5249.91</v>
      </c>
      <c r="AD48" s="8">
        <f>IFERROR(AC48/AC444, "NA")</f>
        <v>-0.27039188954636745</v>
      </c>
    </row>
    <row r="49" spans="1:30" ht="16.5" customHeight="1" x14ac:dyDescent="0.45">
      <c r="A49" s="17" t="s">
        <v>47</v>
      </c>
      <c r="B49" s="7">
        <v>27.5</v>
      </c>
      <c r="C49" s="8">
        <f>IFERROR(B49/B444, "NA")</f>
        <v>3.2236990410843447E-4</v>
      </c>
      <c r="D49" s="9"/>
      <c r="E49" s="7">
        <v>0</v>
      </c>
      <c r="F49" s="8">
        <f>IFERROR(E49/E444, "NA")</f>
        <v>0</v>
      </c>
      <c r="G49" s="9"/>
      <c r="H49" s="10">
        <f t="shared" si="12"/>
        <v>27.5</v>
      </c>
      <c r="I49" s="8">
        <f>IFERROR(H49/H444, "NA")</f>
        <v>-1.3745347199972807E-3</v>
      </c>
      <c r="J49" s="9"/>
      <c r="K49" s="7">
        <v>0</v>
      </c>
      <c r="L49" s="8">
        <f>IFERROR(K49/K444, "NA")</f>
        <v>0</v>
      </c>
      <c r="M49" s="9"/>
      <c r="N49" s="10">
        <f t="shared" si="13"/>
        <v>27.5</v>
      </c>
      <c r="O49" s="8">
        <f>IFERROR(N49/N444, "NA")</f>
        <v>-4.3857200953694728E-3</v>
      </c>
      <c r="P49" s="9"/>
      <c r="Q49" s="7">
        <v>27.5</v>
      </c>
      <c r="R49" s="8">
        <f>IFERROR(Q49/Q444, "NA")</f>
        <v>6.6990019778133443E-5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27.5</v>
      </c>
      <c r="X49" s="8">
        <f>IFERROR(W49/W444, "NA")</f>
        <v>-1.2720515925623342E-3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27.5</v>
      </c>
      <c r="AD49" s="8">
        <f>IFERROR(AC49/AC444, "NA")</f>
        <v>1.4163627495566789E-3</v>
      </c>
    </row>
    <row r="50" spans="1:30" ht="16.5" customHeight="1" x14ac:dyDescent="0.45">
      <c r="A50" s="17" t="s">
        <v>48</v>
      </c>
      <c r="B50" s="7">
        <v>1340.65</v>
      </c>
      <c r="C50" s="8">
        <f>IFERROR(B50/B444, "NA")</f>
        <v>1.5715825888835369E-2</v>
      </c>
      <c r="D50" s="9"/>
      <c r="E50" s="7">
        <v>0</v>
      </c>
      <c r="F50" s="8">
        <f>IFERROR(E50/E444, "NA")</f>
        <v>0</v>
      </c>
      <c r="G50" s="9"/>
      <c r="H50" s="10">
        <f t="shared" si="12"/>
        <v>1340.65</v>
      </c>
      <c r="I50" s="8">
        <f>IFERROR(H50/H444, "NA")</f>
        <v>-6.7009817176885617E-2</v>
      </c>
      <c r="J50" s="9"/>
      <c r="K50" s="7">
        <v>4682.5</v>
      </c>
      <c r="L50" s="8">
        <f>IFERROR(K50/K444, "NA")</f>
        <v>5.1132348097887567E-2</v>
      </c>
      <c r="M50" s="9"/>
      <c r="N50" s="10">
        <f t="shared" si="13"/>
        <v>-3341.85</v>
      </c>
      <c r="O50" s="8">
        <f>IFERROR(N50/N444, "NA")</f>
        <v>0.53296068002583541</v>
      </c>
      <c r="P50" s="9"/>
      <c r="Q50" s="7">
        <v>7890.57</v>
      </c>
      <c r="R50" s="8">
        <f>IFERROR(Q50/Q444, "NA")</f>
        <v>1.9221434194936233E-2</v>
      </c>
      <c r="S50" s="9"/>
      <c r="T50" s="7">
        <v>0</v>
      </c>
      <c r="U50" s="8">
        <f>IFERROR(T50/T444, "NA")</f>
        <v>0</v>
      </c>
      <c r="V50" s="9"/>
      <c r="W50" s="10">
        <f t="shared" si="14"/>
        <v>7890.57</v>
      </c>
      <c r="X50" s="8">
        <f>IFERROR(W50/W444, "NA")</f>
        <v>-0.36498953217180286</v>
      </c>
      <c r="Y50" s="9"/>
      <c r="Z50" s="7">
        <v>16317.34</v>
      </c>
      <c r="AA50" s="8">
        <f>IFERROR(Z50/Z444, "NA")</f>
        <v>4.1722405756298674E-2</v>
      </c>
      <c r="AB50" s="9"/>
      <c r="AC50" s="10">
        <f t="shared" si="15"/>
        <v>-8426.77</v>
      </c>
      <c r="AD50" s="8">
        <f>IFERROR(AC50/AC444, "NA")</f>
        <v>-0.43401320462115406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324</v>
      </c>
      <c r="L54" s="8">
        <f>IFERROR(K54/K444, "NA")</f>
        <v>3.5380418117919002E-3</v>
      </c>
      <c r="M54" s="9"/>
      <c r="N54" s="10">
        <f t="shared" si="13"/>
        <v>-324</v>
      </c>
      <c r="O54" s="8">
        <f>IFERROR(N54/N444, "NA")</f>
        <v>5.1671756759989425E-2</v>
      </c>
      <c r="P54" s="9"/>
      <c r="Q54" s="7">
        <v>0</v>
      </c>
      <c r="R54" s="8">
        <f>IFERROR(Q54/Q444, "NA")</f>
        <v>0</v>
      </c>
      <c r="S54" s="9"/>
      <c r="T54" s="7">
        <v>0</v>
      </c>
      <c r="U54" s="8">
        <f>IFERROR(T54/T444, "NA")</f>
        <v>0</v>
      </c>
      <c r="V54" s="9"/>
      <c r="W54" s="10">
        <f t="shared" si="14"/>
        <v>0</v>
      </c>
      <c r="X54" s="8">
        <f>IFERROR(W54/W444, "NA")</f>
        <v>0</v>
      </c>
      <c r="Y54" s="9"/>
      <c r="Z54" s="7">
        <v>826.8</v>
      </c>
      <c r="AA54" s="8">
        <f>IFERROR(Z54/Z444, "NA")</f>
        <v>2.1140752769328664E-3</v>
      </c>
      <c r="AB54" s="9"/>
      <c r="AC54" s="10">
        <f t="shared" si="15"/>
        <v>-826.8</v>
      </c>
      <c r="AD54" s="8">
        <f>IFERROR(AC54/AC444, "NA")</f>
        <v>-4.2583589866671351E-2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1593.75</v>
      </c>
      <c r="L55" s="8">
        <f>IFERROR(K55/K444, "NA")</f>
        <v>1.7403562152911545E-2</v>
      </c>
      <c r="M55" s="9"/>
      <c r="N55" s="10">
        <f t="shared" si="13"/>
        <v>-1593.75</v>
      </c>
      <c r="O55" s="8">
        <f>IFERROR(N55/N444, "NA")</f>
        <v>0.25417241461800355</v>
      </c>
      <c r="P55" s="9"/>
      <c r="Q55" s="7">
        <v>334.29</v>
      </c>
      <c r="R55" s="8">
        <f>IFERROR(Q55/Q444, "NA")</f>
        <v>8.1433068042299024E-4</v>
      </c>
      <c r="S55" s="9"/>
      <c r="T55" s="7">
        <v>0</v>
      </c>
      <c r="U55" s="8">
        <f>IFERROR(T55/T444, "NA")</f>
        <v>0</v>
      </c>
      <c r="V55" s="9"/>
      <c r="W55" s="10">
        <f t="shared" si="14"/>
        <v>334.29</v>
      </c>
      <c r="X55" s="8">
        <f>IFERROR(W55/W444, "NA")</f>
        <v>-1.5463059159187737E-2</v>
      </c>
      <c r="Y55" s="9"/>
      <c r="Z55" s="7">
        <v>1886.55</v>
      </c>
      <c r="AA55" s="8">
        <f>IFERROR(Z55/Z444, "NA")</f>
        <v>4.8237889618985234E-3</v>
      </c>
      <c r="AB55" s="9"/>
      <c r="AC55" s="10">
        <f t="shared" si="15"/>
        <v>-1552.26</v>
      </c>
      <c r="AD55" s="8">
        <f>IFERROR(AC55/AC444, "NA")</f>
        <v>-7.9947754240976387E-2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224.33</v>
      </c>
      <c r="L56" s="8">
        <f>IFERROR(K56/K444, "NA")</f>
        <v>2.4496571593804846E-3</v>
      </c>
      <c r="M56" s="9"/>
      <c r="N56" s="10">
        <f t="shared" si="13"/>
        <v>-224.33</v>
      </c>
      <c r="O56" s="8">
        <f>IFERROR(N56/N444, "NA")</f>
        <v>3.5776312327063055E-2</v>
      </c>
      <c r="P56" s="9"/>
      <c r="Q56" s="7">
        <v>54.95</v>
      </c>
      <c r="R56" s="8">
        <f>IFERROR(Q56/Q444, "NA")</f>
        <v>1.3385823952030666E-4</v>
      </c>
      <c r="S56" s="9"/>
      <c r="T56" s="7">
        <v>0</v>
      </c>
      <c r="U56" s="8">
        <f>IFERROR(T56/T444, "NA")</f>
        <v>0</v>
      </c>
      <c r="V56" s="9"/>
      <c r="W56" s="10">
        <f t="shared" si="14"/>
        <v>54.95</v>
      </c>
      <c r="X56" s="8">
        <f>IFERROR(W56/W444, "NA")</f>
        <v>-2.5417903640472827E-3</v>
      </c>
      <c r="Y56" s="9"/>
      <c r="Z56" s="7">
        <v>693.15</v>
      </c>
      <c r="AA56" s="8">
        <f>IFERROR(Z56/Z444, "NA")</f>
        <v>1.7723406848161784E-3</v>
      </c>
      <c r="AB56" s="9"/>
      <c r="AC56" s="10">
        <f t="shared" si="15"/>
        <v>-638.19999999999993</v>
      </c>
      <c r="AD56" s="8">
        <f>IFERROR(AC56/AC444, "NA")</f>
        <v>-3.2869916609711725E-2</v>
      </c>
    </row>
    <row r="57" spans="1:30" ht="16.5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1617.97</v>
      </c>
      <c r="L57" s="8">
        <f>IFERROR(K57/K444, "NA")</f>
        <v>1.7668041698225126E-2</v>
      </c>
      <c r="M57" s="9"/>
      <c r="N57" s="10">
        <f t="shared" si="13"/>
        <v>-1617.97</v>
      </c>
      <c r="O57" s="8">
        <f>IFERROR(N57/N444, "NA")</f>
        <v>0.25803503791654347</v>
      </c>
      <c r="P57" s="9"/>
      <c r="Q57" s="7">
        <v>3139.49</v>
      </c>
      <c r="R57" s="8">
        <f>IFERROR(Q57/Q444, "NA")</f>
        <v>7.6477998979364416E-3</v>
      </c>
      <c r="S57" s="9"/>
      <c r="T57" s="7">
        <v>0</v>
      </c>
      <c r="U57" s="8">
        <f>IFERROR(T57/T444, "NA")</f>
        <v>0</v>
      </c>
      <c r="V57" s="9"/>
      <c r="W57" s="10">
        <f t="shared" si="14"/>
        <v>3139.49</v>
      </c>
      <c r="X57" s="8">
        <f>IFERROR(W57/W444, "NA")</f>
        <v>-0.14522157288485538</v>
      </c>
      <c r="Y57" s="9"/>
      <c r="Z57" s="7">
        <v>14356.41</v>
      </c>
      <c r="AA57" s="8">
        <f>IFERROR(Z57/Z444, "NA")</f>
        <v>3.6708431841451103E-2</v>
      </c>
      <c r="AB57" s="9"/>
      <c r="AC57" s="10">
        <f t="shared" si="15"/>
        <v>-11216.92</v>
      </c>
      <c r="AD57" s="8">
        <f>IFERROR(AC57/AC444, "NA")</f>
        <v>-0.57771736919117467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5103.07</v>
      </c>
      <c r="C61" s="15">
        <f>IFERROR(B61/B444, "NA")</f>
        <v>5.9820952238495588E-2</v>
      </c>
      <c r="D61" s="2"/>
      <c r="E61" s="14">
        <f>IFERROR(E46+E47+E48+E49+E50+E51+E52+E53+E54+E55+E56+E57+E58+E59+E60, "NA")</f>
        <v>15480.94</v>
      </c>
      <c r="F61" s="15">
        <f>IFERROR(E61/E444, "NA")</f>
        <v>0.14700002373887242</v>
      </c>
      <c r="G61" s="2"/>
      <c r="H61" s="14">
        <f t="shared" si="12"/>
        <v>-10377.870000000001</v>
      </c>
      <c r="I61" s="15">
        <f>IFERROR(H61/H444, "NA")</f>
        <v>0.51871791398611566</v>
      </c>
      <c r="J61" s="2"/>
      <c r="K61" s="14">
        <f>IFERROR(K46+K47+K48+K49+K50+K51+K52+K53+K54+K55+K56+K57+K58+K59+K60, "NA")</f>
        <v>21013.640000000003</v>
      </c>
      <c r="L61" s="15">
        <f>IFERROR(K61/K444, "NA")</f>
        <v>0.22946647203068751</v>
      </c>
      <c r="M61" s="2"/>
      <c r="N61" s="14">
        <f t="shared" si="13"/>
        <v>-15910.570000000003</v>
      </c>
      <c r="O61" s="15">
        <f>IFERROR(N61/N444, "NA")</f>
        <v>2.5374293301011885</v>
      </c>
      <c r="P61" s="2"/>
      <c r="Q61" s="14">
        <f>IFERROR(Q46+Q47+Q48+Q49+Q50+Q51+Q52+Q53+Q54+Q55+Q56+Q57+Q58+Q59+Q60, "NA")</f>
        <v>47168.06</v>
      </c>
      <c r="R61" s="15">
        <f>IFERROR(Q61/Q444, "NA")</f>
        <v>0.11490142808349763</v>
      </c>
      <c r="S61" s="2"/>
      <c r="T61" s="14">
        <f>IFERROR(T46+T47+T48+T49+T50+T51+T52+T53+T54+T55+T56+T57+T58+T59+T60, "NA")</f>
        <v>63522.75</v>
      </c>
      <c r="U61" s="15">
        <f>IFERROR(T61/T444, "NA")</f>
        <v>0.14700000715066683</v>
      </c>
      <c r="V61" s="2"/>
      <c r="W61" s="14">
        <f t="shared" si="14"/>
        <v>-16354.690000000002</v>
      </c>
      <c r="X61" s="15">
        <f>IFERROR(W61/W444, "NA")</f>
        <v>0.75650943492230127</v>
      </c>
      <c r="Y61" s="2"/>
      <c r="Z61" s="14">
        <f>IFERROR(Z46+Z47+Z48+Z49+Z50+Z51+Z52+Z53+Z54+Z55+Z56+Z57+Z58+Z59+Z60, "NA")</f>
        <v>71278.710000000006</v>
      </c>
      <c r="AA61" s="15">
        <f>IFERROR(Z61/Z444, "NA")</f>
        <v>0.18225515068053641</v>
      </c>
      <c r="AB61" s="2"/>
      <c r="AC61" s="14">
        <f t="shared" si="15"/>
        <v>-24110.650000000009</v>
      </c>
      <c r="AD61" s="15">
        <f>IFERROR(AC61/AC444, "NA")</f>
        <v>-1.2417973282763184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10704.769999999999</v>
      </c>
      <c r="C62" s="15">
        <f>IFERROR(B62/B444, "NA")</f>
        <v>0.12548711557828529</v>
      </c>
      <c r="D62" s="2"/>
      <c r="E62" s="14">
        <f>IFERROR(E42+E43+E44+E46+E47+E48+E49+E50+E51+E52+E53+E54+E55+E56+E57+E58+E59+E60, "NA")</f>
        <v>15480.94</v>
      </c>
      <c r="F62" s="15">
        <f>IFERROR(E62/E444, "NA")</f>
        <v>0.14700002373887242</v>
      </c>
      <c r="G62" s="2"/>
      <c r="H62" s="14">
        <f t="shared" si="12"/>
        <v>-4776.1700000000019</v>
      </c>
      <c r="I62" s="15">
        <f>IFERROR(H62/H444, "NA")</f>
        <v>0.23872769067670599</v>
      </c>
      <c r="J62" s="2"/>
      <c r="K62" s="14">
        <f>IFERROR(K42+K43+K44+K46+K47+K48+K49+K50+K51+K52+K53+K54+K55+K56+K57+K58+K59+K60, "NA")</f>
        <v>21013.640000000003</v>
      </c>
      <c r="L62" s="15">
        <f>IFERROR(K62/K444, "NA")</f>
        <v>0.22946647203068751</v>
      </c>
      <c r="M62" s="2"/>
      <c r="N62" s="14">
        <f t="shared" si="13"/>
        <v>-10308.870000000004</v>
      </c>
      <c r="O62" s="15">
        <f>IFERROR(N62/N444, "NA")</f>
        <v>1.6440661207109644</v>
      </c>
      <c r="P62" s="2"/>
      <c r="Q62" s="14">
        <f>IFERROR(Q42+Q43+Q44+Q46+Q47+Q48+Q49+Q50+Q51+Q52+Q53+Q54+Q55+Q56+Q57+Q58+Q59+Q60, "NA")</f>
        <v>75450.62000000001</v>
      </c>
      <c r="R62" s="15">
        <f>IFERROR(Q62/Q444, "NA")</f>
        <v>0.18379776458445204</v>
      </c>
      <c r="S62" s="2"/>
      <c r="T62" s="14">
        <f>IFERROR(T42+T43+T44+T46+T47+T48+T49+T50+T51+T52+T53+T54+T55+T56+T57+T58+T59+T60, "NA")</f>
        <v>63522.75</v>
      </c>
      <c r="U62" s="15">
        <f>IFERROR(T62/T444, "NA")</f>
        <v>0.14700000715066683</v>
      </c>
      <c r="V62" s="2"/>
      <c r="W62" s="14">
        <f t="shared" si="14"/>
        <v>11927.87000000001</v>
      </c>
      <c r="X62" s="15">
        <f>IFERROR(W62/W444, "NA")</f>
        <v>-0.55174058288641825</v>
      </c>
      <c r="Y62" s="2"/>
      <c r="Z62" s="14">
        <f>IFERROR(Z42+Z43+Z44+Z46+Z47+Z48+Z49+Z50+Z51+Z52+Z53+Z54+Z55+Z56+Z57+Z58+Z59+Z60, "NA")</f>
        <v>71278.710000000006</v>
      </c>
      <c r="AA62" s="15">
        <f>IFERROR(Z62/Z444, "NA")</f>
        <v>0.18225515068053641</v>
      </c>
      <c r="AB62" s="2"/>
      <c r="AC62" s="14">
        <f t="shared" si="15"/>
        <v>4171.9100000000035</v>
      </c>
      <c r="AD62" s="15">
        <f>IFERROR(AC62/AC444, "NA")</f>
        <v>0.2148704697637458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8552.24</v>
      </c>
      <c r="C65" s="8">
        <f>IFERROR(B65/B444, "NA")</f>
        <v>0.10025399231681155</v>
      </c>
      <c r="D65" s="9"/>
      <c r="E65" s="7">
        <v>0</v>
      </c>
      <c r="F65" s="8">
        <f>IFERROR(E65/E444, "NA")</f>
        <v>0</v>
      </c>
      <c r="G65" s="9"/>
      <c r="H65" s="10">
        <f t="shared" si="16"/>
        <v>8552.24</v>
      </c>
      <c r="I65" s="8">
        <f>IFERROR(H65/H444, "NA")</f>
        <v>-0.42746730231816521</v>
      </c>
      <c r="J65" s="9"/>
      <c r="K65" s="7">
        <v>0</v>
      </c>
      <c r="L65" s="8">
        <f>IFERROR(K65/K444, "NA")</f>
        <v>0</v>
      </c>
      <c r="M65" s="9"/>
      <c r="N65" s="10">
        <f t="shared" si="17"/>
        <v>8552.24</v>
      </c>
      <c r="O65" s="8">
        <f>IFERROR(N65/N444, "NA")</f>
        <v>-1.3639174846699134</v>
      </c>
      <c r="P65" s="9"/>
      <c r="Q65" s="7">
        <v>10630.63</v>
      </c>
      <c r="R65" s="8">
        <f>IFERROR(Q65/Q444, "NA")</f>
        <v>2.5896222325600678E-2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10630.63</v>
      </c>
      <c r="X65" s="8">
        <f>IFERROR(W65/W444, "NA")</f>
        <v>-0.49173490259785191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10630.63</v>
      </c>
      <c r="AD65" s="8">
        <f>IFERROR(AC65/AC444, "NA")</f>
        <v>0.54752103041162603</v>
      </c>
    </row>
    <row r="66" spans="1:30" ht="16.5" customHeight="1" x14ac:dyDescent="0.45">
      <c r="A66" s="12" t="s">
        <v>63</v>
      </c>
      <c r="B66" s="7">
        <v>2790.36</v>
      </c>
      <c r="C66" s="8">
        <f>IFERROR(B66/B444, "NA")</f>
        <v>3.2710112204654952E-2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2790.36</v>
      </c>
      <c r="I66" s="8">
        <f>IFERROR(H66/H444, "NA")</f>
        <v>-0.1394707891378768</v>
      </c>
      <c r="J66" s="9"/>
      <c r="K66" s="7">
        <v>0</v>
      </c>
      <c r="L66" s="8">
        <f>IFERROR(K66/K444, "NA")</f>
        <v>0</v>
      </c>
      <c r="M66" s="9"/>
      <c r="N66" s="10">
        <f t="shared" si="17"/>
        <v>2790.36</v>
      </c>
      <c r="O66" s="8">
        <f>IFERROR(N66/N444, "NA")</f>
        <v>-0.44500865182964228</v>
      </c>
      <c r="P66" s="9"/>
      <c r="Q66" s="7">
        <v>6091.68</v>
      </c>
      <c r="R66" s="8">
        <f>IFERROR(Q66/Q444, "NA")</f>
        <v>1.4839336861165817E-2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6091.68</v>
      </c>
      <c r="X66" s="8">
        <f>IFERROR(W66/W444, "NA")</f>
        <v>-0.28177931801382261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6091.68</v>
      </c>
      <c r="AD66" s="8">
        <f>IFERROR(AC66/AC444, "NA")</f>
        <v>0.31374649578979746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2177.6999999999998</v>
      </c>
      <c r="C68" s="8">
        <f>IFERROR(B68/B444, "NA")</f>
        <v>2.5528179642797733E-2</v>
      </c>
      <c r="D68" s="9"/>
      <c r="E68" s="7">
        <v>0</v>
      </c>
      <c r="F68" s="8">
        <f>IFERROR(E68/E444, "NA")</f>
        <v>0</v>
      </c>
      <c r="G68" s="9"/>
      <c r="H68" s="10">
        <f t="shared" si="16"/>
        <v>2177.6999999999998</v>
      </c>
      <c r="I68" s="8">
        <f>IFERROR(H68/H444, "NA")</f>
        <v>-0.10884815489956647</v>
      </c>
      <c r="J68" s="9"/>
      <c r="K68" s="7">
        <v>0</v>
      </c>
      <c r="L68" s="8">
        <f>IFERROR(K68/K444, "NA")</f>
        <v>0</v>
      </c>
      <c r="M68" s="9"/>
      <c r="N68" s="10">
        <f t="shared" si="17"/>
        <v>2177.6999999999998</v>
      </c>
      <c r="O68" s="8">
        <f>IFERROR(N68/N444, "NA")</f>
        <v>-0.34730118733404003</v>
      </c>
      <c r="P68" s="9"/>
      <c r="Q68" s="7">
        <v>2177.6999999999998</v>
      </c>
      <c r="R68" s="8">
        <f>IFERROR(Q68/Q444, "NA")</f>
        <v>5.3048787662124067E-3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2177.6999999999998</v>
      </c>
      <c r="X68" s="8">
        <f>IFERROR(W68/W444, "NA")</f>
        <v>-0.10073260920447255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2177.6999999999998</v>
      </c>
      <c r="AD68" s="8">
        <f>IFERROR(AC68/AC444, "NA")</f>
        <v>0.1121604785348938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13520.3</v>
      </c>
      <c r="C73" s="15">
        <f>IFERROR(B73/B444, "NA")</f>
        <v>0.15849228416426422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13520.3</v>
      </c>
      <c r="I73" s="15">
        <f>IFERROR(H73/H444, "NA")</f>
        <v>-0.67578624635560847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13520.3</v>
      </c>
      <c r="O73" s="15">
        <f>IFERROR(N73/N444, "NA")</f>
        <v>-2.1562273238335958</v>
      </c>
      <c r="P73" s="2"/>
      <c r="Q73" s="14">
        <f>IFERROR(Q64+Q65+Q66+Q67+Q68+Q69+Q70+Q71+Q72, "NA")</f>
        <v>18900.009999999998</v>
      </c>
      <c r="R73" s="15">
        <f>IFERROR(Q73/Q444, "NA")</f>
        <v>4.6040437952978901E-2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18900.009999999998</v>
      </c>
      <c r="X73" s="15">
        <f>IFERROR(W73/W444, "NA")</f>
        <v>-0.87424682981614699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18900.009999999998</v>
      </c>
      <c r="AD73" s="15">
        <f>IFERROR(AC73/AC444, "NA")</f>
        <v>0.9734280047363173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842.5</v>
      </c>
      <c r="F75" s="8">
        <f>IFERROR(E75/E444, "NA")</f>
        <v>8.0000000000000002E-3</v>
      </c>
      <c r="G75" s="9"/>
      <c r="H75" s="10">
        <f t="shared" ref="H75:H92" si="20">IFERROR(B75-E75, "NA")</f>
        <v>-842.5</v>
      </c>
      <c r="I75" s="8">
        <f>IFERROR(H75/H444, "NA")</f>
        <v>4.211074551264396E-2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3457.03</v>
      </c>
      <c r="U75" s="8">
        <f>IFERROR(T75/T444, "NA")</f>
        <v>8.0000225859250384E-3</v>
      </c>
      <c r="V75" s="9"/>
      <c r="W75" s="10">
        <f t="shared" ref="W75:W92" si="22">IFERROR(Q75-T75, "NA")</f>
        <v>-3457.03</v>
      </c>
      <c r="X75" s="8">
        <f>IFERROR(W75/W444, "NA")</f>
        <v>0.15990983698311881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343.08</v>
      </c>
      <c r="C77" s="8">
        <f>IFERROR(B77/B444, "NA")</f>
        <v>4.0217696982371527E-3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343.08</v>
      </c>
      <c r="I77" s="8">
        <f>IFERROR(H77/H444, "NA")</f>
        <v>-1.7148195335878802E-2</v>
      </c>
      <c r="J77" s="9"/>
      <c r="K77" s="7">
        <v>74.75</v>
      </c>
      <c r="L77" s="8">
        <f>IFERROR(K77/K444, "NA")</f>
        <v>8.1626118960322384E-4</v>
      </c>
      <c r="M77" s="9"/>
      <c r="N77" s="10">
        <f t="shared" si="21"/>
        <v>268.33</v>
      </c>
      <c r="O77" s="8">
        <f>IFERROR(N77/N444, "NA")</f>
        <v>-4.2793464479654202E-2</v>
      </c>
      <c r="P77" s="9"/>
      <c r="Q77" s="7">
        <v>1014.9</v>
      </c>
      <c r="R77" s="8">
        <f>IFERROR(Q77/Q444, "NA")</f>
        <v>2.4722971299210045E-3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1014.9</v>
      </c>
      <c r="X77" s="8">
        <f>IFERROR(W77/W444, "NA")</f>
        <v>-4.6945642228782294E-2</v>
      </c>
      <c r="Y77" s="9"/>
      <c r="Z77" s="7">
        <v>337.87</v>
      </c>
      <c r="AA77" s="8">
        <f>IFERROR(Z77/Z444, "NA")</f>
        <v>8.6391220829379247E-4</v>
      </c>
      <c r="AB77" s="9"/>
      <c r="AC77" s="10">
        <f t="shared" si="23"/>
        <v>677.03</v>
      </c>
      <c r="AD77" s="8">
        <f>IFERROR(AC77/AC444, "NA")</f>
        <v>3.4869820812085756E-2</v>
      </c>
    </row>
    <row r="78" spans="1:30" ht="16.5" customHeight="1" x14ac:dyDescent="0.45">
      <c r="A78" s="12" t="s">
        <v>74</v>
      </c>
      <c r="B78" s="7">
        <v>50</v>
      </c>
      <c r="C78" s="8">
        <f>IFERROR(B78/B444, "NA")</f>
        <v>5.8612709837897172E-4</v>
      </c>
      <c r="D78" s="9"/>
      <c r="E78" s="7">
        <v>0</v>
      </c>
      <c r="F78" s="8">
        <f>IFERROR(E78/E444, "NA")</f>
        <v>0</v>
      </c>
      <c r="G78" s="9"/>
      <c r="H78" s="10">
        <f t="shared" si="20"/>
        <v>50</v>
      </c>
      <c r="I78" s="8">
        <f>IFERROR(H78/H444, "NA")</f>
        <v>-2.4991540363586921E-3</v>
      </c>
      <c r="J78" s="9"/>
      <c r="K78" s="7">
        <v>0</v>
      </c>
      <c r="L78" s="8">
        <f>IFERROR(K78/K444, "NA")</f>
        <v>0</v>
      </c>
      <c r="M78" s="9"/>
      <c r="N78" s="10">
        <f t="shared" si="21"/>
        <v>50</v>
      </c>
      <c r="O78" s="8">
        <f>IFERROR(N78/N444, "NA")</f>
        <v>-7.974036537035406E-3</v>
      </c>
      <c r="P78" s="9"/>
      <c r="Q78" s="7">
        <v>275</v>
      </c>
      <c r="R78" s="8">
        <f>IFERROR(Q78/Q444, "NA")</f>
        <v>6.6990019778133446E-4</v>
      </c>
      <c r="S78" s="9"/>
      <c r="T78" s="7">
        <v>0</v>
      </c>
      <c r="U78" s="8">
        <f>IFERROR(T78/T444, "NA")</f>
        <v>0</v>
      </c>
      <c r="V78" s="9"/>
      <c r="W78" s="10">
        <f t="shared" si="22"/>
        <v>275</v>
      </c>
      <c r="X78" s="8">
        <f>IFERROR(W78/W444, "NA")</f>
        <v>-1.2720515925623344E-2</v>
      </c>
      <c r="Y78" s="9"/>
      <c r="Z78" s="7">
        <v>200</v>
      </c>
      <c r="AA78" s="8">
        <f>IFERROR(Z78/Z444, "NA")</f>
        <v>5.1138734323484915E-4</v>
      </c>
      <c r="AB78" s="9"/>
      <c r="AC78" s="10">
        <f t="shared" si="23"/>
        <v>75</v>
      </c>
      <c r="AD78" s="8">
        <f>IFERROR(AC78/AC444, "NA")</f>
        <v>3.8628074987909428E-3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8.9700000000000006</v>
      </c>
      <c r="L79" s="8">
        <f>IFERROR(K79/K444, "NA")</f>
        <v>9.7951342752386868E-5</v>
      </c>
      <c r="M79" s="9"/>
      <c r="N79" s="10">
        <f t="shared" si="21"/>
        <v>-8.9700000000000006</v>
      </c>
      <c r="O79" s="8">
        <f>IFERROR(N79/N444, "NA")</f>
        <v>1.4305421547441519E-3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38.869999999999997</v>
      </c>
      <c r="AA79" s="8">
        <f>IFERROR(Z79/Z444, "NA")</f>
        <v>9.9388130157692937E-5</v>
      </c>
      <c r="AB79" s="9"/>
      <c r="AC79" s="10">
        <f t="shared" si="23"/>
        <v>-38.869999999999997</v>
      </c>
      <c r="AD79" s="8">
        <f>IFERROR(AC79/AC444, "NA")</f>
        <v>-2.0019643663733858E-3</v>
      </c>
    </row>
    <row r="80" spans="1:30" ht="16.5" customHeight="1" x14ac:dyDescent="0.45">
      <c r="A80" s="12" t="s">
        <v>76</v>
      </c>
      <c r="B80" s="7">
        <v>257.87</v>
      </c>
      <c r="C80" s="8">
        <f>IFERROR(B80/B444, "NA")</f>
        <v>3.0228918971797092E-3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257.87</v>
      </c>
      <c r="I80" s="8">
        <f>IFERROR(H80/H444, "NA")</f>
        <v>-1.2889137027116318E-2</v>
      </c>
      <c r="J80" s="9"/>
      <c r="K80" s="7">
        <v>1265.18</v>
      </c>
      <c r="L80" s="8">
        <f>IFERROR(K80/K444, "NA")</f>
        <v>1.3815616479761964E-2</v>
      </c>
      <c r="M80" s="9"/>
      <c r="N80" s="10">
        <f t="shared" si="21"/>
        <v>-1007.3100000000001</v>
      </c>
      <c r="O80" s="8">
        <f>IFERROR(N80/N444, "NA")</f>
        <v>0.1606465348824227</v>
      </c>
      <c r="P80" s="9"/>
      <c r="Q80" s="7">
        <v>2792.04</v>
      </c>
      <c r="R80" s="8">
        <f>IFERROR(Q80/Q444, "NA")</f>
        <v>6.8014114480487164E-3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2792.04</v>
      </c>
      <c r="X80" s="8">
        <f>IFERROR(W80/W444, "NA")</f>
        <v>-0.12914977921809964</v>
      </c>
      <c r="Y80" s="9"/>
      <c r="Z80" s="7">
        <v>2593.27</v>
      </c>
      <c r="AA80" s="8">
        <f>IFERROR(Z80/Z444, "NA")</f>
        <v>6.6308272779531871E-3</v>
      </c>
      <c r="AB80" s="9"/>
      <c r="AC80" s="10">
        <f t="shared" si="23"/>
        <v>198.76999999999998</v>
      </c>
      <c r="AD80" s="8">
        <f>IFERROR(AC80/AC444, "NA")</f>
        <v>1.0237469953795675E-2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25</v>
      </c>
      <c r="L82" s="8">
        <f>IFERROR(K82/K444, "NA")</f>
        <v>2.7299705337900464E-4</v>
      </c>
      <c r="M82" s="9"/>
      <c r="N82" s="10">
        <f t="shared" si="21"/>
        <v>-25</v>
      </c>
      <c r="O82" s="8">
        <f>IFERROR(N82/N444, "NA")</f>
        <v>3.987018268517703E-3</v>
      </c>
      <c r="P82" s="9"/>
      <c r="Q82" s="7">
        <v>25</v>
      </c>
      <c r="R82" s="8">
        <f>IFERROR(Q82/Q444, "NA")</f>
        <v>6.0900017980121315E-5</v>
      </c>
      <c r="S82" s="9"/>
      <c r="T82" s="7">
        <v>0</v>
      </c>
      <c r="U82" s="8">
        <f>IFERROR(T82/T444, "NA")</f>
        <v>0</v>
      </c>
      <c r="V82" s="9"/>
      <c r="W82" s="10">
        <f t="shared" si="22"/>
        <v>25</v>
      </c>
      <c r="X82" s="8">
        <f>IFERROR(W82/W444, "NA")</f>
        <v>-1.1564105386930312E-3</v>
      </c>
      <c r="Y82" s="9"/>
      <c r="Z82" s="7">
        <v>50</v>
      </c>
      <c r="AA82" s="8">
        <f>IFERROR(Z82/Z444, "NA")</f>
        <v>1.2784683580871229E-4</v>
      </c>
      <c r="AB82" s="9"/>
      <c r="AC82" s="10">
        <f t="shared" si="23"/>
        <v>-25</v>
      </c>
      <c r="AD82" s="8">
        <f>IFERROR(AC82/AC444, "NA")</f>
        <v>-1.2876024995969809E-3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30</v>
      </c>
      <c r="AA85" s="8">
        <f>IFERROR(Z85/Z444, "NA")</f>
        <v>7.6708101485227379E-5</v>
      </c>
      <c r="AB85" s="9"/>
      <c r="AC85" s="10">
        <f t="shared" si="23"/>
        <v>-30</v>
      </c>
      <c r="AD85" s="8">
        <f>IFERROR(AC85/AC444, "NA")</f>
        <v>-1.5451229995163771E-3</v>
      </c>
    </row>
    <row r="86" spans="1:30" ht="16.5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175</v>
      </c>
      <c r="L86" s="8">
        <f>IFERROR(K86/K444, "NA")</f>
        <v>1.9109793736530325E-3</v>
      </c>
      <c r="M86" s="9"/>
      <c r="N86" s="10">
        <f t="shared" si="21"/>
        <v>-175</v>
      </c>
      <c r="O86" s="8">
        <f>IFERROR(N86/N444, "NA")</f>
        <v>2.7909127879623918E-2</v>
      </c>
      <c r="P86" s="9"/>
      <c r="Q86" s="7">
        <v>50</v>
      </c>
      <c r="R86" s="8">
        <f>IFERROR(Q86/Q444, "NA")</f>
        <v>1.2180003596024263E-4</v>
      </c>
      <c r="S86" s="9"/>
      <c r="T86" s="7">
        <v>0</v>
      </c>
      <c r="U86" s="8">
        <f>IFERROR(T86/T444, "NA")</f>
        <v>0</v>
      </c>
      <c r="V86" s="9"/>
      <c r="W86" s="10">
        <f t="shared" si="22"/>
        <v>50</v>
      </c>
      <c r="X86" s="8">
        <f>IFERROR(W86/W444, "NA")</f>
        <v>-2.3128210773860625E-3</v>
      </c>
      <c r="Y86" s="9"/>
      <c r="Z86" s="7">
        <v>820</v>
      </c>
      <c r="AA86" s="8">
        <f>IFERROR(Z86/Z444, "NA")</f>
        <v>2.0966881072628815E-3</v>
      </c>
      <c r="AB86" s="9"/>
      <c r="AC86" s="10">
        <f t="shared" si="23"/>
        <v>-770</v>
      </c>
      <c r="AD86" s="8">
        <f>IFERROR(AC86/AC444, "NA")</f>
        <v>-3.9658156987587012E-2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650.95000000000005</v>
      </c>
      <c r="C88" s="15">
        <f>IFERROR(B88/B444, "NA")</f>
        <v>7.6307886937958336E-3</v>
      </c>
      <c r="D88" s="2"/>
      <c r="E88" s="14">
        <f>IFERROR(E75+E76+E77+E78+E79+E80+E81+E82+E83+E84+E85+E86+E87, "NA")</f>
        <v>842.5</v>
      </c>
      <c r="F88" s="15">
        <f>IFERROR(E88/E444, "NA")</f>
        <v>8.0000000000000002E-3</v>
      </c>
      <c r="G88" s="2"/>
      <c r="H88" s="14">
        <f t="shared" si="20"/>
        <v>-191.54999999999995</v>
      </c>
      <c r="I88" s="15">
        <f>IFERROR(H88/H444, "NA")</f>
        <v>9.5742591132901463E-3</v>
      </c>
      <c r="J88" s="2"/>
      <c r="K88" s="14">
        <f>IFERROR(K75+K76+K77+K78+K79+K80+K81+K82+K83+K84+K85+K86+K87, "NA")</f>
        <v>1548.9</v>
      </c>
      <c r="L88" s="15">
        <f>IFERROR(K88/K444, "NA")</f>
        <v>1.6913805439149613E-2</v>
      </c>
      <c r="M88" s="2"/>
      <c r="N88" s="14">
        <f t="shared" si="21"/>
        <v>-897.95</v>
      </c>
      <c r="O88" s="15">
        <f>IFERROR(N88/N444, "NA")</f>
        <v>0.14320572216861885</v>
      </c>
      <c r="P88" s="2"/>
      <c r="Q88" s="14">
        <f>IFERROR(Q75+Q76+Q77+Q78+Q79+Q80+Q81+Q82+Q83+Q84+Q85+Q86+Q87, "NA")</f>
        <v>4156.9400000000005</v>
      </c>
      <c r="R88" s="15">
        <f>IFERROR(Q88/Q444, "NA")</f>
        <v>1.012630882969142E-2</v>
      </c>
      <c r="S88" s="2"/>
      <c r="T88" s="14">
        <f>IFERROR(T75+T76+T77+T78+T79+T80+T81+T82+T83+T84+T85+T86+T87, "NA")</f>
        <v>3457.03</v>
      </c>
      <c r="U88" s="15">
        <f>IFERROR(T88/T444, "NA")</f>
        <v>8.0000225859250384E-3</v>
      </c>
      <c r="V88" s="2"/>
      <c r="W88" s="14">
        <f t="shared" si="22"/>
        <v>699.91000000000031</v>
      </c>
      <c r="X88" s="15">
        <f>IFERROR(W88/W444, "NA")</f>
        <v>-3.2375332005465593E-2</v>
      </c>
      <c r="Y88" s="2"/>
      <c r="Z88" s="14">
        <f>IFERROR(Z75+Z76+Z77+Z78+Z79+Z80+Z81+Z82+Z83+Z84+Z85+Z86+Z87, "NA")</f>
        <v>4070.01</v>
      </c>
      <c r="AA88" s="15">
        <f>IFERROR(Z88/Z444, "NA")</f>
        <v>1.0406758004196343E-2</v>
      </c>
      <c r="AB88" s="2"/>
      <c r="AC88" s="14">
        <f t="shared" si="23"/>
        <v>86.930000000000291</v>
      </c>
      <c r="AD88" s="15">
        <f>IFERROR(AC88/AC444, "NA")</f>
        <v>4.4772514115986369E-3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-889.24</v>
      </c>
      <c r="L89" s="8">
        <f>IFERROR(K89/K444, "NA")</f>
        <v>-9.7103959898698442E-3</v>
      </c>
      <c r="M89" s="9"/>
      <c r="N89" s="10">
        <f t="shared" si="21"/>
        <v>889.24</v>
      </c>
      <c r="O89" s="8">
        <f>IFERROR(N89/N444, "NA")</f>
        <v>-0.14181664500386729</v>
      </c>
      <c r="P89" s="9"/>
      <c r="Q89" s="7">
        <v>-368.51</v>
      </c>
      <c r="R89" s="8">
        <f>IFERROR(Q89/Q444, "NA")</f>
        <v>-8.9769062503418015E-4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-368.51</v>
      </c>
      <c r="X89" s="8">
        <f>IFERROR(W89/W444, "NA")</f>
        <v>1.7045953904550756E-2</v>
      </c>
      <c r="Y89" s="9"/>
      <c r="Z89" s="7">
        <v>-1801.82</v>
      </c>
      <c r="AA89" s="8">
        <f>IFERROR(Z89/Z444, "NA")</f>
        <v>-4.6071397139370793E-3</v>
      </c>
      <c r="AB89" s="9"/>
      <c r="AC89" s="10">
        <f t="shared" si="23"/>
        <v>1433.31</v>
      </c>
      <c r="AD89" s="8">
        <f>IFERROR(AC89/AC444, "NA")</f>
        <v>7.3821341547893937E-2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-4212.5</v>
      </c>
      <c r="F94" s="8">
        <f>IFERROR(E94/E444, "NA")</f>
        <v>-0.04</v>
      </c>
      <c r="G94" s="9"/>
      <c r="H94" s="10">
        <f t="shared" ref="H94:H124" si="24">IFERROR(B94-E94, "NA")</f>
        <v>4212.5</v>
      </c>
      <c r="I94" s="8">
        <f>IFERROR(H94/H444, "NA")</f>
        <v>-0.2105537275632198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-17285.11</v>
      </c>
      <c r="U94" s="8">
        <f>IFERROR(T94/T444, "NA")</f>
        <v>-4.0000020364358638E-2</v>
      </c>
      <c r="V94" s="9"/>
      <c r="W94" s="10">
        <f t="shared" ref="W94:W124" si="26">IFERROR(Q94-T94, "NA")</f>
        <v>17285.11</v>
      </c>
      <c r="X94" s="8">
        <f>IFERROR(W94/W444, "NA")</f>
        <v>-0.79954733465873207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-819.2</v>
      </c>
      <c r="C96" s="8">
        <f>IFERROR(B96/B444, "NA")</f>
        <v>-9.6031063798410737E-3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-819.2</v>
      </c>
      <c r="I96" s="8">
        <f>IFERROR(H96/H444, "NA")</f>
        <v>4.0946139731700811E-2</v>
      </c>
      <c r="J96" s="9"/>
      <c r="K96" s="7">
        <v>-591.03</v>
      </c>
      <c r="L96" s="8">
        <f>IFERROR(K96/K444, "NA")</f>
        <v>-6.4539779383437244E-3</v>
      </c>
      <c r="M96" s="9"/>
      <c r="N96" s="10">
        <f t="shared" si="25"/>
        <v>-228.17000000000007</v>
      </c>
      <c r="O96" s="8">
        <f>IFERROR(N96/N444, "NA")</f>
        <v>3.6388718333107382E-2</v>
      </c>
      <c r="P96" s="9"/>
      <c r="Q96" s="7">
        <v>-6051.89</v>
      </c>
      <c r="R96" s="8">
        <f>IFERROR(Q96/Q444, "NA")</f>
        <v>-1.4742408392548655E-2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-6051.89</v>
      </c>
      <c r="X96" s="8">
        <f>IFERROR(W96/W444, "NA")</f>
        <v>0.27993877500043873</v>
      </c>
      <c r="Y96" s="9"/>
      <c r="Z96" s="7">
        <v>-5543.43</v>
      </c>
      <c r="AA96" s="8">
        <f>IFERROR(Z96/Z444, "NA")</f>
        <v>-1.4174199700541802E-2</v>
      </c>
      <c r="AB96" s="9"/>
      <c r="AC96" s="10">
        <f t="shared" si="27"/>
        <v>-508.46000000000004</v>
      </c>
      <c r="AD96" s="8">
        <f>IFERROR(AC96/AC444, "NA")</f>
        <v>-2.6187774677803238E-2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-1699.86</v>
      </c>
      <c r="C98" s="8">
        <f>IFERROR(B98/B444, "NA")</f>
        <v>-1.9926680189009578E-2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-1699.86</v>
      </c>
      <c r="I98" s="8">
        <f>IFERROR(H98/H444, "NA")</f>
        <v>8.4964239604893715E-2</v>
      </c>
      <c r="J98" s="9"/>
      <c r="K98" s="7">
        <v>-1826.84</v>
      </c>
      <c r="L98" s="8">
        <f>IFERROR(K98/K444, "NA")</f>
        <v>-1.9948877479796033E-2</v>
      </c>
      <c r="M98" s="9"/>
      <c r="N98" s="10">
        <f t="shared" si="25"/>
        <v>126.98000000000002</v>
      </c>
      <c r="O98" s="8">
        <f>IFERROR(N98/N444, "NA")</f>
        <v>-2.0250863189455119E-2</v>
      </c>
      <c r="P98" s="9"/>
      <c r="Q98" s="7">
        <v>-8715.4500000000007</v>
      </c>
      <c r="R98" s="8">
        <f>IFERROR(Q98/Q444, "NA")</f>
        <v>-2.1230842468193935E-2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-8715.4500000000007</v>
      </c>
      <c r="X98" s="8">
        <f>IFERROR(W98/W444, "NA")</f>
        <v>0.40314552917808716</v>
      </c>
      <c r="Y98" s="9"/>
      <c r="Z98" s="7">
        <v>-8455.23</v>
      </c>
      <c r="AA98" s="8">
        <f>IFERROR(Z98/Z444, "NA")</f>
        <v>-2.1619488030697968E-2</v>
      </c>
      <c r="AB98" s="9"/>
      <c r="AC98" s="10">
        <f t="shared" si="27"/>
        <v>-260.22000000000116</v>
      </c>
      <c r="AD98" s="8">
        <f>IFERROR(AC98/AC444, "NA")</f>
        <v>-1.3402396897805114E-2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0</v>
      </c>
      <c r="C100" s="8">
        <f>IFERROR(B100/B444, "NA")</f>
        <v>0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0</v>
      </c>
      <c r="I100" s="8">
        <f>IFERROR(H100/H444, "NA")</f>
        <v>0</v>
      </c>
      <c r="J100" s="9"/>
      <c r="K100" s="7">
        <v>0</v>
      </c>
      <c r="L100" s="8">
        <f>IFERROR(K100/K444, "NA")</f>
        <v>0</v>
      </c>
      <c r="M100" s="9"/>
      <c r="N100" s="10">
        <f t="shared" si="25"/>
        <v>0</v>
      </c>
      <c r="O100" s="8">
        <f>IFERROR(N100/N444, "NA")</f>
        <v>0</v>
      </c>
      <c r="P100" s="9"/>
      <c r="Q100" s="7">
        <v>-1296.1500000000001</v>
      </c>
      <c r="R100" s="8">
        <f>IFERROR(Q100/Q444, "NA")</f>
        <v>-3.1574223321973699E-3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-1296.1500000000001</v>
      </c>
      <c r="X100" s="8">
        <f>IFERROR(W100/W444, "NA")</f>
        <v>5.9955260789078903E-2</v>
      </c>
      <c r="Y100" s="9"/>
      <c r="Z100" s="7">
        <v>-158.97</v>
      </c>
      <c r="AA100" s="8">
        <f>IFERROR(Z100/Z444, "NA")</f>
        <v>-4.064762297702199E-4</v>
      </c>
      <c r="AB100" s="9"/>
      <c r="AC100" s="10">
        <f t="shared" si="27"/>
        <v>-1137.18</v>
      </c>
      <c r="AD100" s="8">
        <f>IFERROR(AC100/AC444, "NA")</f>
        <v>-5.8569432419667791E-2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-583.95000000000005</v>
      </c>
      <c r="C102" s="8">
        <f>IFERROR(B102/B444, "NA")</f>
        <v>-6.845378381968012E-3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-583.95000000000005</v>
      </c>
      <c r="I102" s="8">
        <f>IFERROR(H102/H444, "NA")</f>
        <v>2.9187619990633167E-2</v>
      </c>
      <c r="J102" s="9"/>
      <c r="K102" s="7">
        <v>-156.65</v>
      </c>
      <c r="L102" s="8">
        <f>IFERROR(K102/K444, "NA")</f>
        <v>-1.7105995364728431E-3</v>
      </c>
      <c r="M102" s="9"/>
      <c r="N102" s="10">
        <f t="shared" si="25"/>
        <v>-427.30000000000007</v>
      </c>
      <c r="O102" s="8">
        <f>IFERROR(N102/N444, "NA")</f>
        <v>6.8146116245504582E-2</v>
      </c>
      <c r="P102" s="9"/>
      <c r="Q102" s="7">
        <v>-4512.33</v>
      </c>
      <c r="R102" s="8">
        <f>IFERROR(Q102/Q444, "NA")</f>
        <v>-1.0992039125289631E-2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-4512.33</v>
      </c>
      <c r="X102" s="8">
        <f>IFERROR(W102/W444, "NA")</f>
        <v>0.20872423864242901</v>
      </c>
      <c r="Y102" s="9"/>
      <c r="Z102" s="7">
        <v>-735.72</v>
      </c>
      <c r="AA102" s="8">
        <f>IFERROR(Z102/Z444, "NA")</f>
        <v>-1.8811894808237163E-3</v>
      </c>
      <c r="AB102" s="9"/>
      <c r="AC102" s="10">
        <f t="shared" si="27"/>
        <v>-3776.6099999999997</v>
      </c>
      <c r="AD102" s="8">
        <f>IFERROR(AC102/AC444, "NA")</f>
        <v>-0.19451089904011815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-342.33</v>
      </c>
      <c r="C104" s="8">
        <f>IFERROR(B104/B444, "NA")</f>
        <v>-4.0129777917614681E-3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-342.33</v>
      </c>
      <c r="I104" s="8">
        <f>IFERROR(H104/H444, "NA")</f>
        <v>1.7110708025333422E-2</v>
      </c>
      <c r="J104" s="9"/>
      <c r="K104" s="7">
        <v>-383.02</v>
      </c>
      <c r="L104" s="8">
        <f>IFERROR(K104/K444, "NA")</f>
        <v>-4.1825332554090537E-3</v>
      </c>
      <c r="M104" s="9"/>
      <c r="N104" s="10">
        <f t="shared" si="25"/>
        <v>40.69</v>
      </c>
      <c r="O104" s="8">
        <f>IFERROR(N104/N444, "NA")</f>
        <v>-6.4892709338394122E-3</v>
      </c>
      <c r="P104" s="9"/>
      <c r="Q104" s="7">
        <v>-2298.98</v>
      </c>
      <c r="R104" s="8">
        <f>IFERROR(Q104/Q444, "NA")</f>
        <v>-5.6003169334375722E-3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-2298.98</v>
      </c>
      <c r="X104" s="8">
        <f>IFERROR(W104/W444, "NA")</f>
        <v>0.10634258800978019</v>
      </c>
      <c r="Y104" s="9"/>
      <c r="Z104" s="7">
        <v>-1730.86</v>
      </c>
      <c r="AA104" s="8">
        <f>IFERROR(Z104/Z444, "NA")</f>
        <v>-4.4256994845573551E-3</v>
      </c>
      <c r="AB104" s="9"/>
      <c r="AC104" s="10">
        <f t="shared" si="27"/>
        <v>-568.12000000000012</v>
      </c>
      <c r="AD104" s="8">
        <f>IFERROR(AC104/AC444, "NA")</f>
        <v>-2.9260509282841476E-2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-532.22</v>
      </c>
      <c r="C106" s="8">
        <f>IFERROR(B106/B444, "NA")</f>
        <v>-6.2389712859851273E-3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-532.22</v>
      </c>
      <c r="I106" s="8">
        <f>IFERROR(H106/H444, "NA")</f>
        <v>2.6601995224616464E-2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-532.22</v>
      </c>
      <c r="O106" s="8">
        <f>IFERROR(N106/N444, "NA")</f>
        <v>8.4878834514819673E-2</v>
      </c>
      <c r="P106" s="9"/>
      <c r="Q106" s="7">
        <v>-768.09</v>
      </c>
      <c r="R106" s="8">
        <f>IFERROR(Q106/Q444, "NA")</f>
        <v>-1.8710677924140553E-3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-768.09</v>
      </c>
      <c r="X106" s="8">
        <f>IFERROR(W106/W444, "NA")</f>
        <v>3.5529094826589218E-2</v>
      </c>
      <c r="Y106" s="9"/>
      <c r="Z106" s="7">
        <v>-5623.68</v>
      </c>
      <c r="AA106" s="8">
        <f>IFERROR(Z106/Z444, "NA")</f>
        <v>-1.4379393872014784E-2</v>
      </c>
      <c r="AB106" s="9"/>
      <c r="AC106" s="10">
        <f t="shared" si="27"/>
        <v>4855.59</v>
      </c>
      <c r="AD106" s="8">
        <f>IFERROR(AC106/AC444, "NA")</f>
        <v>0.25008279284072421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-31.39</v>
      </c>
      <c r="L108" s="8">
        <f>IFERROR(K108/K444, "NA")</f>
        <v>-3.4277510022267822E-4</v>
      </c>
      <c r="M108" s="9"/>
      <c r="N108" s="10">
        <f t="shared" si="25"/>
        <v>31.39</v>
      </c>
      <c r="O108" s="8">
        <f>IFERROR(N108/N444, "NA")</f>
        <v>-5.0061001379508273E-3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-116.14</v>
      </c>
      <c r="AA108" s="8">
        <f>IFERROR(Z108/Z444, "NA")</f>
        <v>-2.9696263021647694E-4</v>
      </c>
      <c r="AB108" s="9"/>
      <c r="AC108" s="10">
        <f t="shared" si="27"/>
        <v>116.14</v>
      </c>
      <c r="AD108" s="8">
        <f>IFERROR(AC108/AC444, "NA")</f>
        <v>5.9816861721277348E-3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-3977.5600000000004</v>
      </c>
      <c r="C118" s="15">
        <f>IFERROR(B118/B444, "NA")</f>
        <v>-4.6627114028565265E-2</v>
      </c>
      <c r="D118" s="2"/>
      <c r="E118" s="14">
        <f>IFERROR(E94+E95+E96+E97+E98+E99+E100+E101+E102+E103+E104+E105+E106+E107+E108+E109+E110+E111+E112+E113+E114+E115+E116+E117, "NA")</f>
        <v>-4212.5</v>
      </c>
      <c r="F118" s="15">
        <f>IFERROR(E118/E444, "NA")</f>
        <v>-0.04</v>
      </c>
      <c r="G118" s="2"/>
      <c r="H118" s="14">
        <f t="shared" si="24"/>
        <v>234.9399999999996</v>
      </c>
      <c r="I118" s="15">
        <f>IFERROR(H118/H444, "NA")</f>
        <v>-1.1743024986042202E-2</v>
      </c>
      <c r="J118" s="2"/>
      <c r="K118" s="14">
        <f>IFERROR(K94+K95+K96+K97+K98+K99+K100+K101+K102+K103+K104+K105+K106+K107+K108+K109+K110+K111+K112+K113+K114+K115+K116+K117, "NA")</f>
        <v>-2988.93</v>
      </c>
      <c r="L118" s="15">
        <f>IFERROR(K118/K444, "NA")</f>
        <v>-3.2638763310244331E-2</v>
      </c>
      <c r="M118" s="2"/>
      <c r="N118" s="14">
        <f t="shared" si="25"/>
        <v>-988.63000000000056</v>
      </c>
      <c r="O118" s="15">
        <f>IFERROR(N118/N444, "NA")</f>
        <v>0.15766743483218634</v>
      </c>
      <c r="P118" s="2"/>
      <c r="Q118" s="14">
        <f>IFERROR(Q94+Q95+Q96+Q97+Q98+Q99+Q100+Q101+Q102+Q103+Q104+Q105+Q106+Q107+Q108+Q109+Q110+Q111+Q112+Q113+Q114+Q115+Q116+Q117, "NA")</f>
        <v>-23642.89</v>
      </c>
      <c r="R118" s="15">
        <f>IFERROR(Q118/Q444, "NA")</f>
        <v>-5.7594097044081215E-2</v>
      </c>
      <c r="S118" s="2"/>
      <c r="T118" s="14">
        <f>IFERROR(T94+T95+T96+T97+T98+T99+T100+T101+T102+T103+T104+T105+T106+T107+T108+T109+T110+T111+T112+T113+T114+T115+T116+T117, "NA")</f>
        <v>-17285.11</v>
      </c>
      <c r="U118" s="15">
        <f>IFERROR(T118/T444, "NA")</f>
        <v>-4.0000020364358638E-2</v>
      </c>
      <c r="V118" s="2"/>
      <c r="W118" s="14">
        <f t="shared" si="26"/>
        <v>-6357.7799999999988</v>
      </c>
      <c r="X118" s="15">
        <f>IFERROR(W118/W444, "NA")</f>
        <v>0.29408815178767111</v>
      </c>
      <c r="Y118" s="2"/>
      <c r="Z118" s="14">
        <f>IFERROR(Z94+Z95+Z96+Z97+Z98+Z99+Z100+Z101+Z102+Z103+Z104+Z105+Z106+Z107+Z108+Z109+Z110+Z111+Z112+Z113+Z114+Z115+Z116+Z117, "NA")</f>
        <v>-22364.03</v>
      </c>
      <c r="AA118" s="15">
        <f>IFERROR(Z118/Z444, "NA")</f>
        <v>-5.7183409428622316E-2</v>
      </c>
      <c r="AB118" s="2"/>
      <c r="AC118" s="14">
        <f t="shared" si="27"/>
        <v>-1278.8600000000006</v>
      </c>
      <c r="AD118" s="15">
        <f>IFERROR(AC118/AC444, "NA")</f>
        <v>-6.5866533305383834E-2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85305.73000000001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105312.5</v>
      </c>
      <c r="F122" s="15">
        <f>IFERROR(E122/E444, "NA")</f>
        <v>1</v>
      </c>
      <c r="G122" s="2"/>
      <c r="H122" s="14">
        <f t="shared" si="24"/>
        <v>-20006.76999999999</v>
      </c>
      <c r="I122" s="15">
        <f>IFERROR(H122/H444, "NA")</f>
        <v>0.99999999999999922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91576.08</v>
      </c>
      <c r="L122" s="15">
        <f>IFERROR(K122/K444, "NA")</f>
        <v>1</v>
      </c>
      <c r="M122" s="2"/>
      <c r="N122" s="14">
        <f t="shared" si="25"/>
        <v>-6270.3499999999913</v>
      </c>
      <c r="O122" s="15">
        <f>IFERROR(N122/N444, "NA")</f>
        <v>0.99999999999999767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410508.90999999986</v>
      </c>
      <c r="R122" s="15">
        <f>IFERROR(Q122/Q444, "NA")</f>
        <v>0.99999999999999967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432127.53</v>
      </c>
      <c r="U122" s="15">
        <f>IFERROR(T122/T444, "NA")</f>
        <v>1</v>
      </c>
      <c r="V122" s="2"/>
      <c r="W122" s="14">
        <f t="shared" si="26"/>
        <v>-21618.62000000017</v>
      </c>
      <c r="X122" s="15">
        <f>IFERROR(W122/W444, "NA")</f>
        <v>1.0000000000000053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391092.9800000001</v>
      </c>
      <c r="AA122" s="15">
        <f>IFERROR(Z122/Z444, "NA")</f>
        <v>1.0000000000000002</v>
      </c>
      <c r="AB122" s="2"/>
      <c r="AC122" s="14">
        <f t="shared" si="27"/>
        <v>19415.92999999976</v>
      </c>
      <c r="AD122" s="15">
        <f>IFERROR(AC122/AC444, "NA")</f>
        <v>0.99999999999998801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85305.73000000001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105312.5</v>
      </c>
      <c r="F124" s="15">
        <f>IFERROR(E124/E444, "NA")</f>
        <v>1</v>
      </c>
      <c r="G124" s="2"/>
      <c r="H124" s="14">
        <f t="shared" si="24"/>
        <v>-20006.76999999999</v>
      </c>
      <c r="I124" s="15">
        <f>IFERROR(H124/H444, "NA")</f>
        <v>0.99999999999999922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91576.08</v>
      </c>
      <c r="L124" s="15">
        <f>IFERROR(K124/K444, "NA")</f>
        <v>1</v>
      </c>
      <c r="M124" s="2"/>
      <c r="N124" s="14">
        <f t="shared" si="25"/>
        <v>-6270.3499999999913</v>
      </c>
      <c r="O124" s="15">
        <f>IFERROR(N124/N444, "NA")</f>
        <v>0.99999999999999767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410508.90999999986</v>
      </c>
      <c r="R124" s="15">
        <f>IFERROR(Q124/Q444, "NA")</f>
        <v>0.99999999999999967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432127.53</v>
      </c>
      <c r="U124" s="15">
        <f>IFERROR(T124/T444, "NA")</f>
        <v>1</v>
      </c>
      <c r="V124" s="2"/>
      <c r="W124" s="14">
        <f t="shared" si="26"/>
        <v>-21618.62000000017</v>
      </c>
      <c r="X124" s="15">
        <f>IFERROR(W124/W444, "NA")</f>
        <v>1.0000000000000053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391092.9800000001</v>
      </c>
      <c r="AA124" s="15">
        <f>IFERROR(Z124/Z444, "NA")</f>
        <v>1.0000000000000002</v>
      </c>
      <c r="AB124" s="2"/>
      <c r="AC124" s="14">
        <f t="shared" si="27"/>
        <v>19415.92999999976</v>
      </c>
      <c r="AD124" s="15">
        <f>IFERROR(AC124/AC444, "NA")</f>
        <v>0.99999999999998801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26328.12</v>
      </c>
      <c r="F129" s="8">
        <f>IFERROR(E129/E444, "NA")</f>
        <v>0.24999995252225518</v>
      </c>
      <c r="G129" s="9"/>
      <c r="H129" s="10">
        <f t="shared" ref="H129:H141" si="28">IFERROR(-(B129-E129), "NA")</f>
        <v>26328.12</v>
      </c>
      <c r="I129" s="8">
        <f>IFERROR(H129/H444, "NA")</f>
        <v>-1.31596054735472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110875.87</v>
      </c>
      <c r="U129" s="8">
        <f>IFERROR(T129/T444, "NA")</f>
        <v>0.25658136152538114</v>
      </c>
      <c r="V129" s="9"/>
      <c r="W129" s="10">
        <f t="shared" ref="W129:W141" si="30">IFERROR(-(Q129-T129), "NA")</f>
        <v>110875.87</v>
      </c>
      <c r="X129" s="8">
        <f>IFERROR(W129/W444, "NA")</f>
        <v>-5.1287209821903392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4579.2</v>
      </c>
      <c r="C130" s="8">
        <f>IFERROR(B130/B444, "NA")</f>
        <v>5.3679864177939747E-2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-4579.2</v>
      </c>
      <c r="I130" s="8">
        <f>IFERROR(H130/H444, "NA")</f>
        <v>0.22888252326587444</v>
      </c>
      <c r="J130" s="9"/>
      <c r="K130" s="7">
        <v>5576.7</v>
      </c>
      <c r="L130" s="8">
        <f>IFERROR(K130/K444, "NA")</f>
        <v>6.0896906703147805E-2</v>
      </c>
      <c r="M130" s="9"/>
      <c r="N130" s="10">
        <f t="shared" si="29"/>
        <v>997.5</v>
      </c>
      <c r="O130" s="8">
        <f>IFERROR(N130/N444, "NA")</f>
        <v>-0.15908202891385634</v>
      </c>
      <c r="P130" s="9"/>
      <c r="Q130" s="7">
        <v>22940.48</v>
      </c>
      <c r="R130" s="8">
        <f>IFERROR(Q130/Q444, "NA")</f>
        <v>5.5883025778904534E-2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-22940.48</v>
      </c>
      <c r="X130" s="8">
        <f>IFERROR(W130/W444, "NA")</f>
        <v>1.0611445133870683</v>
      </c>
      <c r="Y130" s="9"/>
      <c r="Z130" s="7">
        <v>24588</v>
      </c>
      <c r="AA130" s="8">
        <f>IFERROR(Z130/Z444, "NA")</f>
        <v>6.2869959977292361E-2</v>
      </c>
      <c r="AB130" s="9"/>
      <c r="AC130" s="10">
        <f t="shared" si="31"/>
        <v>1647.5200000000004</v>
      </c>
      <c r="AD130" s="8">
        <f>IFERROR(AC130/AC444, "NA")</f>
        <v>8.4854034805440737E-2</v>
      </c>
    </row>
    <row r="131" spans="1:30" ht="16.5" customHeight="1" x14ac:dyDescent="0.45">
      <c r="A131" s="12" t="s">
        <v>123</v>
      </c>
      <c r="B131" s="7">
        <v>3097.51</v>
      </c>
      <c r="C131" s="8">
        <f>IFERROR(B131/B444, "NA")</f>
        <v>3.6310690969996978E-2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-3097.51</v>
      </c>
      <c r="I131" s="8">
        <f>IFERROR(H131/H444, "NA")</f>
        <v>0.15482309238322825</v>
      </c>
      <c r="J131" s="9"/>
      <c r="K131" s="7">
        <v>2775.7</v>
      </c>
      <c r="L131" s="8">
        <f>IFERROR(K131/K444, "NA")</f>
        <v>3.0310316842564126E-2</v>
      </c>
      <c r="M131" s="9"/>
      <c r="N131" s="10">
        <f t="shared" si="29"/>
        <v>-321.8100000000004</v>
      </c>
      <c r="O131" s="8">
        <f>IFERROR(N131/N444, "NA")</f>
        <v>5.1322493959667342E-2</v>
      </c>
      <c r="P131" s="9"/>
      <c r="Q131" s="7">
        <v>12772.95</v>
      </c>
      <c r="R131" s="8">
        <f>IFERROR(Q131/Q444, "NA")</f>
        <v>3.1114915386367622E-2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-12772.95</v>
      </c>
      <c r="X131" s="8">
        <f>IFERROR(W131/W444, "NA")</f>
        <v>0.59083095960796617</v>
      </c>
      <c r="Y131" s="9"/>
      <c r="Z131" s="7">
        <v>11817.92</v>
      </c>
      <c r="AA131" s="8">
        <f>IFERROR(Z131/Z444, "NA")</f>
        <v>3.0217673556809946E-2</v>
      </c>
      <c r="AB131" s="9"/>
      <c r="AC131" s="10">
        <f t="shared" si="31"/>
        <v>-955.03000000000065</v>
      </c>
      <c r="AD131" s="8">
        <f>IFERROR(AC131/AC444, "NA")</f>
        <v>-4.918796060760422E-2</v>
      </c>
    </row>
    <row r="132" spans="1:30" ht="16.5" customHeight="1" x14ac:dyDescent="0.45">
      <c r="A132" s="12" t="s">
        <v>124</v>
      </c>
      <c r="B132" s="7">
        <v>4798.97</v>
      </c>
      <c r="C132" s="8">
        <f>IFERROR(B132/B444, "NA")</f>
        <v>5.6256127226154688E-2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-4798.97</v>
      </c>
      <c r="I132" s="8">
        <f>IFERROR(H132/H444, "NA")</f>
        <v>0.23986730491728547</v>
      </c>
      <c r="J132" s="9"/>
      <c r="K132" s="7">
        <v>3312.71</v>
      </c>
      <c r="L132" s="8">
        <f>IFERROR(K132/K444, "NA")</f>
        <v>3.6174402747966503E-2</v>
      </c>
      <c r="M132" s="9"/>
      <c r="N132" s="10">
        <f t="shared" si="29"/>
        <v>-1486.2600000000002</v>
      </c>
      <c r="O132" s="8">
        <f>IFERROR(N132/N444, "NA")</f>
        <v>0.23702983087068485</v>
      </c>
      <c r="P132" s="9"/>
      <c r="Q132" s="7">
        <v>17838.14</v>
      </c>
      <c r="R132" s="8">
        <f>IFERROR(Q132/Q444, "NA")</f>
        <v>4.3453721869276846E-2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-17838.14</v>
      </c>
      <c r="X132" s="8">
        <f>IFERROR(W132/W444, "NA")</f>
        <v>0.82512852346726828</v>
      </c>
      <c r="Y132" s="9"/>
      <c r="Z132" s="7">
        <v>13634.57</v>
      </c>
      <c r="AA132" s="8">
        <f>IFERROR(Z132/Z444, "NA")</f>
        <v>3.4862732642247887E-2</v>
      </c>
      <c r="AB132" s="9"/>
      <c r="AC132" s="10">
        <f t="shared" si="31"/>
        <v>-4203.57</v>
      </c>
      <c r="AD132" s="8">
        <f>IFERROR(AC132/AC444, "NA")</f>
        <v>-0.21650108956923522</v>
      </c>
    </row>
    <row r="133" spans="1:30" ht="16.5" customHeight="1" x14ac:dyDescent="0.45">
      <c r="A133" s="12" t="s">
        <v>125</v>
      </c>
      <c r="B133" s="7">
        <v>2126.16</v>
      </c>
      <c r="C133" s="8">
        <f>IFERROR(B133/B444, "NA")</f>
        <v>2.4923999829788691E-2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-2126.16</v>
      </c>
      <c r="I133" s="8">
        <f>IFERROR(H133/H444, "NA")</f>
        <v>0.10627202691888793</v>
      </c>
      <c r="J133" s="9"/>
      <c r="K133" s="7">
        <v>2006.46</v>
      </c>
      <c r="L133" s="8">
        <f>IFERROR(K133/K444, "NA")</f>
        <v>2.1910306708913505E-2</v>
      </c>
      <c r="M133" s="9"/>
      <c r="N133" s="10">
        <f t="shared" si="29"/>
        <v>-119.69999999999982</v>
      </c>
      <c r="O133" s="8">
        <f>IFERROR(N133/N444, "NA")</f>
        <v>1.9089843469662731E-2</v>
      </c>
      <c r="P133" s="9"/>
      <c r="Q133" s="7">
        <v>8587.01</v>
      </c>
      <c r="R133" s="8">
        <f>IFERROR(Q133/Q444, "NA")</f>
        <v>2.0917962535819262E-2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-8587.01</v>
      </c>
      <c r="X133" s="8">
        <f>IFERROR(W133/W444, "NA")</f>
        <v>0.39720435439449786</v>
      </c>
      <c r="Y133" s="9"/>
      <c r="Z133" s="7">
        <v>8126.67</v>
      </c>
      <c r="AA133" s="8">
        <f>IFERROR(Z133/Z444, "NA")</f>
        <v>2.077938090323176E-2</v>
      </c>
      <c r="AB133" s="9"/>
      <c r="AC133" s="10">
        <f t="shared" si="31"/>
        <v>-460.34000000000015</v>
      </c>
      <c r="AD133" s="8">
        <f>IFERROR(AC133/AC444, "NA")</f>
        <v>-2.3709397386578974E-2</v>
      </c>
    </row>
    <row r="134" spans="1:30" ht="16.5" customHeight="1" x14ac:dyDescent="0.45">
      <c r="A134" s="12" t="s">
        <v>126</v>
      </c>
      <c r="B134" s="7">
        <v>738.52</v>
      </c>
      <c r="C134" s="8">
        <f>IFERROR(B134/B444, "NA")</f>
        <v>8.6573316938967637E-3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-738.52</v>
      </c>
      <c r="I134" s="8">
        <f>IFERROR(H134/H444, "NA")</f>
        <v>3.6913504778632422E-2</v>
      </c>
      <c r="J134" s="9"/>
      <c r="K134" s="7">
        <v>957.79</v>
      </c>
      <c r="L134" s="8">
        <f>IFERROR(K134/K444, "NA")</f>
        <v>1.0458953910235073E-2</v>
      </c>
      <c r="M134" s="9"/>
      <c r="N134" s="10">
        <f t="shared" si="29"/>
        <v>219.26999999999998</v>
      </c>
      <c r="O134" s="8">
        <f>IFERROR(N134/N444, "NA")</f>
        <v>-3.4969339829515063E-2</v>
      </c>
      <c r="P134" s="9"/>
      <c r="Q134" s="7">
        <v>3411.75</v>
      </c>
      <c r="R134" s="8">
        <f>IFERROR(Q134/Q444, "NA")</f>
        <v>8.3110254537471558E-3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-3411.75</v>
      </c>
      <c r="X134" s="8">
        <f>IFERROR(W134/W444, "NA")</f>
        <v>0.15781534621543797</v>
      </c>
      <c r="Y134" s="9"/>
      <c r="Z134" s="7">
        <v>4701.68</v>
      </c>
      <c r="AA134" s="8">
        <f>IFERROR(Z134/Z444, "NA")</f>
        <v>1.2021898219702129E-2</v>
      </c>
      <c r="AB134" s="9"/>
      <c r="AC134" s="10">
        <f t="shared" si="31"/>
        <v>1289.9300000000003</v>
      </c>
      <c r="AD134" s="8">
        <f>IFERROR(AC134/AC444, "NA")</f>
        <v>6.6436683692205359E-2</v>
      </c>
    </row>
    <row r="135" spans="1:30" ht="16.5" customHeight="1" x14ac:dyDescent="0.45">
      <c r="A135" s="12" t="s">
        <v>127</v>
      </c>
      <c r="B135" s="7">
        <v>623.79999999999995</v>
      </c>
      <c r="C135" s="8">
        <f>IFERROR(B135/B444, "NA")</f>
        <v>7.3125216793760509E-3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-623.79999999999995</v>
      </c>
      <c r="I135" s="8">
        <f>IFERROR(H135/H444, "NA")</f>
        <v>3.117944575761104E-2</v>
      </c>
      <c r="J135" s="9"/>
      <c r="K135" s="7">
        <v>1087.75</v>
      </c>
      <c r="L135" s="8">
        <f>IFERROR(K135/K444, "NA")</f>
        <v>1.1878101792520492E-2</v>
      </c>
      <c r="M135" s="9"/>
      <c r="N135" s="10">
        <f t="shared" si="29"/>
        <v>463.95000000000005</v>
      </c>
      <c r="O135" s="8">
        <f>IFERROR(N135/N444, "NA")</f>
        <v>-7.3991085027151529E-2</v>
      </c>
      <c r="P135" s="9"/>
      <c r="Q135" s="7">
        <v>3323.8</v>
      </c>
      <c r="R135" s="8">
        <f>IFERROR(Q135/Q444, "NA")</f>
        <v>8.0967791904930884E-3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-3323.8</v>
      </c>
      <c r="X135" s="8">
        <f>IFERROR(W135/W444, "NA")</f>
        <v>0.15374709394031588</v>
      </c>
      <c r="Y135" s="9"/>
      <c r="Z135" s="7">
        <v>3842.57</v>
      </c>
      <c r="AA135" s="8">
        <f>IFERROR(Z135/Z444, "NA")</f>
        <v>9.8252083174696723E-3</v>
      </c>
      <c r="AB135" s="9"/>
      <c r="AC135" s="10">
        <f t="shared" si="31"/>
        <v>518.77</v>
      </c>
      <c r="AD135" s="8">
        <f>IFERROR(AC135/AC444, "NA")</f>
        <v>2.6718781948637031E-2</v>
      </c>
    </row>
    <row r="136" spans="1:30" ht="16.5" customHeight="1" x14ac:dyDescent="0.45">
      <c r="A136" s="12" t="s">
        <v>128</v>
      </c>
      <c r="B136" s="7">
        <v>647.47</v>
      </c>
      <c r="C136" s="8">
        <f>IFERROR(B136/B444, "NA")</f>
        <v>7.5899942477486576E-3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-647.47</v>
      </c>
      <c r="I136" s="8">
        <f>IFERROR(H136/H444, "NA")</f>
        <v>3.2362545278423249E-2</v>
      </c>
      <c r="J136" s="9"/>
      <c r="K136" s="7">
        <v>1235.25</v>
      </c>
      <c r="L136" s="8">
        <f>IFERROR(K136/K444, "NA")</f>
        <v>1.3488784407456619E-2</v>
      </c>
      <c r="M136" s="9"/>
      <c r="N136" s="10">
        <f t="shared" si="29"/>
        <v>587.78</v>
      </c>
      <c r="O136" s="8">
        <f>IFERROR(N136/N444, "NA")</f>
        <v>-9.3739583914773411E-2</v>
      </c>
      <c r="P136" s="9"/>
      <c r="Q136" s="7">
        <v>4803.46</v>
      </c>
      <c r="R136" s="8">
        <f>IFERROR(Q136/Q444, "NA")</f>
        <v>1.170123201467174E-2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-4803.46</v>
      </c>
      <c r="X136" s="8">
        <f>IFERROR(W136/W444, "NA")</f>
        <v>0.22219087064761711</v>
      </c>
      <c r="Y136" s="9"/>
      <c r="Z136" s="7">
        <v>5602.51</v>
      </c>
      <c r="AA136" s="8">
        <f>IFERROR(Z136/Z444, "NA")</f>
        <v>1.4325263521733375E-2</v>
      </c>
      <c r="AB136" s="9"/>
      <c r="AC136" s="10">
        <f t="shared" si="31"/>
        <v>799.05000000000018</v>
      </c>
      <c r="AD136" s="8">
        <f>IFERROR(AC136/AC444, "NA")</f>
        <v>4.1154351092118714E-2</v>
      </c>
    </row>
    <row r="137" spans="1:30" ht="16.5" customHeight="1" x14ac:dyDescent="0.45">
      <c r="A137" s="12" t="s">
        <v>129</v>
      </c>
      <c r="B137" s="7">
        <v>539.45000000000005</v>
      </c>
      <c r="C137" s="8">
        <f>IFERROR(B137/B444, "NA")</f>
        <v>6.3237252644107265E-3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-539.45000000000005</v>
      </c>
      <c r="I137" s="8">
        <f>IFERROR(H137/H444, "NA")</f>
        <v>2.696337289827393E-2</v>
      </c>
      <c r="J137" s="9"/>
      <c r="K137" s="7">
        <v>465.02</v>
      </c>
      <c r="L137" s="8">
        <f>IFERROR(K137/K444, "NA")</f>
        <v>5.0779635904921894E-3</v>
      </c>
      <c r="M137" s="9"/>
      <c r="N137" s="10">
        <f t="shared" si="29"/>
        <v>-74.430000000000064</v>
      </c>
      <c r="O137" s="8">
        <f>IFERROR(N137/N444, "NA")</f>
        <v>1.1870150789030915E-2</v>
      </c>
      <c r="P137" s="9"/>
      <c r="Q137" s="7">
        <v>2308.25</v>
      </c>
      <c r="R137" s="8">
        <f>IFERROR(Q137/Q444, "NA")</f>
        <v>5.6228986601046006E-3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-2308.25</v>
      </c>
      <c r="X137" s="8">
        <f>IFERROR(W137/W444, "NA")</f>
        <v>0.10677138503752757</v>
      </c>
      <c r="Y137" s="9"/>
      <c r="Z137" s="7">
        <v>2170.06</v>
      </c>
      <c r="AA137" s="8">
        <f>IFERROR(Z137/Z444, "NA")</f>
        <v>5.5487060903010839E-3</v>
      </c>
      <c r="AB137" s="9"/>
      <c r="AC137" s="10">
        <f t="shared" si="31"/>
        <v>-138.19000000000005</v>
      </c>
      <c r="AD137" s="8">
        <f>IFERROR(AC137/AC444, "NA")</f>
        <v>-7.1173515767722741E-3</v>
      </c>
    </row>
    <row r="138" spans="1:30" ht="16.5" customHeight="1" x14ac:dyDescent="0.45">
      <c r="A138" s="12" t="s">
        <v>130</v>
      </c>
      <c r="B138" s="7">
        <v>4519.54</v>
      </c>
      <c r="C138" s="8">
        <f>IFERROR(B138/B444, "NA")</f>
        <v>5.2980497324153962E-2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-4519.54</v>
      </c>
      <c r="I138" s="8">
        <f>IFERROR(H138/H444, "NA")</f>
        <v>0.22590053266969126</v>
      </c>
      <c r="J138" s="9"/>
      <c r="K138" s="7">
        <v>4406.0200000000004</v>
      </c>
      <c r="L138" s="8">
        <f>IFERROR(K138/K444, "NA")</f>
        <v>4.8113219085158483E-2</v>
      </c>
      <c r="M138" s="9"/>
      <c r="N138" s="10">
        <f t="shared" si="29"/>
        <v>-113.51999999999953</v>
      </c>
      <c r="O138" s="8">
        <f>IFERROR(N138/N444, "NA")</f>
        <v>1.8104252553685109E-2</v>
      </c>
      <c r="P138" s="9"/>
      <c r="Q138" s="7">
        <v>22756.05</v>
      </c>
      <c r="R138" s="8">
        <f>IFERROR(Q138/Q444, "NA")</f>
        <v>5.5433754166261583E-2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-22756.05</v>
      </c>
      <c r="X138" s="8">
        <f>IFERROR(W138/W444, "NA")</f>
        <v>1.052613441561022</v>
      </c>
      <c r="Y138" s="9"/>
      <c r="Z138" s="7">
        <v>20461.32</v>
      </c>
      <c r="AA138" s="8">
        <f>IFERROR(Z138/Z444, "NA")</f>
        <v>5.2318300369390419E-2</v>
      </c>
      <c r="AB138" s="9"/>
      <c r="AC138" s="10">
        <f t="shared" si="31"/>
        <v>-2294.7299999999996</v>
      </c>
      <c r="AD138" s="8">
        <f>IFERROR(AC138/AC444, "NA")</f>
        <v>-0.11818800335600718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21670.620000000003</v>
      </c>
      <c r="C141" s="15">
        <f>IFERROR(B141/B444, "NA")</f>
        <v>0.25403475241346629</v>
      </c>
      <c r="D141" s="2"/>
      <c r="E141" s="14">
        <f>IFERROR(E129+E130+E131+E132+E133+E134+E135+E136+E137+E138+E139+E140, "NA")</f>
        <v>26328.12</v>
      </c>
      <c r="F141" s="15">
        <f>IFERROR(E141/E444, "NA")</f>
        <v>0.24999995252225518</v>
      </c>
      <c r="G141" s="2"/>
      <c r="H141" s="14">
        <f t="shared" si="28"/>
        <v>4657.4999999999964</v>
      </c>
      <c r="I141" s="15">
        <f>IFERROR(H141/H444, "NA")</f>
        <v>-0.23279619848681199</v>
      </c>
      <c r="J141" s="2"/>
      <c r="K141" s="14">
        <f>IFERROR(K129+K130+K131+K132+K133+K134+K135+K136+K137+K138+K139+K140, "NA")</f>
        <v>21823.4</v>
      </c>
      <c r="L141" s="15">
        <f>IFERROR(K141/K444, "NA")</f>
        <v>0.23830895578845482</v>
      </c>
      <c r="M141" s="2"/>
      <c r="N141" s="14">
        <f t="shared" si="29"/>
        <v>152.77999999999884</v>
      </c>
      <c r="O141" s="15">
        <f>IFERROR(N141/N444, "NA")</f>
        <v>-2.43654660425652E-2</v>
      </c>
      <c r="P141" s="2"/>
      <c r="Q141" s="14">
        <f>IFERROR(Q129+Q130+Q131+Q132+Q133+Q134+Q135+Q136+Q137+Q138+Q139+Q140, "NA")</f>
        <v>98741.890000000014</v>
      </c>
      <c r="R141" s="15">
        <f>IFERROR(Q141/Q444, "NA")</f>
        <v>0.24053531505564646</v>
      </c>
      <c r="S141" s="2"/>
      <c r="T141" s="14">
        <f>IFERROR(T129+T130+T131+T132+T133+T134+T135+T136+T137+T138+T139+T140, "NA")</f>
        <v>110875.87</v>
      </c>
      <c r="U141" s="15">
        <f>IFERROR(T141/T444, "NA")</f>
        <v>0.25658136152538114</v>
      </c>
      <c r="V141" s="2"/>
      <c r="W141" s="14">
        <f t="shared" si="30"/>
        <v>12133.979999999981</v>
      </c>
      <c r="X141" s="15">
        <f>IFERROR(W141/W444, "NA")</f>
        <v>-0.56127449393161777</v>
      </c>
      <c r="Y141" s="2"/>
      <c r="Z141" s="14">
        <f>IFERROR(Z129+Z130+Z131+Z132+Z133+Z134+Z135+Z136+Z137+Z138+Z139+Z140, "NA")</f>
        <v>94945.299999999988</v>
      </c>
      <c r="AA141" s="15">
        <f>IFERROR(Z141/Z444, "NA")</f>
        <v>0.24276912359817859</v>
      </c>
      <c r="AB141" s="2"/>
      <c r="AC141" s="14">
        <f t="shared" si="31"/>
        <v>-3796.5900000000256</v>
      </c>
      <c r="AD141" s="15">
        <f>IFERROR(AC141/AC444, "NA")</f>
        <v>-0.19553995095779739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1341.5</v>
      </c>
      <c r="C144" s="8">
        <f>IFERROR(B144/B444, "NA")</f>
        <v>1.5725790049507811E-2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-1341.5</v>
      </c>
      <c r="I144" s="8">
        <f>IFERROR(H144/H444, "NA")</f>
        <v>6.7052302795503713E-2</v>
      </c>
      <c r="J144" s="9"/>
      <c r="K144" s="7">
        <v>1142.46</v>
      </c>
      <c r="L144" s="8">
        <f>IFERROR(K144/K444, "NA")</f>
        <v>1.2475528544135106E-2</v>
      </c>
      <c r="M144" s="9"/>
      <c r="N144" s="10">
        <f t="shared" si="33"/>
        <v>-199.03999999999996</v>
      </c>
      <c r="O144" s="8">
        <f>IFERROR(N144/N444, "NA")</f>
        <v>3.1743044646630539E-2</v>
      </c>
      <c r="P144" s="9"/>
      <c r="Q144" s="7">
        <v>5602.86</v>
      </c>
      <c r="R144" s="8">
        <f>IFERROR(Q144/Q444, "NA")</f>
        <v>1.3648570989604099E-2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-5602.86</v>
      </c>
      <c r="X144" s="8">
        <f>IFERROR(W144/W444, "NA")</f>
        <v>0.25916825403286547</v>
      </c>
      <c r="Y144" s="9"/>
      <c r="Z144" s="7">
        <v>4875.7</v>
      </c>
      <c r="AA144" s="8">
        <f>IFERROR(Z144/Z444, "NA")</f>
        <v>1.246685634705077E-2</v>
      </c>
      <c r="AB144" s="9"/>
      <c r="AC144" s="10">
        <f t="shared" si="35"/>
        <v>-727.15999999999985</v>
      </c>
      <c r="AD144" s="8">
        <f>IFERROR(AC144/AC444, "NA")</f>
        <v>-3.7451721344277621E-2</v>
      </c>
    </row>
    <row r="145" spans="1:30" ht="16.5" customHeight="1" x14ac:dyDescent="0.45">
      <c r="A145" s="12" t="s">
        <v>136</v>
      </c>
      <c r="B145" s="7">
        <v>193.3</v>
      </c>
      <c r="C145" s="8">
        <f>IFERROR(B145/B444, "NA")</f>
        <v>2.2659673623331047E-3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-193.3</v>
      </c>
      <c r="I145" s="8">
        <f>IFERROR(H145/H444, "NA")</f>
        <v>9.661729504562705E-3</v>
      </c>
      <c r="J145" s="9"/>
      <c r="K145" s="7">
        <v>180.03</v>
      </c>
      <c r="L145" s="8">
        <f>IFERROR(K145/K444, "NA")</f>
        <v>1.9659063807928884E-3</v>
      </c>
      <c r="M145" s="9"/>
      <c r="N145" s="10">
        <f t="shared" si="33"/>
        <v>-13.27000000000001</v>
      </c>
      <c r="O145" s="8">
        <f>IFERROR(N145/N444, "NA")</f>
        <v>2.1163092969291981E-3</v>
      </c>
      <c r="P145" s="9"/>
      <c r="Q145" s="7">
        <v>660.33</v>
      </c>
      <c r="R145" s="8">
        <f>IFERROR(Q145/Q444, "NA")</f>
        <v>1.6085643549125404E-3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-660.33</v>
      </c>
      <c r="X145" s="8">
        <f>IFERROR(W145/W444, "NA")</f>
        <v>3.0544502840606773E-2</v>
      </c>
      <c r="Y145" s="9"/>
      <c r="Z145" s="7">
        <v>624.54999999999995</v>
      </c>
      <c r="AA145" s="8">
        <f>IFERROR(Z145/Z444, "NA")</f>
        <v>1.5969348260866253E-3</v>
      </c>
      <c r="AB145" s="9"/>
      <c r="AC145" s="10">
        <f t="shared" si="35"/>
        <v>-35.780000000000086</v>
      </c>
      <c r="AD145" s="8">
        <f>IFERROR(AC145/AC444, "NA")</f>
        <v>-1.8428166974232035E-3</v>
      </c>
    </row>
    <row r="146" spans="1:30" ht="16.5" customHeight="1" x14ac:dyDescent="0.45">
      <c r="A146" s="12" t="s">
        <v>137</v>
      </c>
      <c r="B146" s="7">
        <v>111.37</v>
      </c>
      <c r="C146" s="8">
        <f>IFERROR(B146/B444, "NA")</f>
        <v>1.3055394989293218E-3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-111.37</v>
      </c>
      <c r="I146" s="8">
        <f>IFERROR(H146/H444, "NA")</f>
        <v>5.5666157005853506E-3</v>
      </c>
      <c r="J146" s="9"/>
      <c r="K146" s="7">
        <v>1125.5899999999999</v>
      </c>
      <c r="L146" s="8">
        <f>IFERROR(K146/K444, "NA")</f>
        <v>1.2291310132514952E-2</v>
      </c>
      <c r="M146" s="9"/>
      <c r="N146" s="10">
        <f t="shared" si="33"/>
        <v>1014.2199999999999</v>
      </c>
      <c r="O146" s="8">
        <f>IFERROR(N146/N444, "NA")</f>
        <v>-0.16174854673184097</v>
      </c>
      <c r="P146" s="9"/>
      <c r="Q146" s="7">
        <v>499.49</v>
      </c>
      <c r="R146" s="8">
        <f>IFERROR(Q146/Q444, "NA")</f>
        <v>1.2167579992356317E-3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-499.49</v>
      </c>
      <c r="X146" s="8">
        <f>IFERROR(W146/W444, "NA")</f>
        <v>2.3104619998871288E-2</v>
      </c>
      <c r="Y146" s="9"/>
      <c r="Z146" s="7">
        <v>1914.52</v>
      </c>
      <c r="AA146" s="8">
        <f>IFERROR(Z146/Z444, "NA")</f>
        <v>4.895306481849917E-3</v>
      </c>
      <c r="AB146" s="9"/>
      <c r="AC146" s="10">
        <f t="shared" si="35"/>
        <v>1415.03</v>
      </c>
      <c r="AD146" s="8">
        <f>IFERROR(AC146/AC444, "NA")</f>
        <v>7.2879846600188633E-2</v>
      </c>
    </row>
    <row r="147" spans="1:30" ht="16.5" customHeight="1" x14ac:dyDescent="0.45">
      <c r="A147" s="12" t="s">
        <v>138</v>
      </c>
      <c r="B147" s="7">
        <v>54.81</v>
      </c>
      <c r="C147" s="8">
        <f>IFERROR(B147/B444, "NA")</f>
        <v>6.425125252430289E-4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-54.81</v>
      </c>
      <c r="I147" s="8">
        <f>IFERROR(H147/H444, "NA")</f>
        <v>2.7395726546563985E-3</v>
      </c>
      <c r="J147" s="9"/>
      <c r="K147" s="7">
        <v>28.36</v>
      </c>
      <c r="L147" s="8">
        <f>IFERROR(K147/K444, "NA")</f>
        <v>3.0968785735314286E-4</v>
      </c>
      <c r="M147" s="9"/>
      <c r="N147" s="10">
        <f t="shared" si="33"/>
        <v>-26.450000000000003</v>
      </c>
      <c r="O147" s="8">
        <f>IFERROR(N147/N444, "NA")</f>
        <v>4.2182653280917297E-3</v>
      </c>
      <c r="P147" s="9"/>
      <c r="Q147" s="7">
        <v>156.25</v>
      </c>
      <c r="R147" s="8">
        <f>IFERROR(Q147/Q444, "NA")</f>
        <v>3.8062511237575822E-4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-156.25</v>
      </c>
      <c r="X147" s="8">
        <f>IFERROR(W147/W444, "NA")</f>
        <v>7.2275658668314452E-3</v>
      </c>
      <c r="Y147" s="9"/>
      <c r="Z147" s="7">
        <v>105.16</v>
      </c>
      <c r="AA147" s="8">
        <f>IFERROR(Z147/Z444, "NA")</f>
        <v>2.6888746507288368E-4</v>
      </c>
      <c r="AB147" s="9"/>
      <c r="AC147" s="10">
        <f t="shared" si="35"/>
        <v>-51.09</v>
      </c>
      <c r="AD147" s="8">
        <f>IFERROR(AC147/AC444, "NA")</f>
        <v>-2.6313444681763903E-3</v>
      </c>
    </row>
    <row r="148" spans="1:30" ht="16.5" customHeight="1" x14ac:dyDescent="0.45">
      <c r="A148" s="13" t="s">
        <v>139</v>
      </c>
      <c r="B148" s="14">
        <f>IFERROR(B143+B144+B145+B146+B147, "NA")</f>
        <v>1700.98</v>
      </c>
      <c r="C148" s="15">
        <f>IFERROR(B148/B444, "NA")</f>
        <v>1.9939809436013266E-2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-1700.98</v>
      </c>
      <c r="I148" s="15">
        <f>IFERROR(H148/H444, "NA")</f>
        <v>8.5020220655308162E-2</v>
      </c>
      <c r="J148" s="2"/>
      <c r="K148" s="14">
        <f>IFERROR(K143+K144+K145+K146+K147, "NA")</f>
        <v>2476.44</v>
      </c>
      <c r="L148" s="15">
        <f>IFERROR(K148/K444, "NA")</f>
        <v>2.7042432914796091E-2</v>
      </c>
      <c r="M148" s="2"/>
      <c r="N148" s="14">
        <f t="shared" si="33"/>
        <v>775.46</v>
      </c>
      <c r="O148" s="15">
        <f>IFERROR(N148/N444, "NA")</f>
        <v>-0.12367092746018951</v>
      </c>
      <c r="P148" s="2"/>
      <c r="Q148" s="14">
        <f>IFERROR(Q143+Q144+Q145+Q146+Q147, "NA")</f>
        <v>6918.9299999999994</v>
      </c>
      <c r="R148" s="15">
        <f>IFERROR(Q148/Q444, "NA")</f>
        <v>1.685451845612803E-2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-6918.9299999999994</v>
      </c>
      <c r="X148" s="15">
        <f>IFERROR(W148/W444, "NA")</f>
        <v>0.32004494273917494</v>
      </c>
      <c r="Y148" s="2"/>
      <c r="Z148" s="14">
        <f>IFERROR(Z143+Z144+Z145+Z146+Z147, "NA")</f>
        <v>7519.93</v>
      </c>
      <c r="AA148" s="15">
        <f>IFERROR(Z148/Z444, "NA")</f>
        <v>1.9227985120060197E-2</v>
      </c>
      <c r="AB148" s="2"/>
      <c r="AC148" s="14">
        <f t="shared" si="35"/>
        <v>601.00000000000091</v>
      </c>
      <c r="AD148" s="15">
        <f>IFERROR(AC148/AC444, "NA")</f>
        <v>3.0953964090311467E-2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23371.600000000002</v>
      </c>
      <c r="C149" s="15">
        <f>IFERROR(B149/B444, "NA")</f>
        <v>0.27397456184947955</v>
      </c>
      <c r="D149" s="2"/>
      <c r="E149" s="14">
        <f>IFERROR(E127+E129+E130+E131+E132+E133+E134+E135+E136+E137+E138+E139+E140+E143+E144+E145+E146+E147, "NA")</f>
        <v>26328.12</v>
      </c>
      <c r="F149" s="15">
        <f>IFERROR(E149/E444, "NA")</f>
        <v>0.24999995252225518</v>
      </c>
      <c r="G149" s="2"/>
      <c r="H149" s="14">
        <f t="shared" si="32"/>
        <v>2956.5199999999968</v>
      </c>
      <c r="I149" s="15">
        <f>IFERROR(H149/H444, "NA")</f>
        <v>-0.14777597783150384</v>
      </c>
      <c r="J149" s="2"/>
      <c r="K149" s="14">
        <f>IFERROR(K127+K129+K130+K131+K132+K133+K134+K135+K136+K137+K138+K139+K140+K143+K144+K145+K146+K147, "NA")</f>
        <v>24299.84</v>
      </c>
      <c r="L149" s="15">
        <f>IFERROR(K149/K444, "NA")</f>
        <v>0.26535138870325087</v>
      </c>
      <c r="M149" s="2"/>
      <c r="N149" s="14">
        <f t="shared" si="33"/>
        <v>928.23999999999796</v>
      </c>
      <c r="O149" s="15">
        <f>IFERROR(N149/N444, "NA")</f>
        <v>-0.14803639350275458</v>
      </c>
      <c r="P149" s="2"/>
      <c r="Q149" s="14">
        <f>IFERROR(Q127+Q129+Q130+Q131+Q132+Q133+Q134+Q135+Q136+Q137+Q138+Q139+Q140+Q143+Q144+Q145+Q146+Q147, "NA")</f>
        <v>105660.82000000002</v>
      </c>
      <c r="R149" s="15">
        <f>IFERROR(Q149/Q444, "NA")</f>
        <v>0.25738983351177452</v>
      </c>
      <c r="S149" s="2"/>
      <c r="T149" s="14">
        <f>IFERROR(T127+T129+T130+T131+T132+T133+T134+T135+T136+T137+T138+T139+T140+T143+T144+T145+T146+T147, "NA")</f>
        <v>110875.87</v>
      </c>
      <c r="U149" s="15">
        <f>IFERROR(T149/T444, "NA")</f>
        <v>0.25658136152538114</v>
      </c>
      <c r="V149" s="2"/>
      <c r="W149" s="14">
        <f t="shared" si="34"/>
        <v>5215.0499999999738</v>
      </c>
      <c r="X149" s="15">
        <f>IFERROR(W149/W444, "NA")</f>
        <v>-0.24122955119244249</v>
      </c>
      <c r="Y149" s="2"/>
      <c r="Z149" s="14">
        <f>IFERROR(Z127+Z129+Z130+Z131+Z132+Z133+Z134+Z135+Z136+Z137+Z138+Z139+Z140+Z143+Z144+Z145+Z146+Z147, "NA")</f>
        <v>102465.23</v>
      </c>
      <c r="AA149" s="15">
        <f>IFERROR(Z149/Z444, "NA")</f>
        <v>0.26199710871823884</v>
      </c>
      <c r="AB149" s="2"/>
      <c r="AC149" s="14">
        <f t="shared" si="35"/>
        <v>-3195.5900000000256</v>
      </c>
      <c r="AD149" s="15">
        <f>IFERROR(AC149/AC444, "NA")</f>
        <v>-0.16458598686748596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1579.69</v>
      </c>
      <c r="F153" s="8">
        <f>IFERROR(E153/E444, "NA")</f>
        <v>1.5000023738872404E-2</v>
      </c>
      <c r="G153" s="9"/>
      <c r="H153" s="10">
        <f t="shared" ref="H153:H158" si="36">IFERROR(-(B153-E153), "NA")</f>
        <v>1579.69</v>
      </c>
      <c r="I153" s="8">
        <f>IFERROR(H153/H444, "NA")</f>
        <v>-7.8957772793909253E-2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7049.27</v>
      </c>
      <c r="U153" s="8">
        <f>IFERROR(T153/T444, "NA")</f>
        <v>1.6312938914121024E-2</v>
      </c>
      <c r="V153" s="9"/>
      <c r="W153" s="10">
        <f t="shared" ref="W153:W158" si="38">IFERROR(-(Q153-T153), "NA")</f>
        <v>7049.27</v>
      </c>
      <c r="X153" s="8">
        <f>IFERROR(W153/W444, "NA")</f>
        <v>-0.32607400472370496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3031.17</v>
      </c>
      <c r="C154" s="8">
        <f>IFERROR(B154/B444, "NA")</f>
        <v>3.553301753586776E-2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-3031.17</v>
      </c>
      <c r="I154" s="8">
        <f>IFERROR(H154/H444, "NA")</f>
        <v>0.15150721480778753</v>
      </c>
      <c r="J154" s="9"/>
      <c r="K154" s="7">
        <v>3284.68</v>
      </c>
      <c r="L154" s="8">
        <f>IFERROR(K154/K444, "NA")</f>
        <v>3.5868318451717958E-2</v>
      </c>
      <c r="M154" s="9"/>
      <c r="N154" s="10">
        <f t="shared" si="37"/>
        <v>253.50999999999976</v>
      </c>
      <c r="O154" s="8">
        <f>IFERROR(N154/N444, "NA")</f>
        <v>-4.0429960050076874E-2</v>
      </c>
      <c r="P154" s="9"/>
      <c r="Q154" s="7">
        <v>14040.13</v>
      </c>
      <c r="R154" s="8">
        <f>IFERROR(Q154/Q444, "NA")</f>
        <v>3.4201766777729625E-2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-14040.13</v>
      </c>
      <c r="X154" s="8">
        <f>IFERROR(W154/W444, "NA")</f>
        <v>0.64944617186480746</v>
      </c>
      <c r="Y154" s="9"/>
      <c r="Z154" s="7">
        <v>15290.64</v>
      </c>
      <c r="AA154" s="8">
        <f>IFERROR(Z154/Z444, "NA")</f>
        <v>3.9097198829802574E-2</v>
      </c>
      <c r="AB154" s="9"/>
      <c r="AC154" s="10">
        <f t="shared" si="39"/>
        <v>1250.5100000000002</v>
      </c>
      <c r="AD154" s="8">
        <f>IFERROR(AC154/AC444, "NA")</f>
        <v>6.440639207084084E-2</v>
      </c>
    </row>
    <row r="155" spans="1:30" ht="16.5" customHeight="1" x14ac:dyDescent="0.45">
      <c r="A155" s="12" t="s">
        <v>144</v>
      </c>
      <c r="B155" s="7">
        <v>617.67999999999995</v>
      </c>
      <c r="C155" s="8">
        <f>IFERROR(B155/B444, "NA")</f>
        <v>7.2407797225344647E-3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-617.67999999999995</v>
      </c>
      <c r="I155" s="8">
        <f>IFERROR(H155/H444, "NA")</f>
        <v>3.0873549303560736E-2</v>
      </c>
      <c r="J155" s="9"/>
      <c r="K155" s="7">
        <v>827.08</v>
      </c>
      <c r="L155" s="8">
        <f>IFERROR(K155/K444, "NA")</f>
        <v>9.0316161163482862E-3</v>
      </c>
      <c r="M155" s="9"/>
      <c r="N155" s="10">
        <f t="shared" si="37"/>
        <v>209.40000000000009</v>
      </c>
      <c r="O155" s="8">
        <f>IFERROR(N155/N444, "NA")</f>
        <v>-3.3395265017104291E-2</v>
      </c>
      <c r="P155" s="9"/>
      <c r="Q155" s="7">
        <v>3255.09</v>
      </c>
      <c r="R155" s="8">
        <f>IFERROR(Q155/Q444, "NA")</f>
        <v>7.9294015810765228E-3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-3255.09</v>
      </c>
      <c r="X155" s="8">
        <f>IFERROR(W155/W444, "NA")</f>
        <v>0.15056881521577195</v>
      </c>
      <c r="Y155" s="9"/>
      <c r="Z155" s="7">
        <v>2738.02</v>
      </c>
      <c r="AA155" s="8">
        <f>IFERROR(Z155/Z444, "NA")</f>
        <v>7.0009438676194085E-3</v>
      </c>
      <c r="AB155" s="9"/>
      <c r="AC155" s="10">
        <f t="shared" si="39"/>
        <v>-517.07000000000016</v>
      </c>
      <c r="AD155" s="8">
        <f>IFERROR(AC155/AC444, "NA")</f>
        <v>-2.6631224978664443E-2</v>
      </c>
    </row>
    <row r="156" spans="1:30" ht="16.5" hidden="1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0</v>
      </c>
      <c r="AA156" s="8">
        <f>IFERROR(Z156/Z444, "NA")</f>
        <v>0</v>
      </c>
      <c r="AB156" s="9"/>
      <c r="AC156" s="10">
        <f t="shared" si="39"/>
        <v>0</v>
      </c>
      <c r="AD156" s="8">
        <f>IFERROR(AC156/AC444, "NA")</f>
        <v>0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3648.85</v>
      </c>
      <c r="C158" s="15">
        <f>IFERROR(B158/B444, "NA")</f>
        <v>4.2773797258402219E-2</v>
      </c>
      <c r="D158" s="2"/>
      <c r="E158" s="14">
        <f>IFERROR(E153+E154+E155+E156+E157, "NA")</f>
        <v>1579.69</v>
      </c>
      <c r="F158" s="15">
        <f>IFERROR(E158/E444, "NA")</f>
        <v>1.5000023738872404E-2</v>
      </c>
      <c r="G158" s="2"/>
      <c r="H158" s="14">
        <f t="shared" si="36"/>
        <v>-2069.16</v>
      </c>
      <c r="I158" s="15">
        <f>IFERROR(H158/H444, "NA")</f>
        <v>0.10342299131743903</v>
      </c>
      <c r="J158" s="2"/>
      <c r="K158" s="14">
        <f>IFERROR(K153+K154+K155+K156+K157, "NA")</f>
        <v>4111.76</v>
      </c>
      <c r="L158" s="15">
        <f>IFERROR(K158/K444, "NA")</f>
        <v>4.4899934568066249E-2</v>
      </c>
      <c r="M158" s="2"/>
      <c r="N158" s="14">
        <f t="shared" si="37"/>
        <v>462.91000000000031</v>
      </c>
      <c r="O158" s="15">
        <f>IFERROR(N158/N444, "NA")</f>
        <v>-7.3825225067181241E-2</v>
      </c>
      <c r="P158" s="2"/>
      <c r="Q158" s="14">
        <f>IFERROR(Q153+Q154+Q155+Q156+Q157, "NA")</f>
        <v>17295.22</v>
      </c>
      <c r="R158" s="15">
        <f>IFERROR(Q158/Q444, "NA")</f>
        <v>4.2131168358806155E-2</v>
      </c>
      <c r="S158" s="2"/>
      <c r="T158" s="14">
        <f>IFERROR(T153+T154+T155+T156+T157, "NA")</f>
        <v>7049.27</v>
      </c>
      <c r="U158" s="15">
        <f>IFERROR(T158/T444, "NA")</f>
        <v>1.6312938914121024E-2</v>
      </c>
      <c r="V158" s="2"/>
      <c r="W158" s="14">
        <f t="shared" si="38"/>
        <v>-10245.950000000001</v>
      </c>
      <c r="X158" s="15">
        <f>IFERROR(W158/W444, "NA")</f>
        <v>0.47394098235687454</v>
      </c>
      <c r="Y158" s="2"/>
      <c r="Z158" s="14">
        <f>IFERROR(Z153+Z154+Z155+Z156+Z157, "NA")</f>
        <v>18028.66</v>
      </c>
      <c r="AA158" s="15">
        <f>IFERROR(Z158/Z444, "NA")</f>
        <v>4.6098142697421983E-2</v>
      </c>
      <c r="AB158" s="2"/>
      <c r="AC158" s="14">
        <f t="shared" si="39"/>
        <v>733.43999999999869</v>
      </c>
      <c r="AD158" s="15">
        <f>IFERROR(AC158/AC444, "NA")</f>
        <v>3.7775167092176321E-2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233.57</v>
      </c>
      <c r="C161" s="8">
        <f>IFERROR(B161/B444, "NA")</f>
        <v>2.7380341273675287E-3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-233.57</v>
      </c>
      <c r="I161" s="8">
        <f>IFERROR(H161/H444, "NA")</f>
        <v>1.1674548165445994E-2</v>
      </c>
      <c r="J161" s="9"/>
      <c r="K161" s="7">
        <v>158.52000000000001</v>
      </c>
      <c r="L161" s="8">
        <f>IFERROR(K161/K444, "NA")</f>
        <v>1.7310197160655928E-3</v>
      </c>
      <c r="M161" s="9"/>
      <c r="N161" s="10">
        <f t="shared" si="41"/>
        <v>-75.049999999999983</v>
      </c>
      <c r="O161" s="8">
        <f>IFERROR(N161/N444, "NA")</f>
        <v>1.196902884209014E-2</v>
      </c>
      <c r="P161" s="9"/>
      <c r="Q161" s="7">
        <v>1512.08</v>
      </c>
      <c r="R161" s="8">
        <f>IFERROR(Q161/Q444, "NA")</f>
        <v>3.6834279674952731E-3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-1512.08</v>
      </c>
      <c r="X161" s="8">
        <f>IFERROR(W161/W444, "NA")</f>
        <v>6.9943409893878344E-2</v>
      </c>
      <c r="Y161" s="9"/>
      <c r="Z161" s="7">
        <v>894.68</v>
      </c>
      <c r="AA161" s="8">
        <f>IFERROR(Z161/Z444, "NA")</f>
        <v>2.2876401412267743E-3</v>
      </c>
      <c r="AB161" s="9"/>
      <c r="AC161" s="10">
        <f t="shared" si="43"/>
        <v>-617.4</v>
      </c>
      <c r="AD161" s="8">
        <f>IFERROR(AC161/AC444, "NA")</f>
        <v>-3.1798631330047039E-2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233.57</v>
      </c>
      <c r="C166" s="15">
        <f>IFERROR(B166/B444, "NA")</f>
        <v>2.7380341273675287E-3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-233.57</v>
      </c>
      <c r="I166" s="15">
        <f>IFERROR(H166/H444, "NA")</f>
        <v>1.1674548165445994E-2</v>
      </c>
      <c r="J166" s="2"/>
      <c r="K166" s="14">
        <f>IFERROR(K160+K161+K162+K163+K164+K165, "NA")</f>
        <v>158.52000000000001</v>
      </c>
      <c r="L166" s="15">
        <f>IFERROR(K166/K444, "NA")</f>
        <v>1.7310197160655928E-3</v>
      </c>
      <c r="M166" s="2"/>
      <c r="N166" s="14">
        <f t="shared" si="41"/>
        <v>-75.049999999999983</v>
      </c>
      <c r="O166" s="15">
        <f>IFERROR(N166/N444, "NA")</f>
        <v>1.196902884209014E-2</v>
      </c>
      <c r="P166" s="2"/>
      <c r="Q166" s="14">
        <f>IFERROR(Q160+Q161+Q162+Q163+Q164+Q165, "NA")</f>
        <v>1512.08</v>
      </c>
      <c r="R166" s="15">
        <f>IFERROR(Q166/Q444, "NA")</f>
        <v>3.6834279674952731E-3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-1512.08</v>
      </c>
      <c r="X166" s="15">
        <f>IFERROR(W166/W444, "NA")</f>
        <v>6.9943409893878344E-2</v>
      </c>
      <c r="Y166" s="2"/>
      <c r="Z166" s="14">
        <f>IFERROR(Z160+Z161+Z162+Z163+Z164+Z165, "NA")</f>
        <v>894.68</v>
      </c>
      <c r="AA166" s="15">
        <f>IFERROR(Z166/Z444, "NA")</f>
        <v>2.2876401412267743E-3</v>
      </c>
      <c r="AB166" s="2"/>
      <c r="AC166" s="14">
        <f t="shared" si="43"/>
        <v>-617.4</v>
      </c>
      <c r="AD166" s="15">
        <f>IFERROR(AC166/AC444, "NA")</f>
        <v>-3.1798631330047039E-2</v>
      </c>
    </row>
    <row r="167" spans="1:30" ht="16.5" customHeight="1" x14ac:dyDescent="0.45">
      <c r="A167" s="6" t="s">
        <v>155</v>
      </c>
      <c r="B167" s="7">
        <v>77.67</v>
      </c>
      <c r="C167" s="8">
        <f>IFERROR(B167/B444, "NA")</f>
        <v>9.1048983462189471E-4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-77.67</v>
      </c>
      <c r="I167" s="8">
        <f>IFERROR(H167/H444, "NA")</f>
        <v>3.8821858800795923E-3</v>
      </c>
      <c r="J167" s="9"/>
      <c r="K167" s="7">
        <v>125.42</v>
      </c>
      <c r="L167" s="8">
        <f>IFERROR(K167/K444, "NA")</f>
        <v>1.3695716173917905E-3</v>
      </c>
      <c r="M167" s="9"/>
      <c r="N167" s="10">
        <f t="shared" si="41"/>
        <v>47.75</v>
      </c>
      <c r="O167" s="8">
        <f>IFERROR(N167/N444, "NA")</f>
        <v>-7.6152048928688123E-3</v>
      </c>
      <c r="P167" s="9"/>
      <c r="Q167" s="7">
        <v>437.66</v>
      </c>
      <c r="R167" s="8">
        <f>IFERROR(Q167/Q444, "NA")</f>
        <v>1.0661400747671958E-3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-437.66</v>
      </c>
      <c r="X167" s="8">
        <f>IFERROR(W167/W444, "NA")</f>
        <v>2.0244585454575682E-2</v>
      </c>
      <c r="Y167" s="9"/>
      <c r="Z167" s="7">
        <v>662.49</v>
      </c>
      <c r="AA167" s="8">
        <f>IFERROR(Z167/Z444, "NA")</f>
        <v>1.6939450050982763E-3</v>
      </c>
      <c r="AB167" s="9"/>
      <c r="AC167" s="10">
        <f t="shared" si="43"/>
        <v>224.82999999999998</v>
      </c>
      <c r="AD167" s="8">
        <f>IFERROR(AC167/AC444, "NA")</f>
        <v>1.1579666799375568E-2</v>
      </c>
    </row>
    <row r="168" spans="1:30" ht="16.5" customHeight="1" x14ac:dyDescent="0.45">
      <c r="A168" s="6" t="s">
        <v>156</v>
      </c>
      <c r="B168" s="7">
        <v>17.8</v>
      </c>
      <c r="C168" s="8">
        <f>IFERROR(B168/B444, "NA")</f>
        <v>2.0866124702291396E-4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-17.8</v>
      </c>
      <c r="I168" s="8">
        <f>IFERROR(H168/H444, "NA")</f>
        <v>8.8969883694369443E-4</v>
      </c>
      <c r="J168" s="9"/>
      <c r="K168" s="7">
        <v>29.6</v>
      </c>
      <c r="L168" s="8">
        <f>IFERROR(K168/K444, "NA")</f>
        <v>3.2322851120074152E-4</v>
      </c>
      <c r="M168" s="9"/>
      <c r="N168" s="10">
        <f t="shared" si="41"/>
        <v>11.8</v>
      </c>
      <c r="O168" s="8">
        <f>IFERROR(N168/N444, "NA")</f>
        <v>-1.8818726227403557E-3</v>
      </c>
      <c r="P168" s="9"/>
      <c r="Q168" s="7">
        <v>133.80000000000001</v>
      </c>
      <c r="R168" s="8">
        <f>IFERROR(Q168/Q444, "NA")</f>
        <v>3.2593689622960928E-4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-133.80000000000001</v>
      </c>
      <c r="X168" s="8">
        <f>IFERROR(W168/W444, "NA")</f>
        <v>6.1891092030851034E-3</v>
      </c>
      <c r="Y168" s="9"/>
      <c r="Z168" s="7">
        <v>208.49</v>
      </c>
      <c r="AA168" s="8">
        <f>IFERROR(Z168/Z444, "NA")</f>
        <v>5.3309573595516858E-4</v>
      </c>
      <c r="AB168" s="9"/>
      <c r="AC168" s="10">
        <f t="shared" si="43"/>
        <v>74.69</v>
      </c>
      <c r="AD168" s="8">
        <f>IFERROR(AC168/AC444, "NA")</f>
        <v>3.8468412277959398E-3</v>
      </c>
    </row>
    <row r="169" spans="1:30" ht="16.5" customHeight="1" x14ac:dyDescent="0.45">
      <c r="A169" s="6" t="s">
        <v>157</v>
      </c>
      <c r="B169" s="7">
        <v>-994.4</v>
      </c>
      <c r="C169" s="8">
        <f>IFERROR(B169/B444, "NA")</f>
        <v>-1.165689573256099E-2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994.4</v>
      </c>
      <c r="I169" s="8">
        <f>IFERROR(H169/H444, "NA")</f>
        <v>-4.9703175475101669E-2</v>
      </c>
      <c r="J169" s="9"/>
      <c r="K169" s="7">
        <v>-1556.48</v>
      </c>
      <c r="L169" s="8">
        <f>IFERROR(K169/K444, "NA")</f>
        <v>-1.6996578145734124E-2</v>
      </c>
      <c r="M169" s="9"/>
      <c r="N169" s="10">
        <f t="shared" si="41"/>
        <v>-562.08000000000004</v>
      </c>
      <c r="O169" s="8">
        <f>IFERROR(N169/N444, "NA")</f>
        <v>8.9640929134737216E-2</v>
      </c>
      <c r="P169" s="9"/>
      <c r="Q169" s="7">
        <v>-8822.68</v>
      </c>
      <c r="R169" s="8">
        <f>IFERROR(Q169/Q444, "NA")</f>
        <v>-2.1492054825314268E-2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8822.68</v>
      </c>
      <c r="X169" s="8">
        <f>IFERROR(W169/W444, "NA")</f>
        <v>-0.40810560526064932</v>
      </c>
      <c r="Y169" s="9"/>
      <c r="Z169" s="7">
        <v>-9555.81</v>
      </c>
      <c r="AA169" s="8">
        <f>IFERROR(Z169/Z444, "NA")</f>
        <v>-2.4433601441785021E-2</v>
      </c>
      <c r="AB169" s="9"/>
      <c r="AC169" s="10">
        <f t="shared" si="43"/>
        <v>-733.1299999999992</v>
      </c>
      <c r="AD169" s="8">
        <f>IFERROR(AC169/AC444, "NA")</f>
        <v>-3.7759200821181345E-2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2983.4900000000002</v>
      </c>
      <c r="C170" s="15">
        <f>IFERROR(B170/B444, "NA")</f>
        <v>3.4974086734853568E-2</v>
      </c>
      <c r="D170" s="2"/>
      <c r="E170" s="14">
        <f>IFERROR(E151+E153+E154+E155+E156+E157+E160+E161+E162+E163+E164+E165+E167+E168+E169, "NA")</f>
        <v>1579.69</v>
      </c>
      <c r="F170" s="15">
        <f>IFERROR(E170/E444, "NA")</f>
        <v>1.5000023738872404E-2</v>
      </c>
      <c r="G170" s="2"/>
      <c r="H170" s="14">
        <f t="shared" si="40"/>
        <v>-1403.8000000000002</v>
      </c>
      <c r="I170" s="15">
        <f>IFERROR(H170/H444, "NA")</f>
        <v>7.0166248724806646E-2</v>
      </c>
      <c r="J170" s="2"/>
      <c r="K170" s="14">
        <f>IFERROR(K151+K153+K154+K155+K156+K157+K160+K161+K162+K163+K164+K165+K167+K168+K169, "NA")</f>
        <v>2868.8200000000011</v>
      </c>
      <c r="L170" s="15">
        <f>IFERROR(K170/K444, "NA")</f>
        <v>3.1327176266990255E-2</v>
      </c>
      <c r="M170" s="2"/>
      <c r="N170" s="14">
        <f t="shared" si="41"/>
        <v>-114.66999999999916</v>
      </c>
      <c r="O170" s="15">
        <f>IFERROR(N170/N444, "NA")</f>
        <v>1.8287655394036866E-2</v>
      </c>
      <c r="P170" s="2"/>
      <c r="Q170" s="14">
        <f>IFERROR(Q151+Q153+Q154+Q155+Q156+Q157+Q160+Q161+Q162+Q163+Q164+Q165+Q167+Q168+Q169, "NA")</f>
        <v>10556.080000000002</v>
      </c>
      <c r="R170" s="15">
        <f>IFERROR(Q170/Q444, "NA")</f>
        <v>2.5714618471983964E-2</v>
      </c>
      <c r="S170" s="2"/>
      <c r="T170" s="14">
        <f>IFERROR(T151+T153+T154+T155+T156+T157+T160+T161+T162+T163+T164+T165+T167+T168+T169, "NA")</f>
        <v>7049.27</v>
      </c>
      <c r="U170" s="15">
        <f>IFERROR(T170/T444, "NA")</f>
        <v>1.6312938914121024E-2</v>
      </c>
      <c r="V170" s="2"/>
      <c r="W170" s="14">
        <f t="shared" si="42"/>
        <v>-3506.8100000000013</v>
      </c>
      <c r="X170" s="15">
        <f>IFERROR(W170/W444, "NA")</f>
        <v>0.16221248164776442</v>
      </c>
      <c r="Y170" s="2"/>
      <c r="Z170" s="14">
        <f>IFERROR(Z151+Z153+Z154+Z155+Z156+Z157+Z160+Z161+Z162+Z163+Z164+Z165+Z167+Z168+Z169, "NA")</f>
        <v>10238.510000000004</v>
      </c>
      <c r="AA170" s="15">
        <f>IFERROR(Z170/Z444, "NA")</f>
        <v>2.617922213791719E-2</v>
      </c>
      <c r="AB170" s="2"/>
      <c r="AC170" s="14">
        <f t="shared" si="43"/>
        <v>-317.56999999999789</v>
      </c>
      <c r="AD170" s="15">
        <f>IFERROR(AC170/AC444, "NA")</f>
        <v>-1.6356157031880422E-2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26355.09</v>
      </c>
      <c r="C171" s="15">
        <f>IFERROR(B171/B444, "NA")</f>
        <v>0.30894864858433307</v>
      </c>
      <c r="D171" s="2"/>
      <c r="E171" s="14">
        <f>IFERROR(E127+E129+E130+E131+E132+E133+E134+E135+E136+E137+E138+E139+E140+E143+E144+E145+E146+E147+E151+E153+E154+E155+E156+E157+E160+E161+E162+E163+E164+E165+E167+E168+E169, "NA")</f>
        <v>27907.809999999998</v>
      </c>
      <c r="F171" s="15">
        <f>IFERROR(E171/E444, "NA")</f>
        <v>0.26499997626112759</v>
      </c>
      <c r="G171" s="2"/>
      <c r="H171" s="14">
        <f t="shared" si="40"/>
        <v>1552.7199999999975</v>
      </c>
      <c r="I171" s="15">
        <f>IFERROR(H171/H444, "NA")</f>
        <v>-7.7609729106697237E-2</v>
      </c>
      <c r="J171" s="2"/>
      <c r="K171" s="14">
        <f>IFERROR(K127+K129+K130+K131+K132+K133+K134+K135+K136+K137+K138+K139+K140+K143+K144+K145+K146+K147+K151+K153+K154+K155+K156+K157+K160+K161+K162+K163+K164+K165+K167+K168+K169, "NA")</f>
        <v>27168.66</v>
      </c>
      <c r="L171" s="15">
        <f>IFERROR(K171/K444, "NA")</f>
        <v>0.29667856497024114</v>
      </c>
      <c r="M171" s="2"/>
      <c r="N171" s="14">
        <f t="shared" si="41"/>
        <v>813.56999999999971</v>
      </c>
      <c r="O171" s="15">
        <f>IFERROR(N171/N444, "NA")</f>
        <v>-0.12974873810871784</v>
      </c>
      <c r="P171" s="2"/>
      <c r="Q171" s="14">
        <f>IFERROR(Q127+Q129+Q130+Q131+Q132+Q133+Q134+Q135+Q136+Q137+Q138+Q139+Q140+Q143+Q144+Q145+Q146+Q147+Q151+Q153+Q154+Q155+Q156+Q157+Q160+Q161+Q162+Q163+Q164+Q165+Q167+Q168+Q169, "NA")</f>
        <v>116216.90000000002</v>
      </c>
      <c r="R171" s="15">
        <f>IFERROR(Q171/Q444, "NA")</f>
        <v>0.2831044519837585</v>
      </c>
      <c r="S171" s="2"/>
      <c r="T171" s="14">
        <f>IFERROR(T127+T129+T130+T131+T132+T133+T134+T135+T136+T137+T138+T139+T140+T143+T144+T145+T146+T147+T151+T153+T154+T155+T156+T157+T160+T161+T162+T163+T164+T165+T167+T168+T169, "NA")</f>
        <v>117925.14</v>
      </c>
      <c r="U171" s="15">
        <f>IFERROR(T171/T444, "NA")</f>
        <v>0.27289430043950219</v>
      </c>
      <c r="V171" s="2"/>
      <c r="W171" s="14">
        <f t="shared" si="42"/>
        <v>1708.2399999999761</v>
      </c>
      <c r="X171" s="15">
        <f>IFERROR(W171/W444, "NA")</f>
        <v>-7.9017069544678242E-2</v>
      </c>
      <c r="Y171" s="2"/>
      <c r="Z171" s="14">
        <f>IFERROR(Z127+Z129+Z130+Z131+Z132+Z133+Z134+Z135+Z136+Z137+Z138+Z139+Z140+Z143+Z144+Z145+Z146+Z147+Z151+Z153+Z154+Z155+Z156+Z157+Z160+Z161+Z162+Z163+Z164+Z165+Z167+Z168+Z169, "NA")</f>
        <v>112703.74</v>
      </c>
      <c r="AA171" s="15">
        <f>IFERROR(Z171/Z444, "NA")</f>
        <v>0.28817633085615602</v>
      </c>
      <c r="AB171" s="2"/>
      <c r="AC171" s="14">
        <f t="shared" si="43"/>
        <v>-3513.160000000018</v>
      </c>
      <c r="AD171" s="15">
        <f>IFERROR(AC171/AC444, "NA")</f>
        <v>-0.18094214389936611</v>
      </c>
    </row>
    <row r="172" spans="1:30" ht="16.5" customHeight="1" x14ac:dyDescent="0.45">
      <c r="A172" s="22" t="s">
        <v>160</v>
      </c>
      <c r="B172" s="23">
        <f>IFERROR(B124-B171, "NA")</f>
        <v>58950.640000000014</v>
      </c>
      <c r="C172" s="24">
        <f>IFERROR(B172/B444, "NA")</f>
        <v>0.69105135141566709</v>
      </c>
      <c r="D172" s="25"/>
      <c r="E172" s="23">
        <f>IFERROR(E124-E171, "NA")</f>
        <v>77404.69</v>
      </c>
      <c r="F172" s="24">
        <f>IFERROR(E172/E444, "NA")</f>
        <v>0.73500002373887241</v>
      </c>
      <c r="G172" s="25"/>
      <c r="H172" s="23">
        <f>IFERROR(B172-E172, "NA")</f>
        <v>-18454.049999999988</v>
      </c>
      <c r="I172" s="24">
        <f>IFERROR(H172/H444, "NA")</f>
        <v>0.92239027089330183</v>
      </c>
      <c r="J172" s="25"/>
      <c r="K172" s="23">
        <f>IFERROR(K124-K171, "NA")</f>
        <v>64407.42</v>
      </c>
      <c r="L172" s="24">
        <f>IFERROR(K172/K444, "NA")</f>
        <v>0.70332143502975886</v>
      </c>
      <c r="M172" s="25"/>
      <c r="N172" s="23">
        <f>IFERROR(B172-K172, "NA")</f>
        <v>-5456.7799999999843</v>
      </c>
      <c r="O172" s="24">
        <f>IFERROR(N172/N444, "NA")</f>
        <v>0.87025126189127866</v>
      </c>
      <c r="P172" s="25"/>
      <c r="Q172" s="23">
        <f>IFERROR(Q124-Q171, "NA")</f>
        <v>294292.00999999983</v>
      </c>
      <c r="R172" s="24">
        <f>IFERROR(Q172/Q444, "NA")</f>
        <v>0.71689554801624122</v>
      </c>
      <c r="S172" s="25"/>
      <c r="T172" s="23">
        <f>IFERROR(T124-T171, "NA")</f>
        <v>314202.39</v>
      </c>
      <c r="U172" s="24">
        <f>IFERROR(T172/T444, "NA")</f>
        <v>0.72710569956049775</v>
      </c>
      <c r="V172" s="25"/>
      <c r="W172" s="23">
        <f>IFERROR(Q172-T172, "NA")</f>
        <v>-19910.380000000179</v>
      </c>
      <c r="X172" s="24">
        <f>IFERROR(W172/W444, "NA")</f>
        <v>0.92098293045532642</v>
      </c>
      <c r="Y172" s="25"/>
      <c r="Z172" s="23">
        <f>IFERROR(Z124-Z171, "NA")</f>
        <v>278389.24000000011</v>
      </c>
      <c r="AA172" s="24">
        <f>IFERROR(Z172/Z444, "NA")</f>
        <v>0.71182366914384432</v>
      </c>
      <c r="AB172" s="25"/>
      <c r="AC172" s="23">
        <f>IFERROR(Q172-Z172, "NA")</f>
        <v>15902.769999999728</v>
      </c>
      <c r="AD172" s="24">
        <f>IFERROR(AC172/AC444, "NA")</f>
        <v>0.81905785610062121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4615.3999999999996</v>
      </c>
      <c r="C178" s="8">
        <f>IFERROR(B178/B444, "NA")</f>
        <v>5.4104220197166118E-2</v>
      </c>
      <c r="D178" s="9"/>
      <c r="E178" s="7">
        <v>5000</v>
      </c>
      <c r="F178" s="8">
        <f>IFERROR(E178/E444, "NA")</f>
        <v>4.7477744807121663E-2</v>
      </c>
      <c r="G178" s="9"/>
      <c r="H178" s="10">
        <f t="shared" si="44"/>
        <v>384.60000000000036</v>
      </c>
      <c r="I178" s="8">
        <f>IFERROR(H178/H444, "NA")</f>
        <v>-1.9223492847671077E-2</v>
      </c>
      <c r="J178" s="9"/>
      <c r="K178" s="7">
        <v>5307.68</v>
      </c>
      <c r="L178" s="8">
        <f>IFERROR(K178/K444, "NA")</f>
        <v>5.7959240011147016E-2</v>
      </c>
      <c r="M178" s="9"/>
      <c r="N178" s="10">
        <f t="shared" si="45"/>
        <v>692.28000000000065</v>
      </c>
      <c r="O178" s="8">
        <f>IFERROR(N178/N444, "NA")</f>
        <v>-0.11040532027717752</v>
      </c>
      <c r="P178" s="9"/>
      <c r="Q178" s="7">
        <v>24230.85</v>
      </c>
      <c r="R178" s="8">
        <f>IFERROR(Q178/Q444, "NA")</f>
        <v>5.9026368026944893E-2</v>
      </c>
      <c r="S178" s="9"/>
      <c r="T178" s="7">
        <v>26250</v>
      </c>
      <c r="U178" s="8">
        <f>IFERROR(T178/T444, "NA")</f>
        <v>6.0745956176409308E-2</v>
      </c>
      <c r="V178" s="9"/>
      <c r="W178" s="10">
        <f t="shared" si="46"/>
        <v>2019.1500000000015</v>
      </c>
      <c r="X178" s="8">
        <f>IFERROR(W178/W444, "NA")</f>
        <v>-9.3398653568081427E-2</v>
      </c>
      <c r="Y178" s="9"/>
      <c r="Z178" s="7">
        <v>27865.32</v>
      </c>
      <c r="AA178" s="8">
        <f>IFERROR(Z178/Z444, "NA")</f>
        <v>7.1249859815944533E-2</v>
      </c>
      <c r="AB178" s="9"/>
      <c r="AC178" s="10">
        <f t="shared" si="47"/>
        <v>3634.4700000000012</v>
      </c>
      <c r="AD178" s="8">
        <f>IFERROR(AC178/AC444, "NA")</f>
        <v>0.18719010626840962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19094.16</v>
      </c>
      <c r="C180" s="8">
        <f>IFERROR(B180/B444, "NA")</f>
        <v>0.22383209193567655</v>
      </c>
      <c r="D180" s="9"/>
      <c r="E180" s="7">
        <v>18113.75</v>
      </c>
      <c r="F180" s="8">
        <f>IFERROR(E180/E444, "NA")</f>
        <v>0.17199999999999999</v>
      </c>
      <c r="G180" s="9"/>
      <c r="H180" s="10">
        <f t="shared" si="44"/>
        <v>-980.40999999999985</v>
      </c>
      <c r="I180" s="8">
        <f>IFERROR(H180/H444, "NA")</f>
        <v>4.9003912175728498E-2</v>
      </c>
      <c r="J180" s="9"/>
      <c r="K180" s="7">
        <v>16936.060000000001</v>
      </c>
      <c r="L180" s="8">
        <f>IFERROR(K180/K444, "NA")</f>
        <v>0.18493977903400102</v>
      </c>
      <c r="M180" s="9"/>
      <c r="N180" s="10">
        <f t="shared" si="45"/>
        <v>-2158.0999999999985</v>
      </c>
      <c r="O180" s="8">
        <f>IFERROR(N180/N444, "NA")</f>
        <v>0.34417536501152191</v>
      </c>
      <c r="P180" s="9"/>
      <c r="Q180" s="7">
        <v>84855.28</v>
      </c>
      <c r="R180" s="8">
        <f>IFERROR(Q180/Q444, "NA")</f>
        <v>0.20670752310832913</v>
      </c>
      <c r="S180" s="9"/>
      <c r="T180" s="7">
        <v>85122.95</v>
      </c>
      <c r="U180" s="8">
        <f>IFERROR(T180/T444, "NA")</f>
        <v>0.19698571391644498</v>
      </c>
      <c r="V180" s="9"/>
      <c r="W180" s="10">
        <f t="shared" si="46"/>
        <v>267.66999999999825</v>
      </c>
      <c r="X180" s="8">
        <f>IFERROR(W180/W444, "NA")</f>
        <v>-1.2381456355678465E-2</v>
      </c>
      <c r="Y180" s="9"/>
      <c r="Z180" s="7">
        <v>76142.8</v>
      </c>
      <c r="AA180" s="8">
        <f>IFERROR(Z180/Z444, "NA")</f>
        <v>0.19469232099231237</v>
      </c>
      <c r="AB180" s="9"/>
      <c r="AC180" s="10">
        <f t="shared" si="47"/>
        <v>-8712.4799999999959</v>
      </c>
      <c r="AD180" s="8">
        <f>IFERROR(AC180/AC444, "NA")</f>
        <v>-0.44872844102754794</v>
      </c>
    </row>
    <row r="181" spans="1:30" ht="16.5" customHeight="1" x14ac:dyDescent="0.45">
      <c r="A181" s="12" t="s">
        <v>166</v>
      </c>
      <c r="B181" s="7">
        <v>0</v>
      </c>
      <c r="C181" s="8">
        <f>IFERROR(B181/B444, "NA")</f>
        <v>0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0</v>
      </c>
      <c r="I181" s="8">
        <f>IFERROR(H181/H444, "NA")</f>
        <v>0</v>
      </c>
      <c r="J181" s="9"/>
      <c r="K181" s="7">
        <v>0</v>
      </c>
      <c r="L181" s="8">
        <f>IFERROR(K181/K444, "NA")</f>
        <v>0</v>
      </c>
      <c r="M181" s="9"/>
      <c r="N181" s="10">
        <f t="shared" si="45"/>
        <v>0</v>
      </c>
      <c r="O181" s="8">
        <f>IFERROR(N181/N444, "NA")</f>
        <v>0</v>
      </c>
      <c r="P181" s="9"/>
      <c r="Q181" s="7">
        <v>236.21</v>
      </c>
      <c r="R181" s="8">
        <f>IFERROR(Q181/Q444, "NA")</f>
        <v>5.7540772988337824E-4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-236.21</v>
      </c>
      <c r="X181" s="8">
        <f>IFERROR(W181/W444, "NA")</f>
        <v>1.0926229333787237E-2</v>
      </c>
      <c r="Y181" s="9"/>
      <c r="Z181" s="7">
        <v>282.51</v>
      </c>
      <c r="AA181" s="8">
        <f>IFERROR(Z181/Z444, "NA")</f>
        <v>7.2236019168638618E-4</v>
      </c>
      <c r="AB181" s="9"/>
      <c r="AC181" s="10">
        <f t="shared" si="47"/>
        <v>46.299999999999983</v>
      </c>
      <c r="AD181" s="8">
        <f>IFERROR(AC181/AC444, "NA")</f>
        <v>2.3846398292536077E-3</v>
      </c>
    </row>
    <row r="182" spans="1:30" ht="16.5" customHeight="1" x14ac:dyDescent="0.45">
      <c r="A182" s="13" t="s">
        <v>167</v>
      </c>
      <c r="B182" s="14">
        <f>IFERROR(B177+B178+B179+B180+B181, "NA")</f>
        <v>23709.559999999998</v>
      </c>
      <c r="C182" s="15">
        <f>IFERROR(B182/B444, "NA")</f>
        <v>0.27793631213284264</v>
      </c>
      <c r="D182" s="2"/>
      <c r="E182" s="14">
        <f>IFERROR(E177+E178+E179+E180+E181, "NA")</f>
        <v>23113.75</v>
      </c>
      <c r="F182" s="15">
        <f>IFERROR(E182/E444, "NA")</f>
        <v>0.21947774480712165</v>
      </c>
      <c r="G182" s="2"/>
      <c r="H182" s="14">
        <f t="shared" si="44"/>
        <v>-595.80999999999767</v>
      </c>
      <c r="I182" s="15">
        <f>IFERROR(H182/H444, "NA")</f>
        <v>2.978041932805733E-2</v>
      </c>
      <c r="J182" s="2"/>
      <c r="K182" s="14">
        <f>IFERROR(K177+K178+K179+K180+K181, "NA")</f>
        <v>22243.74</v>
      </c>
      <c r="L182" s="15">
        <f>IFERROR(K182/K444, "NA")</f>
        <v>0.24289901904514805</v>
      </c>
      <c r="M182" s="2"/>
      <c r="N182" s="14">
        <f t="shared" si="45"/>
        <v>-1465.8199999999961</v>
      </c>
      <c r="O182" s="15">
        <f>IFERROR(N182/N444, "NA")</f>
        <v>0.23377004473434412</v>
      </c>
      <c r="P182" s="2"/>
      <c r="Q182" s="14">
        <f>IFERROR(Q177+Q178+Q179+Q180+Q181, "NA")</f>
        <v>109322.34000000001</v>
      </c>
      <c r="R182" s="15">
        <f>IFERROR(Q182/Q444, "NA")</f>
        <v>0.26630929886515742</v>
      </c>
      <c r="S182" s="2"/>
      <c r="T182" s="14">
        <f>IFERROR(T177+T178+T179+T180+T181, "NA")</f>
        <v>111372.95</v>
      </c>
      <c r="U182" s="15">
        <f>IFERROR(T182/T444, "NA")</f>
        <v>0.2577316700928543</v>
      </c>
      <c r="V182" s="2"/>
      <c r="W182" s="14">
        <f t="shared" si="46"/>
        <v>2050.609999999986</v>
      </c>
      <c r="X182" s="15">
        <f>IFERROR(W182/W444, "NA")</f>
        <v>-9.4853880589972017E-2</v>
      </c>
      <c r="Y182" s="2"/>
      <c r="Z182" s="14">
        <f>IFERROR(Z177+Z178+Z179+Z180+Z181, "NA")</f>
        <v>104290.62999999999</v>
      </c>
      <c r="AA182" s="15">
        <f>IFERROR(Z182/Z444, "NA")</f>
        <v>0.2666645409999433</v>
      </c>
      <c r="AB182" s="2"/>
      <c r="AC182" s="14">
        <f t="shared" si="47"/>
        <v>-5031.710000000021</v>
      </c>
      <c r="AD182" s="15">
        <f>IFERROR(AC182/AC444, "NA")</f>
        <v>-0.25915369492988605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300</v>
      </c>
      <c r="C184" s="8">
        <f>IFERROR(B184/B444, "NA")</f>
        <v>3.5167625902738303E-3</v>
      </c>
      <c r="D184" s="9"/>
      <c r="E184" s="7">
        <v>300</v>
      </c>
      <c r="F184" s="8">
        <f>IFERROR(E184/E444, "NA")</f>
        <v>2.8486646884272999E-3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3.2759646405480557E-3</v>
      </c>
      <c r="M184" s="9"/>
      <c r="N184" s="10">
        <f t="shared" si="45"/>
        <v>0</v>
      </c>
      <c r="O184" s="8">
        <f>IFERROR(N184/N444, "NA")</f>
        <v>0</v>
      </c>
      <c r="P184" s="9"/>
      <c r="Q184" s="7">
        <v>1500</v>
      </c>
      <c r="R184" s="8">
        <f>IFERROR(Q184/Q444, "NA")</f>
        <v>3.6540010788072789E-3</v>
      </c>
      <c r="S184" s="9"/>
      <c r="T184" s="7">
        <v>1500</v>
      </c>
      <c r="U184" s="8">
        <f>IFERROR(T184/T444, "NA")</f>
        <v>3.4711974957948176E-3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1300</v>
      </c>
      <c r="AA184" s="8">
        <f>IFERROR(Z184/Z444, "NA")</f>
        <v>3.3240177310265196E-3</v>
      </c>
      <c r="AB184" s="9"/>
      <c r="AC184" s="10">
        <f t="shared" si="47"/>
        <v>-200</v>
      </c>
      <c r="AD184" s="8">
        <f>IFERROR(AC184/AC444, "NA")</f>
        <v>-1.0300819996775847E-2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2620.12</v>
      </c>
      <c r="C186" s="8">
        <f>IFERROR(B186/B444, "NA")</f>
        <v>3.0714466660094229E-2</v>
      </c>
      <c r="D186" s="9"/>
      <c r="E186" s="7">
        <v>2332.13</v>
      </c>
      <c r="F186" s="8">
        <f>IFERROR(E186/E444, "NA")</f>
        <v>2.214485459940653E-2</v>
      </c>
      <c r="G186" s="9"/>
      <c r="H186" s="10">
        <f t="shared" ref="H186:H197" si="48">IFERROR(-(B186-E186), "NA")</f>
        <v>-287.98999999999978</v>
      </c>
      <c r="I186" s="8">
        <f>IFERROR(H186/H444, "NA")</f>
        <v>1.4394627418618784E-2</v>
      </c>
      <c r="J186" s="9"/>
      <c r="K186" s="7">
        <v>2570.21</v>
      </c>
      <c r="L186" s="8">
        <f>IFERROR(K186/K444, "NA")</f>
        <v>2.8066390262610062E-2</v>
      </c>
      <c r="M186" s="9"/>
      <c r="N186" s="10">
        <f t="shared" ref="N186:N197" si="49">IFERROR(-(B186-K186), "NA")</f>
        <v>-49.909999999999854</v>
      </c>
      <c r="O186" s="8">
        <f>IFERROR(N186/N444, "NA")</f>
        <v>7.9596832712687179E-3</v>
      </c>
      <c r="P186" s="9"/>
      <c r="Q186" s="7">
        <v>14247.43</v>
      </c>
      <c r="R186" s="8">
        <f>IFERROR(Q186/Q444, "NA")</f>
        <v>3.4706749726820793E-2</v>
      </c>
      <c r="S186" s="9"/>
      <c r="T186" s="7">
        <v>13074.59</v>
      </c>
      <c r="U186" s="8">
        <f>IFERROR(T186/T444, "NA")</f>
        <v>3.0256322711029311E-2</v>
      </c>
      <c r="V186" s="9"/>
      <c r="W186" s="10">
        <f t="shared" ref="W186:W197" si="50">IFERROR(-(Q186-T186), "NA")</f>
        <v>-1172.8400000000001</v>
      </c>
      <c r="X186" s="8">
        <f>IFERROR(W186/W444, "NA")</f>
        <v>5.4251381448029393E-2</v>
      </c>
      <c r="Y186" s="9"/>
      <c r="Z186" s="7">
        <v>13677.89</v>
      </c>
      <c r="AA186" s="8">
        <f>IFERROR(Z186/Z444, "NA")</f>
        <v>3.4973499140792556E-2</v>
      </c>
      <c r="AB186" s="9"/>
      <c r="AC186" s="10">
        <f t="shared" ref="AC186:AC197" si="51">IFERROR(-(Q186-Z186), "NA")</f>
        <v>-569.54000000000087</v>
      </c>
      <c r="AD186" s="8">
        <f>IFERROR(AC186/AC444, "NA")</f>
        <v>-2.9333645104818624E-2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-0.01</v>
      </c>
      <c r="L187" s="8">
        <f>IFERROR(K187/K444, "NA")</f>
        <v>-1.0919882135160186E-7</v>
      </c>
      <c r="M187" s="9"/>
      <c r="N187" s="10">
        <f t="shared" si="49"/>
        <v>-0.01</v>
      </c>
      <c r="O187" s="8">
        <f>IFERROR(N187/N444, "NA")</f>
        <v>1.5948073074070812E-6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0.05</v>
      </c>
      <c r="AA187" s="8">
        <f>IFERROR(Z187/Z444, "NA")</f>
        <v>1.2784683580871231E-7</v>
      </c>
      <c r="AB187" s="9"/>
      <c r="AC187" s="10">
        <f t="shared" si="51"/>
        <v>0.05</v>
      </c>
      <c r="AD187" s="8">
        <f>IFERROR(AC187/AC444, "NA")</f>
        <v>2.575204999193962E-6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2620.12</v>
      </c>
      <c r="C193" s="15">
        <f>IFERROR(B193/B444, "NA")</f>
        <v>3.0714466660094229E-2</v>
      </c>
      <c r="D193" s="2"/>
      <c r="E193" s="14">
        <f>IFERROR(E186+E187+E188+E189+E190+E191+E192, "NA")</f>
        <v>2332.13</v>
      </c>
      <c r="F193" s="15">
        <f>IFERROR(E193/E444, "NA")</f>
        <v>2.214485459940653E-2</v>
      </c>
      <c r="G193" s="2"/>
      <c r="H193" s="14">
        <f t="shared" si="48"/>
        <v>-287.98999999999978</v>
      </c>
      <c r="I193" s="15">
        <f>IFERROR(H193/H444, "NA")</f>
        <v>1.4394627418618784E-2</v>
      </c>
      <c r="J193" s="2"/>
      <c r="K193" s="14">
        <f>IFERROR(K186+K187+K188+K189+K190+K191+K192, "NA")</f>
        <v>2570.1999999999998</v>
      </c>
      <c r="L193" s="15">
        <f>IFERROR(K193/K444, "NA")</f>
        <v>2.8066281063788709E-2</v>
      </c>
      <c r="M193" s="2"/>
      <c r="N193" s="14">
        <f t="shared" si="49"/>
        <v>-49.920000000000073</v>
      </c>
      <c r="O193" s="15">
        <f>IFERROR(N193/N444, "NA")</f>
        <v>7.9612780785761599E-3</v>
      </c>
      <c r="P193" s="2"/>
      <c r="Q193" s="14">
        <f>IFERROR(Q186+Q187+Q188+Q189+Q190+Q191+Q192, "NA")</f>
        <v>14247.43</v>
      </c>
      <c r="R193" s="15">
        <f>IFERROR(Q193/Q444, "NA")</f>
        <v>3.4706749726820793E-2</v>
      </c>
      <c r="S193" s="2"/>
      <c r="T193" s="14">
        <f>IFERROR(T186+T187+T188+T189+T190+T191+T192, "NA")</f>
        <v>13074.59</v>
      </c>
      <c r="U193" s="15">
        <f>IFERROR(T193/T444, "NA")</f>
        <v>3.0256322711029311E-2</v>
      </c>
      <c r="V193" s="2"/>
      <c r="W193" s="14">
        <f t="shared" si="50"/>
        <v>-1172.8400000000001</v>
      </c>
      <c r="X193" s="15">
        <f>IFERROR(W193/W444, "NA")</f>
        <v>5.4251381448029393E-2</v>
      </c>
      <c r="Y193" s="2"/>
      <c r="Z193" s="14">
        <f>IFERROR(Z186+Z187+Z188+Z189+Z190+Z191+Z192, "NA")</f>
        <v>13677.939999999999</v>
      </c>
      <c r="AA193" s="15">
        <f>IFERROR(Z193/Z444, "NA")</f>
        <v>3.4973626987628362E-2</v>
      </c>
      <c r="AB193" s="2"/>
      <c r="AC193" s="14">
        <f t="shared" si="51"/>
        <v>-569.4900000000016</v>
      </c>
      <c r="AD193" s="15">
        <f>IFERROR(AC193/AC444, "NA")</f>
        <v>-2.9331069899819467E-2</v>
      </c>
    </row>
    <row r="194" spans="1:30" ht="16.5" customHeight="1" x14ac:dyDescent="0.45">
      <c r="A194" s="6" t="s">
        <v>178</v>
      </c>
      <c r="B194" s="7">
        <v>224.72</v>
      </c>
      <c r="C194" s="8">
        <f>IFERROR(B194/B444, "NA")</f>
        <v>2.6342896309544507E-3</v>
      </c>
      <c r="D194" s="9"/>
      <c r="E194" s="7">
        <v>187.31</v>
      </c>
      <c r="F194" s="8">
        <f>IFERROR(E194/E444, "NA")</f>
        <v>1.7786112759643918E-3</v>
      </c>
      <c r="G194" s="9"/>
      <c r="H194" s="10">
        <f t="shared" si="48"/>
        <v>-37.409999999999997</v>
      </c>
      <c r="I194" s="8">
        <f>IFERROR(H194/H444, "NA")</f>
        <v>1.8698670500035732E-3</v>
      </c>
      <c r="J194" s="9"/>
      <c r="K194" s="7">
        <v>224.72</v>
      </c>
      <c r="L194" s="8">
        <f>IFERROR(K194/K444, "NA")</f>
        <v>2.4539159134131967E-3</v>
      </c>
      <c r="M194" s="9"/>
      <c r="N194" s="10">
        <f t="shared" si="49"/>
        <v>0</v>
      </c>
      <c r="O194" s="8">
        <f>IFERROR(N194/N444, "NA")</f>
        <v>0</v>
      </c>
      <c r="P194" s="9"/>
      <c r="Q194" s="7">
        <v>1188.26</v>
      </c>
      <c r="R194" s="8">
        <f>IFERROR(Q194/Q444, "NA")</f>
        <v>2.894602214602358E-3</v>
      </c>
      <c r="S194" s="9"/>
      <c r="T194" s="7">
        <v>902.99</v>
      </c>
      <c r="U194" s="8">
        <f>IFERROR(T194/T444, "NA")</f>
        <v>2.0896377511518418E-3</v>
      </c>
      <c r="V194" s="9"/>
      <c r="W194" s="10">
        <f t="shared" si="50"/>
        <v>-285.27</v>
      </c>
      <c r="X194" s="8">
        <f>IFERROR(W194/W444, "NA")</f>
        <v>1.3195569374918439E-2</v>
      </c>
      <c r="Y194" s="9"/>
      <c r="Z194" s="7">
        <v>921.14</v>
      </c>
      <c r="AA194" s="8">
        <f>IFERROR(Z194/Z444, "NA")</f>
        <v>2.3552966867367449E-3</v>
      </c>
      <c r="AB194" s="9"/>
      <c r="AC194" s="10">
        <f t="shared" si="51"/>
        <v>-267.12</v>
      </c>
      <c r="AD194" s="8">
        <f>IFERROR(AC194/AC444, "NA")</f>
        <v>-1.3757775187693822E-2</v>
      </c>
    </row>
    <row r="195" spans="1:30" ht="16.5" customHeight="1" x14ac:dyDescent="0.45">
      <c r="A195" s="6" t="s">
        <v>179</v>
      </c>
      <c r="B195" s="7">
        <v>-172.78</v>
      </c>
      <c r="C195" s="8">
        <f>IFERROR(B195/B444, "NA")</f>
        <v>-2.0254208011583749E-3</v>
      </c>
      <c r="D195" s="9"/>
      <c r="E195" s="7">
        <v>163.9</v>
      </c>
      <c r="F195" s="8">
        <f>IFERROR(E195/E444, "NA")</f>
        <v>1.5563204747774482E-3</v>
      </c>
      <c r="G195" s="9"/>
      <c r="H195" s="10">
        <f t="shared" si="48"/>
        <v>336.68</v>
      </c>
      <c r="I195" s="8">
        <f>IFERROR(H195/H444, "NA")</f>
        <v>-1.6828303619224889E-2</v>
      </c>
      <c r="J195" s="9"/>
      <c r="K195" s="7">
        <v>202.75</v>
      </c>
      <c r="L195" s="8">
        <f>IFERROR(K195/K444, "NA")</f>
        <v>2.2140061029037278E-3</v>
      </c>
      <c r="M195" s="9"/>
      <c r="N195" s="10">
        <f t="shared" si="49"/>
        <v>375.53</v>
      </c>
      <c r="O195" s="8">
        <f>IFERROR(N195/N444, "NA")</f>
        <v>-5.9889798815058112E-2</v>
      </c>
      <c r="P195" s="9"/>
      <c r="Q195" s="7">
        <v>-918.32</v>
      </c>
      <c r="R195" s="8">
        <f>IFERROR(Q195/Q444, "NA")</f>
        <v>-2.2370281804602004E-3</v>
      </c>
      <c r="S195" s="9"/>
      <c r="T195" s="7">
        <v>790.1</v>
      </c>
      <c r="U195" s="8">
        <f>IFERROR(T195/T444, "NA")</f>
        <v>1.8283954276183236E-3</v>
      </c>
      <c r="V195" s="9"/>
      <c r="W195" s="10">
        <f t="shared" si="50"/>
        <v>1708.42</v>
      </c>
      <c r="X195" s="8">
        <f>IFERROR(W195/W444, "NA")</f>
        <v>-7.9025395700557943E-2</v>
      </c>
      <c r="Y195" s="9"/>
      <c r="Z195" s="7">
        <v>960.69</v>
      </c>
      <c r="AA195" s="8">
        <f>IFERROR(Z195/Z444, "NA")</f>
        <v>2.4564235338614365E-3</v>
      </c>
      <c r="AB195" s="9"/>
      <c r="AC195" s="10">
        <f t="shared" si="51"/>
        <v>1879.0100000000002</v>
      </c>
      <c r="AD195" s="8">
        <f>IFERROR(AC195/AC444, "NA")</f>
        <v>9.6776718910708937E-2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26681.62</v>
      </c>
      <c r="C196" s="15">
        <f>IFERROR(B196/B444, "NA")</f>
        <v>0.31277641021300678</v>
      </c>
      <c r="D196" s="2"/>
      <c r="E196" s="14">
        <f>IFERROR(E175+E177+E178+E179+E180+E181+E183+E184+E186+E187+E188+E189+E190+E191+E192+E194+E195, "NA")</f>
        <v>26097.090000000004</v>
      </c>
      <c r="F196" s="15">
        <f>IFERROR(E196/E444, "NA")</f>
        <v>0.24780619584569735</v>
      </c>
      <c r="G196" s="2"/>
      <c r="H196" s="14">
        <f t="shared" si="48"/>
        <v>-584.5299999999952</v>
      </c>
      <c r="I196" s="15">
        <f>IFERROR(H196/H444, "NA")</f>
        <v>2.9216610177454687E-2</v>
      </c>
      <c r="J196" s="2"/>
      <c r="K196" s="14">
        <f>IFERROR(K175+K177+K178+K179+K180+K181+K183+K184+K186+K187+K188+K189+K190+K191+K192+K194+K195, "NA")</f>
        <v>25541.410000000003</v>
      </c>
      <c r="L196" s="15">
        <f>IFERROR(K196/K444, "NA")</f>
        <v>0.27890918676580173</v>
      </c>
      <c r="M196" s="2"/>
      <c r="N196" s="14">
        <f t="shared" si="49"/>
        <v>-1140.2099999999955</v>
      </c>
      <c r="O196" s="15">
        <f>IFERROR(N196/N444, "NA")</f>
        <v>0.18184152399786208</v>
      </c>
      <c r="P196" s="2"/>
      <c r="Q196" s="14">
        <f>IFERROR(Q175+Q177+Q178+Q179+Q180+Q181+Q183+Q184+Q186+Q187+Q188+Q189+Q190+Q191+Q192+Q194+Q195, "NA")</f>
        <v>125339.71</v>
      </c>
      <c r="R196" s="15">
        <f>IFERROR(Q196/Q444, "NA")</f>
        <v>0.30532762370492766</v>
      </c>
      <c r="S196" s="2"/>
      <c r="T196" s="14">
        <f>IFERROR(T175+T177+T178+T179+T180+T181+T183+T184+T186+T187+T188+T189+T190+T191+T192+T194+T195, "NA")</f>
        <v>127640.63</v>
      </c>
      <c r="U196" s="15">
        <f>IFERROR(T196/T444, "NA")</f>
        <v>0.29537722347844858</v>
      </c>
      <c r="V196" s="2"/>
      <c r="W196" s="14">
        <f t="shared" si="50"/>
        <v>2300.9199999999983</v>
      </c>
      <c r="X196" s="15">
        <f>IFERROR(W196/W444, "NA")</f>
        <v>-0.10643232546758269</v>
      </c>
      <c r="Y196" s="2"/>
      <c r="Z196" s="14">
        <f>IFERROR(Z175+Z177+Z178+Z179+Z180+Z181+Z183+Z184+Z186+Z187+Z188+Z189+Z190+Z191+Z192+Z194+Z195, "NA")</f>
        <v>121150.39999999999</v>
      </c>
      <c r="AA196" s="15">
        <f>IFERROR(Z196/Z444, "NA")</f>
        <v>0.30977390593919635</v>
      </c>
      <c r="AB196" s="2"/>
      <c r="AC196" s="14">
        <f t="shared" si="51"/>
        <v>-4189.3100000000122</v>
      </c>
      <c r="AD196" s="15">
        <f>IFERROR(AC196/AC444, "NA")</f>
        <v>-0.21576664110346574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26681.62</v>
      </c>
      <c r="C197" s="15">
        <f>IFERROR(B197/B444, "NA")</f>
        <v>0.31277641021300678</v>
      </c>
      <c r="D197" s="2"/>
      <c r="E197" s="14">
        <f>IFERROR(E175+E177+E178+E179+E180+E181+E183+E184+E186+E187+E188+E189+E190+E191+E192+E194+E195, "NA")</f>
        <v>26097.090000000004</v>
      </c>
      <c r="F197" s="15">
        <f>IFERROR(E197/E444, "NA")</f>
        <v>0.24780619584569735</v>
      </c>
      <c r="G197" s="2"/>
      <c r="H197" s="14">
        <f t="shared" si="48"/>
        <v>-584.5299999999952</v>
      </c>
      <c r="I197" s="15">
        <f>IFERROR(H197/H444, "NA")</f>
        <v>2.9216610177454687E-2</v>
      </c>
      <c r="J197" s="2"/>
      <c r="K197" s="14">
        <f>IFERROR(K175+K177+K178+K179+K180+K181+K183+K184+K186+K187+K188+K189+K190+K191+K192+K194+K195, "NA")</f>
        <v>25541.410000000003</v>
      </c>
      <c r="L197" s="15">
        <f>IFERROR(K197/K444, "NA")</f>
        <v>0.27890918676580173</v>
      </c>
      <c r="M197" s="2"/>
      <c r="N197" s="14">
        <f t="shared" si="49"/>
        <v>-1140.2099999999955</v>
      </c>
      <c r="O197" s="15">
        <f>IFERROR(N197/N444, "NA")</f>
        <v>0.18184152399786208</v>
      </c>
      <c r="P197" s="2"/>
      <c r="Q197" s="14">
        <f>IFERROR(Q175+Q177+Q178+Q179+Q180+Q181+Q183+Q184+Q186+Q187+Q188+Q189+Q190+Q191+Q192+Q194+Q195, "NA")</f>
        <v>125339.71</v>
      </c>
      <c r="R197" s="15">
        <f>IFERROR(Q197/Q444, "NA")</f>
        <v>0.30532762370492766</v>
      </c>
      <c r="S197" s="2"/>
      <c r="T197" s="14">
        <f>IFERROR(T175+T177+T178+T179+T180+T181+T183+T184+T186+T187+T188+T189+T190+T191+T192+T194+T195, "NA")</f>
        <v>127640.63</v>
      </c>
      <c r="U197" s="15">
        <f>IFERROR(T197/T444, "NA")</f>
        <v>0.29537722347844858</v>
      </c>
      <c r="V197" s="2"/>
      <c r="W197" s="14">
        <f t="shared" si="50"/>
        <v>2300.9199999999983</v>
      </c>
      <c r="X197" s="15">
        <f>IFERROR(W197/W444, "NA")</f>
        <v>-0.10643232546758269</v>
      </c>
      <c r="Y197" s="2"/>
      <c r="Z197" s="14">
        <f>IFERROR(Z175+Z177+Z178+Z179+Z180+Z181+Z183+Z184+Z186+Z187+Z188+Z189+Z190+Z191+Z192+Z194+Z195, "NA")</f>
        <v>121150.39999999999</v>
      </c>
      <c r="AA197" s="15">
        <f>IFERROR(Z197/Z444, "NA")</f>
        <v>0.30977390593919635</v>
      </c>
      <c r="AB197" s="2"/>
      <c r="AC197" s="14">
        <f t="shared" si="51"/>
        <v>-4189.3100000000122</v>
      </c>
      <c r="AD197" s="15">
        <f>IFERROR(AC197/AC444, "NA")</f>
        <v>-0.21576664110346574</v>
      </c>
    </row>
    <row r="198" spans="1:30" ht="16.5" customHeight="1" x14ac:dyDescent="0.45">
      <c r="A198" s="22" t="s">
        <v>181</v>
      </c>
      <c r="B198" s="23">
        <f>IFERROR(B172-B197, "NA")</f>
        <v>32269.020000000015</v>
      </c>
      <c r="C198" s="24">
        <f>IFERROR(B198/B444, "NA")</f>
        <v>0.37827494120266031</v>
      </c>
      <c r="D198" s="25"/>
      <c r="E198" s="23">
        <f>IFERROR(E172-E197, "NA")</f>
        <v>51307.6</v>
      </c>
      <c r="F198" s="24">
        <f>IFERROR(E198/E444, "NA")</f>
        <v>0.48719382789317506</v>
      </c>
      <c r="G198" s="25"/>
      <c r="H198" s="23">
        <f>IFERROR(B198-E198, "NA")</f>
        <v>-19038.579999999984</v>
      </c>
      <c r="I198" s="24">
        <f>IFERROR(H198/H444, "NA")</f>
        <v>0.95160688107075653</v>
      </c>
      <c r="J198" s="25"/>
      <c r="K198" s="23">
        <f>IFERROR(K172-K197, "NA")</f>
        <v>38866.009999999995</v>
      </c>
      <c r="L198" s="24">
        <f>IFERROR(K198/K444, "NA")</f>
        <v>0.42441224826395707</v>
      </c>
      <c r="M198" s="25"/>
      <c r="N198" s="23">
        <f>IFERROR(B198-K198, "NA")</f>
        <v>-6596.9899999999798</v>
      </c>
      <c r="O198" s="24">
        <f>IFERROR(N198/N444, "NA")</f>
        <v>1.0520927858891407</v>
      </c>
      <c r="P198" s="25"/>
      <c r="Q198" s="23">
        <f>IFERROR(Q172-Q197, "NA")</f>
        <v>168952.29999999981</v>
      </c>
      <c r="R198" s="24">
        <f>IFERROR(Q198/Q444, "NA")</f>
        <v>0.41156792431131356</v>
      </c>
      <c r="S198" s="25"/>
      <c r="T198" s="23">
        <f>IFERROR(T172-T197, "NA")</f>
        <v>186561.76</v>
      </c>
      <c r="U198" s="24">
        <f>IFERROR(T198/T444, "NA")</f>
        <v>0.43172847608204917</v>
      </c>
      <c r="V198" s="25"/>
      <c r="W198" s="23">
        <f>IFERROR(Q198-T198, "NA")</f>
        <v>-17609.460000000196</v>
      </c>
      <c r="X198" s="24">
        <f>IFERROR(W198/W444, "NA")</f>
        <v>0.81455060498774445</v>
      </c>
      <c r="Y198" s="25"/>
      <c r="Z198" s="23">
        <f>IFERROR(Z172-Z197, "NA")</f>
        <v>157238.84000000011</v>
      </c>
      <c r="AA198" s="24">
        <f>IFERROR(Z198/Z444, "NA")</f>
        <v>0.40204976320464797</v>
      </c>
      <c r="AB198" s="25"/>
      <c r="AC198" s="23">
        <f>IFERROR(Q198-Z198, "NA")</f>
        <v>11713.459999999701</v>
      </c>
      <c r="AD198" s="24">
        <f>IFERROR(AC198/AC444, "NA")</f>
        <v>0.60329121499715466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2316.87</v>
      </c>
      <c r="F201" s="8">
        <f>IFERROR(E201/E444, "NA")</f>
        <v>2.199995252225519E-2</v>
      </c>
      <c r="G201" s="9"/>
      <c r="H201" s="10">
        <f t="shared" ref="H201:H209" si="52">IFERROR(-(B201-E201), "NA")</f>
        <v>2316.87</v>
      </c>
      <c r="I201" s="8">
        <f>IFERROR(H201/H444, "NA")</f>
        <v>-0.11580430024436725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9733.74</v>
      </c>
      <c r="U201" s="8">
        <f>IFERROR(T201/T444, "NA")</f>
        <v>2.2525155941811897E-2</v>
      </c>
      <c r="V201" s="9"/>
      <c r="W201" s="10">
        <f t="shared" ref="W201:W209" si="54">IFERROR(-(Q201-T201), "NA")</f>
        <v>9733.74</v>
      </c>
      <c r="X201" s="8">
        <f>IFERROR(W201/W444, "NA")</f>
        <v>-0.4502479806759162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526.16999999999996</v>
      </c>
      <c r="C202" s="8">
        <f>IFERROR(B202/B444, "NA")</f>
        <v>6.1680499070812713E-3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-526.16999999999996</v>
      </c>
      <c r="I202" s="8">
        <f>IFERROR(H202/H444, "NA")</f>
        <v>2.6299597586217058E-2</v>
      </c>
      <c r="J202" s="9"/>
      <c r="K202" s="7">
        <v>771.91</v>
      </c>
      <c r="L202" s="8">
        <f>IFERROR(K202/K444, "NA")</f>
        <v>8.4291662189514994E-3</v>
      </c>
      <c r="M202" s="9"/>
      <c r="N202" s="10">
        <f t="shared" si="53"/>
        <v>245.74</v>
      </c>
      <c r="O202" s="8">
        <f>IFERROR(N202/N444, "NA")</f>
        <v>-3.9190794772221614E-2</v>
      </c>
      <c r="P202" s="9"/>
      <c r="Q202" s="7">
        <v>3392.06</v>
      </c>
      <c r="R202" s="8">
        <f>IFERROR(Q202/Q444, "NA")</f>
        <v>8.2630605995860119E-3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-3392.06</v>
      </c>
      <c r="X202" s="8">
        <f>IFERROR(W202/W444, "NA")</f>
        <v>0.15690455727516334</v>
      </c>
      <c r="Y202" s="9"/>
      <c r="Z202" s="7">
        <v>3918.38</v>
      </c>
      <c r="AA202" s="8">
        <f>IFERROR(Z202/Z444, "NA")</f>
        <v>1.0019049689922841E-2</v>
      </c>
      <c r="AB202" s="9"/>
      <c r="AC202" s="10">
        <f t="shared" si="55"/>
        <v>526.32000000000016</v>
      </c>
      <c r="AD202" s="8">
        <f>IFERROR(AC202/AC444, "NA")</f>
        <v>2.7107637903515329E-2</v>
      </c>
    </row>
    <row r="203" spans="1:30" ht="16.5" customHeight="1" x14ac:dyDescent="0.45">
      <c r="A203" s="6" t="s">
        <v>185</v>
      </c>
      <c r="B203" s="7">
        <v>491.16</v>
      </c>
      <c r="C203" s="8">
        <f>IFERROR(B203/B444, "NA")</f>
        <v>5.7576437127963157E-3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-491.16</v>
      </c>
      <c r="I203" s="8">
        <f>IFERROR(H203/H444, "NA")</f>
        <v>2.4549689929958707E-2</v>
      </c>
      <c r="J203" s="9"/>
      <c r="K203" s="7">
        <v>617.41999999999996</v>
      </c>
      <c r="L203" s="8">
        <f>IFERROR(K203/K444, "NA")</f>
        <v>6.7421536278906014E-3</v>
      </c>
      <c r="M203" s="9"/>
      <c r="N203" s="10">
        <f t="shared" si="53"/>
        <v>126.25999999999993</v>
      </c>
      <c r="O203" s="8">
        <f>IFERROR(N203/N444, "NA")</f>
        <v>-2.0136037063321795E-2</v>
      </c>
      <c r="P203" s="9"/>
      <c r="Q203" s="7">
        <v>3708.49</v>
      </c>
      <c r="R203" s="8">
        <f>IFERROR(Q203/Q444, "NA")</f>
        <v>9.0338843071640033E-3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-3708.49</v>
      </c>
      <c r="X203" s="8">
        <f>IFERROR(W203/W444, "NA")</f>
        <v>0.17154147674550876</v>
      </c>
      <c r="Y203" s="9"/>
      <c r="Z203" s="7">
        <v>2975</v>
      </c>
      <c r="AA203" s="8">
        <f>IFERROR(Z203/Z444, "NA")</f>
        <v>7.606886730618382E-3</v>
      </c>
      <c r="AB203" s="9"/>
      <c r="AC203" s="10">
        <f t="shared" si="55"/>
        <v>-733.48999999999978</v>
      </c>
      <c r="AD203" s="8">
        <f>IFERROR(AC203/AC444, "NA")</f>
        <v>-3.7777742297175572E-2</v>
      </c>
    </row>
    <row r="204" spans="1:30" ht="16.5" customHeight="1" x14ac:dyDescent="0.45">
      <c r="A204" s="6" t="s">
        <v>186</v>
      </c>
      <c r="B204" s="7">
        <v>351.14</v>
      </c>
      <c r="C204" s="8">
        <f>IFERROR(B204/B444, "NA")</f>
        <v>4.1162533864958425E-3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-351.14</v>
      </c>
      <c r="I204" s="8">
        <f>IFERROR(H204/H444, "NA")</f>
        <v>1.7551058966539822E-2</v>
      </c>
      <c r="J204" s="9"/>
      <c r="K204" s="7">
        <v>54.16</v>
      </c>
      <c r="L204" s="8">
        <f>IFERROR(K204/K444, "NA")</f>
        <v>5.9142081644027557E-4</v>
      </c>
      <c r="M204" s="9"/>
      <c r="N204" s="10">
        <f t="shared" si="53"/>
        <v>-296.98</v>
      </c>
      <c r="O204" s="8">
        <f>IFERROR(N204/N444, "NA")</f>
        <v>4.7362587415375496E-2</v>
      </c>
      <c r="P204" s="9"/>
      <c r="Q204" s="7">
        <v>839.47</v>
      </c>
      <c r="R204" s="8">
        <f>IFERROR(Q204/Q444, "NA")</f>
        <v>2.0449495237508976E-3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-839.47</v>
      </c>
      <c r="X204" s="8">
        <f>IFERROR(W204/W444, "NA")</f>
        <v>3.8830878196665558E-2</v>
      </c>
      <c r="Y204" s="9"/>
      <c r="Z204" s="7">
        <v>1142.6500000000001</v>
      </c>
      <c r="AA204" s="8">
        <f>IFERROR(Z204/Z444, "NA")</f>
        <v>2.9216837387365025E-3</v>
      </c>
      <c r="AB204" s="9"/>
      <c r="AC204" s="10">
        <f t="shared" si="55"/>
        <v>303.18000000000006</v>
      </c>
      <c r="AD204" s="8">
        <f>IFERROR(AC204/AC444, "NA")</f>
        <v>1.561501303311251E-2</v>
      </c>
    </row>
    <row r="205" spans="1:30" ht="16.5" customHeight="1" x14ac:dyDescent="0.45">
      <c r="A205" s="6" t="s">
        <v>187</v>
      </c>
      <c r="B205" s="7">
        <v>358.88</v>
      </c>
      <c r="C205" s="8">
        <f>IFERROR(B205/B444, "NA")</f>
        <v>4.206985861324908E-3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-358.88</v>
      </c>
      <c r="I205" s="8">
        <f>IFERROR(H205/H444, "NA")</f>
        <v>1.7937928011368148E-2</v>
      </c>
      <c r="J205" s="9"/>
      <c r="K205" s="7">
        <v>389.78</v>
      </c>
      <c r="L205" s="8">
        <f>IFERROR(K205/K444, "NA")</f>
        <v>4.2563516586427369E-3</v>
      </c>
      <c r="M205" s="9"/>
      <c r="N205" s="10">
        <f t="shared" si="53"/>
        <v>30.899999999999977</v>
      </c>
      <c r="O205" s="8">
        <f>IFERROR(N205/N444, "NA")</f>
        <v>-4.9279545798878764E-3</v>
      </c>
      <c r="P205" s="9"/>
      <c r="Q205" s="7">
        <v>1807.62</v>
      </c>
      <c r="R205" s="8">
        <f>IFERROR(Q205/Q444, "NA")</f>
        <v>4.403363620049075E-3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-1807.62</v>
      </c>
      <c r="X205" s="8">
        <f>IFERROR(W205/W444, "NA")</f>
        <v>8.3614032718091882E-2</v>
      </c>
      <c r="Y205" s="9"/>
      <c r="Z205" s="7">
        <v>2290.31</v>
      </c>
      <c r="AA205" s="8">
        <f>IFERROR(Z205/Z444, "NA")</f>
        <v>5.8561777304210368E-3</v>
      </c>
      <c r="AB205" s="9"/>
      <c r="AC205" s="10">
        <f t="shared" si="55"/>
        <v>482.69000000000005</v>
      </c>
      <c r="AD205" s="8">
        <f>IFERROR(AC205/AC444, "NA")</f>
        <v>2.4860514021218669E-2</v>
      </c>
    </row>
    <row r="206" spans="1:30" ht="16.5" customHeight="1" x14ac:dyDescent="0.45">
      <c r="A206" s="6" t="s">
        <v>188</v>
      </c>
      <c r="B206" s="7">
        <v>238.53</v>
      </c>
      <c r="C206" s="8">
        <f>IFERROR(B206/B444, "NA")</f>
        <v>2.7961779355267229E-3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-238.53</v>
      </c>
      <c r="I206" s="8">
        <f>IFERROR(H206/H444, "NA")</f>
        <v>1.1922464245852776E-2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-238.53</v>
      </c>
      <c r="O206" s="8">
        <f>IFERROR(N206/N444, "NA")</f>
        <v>3.8040938703581106E-2</v>
      </c>
      <c r="P206" s="9"/>
      <c r="Q206" s="7">
        <v>249.33</v>
      </c>
      <c r="R206" s="8">
        <f>IFERROR(Q206/Q444, "NA")</f>
        <v>6.0736805931934593E-4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-249.33</v>
      </c>
      <c r="X206" s="8">
        <f>IFERROR(W206/W444, "NA")</f>
        <v>1.1533113584493338E-2</v>
      </c>
      <c r="Y206" s="9"/>
      <c r="Z206" s="7">
        <v>372.82</v>
      </c>
      <c r="AA206" s="8">
        <f>IFERROR(Z206/Z444, "NA")</f>
        <v>9.5327714652408235E-4</v>
      </c>
      <c r="AB206" s="9"/>
      <c r="AC206" s="10">
        <f t="shared" si="55"/>
        <v>123.48999999999998</v>
      </c>
      <c r="AD206" s="8">
        <f>IFERROR(AC206/AC444, "NA")</f>
        <v>6.3602413070092461E-3</v>
      </c>
    </row>
    <row r="207" spans="1:30" ht="16.5" customHeight="1" x14ac:dyDescent="0.45">
      <c r="A207" s="6" t="s">
        <v>189</v>
      </c>
      <c r="B207" s="7">
        <v>488.66</v>
      </c>
      <c r="C207" s="8">
        <f>IFERROR(B207/B444, "NA")</f>
        <v>5.7283373578773666E-3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-488.66</v>
      </c>
      <c r="I207" s="8">
        <f>IFERROR(H207/H444, "NA")</f>
        <v>2.4424732228140771E-2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-488.66</v>
      </c>
      <c r="O207" s="8">
        <f>IFERROR(N207/N444, "NA")</f>
        <v>7.7931853883754426E-2</v>
      </c>
      <c r="P207" s="9"/>
      <c r="Q207" s="7">
        <v>588.25</v>
      </c>
      <c r="R207" s="8">
        <f>IFERROR(Q207/Q444, "NA")</f>
        <v>1.4329774230722545E-3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-588.25</v>
      </c>
      <c r="X207" s="8">
        <f>IFERROR(W207/W444, "NA")</f>
        <v>2.7210339975447025E-2</v>
      </c>
      <c r="Y207" s="9"/>
      <c r="Z207" s="7">
        <v>308.3</v>
      </c>
      <c r="AA207" s="8">
        <f>IFERROR(Z207/Z444, "NA")</f>
        <v>7.8830358959652001E-4</v>
      </c>
      <c r="AB207" s="9"/>
      <c r="AC207" s="10">
        <f t="shared" si="55"/>
        <v>-279.95</v>
      </c>
      <c r="AD207" s="8">
        <f>IFERROR(AC207/AC444, "NA")</f>
        <v>-1.4418572790486991E-2</v>
      </c>
    </row>
    <row r="208" spans="1:30" ht="16.5" customHeight="1" x14ac:dyDescent="0.45">
      <c r="A208" s="6" t="s">
        <v>190</v>
      </c>
      <c r="B208" s="7">
        <v>32.869999999999997</v>
      </c>
      <c r="C208" s="8">
        <f>IFERROR(B208/B444, "NA")</f>
        <v>3.8531995447433601E-4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-32.869999999999997</v>
      </c>
      <c r="I208" s="8">
        <f>IFERROR(H208/H444, "NA")</f>
        <v>1.642943863502204E-3</v>
      </c>
      <c r="J208" s="9"/>
      <c r="K208" s="7">
        <v>12.49</v>
      </c>
      <c r="L208" s="8">
        <f>IFERROR(K208/K444, "NA")</f>
        <v>1.3638932786815073E-4</v>
      </c>
      <c r="M208" s="9"/>
      <c r="N208" s="10">
        <f t="shared" si="53"/>
        <v>-20.379999999999995</v>
      </c>
      <c r="O208" s="8">
        <f>IFERROR(N208/N444, "NA")</f>
        <v>3.2502172924956303E-3</v>
      </c>
      <c r="P208" s="9"/>
      <c r="Q208" s="7">
        <v>943.91</v>
      </c>
      <c r="R208" s="8">
        <f>IFERROR(Q208/Q444, "NA")</f>
        <v>2.2993654388646523E-3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-943.91</v>
      </c>
      <c r="X208" s="8">
        <f>IFERROR(W208/W444, "NA")</f>
        <v>4.3661898863109561E-2</v>
      </c>
      <c r="Y208" s="9"/>
      <c r="Z208" s="7">
        <v>153.93</v>
      </c>
      <c r="AA208" s="8">
        <f>IFERROR(Z208/Z444, "NA")</f>
        <v>3.9358926872070168E-4</v>
      </c>
      <c r="AB208" s="9"/>
      <c r="AC208" s="10">
        <f t="shared" si="55"/>
        <v>-789.98</v>
      </c>
      <c r="AD208" s="8">
        <f>IFERROR(AC208/AC444, "NA")</f>
        <v>-4.0687208905264921E-2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2487.41</v>
      </c>
      <c r="C209" s="15">
        <f>IFERROR(B209/B444, "NA")</f>
        <v>2.9158768115576762E-2</v>
      </c>
      <c r="D209" s="2"/>
      <c r="E209" s="14">
        <f>IFERROR(E201+E202+E203+E204+E205+E206+E207+E208, "NA")</f>
        <v>2316.87</v>
      </c>
      <c r="F209" s="15">
        <f>IFERROR(E209/E444, "NA")</f>
        <v>2.199995252225519E-2</v>
      </c>
      <c r="G209" s="2"/>
      <c r="H209" s="14">
        <f t="shared" si="52"/>
        <v>-170.53999999999996</v>
      </c>
      <c r="I209" s="15">
        <f>IFERROR(H209/H444, "NA")</f>
        <v>8.5241145872122243E-3</v>
      </c>
      <c r="J209" s="2"/>
      <c r="K209" s="14">
        <f>IFERROR(K201+K202+K203+K204+K205+K206+K207+K208, "NA")</f>
        <v>1845.76</v>
      </c>
      <c r="L209" s="15">
        <f>IFERROR(K209/K444, "NA")</f>
        <v>2.0155481649793264E-2</v>
      </c>
      <c r="M209" s="2"/>
      <c r="N209" s="14">
        <f t="shared" si="53"/>
        <v>-641.64999999999986</v>
      </c>
      <c r="O209" s="15">
        <f>IFERROR(N209/N444, "NA")</f>
        <v>0.10233081087977533</v>
      </c>
      <c r="P209" s="2"/>
      <c r="Q209" s="14">
        <f>IFERROR(Q201+Q202+Q203+Q204+Q205+Q206+Q207+Q208, "NA")</f>
        <v>11529.13</v>
      </c>
      <c r="R209" s="15">
        <f>IFERROR(Q209/Q444, "NA")</f>
        <v>2.8084968971806238E-2</v>
      </c>
      <c r="S209" s="2"/>
      <c r="T209" s="14">
        <f>IFERROR(T201+T202+T203+T204+T205+T206+T207+T208, "NA")</f>
        <v>9733.74</v>
      </c>
      <c r="U209" s="15">
        <f>IFERROR(T209/T444, "NA")</f>
        <v>2.2525155941811897E-2</v>
      </c>
      <c r="V209" s="2"/>
      <c r="W209" s="14">
        <f t="shared" si="54"/>
        <v>-1795.3899999999994</v>
      </c>
      <c r="X209" s="15">
        <f>IFERROR(W209/W444, "NA")</f>
        <v>8.3048316682563225E-2</v>
      </c>
      <c r="Y209" s="2"/>
      <c r="Z209" s="14">
        <f>IFERROR(Z201+Z202+Z203+Z204+Z205+Z206+Z207+Z208, "NA")</f>
        <v>11161.39</v>
      </c>
      <c r="AA209" s="15">
        <f>IFERROR(Z209/Z444, "NA")</f>
        <v>2.8538967894540065E-2</v>
      </c>
      <c r="AB209" s="2"/>
      <c r="AC209" s="14">
        <f t="shared" si="55"/>
        <v>-367.73999999999978</v>
      </c>
      <c r="AD209" s="15">
        <f>IFERROR(AC209/AC444, "NA")</f>
        <v>-1.8940117728071738E-2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3444.87</v>
      </c>
      <c r="F213" s="8">
        <f>IFERROR(E213/E444, "NA")</f>
        <v>3.2710931750741835E-2</v>
      </c>
      <c r="G213" s="9"/>
      <c r="H213" s="10">
        <f t="shared" ref="H213:H227" si="56">IFERROR(-(B213-E213), "NA")</f>
        <v>3444.87</v>
      </c>
      <c r="I213" s="8">
        <f>IFERROR(H213/H444, "NA")</f>
        <v>-0.17218521530461933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14711.98</v>
      </c>
      <c r="U213" s="8">
        <f>IFERROR(T213/T444, "NA")</f>
        <v>3.404545875612229E-2</v>
      </c>
      <c r="V213" s="9"/>
      <c r="W213" s="10">
        <f t="shared" ref="W213:W227" si="58">IFERROR(-(Q213-T213), "NA")</f>
        <v>14711.98</v>
      </c>
      <c r="X213" s="8">
        <f>IFERROR(W213/W444, "NA")</f>
        <v>-0.680523548681644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284.39</v>
      </c>
      <c r="C214" s="8">
        <f>IFERROR(B214/B444, "NA")</f>
        <v>3.3337737101599152E-3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-284.39</v>
      </c>
      <c r="I214" s="8">
        <f>IFERROR(H214/H444, "NA")</f>
        <v>1.4214688328000968E-2</v>
      </c>
      <c r="J214" s="9"/>
      <c r="K214" s="7">
        <v>320</v>
      </c>
      <c r="L214" s="8">
        <f>IFERROR(K214/K444, "NA")</f>
        <v>3.4943622832512592E-3</v>
      </c>
      <c r="M214" s="9"/>
      <c r="N214" s="10">
        <f t="shared" si="57"/>
        <v>35.610000000000014</v>
      </c>
      <c r="O214" s="8">
        <f>IFERROR(N214/N444, "NA")</f>
        <v>-5.6791088216766178E-3</v>
      </c>
      <c r="P214" s="9"/>
      <c r="Q214" s="7">
        <v>6082.47</v>
      </c>
      <c r="R214" s="8">
        <f>IFERROR(Q214/Q444, "NA")</f>
        <v>1.481690129454194E-2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-6082.47</v>
      </c>
      <c r="X214" s="8">
        <f>IFERROR(W214/W444, "NA")</f>
        <v>0.28135329637136808</v>
      </c>
      <c r="Y214" s="9"/>
      <c r="Z214" s="7">
        <v>1591</v>
      </c>
      <c r="AA214" s="8">
        <f>IFERROR(Z214/Z444, "NA")</f>
        <v>4.068086315433225E-3</v>
      </c>
      <c r="AB214" s="9"/>
      <c r="AC214" s="10">
        <f t="shared" si="59"/>
        <v>-4491.47</v>
      </c>
      <c r="AD214" s="8">
        <f>IFERROR(AC214/AC444, "NA")</f>
        <v>-0.23132911995459407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45.38</v>
      </c>
      <c r="C216" s="8">
        <f>IFERROR(B216/B444, "NA")</f>
        <v>5.3196895448875481E-4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-45.38</v>
      </c>
      <c r="I216" s="8">
        <f>IFERROR(H216/H444, "NA")</f>
        <v>2.2682322033991489E-3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-45.38</v>
      </c>
      <c r="O216" s="8">
        <f>IFERROR(N216/N444, "NA")</f>
        <v>7.2372355610133346E-3</v>
      </c>
      <c r="P216" s="9"/>
      <c r="Q216" s="7">
        <v>61.09</v>
      </c>
      <c r="R216" s="8">
        <f>IFERROR(Q216/Q444, "NA")</f>
        <v>1.4881528393622444E-4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-61.09</v>
      </c>
      <c r="X216" s="8">
        <f>IFERROR(W216/W444, "NA")</f>
        <v>2.8258047923502912E-3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-61.09</v>
      </c>
      <c r="AD216" s="8">
        <f>IFERROR(AC216/AC444, "NA")</f>
        <v>-3.1463854680151828E-3</v>
      </c>
    </row>
    <row r="217" spans="1:30" ht="16.5" customHeight="1" x14ac:dyDescent="0.45">
      <c r="A217" s="12" t="s">
        <v>197</v>
      </c>
      <c r="B217" s="7">
        <v>1420.05</v>
      </c>
      <c r="C217" s="8">
        <f>IFERROR(B217/B444, "NA")</f>
        <v>1.6646595721061176E-2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-1420.05</v>
      </c>
      <c r="I217" s="8">
        <f>IFERROR(H217/H444, "NA")</f>
        <v>7.0978473786623211E-2</v>
      </c>
      <c r="J217" s="9"/>
      <c r="K217" s="7">
        <v>248</v>
      </c>
      <c r="L217" s="8">
        <f>IFERROR(K217/K444, "NA")</f>
        <v>2.7081307695197262E-3</v>
      </c>
      <c r="M217" s="9"/>
      <c r="N217" s="10">
        <f t="shared" si="57"/>
        <v>-1172.05</v>
      </c>
      <c r="O217" s="8">
        <f>IFERROR(N217/N444, "NA")</f>
        <v>0.18691939046464692</v>
      </c>
      <c r="P217" s="9"/>
      <c r="Q217" s="7">
        <v>10618.94</v>
      </c>
      <c r="R217" s="8">
        <f>IFERROR(Q217/Q444, "NA")</f>
        <v>2.5867745477193178E-2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-10618.94</v>
      </c>
      <c r="X217" s="8">
        <f>IFERROR(W217/W444, "NA")</f>
        <v>0.49119416502995911</v>
      </c>
      <c r="Y217" s="9"/>
      <c r="Z217" s="7">
        <v>1237.94</v>
      </c>
      <c r="AA217" s="8">
        <f>IFERROR(Z217/Z444, "NA")</f>
        <v>3.1653342384207464E-3</v>
      </c>
      <c r="AB217" s="9"/>
      <c r="AC217" s="10">
        <f t="shared" si="59"/>
        <v>-9381</v>
      </c>
      <c r="AD217" s="8">
        <f>IFERROR(AC217/AC444, "NA")</f>
        <v>-0.48315996194877109</v>
      </c>
    </row>
    <row r="218" spans="1:30" ht="16.5" customHeight="1" x14ac:dyDescent="0.45">
      <c r="A218" s="13" t="s">
        <v>198</v>
      </c>
      <c r="B218" s="14">
        <f>IFERROR(B213+B214+B215+B216+B217, "NA")</f>
        <v>1749.82</v>
      </c>
      <c r="C218" s="15">
        <f>IFERROR(B218/B444, "NA")</f>
        <v>2.0512338385709847E-2</v>
      </c>
      <c r="D218" s="2"/>
      <c r="E218" s="14">
        <f>IFERROR(E213+E214+E215+E216+E217, "NA")</f>
        <v>3444.87</v>
      </c>
      <c r="F218" s="15">
        <f>IFERROR(E218/E444, "NA")</f>
        <v>3.2710931750741835E-2</v>
      </c>
      <c r="G218" s="2"/>
      <c r="H218" s="14">
        <f t="shared" si="56"/>
        <v>1695.05</v>
      </c>
      <c r="I218" s="15">
        <f>IFERROR(H218/H444, "NA")</f>
        <v>-8.4723820986596018E-2</v>
      </c>
      <c r="J218" s="2"/>
      <c r="K218" s="14">
        <f>IFERROR(K213+K214+K215+K216+K217, "NA")</f>
        <v>568</v>
      </c>
      <c r="L218" s="15">
        <f>IFERROR(K218/K444, "NA")</f>
        <v>6.2024930527709854E-3</v>
      </c>
      <c r="M218" s="2"/>
      <c r="N218" s="14">
        <f t="shared" si="57"/>
        <v>-1181.82</v>
      </c>
      <c r="O218" s="15">
        <f>IFERROR(N218/N444, "NA")</f>
        <v>0.18847751720398365</v>
      </c>
      <c r="P218" s="2"/>
      <c r="Q218" s="14">
        <f>IFERROR(Q213+Q214+Q215+Q216+Q217, "NA")</f>
        <v>16762.5</v>
      </c>
      <c r="R218" s="15">
        <f>IFERROR(Q218/Q444, "NA")</f>
        <v>4.0833462055671337E-2</v>
      </c>
      <c r="S218" s="2"/>
      <c r="T218" s="14">
        <f>IFERROR(T213+T214+T215+T216+T217, "NA")</f>
        <v>14711.98</v>
      </c>
      <c r="U218" s="15">
        <f>IFERROR(T218/T444, "NA")</f>
        <v>3.404545875612229E-2</v>
      </c>
      <c r="V218" s="2"/>
      <c r="W218" s="14">
        <f t="shared" si="58"/>
        <v>-2050.5200000000004</v>
      </c>
      <c r="X218" s="15">
        <f>IFERROR(W218/W444, "NA")</f>
        <v>9.4849717512033388E-2</v>
      </c>
      <c r="Y218" s="2"/>
      <c r="Z218" s="14">
        <f>IFERROR(Z213+Z214+Z215+Z216+Z217, "NA")</f>
        <v>2828.94</v>
      </c>
      <c r="AA218" s="15">
        <f>IFERROR(Z218/Z444, "NA")</f>
        <v>7.2334205538539713E-3</v>
      </c>
      <c r="AB218" s="2"/>
      <c r="AC218" s="14">
        <f t="shared" si="59"/>
        <v>-13933.56</v>
      </c>
      <c r="AD218" s="15">
        <f>IFERROR(AC218/AC444, "NA")</f>
        <v>-0.71763546737138029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62.5</v>
      </c>
      <c r="C222" s="8">
        <f>IFERROR(B222/B444, "NA")</f>
        <v>7.3265887297371466E-4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-62.5</v>
      </c>
      <c r="I222" s="8">
        <f>IFERROR(H222/H444, "NA")</f>
        <v>3.1239425454483651E-3</v>
      </c>
      <c r="J222" s="9"/>
      <c r="K222" s="7">
        <v>62.5</v>
      </c>
      <c r="L222" s="8">
        <f>IFERROR(K222/K444, "NA")</f>
        <v>6.824926334475116E-4</v>
      </c>
      <c r="M222" s="9"/>
      <c r="N222" s="10">
        <f t="shared" si="57"/>
        <v>0</v>
      </c>
      <c r="O222" s="8">
        <f>IFERROR(N222/N444, "NA")</f>
        <v>0</v>
      </c>
      <c r="P222" s="9"/>
      <c r="Q222" s="7">
        <v>693.45</v>
      </c>
      <c r="R222" s="8">
        <f>IFERROR(Q222/Q444, "NA")</f>
        <v>1.6892446987326051E-3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-693.45</v>
      </c>
      <c r="X222" s="8">
        <f>IFERROR(W222/W444, "NA")</f>
        <v>3.2076515522267299E-2</v>
      </c>
      <c r="Y222" s="9"/>
      <c r="Z222" s="7">
        <v>312.5</v>
      </c>
      <c r="AA222" s="8">
        <f>IFERROR(Z222/Z444, "NA")</f>
        <v>7.9904272380445184E-4</v>
      </c>
      <c r="AB222" s="9"/>
      <c r="AC222" s="10">
        <f t="shared" si="59"/>
        <v>-380.95000000000005</v>
      </c>
      <c r="AD222" s="8">
        <f>IFERROR(AC222/AC444, "NA")</f>
        <v>-1.9620486888858799E-2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105.31</v>
      </c>
      <c r="F226" s="8">
        <f>IFERROR(E226/E444, "NA")</f>
        <v>9.999762611275964E-4</v>
      </c>
      <c r="G226" s="9"/>
      <c r="H226" s="10">
        <f t="shared" si="56"/>
        <v>105.31</v>
      </c>
      <c r="I226" s="8">
        <f>IFERROR(H226/H444, "NA")</f>
        <v>-5.2637182313786772E-3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432.12</v>
      </c>
      <c r="U226" s="8">
        <f>IFERROR(T226/T444, "NA")</f>
        <v>9.9998257458857112E-4</v>
      </c>
      <c r="V226" s="9"/>
      <c r="W226" s="10">
        <f t="shared" si="58"/>
        <v>432.12</v>
      </c>
      <c r="X226" s="8">
        <f>IFERROR(W226/W444, "NA")</f>
        <v>-1.9988324879201307E-2</v>
      </c>
      <c r="Y226" s="9"/>
      <c r="Z226" s="7">
        <v>1554.17</v>
      </c>
      <c r="AA226" s="8">
        <f>IFERROR(Z226/Z444, "NA")</f>
        <v>3.9739143361765279E-3</v>
      </c>
      <c r="AB226" s="9"/>
      <c r="AC226" s="10">
        <f t="shared" si="59"/>
        <v>1554.17</v>
      </c>
      <c r="AD226" s="8">
        <f>IFERROR(AC226/AC444, "NA")</f>
        <v>8.0046127071945597E-2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1812.32</v>
      </c>
      <c r="C227" s="15">
        <f>IFERROR(B227/B444, "NA")</f>
        <v>2.1244997258683562E-2</v>
      </c>
      <c r="D227" s="2"/>
      <c r="E227" s="14">
        <f>IFERROR(E211+E213+E214+E215+E216+E217+E219+E220+E221+E222+E223+E224+E225+E226, "NA")</f>
        <v>3550.18</v>
      </c>
      <c r="F227" s="15">
        <f>IFERROR(E227/E444, "NA")</f>
        <v>3.3710908011869434E-2</v>
      </c>
      <c r="G227" s="2"/>
      <c r="H227" s="14">
        <f t="shared" si="56"/>
        <v>1737.86</v>
      </c>
      <c r="I227" s="15">
        <f>IFERROR(H227/H444, "NA")</f>
        <v>-8.6863596672526328E-2</v>
      </c>
      <c r="J227" s="2"/>
      <c r="K227" s="14">
        <f>IFERROR(K211+K213+K214+K215+K216+K217+K219+K220+K221+K222+K223+K224+K225+K226, "NA")</f>
        <v>630.5</v>
      </c>
      <c r="L227" s="15">
        <f>IFERROR(K227/K444, "NA")</f>
        <v>6.8849856862184967E-3</v>
      </c>
      <c r="M227" s="2"/>
      <c r="N227" s="14">
        <f t="shared" si="57"/>
        <v>-1181.82</v>
      </c>
      <c r="O227" s="15">
        <f>IFERROR(N227/N444, "NA")</f>
        <v>0.18847751720398365</v>
      </c>
      <c r="P227" s="2"/>
      <c r="Q227" s="14">
        <f>IFERROR(Q211+Q213+Q214+Q215+Q216+Q217+Q219+Q220+Q221+Q222+Q223+Q224+Q225+Q226, "NA")</f>
        <v>17455.95</v>
      </c>
      <c r="R227" s="15">
        <f>IFERROR(Q227/Q444, "NA")</f>
        <v>4.2522706754403949E-2</v>
      </c>
      <c r="S227" s="2"/>
      <c r="T227" s="14">
        <f>IFERROR(T211+T213+T214+T215+T216+T217+T219+T220+T221+T222+T223+T224+T225+T226, "NA")</f>
        <v>15144.1</v>
      </c>
      <c r="U227" s="15">
        <f>IFERROR(T227/T444, "NA")</f>
        <v>3.5045441330710865E-2</v>
      </c>
      <c r="V227" s="2"/>
      <c r="W227" s="14">
        <f t="shared" si="58"/>
        <v>-2311.8500000000004</v>
      </c>
      <c r="X227" s="15">
        <f>IFERROR(W227/W444, "NA")</f>
        <v>0.10693790815509939</v>
      </c>
      <c r="Y227" s="2"/>
      <c r="Z227" s="14">
        <f>IFERROR(Z211+Z213+Z214+Z215+Z216+Z217+Z219+Z220+Z221+Z222+Z223+Z224+Z225+Z226, "NA")</f>
        <v>4695.6100000000006</v>
      </c>
      <c r="AA227" s="15">
        <f>IFERROR(Z227/Z444, "NA")</f>
        <v>1.2006377613834952E-2</v>
      </c>
      <c r="AB227" s="2"/>
      <c r="AC227" s="14">
        <f t="shared" si="59"/>
        <v>-12760.34</v>
      </c>
      <c r="AD227" s="15">
        <f>IFERROR(AC227/AC444, "NA")</f>
        <v>-0.65720982718829357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862.51</v>
      </c>
      <c r="F229" s="8">
        <f>IFERROR(E229/E444, "NA")</f>
        <v>8.1900059347181E-3</v>
      </c>
      <c r="G229" s="9"/>
      <c r="H229" s="10">
        <f t="shared" ref="H229:H236" si="60">IFERROR(-(B229-E229), "NA")</f>
        <v>862.51</v>
      </c>
      <c r="I229" s="8">
        <f>IFERROR(H229/H444, "NA")</f>
        <v>-4.3110906957994709E-2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3539.13</v>
      </c>
      <c r="U229" s="8">
        <f>IFERROR(T229/T444, "NA")</f>
        <v>8.1900127955282093E-3</v>
      </c>
      <c r="V229" s="9"/>
      <c r="W229" s="10">
        <f t="shared" ref="W229:W236" si="62">IFERROR(-(Q229-T229), "NA")</f>
        <v>3539.13</v>
      </c>
      <c r="X229" s="8">
        <f>IFERROR(W229/W444, "NA")</f>
        <v>-0.16370748919218669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83.95</v>
      </c>
      <c r="R230" s="8">
        <f>IFERROR(Q230/Q444, "NA")</f>
        <v>2.0450226037724737E-4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-83.95</v>
      </c>
      <c r="X230" s="8">
        <f>IFERROR(W230/W444, "NA")</f>
        <v>3.883226588931199E-3</v>
      </c>
      <c r="Y230" s="9"/>
      <c r="Z230" s="7">
        <v>730</v>
      </c>
      <c r="AA230" s="8">
        <f>IFERROR(Z230/Z444, "NA")</f>
        <v>1.8665638028071995E-3</v>
      </c>
      <c r="AB230" s="9"/>
      <c r="AC230" s="10">
        <f t="shared" si="63"/>
        <v>646.04999999999995</v>
      </c>
      <c r="AD230" s="8">
        <f>IFERROR(AC230/AC444, "NA")</f>
        <v>3.3274223794585181E-2</v>
      </c>
    </row>
    <row r="231" spans="1:30" ht="16.5" customHeight="1" x14ac:dyDescent="0.45">
      <c r="A231" s="6" t="s">
        <v>210</v>
      </c>
      <c r="B231" s="7">
        <v>91</v>
      </c>
      <c r="C231" s="8">
        <f>IFERROR(B231/B444, "NA")</f>
        <v>1.0667513190497286E-3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-91</v>
      </c>
      <c r="I231" s="8">
        <f>IFERROR(H231/H444, "NA")</f>
        <v>4.5484603461728194E-3</v>
      </c>
      <c r="J231" s="9"/>
      <c r="K231" s="7">
        <v>254.03</v>
      </c>
      <c r="L231" s="8">
        <f>IFERROR(K231/K444, "NA")</f>
        <v>2.7739776587947418E-3</v>
      </c>
      <c r="M231" s="9"/>
      <c r="N231" s="10">
        <f t="shared" si="61"/>
        <v>163.03</v>
      </c>
      <c r="O231" s="8">
        <f>IFERROR(N231/N444, "NA")</f>
        <v>-2.6000143532657644E-2</v>
      </c>
      <c r="P231" s="9"/>
      <c r="Q231" s="7">
        <v>608.04999999999995</v>
      </c>
      <c r="R231" s="8">
        <f>IFERROR(Q231/Q444, "NA")</f>
        <v>1.4812102373125105E-3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-608.04999999999995</v>
      </c>
      <c r="X231" s="8">
        <f>IFERROR(W231/W444, "NA")</f>
        <v>2.8126217122091901E-2</v>
      </c>
      <c r="Y231" s="9"/>
      <c r="Z231" s="7">
        <v>1135.6500000000001</v>
      </c>
      <c r="AA231" s="8">
        <f>IFERROR(Z231/Z444, "NA")</f>
        <v>2.9037851817232826E-3</v>
      </c>
      <c r="AB231" s="9"/>
      <c r="AC231" s="10">
        <f t="shared" si="63"/>
        <v>527.60000000000014</v>
      </c>
      <c r="AD231" s="8">
        <f>IFERROR(AC231/AC444, "NA")</f>
        <v>2.7173563151494693E-2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17</v>
      </c>
      <c r="AA233" s="8">
        <f>IFERROR(Z233/Z444, "NA")</f>
        <v>4.346792417496218E-5</v>
      </c>
      <c r="AB233" s="9"/>
      <c r="AC233" s="10">
        <f t="shared" si="63"/>
        <v>17</v>
      </c>
      <c r="AD233" s="8">
        <f>IFERROR(AC233/AC444, "NA")</f>
        <v>8.7556969972594698E-4</v>
      </c>
    </row>
    <row r="234" spans="1:30" ht="16.5" customHeight="1" x14ac:dyDescent="0.45">
      <c r="A234" s="6" t="s">
        <v>213</v>
      </c>
      <c r="B234" s="7">
        <v>433.48</v>
      </c>
      <c r="C234" s="8">
        <f>IFERROR(B234/B444, "NA")</f>
        <v>5.081487492106334E-3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-433.48</v>
      </c>
      <c r="I234" s="8">
        <f>IFERROR(H234/H444, "NA")</f>
        <v>2.1666665833615317E-2</v>
      </c>
      <c r="J234" s="9"/>
      <c r="K234" s="7">
        <v>1367.49</v>
      </c>
      <c r="L234" s="8">
        <f>IFERROR(K234/K444, "NA")</f>
        <v>1.4932829621010203E-2</v>
      </c>
      <c r="M234" s="9"/>
      <c r="N234" s="10">
        <f t="shared" si="61"/>
        <v>934.01</v>
      </c>
      <c r="O234" s="8">
        <f>IFERROR(N234/N444, "NA")</f>
        <v>-0.14895659731912878</v>
      </c>
      <c r="P234" s="9"/>
      <c r="Q234" s="7">
        <v>3514.46</v>
      </c>
      <c r="R234" s="8">
        <f>IFERROR(Q234/Q444, "NA")</f>
        <v>8.5612270876166859E-3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-3514.46</v>
      </c>
      <c r="X234" s="8">
        <f>IFERROR(W234/W444, "NA")</f>
        <v>0.16256634327260441</v>
      </c>
      <c r="Y234" s="9"/>
      <c r="Z234" s="7">
        <v>3326.13</v>
      </c>
      <c r="AA234" s="8">
        <f>IFERROR(Z234/Z444, "NA")</f>
        <v>8.5047039197686455E-3</v>
      </c>
      <c r="AB234" s="9"/>
      <c r="AC234" s="10">
        <f t="shared" si="63"/>
        <v>-188.32999999999993</v>
      </c>
      <c r="AD234" s="8">
        <f>IFERROR(AC234/AC444, "NA")</f>
        <v>-9.6997671499639733E-3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524.48</v>
      </c>
      <c r="C236" s="15">
        <f>IFERROR(B236/B444, "NA")</f>
        <v>6.1482388111560628E-3</v>
      </c>
      <c r="D236" s="2"/>
      <c r="E236" s="14">
        <f>IFERROR(E229+E230+E231+E232+E233+E234+E235, "NA")</f>
        <v>862.51</v>
      </c>
      <c r="F236" s="15">
        <f>IFERROR(E236/E444, "NA")</f>
        <v>8.1900059347181E-3</v>
      </c>
      <c r="G236" s="2"/>
      <c r="H236" s="14">
        <f t="shared" si="60"/>
        <v>338.03</v>
      </c>
      <c r="I236" s="15">
        <f>IFERROR(H236/H444, "NA")</f>
        <v>-1.6895780778206571E-2</v>
      </c>
      <c r="J236" s="2"/>
      <c r="K236" s="14">
        <f>IFERROR(K229+K230+K231+K232+K233+K234+K235, "NA")</f>
        <v>1621.52</v>
      </c>
      <c r="L236" s="15">
        <f>IFERROR(K236/K444, "NA")</f>
        <v>1.7706807279804945E-2</v>
      </c>
      <c r="M236" s="2"/>
      <c r="N236" s="14">
        <f t="shared" si="61"/>
        <v>1097.04</v>
      </c>
      <c r="O236" s="15">
        <f>IFERROR(N236/N444, "NA")</f>
        <v>-0.17495674085178642</v>
      </c>
      <c r="P236" s="2"/>
      <c r="Q236" s="14">
        <f>IFERROR(Q229+Q230+Q231+Q232+Q233+Q234+Q235, "NA")</f>
        <v>4206.46</v>
      </c>
      <c r="R236" s="15">
        <f>IFERROR(Q236/Q444, "NA")</f>
        <v>1.0246939585306444E-2</v>
      </c>
      <c r="S236" s="2"/>
      <c r="T236" s="14">
        <f>IFERROR(T229+T230+T231+T232+T233+T234+T235, "NA")</f>
        <v>3539.13</v>
      </c>
      <c r="U236" s="15">
        <f>IFERROR(T236/T444, "NA")</f>
        <v>8.1900127955282093E-3</v>
      </c>
      <c r="V236" s="2"/>
      <c r="W236" s="14">
        <f t="shared" si="62"/>
        <v>-667.32999999999993</v>
      </c>
      <c r="X236" s="15">
        <f>IFERROR(W236/W444, "NA")</f>
        <v>3.0868297791440819E-2</v>
      </c>
      <c r="Y236" s="2"/>
      <c r="Z236" s="14">
        <f>IFERROR(Z229+Z230+Z231+Z232+Z233+Z234+Z235, "NA")</f>
        <v>5208.7800000000007</v>
      </c>
      <c r="AA236" s="15">
        <f>IFERROR(Z236/Z444, "NA")</f>
        <v>1.331852082847409E-2</v>
      </c>
      <c r="AB236" s="2"/>
      <c r="AC236" s="14">
        <f t="shared" si="63"/>
        <v>1002.3200000000006</v>
      </c>
      <c r="AD236" s="15">
        <f>IFERROR(AC236/AC444, "NA")</f>
        <v>5.1623589495841865E-2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5282.05</v>
      </c>
      <c r="F240" s="8">
        <f>IFERROR(E240/E444, "NA")</f>
        <v>5.0155964391691399E-2</v>
      </c>
      <c r="G240" s="9"/>
      <c r="H240" s="10">
        <f t="shared" ref="H240:H263" si="64">IFERROR(-(B240-E240), "NA")</f>
        <v>5282.05</v>
      </c>
      <c r="I240" s="8">
        <f>IFERROR(H240/H444, "NA")</f>
        <v>-0.26401313155496858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21768.67</v>
      </c>
      <c r="U240" s="8">
        <f>IFERROR(T240/T444, "NA")</f>
        <v>5.0375568527189177E-2</v>
      </c>
      <c r="V240" s="9"/>
      <c r="W240" s="10">
        <f t="shared" ref="W240:W263" si="66">IFERROR(-(Q240-T240), "NA")</f>
        <v>21768.67</v>
      </c>
      <c r="X240" s="8">
        <f>IFERROR(W240/W444, "NA")</f>
        <v>-1.006940776053233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customHeight="1" x14ac:dyDescent="0.45">
      <c r="A241" s="12" t="s">
        <v>218</v>
      </c>
      <c r="B241" s="7">
        <v>55</v>
      </c>
      <c r="C241" s="8">
        <f>IFERROR(B241/B444, "NA")</f>
        <v>6.4473980821686894E-4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-55</v>
      </c>
      <c r="I241" s="8">
        <f>IFERROR(H241/H444, "NA")</f>
        <v>2.7490694399945614E-3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-55</v>
      </c>
      <c r="O241" s="8">
        <f>IFERROR(N241/N444, "NA")</f>
        <v>8.7714401907389456E-3</v>
      </c>
      <c r="P241" s="9"/>
      <c r="Q241" s="7">
        <v>776.14</v>
      </c>
      <c r="R241" s="8">
        <f>IFERROR(Q241/Q444, "NA")</f>
        <v>1.8906775982036543E-3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-776.14</v>
      </c>
      <c r="X241" s="8">
        <f>IFERROR(W241/W444, "NA")</f>
        <v>3.5901459020048369E-2</v>
      </c>
      <c r="Y241" s="9"/>
      <c r="Z241" s="7">
        <v>347.45</v>
      </c>
      <c r="AA241" s="8">
        <f>IFERROR(Z241/Z444, "NA")</f>
        <v>8.8840766203474172E-4</v>
      </c>
      <c r="AB241" s="9"/>
      <c r="AC241" s="10">
        <f t="shared" si="67"/>
        <v>-428.69</v>
      </c>
      <c r="AD241" s="8">
        <f>IFERROR(AC241/AC444, "NA")</f>
        <v>-2.207929262208919E-2</v>
      </c>
    </row>
    <row r="242" spans="1:30" ht="16.5" customHeight="1" x14ac:dyDescent="0.45">
      <c r="A242" s="12" t="s">
        <v>219</v>
      </c>
      <c r="B242" s="7">
        <v>379.07</v>
      </c>
      <c r="C242" s="8">
        <f>IFERROR(B242/B444, "NA")</f>
        <v>4.4436639836503361E-3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-379.07</v>
      </c>
      <c r="I242" s="8">
        <f>IFERROR(H242/H444, "NA")</f>
        <v>1.8947086411249786E-2</v>
      </c>
      <c r="J242" s="9"/>
      <c r="K242" s="7">
        <v>453.38</v>
      </c>
      <c r="L242" s="8">
        <f>IFERROR(K242/K444, "NA")</f>
        <v>4.9508561624389252E-3</v>
      </c>
      <c r="M242" s="9"/>
      <c r="N242" s="10">
        <f t="shared" si="65"/>
        <v>74.31</v>
      </c>
      <c r="O242" s="8">
        <f>IFERROR(N242/N444, "NA")</f>
        <v>-1.185101310134202E-2</v>
      </c>
      <c r="P242" s="9"/>
      <c r="Q242" s="7">
        <v>2807.35</v>
      </c>
      <c r="R242" s="8">
        <f>IFERROR(Q242/Q444, "NA")</f>
        <v>6.8387066190597427E-3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-2807.35</v>
      </c>
      <c r="X242" s="8">
        <f>IFERROR(W242/W444, "NA")</f>
        <v>0.12985796503199523</v>
      </c>
      <c r="Y242" s="9"/>
      <c r="Z242" s="7">
        <v>2635.34</v>
      </c>
      <c r="AA242" s="8">
        <f>IFERROR(Z242/Z444, "NA")</f>
        <v>6.7383976056026376E-3</v>
      </c>
      <c r="AB242" s="9"/>
      <c r="AC242" s="10">
        <f t="shared" si="67"/>
        <v>-172.00999999999976</v>
      </c>
      <c r="AD242" s="8">
        <f>IFERROR(AC242/AC444, "NA")</f>
        <v>-8.8592202382270554E-3</v>
      </c>
    </row>
    <row r="243" spans="1:30" ht="16.5" customHeight="1" x14ac:dyDescent="0.45">
      <c r="A243" s="12" t="s">
        <v>220</v>
      </c>
      <c r="B243" s="7">
        <v>425.48</v>
      </c>
      <c r="C243" s="8">
        <f>IFERROR(B243/B444, "NA")</f>
        <v>4.9877071563656982E-3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-425.48</v>
      </c>
      <c r="I243" s="8">
        <f>IFERROR(H243/H444, "NA")</f>
        <v>2.1266801187797928E-2</v>
      </c>
      <c r="J243" s="9"/>
      <c r="K243" s="7">
        <v>1672.22</v>
      </c>
      <c r="L243" s="8">
        <f>IFERROR(K243/K444, "NA")</f>
        <v>1.8260445304057567E-2</v>
      </c>
      <c r="M243" s="9"/>
      <c r="N243" s="10">
        <f t="shared" si="65"/>
        <v>1246.74</v>
      </c>
      <c r="O243" s="8">
        <f>IFERROR(N243/N444, "NA")</f>
        <v>-0.19883100624367042</v>
      </c>
      <c r="P243" s="9"/>
      <c r="Q243" s="7">
        <v>4828.29</v>
      </c>
      <c r="R243" s="8">
        <f>IFERROR(Q243/Q444, "NA")</f>
        <v>1.1761717912529597E-2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-4828.29</v>
      </c>
      <c r="X243" s="8">
        <f>IFERROR(W243/W444, "NA")</f>
        <v>0.22333941759464701</v>
      </c>
      <c r="Y243" s="9"/>
      <c r="Z243" s="7">
        <v>3887.63</v>
      </c>
      <c r="AA243" s="8">
        <f>IFERROR(Z243/Z444, "NA")</f>
        <v>9.9404238859004835E-3</v>
      </c>
      <c r="AB243" s="9"/>
      <c r="AC243" s="10">
        <f t="shared" si="67"/>
        <v>-940.65999999999985</v>
      </c>
      <c r="AD243" s="8">
        <f>IFERROR(AC243/AC444, "NA")</f>
        <v>-4.8447846690835836E-2</v>
      </c>
    </row>
    <row r="244" spans="1:30" ht="16.5" customHeight="1" x14ac:dyDescent="0.45">
      <c r="A244" s="12" t="s">
        <v>221</v>
      </c>
      <c r="B244" s="7">
        <v>1744.14</v>
      </c>
      <c r="C244" s="8">
        <f>IFERROR(B244/B444, "NA")</f>
        <v>2.0445754347333998E-2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-1744.14</v>
      </c>
      <c r="I244" s="8">
        <f>IFERROR(H244/H444, "NA")</f>
        <v>8.7177490419492992E-2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-1744.14</v>
      </c>
      <c r="O244" s="8">
        <f>IFERROR(N244/N444, "NA")</f>
        <v>0.27815672171409866</v>
      </c>
      <c r="P244" s="9"/>
      <c r="Q244" s="7">
        <v>2181.36</v>
      </c>
      <c r="R244" s="8">
        <f>IFERROR(Q244/Q444, "NA")</f>
        <v>5.3137945288446974E-3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-2181.36</v>
      </c>
      <c r="X244" s="8">
        <f>IFERROR(W244/W444, "NA")</f>
        <v>0.10090190770733723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-2181.36</v>
      </c>
      <c r="AD244" s="8">
        <f>IFERROR(AC244/AC444, "NA")</f>
        <v>-0.11234898354083482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115.67</v>
      </c>
      <c r="C246" s="8">
        <f>IFERROR(B246/B444, "NA")</f>
        <v>1.3559464293899132E-3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-115.67</v>
      </c>
      <c r="I246" s="8">
        <f>IFERROR(H246/H444, "NA")</f>
        <v>5.7815429477121984E-3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-115.67</v>
      </c>
      <c r="O246" s="8">
        <f>IFERROR(N246/N444, "NA")</f>
        <v>1.8447136124777708E-2</v>
      </c>
      <c r="P246" s="9"/>
      <c r="Q246" s="7">
        <v>728.58</v>
      </c>
      <c r="R246" s="8">
        <f>IFERROR(Q246/Q444, "NA")</f>
        <v>1.7748214039982715E-3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-728.58</v>
      </c>
      <c r="X246" s="8">
        <f>IFERROR(W246/W444, "NA")</f>
        <v>3.3701503611238748E-2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-728.58</v>
      </c>
      <c r="AD246" s="8">
        <f>IFERROR(AC246/AC444, "NA")</f>
        <v>-3.7524857166254734E-2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56.28</v>
      </c>
      <c r="L247" s="8">
        <f>IFERROR(K247/K444, "NA")</f>
        <v>6.1457096656681524E-4</v>
      </c>
      <c r="M247" s="9"/>
      <c r="N247" s="10">
        <f t="shared" si="65"/>
        <v>56.28</v>
      </c>
      <c r="O247" s="8">
        <f>IFERROR(N247/N444, "NA")</f>
        <v>-8.9755755260870519E-3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199.32</v>
      </c>
      <c r="AA247" s="8">
        <f>IFERROR(Z247/Z444, "NA")</f>
        <v>5.0964862626785064E-4</v>
      </c>
      <c r="AB247" s="9"/>
      <c r="AC247" s="10">
        <f t="shared" si="67"/>
        <v>199.32</v>
      </c>
      <c r="AD247" s="8">
        <f>IFERROR(AC247/AC444, "NA")</f>
        <v>1.0265797208786809E-2</v>
      </c>
    </row>
    <row r="248" spans="1:30" ht="16.5" customHeight="1" x14ac:dyDescent="0.45">
      <c r="A248" s="12" t="s">
        <v>225</v>
      </c>
      <c r="B248" s="7">
        <v>211.28</v>
      </c>
      <c r="C248" s="8">
        <f>IFERROR(B248/B444, "NA")</f>
        <v>2.4767386669101829E-3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-211.28</v>
      </c>
      <c r="I248" s="8">
        <f>IFERROR(H248/H444, "NA")</f>
        <v>1.0560425296037288E-2</v>
      </c>
      <c r="J248" s="9"/>
      <c r="K248" s="7">
        <v>209.18</v>
      </c>
      <c r="L248" s="8">
        <f>IFERROR(K248/K444, "NA")</f>
        <v>2.2842209450328077E-3</v>
      </c>
      <c r="M248" s="9"/>
      <c r="N248" s="10">
        <f t="shared" si="65"/>
        <v>-2.0999999999999943</v>
      </c>
      <c r="O248" s="8">
        <f>IFERROR(N248/N444, "NA")</f>
        <v>3.3490953455548613E-4</v>
      </c>
      <c r="P248" s="9"/>
      <c r="Q248" s="7">
        <v>1016.71</v>
      </c>
      <c r="R248" s="8">
        <f>IFERROR(Q248/Q444, "NA")</f>
        <v>2.4767062912227655E-3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-1016.71</v>
      </c>
      <c r="X248" s="8">
        <f>IFERROR(W248/W444, "NA")</f>
        <v>4.7029366351783675E-2</v>
      </c>
      <c r="Y248" s="9"/>
      <c r="Z248" s="7">
        <v>1022.95</v>
      </c>
      <c r="AA248" s="8">
        <f>IFERROR(Z248/Z444, "NA")</f>
        <v>2.6156184138104452E-3</v>
      </c>
      <c r="AB248" s="9"/>
      <c r="AC248" s="10">
        <f t="shared" si="67"/>
        <v>6.2400000000000091</v>
      </c>
      <c r="AD248" s="8">
        <f>IFERROR(AC248/AC444, "NA")</f>
        <v>3.2138558389940689E-4</v>
      </c>
    </row>
    <row r="249" spans="1:30" ht="16.5" customHeight="1" x14ac:dyDescent="0.45">
      <c r="A249" s="12" t="s">
        <v>226</v>
      </c>
      <c r="B249" s="7">
        <v>1103.19</v>
      </c>
      <c r="C249" s="8">
        <f>IFERROR(B249/B444, "NA")</f>
        <v>1.2932191073213958E-2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-1103.19</v>
      </c>
      <c r="I249" s="8">
        <f>IFERROR(H249/H444, "NA")</f>
        <v>5.514083482741091E-2</v>
      </c>
      <c r="J249" s="9"/>
      <c r="K249" s="7">
        <v>1645.07</v>
      </c>
      <c r="L249" s="8">
        <f>IFERROR(K249/K444, "NA")</f>
        <v>1.7963970504087965E-2</v>
      </c>
      <c r="M249" s="9"/>
      <c r="N249" s="10">
        <f t="shared" si="65"/>
        <v>541.87999999999988</v>
      </c>
      <c r="O249" s="8">
        <f>IFERROR(N249/N444, "NA")</f>
        <v>-8.6419418373774884E-2</v>
      </c>
      <c r="P249" s="9"/>
      <c r="Q249" s="7">
        <v>7429.27</v>
      </c>
      <c r="R249" s="8">
        <f>IFERROR(Q249/Q444, "NA")</f>
        <v>1.8097707063167035E-2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-7429.27</v>
      </c>
      <c r="X249" s="8">
        <f>IFERROR(W249/W444, "NA")</f>
        <v>0.34365144491183908</v>
      </c>
      <c r="Y249" s="9"/>
      <c r="Z249" s="7">
        <v>6944.3</v>
      </c>
      <c r="AA249" s="8">
        <f>IFERROR(Z249/Z444, "NA")</f>
        <v>1.7756135638128816E-2</v>
      </c>
      <c r="AB249" s="9"/>
      <c r="AC249" s="10">
        <f t="shared" si="67"/>
        <v>-484.97000000000025</v>
      </c>
      <c r="AD249" s="8">
        <f>IFERROR(AC249/AC444, "NA")</f>
        <v>-2.4977943369181927E-2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0.59</v>
      </c>
      <c r="L250" s="8">
        <f>IFERROR(K250/K444, "NA")</f>
        <v>6.4427304597445096E-6</v>
      </c>
      <c r="M250" s="9"/>
      <c r="N250" s="10">
        <f t="shared" si="65"/>
        <v>0.59</v>
      </c>
      <c r="O250" s="8">
        <f>IFERROR(N250/N444, "NA")</f>
        <v>-9.4093631137017779E-5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4.53</v>
      </c>
      <c r="AA250" s="8">
        <f>IFERROR(Z250/Z444, "NA")</f>
        <v>1.1582923324269335E-5</v>
      </c>
      <c r="AB250" s="9"/>
      <c r="AC250" s="10">
        <f t="shared" si="67"/>
        <v>4.53</v>
      </c>
      <c r="AD250" s="8">
        <f>IFERROR(AC250/AC444, "NA")</f>
        <v>2.3331357292697295E-4</v>
      </c>
    </row>
    <row r="251" spans="1:30" ht="16.5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19.64</v>
      </c>
      <c r="L251" s="8">
        <f>IFERROR(K251/K444, "NA")</f>
        <v>2.1446648513454605E-4</v>
      </c>
      <c r="M251" s="9"/>
      <c r="N251" s="10">
        <f t="shared" si="65"/>
        <v>19.64</v>
      </c>
      <c r="O251" s="8">
        <f>IFERROR(N251/N444, "NA")</f>
        <v>-3.1322015517475073E-3</v>
      </c>
      <c r="P251" s="9"/>
      <c r="Q251" s="7">
        <v>29.09</v>
      </c>
      <c r="R251" s="8">
        <f>IFERROR(Q251/Q444, "NA")</f>
        <v>7.0863260921669161E-5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-29.09</v>
      </c>
      <c r="X251" s="8">
        <f>IFERROR(W251/W444, "NA")</f>
        <v>1.345599302823211E-3</v>
      </c>
      <c r="Y251" s="9"/>
      <c r="Z251" s="7">
        <v>45.19</v>
      </c>
      <c r="AA251" s="8">
        <f>IFERROR(Z251/Z444, "NA")</f>
        <v>1.1554797020391417E-4</v>
      </c>
      <c r="AB251" s="9"/>
      <c r="AC251" s="10">
        <f t="shared" si="67"/>
        <v>16.099999999999998</v>
      </c>
      <c r="AD251" s="8">
        <f>IFERROR(AC251/AC444, "NA")</f>
        <v>8.2921600974045554E-4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72.400000000000006</v>
      </c>
      <c r="AA252" s="8">
        <f>IFERROR(Z252/Z444, "NA")</f>
        <v>1.8512221825101543E-4</v>
      </c>
      <c r="AB252" s="9"/>
      <c r="AC252" s="10">
        <f t="shared" si="67"/>
        <v>72.400000000000006</v>
      </c>
      <c r="AD252" s="8">
        <f>IFERROR(AC252/AC444, "NA")</f>
        <v>3.7288968388328571E-3</v>
      </c>
    </row>
    <row r="253" spans="1:30" ht="16.5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812.43</v>
      </c>
      <c r="L253" s="8">
        <f>IFERROR(K253/K444, "NA")</f>
        <v>8.8716398430681888E-3</v>
      </c>
      <c r="M253" s="9"/>
      <c r="N253" s="10">
        <f t="shared" si="65"/>
        <v>812.43</v>
      </c>
      <c r="O253" s="8">
        <f>IFERROR(N253/N444, "NA")</f>
        <v>-0.12956693007567349</v>
      </c>
      <c r="P253" s="9"/>
      <c r="Q253" s="7">
        <v>781.97</v>
      </c>
      <c r="R253" s="8">
        <f>IFERROR(Q253/Q444, "NA")</f>
        <v>1.9048794823966185E-3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-781.97</v>
      </c>
      <c r="X253" s="8">
        <f>IFERROR(W253/W444, "NA")</f>
        <v>3.6171133957671582E-2</v>
      </c>
      <c r="Y253" s="9"/>
      <c r="Z253" s="7">
        <v>3664.95</v>
      </c>
      <c r="AA253" s="8">
        <f>IFERROR(Z253/Z444, "NA")</f>
        <v>9.3710452179428024E-3</v>
      </c>
      <c r="AB253" s="9"/>
      <c r="AC253" s="10">
        <f t="shared" si="67"/>
        <v>2882.9799999999996</v>
      </c>
      <c r="AD253" s="8">
        <f>IFERROR(AC253/AC444, "NA")</f>
        <v>0.14848529017152415</v>
      </c>
    </row>
    <row r="254" spans="1:30" ht="16.5" customHeight="1" x14ac:dyDescent="0.45">
      <c r="A254" s="12" t="s">
        <v>231</v>
      </c>
      <c r="B254" s="7">
        <v>279.11</v>
      </c>
      <c r="C254" s="8">
        <f>IFERROR(B254/B444, "NA")</f>
        <v>3.2718786885710962E-3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-279.11</v>
      </c>
      <c r="I254" s="8">
        <f>IFERROR(H254/H444, "NA")</f>
        <v>1.3950777661761492E-2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-279.11</v>
      </c>
      <c r="O254" s="8">
        <f>IFERROR(N254/N444, "NA")</f>
        <v>4.4512666757039042E-2</v>
      </c>
      <c r="P254" s="9"/>
      <c r="Q254" s="7">
        <v>649.27</v>
      </c>
      <c r="R254" s="8">
        <f>IFERROR(Q254/Q444, "NA")</f>
        <v>1.5816221869581345E-3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-649.27</v>
      </c>
      <c r="X254" s="8">
        <f>IFERROR(W254/W444, "NA")</f>
        <v>3.0032906818288973E-2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-649.27</v>
      </c>
      <c r="AD254" s="8">
        <f>IFERROR(AC254/AC444, "NA")</f>
        <v>-3.344006699653327E-2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544.41999999999996</v>
      </c>
      <c r="C258" s="8">
        <f>IFERROR(B258/B444, "NA")</f>
        <v>6.3819862979895958E-3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-544.41999999999996</v>
      </c>
      <c r="I258" s="8">
        <f>IFERROR(H258/H444, "NA")</f>
        <v>2.7211788809487981E-2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-544.41999999999996</v>
      </c>
      <c r="O258" s="8">
        <f>IFERROR(N258/N444, "NA")</f>
        <v>8.6824499429856303E-2</v>
      </c>
      <c r="P258" s="9"/>
      <c r="Q258" s="7">
        <v>544.41999999999996</v>
      </c>
      <c r="R258" s="8">
        <f>IFERROR(Q258/Q444, "NA")</f>
        <v>1.3262075115495057E-3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-544.41999999999996</v>
      </c>
      <c r="X258" s="8">
        <f>IFERROR(W258/W444, "NA")</f>
        <v>2.5182921019010401E-2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-544.41999999999996</v>
      </c>
      <c r="AD258" s="8">
        <f>IFERROR(AC258/AC444, "NA")</f>
        <v>-2.803986211322353E-2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4857.3600000000006</v>
      </c>
      <c r="C262" s="15">
        <f>IFERROR(B262/B444, "NA")</f>
        <v>5.6940606451641652E-2</v>
      </c>
      <c r="D262" s="2"/>
      <c r="E262" s="14">
        <f>IFERROR(E240+E241+E242+E243+E244+E245+E246+E247+E248+E249+E250+E251+E252+E253+E254+E255+E256+E257+E258+E259+E260+E261, "NA")</f>
        <v>5282.05</v>
      </c>
      <c r="F262" s="15">
        <f>IFERROR(E262/E444, "NA")</f>
        <v>5.0155964391691399E-2</v>
      </c>
      <c r="G262" s="2"/>
      <c r="H262" s="14">
        <f t="shared" si="64"/>
        <v>424.6899999999996</v>
      </c>
      <c r="I262" s="15">
        <f>IFERROR(H262/H444, "NA")</f>
        <v>-2.1227314554023439E-2</v>
      </c>
      <c r="J262" s="2"/>
      <c r="K262" s="14">
        <f>IFERROR(K240+K241+K242+K243+K244+K245+K246+K247+K248+K249+K250+K251+K252+K253+K254+K255+K256+K257+K258+K259+K260+K261, "NA")</f>
        <v>4868.79</v>
      </c>
      <c r="L262" s="15">
        <f>IFERROR(K262/K444, "NA")</f>
        <v>5.3166612940846562E-2</v>
      </c>
      <c r="M262" s="2"/>
      <c r="N262" s="14">
        <f t="shared" si="65"/>
        <v>11.429999999999382</v>
      </c>
      <c r="O262" s="15">
        <f>IFERROR(N262/N444, "NA")</f>
        <v>-1.8228647523661949E-3</v>
      </c>
      <c r="P262" s="2"/>
      <c r="Q262" s="14">
        <f>IFERROR(Q240+Q241+Q242+Q243+Q244+Q245+Q246+Q247+Q248+Q249+Q250+Q251+Q252+Q253+Q254+Q255+Q256+Q257+Q258+Q259+Q260+Q261, "NA")</f>
        <v>21772.45</v>
      </c>
      <c r="R262" s="15">
        <f>IFERROR(Q262/Q444, "NA")</f>
        <v>5.303770385885169E-2</v>
      </c>
      <c r="S262" s="2"/>
      <c r="T262" s="14">
        <f>IFERROR(T240+T241+T242+T243+T244+T245+T246+T247+T248+T249+T250+T251+T252+T253+T254+T255+T256+T257+T258+T259+T260+T261, "NA")</f>
        <v>21768.67</v>
      </c>
      <c r="U262" s="15">
        <f>IFERROR(T262/T444, "NA")</f>
        <v>5.0375568527189177E-2</v>
      </c>
      <c r="V262" s="2"/>
      <c r="W262" s="14">
        <f t="shared" si="66"/>
        <v>-3.7800000000024738</v>
      </c>
      <c r="X262" s="15">
        <f>IFERROR(W262/W444, "NA")</f>
        <v>1.7484927345050075E-4</v>
      </c>
      <c r="Y262" s="2"/>
      <c r="Z262" s="14">
        <f>IFERROR(Z240+Z241+Z242+Z243+Z244+Z245+Z246+Z247+Z248+Z249+Z250+Z251+Z252+Z253+Z254+Z255+Z256+Z257+Z258+Z259+Z260+Z261, "NA")</f>
        <v>18824.060000000001</v>
      </c>
      <c r="AA262" s="15">
        <f>IFERROR(Z262/Z444, "NA")</f>
        <v>4.8131930161466982E-2</v>
      </c>
      <c r="AB262" s="2"/>
      <c r="AC262" s="14">
        <f t="shared" si="67"/>
        <v>-2948.3899999999994</v>
      </c>
      <c r="AD262" s="15">
        <f>IFERROR(AC262/AC444, "NA")</f>
        <v>-0.15185417335146967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4857.3600000000006</v>
      </c>
      <c r="C263" s="15">
        <f>IFERROR(B263/B444, "NA")</f>
        <v>5.6940606451641652E-2</v>
      </c>
      <c r="D263" s="2"/>
      <c r="E263" s="14">
        <f>IFERROR(E238+E240+E241+E242+E243+E244+E245+E246+E247+E248+E249+E250+E251+E252+E253+E254+E255+E256+E257+E258+E259+E260+E261, "NA")</f>
        <v>5282.05</v>
      </c>
      <c r="F263" s="15">
        <f>IFERROR(E263/E444, "NA")</f>
        <v>5.0155964391691399E-2</v>
      </c>
      <c r="G263" s="2"/>
      <c r="H263" s="14">
        <f t="shared" si="64"/>
        <v>424.6899999999996</v>
      </c>
      <c r="I263" s="15">
        <f>IFERROR(H263/H444, "NA")</f>
        <v>-2.1227314554023439E-2</v>
      </c>
      <c r="J263" s="2"/>
      <c r="K263" s="14">
        <f>IFERROR(K238+K240+K241+K242+K243+K244+K245+K246+K247+K248+K249+K250+K251+K252+K253+K254+K255+K256+K257+K258+K259+K260+K261, "NA")</f>
        <v>4868.79</v>
      </c>
      <c r="L263" s="15">
        <f>IFERROR(K263/K444, "NA")</f>
        <v>5.3166612940846562E-2</v>
      </c>
      <c r="M263" s="2"/>
      <c r="N263" s="14">
        <f t="shared" si="65"/>
        <v>11.429999999999382</v>
      </c>
      <c r="O263" s="15">
        <f>IFERROR(N263/N444, "NA")</f>
        <v>-1.8228647523661949E-3</v>
      </c>
      <c r="P263" s="2"/>
      <c r="Q263" s="14">
        <f>IFERROR(Q238+Q240+Q241+Q242+Q243+Q244+Q245+Q246+Q247+Q248+Q249+Q250+Q251+Q252+Q253+Q254+Q255+Q256+Q257+Q258+Q259+Q260+Q261, "NA")</f>
        <v>21772.45</v>
      </c>
      <c r="R263" s="15">
        <f>IFERROR(Q263/Q444, "NA")</f>
        <v>5.303770385885169E-2</v>
      </c>
      <c r="S263" s="2"/>
      <c r="T263" s="14">
        <f>IFERROR(T238+T240+T241+T242+T243+T244+T245+T246+T247+T248+T249+T250+T251+T252+T253+T254+T255+T256+T257+T258+T259+T260+T261, "NA")</f>
        <v>21768.67</v>
      </c>
      <c r="U263" s="15">
        <f>IFERROR(T263/T444, "NA")</f>
        <v>5.0375568527189177E-2</v>
      </c>
      <c r="V263" s="2"/>
      <c r="W263" s="14">
        <f t="shared" si="66"/>
        <v>-3.7800000000024738</v>
      </c>
      <c r="X263" s="15">
        <f>IFERROR(W263/W444, "NA")</f>
        <v>1.7484927345050075E-4</v>
      </c>
      <c r="Y263" s="2"/>
      <c r="Z263" s="14">
        <f>IFERROR(Z238+Z240+Z241+Z242+Z243+Z244+Z245+Z246+Z247+Z248+Z249+Z250+Z251+Z252+Z253+Z254+Z255+Z256+Z257+Z258+Z259+Z260+Z261, "NA")</f>
        <v>18824.060000000001</v>
      </c>
      <c r="AA263" s="15">
        <f>IFERROR(Z263/Z444, "NA")</f>
        <v>4.8131930161466982E-2</v>
      </c>
      <c r="AB263" s="2"/>
      <c r="AC263" s="14">
        <f t="shared" si="67"/>
        <v>-2948.3899999999994</v>
      </c>
      <c r="AD263" s="15">
        <f>IFERROR(AC263/AC444, "NA")</f>
        <v>-0.15185417335146967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2396.33</v>
      </c>
      <c r="C265" s="8">
        <f>IFERROR(B265/B444, "NA")</f>
        <v>2.8091078993169628E-2</v>
      </c>
      <c r="D265" s="9"/>
      <c r="E265" s="7">
        <v>2948.75</v>
      </c>
      <c r="F265" s="8">
        <f>IFERROR(E265/E444, "NA")</f>
        <v>2.8000000000000001E-2</v>
      </c>
      <c r="G265" s="9"/>
      <c r="H265" s="10">
        <f>IFERROR(-(B265-E265), "NA")</f>
        <v>552.42000000000007</v>
      </c>
      <c r="I265" s="8">
        <f>IFERROR(H265/H444, "NA")</f>
        <v>-2.7611653455305377E-2</v>
      </c>
      <c r="J265" s="9"/>
      <c r="K265" s="7">
        <v>2713.15</v>
      </c>
      <c r="L265" s="8">
        <f>IFERROR(K265/K444, "NA")</f>
        <v>2.9627278215009861E-2</v>
      </c>
      <c r="M265" s="9"/>
      <c r="N265" s="10">
        <f>IFERROR(-(B265-K265), "NA")</f>
        <v>316.82000000000016</v>
      </c>
      <c r="O265" s="8">
        <f>IFERROR(N265/N444, "NA")</f>
        <v>-5.0526685113271165E-2</v>
      </c>
      <c r="P265" s="9"/>
      <c r="Q265" s="7">
        <v>11261.1</v>
      </c>
      <c r="R265" s="8">
        <f>IFERROR(Q265/Q444, "NA")</f>
        <v>2.7432047699037766E-2</v>
      </c>
      <c r="S265" s="9"/>
      <c r="T265" s="7">
        <v>12213.05</v>
      </c>
      <c r="U265" s="8">
        <f>IFERROR(T265/T444, "NA")</f>
        <v>2.8262605717344597E-2</v>
      </c>
      <c r="V265" s="9"/>
      <c r="W265" s="10">
        <f>IFERROR(-(Q265-T265), "NA")</f>
        <v>951.94999999999891</v>
      </c>
      <c r="X265" s="8">
        <f>IFERROR(W265/W444, "NA")</f>
        <v>-4.4033800492353191E-2</v>
      </c>
      <c r="Y265" s="9"/>
      <c r="Z265" s="7">
        <v>10952.98</v>
      </c>
      <c r="AA265" s="8">
        <f>IFERROR(Z265/Z444, "NA")</f>
        <v>2.8006076713522191E-2</v>
      </c>
      <c r="AB265" s="9"/>
      <c r="AC265" s="10">
        <f>IFERROR(-(Q265-Z265), "NA")</f>
        <v>-308.1200000000008</v>
      </c>
      <c r="AD265" s="8">
        <f>IFERROR(AC265/AC444, "NA")</f>
        <v>-1.5869443287032912E-2</v>
      </c>
    </row>
    <row r="266" spans="1:30" ht="16.5" customHeight="1" x14ac:dyDescent="0.45">
      <c r="A266" s="6" t="s">
        <v>242</v>
      </c>
      <c r="B266" s="7">
        <v>139.86000000000001</v>
      </c>
      <c r="C266" s="8">
        <f>IFERROR(B266/B444, "NA")</f>
        <v>1.6395147195856601E-3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-139.86000000000001</v>
      </c>
      <c r="I266" s="8">
        <f>IFERROR(H266/H444, "NA")</f>
        <v>6.9906336705025341E-3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-139.86000000000001</v>
      </c>
      <c r="O266" s="8">
        <f>IFERROR(N266/N444, "NA")</f>
        <v>2.2304975001395437E-2</v>
      </c>
      <c r="P266" s="9"/>
      <c r="Q266" s="7">
        <v>398.48</v>
      </c>
      <c r="R266" s="8">
        <f>IFERROR(Q266/Q444, "NA")</f>
        <v>9.7069756658874962E-4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-398.48</v>
      </c>
      <c r="X266" s="8">
        <f>IFERROR(W266/W444, "NA")</f>
        <v>1.8432258858335965E-2</v>
      </c>
      <c r="Y266" s="9"/>
      <c r="Z266" s="7">
        <v>328.93</v>
      </c>
      <c r="AA266" s="8">
        <f>IFERROR(Z266/Z444, "NA")</f>
        <v>8.4105319405119474E-4</v>
      </c>
      <c r="AB266" s="9"/>
      <c r="AC266" s="10">
        <f>IFERROR(-(Q266-Z266), "NA")</f>
        <v>-69.550000000000011</v>
      </c>
      <c r="AD266" s="8">
        <f>IFERROR(AC266/AC444, "NA")</f>
        <v>-3.5821101538788015E-3</v>
      </c>
    </row>
    <row r="267" spans="1:30" ht="16.5" customHeight="1" x14ac:dyDescent="0.45">
      <c r="A267" s="19" t="s">
        <v>243</v>
      </c>
      <c r="B267" s="14">
        <f>IFERROR(B265+B266, "NA")</f>
        <v>2536.19</v>
      </c>
      <c r="C267" s="15">
        <f>IFERROR(B267/B444, "NA")</f>
        <v>2.9730593712755288E-2</v>
      </c>
      <c r="D267" s="2"/>
      <c r="E267" s="14">
        <f>IFERROR(E265+E266, "NA")</f>
        <v>2948.75</v>
      </c>
      <c r="F267" s="15">
        <f>IFERROR(E267/E444, "NA")</f>
        <v>2.8000000000000001E-2</v>
      </c>
      <c r="G267" s="2"/>
      <c r="H267" s="14">
        <f>IFERROR(-(B267-E267), "NA")</f>
        <v>412.55999999999995</v>
      </c>
      <c r="I267" s="15">
        <f>IFERROR(H267/H444, "NA")</f>
        <v>-2.0621019784802838E-2</v>
      </c>
      <c r="J267" s="2"/>
      <c r="K267" s="14">
        <f>IFERROR(K265+K266, "NA")</f>
        <v>2713.15</v>
      </c>
      <c r="L267" s="15">
        <f>IFERROR(K267/K444, "NA")</f>
        <v>2.9627278215009861E-2</v>
      </c>
      <c r="M267" s="2"/>
      <c r="N267" s="14">
        <f>IFERROR(-(B267-K267), "NA")</f>
        <v>176.96000000000004</v>
      </c>
      <c r="O267" s="15">
        <f>IFERROR(N267/N444, "NA")</f>
        <v>-2.8221710111875711E-2</v>
      </c>
      <c r="P267" s="2"/>
      <c r="Q267" s="14">
        <f>IFERROR(Q265+Q266, "NA")</f>
        <v>11659.58</v>
      </c>
      <c r="R267" s="15">
        <f>IFERROR(Q267/Q444, "NA")</f>
        <v>2.8402745265626514E-2</v>
      </c>
      <c r="S267" s="2"/>
      <c r="T267" s="14">
        <f>IFERROR(T265+T266, "NA")</f>
        <v>12213.05</v>
      </c>
      <c r="U267" s="15">
        <f>IFERROR(T267/T444, "NA")</f>
        <v>2.8262605717344597E-2</v>
      </c>
      <c r="V267" s="2"/>
      <c r="W267" s="14">
        <f>IFERROR(-(Q267-T267), "NA")</f>
        <v>553.46999999999935</v>
      </c>
      <c r="X267" s="15">
        <f>IFERROR(W267/W444, "NA")</f>
        <v>-2.560154163401725E-2</v>
      </c>
      <c r="Y267" s="2"/>
      <c r="Z267" s="14">
        <f>IFERROR(Z265+Z266, "NA")</f>
        <v>11281.91</v>
      </c>
      <c r="AA267" s="15">
        <f>IFERROR(Z267/Z444, "NA")</f>
        <v>2.8847129907573387E-2</v>
      </c>
      <c r="AB267" s="2"/>
      <c r="AC267" s="14">
        <f>IFERROR(-(Q267-Z267), "NA")</f>
        <v>-377.67000000000007</v>
      </c>
      <c r="AD267" s="15">
        <f>IFERROR(AC267/AC444, "NA")</f>
        <v>-1.9451553440911675E-2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218.47</v>
      </c>
      <c r="C270" s="8">
        <f>IFERROR(B270/B444, "NA")</f>
        <v>2.561023743657079E-3</v>
      </c>
      <c r="D270" s="9"/>
      <c r="E270" s="7">
        <v>140.47999999999999</v>
      </c>
      <c r="F270" s="8">
        <f>IFERROR(E270/E444, "NA")</f>
        <v>1.3339347181008901E-3</v>
      </c>
      <c r="G270" s="9"/>
      <c r="H270" s="10">
        <f>IFERROR(-(B270-E270), "NA")</f>
        <v>-77.990000000000009</v>
      </c>
      <c r="I270" s="8">
        <f>IFERROR(H270/H444, "NA")</f>
        <v>3.8981804659122881E-3</v>
      </c>
      <c r="J270" s="9"/>
      <c r="K270" s="7">
        <v>182.93</v>
      </c>
      <c r="L270" s="8">
        <f>IFERROR(K270/K444, "NA")</f>
        <v>1.9975740389848529E-3</v>
      </c>
      <c r="M270" s="9"/>
      <c r="N270" s="10">
        <f>IFERROR(-(B270-K270), "NA")</f>
        <v>-35.539999999999992</v>
      </c>
      <c r="O270" s="8">
        <f>IFERROR(N270/N444, "NA")</f>
        <v>5.6679451705247651E-3</v>
      </c>
      <c r="P270" s="9"/>
      <c r="Q270" s="7">
        <v>1092.3499999999999</v>
      </c>
      <c r="R270" s="8">
        <f>IFERROR(Q270/Q444, "NA")</f>
        <v>2.6609653856234203E-3</v>
      </c>
      <c r="S270" s="9"/>
      <c r="T270" s="7">
        <v>808.29</v>
      </c>
      <c r="U270" s="8">
        <f>IFERROR(T270/T444, "NA")</f>
        <v>1.8704894825839953E-3</v>
      </c>
      <c r="V270" s="9"/>
      <c r="W270" s="10">
        <f>IFERROR(-(Q270-T270), "NA")</f>
        <v>-284.05999999999995</v>
      </c>
      <c r="X270" s="8">
        <f>IFERROR(W270/W444, "NA")</f>
        <v>1.3139599104845695E-2</v>
      </c>
      <c r="Y270" s="9"/>
      <c r="Z270" s="7">
        <v>914.65</v>
      </c>
      <c r="AA270" s="8">
        <f>IFERROR(Z270/Z444, "NA")</f>
        <v>2.3387021674487738E-3</v>
      </c>
      <c r="AB270" s="9"/>
      <c r="AC270" s="10">
        <f>IFERROR(-(Q270-Z270), "NA")</f>
        <v>-177.69999999999993</v>
      </c>
      <c r="AD270" s="8">
        <f>IFERROR(AC270/AC444, "NA")</f>
        <v>-9.1522785671353368E-3</v>
      </c>
    </row>
    <row r="271" spans="1:30" ht="16.5" customHeight="1" x14ac:dyDescent="0.45">
      <c r="A271" s="6" t="s">
        <v>246</v>
      </c>
      <c r="B271" s="7">
        <v>1196.07</v>
      </c>
      <c r="C271" s="8">
        <f>IFERROR(B271/B444, "NA")</f>
        <v>1.4020980771162735E-2</v>
      </c>
      <c r="D271" s="9"/>
      <c r="E271" s="7">
        <v>1263.75</v>
      </c>
      <c r="F271" s="8">
        <f>IFERROR(E271/E444, "NA")</f>
        <v>1.2E-2</v>
      </c>
      <c r="G271" s="9"/>
      <c r="H271" s="10">
        <f>IFERROR(-(B271-E271), "NA")</f>
        <v>67.680000000000064</v>
      </c>
      <c r="I271" s="8">
        <f>IFERROR(H271/H444, "NA")</f>
        <v>-3.3828549036151287E-3</v>
      </c>
      <c r="J271" s="9"/>
      <c r="K271" s="7">
        <v>1086.1400000000001</v>
      </c>
      <c r="L271" s="8">
        <f>IFERROR(K271/K444, "NA")</f>
        <v>1.1860520782282885E-2</v>
      </c>
      <c r="M271" s="9"/>
      <c r="N271" s="10">
        <f>IFERROR(-(B271-K271), "NA")</f>
        <v>-109.92999999999984</v>
      </c>
      <c r="O271" s="8">
        <f>IFERROR(N271/N444, "NA")</f>
        <v>1.7531716730326018E-2</v>
      </c>
      <c r="P271" s="9"/>
      <c r="Q271" s="7">
        <v>6024.61</v>
      </c>
      <c r="R271" s="8">
        <f>IFERROR(Q271/Q444, "NA")</f>
        <v>1.4675954292928745E-2</v>
      </c>
      <c r="S271" s="9"/>
      <c r="T271" s="7">
        <v>5185.53</v>
      </c>
      <c r="U271" s="8">
        <f>IFERROR(T271/T444, "NA")</f>
        <v>1.1999999166912599E-2</v>
      </c>
      <c r="V271" s="9"/>
      <c r="W271" s="10">
        <f>IFERROR(-(Q271-T271), "NA")</f>
        <v>-839.07999999999993</v>
      </c>
      <c r="X271" s="8">
        <f>IFERROR(W271/W444, "NA")</f>
        <v>3.8812838192261938E-2</v>
      </c>
      <c r="Y271" s="9"/>
      <c r="Z271" s="7">
        <v>5430.7</v>
      </c>
      <c r="AA271" s="8">
        <f>IFERROR(Z271/Z444, "NA")</f>
        <v>1.3885956224527478E-2</v>
      </c>
      <c r="AB271" s="9"/>
      <c r="AC271" s="10">
        <f>IFERROR(-(Q271-Z271), "NA")</f>
        <v>-593.90999999999985</v>
      </c>
      <c r="AD271" s="8">
        <f>IFERROR(AC271/AC444, "NA")</f>
        <v>-3.0588800021425708E-2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1414.54</v>
      </c>
      <c r="C273" s="15">
        <f>IFERROR(B273/B444, "NA")</f>
        <v>1.6582004514819813E-2</v>
      </c>
      <c r="D273" s="2"/>
      <c r="E273" s="14">
        <f>IFERROR(E269+E270+E271+E272, "NA")</f>
        <v>1404.23</v>
      </c>
      <c r="F273" s="15">
        <f>IFERROR(E273/E444, "NA")</f>
        <v>1.333393471810089E-2</v>
      </c>
      <c r="G273" s="2"/>
      <c r="H273" s="14">
        <f>IFERROR(-(B273-E273), "NA")</f>
        <v>-10.309999999999945</v>
      </c>
      <c r="I273" s="15">
        <f>IFERROR(H273/H444, "NA")</f>
        <v>5.1532556229715953E-4</v>
      </c>
      <c r="J273" s="2"/>
      <c r="K273" s="14">
        <f>IFERROR(K269+K270+K271+K272, "NA")</f>
        <v>1269.0700000000002</v>
      </c>
      <c r="L273" s="15">
        <f>IFERROR(K273/K444, "NA")</f>
        <v>1.3858094821267739E-2</v>
      </c>
      <c r="M273" s="2"/>
      <c r="N273" s="14">
        <f>IFERROR(-(B273-K273), "NA")</f>
        <v>-145.4699999999998</v>
      </c>
      <c r="O273" s="15">
        <f>IFERROR(N273/N444, "NA")</f>
        <v>2.3199661900850776E-2</v>
      </c>
      <c r="P273" s="2"/>
      <c r="Q273" s="14">
        <f>IFERROR(Q269+Q270+Q271+Q272, "NA")</f>
        <v>7116.9599999999991</v>
      </c>
      <c r="R273" s="15">
        <f>IFERROR(Q273/Q444, "NA")</f>
        <v>1.7336919678552165E-2</v>
      </c>
      <c r="S273" s="2"/>
      <c r="T273" s="14">
        <f>IFERROR(T269+T270+T271+T272, "NA")</f>
        <v>5993.82</v>
      </c>
      <c r="U273" s="15">
        <f>IFERROR(T273/T444, "NA")</f>
        <v>1.3870488649496596E-2</v>
      </c>
      <c r="V273" s="2"/>
      <c r="W273" s="14">
        <f>IFERROR(-(Q273-T273), "NA")</f>
        <v>-1123.1399999999994</v>
      </c>
      <c r="X273" s="15">
        <f>IFERROR(W273/W444, "NA")</f>
        <v>5.1952437297107613E-2</v>
      </c>
      <c r="Y273" s="2"/>
      <c r="Z273" s="14">
        <f>IFERROR(Z269+Z270+Z271+Z272, "NA")</f>
        <v>6345.3499999999995</v>
      </c>
      <c r="AA273" s="15">
        <f>IFERROR(Z273/Z444, "NA")</f>
        <v>1.622465839197625E-2</v>
      </c>
      <c r="AB273" s="2"/>
      <c r="AC273" s="14">
        <f>IFERROR(-(Q273-Z273), "NA")</f>
        <v>-771.60999999999967</v>
      </c>
      <c r="AD273" s="15">
        <f>IFERROR(AC273/AC444, "NA")</f>
        <v>-3.9741078588561039E-2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970.53</v>
      </c>
      <c r="C287" s="8">
        <f>IFERROR(B287/B444, "NA")</f>
        <v>1.1377078655794869E-2</v>
      </c>
      <c r="D287" s="9"/>
      <c r="E287" s="7">
        <v>1350</v>
      </c>
      <c r="F287" s="8">
        <f>IFERROR(E287/E444, "NA")</f>
        <v>1.2818991097922849E-2</v>
      </c>
      <c r="G287" s="9"/>
      <c r="H287" s="10">
        <f t="shared" si="72"/>
        <v>379.47</v>
      </c>
      <c r="I287" s="8">
        <f>IFERROR(H287/H444, "NA")</f>
        <v>-1.896707964354066E-2</v>
      </c>
      <c r="J287" s="9"/>
      <c r="K287" s="7">
        <v>970.53</v>
      </c>
      <c r="L287" s="8">
        <f>IFERROR(K287/K444, "NA")</f>
        <v>1.0598073208637015E-2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4852.6499999999996</v>
      </c>
      <c r="R287" s="8">
        <f>IFERROR(Q287/Q444, "NA")</f>
        <v>1.1821058890049427E-2</v>
      </c>
      <c r="S287" s="9"/>
      <c r="T287" s="7">
        <v>6750</v>
      </c>
      <c r="U287" s="8">
        <f>IFERROR(T287/T444, "NA")</f>
        <v>1.5620388731076679E-2</v>
      </c>
      <c r="V287" s="9"/>
      <c r="W287" s="10">
        <f t="shared" si="74"/>
        <v>1897.3500000000004</v>
      </c>
      <c r="X287" s="8">
        <f>IFERROR(W287/W444, "NA")</f>
        <v>-8.7764621423568931E-2</v>
      </c>
      <c r="Y287" s="9"/>
      <c r="Z287" s="7">
        <v>4852.6499999999996</v>
      </c>
      <c r="AA287" s="8">
        <f>IFERROR(Z287/Z444, "NA")</f>
        <v>1.2407918955742954E-2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371.95</v>
      </c>
      <c r="C288" s="8">
        <f>IFERROR(B288/B444, "NA")</f>
        <v>4.360199484841171E-3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-371.95</v>
      </c>
      <c r="I288" s="8">
        <f>IFERROR(H288/H444, "NA")</f>
        <v>1.859120687647231E-2</v>
      </c>
      <c r="J288" s="9"/>
      <c r="K288" s="7">
        <v>100.13</v>
      </c>
      <c r="L288" s="8">
        <f>IFERROR(K288/K444, "NA")</f>
        <v>1.0934077981935894E-3</v>
      </c>
      <c r="M288" s="9"/>
      <c r="N288" s="10">
        <f t="shared" si="73"/>
        <v>-271.82</v>
      </c>
      <c r="O288" s="8">
        <f>IFERROR(N288/N444, "NA")</f>
        <v>4.3350052229939276E-2</v>
      </c>
      <c r="P288" s="9"/>
      <c r="Q288" s="7">
        <v>1859.75</v>
      </c>
      <c r="R288" s="8">
        <f>IFERROR(Q288/Q444, "NA")</f>
        <v>4.5303523375412246E-3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-1859.75</v>
      </c>
      <c r="X288" s="8">
        <f>IFERROR(W288/W444, "NA")</f>
        <v>8.6025379973374588E-2</v>
      </c>
      <c r="Y288" s="9"/>
      <c r="Z288" s="7">
        <v>500.65</v>
      </c>
      <c r="AA288" s="8">
        <f>IFERROR(Z288/Z444, "NA")</f>
        <v>1.2801303669526362E-3</v>
      </c>
      <c r="AB288" s="9"/>
      <c r="AC288" s="10">
        <f t="shared" si="75"/>
        <v>-1359.1</v>
      </c>
      <c r="AD288" s="8">
        <f>IFERROR(AC288/AC444, "NA")</f>
        <v>-6.999922228809026E-2</v>
      </c>
    </row>
    <row r="289" spans="1:30" ht="16.5" customHeight="1" x14ac:dyDescent="0.45">
      <c r="A289" s="6" t="s">
        <v>262</v>
      </c>
      <c r="B289" s="7">
        <v>218.66</v>
      </c>
      <c r="C289" s="8">
        <f>IFERROR(B289/B444, "NA")</f>
        <v>2.5632510266309192E-3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-218.66</v>
      </c>
      <c r="I289" s="8">
        <f>IFERROR(H289/H444, "NA")</f>
        <v>1.0929300431803832E-2</v>
      </c>
      <c r="J289" s="9"/>
      <c r="K289" s="7">
        <v>201.24</v>
      </c>
      <c r="L289" s="8">
        <f>IFERROR(K289/K444, "NA")</f>
        <v>2.1975170808796358E-3</v>
      </c>
      <c r="M289" s="9"/>
      <c r="N289" s="10">
        <f t="shared" si="73"/>
        <v>-17.419999999999987</v>
      </c>
      <c r="O289" s="8">
        <f>IFERROR(N289/N444, "NA")</f>
        <v>2.7781543295031332E-3</v>
      </c>
      <c r="P289" s="9"/>
      <c r="Q289" s="7">
        <v>1228.18</v>
      </c>
      <c r="R289" s="8">
        <f>IFERROR(Q289/Q444, "NA")</f>
        <v>2.9918473633130157E-3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-1228.18</v>
      </c>
      <c r="X289" s="8">
        <f>IFERROR(W289/W444, "NA")</f>
        <v>5.6811211816480287E-2</v>
      </c>
      <c r="Y289" s="9"/>
      <c r="Z289" s="7">
        <v>1286.8800000000001</v>
      </c>
      <c r="AA289" s="8">
        <f>IFERROR(Z289/Z444, "NA")</f>
        <v>3.2904707213103138E-3</v>
      </c>
      <c r="AB289" s="9"/>
      <c r="AC289" s="10">
        <f t="shared" si="75"/>
        <v>58.700000000000045</v>
      </c>
      <c r="AD289" s="8">
        <f>IFERROR(AC289/AC444, "NA")</f>
        <v>3.0232906690537136E-3</v>
      </c>
    </row>
    <row r="290" spans="1:30" ht="16.5" customHeight="1" x14ac:dyDescent="0.45">
      <c r="A290" s="6" t="s">
        <v>263</v>
      </c>
      <c r="B290" s="7">
        <v>250.96</v>
      </c>
      <c r="C290" s="8">
        <f>IFERROR(B290/B444, "NA")</f>
        <v>2.9418891321837349E-3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-250.96</v>
      </c>
      <c r="I290" s="8">
        <f>IFERROR(H290/H444, "NA")</f>
        <v>1.2543753939291547E-2</v>
      </c>
      <c r="J290" s="9"/>
      <c r="K290" s="7">
        <v>250.96</v>
      </c>
      <c r="L290" s="8">
        <f>IFERROR(K290/K444, "NA")</f>
        <v>2.7404536206398003E-3</v>
      </c>
      <c r="M290" s="9"/>
      <c r="N290" s="10">
        <f t="shared" si="73"/>
        <v>0</v>
      </c>
      <c r="O290" s="8">
        <f>IFERROR(N290/N444, "NA")</f>
        <v>0</v>
      </c>
      <c r="P290" s="9"/>
      <c r="Q290" s="7">
        <v>1353.67</v>
      </c>
      <c r="R290" s="8">
        <f>IFERROR(Q290/Q444, "NA")</f>
        <v>3.2975410935660327E-3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-1353.67</v>
      </c>
      <c r="X290" s="8">
        <f>IFERROR(W290/W444, "NA")</f>
        <v>6.2615930156503824E-2</v>
      </c>
      <c r="Y290" s="9"/>
      <c r="Z290" s="7">
        <v>5535.89</v>
      </c>
      <c r="AA290" s="8">
        <f>IFERROR(Z290/Z444, "NA")</f>
        <v>1.4154920397701847E-2</v>
      </c>
      <c r="AB290" s="9"/>
      <c r="AC290" s="10">
        <f t="shared" si="75"/>
        <v>4182.22</v>
      </c>
      <c r="AD290" s="8">
        <f>IFERROR(AC290/AC444, "NA")</f>
        <v>0.21540147703457943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1579.69</v>
      </c>
      <c r="F291" s="8">
        <f>IFERROR(E291/E444, "NA")</f>
        <v>1.5000023738872404E-2</v>
      </c>
      <c r="G291" s="9"/>
      <c r="H291" s="10">
        <f t="shared" si="72"/>
        <v>1579.69</v>
      </c>
      <c r="I291" s="8">
        <f>IFERROR(H291/H444, "NA")</f>
        <v>-7.8957772793909253E-2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0</v>
      </c>
      <c r="O291" s="8">
        <f>IFERROR(N291/N444, "NA")</f>
        <v>0</v>
      </c>
      <c r="P291" s="9"/>
      <c r="Q291" s="7">
        <v>1684.83</v>
      </c>
      <c r="R291" s="8">
        <f>IFERROR(Q291/Q444, "NA")</f>
        <v>4.1042470917379116E-3</v>
      </c>
      <c r="S291" s="9"/>
      <c r="T291" s="7">
        <v>6481.91</v>
      </c>
      <c r="U291" s="8">
        <f>IFERROR(T291/T444, "NA")</f>
        <v>1.499999317331159E-2</v>
      </c>
      <c r="V291" s="9"/>
      <c r="W291" s="10">
        <f t="shared" si="74"/>
        <v>4797.08</v>
      </c>
      <c r="X291" s="8">
        <f>IFERROR(W291/W444, "NA")</f>
        <v>-0.22189575467814265</v>
      </c>
      <c r="Y291" s="9"/>
      <c r="Z291" s="7">
        <v>2913.97</v>
      </c>
      <c r="AA291" s="8">
        <f>IFERROR(Z291/Z444, "NA")</f>
        <v>7.450836882830267E-3</v>
      </c>
      <c r="AB291" s="9"/>
      <c r="AC291" s="10">
        <f t="shared" si="75"/>
        <v>1229.1399999999999</v>
      </c>
      <c r="AD291" s="8">
        <f>IFERROR(AC291/AC444, "NA")</f>
        <v>6.3305749454185323E-2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1703.69</v>
      </c>
      <c r="R292" s="8">
        <f>IFERROR(Q292/Q444, "NA")</f>
        <v>4.1501900653021151E-3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-1703.69</v>
      </c>
      <c r="X292" s="8">
        <f>IFERROR(W292/W444, "NA")</f>
        <v>7.880660282663722E-2</v>
      </c>
      <c r="Y292" s="9"/>
      <c r="Z292" s="7">
        <v>1721.09</v>
      </c>
      <c r="AA292" s="8">
        <f>IFERROR(Z292/Z444, "NA")</f>
        <v>4.4007182128403327E-3</v>
      </c>
      <c r="AB292" s="9"/>
      <c r="AC292" s="10">
        <f t="shared" si="75"/>
        <v>17.399999999999864</v>
      </c>
      <c r="AD292" s="8">
        <f>IFERROR(AC292/AC444, "NA")</f>
        <v>8.9617133971949166E-4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408.33</v>
      </c>
      <c r="C294" s="8">
        <f>IFERROR(B294/B444, "NA")</f>
        <v>4.7866655616217108E-3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-408.33</v>
      </c>
      <c r="I294" s="8">
        <f>IFERROR(H294/H444, "NA")</f>
        <v>2.0409591353326893E-2</v>
      </c>
      <c r="J294" s="9"/>
      <c r="K294" s="7">
        <v>385.83</v>
      </c>
      <c r="L294" s="8">
        <f>IFERROR(K294/K444, "NA")</f>
        <v>4.2132181242088545E-3</v>
      </c>
      <c r="M294" s="9"/>
      <c r="N294" s="10">
        <f t="shared" si="73"/>
        <v>-22.5</v>
      </c>
      <c r="O294" s="8">
        <f>IFERROR(N294/N444, "NA")</f>
        <v>3.5883164416659324E-3</v>
      </c>
      <c r="P294" s="9"/>
      <c r="Q294" s="7">
        <v>1880.61</v>
      </c>
      <c r="R294" s="8">
        <f>IFERROR(Q294/Q444, "NA")</f>
        <v>4.5811673125438377E-3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-1880.61</v>
      </c>
      <c r="X294" s="8">
        <f>IFERROR(W294/W444, "NA")</f>
        <v>8.6990288926860046E-2</v>
      </c>
      <c r="Y294" s="9"/>
      <c r="Z294" s="7">
        <v>1929.15</v>
      </c>
      <c r="AA294" s="8">
        <f>IFERROR(Z294/Z444, "NA")</f>
        <v>4.9327144660075472E-3</v>
      </c>
      <c r="AB294" s="9"/>
      <c r="AC294" s="10">
        <f t="shared" si="75"/>
        <v>48.540000000000191</v>
      </c>
      <c r="AD294" s="8">
        <f>IFERROR(AC294/AC444, "NA")</f>
        <v>2.5000090132175079E-3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2220.4300000000003</v>
      </c>
      <c r="C295" s="15">
        <f>IFERROR(B295/B444, "NA")</f>
        <v>2.6029083861072409E-2</v>
      </c>
      <c r="D295" s="2"/>
      <c r="E295" s="14">
        <f>IFERROR(E286+E287+E288+E289+E290+E291+E292+E293+E294, "NA")</f>
        <v>2929.69</v>
      </c>
      <c r="F295" s="15">
        <f>IFERROR(E295/E444, "NA")</f>
        <v>2.7819014836795254E-2</v>
      </c>
      <c r="G295" s="2"/>
      <c r="H295" s="14">
        <f t="shared" si="72"/>
        <v>709.25999999999976</v>
      </c>
      <c r="I295" s="15">
        <f>IFERROR(H295/H444, "NA")</f>
        <v>-3.5450999836555308E-2</v>
      </c>
      <c r="J295" s="2"/>
      <c r="K295" s="14">
        <f>IFERROR(K286+K287+K288+K289+K290+K291+K292+K293+K294, "NA")</f>
        <v>1908.6899999999998</v>
      </c>
      <c r="L295" s="15">
        <f>IFERROR(K295/K444, "NA")</f>
        <v>2.0842669832558895E-2</v>
      </c>
      <c r="M295" s="2"/>
      <c r="N295" s="14">
        <f t="shared" si="73"/>
        <v>-311.74000000000046</v>
      </c>
      <c r="O295" s="15">
        <f>IFERROR(N295/N444, "NA")</f>
        <v>4.9716523001108417E-2</v>
      </c>
      <c r="P295" s="2"/>
      <c r="Q295" s="14">
        <f>IFERROR(Q286+Q287+Q288+Q289+Q290+Q291+Q292+Q293+Q294, "NA")</f>
        <v>14563.380000000001</v>
      </c>
      <c r="R295" s="15">
        <f>IFERROR(Q295/Q444, "NA")</f>
        <v>3.5476404154053565E-2</v>
      </c>
      <c r="S295" s="2"/>
      <c r="T295" s="14">
        <f>IFERROR(T286+T287+T288+T289+T290+T291+T292+T293+T294, "NA")</f>
        <v>13231.91</v>
      </c>
      <c r="U295" s="15">
        <f>IFERROR(T295/T444, "NA")</f>
        <v>3.0620381904388268E-2</v>
      </c>
      <c r="V295" s="2"/>
      <c r="W295" s="14">
        <f t="shared" si="74"/>
        <v>-1331.4700000000012</v>
      </c>
      <c r="X295" s="15">
        <f>IFERROR(W295/W444, "NA")</f>
        <v>6.1589037598144464E-2</v>
      </c>
      <c r="Y295" s="2"/>
      <c r="Z295" s="14">
        <f>IFERROR(Z286+Z287+Z288+Z289+Z290+Z291+Z292+Z293+Z294, "NA")</f>
        <v>18740.28</v>
      </c>
      <c r="AA295" s="15">
        <f>IFERROR(Z295/Z444, "NA")</f>
        <v>4.7917710003385898E-2</v>
      </c>
      <c r="AB295" s="2"/>
      <c r="AC295" s="14">
        <f t="shared" si="75"/>
        <v>4176.8999999999978</v>
      </c>
      <c r="AD295" s="15">
        <f>IFERROR(AC295/AC444, "NA")</f>
        <v>0.21512747522266507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1369.06</v>
      </c>
      <c r="F297" s="8">
        <f>IFERROR(E297/E444, "NA")</f>
        <v>1.2999976261127595E-2</v>
      </c>
      <c r="G297" s="9"/>
      <c r="H297" s="10">
        <f t="shared" ref="H297:H325" si="76">IFERROR(-(B297-E297), "NA")</f>
        <v>1369.06</v>
      </c>
      <c r="I297" s="8">
        <f>IFERROR(H297/H444, "NA")</f>
        <v>-6.8429836500344621E-2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5617.65</v>
      </c>
      <c r="U297" s="8">
        <f>IFERROR(T297/T444, "NA")</f>
        <v>1.299998174150117E-2</v>
      </c>
      <c r="V297" s="9"/>
      <c r="W297" s="10">
        <f t="shared" ref="W297:W325" si="78">IFERROR(-(Q297-T297), "NA")</f>
        <v>5617.65</v>
      </c>
      <c r="X297" s="8">
        <f>IFERROR(W297/W444, "NA")</f>
        <v>-0.25985238650755627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1380.42</v>
      </c>
      <c r="C299" s="8">
        <f>IFERROR(B299/B444, "NA")</f>
        <v>1.6182031382886004E-2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-1380.42</v>
      </c>
      <c r="I299" s="8">
        <f>IFERROR(H299/H444, "NA")</f>
        <v>6.8997644297405319E-2</v>
      </c>
      <c r="J299" s="9"/>
      <c r="K299" s="7">
        <v>500.77</v>
      </c>
      <c r="L299" s="8">
        <f>IFERROR(K299/K444, "NA")</f>
        <v>5.4683493768241664E-3</v>
      </c>
      <c r="M299" s="9"/>
      <c r="N299" s="10">
        <f t="shared" si="77"/>
        <v>-879.65000000000009</v>
      </c>
      <c r="O299" s="8">
        <f>IFERROR(N299/N444, "NA")</f>
        <v>0.1402872247960639</v>
      </c>
      <c r="P299" s="9"/>
      <c r="Q299" s="7">
        <v>3634.48</v>
      </c>
      <c r="R299" s="8">
        <f>IFERROR(Q299/Q444, "NA")</f>
        <v>8.8535958939356518E-3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-3634.48</v>
      </c>
      <c r="X299" s="8">
        <f>IFERROR(W299/W444, "NA")</f>
        <v>0.16811803898676192</v>
      </c>
      <c r="Y299" s="9"/>
      <c r="Z299" s="7">
        <v>2503.85</v>
      </c>
      <c r="AA299" s="8">
        <f>IFERROR(Z299/Z444, "NA")</f>
        <v>6.4021859967928856E-3</v>
      </c>
      <c r="AB299" s="9"/>
      <c r="AC299" s="10">
        <f t="shared" si="79"/>
        <v>-1130.6300000000001</v>
      </c>
      <c r="AD299" s="8">
        <f>IFERROR(AC299/AC444, "NA")</f>
        <v>-5.8232080564773386E-2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57.89</v>
      </c>
      <c r="L305" s="8">
        <f>IFERROR(K305/K444, "NA")</f>
        <v>6.3215197680442311E-4</v>
      </c>
      <c r="M305" s="9"/>
      <c r="N305" s="10">
        <f t="shared" si="77"/>
        <v>57.89</v>
      </c>
      <c r="O305" s="8">
        <f>IFERROR(N305/N444, "NA")</f>
        <v>-9.2323395025795917E-3</v>
      </c>
      <c r="P305" s="9"/>
      <c r="Q305" s="7">
        <v>-57</v>
      </c>
      <c r="R305" s="8">
        <f>IFERROR(Q305/Q444, "NA")</f>
        <v>-1.3885204099467658E-4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57</v>
      </c>
      <c r="X305" s="8">
        <f>IFERROR(W305/W444, "NA")</f>
        <v>-2.6366160282201112E-3</v>
      </c>
      <c r="Y305" s="9"/>
      <c r="Z305" s="7">
        <v>276.20999999999998</v>
      </c>
      <c r="AA305" s="8">
        <f>IFERROR(Z305/Z444, "NA")</f>
        <v>7.0625149037448838E-4</v>
      </c>
      <c r="AB305" s="9"/>
      <c r="AC305" s="10">
        <f t="shared" si="79"/>
        <v>333.21</v>
      </c>
      <c r="AD305" s="8">
        <f>IFERROR(AC305/AC444, "NA")</f>
        <v>1.7161681155628401E-2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281.54000000000002</v>
      </c>
      <c r="C310" s="8">
        <f>IFERROR(B310/B444, "NA")</f>
        <v>3.3003644655523142E-3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-281.54000000000002</v>
      </c>
      <c r="I310" s="8">
        <f>IFERROR(H310/H444, "NA")</f>
        <v>1.4072236547928524E-2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-281.54000000000002</v>
      </c>
      <c r="O310" s="8">
        <f>IFERROR(N310/N444, "NA")</f>
        <v>4.4900204932738962E-2</v>
      </c>
      <c r="P310" s="9"/>
      <c r="Q310" s="7">
        <v>525.01</v>
      </c>
      <c r="R310" s="8">
        <f>IFERROR(Q310/Q444, "NA")</f>
        <v>1.2789247375897396E-3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-525.01</v>
      </c>
      <c r="X310" s="8">
        <f>IFERROR(W310/W444, "NA")</f>
        <v>2.4285083876769132E-2</v>
      </c>
      <c r="Y310" s="9"/>
      <c r="Z310" s="7">
        <v>0</v>
      </c>
      <c r="AA310" s="8">
        <f>IFERROR(Z310/Z444, "NA")</f>
        <v>0</v>
      </c>
      <c r="AB310" s="9"/>
      <c r="AC310" s="10">
        <f t="shared" si="79"/>
        <v>-525.01</v>
      </c>
      <c r="AD310" s="8">
        <f>IFERROR(AC310/AC444, "NA")</f>
        <v>-2.7040167532536435E-2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6.5114299224345714E-5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1.2364341479705889E-3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-1.376704592569092E-3</v>
      </c>
    </row>
    <row r="312" spans="1:30" ht="16.5" customHeight="1" x14ac:dyDescent="0.45">
      <c r="A312" s="6" t="s">
        <v>284</v>
      </c>
      <c r="B312" s="7">
        <v>220.71</v>
      </c>
      <c r="C312" s="8">
        <f>IFERROR(B312/B444, "NA")</f>
        <v>2.5872822376644573E-3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-220.71</v>
      </c>
      <c r="I312" s="8">
        <f>IFERROR(H312/H444, "NA")</f>
        <v>1.1031765747294539E-2</v>
      </c>
      <c r="J312" s="9"/>
      <c r="K312" s="7">
        <v>143.22</v>
      </c>
      <c r="L312" s="8">
        <f>IFERROR(K312/K444, "NA")</f>
        <v>1.5639455193976418E-3</v>
      </c>
      <c r="M312" s="9"/>
      <c r="N312" s="10">
        <f t="shared" si="77"/>
        <v>-77.490000000000009</v>
      </c>
      <c r="O312" s="8">
        <f>IFERROR(N312/N444, "NA")</f>
        <v>1.2358161825097472E-2</v>
      </c>
      <c r="P312" s="9"/>
      <c r="Q312" s="7">
        <v>414.2</v>
      </c>
      <c r="R312" s="8">
        <f>IFERROR(Q312/Q444, "NA")</f>
        <v>1.0089914978946499E-3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-414.2</v>
      </c>
      <c r="X312" s="8">
        <f>IFERROR(W312/W444, "NA")</f>
        <v>1.9159409805066141E-2</v>
      </c>
      <c r="Y312" s="9"/>
      <c r="Z312" s="7">
        <v>242</v>
      </c>
      <c r="AA312" s="8">
        <f>IFERROR(Z312/Z444, "NA")</f>
        <v>6.1877868531416756E-4</v>
      </c>
      <c r="AB312" s="9"/>
      <c r="AC312" s="10">
        <f t="shared" si="79"/>
        <v>-172.2</v>
      </c>
      <c r="AD312" s="8">
        <f>IFERROR(AC312/AC444, "NA")</f>
        <v>-8.8690060172240039E-3</v>
      </c>
    </row>
    <row r="313" spans="1:30" ht="16.5" customHeight="1" x14ac:dyDescent="0.45">
      <c r="A313" s="6" t="s">
        <v>285</v>
      </c>
      <c r="B313" s="7">
        <v>28</v>
      </c>
      <c r="C313" s="8">
        <f>IFERROR(B313/B444, "NA")</f>
        <v>3.282311750922242E-4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-28</v>
      </c>
      <c r="I313" s="8">
        <f>IFERROR(H313/H444, "NA")</f>
        <v>1.3995262603608675E-3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-28</v>
      </c>
      <c r="O313" s="8">
        <f>IFERROR(N313/N444, "NA")</f>
        <v>4.4654604607398266E-3</v>
      </c>
      <c r="P313" s="9"/>
      <c r="Q313" s="7">
        <v>103.05</v>
      </c>
      <c r="R313" s="8">
        <f>IFERROR(Q313/Q444, "NA")</f>
        <v>2.5102987411406005E-4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-103.05</v>
      </c>
      <c r="X313" s="8">
        <f>IFERROR(W313/W444, "NA")</f>
        <v>4.7667242404926743E-3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-103.05</v>
      </c>
      <c r="AD313" s="8">
        <f>IFERROR(AC313/AC444, "NA")</f>
        <v>-5.3074975033387548E-3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414.57</v>
      </c>
      <c r="C318" s="8">
        <f>IFERROR(B318/B444, "NA")</f>
        <v>4.8598142234994061E-3</v>
      </c>
      <c r="D318" s="9"/>
      <c r="E318" s="7">
        <v>915</v>
      </c>
      <c r="F318" s="8">
        <f>IFERROR(E318/E444, "NA")</f>
        <v>8.6884272997032642E-3</v>
      </c>
      <c r="G318" s="9"/>
      <c r="H318" s="10">
        <f t="shared" si="76"/>
        <v>500.43</v>
      </c>
      <c r="I318" s="8">
        <f>IFERROR(H318/H444, "NA")</f>
        <v>-2.5013033088299604E-2</v>
      </c>
      <c r="J318" s="9"/>
      <c r="K318" s="7">
        <v>414.57</v>
      </c>
      <c r="L318" s="8">
        <f>IFERROR(K318/K444, "NA")</f>
        <v>4.5270555367733578E-3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2072.85</v>
      </c>
      <c r="R318" s="8">
        <f>IFERROR(Q318/Q444, "NA")</f>
        <v>5.0494640908037786E-3</v>
      </c>
      <c r="S318" s="9"/>
      <c r="T318" s="7">
        <v>4575</v>
      </c>
      <c r="U318" s="8">
        <f>IFERROR(T318/T444, "NA")</f>
        <v>1.0587152362174194E-2</v>
      </c>
      <c r="V318" s="9"/>
      <c r="W318" s="10">
        <f t="shared" si="78"/>
        <v>2502.15</v>
      </c>
      <c r="X318" s="8">
        <f>IFERROR(W318/W444, "NA")</f>
        <v>-0.11574050517563073</v>
      </c>
      <c r="Y318" s="9"/>
      <c r="Z318" s="7">
        <v>2072.85</v>
      </c>
      <c r="AA318" s="8">
        <f>IFERROR(Z318/Z444, "NA")</f>
        <v>5.3001462721217855E-3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149.55000000000001</v>
      </c>
      <c r="C319" s="8">
        <f>IFERROR(B319/B444, "NA")</f>
        <v>1.7531061512515047E-3</v>
      </c>
      <c r="D319" s="9"/>
      <c r="E319" s="7">
        <v>149</v>
      </c>
      <c r="F319" s="8">
        <f>IFERROR(E319/E444, "NA")</f>
        <v>1.4148367952522254E-3</v>
      </c>
      <c r="G319" s="9"/>
      <c r="H319" s="10">
        <f t="shared" si="76"/>
        <v>-0.55000000000001137</v>
      </c>
      <c r="I319" s="8">
        <f>IFERROR(H319/H444, "NA")</f>
        <v>2.749069439994618E-5</v>
      </c>
      <c r="J319" s="9"/>
      <c r="K319" s="7">
        <v>149.34</v>
      </c>
      <c r="L319" s="8">
        <f>IFERROR(K319/K444, "NA")</f>
        <v>1.6307751980648222E-3</v>
      </c>
      <c r="M319" s="9"/>
      <c r="N319" s="10">
        <f t="shared" si="77"/>
        <v>-0.21000000000000796</v>
      </c>
      <c r="O319" s="8">
        <f>IFERROR(N319/N444, "NA")</f>
        <v>3.3490953455549972E-5</v>
      </c>
      <c r="P319" s="9"/>
      <c r="Q319" s="7">
        <v>747.83</v>
      </c>
      <c r="R319" s="8">
        <f>IFERROR(Q319/Q444, "NA")</f>
        <v>1.821714417842965E-3</v>
      </c>
      <c r="S319" s="9"/>
      <c r="T319" s="7">
        <v>745</v>
      </c>
      <c r="U319" s="8">
        <f>IFERROR(T319/T444, "NA")</f>
        <v>1.7240280895780926E-3</v>
      </c>
      <c r="V319" s="9"/>
      <c r="W319" s="10">
        <f t="shared" si="78"/>
        <v>-2.8300000000000409</v>
      </c>
      <c r="X319" s="8">
        <f>IFERROR(W319/W444, "NA")</f>
        <v>1.3090567298005301E-4</v>
      </c>
      <c r="Y319" s="9"/>
      <c r="Z319" s="7">
        <v>747.49</v>
      </c>
      <c r="AA319" s="8">
        <f>IFERROR(Z319/Z444, "NA")</f>
        <v>1.911284625973087E-3</v>
      </c>
      <c r="AB319" s="9"/>
      <c r="AC319" s="10">
        <f t="shared" si="79"/>
        <v>-0.34000000000003183</v>
      </c>
      <c r="AD319" s="8">
        <f>IFERROR(AC319/AC444, "NA")</f>
        <v>-1.7511393994520581E-5</v>
      </c>
    </row>
    <row r="320" spans="1:30" ht="16.5" customHeight="1" x14ac:dyDescent="0.45">
      <c r="A320" s="6" t="s">
        <v>292</v>
      </c>
      <c r="B320" s="7">
        <v>1088.49</v>
      </c>
      <c r="C320" s="8">
        <f>IFERROR(B320/B444, "NA")</f>
        <v>1.275986970629054E-2</v>
      </c>
      <c r="D320" s="9"/>
      <c r="E320" s="7">
        <v>800</v>
      </c>
      <c r="F320" s="8">
        <f>IFERROR(E320/E444, "NA")</f>
        <v>7.5964391691394663E-3</v>
      </c>
      <c r="G320" s="9"/>
      <c r="H320" s="10">
        <f t="shared" si="76"/>
        <v>-288.49</v>
      </c>
      <c r="I320" s="8">
        <f>IFERROR(H320/H444, "NA")</f>
        <v>1.4419618958982382E-2</v>
      </c>
      <c r="J320" s="9"/>
      <c r="K320" s="7">
        <v>806.29</v>
      </c>
      <c r="L320" s="8">
        <f>IFERROR(K320/K444, "NA")</f>
        <v>8.8045917667583049E-3</v>
      </c>
      <c r="M320" s="9"/>
      <c r="N320" s="10">
        <f t="shared" si="77"/>
        <v>-282.20000000000005</v>
      </c>
      <c r="O320" s="8">
        <f>IFERROR(N320/N444, "NA")</f>
        <v>4.5005462215027832E-2</v>
      </c>
      <c r="P320" s="9"/>
      <c r="Q320" s="7">
        <v>5335.51</v>
      </c>
      <c r="R320" s="8">
        <f>IFERROR(Q320/Q444, "NA")</f>
        <v>1.2997306197324683E-2</v>
      </c>
      <c r="S320" s="9"/>
      <c r="T320" s="7">
        <v>4000</v>
      </c>
      <c r="U320" s="8">
        <f>IFERROR(T320/T444, "NA")</f>
        <v>9.2565266554528475E-3</v>
      </c>
      <c r="V320" s="9"/>
      <c r="W320" s="10">
        <f t="shared" si="78"/>
        <v>-1335.5100000000002</v>
      </c>
      <c r="X320" s="8">
        <f>IFERROR(W320/W444, "NA")</f>
        <v>6.1775913541197214E-2</v>
      </c>
      <c r="Y320" s="9"/>
      <c r="Z320" s="7">
        <v>3636.45</v>
      </c>
      <c r="AA320" s="8">
        <f>IFERROR(Z320/Z444, "NA")</f>
        <v>9.2981725215318355E-3</v>
      </c>
      <c r="AB320" s="9"/>
      <c r="AC320" s="10">
        <f t="shared" si="79"/>
        <v>-1699.0600000000004</v>
      </c>
      <c r="AD320" s="8">
        <f>IFERROR(AC320/AC444, "NA")</f>
        <v>-8.7508556118609873E-2</v>
      </c>
    </row>
    <row r="321" spans="1:30" ht="16.5" customHeight="1" x14ac:dyDescent="0.45">
      <c r="A321" s="6" t="s">
        <v>293</v>
      </c>
      <c r="B321" s="7">
        <v>994.4</v>
      </c>
      <c r="C321" s="8">
        <f>IFERROR(B321/B444, "NA")</f>
        <v>1.165689573256099E-2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-994.4</v>
      </c>
      <c r="I321" s="8">
        <f>IFERROR(H321/H444, "NA")</f>
        <v>4.9703175475101669E-2</v>
      </c>
      <c r="J321" s="9"/>
      <c r="K321" s="7">
        <v>1556.48</v>
      </c>
      <c r="L321" s="8">
        <f>IFERROR(K321/K444, "NA")</f>
        <v>1.6996578145734124E-2</v>
      </c>
      <c r="M321" s="9"/>
      <c r="N321" s="10">
        <f t="shared" si="77"/>
        <v>562.08000000000004</v>
      </c>
      <c r="O321" s="8">
        <f>IFERROR(N321/N444, "NA")</f>
        <v>-8.9640929134737216E-2</v>
      </c>
      <c r="P321" s="9"/>
      <c r="Q321" s="7">
        <v>8822.68</v>
      </c>
      <c r="R321" s="8">
        <f>IFERROR(Q321/Q444, "NA")</f>
        <v>2.1492054825314268E-2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-8822.68</v>
      </c>
      <c r="X321" s="8">
        <f>IFERROR(W321/W444, "NA")</f>
        <v>0.40810560526064932</v>
      </c>
      <c r="Y321" s="9"/>
      <c r="Z321" s="7">
        <v>8173.09</v>
      </c>
      <c r="AA321" s="8">
        <f>IFERROR(Z321/Z444, "NA")</f>
        <v>2.089807390559657E-2</v>
      </c>
      <c r="AB321" s="9"/>
      <c r="AC321" s="10">
        <f t="shared" si="79"/>
        <v>-649.59000000000015</v>
      </c>
      <c r="AD321" s="8">
        <f>IFERROR(AC321/AC444, "NA")</f>
        <v>-3.3456548308528122E-2</v>
      </c>
    </row>
    <row r="322" spans="1:30" ht="16.5" customHeight="1" x14ac:dyDescent="0.45">
      <c r="A322" s="6" t="s">
        <v>294</v>
      </c>
      <c r="B322" s="7">
        <v>162.27000000000001</v>
      </c>
      <c r="C322" s="8">
        <f>IFERROR(B322/B444, "NA")</f>
        <v>1.902216885079115E-3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-162.27000000000001</v>
      </c>
      <c r="I322" s="8">
        <f>IFERROR(H322/H444, "NA")</f>
        <v>8.1107545095985001E-3</v>
      </c>
      <c r="J322" s="9"/>
      <c r="K322" s="7">
        <v>162.27000000000001</v>
      </c>
      <c r="L322" s="8">
        <f>IFERROR(K322/K444, "NA")</f>
        <v>1.7719692740724435E-3</v>
      </c>
      <c r="M322" s="9"/>
      <c r="N322" s="10">
        <f t="shared" si="77"/>
        <v>0</v>
      </c>
      <c r="O322" s="8">
        <f>IFERROR(N322/N444, "NA")</f>
        <v>0</v>
      </c>
      <c r="P322" s="9"/>
      <c r="Q322" s="7">
        <v>1591.47</v>
      </c>
      <c r="R322" s="8">
        <f>IFERROR(Q322/Q444, "NA")</f>
        <v>3.8768220645929467E-3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-1591.47</v>
      </c>
      <c r="X322" s="8">
        <f>IFERROR(W322/W444, "NA")</f>
        <v>7.3615707200551939E-2</v>
      </c>
      <c r="Y322" s="9"/>
      <c r="Z322" s="7">
        <v>739.88</v>
      </c>
      <c r="AA322" s="8">
        <f>IFERROR(Z322/Z444, "NA")</f>
        <v>1.8918263375630011E-3</v>
      </c>
      <c r="AB322" s="9"/>
      <c r="AC322" s="10">
        <f t="shared" si="79"/>
        <v>-851.59</v>
      </c>
      <c r="AD322" s="8">
        <f>IFERROR(AC322/AC444, "NA")</f>
        <v>-4.386037650527172E-2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4719.9500000000007</v>
      </c>
      <c r="C324" s="15">
        <f>IFERROR(B324/B444, "NA")</f>
        <v>5.5329811959876567E-2</v>
      </c>
      <c r="D324" s="2"/>
      <c r="E324" s="14">
        <f>IFERROR(E297+E298+E299+E300+E301+E302+E303+E304+E305+E306+E307+E308+E309+E310+E311+E312+E313+E314+E315+E316+E317+E318+E319+E320+E321+E322+E323, "NA")</f>
        <v>3233.06</v>
      </c>
      <c r="F324" s="15">
        <f>IFERROR(E324/E444, "NA")</f>
        <v>3.069967952522255E-2</v>
      </c>
      <c r="G324" s="2"/>
      <c r="H324" s="14">
        <f t="shared" si="76"/>
        <v>-1486.8900000000008</v>
      </c>
      <c r="I324" s="15">
        <f>IFERROR(H324/H444, "NA")</f>
        <v>7.4319342902427546E-2</v>
      </c>
      <c r="J324" s="2"/>
      <c r="K324" s="14">
        <f>IFERROR(K297+K298+K299+K300+K301+K302+K303+K304+K305+K306+K307+K308+K309+K310+K311+K312+K313+K314+K315+K316+K317+K318+K319+K320+K321+K322+K323, "NA")</f>
        <v>3790.83</v>
      </c>
      <c r="L324" s="15">
        <f>IFERROR(K324/K444, "NA")</f>
        <v>4.1395416794429284E-2</v>
      </c>
      <c r="M324" s="2"/>
      <c r="N324" s="14">
        <f t="shared" si="77"/>
        <v>-929.1200000000008</v>
      </c>
      <c r="O324" s="15">
        <f>IFERROR(N324/N444, "NA")</f>
        <v>0.14817673654580685</v>
      </c>
      <c r="P324" s="2"/>
      <c r="Q324" s="14">
        <f>IFERROR(Q297+Q298+Q299+Q300+Q301+Q302+Q303+Q304+Q305+Q306+Q307+Q308+Q309+Q310+Q311+Q312+Q313+Q314+Q315+Q316+Q317+Q318+Q319+Q320+Q321+Q322+Q323, "NA")</f>
        <v>23216.81</v>
      </c>
      <c r="R324" s="15">
        <f>IFERROR(Q324/Q444, "NA")</f>
        <v>5.6556165857642414E-2</v>
      </c>
      <c r="S324" s="2"/>
      <c r="T324" s="14">
        <f>IFERROR(T297+T298+T299+T300+T301+T302+T303+T304+T305+T306+T307+T308+T309+T310+T311+T312+T313+T314+T315+T316+T317+T318+T319+T320+T321+T322+T323, "NA")</f>
        <v>14937.65</v>
      </c>
      <c r="U324" s="15">
        <f>IFERROR(T324/T444, "NA")</f>
        <v>3.4567688848706306E-2</v>
      </c>
      <c r="V324" s="2"/>
      <c r="W324" s="14">
        <f t="shared" si="78"/>
        <v>-8279.1600000000017</v>
      </c>
      <c r="X324" s="15">
        <f>IFERROR(W324/W444, "NA")</f>
        <v>0.3829643150210319</v>
      </c>
      <c r="Y324" s="2"/>
      <c r="Z324" s="14">
        <f>IFERROR(Z297+Z298+Z299+Z300+Z301+Z302+Z303+Z304+Z305+Z306+Z307+Z308+Z309+Z310+Z311+Z312+Z313+Z314+Z315+Z316+Z317+Z318+Z319+Z320+Z321+Z322+Z323, "NA")</f>
        <v>18391.82</v>
      </c>
      <c r="AA324" s="15">
        <f>IFERROR(Z324/Z444, "NA")</f>
        <v>4.7026719835267822E-2</v>
      </c>
      <c r="AB324" s="2"/>
      <c r="AC324" s="14">
        <f t="shared" si="79"/>
        <v>-4824.9900000000016</v>
      </c>
      <c r="AD324" s="15">
        <f>IFERROR(AC324/AC444, "NA")</f>
        <v>-0.24850676738121755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20572.680000000004</v>
      </c>
      <c r="C325" s="15">
        <f>IFERROR(B325/B444, "NA")</f>
        <v>0.24116410468558214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22527.34</v>
      </c>
      <c r="F325" s="15">
        <f>IFERROR(E325/E444, "NA")</f>
        <v>0.21390945994065283</v>
      </c>
      <c r="G325" s="2"/>
      <c r="H325" s="14">
        <f t="shared" si="76"/>
        <v>1954.6599999999962</v>
      </c>
      <c r="I325" s="15">
        <f>IFERROR(H325/H444, "NA")</f>
        <v>-9.7699928574177433E-2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18648.309999999998</v>
      </c>
      <c r="L325" s="15">
        <f>IFERROR(K325/K444, "NA")</f>
        <v>0.20363734721992902</v>
      </c>
      <c r="M325" s="2"/>
      <c r="N325" s="14">
        <f t="shared" si="77"/>
        <v>-1924.3700000000063</v>
      </c>
      <c r="O325" s="15">
        <f>IFERROR(N325/N444, "NA")</f>
        <v>0.30689993381549746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111520.71999999997</v>
      </c>
      <c r="R325" s="15">
        <f>IFERROR(Q325/Q444, "NA")</f>
        <v>0.27166455412624291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96562.07</v>
      </c>
      <c r="U325" s="15">
        <f>IFERROR(T325/T444, "NA")</f>
        <v>0.22345734371517595</v>
      </c>
      <c r="V325" s="2"/>
      <c r="W325" s="14">
        <f t="shared" si="78"/>
        <v>-14958.649999999965</v>
      </c>
      <c r="X325" s="15">
        <f>IFERROR(W325/W444, "NA")</f>
        <v>0.69193362018481885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94649.200000000026</v>
      </c>
      <c r="AA325" s="15">
        <f>IFERROR(Z325/Z444, "NA")</f>
        <v>0.2420120146365195</v>
      </c>
      <c r="AB325" s="2"/>
      <c r="AC325" s="14">
        <f t="shared" si="79"/>
        <v>-16871.519999999946</v>
      </c>
      <c r="AD325" s="15">
        <f>IFERROR(AC325/AC444, "NA")</f>
        <v>-0.86895245296001544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4597.76</v>
      </c>
      <c r="C329" s="8">
        <f>IFERROR(B329/B444, "NA")</f>
        <v>5.3897434556858026E-2</v>
      </c>
      <c r="D329" s="9"/>
      <c r="E329" s="7">
        <v>5055</v>
      </c>
      <c r="F329" s="8">
        <f>IFERROR(E329/E444, "NA")</f>
        <v>4.8000000000000001E-2</v>
      </c>
      <c r="G329" s="9"/>
      <c r="H329" s="10">
        <f t="shared" si="80"/>
        <v>457.23999999999978</v>
      </c>
      <c r="I329" s="8">
        <f>IFERROR(H329/H444, "NA")</f>
        <v>-2.2854263831692957E-2</v>
      </c>
      <c r="J329" s="9"/>
      <c r="K329" s="7">
        <v>6377.92</v>
      </c>
      <c r="L329" s="8">
        <f>IFERROR(K329/K444, "NA")</f>
        <v>6.9646134667480847E-2</v>
      </c>
      <c r="M329" s="9"/>
      <c r="N329" s="10">
        <f t="shared" si="81"/>
        <v>1780.1599999999999</v>
      </c>
      <c r="O329" s="8">
        <f>IFERROR(N329/N444, "NA")</f>
        <v>-0.2839012176353789</v>
      </c>
      <c r="P329" s="9"/>
      <c r="Q329" s="7">
        <v>22988.799999999999</v>
      </c>
      <c r="R329" s="8">
        <f>IFERROR(Q329/Q444, "NA")</f>
        <v>5.6000733333656509E-2</v>
      </c>
      <c r="S329" s="9"/>
      <c r="T329" s="7">
        <v>23787.3</v>
      </c>
      <c r="U329" s="8">
        <f>IFERROR(T329/T444, "NA")</f>
        <v>5.5046944127813371E-2</v>
      </c>
      <c r="V329" s="9"/>
      <c r="W329" s="10">
        <f t="shared" si="82"/>
        <v>798.5</v>
      </c>
      <c r="X329" s="8">
        <f>IFERROR(W329/W444, "NA")</f>
        <v>-3.6935752605855417E-2</v>
      </c>
      <c r="Y329" s="9"/>
      <c r="Z329" s="7">
        <v>31889.599999999999</v>
      </c>
      <c r="AA329" s="8">
        <f>IFERROR(Z329/Z444, "NA")</f>
        <v>8.1539689104110233E-2</v>
      </c>
      <c r="AB329" s="9"/>
      <c r="AC329" s="10">
        <f t="shared" si="83"/>
        <v>8900.7999999999993</v>
      </c>
      <c r="AD329" s="8">
        <f>IFERROR(AC329/AC444, "NA")</f>
        <v>0.45842769313651227</v>
      </c>
    </row>
    <row r="330" spans="1:30" ht="16.5" customHeight="1" x14ac:dyDescent="0.45">
      <c r="A330" s="6" t="s">
        <v>301</v>
      </c>
      <c r="B330" s="7">
        <v>1686.02</v>
      </c>
      <c r="C330" s="8">
        <f>IFERROR(B330/B444, "NA")</f>
        <v>1.9764440208178278E-2</v>
      </c>
      <c r="D330" s="9"/>
      <c r="E330" s="7">
        <v>1686</v>
      </c>
      <c r="F330" s="8">
        <f>IFERROR(E330/E444, "NA")</f>
        <v>1.6009495548961424E-2</v>
      </c>
      <c r="G330" s="9"/>
      <c r="H330" s="10">
        <f t="shared" si="80"/>
        <v>-1.999999999998181E-2</v>
      </c>
      <c r="I330" s="8">
        <f>IFERROR(H330/H444, "NA")</f>
        <v>9.9966161454256761E-7</v>
      </c>
      <c r="J330" s="9"/>
      <c r="K330" s="7">
        <v>1636.91</v>
      </c>
      <c r="L330" s="8">
        <f>IFERROR(K330/K444, "NA")</f>
        <v>1.787486426586506E-2</v>
      </c>
      <c r="M330" s="9"/>
      <c r="N330" s="10">
        <f t="shared" si="81"/>
        <v>-49.1099999999999</v>
      </c>
      <c r="O330" s="8">
        <f>IFERROR(N330/N444, "NA")</f>
        <v>7.8320986866761595E-3</v>
      </c>
      <c r="P330" s="9"/>
      <c r="Q330" s="7">
        <v>9681.2099999999991</v>
      </c>
      <c r="R330" s="8">
        <f>IFERROR(Q330/Q444, "NA")</f>
        <v>2.3583434522773207E-2</v>
      </c>
      <c r="S330" s="9"/>
      <c r="T330" s="7">
        <v>8430</v>
      </c>
      <c r="U330" s="8">
        <f>IFERROR(T330/T444, "NA")</f>
        <v>1.9508129926366875E-2</v>
      </c>
      <c r="V330" s="9"/>
      <c r="W330" s="10">
        <f t="shared" si="82"/>
        <v>-1251.2099999999991</v>
      </c>
      <c r="X330" s="8">
        <f>IFERROR(W330/W444, "NA")</f>
        <v>5.7876497204724264E-2</v>
      </c>
      <c r="Y330" s="9"/>
      <c r="Z330" s="7">
        <v>6683.37</v>
      </c>
      <c r="AA330" s="8">
        <f>IFERROR(Z330/Z444, "NA")</f>
        <v>1.7088954140777469E-2</v>
      </c>
      <c r="AB330" s="9"/>
      <c r="AC330" s="10">
        <f t="shared" si="83"/>
        <v>-2997.8399999999992</v>
      </c>
      <c r="AD330" s="8">
        <f>IFERROR(AC330/AC444, "NA")</f>
        <v>-0.15440105109567248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1913.97</v>
      </c>
      <c r="C333" s="8">
        <f>IFERROR(B333/B444, "NA")</f>
        <v>2.2436593649688013E-2</v>
      </c>
      <c r="D333" s="9"/>
      <c r="E333" s="7">
        <v>1686</v>
      </c>
      <c r="F333" s="8">
        <f>IFERROR(E333/E444, "NA")</f>
        <v>1.6009495548961424E-2</v>
      </c>
      <c r="G333" s="9"/>
      <c r="H333" s="10">
        <f t="shared" si="80"/>
        <v>-227.97000000000003</v>
      </c>
      <c r="I333" s="8">
        <f>IFERROR(H333/H444, "NA")</f>
        <v>1.1394642913373823E-2</v>
      </c>
      <c r="J333" s="9"/>
      <c r="K333" s="7">
        <v>1853.78</v>
      </c>
      <c r="L333" s="8">
        <f>IFERROR(K333/K444, "NA")</f>
        <v>2.024305910451725E-2</v>
      </c>
      <c r="M333" s="9"/>
      <c r="N333" s="10">
        <f t="shared" si="81"/>
        <v>-60.190000000000055</v>
      </c>
      <c r="O333" s="8">
        <f>IFERROR(N333/N444, "NA")</f>
        <v>9.5991451832832288E-3</v>
      </c>
      <c r="P333" s="9"/>
      <c r="Q333" s="7">
        <v>8811.11</v>
      </c>
      <c r="R333" s="8">
        <f>IFERROR(Q333/Q444, "NA")</f>
        <v>2.1463870296993069E-2</v>
      </c>
      <c r="S333" s="9"/>
      <c r="T333" s="7">
        <v>8430</v>
      </c>
      <c r="U333" s="8">
        <f>IFERROR(T333/T444, "NA")</f>
        <v>1.9508129926366875E-2</v>
      </c>
      <c r="V333" s="9"/>
      <c r="W333" s="10">
        <f t="shared" si="82"/>
        <v>-381.11000000000058</v>
      </c>
      <c r="X333" s="8">
        <f>IFERROR(W333/W444, "NA")</f>
        <v>1.7628784816052071E-2</v>
      </c>
      <c r="Y333" s="9"/>
      <c r="Z333" s="7">
        <v>9479.7199999999993</v>
      </c>
      <c r="AA333" s="8">
        <f>IFERROR(Z333/Z444, "NA")</f>
        <v>2.4239044127051322E-2</v>
      </c>
      <c r="AB333" s="9"/>
      <c r="AC333" s="10">
        <f t="shared" si="83"/>
        <v>668.60999999999876</v>
      </c>
      <c r="AD333" s="8">
        <f>IFERROR(AC333/AC444, "NA")</f>
        <v>3.4436156290221433E-2</v>
      </c>
    </row>
    <row r="334" spans="1:30" ht="16.5" customHeight="1" x14ac:dyDescent="0.45">
      <c r="A334" s="6" t="s">
        <v>305</v>
      </c>
      <c r="B334" s="7">
        <v>-354.03</v>
      </c>
      <c r="C334" s="8">
        <f>IFERROR(B334/B444, "NA")</f>
        <v>-4.150131532782147E-3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354.03</v>
      </c>
      <c r="I334" s="8">
        <f>IFERROR(H334/H444, "NA")</f>
        <v>-1.7695510069841353E-2</v>
      </c>
      <c r="J334" s="9"/>
      <c r="K334" s="7">
        <v>-491.1</v>
      </c>
      <c r="L334" s="8">
        <f>IFERROR(K334/K444, "NA")</f>
        <v>-5.3627541165771671E-3</v>
      </c>
      <c r="M334" s="9"/>
      <c r="N334" s="10">
        <f t="shared" si="81"/>
        <v>-137.07000000000005</v>
      </c>
      <c r="O334" s="8">
        <f>IFERROR(N334/N444, "NA")</f>
        <v>2.1860023762628869E-2</v>
      </c>
      <c r="P334" s="9"/>
      <c r="Q334" s="7">
        <v>-708.06</v>
      </c>
      <c r="R334" s="8">
        <f>IFERROR(Q334/Q444, "NA")</f>
        <v>-1.7248346692401877E-3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708.06</v>
      </c>
      <c r="X334" s="8">
        <f>IFERROR(W334/W444, "NA")</f>
        <v>-3.2752321841079506E-2</v>
      </c>
      <c r="Y334" s="9"/>
      <c r="Z334" s="7">
        <v>-982.2</v>
      </c>
      <c r="AA334" s="8">
        <f>IFERROR(Z334/Z444, "NA")</f>
        <v>-2.5114232426263444E-3</v>
      </c>
      <c r="AB334" s="9"/>
      <c r="AC334" s="10">
        <f t="shared" si="83"/>
        <v>-274.1400000000001</v>
      </c>
      <c r="AD334" s="8">
        <f>IFERROR(AC334/AC444, "NA")</f>
        <v>-1.4119333969580658E-2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2665.49</v>
      </c>
      <c r="F337" s="8">
        <f>IFERROR(E337/E444, "NA")</f>
        <v>2.5310290801186942E-2</v>
      </c>
      <c r="G337" s="9"/>
      <c r="H337" s="10">
        <f t="shared" ref="H337:H344" si="84">IFERROR(-(B337-E337), "NA")</f>
        <v>2665.49</v>
      </c>
      <c r="I337" s="8">
        <f>IFERROR(H337/H444, "NA")</f>
        <v>-0.13322940184747459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14298.55</v>
      </c>
      <c r="U337" s="8">
        <f>IFERROR(T337/T444, "NA")</f>
        <v>3.3088727302331325E-2</v>
      </c>
      <c r="V337" s="9"/>
      <c r="W337" s="10">
        <f t="shared" ref="W337:W344" si="86">IFERROR(-(Q337-T337), "NA")</f>
        <v>14298.55</v>
      </c>
      <c r="X337" s="8">
        <f>IFERROR(W337/W444, "NA")</f>
        <v>-0.66139975632116965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2674.69</v>
      </c>
      <c r="C338" s="8">
        <f>IFERROR(B338/B444, "NA")</f>
        <v>3.1354165775265043E-2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-2674.69</v>
      </c>
      <c r="I338" s="8">
        <f>IFERROR(H338/H444, "NA")</f>
        <v>0.13368924619016462</v>
      </c>
      <c r="J338" s="9"/>
      <c r="K338" s="7">
        <v>2249.9899999999998</v>
      </c>
      <c r="L338" s="8">
        <f>IFERROR(K338/K444, "NA")</f>
        <v>2.4569625605289063E-2</v>
      </c>
      <c r="M338" s="9"/>
      <c r="N338" s="10">
        <f t="shared" si="85"/>
        <v>-424.70000000000027</v>
      </c>
      <c r="O338" s="8">
        <f>IFERROR(N338/N444, "NA")</f>
        <v>6.7731466345578778E-2</v>
      </c>
      <c r="P338" s="9"/>
      <c r="Q338" s="7">
        <v>12003.21</v>
      </c>
      <c r="R338" s="8">
        <f>IFERROR(Q338/Q444, "NA")</f>
        <v>2.9239828192766874E-2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-12003.21</v>
      </c>
      <c r="X338" s="8">
        <f>IFERROR(W338/W444, "NA")</f>
        <v>0.55522554168582317</v>
      </c>
      <c r="Y338" s="9"/>
      <c r="Z338" s="7">
        <v>10154.44</v>
      </c>
      <c r="AA338" s="8">
        <f>IFERROR(Z338/Z444, "NA")</f>
        <v>2.5964260468188411E-2</v>
      </c>
      <c r="AB338" s="9"/>
      <c r="AC338" s="10">
        <f t="shared" si="87"/>
        <v>-1848.7699999999986</v>
      </c>
      <c r="AD338" s="8">
        <f>IFERROR(AC338/AC444, "NA")</f>
        <v>-9.5219234927196347E-2</v>
      </c>
    </row>
    <row r="339" spans="1:30" ht="16.5" customHeight="1" x14ac:dyDescent="0.45">
      <c r="A339" s="12" t="s">
        <v>309</v>
      </c>
      <c r="B339" s="7">
        <v>340.29</v>
      </c>
      <c r="C339" s="8">
        <f>IFERROR(B339/B444, "NA")</f>
        <v>3.9890638061476063E-3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-340.29</v>
      </c>
      <c r="I339" s="8">
        <f>IFERROR(H339/H444, "NA")</f>
        <v>1.7008742540649987E-2</v>
      </c>
      <c r="J339" s="9"/>
      <c r="K339" s="7">
        <v>407.73</v>
      </c>
      <c r="L339" s="8">
        <f>IFERROR(K339/K444, "NA")</f>
        <v>4.4523635429688626E-3</v>
      </c>
      <c r="M339" s="9"/>
      <c r="N339" s="10">
        <f t="shared" si="85"/>
        <v>67.44</v>
      </c>
      <c r="O339" s="8">
        <f>IFERROR(N339/N444, "NA")</f>
        <v>-1.0755380481153355E-2</v>
      </c>
      <c r="P339" s="9"/>
      <c r="Q339" s="7">
        <v>1620.48</v>
      </c>
      <c r="R339" s="8">
        <f>IFERROR(Q339/Q444, "NA")</f>
        <v>3.9474904454570798E-3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-1620.48</v>
      </c>
      <c r="X339" s="8">
        <f>IFERROR(W339/W444, "NA")</f>
        <v>7.495760598965133E-2</v>
      </c>
      <c r="Y339" s="9"/>
      <c r="Z339" s="7">
        <v>1543.75</v>
      </c>
      <c r="AA339" s="8">
        <f>IFERROR(Z339/Z444, "NA")</f>
        <v>3.9472710555939925E-3</v>
      </c>
      <c r="AB339" s="9"/>
      <c r="AC339" s="10">
        <f t="shared" si="87"/>
        <v>-76.730000000000018</v>
      </c>
      <c r="AD339" s="8">
        <f>IFERROR(AC339/AC444, "NA")</f>
        <v>-3.9519095917630543E-3</v>
      </c>
    </row>
    <row r="340" spans="1:30" ht="16.5" customHeight="1" x14ac:dyDescent="0.45">
      <c r="A340" s="12" t="s">
        <v>310</v>
      </c>
      <c r="B340" s="7">
        <v>461.55</v>
      </c>
      <c r="C340" s="8">
        <f>IFERROR(B340/B444, "NA")</f>
        <v>5.4105392451362887E-3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-461.55</v>
      </c>
      <c r="I340" s="8">
        <f>IFERROR(H340/H444, "NA")</f>
        <v>2.3069690909627086E-2</v>
      </c>
      <c r="J340" s="9"/>
      <c r="K340" s="7">
        <v>559.37</v>
      </c>
      <c r="L340" s="8">
        <f>IFERROR(K340/K444, "NA")</f>
        <v>6.1082544699445534E-3</v>
      </c>
      <c r="M340" s="9"/>
      <c r="N340" s="10">
        <f t="shared" si="85"/>
        <v>97.82</v>
      </c>
      <c r="O340" s="8">
        <f>IFERROR(N340/N444, "NA")</f>
        <v>-1.5600405081056066E-2</v>
      </c>
      <c r="P340" s="9"/>
      <c r="Q340" s="7">
        <v>2164.21</v>
      </c>
      <c r="R340" s="8">
        <f>IFERROR(Q340/Q444, "NA")</f>
        <v>5.2720171165103339E-3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-2164.21</v>
      </c>
      <c r="X340" s="8">
        <f>IFERROR(W340/W444, "NA")</f>
        <v>0.1001086100777938</v>
      </c>
      <c r="Y340" s="9"/>
      <c r="Z340" s="7">
        <v>2211.54</v>
      </c>
      <c r="AA340" s="8">
        <f>IFERROR(Z340/Z444, "NA")</f>
        <v>5.6547678252879914E-3</v>
      </c>
      <c r="AB340" s="9"/>
      <c r="AC340" s="10">
        <f t="shared" si="87"/>
        <v>47.329999999999927</v>
      </c>
      <c r="AD340" s="8">
        <f>IFERROR(AC340/AC444, "NA")</f>
        <v>2.4376890522370006E-3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3476.53</v>
      </c>
      <c r="C342" s="15">
        <f>IFERROR(B342/B444, "NA")</f>
        <v>4.0753768826548936E-2</v>
      </c>
      <c r="D342" s="2"/>
      <c r="E342" s="14">
        <f>IFERROR(E337+E338+E339+E340+E341, "NA")</f>
        <v>2665.49</v>
      </c>
      <c r="F342" s="15">
        <f>IFERROR(E342/E444, "NA")</f>
        <v>2.5310290801186942E-2</v>
      </c>
      <c r="G342" s="2"/>
      <c r="H342" s="14">
        <f t="shared" si="84"/>
        <v>-811.04000000000042</v>
      </c>
      <c r="I342" s="15">
        <f>IFERROR(H342/H444, "NA")</f>
        <v>4.0538277792967092E-2</v>
      </c>
      <c r="J342" s="2"/>
      <c r="K342" s="14">
        <f>IFERROR(K337+K338+K339+K340+K341, "NA")</f>
        <v>3217.0899999999997</v>
      </c>
      <c r="L342" s="15">
        <f>IFERROR(K342/K444, "NA")</f>
        <v>3.5130243618202481E-2</v>
      </c>
      <c r="M342" s="2"/>
      <c r="N342" s="14">
        <f t="shared" si="85"/>
        <v>-259.44000000000051</v>
      </c>
      <c r="O342" s="15">
        <f>IFERROR(N342/N444, "NA")</f>
        <v>4.1375680783369395E-2</v>
      </c>
      <c r="P342" s="2"/>
      <c r="Q342" s="14">
        <f>IFERROR(Q337+Q338+Q339+Q340+Q341, "NA")</f>
        <v>15787.899999999998</v>
      </c>
      <c r="R342" s="15">
        <f>IFERROR(Q342/Q444, "NA")</f>
        <v>3.8459335754734286E-2</v>
      </c>
      <c r="S342" s="2"/>
      <c r="T342" s="14">
        <f>IFERROR(T337+T338+T339+T340+T341, "NA")</f>
        <v>14298.55</v>
      </c>
      <c r="U342" s="15">
        <f>IFERROR(T342/T444, "NA")</f>
        <v>3.3088727302331325E-2</v>
      </c>
      <c r="V342" s="2"/>
      <c r="W342" s="14">
        <f t="shared" si="86"/>
        <v>-1489.3499999999985</v>
      </c>
      <c r="X342" s="15">
        <f>IFERROR(W342/W444, "NA")</f>
        <v>6.8892001432098574E-2</v>
      </c>
      <c r="Y342" s="2"/>
      <c r="Z342" s="14">
        <f>IFERROR(Z337+Z338+Z339+Z340+Z341, "NA")</f>
        <v>13909.73</v>
      </c>
      <c r="AA342" s="15">
        <f>IFERROR(Z342/Z444, "NA")</f>
        <v>3.5566299349070393E-2</v>
      </c>
      <c r="AB342" s="2"/>
      <c r="AC342" s="14">
        <f t="shared" si="87"/>
        <v>-1878.1699999999983</v>
      </c>
      <c r="AD342" s="15">
        <f>IFERROR(AC342/AC444, "NA")</f>
        <v>-9.6733455466722379E-2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11320.25</v>
      </c>
      <c r="C343" s="15">
        <f>IFERROR(B343/B444, "NA")</f>
        <v>0.13270210570849111</v>
      </c>
      <c r="D343" s="2"/>
      <c r="E343" s="14">
        <f>IFERROR(E328+E329+E330+E331+E332+E333+E334+E335+E337+E338+E339+E340+E341, "NA")</f>
        <v>11092.49</v>
      </c>
      <c r="F343" s="15">
        <f>IFERROR(E343/E444, "NA")</f>
        <v>0.10532928189910978</v>
      </c>
      <c r="G343" s="2"/>
      <c r="H343" s="14">
        <f t="shared" si="84"/>
        <v>-227.76000000000022</v>
      </c>
      <c r="I343" s="15">
        <f>IFERROR(H343/H444, "NA")</f>
        <v>1.1384146466421125E-2</v>
      </c>
      <c r="J343" s="2"/>
      <c r="K343" s="14">
        <f>IFERROR(K328+K329+K330+K331+K332+K333+K334+K335+K337+K338+K339+K340+K341, "NA")</f>
        <v>12594.6</v>
      </c>
      <c r="L343" s="15">
        <f>IFERROR(K343/K444, "NA")</f>
        <v>0.13753154753948849</v>
      </c>
      <c r="M343" s="2"/>
      <c r="N343" s="14">
        <f t="shared" si="85"/>
        <v>1274.3500000000004</v>
      </c>
      <c r="O343" s="15">
        <f>IFERROR(N343/N444, "NA")</f>
        <v>-0.20323426921942142</v>
      </c>
      <c r="P343" s="2"/>
      <c r="Q343" s="14">
        <f>IFERROR(Q328+Q329+Q330+Q331+Q332+Q333+Q334+Q335+Q337+Q338+Q339+Q340+Q341, "NA")</f>
        <v>56560.959999999999</v>
      </c>
      <c r="R343" s="15">
        <f>IFERROR(Q343/Q444, "NA")</f>
        <v>0.1377825392389169</v>
      </c>
      <c r="S343" s="2"/>
      <c r="T343" s="14">
        <f>IFERROR(T328+T329+T330+T331+T332+T333+T334+T335+T337+T338+T339+T340+T341, "NA")</f>
        <v>54945.850000000006</v>
      </c>
      <c r="U343" s="15">
        <f>IFERROR(T343/T444, "NA")</f>
        <v>0.12715193128287847</v>
      </c>
      <c r="V343" s="2"/>
      <c r="W343" s="14">
        <f t="shared" si="86"/>
        <v>-1615.1099999999933</v>
      </c>
      <c r="X343" s="15">
        <f>IFERROR(W343/W444, "NA")</f>
        <v>7.4709209005939761E-2</v>
      </c>
      <c r="Y343" s="2"/>
      <c r="Z343" s="14">
        <f>IFERROR(Z328+Z329+Z330+Z331+Z332+Z333+Z334+Z335+Z337+Z338+Z339+Z340+Z341, "NA")</f>
        <v>60980.220000000008</v>
      </c>
      <c r="AA343" s="15">
        <f>IFERROR(Z343/Z444, "NA")</f>
        <v>0.1559225634783831</v>
      </c>
      <c r="AB343" s="2"/>
      <c r="AC343" s="14">
        <f t="shared" si="87"/>
        <v>4419.2600000000093</v>
      </c>
      <c r="AD343" s="15">
        <f>IFERROR(AC343/AC444, "NA")</f>
        <v>0.22761000889475863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11320.25</v>
      </c>
      <c r="C344" s="15">
        <f>IFERROR(B344/B444, "NA")</f>
        <v>0.13270210570849111</v>
      </c>
      <c r="D344" s="2"/>
      <c r="E344" s="14">
        <f>IFERROR(E328+E329+E330+E331+E332+E333+E334+E335+E337+E338+E339+E340+E341, "NA")</f>
        <v>11092.49</v>
      </c>
      <c r="F344" s="15">
        <f>IFERROR(E344/E444, "NA")</f>
        <v>0.10532928189910978</v>
      </c>
      <c r="G344" s="2"/>
      <c r="H344" s="14">
        <f t="shared" si="84"/>
        <v>-227.76000000000022</v>
      </c>
      <c r="I344" s="15">
        <f>IFERROR(H344/H444, "NA")</f>
        <v>1.1384146466421125E-2</v>
      </c>
      <c r="J344" s="2"/>
      <c r="K344" s="14">
        <f>IFERROR(K328+K329+K330+K331+K332+K333+K334+K335+K337+K338+K339+K340+K341, "NA")</f>
        <v>12594.6</v>
      </c>
      <c r="L344" s="15">
        <f>IFERROR(K344/K444, "NA")</f>
        <v>0.13753154753948849</v>
      </c>
      <c r="M344" s="2"/>
      <c r="N344" s="14">
        <f t="shared" si="85"/>
        <v>1274.3500000000004</v>
      </c>
      <c r="O344" s="15">
        <f>IFERROR(N344/N444, "NA")</f>
        <v>-0.20323426921942142</v>
      </c>
      <c r="P344" s="2"/>
      <c r="Q344" s="14">
        <f>IFERROR(Q328+Q329+Q330+Q331+Q332+Q333+Q334+Q335+Q337+Q338+Q339+Q340+Q341, "NA")</f>
        <v>56560.959999999999</v>
      </c>
      <c r="R344" s="15">
        <f>IFERROR(Q344/Q444, "NA")</f>
        <v>0.1377825392389169</v>
      </c>
      <c r="S344" s="2"/>
      <c r="T344" s="14">
        <f>IFERROR(T328+T329+T330+T331+T332+T333+T334+T335+T337+T338+T339+T340+T341, "NA")</f>
        <v>54945.850000000006</v>
      </c>
      <c r="U344" s="15">
        <f>IFERROR(T344/T444, "NA")</f>
        <v>0.12715193128287847</v>
      </c>
      <c r="V344" s="2"/>
      <c r="W344" s="14">
        <f t="shared" si="86"/>
        <v>-1615.1099999999933</v>
      </c>
      <c r="X344" s="15">
        <f>IFERROR(W344/W444, "NA")</f>
        <v>7.4709209005939761E-2</v>
      </c>
      <c r="Y344" s="2"/>
      <c r="Z344" s="14">
        <f>IFERROR(Z328+Z329+Z330+Z331+Z332+Z333+Z334+Z335+Z337+Z338+Z339+Z340+Z341, "NA")</f>
        <v>60980.220000000008</v>
      </c>
      <c r="AA344" s="15">
        <f>IFERROR(Z344/Z444, "NA")</f>
        <v>0.1559225634783831</v>
      </c>
      <c r="AB344" s="2"/>
      <c r="AC344" s="14">
        <f t="shared" si="87"/>
        <v>4419.2600000000093</v>
      </c>
      <c r="AD344" s="15">
        <f>IFERROR(AC344/AC444, "NA")</f>
        <v>0.22761000889475863</v>
      </c>
    </row>
    <row r="345" spans="1:30" ht="16.5" customHeight="1" x14ac:dyDescent="0.45">
      <c r="A345" s="22" t="s">
        <v>315</v>
      </c>
      <c r="B345" s="23">
        <f>IFERROR(B198-B325-B344, "NA")</f>
        <v>376.09000000001106</v>
      </c>
      <c r="C345" s="24">
        <f>IFERROR(B345/B444, "NA")</f>
        <v>4.4087308085870797E-3</v>
      </c>
      <c r="D345" s="25"/>
      <c r="E345" s="23">
        <f>IFERROR(E198-E325-E344, "NA")</f>
        <v>17687.769999999997</v>
      </c>
      <c r="F345" s="24">
        <f>IFERROR(E345/E444, "NA")</f>
        <v>0.16795508605341244</v>
      </c>
      <c r="G345" s="25"/>
      <c r="H345" s="23">
        <f>IFERROR(B345-E345, "NA")</f>
        <v>-17311.679999999986</v>
      </c>
      <c r="I345" s="24">
        <f>IFERROR(H345/H444, "NA")</f>
        <v>0.86529109896300016</v>
      </c>
      <c r="J345" s="25"/>
      <c r="K345" s="23">
        <f>IFERROR(K198-K325-K344, "NA")</f>
        <v>7623.0999999999967</v>
      </c>
      <c r="L345" s="24">
        <f>IFERROR(K345/K444, "NA")</f>
        <v>8.3243353504539583E-2</v>
      </c>
      <c r="M345" s="25"/>
      <c r="N345" s="23">
        <f>IFERROR(B345-K345, "NA")</f>
        <v>-7247.0099999999857</v>
      </c>
      <c r="O345" s="24">
        <f>IFERROR(N345/N444, "NA")</f>
        <v>1.1557584504852167</v>
      </c>
      <c r="P345" s="25"/>
      <c r="Q345" s="23">
        <f>IFERROR(Q198-Q325-Q344, "NA")</f>
        <v>870.61999999984255</v>
      </c>
      <c r="R345" s="24">
        <f>IFERROR(Q345/Q444, "NA")</f>
        <v>2.120830946153745E-3</v>
      </c>
      <c r="S345" s="25"/>
      <c r="T345" s="23">
        <f>IFERROR(T198-T325-T344, "NA")</f>
        <v>35053.839999999997</v>
      </c>
      <c r="U345" s="24">
        <f>IFERROR(T345/T444, "NA")</f>
        <v>8.1119201083994799E-2</v>
      </c>
      <c r="V345" s="25"/>
      <c r="W345" s="23">
        <f>IFERROR(Q345-T345, "NA")</f>
        <v>-34183.220000000154</v>
      </c>
      <c r="X345" s="24">
        <f>IFERROR(W345/W444, "NA")</f>
        <v>1.581193434178503</v>
      </c>
      <c r="Y345" s="25"/>
      <c r="Z345" s="23">
        <f>IFERROR(Z198-Z325-Z344, "NA")</f>
        <v>1609.4200000000783</v>
      </c>
      <c r="AA345" s="24">
        <f>IFERROR(Z345/Z444, "NA")</f>
        <v>4.1151850897453547E-3</v>
      </c>
      <c r="AB345" s="25"/>
      <c r="AC345" s="23">
        <f>IFERROR(Q345-Z345, "NA")</f>
        <v>-738.80000000023574</v>
      </c>
      <c r="AD345" s="24">
        <f>IFERROR(AC345/AC444, "NA")</f>
        <v>-3.805122906810212E-2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376.09000000001106</v>
      </c>
      <c r="C404" s="24">
        <f>IFERROR(B404/B444, "NA")</f>
        <v>4.4087308085870797E-3</v>
      </c>
      <c r="D404" s="25"/>
      <c r="E404" s="23">
        <f>IFERROR(E345-E403, "NA")</f>
        <v>17687.769999999997</v>
      </c>
      <c r="F404" s="24">
        <f>IFERROR(E404/E444, "NA")</f>
        <v>0.16795508605341244</v>
      </c>
      <c r="G404" s="25"/>
      <c r="H404" s="23">
        <f>IFERROR(B404-E404, "NA")</f>
        <v>-17311.679999999986</v>
      </c>
      <c r="I404" s="24">
        <f>IFERROR(H404/H444, "NA")</f>
        <v>0.86529109896300016</v>
      </c>
      <c r="J404" s="25"/>
      <c r="K404" s="23">
        <f>IFERROR(K345-K403, "NA")</f>
        <v>7623.0999999999967</v>
      </c>
      <c r="L404" s="24">
        <f>IFERROR(K404/K444, "NA")</f>
        <v>8.3243353504539583E-2</v>
      </c>
      <c r="M404" s="25"/>
      <c r="N404" s="23">
        <f>IFERROR(B404-K404, "NA")</f>
        <v>-7247.0099999999857</v>
      </c>
      <c r="O404" s="24">
        <f>IFERROR(N404/N444, "NA")</f>
        <v>1.1557584504852167</v>
      </c>
      <c r="P404" s="25"/>
      <c r="Q404" s="23">
        <f>IFERROR(Q345-Q403, "NA")</f>
        <v>870.61999999984255</v>
      </c>
      <c r="R404" s="24">
        <f>IFERROR(Q404/Q444, "NA")</f>
        <v>2.120830946153745E-3</v>
      </c>
      <c r="S404" s="25"/>
      <c r="T404" s="23">
        <f>IFERROR(T345-T403, "NA")</f>
        <v>35053.839999999997</v>
      </c>
      <c r="U404" s="24">
        <f>IFERROR(T404/T444, "NA")</f>
        <v>8.1119201083994799E-2</v>
      </c>
      <c r="V404" s="25"/>
      <c r="W404" s="23">
        <f>IFERROR(Q404-T404, "NA")</f>
        <v>-34183.220000000154</v>
      </c>
      <c r="X404" s="24">
        <f>IFERROR(W404/W444, "NA")</f>
        <v>1.581193434178503</v>
      </c>
      <c r="Y404" s="25"/>
      <c r="Z404" s="23">
        <f>IFERROR(Z345-Z403, "NA")</f>
        <v>1609.4200000000783</v>
      </c>
      <c r="AA404" s="24">
        <f>IFERROR(Z404/Z444, "NA")</f>
        <v>4.1151850897453547E-3</v>
      </c>
      <c r="AB404" s="25"/>
      <c r="AC404" s="23">
        <f>IFERROR(Q404-Z404, "NA")</f>
        <v>-738.80000000023574</v>
      </c>
      <c r="AD404" s="24">
        <f>IFERROR(AC404/AC444, "NA")</f>
        <v>-3.805122906810212E-2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-58898.32</v>
      </c>
      <c r="AA407" s="8">
        <f>IFERROR(Z407/Z444, "NA")</f>
        <v>-0.15059927692897992</v>
      </c>
      <c r="AB407" s="9"/>
      <c r="AC407" s="10">
        <f t="shared" ref="AC407:AC429" si="103">IFERROR(-(Q407-Z407), "NA")</f>
        <v>-58898.32</v>
      </c>
      <c r="AD407" s="8">
        <f>IFERROR(AC407/AC444, "NA")</f>
        <v>-3.0335049621625139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331.69</v>
      </c>
      <c r="AA408" s="8">
        <f>IFERROR(Z408/Z444, "NA")</f>
        <v>8.4811033938783566E-4</v>
      </c>
      <c r="AB408" s="9"/>
      <c r="AC408" s="10">
        <f t="shared" si="103"/>
        <v>331.69</v>
      </c>
      <c r="AD408" s="8">
        <f>IFERROR(AC408/AC444, "NA")</f>
        <v>1.7083394923652902E-2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3879.26</v>
      </c>
      <c r="C410" s="8">
        <f>IFERROR(B410/B444, "NA")</f>
        <v>4.5474788153152201E-2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-3879.26</v>
      </c>
      <c r="I410" s="8">
        <f>IFERROR(H410/H444, "NA")</f>
        <v>0.19389736574169641</v>
      </c>
      <c r="J410" s="9"/>
      <c r="K410" s="7">
        <v>3633.26</v>
      </c>
      <c r="L410" s="8">
        <f>IFERROR(K410/K444, "NA")</f>
        <v>3.9674770966392096E-2</v>
      </c>
      <c r="M410" s="9"/>
      <c r="N410" s="10">
        <f t="shared" si="101"/>
        <v>-246</v>
      </c>
      <c r="O410" s="8">
        <f>IFERROR(N410/N444, "NA")</f>
        <v>3.9232259762214193E-2</v>
      </c>
      <c r="P410" s="9"/>
      <c r="Q410" s="7">
        <v>19303.75</v>
      </c>
      <c r="R410" s="8">
        <f>IFERROR(Q410/Q444, "NA")</f>
        <v>4.7023948883350673E-2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-19303.75</v>
      </c>
      <c r="X410" s="8">
        <f>IFERROR(W410/W444, "NA")</f>
        <v>0.892922397451824</v>
      </c>
      <c r="Y410" s="9"/>
      <c r="Z410" s="7">
        <v>17491.240000000002</v>
      </c>
      <c r="AA410" s="8">
        <f>IFERROR(Z410/Z444, "NA")</f>
        <v>4.4723993767415621E-2</v>
      </c>
      <c r="AB410" s="9"/>
      <c r="AC410" s="10">
        <f t="shared" si="103"/>
        <v>-1812.5099999999984</v>
      </c>
      <c r="AD410" s="8">
        <f>IFERROR(AC410/AC444, "NA")</f>
        <v>-9.3351696261780873E-2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-3.5</v>
      </c>
      <c r="C417" s="8">
        <f>IFERROR(B417/B444, "NA")</f>
        <v>-4.1028896886528025E-5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3.5</v>
      </c>
      <c r="I417" s="8">
        <f>IFERROR(H417/H444, "NA")</f>
        <v>-1.7494078254510844E-4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3.5</v>
      </c>
      <c r="O417" s="8">
        <f>IFERROR(N417/N444, "NA")</f>
        <v>-5.5818255759247832E-4</v>
      </c>
      <c r="P417" s="9"/>
      <c r="Q417" s="7">
        <v>112.19</v>
      </c>
      <c r="R417" s="8">
        <f>IFERROR(Q417/Q444, "NA")</f>
        <v>2.732949206875924E-4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-112.19</v>
      </c>
      <c r="X417" s="8">
        <f>IFERROR(W417/W444, "NA")</f>
        <v>5.1895079334388465E-3</v>
      </c>
      <c r="Y417" s="9"/>
      <c r="Z417" s="7">
        <v>0.14000000000000001</v>
      </c>
      <c r="AA417" s="8">
        <f>IFERROR(Z417/Z444, "NA")</f>
        <v>3.5797114026439448E-7</v>
      </c>
      <c r="AB417" s="9"/>
      <c r="AC417" s="10">
        <f t="shared" si="103"/>
        <v>-112.05</v>
      </c>
      <c r="AD417" s="8">
        <f>IFERROR(AC417/AC444, "NA")</f>
        <v>-5.7710344031936681E-3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47.92</v>
      </c>
      <c r="C424" s="8">
        <f>IFERROR(B424/B444, "NA")</f>
        <v>5.6174421108640658E-4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-47.92</v>
      </c>
      <c r="I424" s="8">
        <f>IFERROR(H424/H444, "NA")</f>
        <v>2.3951892284461707E-3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-47.92</v>
      </c>
      <c r="O424" s="8">
        <f>IFERROR(N424/N444, "NA")</f>
        <v>7.6423166170947326E-3</v>
      </c>
      <c r="P424" s="9"/>
      <c r="Q424" s="7">
        <v>239.6</v>
      </c>
      <c r="R424" s="8">
        <f>IFERROR(Q424/Q444, "NA")</f>
        <v>5.8366577232148262E-4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-239.6</v>
      </c>
      <c r="X424" s="8">
        <f>IFERROR(W424/W444, "NA")</f>
        <v>1.108303860283401E-2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-239.6</v>
      </c>
      <c r="AD424" s="8">
        <f>IFERROR(AC424/AC444, "NA")</f>
        <v>-1.2340382356137464E-2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customHeight="1" x14ac:dyDescent="0.45">
      <c r="A426" s="6" t="s">
        <v>391</v>
      </c>
      <c r="B426" s="7">
        <v>-131.31</v>
      </c>
      <c r="C426" s="8">
        <f>IFERROR(B426/B444, "NA")</f>
        <v>-1.5392869857628556E-3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131.31</v>
      </c>
      <c r="I426" s="8">
        <f>IFERROR(H426/H444, "NA")</f>
        <v>-6.5632783302851973E-3</v>
      </c>
      <c r="J426" s="9"/>
      <c r="K426" s="7">
        <v>-187.58</v>
      </c>
      <c r="L426" s="8">
        <f>IFERROR(K426/K444, "NA")</f>
        <v>-2.0483514909133476E-3</v>
      </c>
      <c r="M426" s="9"/>
      <c r="N426" s="10">
        <f t="shared" si="101"/>
        <v>-56.27000000000001</v>
      </c>
      <c r="O426" s="8">
        <f>IFERROR(N426/N444, "NA")</f>
        <v>8.9739807187796464E-3</v>
      </c>
      <c r="P426" s="9"/>
      <c r="Q426" s="7">
        <v>-666.83</v>
      </c>
      <c r="R426" s="8">
        <f>IFERROR(Q426/Q444, "NA")</f>
        <v>-1.6243983595873718E-3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666.83</v>
      </c>
      <c r="X426" s="8">
        <f>IFERROR(W426/W444, "NA")</f>
        <v>-3.0845169580666961E-2</v>
      </c>
      <c r="Y426" s="9"/>
      <c r="Z426" s="7">
        <v>-753.2</v>
      </c>
      <c r="AA426" s="8">
        <f>IFERROR(Z426/Z444, "NA")</f>
        <v>-1.9258847346224422E-3</v>
      </c>
      <c r="AB426" s="9"/>
      <c r="AC426" s="10">
        <f t="shared" si="103"/>
        <v>-86.37</v>
      </c>
      <c r="AD426" s="8">
        <f>IFERROR(AC426/AC444, "NA")</f>
        <v>-4.4484091156076497E-3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3792.3700000000003</v>
      </c>
      <c r="C428" s="15">
        <f>IFERROR(B428/B444, "NA")</f>
        <v>4.4456216481589227E-2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-3792.3700000000003</v>
      </c>
      <c r="I428" s="15">
        <f>IFERROR(H428/H444, "NA")</f>
        <v>0.18955433585731227</v>
      </c>
      <c r="J428" s="2"/>
      <c r="K428" s="14">
        <f>IFERROR(K407+K408+K409+K410+K411+K412+K413+K414+K415+K416+K417+K418+K419+K420+K421+K422+K423+K424+K425+K426+K427, "NA")</f>
        <v>3445.6800000000003</v>
      </c>
      <c r="L428" s="15">
        <f>IFERROR(K428/K444, "NA")</f>
        <v>3.7626419475478755E-2</v>
      </c>
      <c r="M428" s="2"/>
      <c r="N428" s="14">
        <f t="shared" si="101"/>
        <v>-346.69000000000005</v>
      </c>
      <c r="O428" s="15">
        <f>IFERROR(N428/N444, "NA")</f>
        <v>5.5290374540496103E-2</v>
      </c>
      <c r="P428" s="2"/>
      <c r="Q428" s="14">
        <f>IFERROR(Q407+Q408+Q409+Q410+Q411+Q412+Q413+Q414+Q415+Q416+Q417+Q418+Q419+Q420+Q421+Q422+Q423+Q424+Q425+Q426+Q427, "NA")</f>
        <v>18988.709999999995</v>
      </c>
      <c r="R428" s="15">
        <f>IFERROR(Q428/Q444, "NA")</f>
        <v>4.6256511216772364E-2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-18988.709999999995</v>
      </c>
      <c r="X428" s="15">
        <f>IFERROR(W428/W444, "NA")</f>
        <v>0.87834977440742967</v>
      </c>
      <c r="Y428" s="2"/>
      <c r="Z428" s="14">
        <f>IFERROR(Z407+Z408+Z409+Z410+Z411+Z412+Z413+Z414+Z415+Z416+Z417+Z418+Z419+Z420+Z421+Z422+Z423+Z424+Z425+Z426+Z427, "NA")</f>
        <v>-41828.449999999997</v>
      </c>
      <c r="AA428" s="15">
        <f>IFERROR(Z428/Z444, "NA")</f>
        <v>-0.10695269958565863</v>
      </c>
      <c r="AB428" s="2"/>
      <c r="AC428" s="14">
        <f t="shared" si="103"/>
        <v>-60817.159999999989</v>
      </c>
      <c r="AD428" s="15">
        <f>IFERROR(AC428/AC444, "NA")</f>
        <v>-3.1323330893755803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3792.3700000000003</v>
      </c>
      <c r="C429" s="15">
        <f>IFERROR(B429/B444, "NA")</f>
        <v>4.4456216481589227E-2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-3792.3700000000003</v>
      </c>
      <c r="I429" s="15">
        <f>IFERROR(H429/H444, "NA")</f>
        <v>0.18955433585731227</v>
      </c>
      <c r="J429" s="2"/>
      <c r="K429" s="14">
        <f>IFERROR(K407+K408+K409+K410+K411+K412+K413+K414+K415+K416+K417+K418+K419+K420+K421+K422+K423+K424+K425+K426+K427, "NA")</f>
        <v>3445.6800000000003</v>
      </c>
      <c r="L429" s="15">
        <f>IFERROR(K429/K444, "NA")</f>
        <v>3.7626419475478755E-2</v>
      </c>
      <c r="M429" s="2"/>
      <c r="N429" s="14">
        <f t="shared" si="101"/>
        <v>-346.69000000000005</v>
      </c>
      <c r="O429" s="15">
        <f>IFERROR(N429/N444, "NA")</f>
        <v>5.5290374540496103E-2</v>
      </c>
      <c r="P429" s="2"/>
      <c r="Q429" s="14">
        <f>IFERROR(Q407+Q408+Q409+Q410+Q411+Q412+Q413+Q414+Q415+Q416+Q417+Q418+Q419+Q420+Q421+Q422+Q423+Q424+Q425+Q426+Q427, "NA")</f>
        <v>18988.709999999995</v>
      </c>
      <c r="R429" s="15">
        <f>IFERROR(Q429/Q444, "NA")</f>
        <v>4.6256511216772364E-2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-18988.709999999995</v>
      </c>
      <c r="X429" s="15">
        <f>IFERROR(W429/W444, "NA")</f>
        <v>0.87834977440742967</v>
      </c>
      <c r="Y429" s="2"/>
      <c r="Z429" s="14">
        <f>IFERROR(Z407+Z408+Z409+Z410+Z411+Z412+Z413+Z414+Z415+Z416+Z417+Z418+Z419+Z420+Z421+Z422+Z423+Z424+Z425+Z426+Z427, "NA")</f>
        <v>-41828.449999999997</v>
      </c>
      <c r="AA429" s="15">
        <f>IFERROR(Z429/Z444, "NA")</f>
        <v>-0.10695269958565863</v>
      </c>
      <c r="AB429" s="2"/>
      <c r="AC429" s="14">
        <f t="shared" si="103"/>
        <v>-60817.159999999989</v>
      </c>
      <c r="AD429" s="15">
        <f>IFERROR(AC429/AC444, "NA")</f>
        <v>-3.1323330893755803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-3416.2799999999893</v>
      </c>
      <c r="C443" s="24">
        <f>IFERROR(B443/B444, "NA")</f>
        <v>-4.0047485673002148E-2</v>
      </c>
      <c r="D443" s="25"/>
      <c r="E443" s="23">
        <f>IFERROR(E404-E429-E442, "NA")</f>
        <v>17687.769999999997</v>
      </c>
      <c r="F443" s="24">
        <f>IFERROR(E443/E444, "NA")</f>
        <v>0.16795508605341244</v>
      </c>
      <c r="G443" s="25"/>
      <c r="H443" s="23">
        <f>IFERROR(B443-E443, "NA")</f>
        <v>-21104.049999999985</v>
      </c>
      <c r="I443" s="24">
        <f>IFERROR(H443/H444, "NA")</f>
        <v>1.0548454348203125</v>
      </c>
      <c r="J443" s="25"/>
      <c r="K443" s="23">
        <f>IFERROR(K404-K429-K442, "NA")</f>
        <v>4177.4199999999964</v>
      </c>
      <c r="L443" s="24">
        <f>IFERROR(K443/K444, "NA")</f>
        <v>4.5616934029060821E-2</v>
      </c>
      <c r="M443" s="25"/>
      <c r="N443" s="23">
        <f>IFERROR(B443-K443, "NA")</f>
        <v>-7593.6999999999862</v>
      </c>
      <c r="O443" s="24">
        <f>IFERROR(N443/N444, "NA")</f>
        <v>1.211048825025713</v>
      </c>
      <c r="P443" s="25"/>
      <c r="Q443" s="23">
        <f>IFERROR(Q404-Q429-Q442, "NA")</f>
        <v>-18118.090000000153</v>
      </c>
      <c r="R443" s="24">
        <f>IFERROR(Q443/Q444, "NA")</f>
        <v>-4.4135680270618621E-2</v>
      </c>
      <c r="S443" s="25"/>
      <c r="T443" s="23">
        <f>IFERROR(T404-T429-T442, "NA")</f>
        <v>35053.839999999997</v>
      </c>
      <c r="U443" s="24">
        <f>IFERROR(T443/T444, "NA")</f>
        <v>8.1119201083994799E-2</v>
      </c>
      <c r="V443" s="25"/>
      <c r="W443" s="23">
        <f>IFERROR(Q443-T443, "NA")</f>
        <v>-53171.930000000153</v>
      </c>
      <c r="X443" s="24">
        <f>IFERROR(W443/W444, "NA")</f>
        <v>2.459543208585933</v>
      </c>
      <c r="Y443" s="25"/>
      <c r="Z443" s="23">
        <f>IFERROR(Z404-Z429-Z442, "NA")</f>
        <v>43437.870000000075</v>
      </c>
      <c r="AA443" s="24">
        <f>IFERROR(Z443/Z444, "NA")</f>
        <v>0.11106788467540399</v>
      </c>
      <c r="AB443" s="25"/>
      <c r="AC443" s="23">
        <f>IFERROR(Q443-Z443, "NA")</f>
        <v>-61555.960000000225</v>
      </c>
      <c r="AD443" s="24">
        <f>IFERROR(AC443/AC444, "NA")</f>
        <v>-3.1703843184436824</v>
      </c>
    </row>
    <row r="444" spans="1:30" ht="15.75" hidden="1" x14ac:dyDescent="0.45">
      <c r="A444" s="26" t="s">
        <v>117</v>
      </c>
      <c r="B444" s="7">
        <v>85305.73</v>
      </c>
      <c r="C444" s="27"/>
      <c r="D444" s="9"/>
      <c r="E444" s="7">
        <v>105312.5</v>
      </c>
      <c r="F444" s="27"/>
      <c r="G444" s="9"/>
      <c r="H444" s="10">
        <f>IFERROR(B444-E444, "NA")</f>
        <v>-20006.770000000004</v>
      </c>
      <c r="I444" s="27"/>
      <c r="J444" s="9"/>
      <c r="K444" s="7">
        <v>91576.08</v>
      </c>
      <c r="L444" s="27"/>
      <c r="M444" s="9"/>
      <c r="N444" s="10">
        <f>IFERROR(B444-K444, "NA")</f>
        <v>-6270.3500000000058</v>
      </c>
      <c r="O444" s="27"/>
      <c r="P444" s="9"/>
      <c r="Q444" s="7">
        <v>410508.91</v>
      </c>
      <c r="R444" s="27"/>
      <c r="S444" s="9"/>
      <c r="T444" s="7">
        <v>432127.53</v>
      </c>
      <c r="U444" s="27"/>
      <c r="V444" s="9"/>
      <c r="W444" s="10">
        <f>IFERROR(Q444-T444, "NA")</f>
        <v>-21618.620000000054</v>
      </c>
      <c r="X444" s="27"/>
      <c r="Y444" s="9"/>
      <c r="Z444" s="7">
        <v>391092.98</v>
      </c>
      <c r="AA444" s="27"/>
      <c r="AB444" s="9"/>
      <c r="AC444" s="10">
        <f>IFERROR(Q444-Z444, "NA")</f>
        <v>19415.929999999993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413</v>
      </c>
      <c r="B3" s="31" t="s">
        <v>413</v>
      </c>
      <c r="C3" s="31" t="s">
        <v>413</v>
      </c>
      <c r="D3" s="31" t="s">
        <v>413</v>
      </c>
      <c r="E3" s="31" t="s">
        <v>413</v>
      </c>
      <c r="F3" s="31" t="s">
        <v>413</v>
      </c>
      <c r="G3" s="31" t="s">
        <v>413</v>
      </c>
      <c r="H3" s="31" t="s">
        <v>413</v>
      </c>
      <c r="I3" s="31" t="s">
        <v>413</v>
      </c>
      <c r="J3" s="31" t="s">
        <v>413</v>
      </c>
      <c r="K3" s="31" t="s">
        <v>413</v>
      </c>
      <c r="L3" s="31" t="s">
        <v>413</v>
      </c>
      <c r="M3" s="31" t="s">
        <v>413</v>
      </c>
      <c r="N3" s="31" t="s">
        <v>413</v>
      </c>
      <c r="O3" s="31" t="s">
        <v>413</v>
      </c>
      <c r="P3" s="31" t="s">
        <v>413</v>
      </c>
      <c r="Q3" s="31" t="s">
        <v>413</v>
      </c>
      <c r="R3" s="31" t="s">
        <v>413</v>
      </c>
      <c r="S3" s="31" t="s">
        <v>413</v>
      </c>
      <c r="T3" s="31" t="s">
        <v>413</v>
      </c>
      <c r="U3" s="31" t="s">
        <v>413</v>
      </c>
      <c r="V3" s="31" t="s">
        <v>413</v>
      </c>
      <c r="W3" s="31" t="s">
        <v>413</v>
      </c>
      <c r="X3" s="31" t="s">
        <v>413</v>
      </c>
      <c r="Y3" s="31" t="s">
        <v>413</v>
      </c>
      <c r="Z3" s="31" t="s">
        <v>413</v>
      </c>
      <c r="AA3" s="31" t="s">
        <v>413</v>
      </c>
      <c r="AB3" s="31" t="s">
        <v>413</v>
      </c>
      <c r="AC3" s="31" t="s">
        <v>413</v>
      </c>
      <c r="AD3" s="31" t="s">
        <v>413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44610.15</v>
      </c>
      <c r="F10" s="8">
        <f>IFERROR(E10/E444, "NA")</f>
        <v>0.23999998063221192</v>
      </c>
      <c r="G10" s="9"/>
      <c r="H10" s="10">
        <f t="shared" ref="H10:H19" si="0">IFERROR(B10-E10, "NA")</f>
        <v>-44610.15</v>
      </c>
      <c r="I10" s="8">
        <f>IFERROR(H10/H444, "NA")</f>
        <v>4.8101241937327339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191738.68</v>
      </c>
      <c r="U10" s="8">
        <f>IFERROR(T10/T444, "NA")</f>
        <v>0.23999998698228306</v>
      </c>
      <c r="V10" s="9"/>
      <c r="W10" s="10">
        <f t="shared" ref="W10:W19" si="2">IFERROR(Q10-T10, "NA")</f>
        <v>-191738.68</v>
      </c>
      <c r="X10" s="8">
        <f>IFERROR(W10/W444, "NA")</f>
        <v>-2.0561980578263839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46276.47</v>
      </c>
      <c r="C11" s="8">
        <f>IFERROR(B11/B444, "NA")</f>
        <v>0.26203905948208117</v>
      </c>
      <c r="D11" s="9"/>
      <c r="E11" s="7">
        <v>0</v>
      </c>
      <c r="F11" s="8">
        <f>IFERROR(E11/E444, "NA")</f>
        <v>0</v>
      </c>
      <c r="G11" s="9"/>
      <c r="H11" s="10">
        <f t="shared" si="0"/>
        <v>46276.47</v>
      </c>
      <c r="I11" s="8">
        <f>IFERROR(H11/H444, "NA")</f>
        <v>-4.9897964464936129</v>
      </c>
      <c r="J11" s="9"/>
      <c r="K11" s="7">
        <v>42360.56</v>
      </c>
      <c r="L11" s="8">
        <f>IFERROR(K11/K444, "NA")</f>
        <v>0.25934714932516756</v>
      </c>
      <c r="M11" s="9"/>
      <c r="N11" s="10">
        <f t="shared" si="1"/>
        <v>3915.9100000000035</v>
      </c>
      <c r="O11" s="8">
        <f>IFERROR(N11/N444, "NA")</f>
        <v>0.29518259377690104</v>
      </c>
      <c r="P11" s="9"/>
      <c r="Q11" s="7">
        <v>225047.56</v>
      </c>
      <c r="R11" s="8">
        <f>IFERROR(Q11/Q444, "NA")</f>
        <v>0.2522501280431273</v>
      </c>
      <c r="S11" s="9"/>
      <c r="T11" s="7">
        <v>0</v>
      </c>
      <c r="U11" s="8">
        <f>IFERROR(T11/T444, "NA")</f>
        <v>0</v>
      </c>
      <c r="V11" s="9"/>
      <c r="W11" s="10">
        <f t="shared" si="2"/>
        <v>225047.56</v>
      </c>
      <c r="X11" s="8">
        <f>IFERROR(W11/W444, "NA")</f>
        <v>2.413401175968076</v>
      </c>
      <c r="Y11" s="9"/>
      <c r="Z11" s="7">
        <v>192239.04</v>
      </c>
      <c r="AA11" s="8">
        <f>IFERROR(Z11/Z444, "NA")</f>
        <v>0.26693749719769078</v>
      </c>
      <c r="AB11" s="9"/>
      <c r="AC11" s="10">
        <f t="shared" si="3"/>
        <v>32808.51999999999</v>
      </c>
      <c r="AD11" s="8">
        <f>IFERROR(AC11/AC444, "NA")</f>
        <v>0.19075236627036715</v>
      </c>
    </row>
    <row r="12" spans="1:30" ht="16.5" customHeight="1" x14ac:dyDescent="0.45">
      <c r="A12" s="12" t="s">
        <v>14</v>
      </c>
      <c r="B12" s="7">
        <v>5300</v>
      </c>
      <c r="C12" s="8">
        <f>IFERROR(B12/B444, "NA")</f>
        <v>3.0011083716087898E-2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5300</v>
      </c>
      <c r="I12" s="8">
        <f>IFERROR(H12/H444, "NA")</f>
        <v>-0.5714766309188265</v>
      </c>
      <c r="J12" s="9"/>
      <c r="K12" s="7">
        <v>4120.95</v>
      </c>
      <c r="L12" s="8">
        <f>IFERROR(K12/K444, "NA")</f>
        <v>2.5229993064575854E-2</v>
      </c>
      <c r="M12" s="9"/>
      <c r="N12" s="10">
        <f t="shared" si="1"/>
        <v>1179.0500000000002</v>
      </c>
      <c r="O12" s="8">
        <f>IFERROR(N12/N444, "NA")</f>
        <v>8.8877179810734896E-2</v>
      </c>
      <c r="P12" s="9"/>
      <c r="Q12" s="7">
        <v>21051.49</v>
      </c>
      <c r="R12" s="8">
        <f>IFERROR(Q12/Q444, "NA")</f>
        <v>2.35960836367149E-2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21051.49</v>
      </c>
      <c r="X12" s="8">
        <f>IFERROR(W12/W444, "NA")</f>
        <v>0.22575535021077409</v>
      </c>
      <c r="Y12" s="9"/>
      <c r="Z12" s="7">
        <v>16436.099999999999</v>
      </c>
      <c r="AA12" s="8">
        <f>IFERROR(Z12/Z444, "NA")</f>
        <v>2.2822686784593624E-2</v>
      </c>
      <c r="AB12" s="9"/>
      <c r="AC12" s="10">
        <f t="shared" si="3"/>
        <v>4615.3900000000031</v>
      </c>
      <c r="AD12" s="8">
        <f>IFERROR(AC12/AC444, "NA")</f>
        <v>2.6834388255263898E-2</v>
      </c>
    </row>
    <row r="13" spans="1:30" ht="16.5" customHeight="1" x14ac:dyDescent="0.45">
      <c r="A13" s="12" t="s">
        <v>15</v>
      </c>
      <c r="B13" s="7">
        <v>231</v>
      </c>
      <c r="C13" s="8">
        <f>IFERROR(B13/B444, "NA")</f>
        <v>1.3080302525313781E-3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231</v>
      </c>
      <c r="I13" s="8">
        <f>IFERROR(H13/H444, "NA")</f>
        <v>-2.4907755045707344E-2</v>
      </c>
      <c r="J13" s="9"/>
      <c r="K13" s="7">
        <v>398</v>
      </c>
      <c r="L13" s="8">
        <f>IFERROR(K13/K444, "NA")</f>
        <v>2.4367044588507964E-3</v>
      </c>
      <c r="M13" s="9"/>
      <c r="N13" s="10">
        <f t="shared" si="1"/>
        <v>-167</v>
      </c>
      <c r="O13" s="8">
        <f>IFERROR(N13/N444, "NA")</f>
        <v>-1.258851535421969E-2</v>
      </c>
      <c r="P13" s="9"/>
      <c r="Q13" s="7">
        <v>1628</v>
      </c>
      <c r="R13" s="8">
        <f>IFERROR(Q13/Q444, "NA")</f>
        <v>1.8247840965447983E-3</v>
      </c>
      <c r="S13" s="9"/>
      <c r="T13" s="7">
        <v>0</v>
      </c>
      <c r="U13" s="8">
        <f>IFERROR(T13/T444, "NA")</f>
        <v>0</v>
      </c>
      <c r="V13" s="9"/>
      <c r="W13" s="10">
        <f t="shared" si="2"/>
        <v>1628</v>
      </c>
      <c r="X13" s="8">
        <f>IFERROR(W13/W444, "NA")</f>
        <v>1.7458607924813883E-2</v>
      </c>
      <c r="Y13" s="9"/>
      <c r="Z13" s="7">
        <v>1311</v>
      </c>
      <c r="AA13" s="8">
        <f>IFERROR(Z13/Z444, "NA")</f>
        <v>1.8204161799089955E-3</v>
      </c>
      <c r="AB13" s="9"/>
      <c r="AC13" s="10">
        <f t="shared" si="3"/>
        <v>317</v>
      </c>
      <c r="AD13" s="8">
        <f>IFERROR(AC13/AC444, "NA")</f>
        <v>1.843073083080444E-3</v>
      </c>
    </row>
    <row r="14" spans="1:30" ht="16.5" customHeight="1" x14ac:dyDescent="0.45">
      <c r="A14" s="12" t="s">
        <v>16</v>
      </c>
      <c r="B14" s="7">
        <v>645</v>
      </c>
      <c r="C14" s="8">
        <f>IFERROR(B14/B444, "NA")</f>
        <v>3.6522922635616405E-3</v>
      </c>
      <c r="D14" s="9"/>
      <c r="E14" s="7">
        <v>0</v>
      </c>
      <c r="F14" s="8">
        <f>IFERROR(E14/E444, "NA")</f>
        <v>0</v>
      </c>
      <c r="G14" s="9"/>
      <c r="H14" s="10">
        <f t="shared" si="0"/>
        <v>645</v>
      </c>
      <c r="I14" s="8">
        <f>IFERROR(H14/H444, "NA")</f>
        <v>-6.9547627725026998E-2</v>
      </c>
      <c r="J14" s="9"/>
      <c r="K14" s="7">
        <v>1046</v>
      </c>
      <c r="L14" s="8">
        <f>IFERROR(K14/K444, "NA")</f>
        <v>6.4040021707485757E-3</v>
      </c>
      <c r="M14" s="9"/>
      <c r="N14" s="10">
        <f t="shared" si="1"/>
        <v>-401</v>
      </c>
      <c r="O14" s="8">
        <f>IFERROR(N14/N444, "NA")</f>
        <v>-3.0227512916419737E-2</v>
      </c>
      <c r="P14" s="9"/>
      <c r="Q14" s="7">
        <v>2285</v>
      </c>
      <c r="R14" s="8">
        <f>IFERROR(Q14/Q444, "NA")</f>
        <v>2.5611988087253464E-3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2285</v>
      </c>
      <c r="X14" s="8">
        <f>IFERROR(W14/W444, "NA")</f>
        <v>2.4504250066461744E-2</v>
      </c>
      <c r="Y14" s="9"/>
      <c r="Z14" s="7">
        <v>3157</v>
      </c>
      <c r="AA14" s="8">
        <f>IFERROR(Z14/Z444, "NA")</f>
        <v>4.3837176811385957E-3</v>
      </c>
      <c r="AB14" s="9"/>
      <c r="AC14" s="10">
        <f t="shared" si="3"/>
        <v>-872</v>
      </c>
      <c r="AD14" s="8">
        <f>IFERROR(AC14/AC444, "NA")</f>
        <v>-5.0699045061392651E-3</v>
      </c>
    </row>
    <row r="15" spans="1:30" ht="16.5" customHeight="1" x14ac:dyDescent="0.45">
      <c r="A15" s="12" t="s">
        <v>17</v>
      </c>
      <c r="B15" s="7">
        <v>192</v>
      </c>
      <c r="C15" s="8">
        <f>IFERROR(B15/B444, "NA")</f>
        <v>1.0871939761299767E-3</v>
      </c>
      <c r="D15" s="9"/>
      <c r="E15" s="7">
        <v>0</v>
      </c>
      <c r="F15" s="8">
        <f>IFERROR(E15/E444, "NA")</f>
        <v>0</v>
      </c>
      <c r="G15" s="9"/>
      <c r="H15" s="10">
        <f t="shared" si="0"/>
        <v>192</v>
      </c>
      <c r="I15" s="8">
        <f>IFERROR(H15/H444, "NA")</f>
        <v>-2.0702549648380131E-2</v>
      </c>
      <c r="J15" s="9"/>
      <c r="K15" s="7">
        <v>254</v>
      </c>
      <c r="L15" s="8">
        <f>IFERROR(K15/K444, "NA")</f>
        <v>1.5550827450957344E-3</v>
      </c>
      <c r="M15" s="9"/>
      <c r="N15" s="10">
        <f t="shared" si="1"/>
        <v>-62</v>
      </c>
      <c r="O15" s="8">
        <f>IFERROR(N15/N444, "NA")</f>
        <v>-4.6735805506683877E-3</v>
      </c>
      <c r="P15" s="9"/>
      <c r="Q15" s="7">
        <v>506</v>
      </c>
      <c r="R15" s="8">
        <f>IFERROR(Q15/Q444, "NA")</f>
        <v>5.6716262460176166E-4</v>
      </c>
      <c r="S15" s="9"/>
      <c r="T15" s="7">
        <v>0</v>
      </c>
      <c r="U15" s="8">
        <f>IFERROR(T15/T444, "NA")</f>
        <v>0</v>
      </c>
      <c r="V15" s="9"/>
      <c r="W15" s="10">
        <f t="shared" si="2"/>
        <v>506</v>
      </c>
      <c r="X15" s="8">
        <f>IFERROR(W15/W444, "NA")</f>
        <v>5.4263240847394496E-3</v>
      </c>
      <c r="Y15" s="9"/>
      <c r="Z15" s="7">
        <v>481</v>
      </c>
      <c r="AA15" s="8">
        <f>IFERROR(Z15/Z444, "NA")</f>
        <v>6.6790250384151555E-4</v>
      </c>
      <c r="AB15" s="9"/>
      <c r="AC15" s="10">
        <f t="shared" si="3"/>
        <v>25</v>
      </c>
      <c r="AD15" s="8">
        <f>IFERROR(AC15/AC444, "NA")</f>
        <v>1.4535276680445141E-4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0.6</v>
      </c>
      <c r="R16" s="8">
        <f>IFERROR(Q16/Q444, "NA")</f>
        <v>6.7252485130643668E-7</v>
      </c>
      <c r="S16" s="9"/>
      <c r="T16" s="7">
        <v>0</v>
      </c>
      <c r="U16" s="8">
        <f>IFERROR(T16/T444, "NA")</f>
        <v>0</v>
      </c>
      <c r="V16" s="9"/>
      <c r="W16" s="10">
        <f t="shared" si="2"/>
        <v>0.6</v>
      </c>
      <c r="X16" s="8">
        <f>IFERROR(W16/W444, "NA")</f>
        <v>6.4343763850665412E-6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0.6</v>
      </c>
      <c r="AD16" s="8">
        <f>IFERROR(AC16/AC444, "NA")</f>
        <v>3.4884664033068338E-6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52644.47</v>
      </c>
      <c r="C18" s="15">
        <f>IFERROR(B18/B444, "NA")</f>
        <v>0.29809765969039204</v>
      </c>
      <c r="D18" s="2"/>
      <c r="E18" s="14">
        <f>IFERROR(E10+E11+E12+E13+E14+E15+E16+E17, "NA")</f>
        <v>44610.15</v>
      </c>
      <c r="F18" s="15">
        <f>IFERROR(E18/E444, "NA")</f>
        <v>0.23999998063221192</v>
      </c>
      <c r="G18" s="2"/>
      <c r="H18" s="14">
        <f t="shared" si="0"/>
        <v>8034.32</v>
      </c>
      <c r="I18" s="15">
        <f>IFERROR(H18/H444, "NA")</f>
        <v>-0.86630681609881999</v>
      </c>
      <c r="J18" s="2"/>
      <c r="K18" s="14">
        <f>IFERROR(K10+K11+K12+K13+K14+K15+K16+K17, "NA")</f>
        <v>48179.509999999995</v>
      </c>
      <c r="L18" s="15">
        <f>IFERROR(K18/K444, "NA")</f>
        <v>0.29497293176443851</v>
      </c>
      <c r="M18" s="2"/>
      <c r="N18" s="14">
        <f t="shared" si="1"/>
        <v>4464.9600000000064</v>
      </c>
      <c r="O18" s="15">
        <f>IFERROR(N18/N444, "NA")</f>
        <v>0.33657016476632834</v>
      </c>
      <c r="P18" s="2"/>
      <c r="Q18" s="14">
        <f>IFERROR(Q10+Q11+Q12+Q13+Q14+Q15+Q16+Q17, "NA")</f>
        <v>250518.65</v>
      </c>
      <c r="R18" s="15">
        <f>IFERROR(Q18/Q444, "NA")</f>
        <v>0.28080002973456542</v>
      </c>
      <c r="S18" s="2"/>
      <c r="T18" s="14">
        <f>IFERROR(T10+T11+T12+T13+T14+T15+T16+T17, "NA")</f>
        <v>191738.68</v>
      </c>
      <c r="U18" s="15">
        <f>IFERROR(T18/T444, "NA")</f>
        <v>0.23999998698228306</v>
      </c>
      <c r="V18" s="2"/>
      <c r="W18" s="14">
        <f t="shared" si="2"/>
        <v>58779.97</v>
      </c>
      <c r="X18" s="15">
        <f>IFERROR(W18/W444, "NA")</f>
        <v>0.63035408480486621</v>
      </c>
      <c r="Y18" s="2"/>
      <c r="Z18" s="14">
        <f>IFERROR(Z10+Z11+Z12+Z13+Z14+Z15+Z16+Z17, "NA")</f>
        <v>213624.14</v>
      </c>
      <c r="AA18" s="15">
        <f>IFERROR(Z18/Z444, "NA")</f>
        <v>0.29663222034717351</v>
      </c>
      <c r="AB18" s="2"/>
      <c r="AC18" s="14">
        <f t="shared" si="3"/>
        <v>36894.50999999998</v>
      </c>
      <c r="AD18" s="15">
        <f>IFERROR(AC18/AC444, "NA")</f>
        <v>0.21450876433577992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10409.040000000001</v>
      </c>
      <c r="F21" s="8">
        <f>IFERROR(E21/E444, "NA")</f>
        <v>5.6000022380555084E-2</v>
      </c>
      <c r="G21" s="9"/>
      <c r="H21" s="10">
        <f t="shared" ref="H21:H29" si="4">IFERROR(B21-E21, "NA")</f>
        <v>-10409.040000000001</v>
      </c>
      <c r="I21" s="8">
        <f>IFERROR(H21/H444, "NA")</f>
        <v>1.1223628509998684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44739.03</v>
      </c>
      <c r="U21" s="8">
        <f>IFERROR(T21/T444, "NA")</f>
        <v>5.6000002803815958E-2</v>
      </c>
      <c r="V21" s="9"/>
      <c r="W21" s="10">
        <f t="shared" ref="W21:W29" si="6">IFERROR(Q21-T21, "NA")</f>
        <v>-44739.03</v>
      </c>
      <c r="X21" s="8">
        <f>IFERROR(W21/W444, "NA")</f>
        <v>-0.47977959687130589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6732.05</v>
      </c>
      <c r="C22" s="8">
        <f>IFERROR(B22/B444, "NA")</f>
        <v>3.812002191148859E-2</v>
      </c>
      <c r="D22" s="9"/>
      <c r="E22" s="7">
        <v>0</v>
      </c>
      <c r="F22" s="8">
        <f>IFERROR(E22/E444, "NA")</f>
        <v>0</v>
      </c>
      <c r="G22" s="9"/>
      <c r="H22" s="10">
        <f t="shared" si="4"/>
        <v>6732.05</v>
      </c>
      <c r="I22" s="8">
        <f>IFERROR(H22/H444, "NA")</f>
        <v>-0.72588853833529932</v>
      </c>
      <c r="J22" s="9"/>
      <c r="K22" s="7">
        <v>7282.42</v>
      </c>
      <c r="L22" s="8">
        <f>IFERROR(K22/K444, "NA")</f>
        <v>4.4585691671417634E-2</v>
      </c>
      <c r="M22" s="9"/>
      <c r="N22" s="10">
        <f t="shared" si="5"/>
        <v>-550.36999999999989</v>
      </c>
      <c r="O22" s="8">
        <f>IFERROR(N22/N444, "NA")</f>
        <v>-4.1487073026957422E-2</v>
      </c>
      <c r="P22" s="9"/>
      <c r="Q22" s="7">
        <v>35195.300000000003</v>
      </c>
      <c r="R22" s="8">
        <f>IFERROR(Q22/Q444, "NA")</f>
        <v>3.9449523165309058E-2</v>
      </c>
      <c r="S22" s="9"/>
      <c r="T22" s="7">
        <v>0</v>
      </c>
      <c r="U22" s="8">
        <f>IFERROR(T22/T444, "NA")</f>
        <v>0</v>
      </c>
      <c r="V22" s="9"/>
      <c r="W22" s="10">
        <f t="shared" si="6"/>
        <v>35195.300000000003</v>
      </c>
      <c r="X22" s="8">
        <f>IFERROR(W22/W444, "NA")</f>
        <v>0.37743301197555412</v>
      </c>
      <c r="Y22" s="9"/>
      <c r="Z22" s="7">
        <v>30873.06</v>
      </c>
      <c r="AA22" s="8">
        <f>IFERROR(Z22/Z444, "NA")</f>
        <v>4.286942635186973E-2</v>
      </c>
      <c r="AB22" s="9"/>
      <c r="AC22" s="10">
        <f t="shared" si="7"/>
        <v>4322.2400000000016</v>
      </c>
      <c r="AD22" s="8">
        <f>IFERROR(AC22/AC444, "NA")</f>
        <v>2.5129981711714895E-2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1229.06</v>
      </c>
      <c r="C24" s="8">
        <f>IFERROR(B24/B444, "NA")</f>
        <v>6.9595136890745262E-3</v>
      </c>
      <c r="D24" s="9"/>
      <c r="E24" s="7">
        <v>0</v>
      </c>
      <c r="F24" s="8">
        <f>IFERROR(E24/E444, "NA")</f>
        <v>0</v>
      </c>
      <c r="G24" s="9"/>
      <c r="H24" s="10">
        <f t="shared" si="4"/>
        <v>1229.06</v>
      </c>
      <c r="I24" s="8">
        <f>IFERROR(H24/H444, "NA")</f>
        <v>-0.13252435245228167</v>
      </c>
      <c r="J24" s="9"/>
      <c r="K24" s="7">
        <v>373.62</v>
      </c>
      <c r="L24" s="8">
        <f>IFERROR(K24/K444, "NA")</f>
        <v>2.287441004813655E-3</v>
      </c>
      <c r="M24" s="9"/>
      <c r="N24" s="10">
        <f t="shared" si="5"/>
        <v>855.43999999999994</v>
      </c>
      <c r="O24" s="8">
        <f>IFERROR(N24/N444, "NA")</f>
        <v>6.4483350746189771E-2</v>
      </c>
      <c r="P24" s="9"/>
      <c r="Q24" s="7">
        <v>7807.74</v>
      </c>
      <c r="R24" s="8">
        <f>IFERROR(Q24/Q444, "NA")</f>
        <v>8.7514986375655298E-3</v>
      </c>
      <c r="S24" s="9"/>
      <c r="T24" s="7">
        <v>0</v>
      </c>
      <c r="U24" s="8">
        <f>IFERROR(T24/T444, "NA")</f>
        <v>0</v>
      </c>
      <c r="V24" s="9"/>
      <c r="W24" s="10">
        <f t="shared" si="6"/>
        <v>7807.74</v>
      </c>
      <c r="X24" s="8">
        <f>IFERROR(W24/W444, "NA")</f>
        <v>8.3729896461232398E-2</v>
      </c>
      <c r="Y24" s="9"/>
      <c r="Z24" s="7">
        <v>1951.99</v>
      </c>
      <c r="AA24" s="8">
        <f>IFERROR(Z24/Z444, "NA")</f>
        <v>2.7104761090927234E-3</v>
      </c>
      <c r="AB24" s="9"/>
      <c r="AC24" s="10">
        <f t="shared" si="7"/>
        <v>5855.75</v>
      </c>
      <c r="AD24" s="8">
        <f>IFERROR(AC24/AC444, "NA")</f>
        <v>3.4045978568606659E-2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customHeight="1" x14ac:dyDescent="0.45">
      <c r="A26" s="12" t="s">
        <v>27</v>
      </c>
      <c r="B26" s="7">
        <v>2252.0300000000002</v>
      </c>
      <c r="C26" s="8">
        <f>IFERROR(B26/B444, "NA")</f>
        <v>1.2752049219083289E-2</v>
      </c>
      <c r="D26" s="9"/>
      <c r="E26" s="7">
        <v>0</v>
      </c>
      <c r="F26" s="8">
        <f>IFERROR(E26/E444, "NA")</f>
        <v>0</v>
      </c>
      <c r="G26" s="9"/>
      <c r="H26" s="10">
        <f t="shared" si="4"/>
        <v>2252.0300000000002</v>
      </c>
      <c r="I26" s="8">
        <f>IFERROR(H26/H444, "NA")</f>
        <v>-0.24282689002417454</v>
      </c>
      <c r="J26" s="9"/>
      <c r="K26" s="7">
        <v>1104.48</v>
      </c>
      <c r="L26" s="8">
        <f>IFERROR(K26/K444, "NA")</f>
        <v>6.7620385445013257E-3</v>
      </c>
      <c r="M26" s="9"/>
      <c r="N26" s="10">
        <f t="shared" si="5"/>
        <v>1147.5500000000002</v>
      </c>
      <c r="O26" s="8">
        <f>IFERROR(N26/N444, "NA")</f>
        <v>8.6502699369669506E-2</v>
      </c>
      <c r="P26" s="9"/>
      <c r="Q26" s="7">
        <v>13782.34</v>
      </c>
      <c r="R26" s="8">
        <f>IFERROR(Q26/Q444, "NA")</f>
        <v>1.5448276931924592E-2</v>
      </c>
      <c r="S26" s="9"/>
      <c r="T26" s="7">
        <v>0</v>
      </c>
      <c r="U26" s="8">
        <f>IFERROR(T26/T444, "NA")</f>
        <v>0</v>
      </c>
      <c r="V26" s="9"/>
      <c r="W26" s="10">
        <f t="shared" si="6"/>
        <v>13782.34</v>
      </c>
      <c r="X26" s="8">
        <f>IFERROR(W26/W444, "NA")</f>
        <v>0.14780127171159665</v>
      </c>
      <c r="Y26" s="9"/>
      <c r="Z26" s="7">
        <v>3077.96</v>
      </c>
      <c r="AA26" s="8">
        <f>IFERROR(Z26/Z444, "NA")</f>
        <v>4.2739650534803142E-3</v>
      </c>
      <c r="AB26" s="9"/>
      <c r="AC26" s="10">
        <f t="shared" si="7"/>
        <v>10704.380000000001</v>
      </c>
      <c r="AD26" s="8">
        <f>IFERROR(AC26/AC444, "NA")</f>
        <v>6.2236449997049352E-2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11.55</v>
      </c>
      <c r="L27" s="8">
        <f>IFERROR(K27/K444, "NA")</f>
        <v>7.0713408290770603E-5</v>
      </c>
      <c r="M27" s="9"/>
      <c r="N27" s="10">
        <f t="shared" si="5"/>
        <v>-11.55</v>
      </c>
      <c r="O27" s="8">
        <f>IFERROR(N27/N444, "NA")</f>
        <v>-8.7064282839064333E-4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90.35</v>
      </c>
      <c r="AA27" s="8">
        <f>IFERROR(Z27/Z444, "NA")</f>
        <v>1.2545736220806846E-4</v>
      </c>
      <c r="AB27" s="9"/>
      <c r="AC27" s="10">
        <f t="shared" si="7"/>
        <v>-90.35</v>
      </c>
      <c r="AD27" s="8">
        <f>IFERROR(AC27/AC444, "NA")</f>
        <v>-5.253048992312874E-4</v>
      </c>
    </row>
    <row r="28" spans="1:30" ht="16.5" customHeight="1" x14ac:dyDescent="0.45">
      <c r="A28" s="12" t="s">
        <v>29</v>
      </c>
      <c r="B28" s="7">
        <v>808.65</v>
      </c>
      <c r="C28" s="8">
        <f>IFERROR(B28/B444, "NA")</f>
        <v>4.5789552541536747E-3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808.65</v>
      </c>
      <c r="I28" s="8">
        <f>IFERROR(H28/H444, "NA")</f>
        <v>-8.7193316526888498E-2</v>
      </c>
      <c r="J28" s="9"/>
      <c r="K28" s="7">
        <v>892.65</v>
      </c>
      <c r="L28" s="8">
        <f>IFERROR(K28/K444, "NA")</f>
        <v>5.4651362693295567E-3</v>
      </c>
      <c r="M28" s="9"/>
      <c r="N28" s="10">
        <f t="shared" si="5"/>
        <v>-84</v>
      </c>
      <c r="O28" s="8">
        <f>IFERROR(N28/N444, "NA")</f>
        <v>-6.3319478428410418E-3</v>
      </c>
      <c r="P28" s="9"/>
      <c r="Q28" s="7">
        <v>3953.4</v>
      </c>
      <c r="R28" s="8">
        <f>IFERROR(Q28/Q444, "NA")</f>
        <v>4.4312662452581112E-3</v>
      </c>
      <c r="S28" s="9"/>
      <c r="T28" s="7">
        <v>0</v>
      </c>
      <c r="U28" s="8">
        <f>IFERROR(T28/T444, "NA")</f>
        <v>0</v>
      </c>
      <c r="V28" s="9"/>
      <c r="W28" s="10">
        <f t="shared" si="6"/>
        <v>3953.4</v>
      </c>
      <c r="X28" s="8">
        <f>IFERROR(W28/W444, "NA")</f>
        <v>4.2396106001203443E-2</v>
      </c>
      <c r="Y28" s="9"/>
      <c r="Z28" s="7">
        <v>4109.7700000000004</v>
      </c>
      <c r="AA28" s="8">
        <f>IFERROR(Z28/Z444, "NA")</f>
        <v>5.7067061813154797E-3</v>
      </c>
      <c r="AB28" s="9"/>
      <c r="AC28" s="10">
        <f t="shared" si="7"/>
        <v>-156.37000000000035</v>
      </c>
      <c r="AD28" s="8">
        <f>IFERROR(AC28/AC444, "NA")</f>
        <v>-9.0915248580848479E-4</v>
      </c>
    </row>
    <row r="29" spans="1:30" ht="16.5" customHeight="1" x14ac:dyDescent="0.45">
      <c r="A29" s="13" t="s">
        <v>30</v>
      </c>
      <c r="B29" s="14">
        <f>IFERROR(B21+B22+B23+B24+B25+B26+B27+B28, "NA")</f>
        <v>11021.79</v>
      </c>
      <c r="C29" s="15">
        <f>IFERROR(B29/B444, "NA")</f>
        <v>6.2410540073800085E-2</v>
      </c>
      <c r="D29" s="2"/>
      <c r="E29" s="14">
        <f>IFERROR(E21+E22+E23+E24+E25+E26+E27+E28, "NA")</f>
        <v>10409.040000000001</v>
      </c>
      <c r="F29" s="15">
        <f>IFERROR(E29/E444, "NA")</f>
        <v>5.6000022380555084E-2</v>
      </c>
      <c r="G29" s="2"/>
      <c r="H29" s="14">
        <f t="shared" si="4"/>
        <v>612.75</v>
      </c>
      <c r="I29" s="15">
        <f>IFERROR(H29/H444, "NA")</f>
        <v>-6.6070246338775646E-2</v>
      </c>
      <c r="J29" s="2"/>
      <c r="K29" s="14">
        <f>IFERROR(K21+K22+K23+K24+K25+K26+K27+K28, "NA")</f>
        <v>9664.7199999999993</v>
      </c>
      <c r="L29" s="15">
        <f>IFERROR(K29/K444, "NA")</f>
        <v>5.9171020898352938E-2</v>
      </c>
      <c r="M29" s="2"/>
      <c r="N29" s="14">
        <f t="shared" si="5"/>
        <v>1357.0700000000015</v>
      </c>
      <c r="O29" s="15">
        <f>IFERROR(N29/N444, "NA")</f>
        <v>0.10229638641767026</v>
      </c>
      <c r="P29" s="2"/>
      <c r="Q29" s="14">
        <f>IFERROR(Q21+Q22+Q23+Q24+Q25+Q26+Q27+Q28, "NA")</f>
        <v>60738.780000000006</v>
      </c>
      <c r="R29" s="15">
        <f>IFERROR(Q29/Q444, "NA")</f>
        <v>6.8080564980057295E-2</v>
      </c>
      <c r="S29" s="2"/>
      <c r="T29" s="14">
        <f>IFERROR(T21+T22+T23+T24+T25+T26+T27+T28, "NA")</f>
        <v>44739.03</v>
      </c>
      <c r="U29" s="15">
        <f>IFERROR(T29/T444, "NA")</f>
        <v>5.6000002803815958E-2</v>
      </c>
      <c r="V29" s="2"/>
      <c r="W29" s="14">
        <f t="shared" si="6"/>
        <v>15999.750000000007</v>
      </c>
      <c r="X29" s="15">
        <f>IFERROR(W29/W444, "NA")</f>
        <v>0.17158068927828074</v>
      </c>
      <c r="Y29" s="2"/>
      <c r="Z29" s="14">
        <f>IFERROR(Z21+Z22+Z23+Z24+Z25+Z26+Z27+Z28, "NA")</f>
        <v>40103.130000000005</v>
      </c>
      <c r="AA29" s="15">
        <f>IFERROR(Z29/Z444, "NA")</f>
        <v>5.5686031057966323E-2</v>
      </c>
      <c r="AB29" s="2"/>
      <c r="AC29" s="14">
        <f t="shared" si="7"/>
        <v>20635.650000000001</v>
      </c>
      <c r="AD29" s="15">
        <f>IFERROR(AC29/AC444, "NA")</f>
        <v>0.11997795289233112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50000.55</v>
      </c>
      <c r="F31" s="8">
        <f>IFERROR(E31/E444, "NA")</f>
        <v>0.26900001527903278</v>
      </c>
      <c r="G31" s="9"/>
      <c r="H31" s="10">
        <f t="shared" ref="H31:H40" si="8">IFERROR(B31-E31, "NA")</f>
        <v>-50000.55</v>
      </c>
      <c r="I31" s="8">
        <f>IFERROR(H31/H444, "NA")</f>
        <v>5.3913482751110067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214907.12</v>
      </c>
      <c r="U31" s="8">
        <f>IFERROR(T31/T444, "NA")</f>
        <v>0.269000005645183</v>
      </c>
      <c r="V31" s="9"/>
      <c r="W31" s="10">
        <f t="shared" ref="W31:W40" si="10">IFERROR(Q31-T31, "NA")</f>
        <v>-214907.12</v>
      </c>
      <c r="X31" s="8">
        <f>IFERROR(W31/W444, "NA")</f>
        <v>-2.304655496517769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12426.48</v>
      </c>
      <c r="C33" s="8">
        <f>IFERROR(B33/B444, "NA")</f>
        <v>7.0364553127602245E-2</v>
      </c>
      <c r="D33" s="9"/>
      <c r="E33" s="7">
        <v>0</v>
      </c>
      <c r="F33" s="8">
        <f>IFERROR(E33/E444, "NA")</f>
        <v>0</v>
      </c>
      <c r="G33" s="9"/>
      <c r="H33" s="10">
        <f t="shared" si="8"/>
        <v>12426.48</v>
      </c>
      <c r="I33" s="8">
        <f>IFERROR(H33/H444, "NA")</f>
        <v>-1.3398948914302224</v>
      </c>
      <c r="J33" s="9"/>
      <c r="K33" s="7">
        <v>12633.33</v>
      </c>
      <c r="L33" s="8">
        <f>IFERROR(K33/K444, "NA")</f>
        <v>7.7345958646064153E-2</v>
      </c>
      <c r="M33" s="9"/>
      <c r="N33" s="10">
        <f t="shared" si="9"/>
        <v>-206.85000000000036</v>
      </c>
      <c r="O33" s="8">
        <f>IFERROR(N33/N444, "NA")</f>
        <v>-1.5592421562996093E-2</v>
      </c>
      <c r="P33" s="9"/>
      <c r="Q33" s="7">
        <v>94142.98</v>
      </c>
      <c r="R33" s="8">
        <f>IFERROR(Q33/Q444, "NA")</f>
        <v>0.1055224893767414</v>
      </c>
      <c r="S33" s="9"/>
      <c r="T33" s="7">
        <v>0</v>
      </c>
      <c r="U33" s="8">
        <f>IFERROR(T33/T444, "NA")</f>
        <v>0</v>
      </c>
      <c r="V33" s="9"/>
      <c r="W33" s="10">
        <f t="shared" si="10"/>
        <v>94142.98</v>
      </c>
      <c r="X33" s="8">
        <f>IFERROR(W33/W444, "NA")</f>
        <v>1.0095856122196527</v>
      </c>
      <c r="Y33" s="9"/>
      <c r="Z33" s="7">
        <v>59215.97</v>
      </c>
      <c r="AA33" s="8">
        <f>IFERROR(Z33/Z444, "NA")</f>
        <v>8.2225560562170619E-2</v>
      </c>
      <c r="AB33" s="9"/>
      <c r="AC33" s="10">
        <f t="shared" si="11"/>
        <v>34927.009999999995</v>
      </c>
      <c r="AD33" s="8">
        <f>IFERROR(AC33/AC444, "NA")</f>
        <v>0.20306950158826967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2724.6</v>
      </c>
      <c r="C35" s="8">
        <f>IFERROR(B35/B444, "NA")</f>
        <v>1.5427962017519449E-2</v>
      </c>
      <c r="D35" s="9"/>
      <c r="E35" s="7">
        <v>0</v>
      </c>
      <c r="F35" s="8">
        <f>IFERROR(E35/E444, "NA")</f>
        <v>0</v>
      </c>
      <c r="G35" s="9"/>
      <c r="H35" s="10">
        <f t="shared" si="8"/>
        <v>2724.6</v>
      </c>
      <c r="I35" s="8">
        <f>IFERROR(H35/H444, "NA")</f>
        <v>-0.2937821186040443</v>
      </c>
      <c r="J35" s="9"/>
      <c r="K35" s="7">
        <v>0</v>
      </c>
      <c r="L35" s="8">
        <f>IFERROR(K35/K444, "NA")</f>
        <v>0</v>
      </c>
      <c r="M35" s="9"/>
      <c r="N35" s="10">
        <f t="shared" si="9"/>
        <v>2724.6</v>
      </c>
      <c r="O35" s="8">
        <f>IFERROR(N35/N444, "NA")</f>
        <v>0.20538125110243693</v>
      </c>
      <c r="P35" s="9"/>
      <c r="Q35" s="7">
        <v>11951.56</v>
      </c>
      <c r="R35" s="8">
        <f>IFERROR(Q35/Q444, "NA")</f>
        <v>1.339620185313326E-2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11951.56</v>
      </c>
      <c r="X35" s="8">
        <f>IFERROR(W35/W444, "NA")</f>
        <v>0.12816805904784312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11951.56</v>
      </c>
      <c r="AD35" s="8">
        <f>IFERROR(AC35/AC444, "NA")</f>
        <v>6.948769254517638E-2</v>
      </c>
    </row>
    <row r="36" spans="1:30" ht="16.5" customHeight="1" x14ac:dyDescent="0.45">
      <c r="A36" s="12" t="s">
        <v>36</v>
      </c>
      <c r="B36" s="7">
        <v>16780.939999999999</v>
      </c>
      <c r="C36" s="8">
        <f>IFERROR(B36/B444, "NA")</f>
        <v>9.5021546259367554E-2</v>
      </c>
      <c r="D36" s="9"/>
      <c r="E36" s="7">
        <v>0</v>
      </c>
      <c r="F36" s="8">
        <f>IFERROR(E36/E444, "NA")</f>
        <v>0</v>
      </c>
      <c r="G36" s="9"/>
      <c r="H36" s="10">
        <f t="shared" si="8"/>
        <v>16780.939999999999</v>
      </c>
      <c r="I36" s="8">
        <f>IFERROR(H36/H444, "NA")</f>
        <v>-1.8094179348775419</v>
      </c>
      <c r="J36" s="9"/>
      <c r="K36" s="7">
        <v>18705.43</v>
      </c>
      <c r="L36" s="8">
        <f>IFERROR(K36/K444, "NA")</f>
        <v>0.11452161981337049</v>
      </c>
      <c r="M36" s="9"/>
      <c r="N36" s="10">
        <f t="shared" si="9"/>
        <v>-1924.4900000000016</v>
      </c>
      <c r="O36" s="8">
        <f>IFERROR(N36/N444, "NA")</f>
        <v>-0.14506869409606152</v>
      </c>
      <c r="P36" s="9"/>
      <c r="Q36" s="7">
        <v>111225.31</v>
      </c>
      <c r="R36" s="8">
        <f>IFERROR(Q36/Q444, "NA")</f>
        <v>0.12466964178210388</v>
      </c>
      <c r="S36" s="9"/>
      <c r="T36" s="7">
        <v>0</v>
      </c>
      <c r="U36" s="8">
        <f>IFERROR(T36/T444, "NA")</f>
        <v>0</v>
      </c>
      <c r="V36" s="9"/>
      <c r="W36" s="10">
        <f t="shared" si="10"/>
        <v>111225.31</v>
      </c>
      <c r="X36" s="8">
        <f>IFERROR(W36/W444, "NA")</f>
        <v>1.1927758468095091</v>
      </c>
      <c r="Y36" s="9"/>
      <c r="Z36" s="7">
        <v>75749.38</v>
      </c>
      <c r="AA36" s="8">
        <f>IFERROR(Z36/Z444, "NA")</f>
        <v>0.10518336916100296</v>
      </c>
      <c r="AB36" s="9"/>
      <c r="AC36" s="10">
        <f t="shared" si="11"/>
        <v>35475.929999999993</v>
      </c>
      <c r="AD36" s="8">
        <f>IFERROR(AC36/AC444, "NA")</f>
        <v>0.20626098321844166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2664</v>
      </c>
      <c r="C39" s="8">
        <f>IFERROR(B39/B444, "NA")</f>
        <v>1.5084816418803427E-2</v>
      </c>
      <c r="D39" s="9"/>
      <c r="E39" s="7">
        <v>0</v>
      </c>
      <c r="F39" s="8">
        <f>IFERROR(E39/E444, "NA")</f>
        <v>0</v>
      </c>
      <c r="G39" s="9"/>
      <c r="H39" s="10">
        <f t="shared" si="8"/>
        <v>2664</v>
      </c>
      <c r="I39" s="8">
        <f>IFERROR(H39/H444, "NA")</f>
        <v>-0.2872478763712743</v>
      </c>
      <c r="J39" s="9"/>
      <c r="K39" s="7">
        <v>1737.98</v>
      </c>
      <c r="L39" s="8">
        <f>IFERROR(K39/K444, "NA")</f>
        <v>1.064056184772238E-2</v>
      </c>
      <c r="M39" s="9"/>
      <c r="N39" s="10">
        <f t="shared" si="9"/>
        <v>926.02</v>
      </c>
      <c r="O39" s="8">
        <f>IFERROR(N39/N444, "NA")</f>
        <v>6.9803694540805497E-2</v>
      </c>
      <c r="P39" s="9"/>
      <c r="Q39" s="7">
        <v>11874.75</v>
      </c>
      <c r="R39" s="8">
        <f>IFERROR(Q39/Q444, "NA")</f>
        <v>1.3310107463418515E-2</v>
      </c>
      <c r="S39" s="9"/>
      <c r="T39" s="7">
        <v>0</v>
      </c>
      <c r="U39" s="8">
        <f>IFERROR(T39/T444, "NA")</f>
        <v>0</v>
      </c>
      <c r="V39" s="9"/>
      <c r="W39" s="10">
        <f t="shared" si="10"/>
        <v>11874.75</v>
      </c>
      <c r="X39" s="8">
        <f>IFERROR(W39/W444, "NA")</f>
        <v>0.12734435163094818</v>
      </c>
      <c r="Y39" s="9"/>
      <c r="Z39" s="7">
        <v>9597.5400000000009</v>
      </c>
      <c r="AA39" s="8">
        <f>IFERROR(Z39/Z444, "NA")</f>
        <v>1.3326862779041788E-2</v>
      </c>
      <c r="AB39" s="9"/>
      <c r="AC39" s="10">
        <f t="shared" si="11"/>
        <v>2277.2099999999991</v>
      </c>
      <c r="AD39" s="8">
        <f>IFERROR(AC39/AC444, "NA")</f>
        <v>1.3239950963790588E-2</v>
      </c>
    </row>
    <row r="40" spans="1:30" ht="16.5" customHeight="1" x14ac:dyDescent="0.45">
      <c r="A40" s="13" t="s">
        <v>40</v>
      </c>
      <c r="B40" s="14">
        <f>IFERROR(B31+B32+B33+B34+B35+B36+B37+B38+B39, "NA")</f>
        <v>34596.019999999997</v>
      </c>
      <c r="C40" s="15">
        <f>IFERROR(B40/B444, "NA")</f>
        <v>0.19589887782329266</v>
      </c>
      <c r="D40" s="2"/>
      <c r="E40" s="14">
        <f>IFERROR(E31+E32+E33+E34+E35+E36+E37+E38+E39, "NA")</f>
        <v>50000.55</v>
      </c>
      <c r="F40" s="15">
        <f>IFERROR(E40/E444, "NA")</f>
        <v>0.26900001527903278</v>
      </c>
      <c r="G40" s="2"/>
      <c r="H40" s="14">
        <f t="shared" si="8"/>
        <v>-15404.530000000006</v>
      </c>
      <c r="I40" s="15">
        <f>IFERROR(H40/H444, "NA")</f>
        <v>1.6610054538279235</v>
      </c>
      <c r="J40" s="2"/>
      <c r="K40" s="14">
        <f>IFERROR(K31+K32+K33+K34+K35+K36+K37+K38+K39, "NA")</f>
        <v>33076.740000000005</v>
      </c>
      <c r="L40" s="15">
        <f>IFERROR(K40/K444, "NA")</f>
        <v>0.20250814030715705</v>
      </c>
      <c r="M40" s="2"/>
      <c r="N40" s="14">
        <f t="shared" si="9"/>
        <v>1519.2799999999916</v>
      </c>
      <c r="O40" s="15">
        <f>IFERROR(N40/N444, "NA")</f>
        <v>0.11452382998418434</v>
      </c>
      <c r="P40" s="2"/>
      <c r="Q40" s="14">
        <f>IFERROR(Q31+Q32+Q33+Q34+Q35+Q36+Q37+Q38+Q39, "NA")</f>
        <v>229194.59999999998</v>
      </c>
      <c r="R40" s="15">
        <f>IFERROR(Q40/Q444, "NA")</f>
        <v>0.25689844047539706</v>
      </c>
      <c r="S40" s="2"/>
      <c r="T40" s="14">
        <f>IFERROR(T31+T32+T33+T34+T35+T36+T37+T38+T39, "NA")</f>
        <v>214907.12</v>
      </c>
      <c r="U40" s="15">
        <f>IFERROR(T40/T444, "NA")</f>
        <v>0.269000005645183</v>
      </c>
      <c r="V40" s="2"/>
      <c r="W40" s="14">
        <f t="shared" si="10"/>
        <v>14287.479999999981</v>
      </c>
      <c r="X40" s="15">
        <f>IFERROR(W40/W444, "NA")</f>
        <v>0.15321837319018397</v>
      </c>
      <c r="Y40" s="2"/>
      <c r="Z40" s="14">
        <f>IFERROR(Z31+Z32+Z33+Z34+Z35+Z36+Z37+Z38+Z39, "NA")</f>
        <v>144562.89000000001</v>
      </c>
      <c r="AA40" s="15">
        <f>IFERROR(Z40/Z444, "NA")</f>
        <v>0.20073579250221538</v>
      </c>
      <c r="AB40" s="2"/>
      <c r="AC40" s="14">
        <f t="shared" si="11"/>
        <v>84631.709999999963</v>
      </c>
      <c r="AD40" s="15">
        <f>IFERROR(AC40/AC444, "NA")</f>
        <v>0.49205812831567813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14130.15</v>
      </c>
      <c r="C43" s="8">
        <f>IFERROR(B43/B444, "NA")</f>
        <v>8.0011531051109322E-2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14130.15</v>
      </c>
      <c r="I43" s="8">
        <f>IFERROR(H43/H444, "NA")</f>
        <v>-1.523594437052388</v>
      </c>
      <c r="J43" s="9"/>
      <c r="K43" s="7">
        <v>3000</v>
      </c>
      <c r="L43" s="8">
        <f>IFERROR(K43/K444, "NA")</f>
        <v>1.8367119036563791E-2</v>
      </c>
      <c r="M43" s="9"/>
      <c r="N43" s="10">
        <f>IFERROR(B43-K43, "NA")</f>
        <v>11130.15</v>
      </c>
      <c r="O43" s="8">
        <f>IFERROR(N43/N444, "NA")</f>
        <v>0.83899439622615735</v>
      </c>
      <c r="P43" s="9"/>
      <c r="Q43" s="7">
        <v>66330.31</v>
      </c>
      <c r="R43" s="8">
        <f>IFERROR(Q43/Q444, "NA")</f>
        <v>7.4347969783099752E-2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66330.31</v>
      </c>
      <c r="X43" s="8">
        <f>IFERROR(W43/W444, "NA")</f>
        <v>0.71132363379690511</v>
      </c>
      <c r="Y43" s="9"/>
      <c r="Z43" s="7">
        <v>9365.9500000000007</v>
      </c>
      <c r="AA43" s="8">
        <f>IFERROR(Z43/Z444, "NA")</f>
        <v>1.3005283692005079E-2</v>
      </c>
      <c r="AB43" s="9"/>
      <c r="AC43" s="10">
        <f>IFERROR(Q43-Z43, "NA")</f>
        <v>56964.36</v>
      </c>
      <c r="AD43" s="8">
        <f>IFERROR(AC43/AC444, "NA")</f>
        <v>0.33119709340979281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81971.16</v>
      </c>
      <c r="F46" s="8">
        <f>IFERROR(E46/E444, "NA")</f>
        <v>0.44100001484863749</v>
      </c>
      <c r="G46" s="9"/>
      <c r="H46" s="10">
        <f t="shared" ref="H46:H62" si="12">IFERROR(B46-E46, "NA")</f>
        <v>-81971.16</v>
      </c>
      <c r="I46" s="8">
        <f>IFERROR(H46/H444, "NA")</f>
        <v>8.8386042168505803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352319.85</v>
      </c>
      <c r="U46" s="8">
        <f>IFERROR(T46/T444, "NA")</f>
        <v>0.44100000799838568</v>
      </c>
      <c r="V46" s="9"/>
      <c r="W46" s="10">
        <f t="shared" ref="W46:W62" si="14">IFERROR(Q46-T46, "NA")</f>
        <v>-352319.85</v>
      </c>
      <c r="X46" s="8">
        <f>IFERROR(W46/W444, "NA")</f>
        <v>-3.7782642047169763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45401.29</v>
      </c>
      <c r="C48" s="8">
        <f>IFERROR(B48/B444, "NA")</f>
        <v>0.25708338019026122</v>
      </c>
      <c r="D48" s="9"/>
      <c r="E48" s="7">
        <v>0</v>
      </c>
      <c r="F48" s="8">
        <f>IFERROR(E48/E444, "NA")</f>
        <v>0</v>
      </c>
      <c r="G48" s="9"/>
      <c r="H48" s="10">
        <f t="shared" si="12"/>
        <v>45401.29</v>
      </c>
      <c r="I48" s="8">
        <f>IFERROR(H48/H444, "NA")</f>
        <v>-4.8954294808620018</v>
      </c>
      <c r="J48" s="9"/>
      <c r="K48" s="7">
        <v>49738.92</v>
      </c>
      <c r="L48" s="8">
        <f>IFERROR(K48/K444, "NA")</f>
        <v>0.30452022146337449</v>
      </c>
      <c r="M48" s="9"/>
      <c r="N48" s="10">
        <f t="shared" si="13"/>
        <v>-4337.6299999999974</v>
      </c>
      <c r="O48" s="8">
        <f>IFERROR(N48/N444, "NA")</f>
        <v>-0.32697198716122111</v>
      </c>
      <c r="P48" s="9"/>
      <c r="Q48" s="7">
        <v>205148.73</v>
      </c>
      <c r="R48" s="8">
        <f>IFERROR(Q48/Q444, "NA")</f>
        <v>0.22994603189825724</v>
      </c>
      <c r="S48" s="9"/>
      <c r="T48" s="7">
        <v>0</v>
      </c>
      <c r="U48" s="8">
        <f>IFERROR(T48/T444, "NA")</f>
        <v>0</v>
      </c>
      <c r="V48" s="9"/>
      <c r="W48" s="10">
        <f t="shared" si="14"/>
        <v>205148.73</v>
      </c>
      <c r="X48" s="8">
        <f>IFERROR(W48/W444, "NA")</f>
        <v>2.2000069062306533</v>
      </c>
      <c r="Y48" s="9"/>
      <c r="Z48" s="7">
        <v>224725.59</v>
      </c>
      <c r="AA48" s="8">
        <f>IFERROR(Z48/Z444, "NA")</f>
        <v>0.31204736847871484</v>
      </c>
      <c r="AB48" s="9"/>
      <c r="AC48" s="10">
        <f t="shared" si="15"/>
        <v>-19576.859999999986</v>
      </c>
      <c r="AD48" s="8">
        <f>IFERROR(AC48/AC444, "NA")</f>
        <v>-0.11382203065373563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2141.23</v>
      </c>
      <c r="R49" s="8">
        <f>IFERROR(Q49/Q444, "NA")</f>
        <v>2.4000506456048026E-3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2141.23</v>
      </c>
      <c r="X49" s="8">
        <f>IFERROR(W49/W444, "NA")</f>
        <v>2.2962466244993384E-2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2141.23</v>
      </c>
      <c r="AD49" s="8">
        <f>IFERROR(AC49/AC444, "NA")</f>
        <v>1.2449348194587821E-2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customHeight="1" x14ac:dyDescent="0.45">
      <c r="A51" s="17" t="s">
        <v>49</v>
      </c>
      <c r="B51" s="7">
        <v>3032.11</v>
      </c>
      <c r="C51" s="8">
        <f>IFERROR(B51/B444, "NA")</f>
        <v>1.7169227744601372E-2</v>
      </c>
      <c r="D51" s="9"/>
      <c r="E51" s="7">
        <v>0</v>
      </c>
      <c r="F51" s="8">
        <f>IFERROR(E51/E444, "NA")</f>
        <v>0</v>
      </c>
      <c r="G51" s="9"/>
      <c r="H51" s="10">
        <f t="shared" si="12"/>
        <v>3032.11</v>
      </c>
      <c r="I51" s="8">
        <f>IFERROR(H51/H444, "NA")</f>
        <v>-0.32693962403307231</v>
      </c>
      <c r="J51" s="9"/>
      <c r="K51" s="7">
        <v>7207</v>
      </c>
      <c r="L51" s="8">
        <f>IFERROR(K51/K444, "NA")</f>
        <v>4.4123942298838419E-2</v>
      </c>
      <c r="M51" s="9"/>
      <c r="N51" s="10">
        <f t="shared" si="13"/>
        <v>-4174.8899999999994</v>
      </c>
      <c r="O51" s="8">
        <f>IFERROR(N51/N444, "NA")</f>
        <v>-0.31470459201903134</v>
      </c>
      <c r="P51" s="9"/>
      <c r="Q51" s="7">
        <v>16256.98</v>
      </c>
      <c r="R51" s="8">
        <f>IFERROR(Q51/Q444, "NA")</f>
        <v>1.8222038428652859E-2</v>
      </c>
      <c r="S51" s="9"/>
      <c r="T51" s="7">
        <v>0</v>
      </c>
      <c r="U51" s="8">
        <f>IFERROR(T51/T444, "NA")</f>
        <v>0</v>
      </c>
      <c r="V51" s="9"/>
      <c r="W51" s="10">
        <f t="shared" si="14"/>
        <v>16256.98</v>
      </c>
      <c r="X51" s="8">
        <f>IFERROR(W51/W444, "NA")</f>
        <v>0.17433921367416511</v>
      </c>
      <c r="Y51" s="9"/>
      <c r="Z51" s="7">
        <v>40007.89</v>
      </c>
      <c r="AA51" s="8">
        <f>IFERROR(Z51/Z444, "NA")</f>
        <v>5.5553783585064305E-2</v>
      </c>
      <c r="AB51" s="9"/>
      <c r="AC51" s="10">
        <f t="shared" si="15"/>
        <v>-23750.91</v>
      </c>
      <c r="AD51" s="8">
        <f>IFERROR(AC51/AC444, "NA")</f>
        <v>-0.13809041930494054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customHeight="1" x14ac:dyDescent="0.45">
      <c r="A53" s="17" t="s">
        <v>51</v>
      </c>
      <c r="B53" s="7">
        <v>4000</v>
      </c>
      <c r="C53" s="8">
        <f>IFERROR(B53/B444, "NA")</f>
        <v>2.2649874502707848E-2</v>
      </c>
      <c r="D53" s="9"/>
      <c r="E53" s="7">
        <v>0</v>
      </c>
      <c r="F53" s="8">
        <f>IFERROR(E53/E444, "NA")</f>
        <v>0</v>
      </c>
      <c r="G53" s="9"/>
      <c r="H53" s="10">
        <f t="shared" si="12"/>
        <v>4000</v>
      </c>
      <c r="I53" s="8">
        <f>IFERROR(H53/H444, "NA")</f>
        <v>-0.43130311767458607</v>
      </c>
      <c r="J53" s="9"/>
      <c r="K53" s="7">
        <v>0</v>
      </c>
      <c r="L53" s="8">
        <f>IFERROR(K53/K444, "NA")</f>
        <v>0</v>
      </c>
      <c r="M53" s="9"/>
      <c r="N53" s="10">
        <f t="shared" si="13"/>
        <v>4000</v>
      </c>
      <c r="O53" s="8">
        <f>IFERROR(N53/N444, "NA")</f>
        <v>0.30152132584957342</v>
      </c>
      <c r="P53" s="9"/>
      <c r="Q53" s="7">
        <v>4000</v>
      </c>
      <c r="R53" s="8">
        <f>IFERROR(Q53/Q444, "NA")</f>
        <v>4.4834990087095784E-3</v>
      </c>
      <c r="S53" s="9"/>
      <c r="T53" s="7">
        <v>0</v>
      </c>
      <c r="U53" s="8">
        <f>IFERROR(T53/T444, "NA")</f>
        <v>0</v>
      </c>
      <c r="V53" s="9"/>
      <c r="W53" s="10">
        <f t="shared" si="14"/>
        <v>4000</v>
      </c>
      <c r="X53" s="8">
        <f>IFERROR(W53/W444, "NA")</f>
        <v>4.2895842567110279E-2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4000</v>
      </c>
      <c r="AD53" s="8">
        <f>IFERROR(AC53/AC444, "NA")</f>
        <v>2.3256442688712228E-2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1.3058190862866647E-5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1.2493414147670868E-4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6.7734389330874369E-5</v>
      </c>
    </row>
    <row r="55" spans="1:30" ht="16.5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15.65</v>
      </c>
      <c r="R55" s="8">
        <f>IFERROR(Q55/Q444, "NA")</f>
        <v>1.7541689871576223E-5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15.65</v>
      </c>
      <c r="X55" s="8">
        <f>IFERROR(W55/W444, "NA")</f>
        <v>1.6782998404381896E-4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15.65</v>
      </c>
      <c r="AD55" s="8">
        <f>IFERROR(AC55/AC444, "NA")</f>
        <v>9.099083201958659E-5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510.29</v>
      </c>
      <c r="L56" s="8">
        <f>IFERROR(K56/K444, "NA")</f>
        <v>3.1241857243893795E-3</v>
      </c>
      <c r="M56" s="9"/>
      <c r="N56" s="10">
        <f t="shared" si="13"/>
        <v>-510.29</v>
      </c>
      <c r="O56" s="8">
        <f>IFERROR(N56/N444, "NA")</f>
        <v>-3.8465829341944709E-2</v>
      </c>
      <c r="P56" s="9"/>
      <c r="Q56" s="7">
        <v>11.65</v>
      </c>
      <c r="R56" s="8">
        <f>IFERROR(Q56/Q444, "NA")</f>
        <v>1.3058190862866647E-5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11.65</v>
      </c>
      <c r="X56" s="8">
        <f>IFERROR(W56/W444, "NA")</f>
        <v>1.2493414147670868E-4</v>
      </c>
      <c r="Y56" s="9"/>
      <c r="Z56" s="7">
        <v>814.83</v>
      </c>
      <c r="AA56" s="8">
        <f>IFERROR(Z56/Z444, "NA")</f>
        <v>1.1314490586386322E-3</v>
      </c>
      <c r="AB56" s="9"/>
      <c r="AC56" s="10">
        <f t="shared" si="15"/>
        <v>-803.18000000000006</v>
      </c>
      <c r="AD56" s="8">
        <f>IFERROR(AC56/AC444, "NA")</f>
        <v>-4.6697774096799722E-3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customHeight="1" x14ac:dyDescent="0.45">
      <c r="A58" s="17" t="s">
        <v>56</v>
      </c>
      <c r="B58" s="7">
        <v>155</v>
      </c>
      <c r="C58" s="8">
        <f>IFERROR(B58/B444, "NA")</f>
        <v>8.7768263697992905E-4</v>
      </c>
      <c r="D58" s="9"/>
      <c r="E58" s="7">
        <v>0</v>
      </c>
      <c r="F58" s="8">
        <f>IFERROR(E58/E444, "NA")</f>
        <v>0</v>
      </c>
      <c r="G58" s="9"/>
      <c r="H58" s="10">
        <f t="shared" si="12"/>
        <v>155</v>
      </c>
      <c r="I58" s="8">
        <f>IFERROR(H58/H444, "NA")</f>
        <v>-1.6712995809890208E-2</v>
      </c>
      <c r="J58" s="9"/>
      <c r="K58" s="7">
        <v>1378</v>
      </c>
      <c r="L58" s="8">
        <f>IFERROR(K58/K444, "NA")</f>
        <v>8.4366300107949696E-3</v>
      </c>
      <c r="M58" s="9"/>
      <c r="N58" s="10">
        <f t="shared" si="13"/>
        <v>-1223</v>
      </c>
      <c r="O58" s="8">
        <f>IFERROR(N58/N444, "NA")</f>
        <v>-9.2190145378507074E-2</v>
      </c>
      <c r="P58" s="9"/>
      <c r="Q58" s="7">
        <v>290</v>
      </c>
      <c r="R58" s="8">
        <f>IFERROR(Q58/Q444, "NA")</f>
        <v>3.250536781314444E-4</v>
      </c>
      <c r="S58" s="9"/>
      <c r="T58" s="7">
        <v>0</v>
      </c>
      <c r="U58" s="8">
        <f>IFERROR(T58/T444, "NA")</f>
        <v>0</v>
      </c>
      <c r="V58" s="9"/>
      <c r="W58" s="10">
        <f t="shared" si="14"/>
        <v>290</v>
      </c>
      <c r="X58" s="8">
        <f>IFERROR(W58/W444, "NA")</f>
        <v>3.1099485861154951E-3</v>
      </c>
      <c r="Y58" s="9"/>
      <c r="Z58" s="7">
        <v>3884.2</v>
      </c>
      <c r="AA58" s="8">
        <f>IFERROR(Z58/Z444, "NA")</f>
        <v>5.3934862898569946E-3</v>
      </c>
      <c r="AB58" s="9"/>
      <c r="AC58" s="10">
        <f t="shared" si="15"/>
        <v>-3594.2</v>
      </c>
      <c r="AD58" s="8">
        <f>IFERROR(AC58/AC444, "NA")</f>
        <v>-2.0897076577942372E-2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52588.4</v>
      </c>
      <c r="C61" s="15">
        <f>IFERROR(B61/B444, "NA")</f>
        <v>0.29778016507455035</v>
      </c>
      <c r="D61" s="2"/>
      <c r="E61" s="14">
        <f>IFERROR(E46+E47+E48+E49+E50+E51+E52+E53+E54+E55+E56+E57+E58+E59+E60, "NA")</f>
        <v>81971.16</v>
      </c>
      <c r="F61" s="15">
        <f>IFERROR(E61/E444, "NA")</f>
        <v>0.44100001484863749</v>
      </c>
      <c r="G61" s="2"/>
      <c r="H61" s="14">
        <f t="shared" si="12"/>
        <v>-29382.760000000002</v>
      </c>
      <c r="I61" s="15">
        <f>IFERROR(H61/H444, "NA")</f>
        <v>3.1682189984710303</v>
      </c>
      <c r="J61" s="2"/>
      <c r="K61" s="14">
        <f>IFERROR(K46+K47+K48+K49+K50+K51+K52+K53+K54+K55+K56+K57+K58+K59+K60, "NA")</f>
        <v>58834.21</v>
      </c>
      <c r="L61" s="15">
        <f>IFERROR(K61/K444, "NA")</f>
        <v>0.36020497949739727</v>
      </c>
      <c r="M61" s="2"/>
      <c r="N61" s="14">
        <f t="shared" si="13"/>
        <v>-6245.8099999999977</v>
      </c>
      <c r="O61" s="15">
        <f>IFERROR(N61/N444, "NA")</f>
        <v>-0.47081122805113085</v>
      </c>
      <c r="P61" s="2"/>
      <c r="Q61" s="14">
        <f>IFERROR(Q46+Q47+Q48+Q49+Q50+Q51+Q52+Q53+Q54+Q55+Q56+Q57+Q58+Q59+Q60, "NA")</f>
        <v>227875.89</v>
      </c>
      <c r="R61" s="15">
        <f>IFERROR(Q61/Q444, "NA")</f>
        <v>0.25542033173095324</v>
      </c>
      <c r="S61" s="2"/>
      <c r="T61" s="14">
        <f>IFERROR(T46+T47+T48+T49+T50+T51+T52+T53+T54+T55+T56+T57+T58+T59+T60, "NA")</f>
        <v>352319.85</v>
      </c>
      <c r="U61" s="15">
        <f>IFERROR(T61/T444, "NA")</f>
        <v>0.44100000799838568</v>
      </c>
      <c r="V61" s="2"/>
      <c r="W61" s="14">
        <f t="shared" si="14"/>
        <v>-124443.95999999996</v>
      </c>
      <c r="X61" s="15">
        <f>IFERROR(W61/W444, "NA")</f>
        <v>-1.3345321291469416</v>
      </c>
      <c r="Y61" s="2"/>
      <c r="Z61" s="14">
        <f>IFERROR(Z46+Z47+Z48+Z49+Z50+Z51+Z52+Z53+Z54+Z55+Z56+Z57+Z58+Z59+Z60, "NA")</f>
        <v>269432.51</v>
      </c>
      <c r="AA61" s="15">
        <f>IFERROR(Z61/Z444, "NA")</f>
        <v>0.37412608741227482</v>
      </c>
      <c r="AB61" s="2"/>
      <c r="AC61" s="14">
        <f t="shared" si="15"/>
        <v>-41556.619999999995</v>
      </c>
      <c r="AD61" s="15">
        <f>IFERROR(AC61/AC444, "NA")</f>
        <v>-0.24161478784164805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66718.55</v>
      </c>
      <c r="C62" s="15">
        <f>IFERROR(B62/B444, "NA")</f>
        <v>0.37779169612565966</v>
      </c>
      <c r="D62" s="2"/>
      <c r="E62" s="14">
        <f>IFERROR(E42+E43+E44+E46+E47+E48+E49+E50+E51+E52+E53+E54+E55+E56+E57+E58+E59+E60, "NA")</f>
        <v>81971.16</v>
      </c>
      <c r="F62" s="15">
        <f>IFERROR(E62/E444, "NA")</f>
        <v>0.44100001484863749</v>
      </c>
      <c r="G62" s="2"/>
      <c r="H62" s="14">
        <f t="shared" si="12"/>
        <v>-15252.61</v>
      </c>
      <c r="I62" s="15">
        <f>IFERROR(H62/H444, "NA")</f>
        <v>1.6446245614186421</v>
      </c>
      <c r="J62" s="2"/>
      <c r="K62" s="14">
        <f>IFERROR(K42+K43+K44+K46+K47+K48+K49+K50+K51+K52+K53+K54+K55+K56+K57+K58+K59+K60, "NA")</f>
        <v>61834.21</v>
      </c>
      <c r="L62" s="15">
        <f>IFERROR(K62/K444, "NA")</f>
        <v>0.37857209853396107</v>
      </c>
      <c r="M62" s="2"/>
      <c r="N62" s="14">
        <f t="shared" si="13"/>
        <v>4884.3400000000038</v>
      </c>
      <c r="O62" s="15">
        <f>IFERROR(N62/N444, "NA")</f>
        <v>0.36818316817502666</v>
      </c>
      <c r="P62" s="2"/>
      <c r="Q62" s="14">
        <f>IFERROR(Q42+Q43+Q44+Q46+Q47+Q48+Q49+Q50+Q51+Q52+Q53+Q54+Q55+Q56+Q57+Q58+Q59+Q60, "NA")</f>
        <v>294206.20000000007</v>
      </c>
      <c r="R62" s="15">
        <f>IFERROR(Q62/Q444, "NA")</f>
        <v>0.32976830151405306</v>
      </c>
      <c r="S62" s="2"/>
      <c r="T62" s="14">
        <f>IFERROR(T42+T43+T44+T46+T47+T48+T49+T50+T51+T52+T53+T54+T55+T56+T57+T58+T59+T60, "NA")</f>
        <v>352319.85</v>
      </c>
      <c r="U62" s="15">
        <f>IFERROR(T62/T444, "NA")</f>
        <v>0.44100000799838568</v>
      </c>
      <c r="V62" s="2"/>
      <c r="W62" s="14">
        <f t="shared" si="14"/>
        <v>-58113.649999999907</v>
      </c>
      <c r="X62" s="15">
        <f>IFERROR(W62/W444, "NA")</f>
        <v>-0.62320849535003597</v>
      </c>
      <c r="Y62" s="2"/>
      <c r="Z62" s="14">
        <f>IFERROR(Z42+Z43+Z44+Z46+Z47+Z48+Z49+Z50+Z51+Z52+Z53+Z54+Z55+Z56+Z57+Z58+Z59+Z60, "NA")</f>
        <v>278798.46000000002</v>
      </c>
      <c r="AA62" s="15">
        <f>IFERROR(Z62/Z444, "NA")</f>
        <v>0.38713137110427992</v>
      </c>
      <c r="AB62" s="2"/>
      <c r="AC62" s="14">
        <f t="shared" si="15"/>
        <v>15407.740000000049</v>
      </c>
      <c r="AD62" s="15">
        <f>IFERROR(AC62/AC444, "NA")</f>
        <v>8.9582305568145018E-2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0</v>
      </c>
      <c r="C65" s="8">
        <f>IFERROR(B65/B444, "NA")</f>
        <v>0</v>
      </c>
      <c r="D65" s="9"/>
      <c r="E65" s="7">
        <v>0</v>
      </c>
      <c r="F65" s="8">
        <f>IFERROR(E65/E444, "NA")</f>
        <v>0</v>
      </c>
      <c r="G65" s="9"/>
      <c r="H65" s="10">
        <f t="shared" si="16"/>
        <v>0</v>
      </c>
      <c r="I65" s="8">
        <f>IFERROR(H65/H444, "NA")</f>
        <v>0</v>
      </c>
      <c r="J65" s="9"/>
      <c r="K65" s="7">
        <v>0</v>
      </c>
      <c r="L65" s="8">
        <f>IFERROR(K65/K444, "NA")</f>
        <v>0</v>
      </c>
      <c r="M65" s="9"/>
      <c r="N65" s="10">
        <f t="shared" si="17"/>
        <v>0</v>
      </c>
      <c r="O65" s="8">
        <f>IFERROR(N65/N444, "NA")</f>
        <v>0</v>
      </c>
      <c r="P65" s="9"/>
      <c r="Q65" s="7">
        <v>2925</v>
      </c>
      <c r="R65" s="8">
        <f>IFERROR(Q65/Q444, "NA")</f>
        <v>3.2785586501188789E-3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2925</v>
      </c>
      <c r="X65" s="8">
        <f>IFERROR(W65/W444, "NA")</f>
        <v>3.1367584877199386E-2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2925</v>
      </c>
      <c r="AD65" s="8">
        <f>IFERROR(AC65/AC444, "NA")</f>
        <v>1.7006273716120818E-2</v>
      </c>
    </row>
    <row r="66" spans="1:30" ht="16.5" customHeight="1" x14ac:dyDescent="0.45">
      <c r="A66" s="12" t="s">
        <v>63</v>
      </c>
      <c r="B66" s="7">
        <v>12827.48</v>
      </c>
      <c r="C66" s="8">
        <f>IFERROR(B66/B444, "NA")</f>
        <v>7.2635203046498717E-2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12827.48</v>
      </c>
      <c r="I66" s="8">
        <f>IFERROR(H66/H444, "NA")</f>
        <v>-1.3831330289770998</v>
      </c>
      <c r="J66" s="9"/>
      <c r="K66" s="7">
        <v>12961.62</v>
      </c>
      <c r="L66" s="8">
        <f>IFERROR(K66/K444, "NA")</f>
        <v>7.9355872482235329E-2</v>
      </c>
      <c r="M66" s="9"/>
      <c r="N66" s="10">
        <f t="shared" si="17"/>
        <v>-134.14000000000124</v>
      </c>
      <c r="O66" s="8">
        <f>IFERROR(N66/N444, "NA")</f>
        <v>-1.0111517662365538E-2</v>
      </c>
      <c r="P66" s="9"/>
      <c r="Q66" s="7">
        <v>55281.02</v>
      </c>
      <c r="R66" s="8">
        <f>IFERROR(Q66/Q444, "NA")</f>
        <v>6.1963099592613584E-2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55281.02</v>
      </c>
      <c r="X66" s="8">
        <f>IFERROR(W66/W444, "NA")</f>
        <v>0.59283148271731856</v>
      </c>
      <c r="Y66" s="9"/>
      <c r="Z66" s="7">
        <v>51867.4</v>
      </c>
      <c r="AA66" s="8">
        <f>IFERROR(Z66/Z444, "NA")</f>
        <v>7.2021551616942667E-2</v>
      </c>
      <c r="AB66" s="9"/>
      <c r="AC66" s="10">
        <f t="shared" si="19"/>
        <v>3413.6199999999953</v>
      </c>
      <c r="AD66" s="8">
        <f>IFERROR(AC66/AC444, "NA")</f>
        <v>1.9847164472760432E-2</v>
      </c>
    </row>
    <row r="67" spans="1:30" ht="16.5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9882.75</v>
      </c>
      <c r="R67" s="8">
        <f>IFERROR(Q67/Q444, "NA")</f>
        <v>1.1077324957081146E-2</v>
      </c>
      <c r="S67" s="9"/>
      <c r="T67" s="7">
        <v>0</v>
      </c>
      <c r="U67" s="8">
        <f>IFERROR(T67/T444, "NA")</f>
        <v>0</v>
      </c>
      <c r="V67" s="9"/>
      <c r="W67" s="10">
        <f t="shared" si="18"/>
        <v>9882.75</v>
      </c>
      <c r="X67" s="8">
        <f>IFERROR(W67/W444, "NA")</f>
        <v>0.10598222203252727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9882.75</v>
      </c>
      <c r="AD67" s="8">
        <f>IFERROR(AC67/AC444, "NA")</f>
        <v>5.7459402245467688E-2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12827.48</v>
      </c>
      <c r="C73" s="15">
        <f>IFERROR(B73/B444, "NA")</f>
        <v>7.2635203046498717E-2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12827.48</v>
      </c>
      <c r="I73" s="15">
        <f>IFERROR(H73/H444, "NA")</f>
        <v>-1.3831330289770998</v>
      </c>
      <c r="J73" s="2"/>
      <c r="K73" s="14">
        <f>IFERROR(K64+K65+K66+K67+K68+K69+K70+K71+K72, "NA")</f>
        <v>12961.62</v>
      </c>
      <c r="L73" s="15">
        <f>IFERROR(K73/K444, "NA")</f>
        <v>7.9355872482235329E-2</v>
      </c>
      <c r="M73" s="2"/>
      <c r="N73" s="14">
        <f t="shared" si="17"/>
        <v>-134.14000000000124</v>
      </c>
      <c r="O73" s="15">
        <f>IFERROR(N73/N444, "NA")</f>
        <v>-1.0111517662365538E-2</v>
      </c>
      <c r="P73" s="2"/>
      <c r="Q73" s="14">
        <f>IFERROR(Q64+Q65+Q66+Q67+Q68+Q69+Q70+Q71+Q72, "NA")</f>
        <v>68088.76999999999</v>
      </c>
      <c r="R73" s="15">
        <f>IFERROR(Q73/Q444, "NA")</f>
        <v>7.6318983199813603E-2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68088.76999999999</v>
      </c>
      <c r="X73" s="15">
        <f>IFERROR(W73/W444, "NA")</f>
        <v>0.7301812896270452</v>
      </c>
      <c r="Y73" s="2"/>
      <c r="Z73" s="14">
        <f>IFERROR(Z64+Z65+Z66+Z67+Z68+Z69+Z70+Z71+Z72, "NA")</f>
        <v>51867.4</v>
      </c>
      <c r="AA73" s="15">
        <f>IFERROR(Z73/Z444, "NA")</f>
        <v>7.2021551616942667E-2</v>
      </c>
      <c r="AB73" s="2"/>
      <c r="AC73" s="14">
        <f t="shared" si="19"/>
        <v>16221.369999999988</v>
      </c>
      <c r="AD73" s="15">
        <f>IFERROR(AC73/AC444, "NA")</f>
        <v>9.4312840434348899E-2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5390.39</v>
      </c>
      <c r="F75" s="8">
        <f>IFERROR(E75/E444, "NA")</f>
        <v>2.8999980847409589E-2</v>
      </c>
      <c r="G75" s="9"/>
      <c r="H75" s="10">
        <f t="shared" ref="H75:H92" si="20">IFERROR(B75-E75, "NA")</f>
        <v>-5390.39</v>
      </c>
      <c r="I75" s="8">
        <f>IFERROR(H75/H444, "NA")</f>
        <v>0.58122300312047803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23168.42</v>
      </c>
      <c r="U75" s="8">
        <f>IFERROR(T75/T444, "NA")</f>
        <v>2.8999993628828914E-2</v>
      </c>
      <c r="V75" s="9"/>
      <c r="W75" s="10">
        <f t="shared" ref="W75:W92" si="22">IFERROR(Q75-T75, "NA")</f>
        <v>-23168.42</v>
      </c>
      <c r="X75" s="8">
        <f>IFERROR(W75/W444, "NA")</f>
        <v>-0.24845722421217226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1380.69</v>
      </c>
      <c r="C77" s="8">
        <f>IFERROR(B77/B444, "NA")</f>
        <v>7.8181138067859243E-3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1380.69</v>
      </c>
      <c r="I77" s="8">
        <f>IFERROR(H77/H444, "NA")</f>
        <v>-0.14887397538553107</v>
      </c>
      <c r="J77" s="9"/>
      <c r="K77" s="7">
        <v>110.63</v>
      </c>
      <c r="L77" s="8">
        <f>IFERROR(K77/K444, "NA")</f>
        <v>6.773181263383508E-4</v>
      </c>
      <c r="M77" s="9"/>
      <c r="N77" s="10">
        <f t="shared" si="21"/>
        <v>1270.06</v>
      </c>
      <c r="O77" s="8">
        <f>IFERROR(N77/N444, "NA")</f>
        <v>9.5737543777127301E-2</v>
      </c>
      <c r="P77" s="9"/>
      <c r="Q77" s="7">
        <v>6134.76</v>
      </c>
      <c r="R77" s="8">
        <f>IFERROR(Q77/Q444, "NA")</f>
        <v>6.8762975946677933E-3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6134.76</v>
      </c>
      <c r="X77" s="8">
        <f>IFERROR(W77/W444, "NA")</f>
        <v>6.5788924786751357E-2</v>
      </c>
      <c r="Y77" s="9"/>
      <c r="Z77" s="7">
        <v>592.02</v>
      </c>
      <c r="AA77" s="8">
        <f>IFERROR(Z77/Z444, "NA")</f>
        <v>8.2206162229574642E-4</v>
      </c>
      <c r="AB77" s="9"/>
      <c r="AC77" s="10">
        <f t="shared" si="23"/>
        <v>5542.74</v>
      </c>
      <c r="AD77" s="8">
        <f>IFERROR(AC77/AC444, "NA")</f>
        <v>3.2226103787108204E-2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17.940000000000001</v>
      </c>
      <c r="L79" s="8">
        <f>IFERROR(K79/K444, "NA")</f>
        <v>1.0983537183865148E-4</v>
      </c>
      <c r="M79" s="9"/>
      <c r="N79" s="10">
        <f t="shared" si="21"/>
        <v>-17.940000000000001</v>
      </c>
      <c r="O79" s="8">
        <f>IFERROR(N79/N444, "NA")</f>
        <v>-1.3523231464353368E-3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77.739999999999995</v>
      </c>
      <c r="AA79" s="8">
        <f>IFERROR(Z79/Z444, "NA")</f>
        <v>1.079474857560071E-4</v>
      </c>
      <c r="AB79" s="9"/>
      <c r="AC79" s="10">
        <f t="shared" si="23"/>
        <v>-77.739999999999995</v>
      </c>
      <c r="AD79" s="8">
        <f>IFERROR(AC79/AC444, "NA")</f>
        <v>-4.5198896365512213E-4</v>
      </c>
    </row>
    <row r="80" spans="1:30" ht="16.5" customHeight="1" x14ac:dyDescent="0.45">
      <c r="A80" s="12" t="s">
        <v>76</v>
      </c>
      <c r="B80" s="7">
        <v>4422.16</v>
      </c>
      <c r="C80" s="8">
        <f>IFERROR(B80/B444, "NA")</f>
        <v>2.5040342257723634E-2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4422.16</v>
      </c>
      <c r="I80" s="8">
        <f>IFERROR(H80/H444, "NA")</f>
        <v>-0.47682284871396186</v>
      </c>
      <c r="J80" s="9"/>
      <c r="K80" s="7">
        <v>4572.84</v>
      </c>
      <c r="L80" s="8">
        <f>IFERROR(K80/K444, "NA")</f>
        <v>2.7996632205053457E-2</v>
      </c>
      <c r="M80" s="9"/>
      <c r="N80" s="10">
        <f t="shared" si="21"/>
        <v>-150.68000000000029</v>
      </c>
      <c r="O80" s="8">
        <f>IFERROR(N80/N444, "NA")</f>
        <v>-1.1358308344753452E-2</v>
      </c>
      <c r="P80" s="9"/>
      <c r="Q80" s="7">
        <v>18815.11</v>
      </c>
      <c r="R80" s="8">
        <f>IFERROR(Q80/Q444, "NA")</f>
        <v>2.1089381758440419E-2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18815.11</v>
      </c>
      <c r="X80" s="8">
        <f>IFERROR(W80/W444, "NA")</f>
        <v>0.20177249911071557</v>
      </c>
      <c r="Y80" s="9"/>
      <c r="Z80" s="7">
        <v>19114.439999999999</v>
      </c>
      <c r="AA80" s="8">
        <f>IFERROR(Z80/Z444, "NA")</f>
        <v>2.6541751217314797E-2</v>
      </c>
      <c r="AB80" s="9"/>
      <c r="AC80" s="10">
        <f t="shared" si="23"/>
        <v>-299.32999999999811</v>
      </c>
      <c r="AD80" s="8">
        <f>IFERROR(AC80/AC444, "NA")</f>
        <v>-1.7403377475030467E-3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30</v>
      </c>
      <c r="L85" s="8">
        <f>IFERROR(K85/K444, "NA")</f>
        <v>1.8367119036563794E-4</v>
      </c>
      <c r="M85" s="9"/>
      <c r="N85" s="10">
        <f t="shared" si="21"/>
        <v>-30</v>
      </c>
      <c r="O85" s="8">
        <f>IFERROR(N85/N444, "NA")</f>
        <v>-2.2614099438718008E-3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60</v>
      </c>
      <c r="AA85" s="8">
        <f>IFERROR(Z85/Z444, "NA")</f>
        <v>8.3314241643432297E-5</v>
      </c>
      <c r="AB85" s="9"/>
      <c r="AC85" s="10">
        <f t="shared" si="23"/>
        <v>-60</v>
      </c>
      <c r="AD85" s="8">
        <f>IFERROR(AC85/AC444, "NA")</f>
        <v>-3.4884664033068343E-4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988.28</v>
      </c>
      <c r="R87" s="8">
        <f>IFERROR(Q87/Q444, "NA")</f>
        <v>1.1077381000818753E-3</v>
      </c>
      <c r="S87" s="9"/>
      <c r="T87" s="7">
        <v>0</v>
      </c>
      <c r="U87" s="8">
        <f>IFERROR(T87/T444, "NA")</f>
        <v>0</v>
      </c>
      <c r="V87" s="9"/>
      <c r="W87" s="10">
        <f t="shared" si="22"/>
        <v>988.28</v>
      </c>
      <c r="X87" s="8">
        <f>IFERROR(W87/W444, "NA")</f>
        <v>1.0598275823055935E-2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988.28</v>
      </c>
      <c r="AD87" s="8">
        <f>IFERROR(AC87/AC444, "NA")</f>
        <v>5.7459692951001302E-3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5802.85</v>
      </c>
      <c r="C88" s="15">
        <f>IFERROR(B88/B444, "NA")</f>
        <v>3.2858456064509559E-2</v>
      </c>
      <c r="D88" s="2"/>
      <c r="E88" s="14">
        <f>IFERROR(E75+E76+E77+E78+E79+E80+E81+E82+E83+E84+E85+E86+E87, "NA")</f>
        <v>5390.39</v>
      </c>
      <c r="F88" s="15">
        <f>IFERROR(E88/E444, "NA")</f>
        <v>2.8999980847409589E-2</v>
      </c>
      <c r="G88" s="2"/>
      <c r="H88" s="14">
        <f t="shared" si="20"/>
        <v>412.46000000000004</v>
      </c>
      <c r="I88" s="15">
        <f>IFERROR(H88/H444, "NA")</f>
        <v>-4.4473820979014943E-2</v>
      </c>
      <c r="J88" s="2"/>
      <c r="K88" s="14">
        <f>IFERROR(K75+K76+K77+K78+K79+K80+K81+K82+K83+K84+K85+K86+K87, "NA")</f>
        <v>4731.41</v>
      </c>
      <c r="L88" s="15">
        <f>IFERROR(K88/K444, "NA")</f>
        <v>2.8967456893596099E-2</v>
      </c>
      <c r="M88" s="2"/>
      <c r="N88" s="14">
        <f t="shared" si="21"/>
        <v>1071.4400000000005</v>
      </c>
      <c r="O88" s="15">
        <f>IFERROR(N88/N444, "NA")</f>
        <v>8.0765502342066781E-2</v>
      </c>
      <c r="P88" s="2"/>
      <c r="Q88" s="14">
        <f>IFERROR(Q75+Q76+Q77+Q78+Q79+Q80+Q81+Q82+Q83+Q84+Q85+Q86+Q87, "NA")</f>
        <v>25938.15</v>
      </c>
      <c r="R88" s="15">
        <f>IFERROR(Q88/Q444, "NA")</f>
        <v>2.9073417453190087E-2</v>
      </c>
      <c r="S88" s="2"/>
      <c r="T88" s="14">
        <f>IFERROR(T75+T76+T77+T78+T79+T80+T81+T82+T83+T84+T85+T86+T87, "NA")</f>
        <v>23168.42</v>
      </c>
      <c r="U88" s="15">
        <f>IFERROR(T88/T444, "NA")</f>
        <v>2.8999993628828914E-2</v>
      </c>
      <c r="V88" s="2"/>
      <c r="W88" s="14">
        <f t="shared" si="22"/>
        <v>2769.7300000000032</v>
      </c>
      <c r="X88" s="15">
        <f>IFERROR(W88/W444, "NA")</f>
        <v>2.9702475508350621E-2</v>
      </c>
      <c r="Y88" s="2"/>
      <c r="Z88" s="14">
        <f>IFERROR(Z75+Z76+Z77+Z78+Z79+Z80+Z81+Z82+Z83+Z84+Z85+Z86+Z87, "NA")</f>
        <v>19844.199999999997</v>
      </c>
      <c r="AA88" s="15">
        <f>IFERROR(Z88/Z444, "NA")</f>
        <v>2.7555074567009979E-2</v>
      </c>
      <c r="AB88" s="2"/>
      <c r="AC88" s="14">
        <f t="shared" si="23"/>
        <v>6093.9500000000044</v>
      </c>
      <c r="AD88" s="15">
        <f>IFERROR(AC88/AC444, "NA")</f>
        <v>3.5430899730719494E-2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-790.28</v>
      </c>
      <c r="L89" s="8">
        <f>IFERROR(K89/K444, "NA")</f>
        <v>-4.8383889440718779E-3</v>
      </c>
      <c r="M89" s="9"/>
      <c r="N89" s="10">
        <f t="shared" si="21"/>
        <v>790.28</v>
      </c>
      <c r="O89" s="8">
        <f>IFERROR(N89/N444, "NA")</f>
        <v>5.9571568348100221E-2</v>
      </c>
      <c r="P89" s="9"/>
      <c r="Q89" s="7">
        <v>15.99</v>
      </c>
      <c r="R89" s="8">
        <f>IFERROR(Q89/Q444, "NA")</f>
        <v>1.7922787287316539E-5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15.99</v>
      </c>
      <c r="X89" s="8">
        <f>IFERROR(W89/W444, "NA")</f>
        <v>1.7147613066202332E-4</v>
      </c>
      <c r="Y89" s="9"/>
      <c r="Z89" s="7">
        <v>-2878.09</v>
      </c>
      <c r="AA89" s="8">
        <f>IFERROR(Z89/Z444, "NA")</f>
        <v>-3.996431428859101E-3</v>
      </c>
      <c r="AB89" s="9"/>
      <c r="AC89" s="10">
        <f t="shared" si="23"/>
        <v>2894.08</v>
      </c>
      <c r="AD89" s="8">
        <f>IFERROR(AC89/AC444, "NA")</f>
        <v>1.6826501414137069E-2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-6505.65</v>
      </c>
      <c r="F94" s="8">
        <f>IFERROR(E94/E444, "NA")</f>
        <v>-3.5000013987846926E-2</v>
      </c>
      <c r="G94" s="9"/>
      <c r="H94" s="10">
        <f t="shared" ref="H94:H124" si="24">IFERROR(B94-E94, "NA")</f>
        <v>6505.65</v>
      </c>
      <c r="I94" s="8">
        <f>IFERROR(H94/H444, "NA")</f>
        <v>-0.70147678187491769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-27961.89</v>
      </c>
      <c r="U94" s="8">
        <f>IFERROR(T94/T444, "NA")</f>
        <v>-3.499999705849665E-2</v>
      </c>
      <c r="V94" s="9"/>
      <c r="W94" s="10">
        <f t="shared" ref="W94:W124" si="26">IFERROR(Q94-T94, "NA")</f>
        <v>27961.89</v>
      </c>
      <c r="X94" s="8">
        <f>IFERROR(W94/W444, "NA")</f>
        <v>0.29986220782971379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-1731.25</v>
      </c>
      <c r="C96" s="8">
        <f>IFERROR(B96/B444, "NA")</f>
        <v>-9.8031488082032398E-3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-1731.25</v>
      </c>
      <c r="I96" s="8">
        <f>IFERROR(H96/H444, "NA")</f>
        <v>0.18667338061853178</v>
      </c>
      <c r="J96" s="9"/>
      <c r="K96" s="7">
        <v>-101.35</v>
      </c>
      <c r="L96" s="8">
        <f>IFERROR(K96/K444, "NA")</f>
        <v>-6.2050250478524679E-4</v>
      </c>
      <c r="M96" s="9"/>
      <c r="N96" s="10">
        <f t="shared" si="25"/>
        <v>-1629.9</v>
      </c>
      <c r="O96" s="8">
        <f>IFERROR(N96/N444, "NA")</f>
        <v>-0.12286240225055493</v>
      </c>
      <c r="P96" s="9"/>
      <c r="Q96" s="7">
        <v>-10933.4</v>
      </c>
      <c r="R96" s="8">
        <f>IFERROR(Q96/Q444, "NA")</f>
        <v>-1.2254972015456325E-2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-10933.4</v>
      </c>
      <c r="X96" s="8">
        <f>IFERROR(W96/W444, "NA")</f>
        <v>-0.11724935128081086</v>
      </c>
      <c r="Y96" s="9"/>
      <c r="Z96" s="7">
        <v>-564.11</v>
      </c>
      <c r="AA96" s="8">
        <f>IFERROR(Z96/Z444, "NA")</f>
        <v>-7.8330661422460987E-4</v>
      </c>
      <c r="AB96" s="9"/>
      <c r="AC96" s="10">
        <f t="shared" si="27"/>
        <v>-10369.289999999999</v>
      </c>
      <c r="AD96" s="8">
        <f>IFERROR(AC96/AC444, "NA")</f>
        <v>-6.0288199651909194E-2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-1987.37</v>
      </c>
      <c r="C98" s="8">
        <f>IFERROR(B98/B444, "NA")</f>
        <v>-1.1253420272611623E-2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-1987.37</v>
      </c>
      <c r="I98" s="8">
        <f>IFERROR(H98/H444, "NA")</f>
        <v>0.2142897192432355</v>
      </c>
      <c r="J98" s="9"/>
      <c r="K98" s="7">
        <v>-1954.55</v>
      </c>
      <c r="L98" s="8">
        <f>IFERROR(K98/K444, "NA")</f>
        <v>-1.196648417097192E-2</v>
      </c>
      <c r="M98" s="9"/>
      <c r="N98" s="10">
        <f t="shared" si="25"/>
        <v>-32.819999999999936</v>
      </c>
      <c r="O98" s="8">
        <f>IFERROR(N98/N444, "NA")</f>
        <v>-2.4739824785957451E-3</v>
      </c>
      <c r="P98" s="9"/>
      <c r="Q98" s="7">
        <v>-9470.08</v>
      </c>
      <c r="R98" s="8">
        <f>IFERROR(Q98/Q444, "NA")</f>
        <v>-1.06147735731001E-2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-9470.08</v>
      </c>
      <c r="X98" s="8">
        <f>IFERROR(W98/W444, "NA")</f>
        <v>-0.10155676519448492</v>
      </c>
      <c r="Y98" s="9"/>
      <c r="Z98" s="7">
        <v>-9369.8799999999992</v>
      </c>
      <c r="AA98" s="8">
        <f>IFERROR(Z98/Z444, "NA")</f>
        <v>-1.3010740774832722E-2</v>
      </c>
      <c r="AB98" s="9"/>
      <c r="AC98" s="10">
        <f t="shared" si="27"/>
        <v>-100.20000000000073</v>
      </c>
      <c r="AD98" s="8">
        <f>IFERROR(AC98/AC444, "NA")</f>
        <v>-5.8257388935224557E-4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-425.87</v>
      </c>
      <c r="C100" s="8">
        <f>IFERROR(B100/B444, "NA")</f>
        <v>-2.4114755136170479E-3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-425.87</v>
      </c>
      <c r="I100" s="8">
        <f>IFERROR(H100/H444, "NA")</f>
        <v>4.5919764681018993E-2</v>
      </c>
      <c r="J100" s="9"/>
      <c r="K100" s="7">
        <v>-41.02</v>
      </c>
      <c r="L100" s="8">
        <f>IFERROR(K100/K444, "NA")</f>
        <v>-2.5113974095994894E-4</v>
      </c>
      <c r="M100" s="9"/>
      <c r="N100" s="10">
        <f t="shared" si="25"/>
        <v>-384.85</v>
      </c>
      <c r="O100" s="8">
        <f>IFERROR(N100/N444, "NA")</f>
        <v>-2.9010120563302082E-2</v>
      </c>
      <c r="P100" s="9"/>
      <c r="Q100" s="7">
        <v>-2514.39</v>
      </c>
      <c r="R100" s="8">
        <f>IFERROR(Q100/Q444, "NA")</f>
        <v>-2.8183162681273189E-3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-2514.39</v>
      </c>
      <c r="X100" s="8">
        <f>IFERROR(W100/W444, "NA")</f>
        <v>-2.6964219398079099E-2</v>
      </c>
      <c r="Y100" s="9"/>
      <c r="Z100" s="7">
        <v>-653.6</v>
      </c>
      <c r="AA100" s="8">
        <f>IFERROR(Z100/Z444, "NA")</f>
        <v>-9.0756980563578909E-4</v>
      </c>
      <c r="AB100" s="9"/>
      <c r="AC100" s="10">
        <f t="shared" si="27"/>
        <v>-1860.79</v>
      </c>
      <c r="AD100" s="8">
        <f>IFERROR(AC100/AC444, "NA")</f>
        <v>-1.0818838997682207E-2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-2080.83</v>
      </c>
      <c r="C102" s="8">
        <f>IFERROR(B102/B444, "NA")</f>
        <v>-1.1782634590367392E-2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-2080.83</v>
      </c>
      <c r="I102" s="8">
        <f>IFERROR(H102/H444, "NA")</f>
        <v>0.22436711658770223</v>
      </c>
      <c r="J102" s="9"/>
      <c r="K102" s="7">
        <v>-855.26</v>
      </c>
      <c r="L102" s="8">
        <f>IFERROR(K102/K444, "NA")</f>
        <v>-5.23622074240385E-3</v>
      </c>
      <c r="M102" s="9"/>
      <c r="N102" s="10">
        <f t="shared" si="25"/>
        <v>-1225.57</v>
      </c>
      <c r="O102" s="8">
        <f>IFERROR(N102/N444, "NA")</f>
        <v>-9.2383872830365421E-2</v>
      </c>
      <c r="P102" s="9"/>
      <c r="Q102" s="7">
        <v>-8425.31</v>
      </c>
      <c r="R102" s="8">
        <f>IFERROR(Q102/Q444, "NA")</f>
        <v>-9.443717258267724E-3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-8425.31</v>
      </c>
      <c r="X102" s="8">
        <f>IFERROR(W102/W444, "NA")</f>
        <v>-9.035269283477497E-2</v>
      </c>
      <c r="Y102" s="9"/>
      <c r="Z102" s="7">
        <v>-4313.13</v>
      </c>
      <c r="AA102" s="8">
        <f>IFERROR(Z102/Z444, "NA")</f>
        <v>-5.9890859176589522E-3</v>
      </c>
      <c r="AB102" s="9"/>
      <c r="AC102" s="10">
        <f t="shared" si="27"/>
        <v>-4112.1799999999994</v>
      </c>
      <c r="AD102" s="8">
        <f>IFERROR(AC102/AC444, "NA")</f>
        <v>-2.3908669623917158E-2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-709.42</v>
      </c>
      <c r="C104" s="8">
        <f>IFERROR(B104/B444, "NA")</f>
        <v>-4.01706849242775E-3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-709.42</v>
      </c>
      <c r="I104" s="8">
        <f>IFERROR(H104/H444, "NA")</f>
        <v>7.6493764435176206E-2</v>
      </c>
      <c r="J104" s="9"/>
      <c r="K104" s="7">
        <v>-301.95999999999998</v>
      </c>
      <c r="L104" s="8">
        <f>IFERROR(K104/K444, "NA")</f>
        <v>-1.8487117547602676E-3</v>
      </c>
      <c r="M104" s="9"/>
      <c r="N104" s="10">
        <f t="shared" si="25"/>
        <v>-407.46</v>
      </c>
      <c r="O104" s="8">
        <f>IFERROR(N104/N444, "NA")</f>
        <v>-3.0714469857666793E-2</v>
      </c>
      <c r="P104" s="9"/>
      <c r="Q104" s="7">
        <v>-3435.56</v>
      </c>
      <c r="R104" s="8">
        <f>IFERROR(Q104/Q444, "NA")</f>
        <v>-3.8508324635905694E-3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-3435.56</v>
      </c>
      <c r="X104" s="8">
        <f>IFERROR(W104/W444, "NA")</f>
        <v>-3.6842810222465341E-2</v>
      </c>
      <c r="Y104" s="9"/>
      <c r="Z104" s="7">
        <v>-2192.91</v>
      </c>
      <c r="AA104" s="8">
        <f>IFERROR(Z104/Z444, "NA")</f>
        <v>-3.045010560704985E-3</v>
      </c>
      <c r="AB104" s="9"/>
      <c r="AC104" s="10">
        <f t="shared" si="27"/>
        <v>-1242.6500000000001</v>
      </c>
      <c r="AD104" s="8">
        <f>IFERROR(AC104/AC444, "NA")</f>
        <v>-7.2249046267820628E-3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-75</v>
      </c>
      <c r="C106" s="8">
        <f>IFERROR(B106/B444, "NA")</f>
        <v>-4.2468514692577212E-4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-75</v>
      </c>
      <c r="I106" s="8">
        <f>IFERROR(H106/H444, "NA")</f>
        <v>8.0869334563984877E-3</v>
      </c>
      <c r="J106" s="9"/>
      <c r="K106" s="7">
        <v>-3050.44</v>
      </c>
      <c r="L106" s="8">
        <f>IFERROR(K106/K444, "NA")</f>
        <v>-1.8675931531298554E-2</v>
      </c>
      <c r="M106" s="9"/>
      <c r="N106" s="10">
        <f t="shared" si="25"/>
        <v>2975.44</v>
      </c>
      <c r="O106" s="8">
        <f>IFERROR(N106/N444, "NA")</f>
        <v>0.22428965344646368</v>
      </c>
      <c r="P106" s="9"/>
      <c r="Q106" s="7">
        <v>-1762.06</v>
      </c>
      <c r="R106" s="8">
        <f>IFERROR(Q106/Q444, "NA")</f>
        <v>-1.9750485658216999E-3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-1762.06</v>
      </c>
      <c r="X106" s="8">
        <f>IFERROR(W106/W444, "NA")</f>
        <v>-1.8896262088450584E-2</v>
      </c>
      <c r="Y106" s="9"/>
      <c r="Z106" s="7">
        <v>-8601.3799999999992</v>
      </c>
      <c r="AA106" s="8">
        <f>IFERROR(Z106/Z444, "NA")</f>
        <v>-1.1943624196449759E-2</v>
      </c>
      <c r="AB106" s="9"/>
      <c r="AC106" s="10">
        <f t="shared" si="27"/>
        <v>6839.32</v>
      </c>
      <c r="AD106" s="8">
        <f>IFERROR(AC106/AC444, "NA")</f>
        <v>3.9764563402440826E-2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-17.989999999999998</v>
      </c>
      <c r="L108" s="8">
        <f>IFERROR(K108/K444, "NA")</f>
        <v>-1.1014149048926086E-4</v>
      </c>
      <c r="M108" s="9"/>
      <c r="N108" s="10">
        <f t="shared" si="25"/>
        <v>17.989999999999998</v>
      </c>
      <c r="O108" s="8">
        <f>IFERROR(N108/N444, "NA")</f>
        <v>1.3560921630084563E-3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-50.58</v>
      </c>
      <c r="AA108" s="8">
        <f>IFERROR(Z108/Z444, "NA")</f>
        <v>-7.0233905705413422E-5</v>
      </c>
      <c r="AB108" s="9"/>
      <c r="AC108" s="10">
        <f t="shared" si="27"/>
        <v>50.58</v>
      </c>
      <c r="AD108" s="8">
        <f>IFERROR(AC108/AC444, "NA")</f>
        <v>2.9407771779876613E-4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-11.55</v>
      </c>
      <c r="AA111" s="8">
        <f>IFERROR(Z111/Z444, "NA")</f>
        <v>-1.6037991516360717E-5</v>
      </c>
      <c r="AB111" s="9"/>
      <c r="AC111" s="10">
        <f t="shared" si="27"/>
        <v>11.55</v>
      </c>
      <c r="AD111" s="8">
        <f>IFERROR(AC111/AC444, "NA")</f>
        <v>6.7152978263656561E-5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-7009.74</v>
      </c>
      <c r="C118" s="15">
        <f>IFERROR(B118/B444, "NA")</f>
        <v>-3.9692432824152822E-2</v>
      </c>
      <c r="D118" s="2"/>
      <c r="E118" s="14">
        <f>IFERROR(E94+E95+E96+E97+E98+E99+E100+E101+E102+E103+E104+E105+E106+E107+E108+E109+E110+E111+E112+E113+E114+E115+E116+E117, "NA")</f>
        <v>-6505.65</v>
      </c>
      <c r="F118" s="15">
        <f>IFERROR(E118/E444, "NA")</f>
        <v>-3.5000013987846926E-2</v>
      </c>
      <c r="G118" s="2"/>
      <c r="H118" s="14">
        <f t="shared" si="24"/>
        <v>-504.09000000000015</v>
      </c>
      <c r="I118" s="15">
        <f>IFERROR(H118/H444, "NA")</f>
        <v>5.4353897147145537E-2</v>
      </c>
      <c r="J118" s="2"/>
      <c r="K118" s="14">
        <f>IFERROR(K94+K95+K96+K97+K98+K99+K100+K101+K102+K103+K104+K105+K106+K107+K108+K109+K110+K111+K112+K113+K114+K115+K116+K117, "NA")</f>
        <v>-6322.57</v>
      </c>
      <c r="L118" s="15">
        <f>IFERROR(K118/K444, "NA")</f>
        <v>-3.8709131935669043E-2</v>
      </c>
      <c r="M118" s="2"/>
      <c r="N118" s="14">
        <f t="shared" si="25"/>
        <v>-687.17000000000007</v>
      </c>
      <c r="O118" s="15">
        <f>IFERROR(N118/N444, "NA")</f>
        <v>-5.1799102371012845E-2</v>
      </c>
      <c r="P118" s="2"/>
      <c r="Q118" s="14">
        <f>IFERROR(Q94+Q95+Q96+Q97+Q98+Q99+Q100+Q101+Q102+Q103+Q104+Q105+Q106+Q107+Q108+Q109+Q110+Q111+Q112+Q113+Q114+Q115+Q116+Q117, "NA")</f>
        <v>-36540.799999999996</v>
      </c>
      <c r="R118" s="15">
        <f>IFERROR(Q118/Q444, "NA")</f>
        <v>-4.0957660144363736E-2</v>
      </c>
      <c r="S118" s="2"/>
      <c r="T118" s="14">
        <f>IFERROR(T94+T95+T96+T97+T98+T99+T100+T101+T102+T103+T104+T105+T106+T107+T108+T109+T110+T111+T112+T113+T114+T115+T116+T117, "NA")</f>
        <v>-27961.89</v>
      </c>
      <c r="U118" s="15">
        <f>IFERROR(T118/T444, "NA")</f>
        <v>-3.499999705849665E-2</v>
      </c>
      <c r="V118" s="2"/>
      <c r="W118" s="14">
        <f t="shared" si="26"/>
        <v>-8578.9099999999962</v>
      </c>
      <c r="X118" s="15">
        <f>IFERROR(W118/W444, "NA")</f>
        <v>-9.1999893189351964E-2</v>
      </c>
      <c r="Y118" s="2"/>
      <c r="Z118" s="14">
        <f>IFERROR(Z94+Z95+Z96+Z97+Z98+Z99+Z100+Z101+Z102+Z103+Z104+Z105+Z106+Z107+Z108+Z109+Z110+Z111+Z112+Z113+Z114+Z115+Z116+Z117, "NA")</f>
        <v>-25757.140000000003</v>
      </c>
      <c r="AA118" s="15">
        <f>IFERROR(Z118/Z444, "NA")</f>
        <v>-3.5765609766728601E-2</v>
      </c>
      <c r="AB118" s="2"/>
      <c r="AC118" s="14">
        <f t="shared" si="27"/>
        <v>-10783.659999999993</v>
      </c>
      <c r="AD118" s="15">
        <f>IFERROR(AC118/AC444, "NA")</f>
        <v>-6.2697392691139581E-2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176601.42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185875.64000000004</v>
      </c>
      <c r="F122" s="15">
        <f>IFERROR(E122/E444, "NA")</f>
        <v>1.0000000000000002</v>
      </c>
      <c r="G122" s="2"/>
      <c r="H122" s="14">
        <f t="shared" si="24"/>
        <v>-9274.2200000000303</v>
      </c>
      <c r="I122" s="15">
        <f>IFERROR(H122/H444, "NA")</f>
        <v>1.0000000000000031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163335.36000000002</v>
      </c>
      <c r="L122" s="15">
        <f>IFERROR(K122/K444, "NA")</f>
        <v>1.0000000000000002</v>
      </c>
      <c r="M122" s="2"/>
      <c r="N122" s="14">
        <f t="shared" si="25"/>
        <v>13266.059999999998</v>
      </c>
      <c r="O122" s="15">
        <f>IFERROR(N122/N444, "NA")</f>
        <v>0.99999999999999778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892160.34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798911.21</v>
      </c>
      <c r="U122" s="15">
        <f>IFERROR(T122/T444, "NA")</f>
        <v>1</v>
      </c>
      <c r="V122" s="2"/>
      <c r="W122" s="14">
        <f t="shared" si="26"/>
        <v>93249.13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720164.98999999987</v>
      </c>
      <c r="AA122" s="15">
        <f>IFERROR(Z122/Z444, "NA")</f>
        <v>0.99999999999999989</v>
      </c>
      <c r="AB122" s="2"/>
      <c r="AC122" s="14">
        <f t="shared" si="27"/>
        <v>171995.35000000009</v>
      </c>
      <c r="AD122" s="15">
        <f>IFERROR(AC122/AC444, "NA")</f>
        <v>1.0000000000000007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176601.42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185875.64000000004</v>
      </c>
      <c r="F124" s="15">
        <f>IFERROR(E124/E444, "NA")</f>
        <v>1.0000000000000002</v>
      </c>
      <c r="G124" s="2"/>
      <c r="H124" s="14">
        <f t="shared" si="24"/>
        <v>-9274.2200000000303</v>
      </c>
      <c r="I124" s="15">
        <f>IFERROR(H124/H444, "NA")</f>
        <v>1.0000000000000031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163335.36000000002</v>
      </c>
      <c r="L124" s="15">
        <f>IFERROR(K124/K444, "NA")</f>
        <v>1.0000000000000002</v>
      </c>
      <c r="M124" s="2"/>
      <c r="N124" s="14">
        <f t="shared" si="25"/>
        <v>13266.059999999998</v>
      </c>
      <c r="O124" s="15">
        <f>IFERROR(N124/N444, "NA")</f>
        <v>0.99999999999999778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892160.34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798911.21</v>
      </c>
      <c r="U124" s="15">
        <f>IFERROR(T124/T444, "NA")</f>
        <v>1</v>
      </c>
      <c r="V124" s="2"/>
      <c r="W124" s="14">
        <f t="shared" si="26"/>
        <v>93249.13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720164.98999999987</v>
      </c>
      <c r="AA124" s="15">
        <f>IFERROR(Z124/Z444, "NA")</f>
        <v>0.99999999999999989</v>
      </c>
      <c r="AB124" s="2"/>
      <c r="AC124" s="14">
        <f t="shared" si="27"/>
        <v>171995.35000000009</v>
      </c>
      <c r="AD124" s="15">
        <f>IFERROR(AC124/AC444, "NA")</f>
        <v>1.0000000000000007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40706.769999999997</v>
      </c>
      <c r="F129" s="8">
        <f>IFERROR(E129/E444, "NA")</f>
        <v>0.21900002603891502</v>
      </c>
      <c r="G129" s="9"/>
      <c r="H129" s="10">
        <f t="shared" ref="H129:H141" si="28">IFERROR(-(B129-E129), "NA")</f>
        <v>40706.769999999997</v>
      </c>
      <c r="I129" s="8">
        <f>IFERROR(H129/H444, "NA")</f>
        <v>-4.3892392028655767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179771.43</v>
      </c>
      <c r="U129" s="8">
        <f>IFERROR(T129/T444, "NA")</f>
        <v>0.22502053763896993</v>
      </c>
      <c r="V129" s="9"/>
      <c r="W129" s="10">
        <f t="shared" ref="W129:W141" si="30">IFERROR(-(Q129-T129), "NA")</f>
        <v>179771.43</v>
      </c>
      <c r="X129" s="8">
        <f>IFERROR(W129/W444, "NA")</f>
        <v>1.9278617398360711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9346.66</v>
      </c>
      <c r="C130" s="8">
        <f>IFERROR(B130/B444, "NA")</f>
        <v>5.2925169004869835E-2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-9346.66</v>
      </c>
      <c r="I130" s="8">
        <f>IFERROR(H130/H444, "NA")</f>
        <v>1.0078108994610866</v>
      </c>
      <c r="J130" s="9"/>
      <c r="K130" s="7">
        <v>9776.2099999999991</v>
      </c>
      <c r="L130" s="8">
        <f>IFERROR(K130/K444, "NA")</f>
        <v>5.9853604265481766E-2</v>
      </c>
      <c r="M130" s="9"/>
      <c r="N130" s="10">
        <f t="shared" si="29"/>
        <v>429.54999999999927</v>
      </c>
      <c r="O130" s="8">
        <f>IFERROR(N130/N444, "NA")</f>
        <v>3.2379621379671007E-2</v>
      </c>
      <c r="P130" s="9"/>
      <c r="Q130" s="7">
        <v>48058.51</v>
      </c>
      <c r="R130" s="8">
        <f>IFERROR(Q130/Q444, "NA")</f>
        <v>5.3867570486264837E-2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-48058.51</v>
      </c>
      <c r="X130" s="8">
        <f>IFERROR(W130/W444, "NA")</f>
        <v>-0.51537756974247373</v>
      </c>
      <c r="Y130" s="9"/>
      <c r="Z130" s="7">
        <v>44889.29</v>
      </c>
      <c r="AA130" s="8">
        <f>IFERROR(Z130/Z444, "NA")</f>
        <v>6.2331952571035146E-2</v>
      </c>
      <c r="AB130" s="9"/>
      <c r="AC130" s="10">
        <f t="shared" si="31"/>
        <v>-3169.2200000000012</v>
      </c>
      <c r="AD130" s="8">
        <f>IFERROR(AC130/AC444, "NA")</f>
        <v>-1.8426195824480147E-2</v>
      </c>
    </row>
    <row r="131" spans="1:30" ht="16.5" customHeight="1" x14ac:dyDescent="0.45">
      <c r="A131" s="12" t="s">
        <v>123</v>
      </c>
      <c r="B131" s="7">
        <v>4702.2700000000004</v>
      </c>
      <c r="C131" s="8">
        <f>IFERROR(B131/B444, "NA")</f>
        <v>2.6626456344462011E-2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-4702.2700000000004</v>
      </c>
      <c r="I131" s="8">
        <f>IFERROR(H131/H444, "NA")</f>
        <v>0.50702592778691902</v>
      </c>
      <c r="J131" s="9"/>
      <c r="K131" s="7">
        <v>4532.95</v>
      </c>
      <c r="L131" s="8">
        <f>IFERROR(K131/K444, "NA")</f>
        <v>2.775241074559728E-2</v>
      </c>
      <c r="M131" s="9"/>
      <c r="N131" s="10">
        <f t="shared" si="29"/>
        <v>-169.32000000000062</v>
      </c>
      <c r="O131" s="8">
        <f>IFERROR(N131/N444, "NA")</f>
        <v>-1.2763397723212489E-2</v>
      </c>
      <c r="P131" s="9"/>
      <c r="Q131" s="7">
        <v>24869.66</v>
      </c>
      <c r="R131" s="8">
        <f>IFERROR(Q131/Q444, "NA")</f>
        <v>2.7875773989236061E-2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-24869.66</v>
      </c>
      <c r="X131" s="8">
        <f>IFERROR(W131/W444, "NA")</f>
        <v>-0.2667012550143899</v>
      </c>
      <c r="Y131" s="9"/>
      <c r="Z131" s="7">
        <v>20875.22</v>
      </c>
      <c r="AA131" s="8">
        <f>IFERROR(Z131/Z444, "NA")</f>
        <v>2.8986718723996847E-2</v>
      </c>
      <c r="AB131" s="9"/>
      <c r="AC131" s="10">
        <f t="shared" si="31"/>
        <v>-3994.4399999999987</v>
      </c>
      <c r="AD131" s="8">
        <f>IFERROR(AC131/AC444, "NA")</f>
        <v>-2.3224116233374909E-2</v>
      </c>
    </row>
    <row r="132" spans="1:30" ht="16.5" customHeight="1" x14ac:dyDescent="0.45">
      <c r="A132" s="12" t="s">
        <v>124</v>
      </c>
      <c r="B132" s="7">
        <v>8104.31</v>
      </c>
      <c r="C132" s="8">
        <f>IFERROR(B132/B444, "NA")</f>
        <v>4.5890401107760062E-2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-8104.31</v>
      </c>
      <c r="I132" s="8">
        <f>IFERROR(H132/H444, "NA")</f>
        <v>0.8738535424003312</v>
      </c>
      <c r="J132" s="9"/>
      <c r="K132" s="7">
        <v>5578.92</v>
      </c>
      <c r="L132" s="8">
        <f>IFERROR(K132/K444, "NA")</f>
        <v>3.4156229245155489E-2</v>
      </c>
      <c r="M132" s="9"/>
      <c r="N132" s="10">
        <f t="shared" si="29"/>
        <v>-2525.3900000000003</v>
      </c>
      <c r="O132" s="8">
        <f>IFERROR(N132/N444, "NA")</f>
        <v>-0.19036473527181358</v>
      </c>
      <c r="P132" s="9"/>
      <c r="Q132" s="7">
        <v>34693.61</v>
      </c>
      <c r="R132" s="8">
        <f>IFERROR(Q132/Q444, "NA")</f>
        <v>3.888719151088918E-2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-34693.61</v>
      </c>
      <c r="X132" s="8">
        <f>IFERROR(W132/W444, "NA")</f>
        <v>-0.3720529081611807</v>
      </c>
      <c r="Y132" s="9"/>
      <c r="Z132" s="7">
        <v>24791.78</v>
      </c>
      <c r="AA132" s="8">
        <f>IFERROR(Z132/Z444, "NA")</f>
        <v>3.4425139161513532E-2</v>
      </c>
      <c r="AB132" s="9"/>
      <c r="AC132" s="10">
        <f t="shared" si="31"/>
        <v>-9901.8300000000017</v>
      </c>
      <c r="AD132" s="8">
        <f>IFERROR(AC132/AC444, "NA")</f>
        <v>-5.7570335477092859E-2</v>
      </c>
    </row>
    <row r="133" spans="1:30" ht="16.5" customHeight="1" x14ac:dyDescent="0.45">
      <c r="A133" s="12" t="s">
        <v>125</v>
      </c>
      <c r="B133" s="7">
        <v>3869.41</v>
      </c>
      <c r="C133" s="8">
        <f>IFERROR(B133/B444, "NA")</f>
        <v>2.1910412724880691E-2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-3869.41</v>
      </c>
      <c r="I133" s="8">
        <f>IFERROR(H133/H444, "NA")</f>
        <v>0.41722214914030498</v>
      </c>
      <c r="J133" s="9"/>
      <c r="K133" s="7">
        <v>3197.23</v>
      </c>
      <c r="L133" s="8">
        <f>IFERROR(K133/K444, "NA")</f>
        <v>1.957463466575762E-2</v>
      </c>
      <c r="M133" s="9"/>
      <c r="N133" s="10">
        <f t="shared" si="29"/>
        <v>-672.17999999999984</v>
      </c>
      <c r="O133" s="8">
        <f>IFERROR(N133/N444, "NA")</f>
        <v>-5.0669151202391551E-2</v>
      </c>
      <c r="P133" s="9"/>
      <c r="Q133" s="7">
        <v>19012.41</v>
      </c>
      <c r="R133" s="8">
        <f>IFERROR(Q133/Q444, "NA")</f>
        <v>2.1310530347045019E-2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-19012.41</v>
      </c>
      <c r="X133" s="8">
        <f>IFERROR(W133/W444, "NA")</f>
        <v>-0.20388833654533828</v>
      </c>
      <c r="Y133" s="9"/>
      <c r="Z133" s="7">
        <v>14130.06</v>
      </c>
      <c r="AA133" s="8">
        <f>IFERROR(Z133/Z444, "NA")</f>
        <v>1.9620587221269949E-2</v>
      </c>
      <c r="AB133" s="9"/>
      <c r="AC133" s="10">
        <f t="shared" si="31"/>
        <v>-4882.3500000000004</v>
      </c>
      <c r="AD133" s="8">
        <f>IFERROR(AC133/AC444, "NA")</f>
        <v>-2.8386523240308537E-2</v>
      </c>
    </row>
    <row r="134" spans="1:30" ht="16.5" customHeight="1" x14ac:dyDescent="0.45">
      <c r="A134" s="12" t="s">
        <v>126</v>
      </c>
      <c r="B134" s="7">
        <v>1502.61</v>
      </c>
      <c r="C134" s="8">
        <f>IFERROR(B134/B444, "NA")</f>
        <v>8.5084819816284591E-3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-1502.61</v>
      </c>
      <c r="I134" s="8">
        <f>IFERROR(H134/H444, "NA")</f>
        <v>0.16202009441225243</v>
      </c>
      <c r="J134" s="9"/>
      <c r="K134" s="7">
        <v>1503.95</v>
      </c>
      <c r="L134" s="8">
        <f>IFERROR(K134/K444, "NA")</f>
        <v>9.2077428916800385E-3</v>
      </c>
      <c r="M134" s="9"/>
      <c r="N134" s="10">
        <f t="shared" si="29"/>
        <v>1.3400000000001455</v>
      </c>
      <c r="O134" s="8">
        <f>IFERROR(N134/N444, "NA")</f>
        <v>1.0100964415961807E-4</v>
      </c>
      <c r="P134" s="9"/>
      <c r="Q134" s="7">
        <v>7401.56</v>
      </c>
      <c r="R134" s="8">
        <f>IFERROR(Q134/Q444, "NA")</f>
        <v>8.2962217307261162E-3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-7401.56</v>
      </c>
      <c r="X134" s="8">
        <f>IFERROR(W134/W444, "NA")</f>
        <v>-7.9374038127755189E-2</v>
      </c>
      <c r="Y134" s="9"/>
      <c r="Z134" s="7">
        <v>7262.61</v>
      </c>
      <c r="AA134" s="8">
        <f>IFERROR(Z134/Z444, "NA")</f>
        <v>1.0084647408366796E-2</v>
      </c>
      <c r="AB134" s="9"/>
      <c r="AC134" s="10">
        <f t="shared" si="31"/>
        <v>-138.95000000000073</v>
      </c>
      <c r="AD134" s="8">
        <f>IFERROR(AC134/AC444, "NA")</f>
        <v>-8.0787067789914527E-4</v>
      </c>
    </row>
    <row r="135" spans="1:30" ht="16.5" customHeight="1" x14ac:dyDescent="0.45">
      <c r="A135" s="12" t="s">
        <v>127</v>
      </c>
      <c r="B135" s="7">
        <v>1575.54</v>
      </c>
      <c r="C135" s="8">
        <f>IFERROR(B135/B444, "NA")</f>
        <v>8.9214458184990811E-3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-1575.54</v>
      </c>
      <c r="I135" s="8">
        <f>IFERROR(H135/H444, "NA")</f>
        <v>0.16988382850525433</v>
      </c>
      <c r="J135" s="9"/>
      <c r="K135" s="7">
        <v>1606.44</v>
      </c>
      <c r="L135" s="8">
        <f>IFERROR(K135/K444, "NA")</f>
        <v>9.8352249016991806E-3</v>
      </c>
      <c r="M135" s="9"/>
      <c r="N135" s="10">
        <f t="shared" si="29"/>
        <v>30.900000000000091</v>
      </c>
      <c r="O135" s="8">
        <f>IFERROR(N135/N444, "NA")</f>
        <v>2.3292522421879615E-3</v>
      </c>
      <c r="P135" s="9"/>
      <c r="Q135" s="7">
        <v>8362.9699999999993</v>
      </c>
      <c r="R135" s="8">
        <f>IFERROR(Q135/Q444, "NA")</f>
        <v>9.3738419262169841E-3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-8362.9699999999993</v>
      </c>
      <c r="X135" s="8">
        <f>IFERROR(W135/W444, "NA")</f>
        <v>-8.9684161128366552E-2</v>
      </c>
      <c r="Y135" s="9"/>
      <c r="Z135" s="7">
        <v>8151.82</v>
      </c>
      <c r="AA135" s="8">
        <f>IFERROR(Z135/Z444, "NA")</f>
        <v>1.1319378355229403E-2</v>
      </c>
      <c r="AB135" s="9"/>
      <c r="AC135" s="10">
        <f t="shared" si="31"/>
        <v>-211.14999999999964</v>
      </c>
      <c r="AD135" s="8">
        <f>IFERROR(AC135/AC444, "NA")</f>
        <v>-1.2276494684303947E-3</v>
      </c>
    </row>
    <row r="136" spans="1:30" ht="16.5" customHeight="1" x14ac:dyDescent="0.45">
      <c r="A136" s="12" t="s">
        <v>128</v>
      </c>
      <c r="B136" s="7">
        <v>947.37</v>
      </c>
      <c r="C136" s="8">
        <f>IFERROR(B136/B444, "NA")</f>
        <v>5.3644529019075838E-3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-947.37</v>
      </c>
      <c r="I136" s="8">
        <f>IFERROR(H136/H444, "NA")</f>
        <v>0.10215090864784315</v>
      </c>
      <c r="J136" s="9"/>
      <c r="K136" s="7">
        <v>1119.82</v>
      </c>
      <c r="L136" s="8">
        <f>IFERROR(K136/K444, "NA")</f>
        <v>6.8559557465082887E-3</v>
      </c>
      <c r="M136" s="9"/>
      <c r="N136" s="10">
        <f t="shared" si="29"/>
        <v>172.44999999999993</v>
      </c>
      <c r="O136" s="8">
        <f>IFERROR(N136/N444, "NA")</f>
        <v>1.2999338160689728E-2</v>
      </c>
      <c r="P136" s="9"/>
      <c r="Q136" s="7">
        <v>6328.65</v>
      </c>
      <c r="R136" s="8">
        <f>IFERROR(Q136/Q444, "NA")</f>
        <v>7.0936240003674671E-3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-6328.65</v>
      </c>
      <c r="X136" s="8">
        <f>IFERROR(W136/W444, "NA")</f>
        <v>-6.7868193515585609E-2</v>
      </c>
      <c r="Y136" s="9"/>
      <c r="Z136" s="7">
        <v>5468.7</v>
      </c>
      <c r="AA136" s="8">
        <f>IFERROR(Z136/Z444, "NA")</f>
        <v>7.5936765545906362E-3</v>
      </c>
      <c r="AB136" s="9"/>
      <c r="AC136" s="10">
        <f t="shared" si="31"/>
        <v>-859.94999999999982</v>
      </c>
      <c r="AD136" s="8">
        <f>IFERROR(AC136/AC444, "NA")</f>
        <v>-4.9998444725395186E-3</v>
      </c>
    </row>
    <row r="137" spans="1:30" ht="16.5" customHeight="1" x14ac:dyDescent="0.45">
      <c r="A137" s="12" t="s">
        <v>129</v>
      </c>
      <c r="B137" s="7">
        <v>826.3</v>
      </c>
      <c r="C137" s="8">
        <f>IFERROR(B137/B444, "NA")</f>
        <v>4.6788978253968737E-3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-826.3</v>
      </c>
      <c r="I137" s="8">
        <f>IFERROR(H137/H444, "NA")</f>
        <v>8.9096441533627613E-2</v>
      </c>
      <c r="J137" s="9"/>
      <c r="K137" s="7">
        <v>657.14</v>
      </c>
      <c r="L137" s="8">
        <f>IFERROR(K137/K444, "NA")</f>
        <v>4.0232562012291768E-3</v>
      </c>
      <c r="M137" s="9"/>
      <c r="N137" s="10">
        <f t="shared" si="29"/>
        <v>-169.15999999999997</v>
      </c>
      <c r="O137" s="8">
        <f>IFERROR(N137/N444, "NA")</f>
        <v>-1.2751336870178457E-2</v>
      </c>
      <c r="P137" s="9"/>
      <c r="Q137" s="7">
        <v>3986.58</v>
      </c>
      <c r="R137" s="8">
        <f>IFERROR(Q137/Q444, "NA")</f>
        <v>4.4684568695353578E-3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-3986.58</v>
      </c>
      <c r="X137" s="8">
        <f>IFERROR(W137/W444, "NA")</f>
        <v>-4.2751927015297619E-2</v>
      </c>
      <c r="Y137" s="9"/>
      <c r="Z137" s="7">
        <v>3335.67</v>
      </c>
      <c r="AA137" s="8">
        <f>IFERROR(Z137/Z444, "NA")</f>
        <v>4.6318136070457967E-3</v>
      </c>
      <c r="AB137" s="9"/>
      <c r="AC137" s="10">
        <f t="shared" si="31"/>
        <v>-650.90999999999985</v>
      </c>
      <c r="AD137" s="8">
        <f>IFERROR(AC137/AC444, "NA")</f>
        <v>-3.7844627776274179E-3</v>
      </c>
    </row>
    <row r="138" spans="1:30" ht="16.5" customHeight="1" x14ac:dyDescent="0.45">
      <c r="A138" s="12" t="s">
        <v>130</v>
      </c>
      <c r="B138" s="7">
        <v>10632.73</v>
      </c>
      <c r="C138" s="8">
        <f>IFERROR(B138/B444, "NA")</f>
        <v>6.0207500030294202E-2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-10632.73</v>
      </c>
      <c r="I138" s="8">
        <f>IFERROR(H138/H444, "NA")</f>
        <v>1.1464823995980253</v>
      </c>
      <c r="J138" s="9"/>
      <c r="K138" s="7">
        <v>8672.48</v>
      </c>
      <c r="L138" s="8">
        <f>IFERROR(K138/K444, "NA")</f>
        <v>5.3096157500739587E-2</v>
      </c>
      <c r="M138" s="9"/>
      <c r="N138" s="10">
        <f t="shared" si="29"/>
        <v>-1960.25</v>
      </c>
      <c r="O138" s="8">
        <f>IFERROR(N138/N444, "NA")</f>
        <v>-0.14776429474915656</v>
      </c>
      <c r="P138" s="9"/>
      <c r="Q138" s="7">
        <v>48828.639999999999</v>
      </c>
      <c r="R138" s="8">
        <f>IFERROR(Q138/Q444, "NA")</f>
        <v>5.473078975915921E-2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-48828.639999999999</v>
      </c>
      <c r="X138" s="8">
        <f>IFERROR(W138/W444, "NA")</f>
        <v>-0.5236364135515259</v>
      </c>
      <c r="Y138" s="9"/>
      <c r="Z138" s="7">
        <v>37133.980000000003</v>
      </c>
      <c r="AA138" s="8">
        <f>IFERROR(Z138/Z444, "NA")</f>
        <v>5.1563156381706367E-2</v>
      </c>
      <c r="AB138" s="9"/>
      <c r="AC138" s="10">
        <f t="shared" si="31"/>
        <v>-11694.659999999996</v>
      </c>
      <c r="AD138" s="8">
        <f>IFERROR(AC138/AC444, "NA")</f>
        <v>-6.7994047513493805E-2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41507.199999999997</v>
      </c>
      <c r="C141" s="15">
        <f>IFERROR(B141/B444, "NA")</f>
        <v>0.23503321773969876</v>
      </c>
      <c r="D141" s="2"/>
      <c r="E141" s="14">
        <f>IFERROR(E129+E130+E131+E132+E133+E134+E135+E136+E137+E138+E139+E140, "NA")</f>
        <v>40706.769999999997</v>
      </c>
      <c r="F141" s="15">
        <f>IFERROR(E141/E444, "NA")</f>
        <v>0.21900002603891502</v>
      </c>
      <c r="G141" s="2"/>
      <c r="H141" s="14">
        <f t="shared" si="28"/>
        <v>-800.43000000000029</v>
      </c>
      <c r="I141" s="15">
        <f>IFERROR(H141/H444, "NA")</f>
        <v>8.6306988620067263E-2</v>
      </c>
      <c r="J141" s="2"/>
      <c r="K141" s="14">
        <f>IFERROR(K129+K130+K131+K132+K133+K134+K135+K136+K137+K138+K139+K140, "NA")</f>
        <v>36645.14</v>
      </c>
      <c r="L141" s="15">
        <f>IFERROR(K141/K444, "NA")</f>
        <v>0.22435521616384843</v>
      </c>
      <c r="M141" s="2"/>
      <c r="N141" s="14">
        <f t="shared" si="29"/>
        <v>-4862.0599999999977</v>
      </c>
      <c r="O141" s="15">
        <f>IFERROR(N141/N444, "NA")</f>
        <v>-0.36650369439004404</v>
      </c>
      <c r="P141" s="2"/>
      <c r="Q141" s="14">
        <f>IFERROR(Q129+Q130+Q131+Q132+Q133+Q134+Q135+Q136+Q137+Q138+Q139+Q140, "NA")</f>
        <v>201542.58999999997</v>
      </c>
      <c r="R141" s="15">
        <f>IFERROR(Q141/Q444, "NA")</f>
        <v>0.22590400061944019</v>
      </c>
      <c r="S141" s="2"/>
      <c r="T141" s="14">
        <f>IFERROR(T129+T130+T131+T132+T133+T134+T135+T136+T137+T138+T139+T140, "NA")</f>
        <v>179771.43</v>
      </c>
      <c r="U141" s="15">
        <f>IFERROR(T141/T444, "NA")</f>
        <v>0.22502053763896993</v>
      </c>
      <c r="V141" s="2"/>
      <c r="W141" s="14">
        <f t="shared" si="30"/>
        <v>-21771.159999999974</v>
      </c>
      <c r="X141" s="15">
        <f>IFERROR(W141/W444, "NA")</f>
        <v>-0.23347306296584186</v>
      </c>
      <c r="Y141" s="2"/>
      <c r="Z141" s="14">
        <f>IFERROR(Z129+Z130+Z131+Z132+Z133+Z134+Z135+Z136+Z137+Z138+Z139+Z140, "NA")</f>
        <v>166039.13</v>
      </c>
      <c r="AA141" s="15">
        <f>IFERROR(Z141/Z444, "NA")</f>
        <v>0.23055706998475448</v>
      </c>
      <c r="AB141" s="2"/>
      <c r="AC141" s="14">
        <f t="shared" si="31"/>
        <v>-35503.459999999963</v>
      </c>
      <c r="AD141" s="15">
        <f>IFERROR(AC141/AC444, "NA")</f>
        <v>-0.20642104568524652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2169.75</v>
      </c>
      <c r="C144" s="8">
        <f>IFERROR(B144/B444, "NA")</f>
        <v>1.2286141300562587E-2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-2169.75</v>
      </c>
      <c r="I144" s="8">
        <f>IFERROR(H144/H444, "NA")</f>
        <v>0.23395498489360828</v>
      </c>
      <c r="J144" s="9"/>
      <c r="K144" s="7">
        <v>1796.25</v>
      </c>
      <c r="L144" s="8">
        <f>IFERROR(K144/K444, "NA")</f>
        <v>1.0997312523142571E-2</v>
      </c>
      <c r="M144" s="9"/>
      <c r="N144" s="10">
        <f t="shared" si="33"/>
        <v>-373.5</v>
      </c>
      <c r="O144" s="8">
        <f>IFERROR(N144/N444, "NA")</f>
        <v>-2.8154553801203918E-2</v>
      </c>
      <c r="P144" s="9"/>
      <c r="Q144" s="7">
        <v>8395.69</v>
      </c>
      <c r="R144" s="8">
        <f>IFERROR(Q144/Q444, "NA")</f>
        <v>9.4105169481082298E-3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-8395.69</v>
      </c>
      <c r="X144" s="8">
        <f>IFERROR(W144/W444, "NA")</f>
        <v>-9.0035049120565522E-2</v>
      </c>
      <c r="Y144" s="9"/>
      <c r="Z144" s="7">
        <v>6074.33</v>
      </c>
      <c r="AA144" s="8">
        <f>IFERROR(Z144/Z444, "NA")</f>
        <v>8.4346366240325016E-3</v>
      </c>
      <c r="AB144" s="9"/>
      <c r="AC144" s="10">
        <f t="shared" si="35"/>
        <v>-2321.3600000000006</v>
      </c>
      <c r="AD144" s="8">
        <f>IFERROR(AC144/AC444, "NA")</f>
        <v>-1.3496643949967257E-2</v>
      </c>
    </row>
    <row r="145" spans="1:30" ht="16.5" customHeight="1" x14ac:dyDescent="0.45">
      <c r="A145" s="12" t="s">
        <v>136</v>
      </c>
      <c r="B145" s="7">
        <v>1413.78</v>
      </c>
      <c r="C145" s="8">
        <f>IFERROR(B145/B444, "NA")</f>
        <v>8.0054848936095754E-3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-1413.78</v>
      </c>
      <c r="I145" s="8">
        <f>IFERROR(H145/H444, "NA")</f>
        <v>0.15244193042649407</v>
      </c>
      <c r="J145" s="9"/>
      <c r="K145" s="7">
        <v>200.94</v>
      </c>
      <c r="L145" s="8">
        <f>IFERROR(K145/K444, "NA")</f>
        <v>1.2302296330690427E-3</v>
      </c>
      <c r="M145" s="9"/>
      <c r="N145" s="10">
        <f t="shared" si="33"/>
        <v>-1212.8399999999999</v>
      </c>
      <c r="O145" s="8">
        <f>IFERROR(N145/N444, "NA")</f>
        <v>-9.1424281210849154E-2</v>
      </c>
      <c r="P145" s="9"/>
      <c r="Q145" s="7">
        <v>482.4</v>
      </c>
      <c r="R145" s="8">
        <f>IFERROR(Q145/Q444, "NA")</f>
        <v>5.4070998045037508E-4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-482.4</v>
      </c>
      <c r="X145" s="8">
        <f>IFERROR(W145/W444, "NA")</f>
        <v>-5.1732386135934991E-3</v>
      </c>
      <c r="Y145" s="9"/>
      <c r="Z145" s="7">
        <v>535.1</v>
      </c>
      <c r="AA145" s="8">
        <f>IFERROR(Z145/Z444, "NA")</f>
        <v>7.4302417839001034E-4</v>
      </c>
      <c r="AB145" s="9"/>
      <c r="AC145" s="10">
        <f t="shared" si="35"/>
        <v>52.700000000000045</v>
      </c>
      <c r="AD145" s="8">
        <f>IFERROR(AC145/AC444, "NA")</f>
        <v>3.0640363242378387E-4</v>
      </c>
    </row>
    <row r="146" spans="1:30" ht="16.5" customHeight="1" x14ac:dyDescent="0.45">
      <c r="A146" s="12" t="s">
        <v>137</v>
      </c>
      <c r="B146" s="7">
        <v>190.03</v>
      </c>
      <c r="C146" s="8">
        <f>IFERROR(B146/B444, "NA")</f>
        <v>1.0760389129373931E-3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-190.03</v>
      </c>
      <c r="I146" s="8">
        <f>IFERROR(H146/H444, "NA")</f>
        <v>2.0490132862925396E-2</v>
      </c>
      <c r="J146" s="9"/>
      <c r="K146" s="7">
        <v>2367.6999999999998</v>
      </c>
      <c r="L146" s="8">
        <f>IFERROR(K146/K444, "NA")</f>
        <v>1.4495942580957363E-2</v>
      </c>
      <c r="M146" s="9"/>
      <c r="N146" s="10">
        <f t="shared" si="33"/>
        <v>2177.6699999999996</v>
      </c>
      <c r="O146" s="8">
        <f>IFERROR(N146/N444, "NA")</f>
        <v>0.16415348641571012</v>
      </c>
      <c r="P146" s="9"/>
      <c r="Q146" s="7">
        <v>1049.54</v>
      </c>
      <c r="R146" s="8">
        <f>IFERROR(Q146/Q444, "NA")</f>
        <v>1.1764028874002627E-3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-1049.54</v>
      </c>
      <c r="X146" s="8">
        <f>IFERROR(W146/W444, "NA")</f>
        <v>-1.1255225651971229E-2</v>
      </c>
      <c r="Y146" s="9"/>
      <c r="Z146" s="7">
        <v>2390.09</v>
      </c>
      <c r="AA146" s="8">
        <f>IFERROR(Z146/Z444, "NA")</f>
        <v>3.3188089301591848E-3</v>
      </c>
      <c r="AB146" s="9"/>
      <c r="AC146" s="10">
        <f t="shared" si="35"/>
        <v>1340.5500000000002</v>
      </c>
      <c r="AD146" s="8">
        <f>IFERROR(AC146/AC444, "NA")</f>
        <v>7.7941060615882947E-3</v>
      </c>
    </row>
    <row r="147" spans="1:30" ht="16.5" customHeight="1" x14ac:dyDescent="0.45">
      <c r="A147" s="12" t="s">
        <v>138</v>
      </c>
      <c r="B147" s="7">
        <v>54.51</v>
      </c>
      <c r="C147" s="8">
        <f>IFERROR(B147/B444, "NA")</f>
        <v>3.0866116478565117E-4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-54.51</v>
      </c>
      <c r="I147" s="8">
        <f>IFERROR(H147/H444, "NA")</f>
        <v>5.8775832361104216E-3</v>
      </c>
      <c r="J147" s="9"/>
      <c r="K147" s="7">
        <v>-245.16</v>
      </c>
      <c r="L147" s="8">
        <f>IFERROR(K147/K444, "NA")</f>
        <v>-1.5009609676679932E-3</v>
      </c>
      <c r="M147" s="9"/>
      <c r="N147" s="10">
        <f t="shared" si="33"/>
        <v>-299.67</v>
      </c>
      <c r="O147" s="8">
        <f>IFERROR(N147/N444, "NA")</f>
        <v>-2.2589223929335416E-2</v>
      </c>
      <c r="P147" s="9"/>
      <c r="Q147" s="7">
        <v>141.71</v>
      </c>
      <c r="R147" s="8">
        <f>IFERROR(Q147/Q444, "NA")</f>
        <v>1.5883916113105858E-4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-141.71</v>
      </c>
      <c r="X147" s="8">
        <f>IFERROR(W147/W444, "NA")</f>
        <v>-1.5196924625462994E-3</v>
      </c>
      <c r="Y147" s="9"/>
      <c r="Z147" s="7">
        <v>-117.5</v>
      </c>
      <c r="AA147" s="8">
        <f>IFERROR(Z147/Z444, "NA")</f>
        <v>-1.6315705655172157E-4</v>
      </c>
      <c r="AB147" s="9"/>
      <c r="AC147" s="10">
        <f t="shared" si="35"/>
        <v>-259.21000000000004</v>
      </c>
      <c r="AD147" s="8">
        <f>IFERROR(AC147/AC444, "NA")</f>
        <v>-1.5070756273352743E-3</v>
      </c>
    </row>
    <row r="148" spans="1:30" ht="16.5" customHeight="1" x14ac:dyDescent="0.45">
      <c r="A148" s="13" t="s">
        <v>139</v>
      </c>
      <c r="B148" s="14">
        <f>IFERROR(B143+B144+B145+B146+B147, "NA")</f>
        <v>3828.07</v>
      </c>
      <c r="C148" s="15">
        <f>IFERROR(B148/B444, "NA")</f>
        <v>2.1676326271895207E-2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-3828.07</v>
      </c>
      <c r="I148" s="15">
        <f>IFERROR(H148/H444, "NA")</f>
        <v>0.41276463141913816</v>
      </c>
      <c r="J148" s="2"/>
      <c r="K148" s="14">
        <f>IFERROR(K143+K144+K145+K146+K147, "NA")</f>
        <v>4119.7299999999996</v>
      </c>
      <c r="L148" s="15">
        <f>IFERROR(K148/K444, "NA")</f>
        <v>2.522252376950098E-2</v>
      </c>
      <c r="M148" s="2"/>
      <c r="N148" s="14">
        <f t="shared" si="33"/>
        <v>291.6599999999994</v>
      </c>
      <c r="O148" s="15">
        <f>IFERROR(N148/N444, "NA")</f>
        <v>2.1985427474321601E-2</v>
      </c>
      <c r="P148" s="2"/>
      <c r="Q148" s="14">
        <f>IFERROR(Q143+Q144+Q145+Q146+Q147, "NA")</f>
        <v>10069.34</v>
      </c>
      <c r="R148" s="15">
        <f>IFERROR(Q148/Q444, "NA")</f>
        <v>1.1286468977089925E-2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-10069.34</v>
      </c>
      <c r="X148" s="15">
        <f>IFERROR(W148/W444, "NA")</f>
        <v>-0.10798320584867654</v>
      </c>
      <c r="Y148" s="2"/>
      <c r="Z148" s="14">
        <f>IFERROR(Z143+Z144+Z145+Z146+Z147, "NA")</f>
        <v>8882.02</v>
      </c>
      <c r="AA148" s="15">
        <f>IFERROR(Z148/Z444, "NA")</f>
        <v>1.2333312676029976E-2</v>
      </c>
      <c r="AB148" s="2"/>
      <c r="AC148" s="14">
        <f t="shared" si="35"/>
        <v>-1187.3199999999997</v>
      </c>
      <c r="AD148" s="15">
        <f>IFERROR(AC148/AC444, "NA")</f>
        <v>-6.903209883290449E-3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45335.27</v>
      </c>
      <c r="C149" s="15">
        <f>IFERROR(B149/B444, "NA")</f>
        <v>0.25670954401159396</v>
      </c>
      <c r="D149" s="2"/>
      <c r="E149" s="14">
        <f>IFERROR(E127+E129+E130+E131+E132+E133+E134+E135+E136+E137+E138+E139+E140+E143+E144+E145+E146+E147, "NA")</f>
        <v>40706.769999999997</v>
      </c>
      <c r="F149" s="15">
        <f>IFERROR(E149/E444, "NA")</f>
        <v>0.21900002603891502</v>
      </c>
      <c r="G149" s="2"/>
      <c r="H149" s="14">
        <f t="shared" si="32"/>
        <v>-4628.5</v>
      </c>
      <c r="I149" s="15">
        <f>IFERROR(H149/H444, "NA")</f>
        <v>0.49907162003920541</v>
      </c>
      <c r="J149" s="2"/>
      <c r="K149" s="14">
        <f>IFERROR(K127+K129+K130+K131+K132+K133+K134+K135+K136+K137+K138+K139+K140+K143+K144+K145+K146+K147, "NA")</f>
        <v>40764.869999999995</v>
      </c>
      <c r="L149" s="15">
        <f>IFERROR(K149/K444, "NA")</f>
        <v>0.24957773993334939</v>
      </c>
      <c r="M149" s="2"/>
      <c r="N149" s="14">
        <f t="shared" si="33"/>
        <v>-4570.4000000000015</v>
      </c>
      <c r="O149" s="15">
        <f>IFERROR(N149/N444, "NA")</f>
        <v>-0.34451826691572268</v>
      </c>
      <c r="P149" s="2"/>
      <c r="Q149" s="14">
        <f>IFERROR(Q127+Q129+Q130+Q131+Q132+Q133+Q134+Q135+Q136+Q137+Q138+Q139+Q140+Q143+Q144+Q145+Q146+Q147, "NA")</f>
        <v>211611.92999999996</v>
      </c>
      <c r="R149" s="15">
        <f>IFERROR(Q149/Q444, "NA")</f>
        <v>0.23719046959653012</v>
      </c>
      <c r="S149" s="2"/>
      <c r="T149" s="14">
        <f>IFERROR(T127+T129+T130+T131+T132+T133+T134+T135+T136+T137+T138+T139+T140+T143+T144+T145+T146+T147, "NA")</f>
        <v>179771.43</v>
      </c>
      <c r="U149" s="15">
        <f>IFERROR(T149/T444, "NA")</f>
        <v>0.22502053763896993</v>
      </c>
      <c r="V149" s="2"/>
      <c r="W149" s="14">
        <f t="shared" si="34"/>
        <v>-31840.499999999971</v>
      </c>
      <c r="X149" s="15">
        <f>IFERROR(W149/W444, "NA")</f>
        <v>-0.34145626881451835</v>
      </c>
      <c r="Y149" s="2"/>
      <c r="Z149" s="14">
        <f>IFERROR(Z127+Z129+Z130+Z131+Z132+Z133+Z134+Z135+Z136+Z137+Z138+Z139+Z140+Z143+Z144+Z145+Z146+Z147, "NA")</f>
        <v>174921.15</v>
      </c>
      <c r="AA149" s="15">
        <f>IFERROR(Z149/Z444, "NA")</f>
        <v>0.24289038266078444</v>
      </c>
      <c r="AB149" s="2"/>
      <c r="AC149" s="14">
        <f t="shared" si="35"/>
        <v>-36690.77999999997</v>
      </c>
      <c r="AD149" s="15">
        <f>IFERROR(AC149/AC444, "NA")</f>
        <v>-0.21332425556853701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3159.89</v>
      </c>
      <c r="F153" s="8">
        <f>IFERROR(E153/E444, "NA")</f>
        <v>1.700002216535744E-2</v>
      </c>
      <c r="G153" s="9"/>
      <c r="H153" s="10">
        <f t="shared" ref="H153:H158" si="36">IFERROR(-(B153-E153), "NA")</f>
        <v>3159.89</v>
      </c>
      <c r="I153" s="8">
        <f>IFERROR(H153/H444, "NA")</f>
        <v>-0.34071760212718694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15319.58</v>
      </c>
      <c r="U153" s="8">
        <f>IFERROR(T153/T444, "NA")</f>
        <v>1.9175572714770144E-2</v>
      </c>
      <c r="V153" s="9"/>
      <c r="W153" s="10">
        <f t="shared" ref="W153:W158" si="38">IFERROR(-(Q153-T153), "NA")</f>
        <v>15319.58</v>
      </c>
      <c r="X153" s="8">
        <f>IFERROR(W153/W444, "NA")</f>
        <v>0.16428657296856281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5096.67</v>
      </c>
      <c r="C154" s="8">
        <f>IFERROR(B154/B444, "NA")</f>
        <v>2.8859733970429003E-2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-5096.67</v>
      </c>
      <c r="I154" s="8">
        <f>IFERROR(H154/H444, "NA")</f>
        <v>0.54955241518963316</v>
      </c>
      <c r="J154" s="9"/>
      <c r="K154" s="7">
        <v>3633.09</v>
      </c>
      <c r="L154" s="8">
        <f>IFERROR(K154/K444, "NA")</f>
        <v>2.2243132166849852E-2</v>
      </c>
      <c r="M154" s="9"/>
      <c r="N154" s="10">
        <f t="shared" si="37"/>
        <v>-1463.58</v>
      </c>
      <c r="O154" s="8">
        <f>IFERROR(N154/N444, "NA")</f>
        <v>-0.11032514552172966</v>
      </c>
      <c r="P154" s="9"/>
      <c r="Q154" s="7">
        <v>23977.73</v>
      </c>
      <c r="R154" s="8">
        <f>IFERROR(Q154/Q444, "NA")</f>
        <v>2.6876032171526478E-2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-23977.73</v>
      </c>
      <c r="X154" s="8">
        <f>IFERROR(W154/W444, "NA")</f>
        <v>-0.25713623279916925</v>
      </c>
      <c r="Y154" s="9"/>
      <c r="Z154" s="7">
        <v>20700.89</v>
      </c>
      <c r="AA154" s="8">
        <f>IFERROR(Z154/Z444, "NA")</f>
        <v>2.8744649194901852E-2</v>
      </c>
      <c r="AB154" s="9"/>
      <c r="AC154" s="10">
        <f t="shared" si="39"/>
        <v>-3276.84</v>
      </c>
      <c r="AD154" s="8">
        <f>IFERROR(AC154/AC444, "NA")</f>
        <v>-1.9051910415019944E-2</v>
      </c>
    </row>
    <row r="155" spans="1:30" ht="16.5" customHeight="1" x14ac:dyDescent="0.45">
      <c r="A155" s="12" t="s">
        <v>144</v>
      </c>
      <c r="B155" s="7">
        <v>2568.11</v>
      </c>
      <c r="C155" s="8">
        <f>IFERROR(B155/B444, "NA")</f>
        <v>1.4541842302287264E-2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-2568.11</v>
      </c>
      <c r="I155" s="8">
        <f>IFERROR(H155/H444, "NA")</f>
        <v>0.2769084623828203</v>
      </c>
      <c r="J155" s="9"/>
      <c r="K155" s="7">
        <v>3427.68</v>
      </c>
      <c r="L155" s="8">
        <f>IFERROR(K155/K444, "NA")</f>
        <v>2.0985535526416327E-2</v>
      </c>
      <c r="M155" s="9"/>
      <c r="N155" s="10">
        <f t="shared" si="37"/>
        <v>859.56999999999971</v>
      </c>
      <c r="O155" s="8">
        <f>IFERROR(N155/N444, "NA")</f>
        <v>6.4794671515129437E-2</v>
      </c>
      <c r="P155" s="9"/>
      <c r="Q155" s="7">
        <v>13937.56</v>
      </c>
      <c r="R155" s="8">
        <f>IFERROR(Q155/Q444, "NA")</f>
        <v>1.5622259110957566E-2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-13937.56</v>
      </c>
      <c r="X155" s="8">
        <f>IFERROR(W155/W444, "NA")</f>
        <v>-0.14946584488241338</v>
      </c>
      <c r="Y155" s="9"/>
      <c r="Z155" s="7">
        <v>13524.56</v>
      </c>
      <c r="AA155" s="8">
        <f>IFERROR(Z155/Z444, "NA")</f>
        <v>1.8779807666018309E-2</v>
      </c>
      <c r="AB155" s="9"/>
      <c r="AC155" s="10">
        <f t="shared" si="39"/>
        <v>-413</v>
      </c>
      <c r="AD155" s="8">
        <f>IFERROR(AC155/AC444, "NA")</f>
        <v>-2.4012277076095375E-3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24.95</v>
      </c>
      <c r="L156" s="8">
        <f>IFERROR(K156/K444, "NA")</f>
        <v>1.5275320665408888E-4</v>
      </c>
      <c r="M156" s="9"/>
      <c r="N156" s="10">
        <f t="shared" si="37"/>
        <v>24.95</v>
      </c>
      <c r="O156" s="8">
        <f>IFERROR(N156/N444, "NA")</f>
        <v>1.8807392699867142E-3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215.74</v>
      </c>
      <c r="AA156" s="8">
        <f>IFERROR(Z156/Z444, "NA")</f>
        <v>2.9957024153590139E-4</v>
      </c>
      <c r="AB156" s="9"/>
      <c r="AC156" s="10">
        <f t="shared" si="39"/>
        <v>215.74</v>
      </c>
      <c r="AD156" s="8">
        <f>IFERROR(AC156/AC444, "NA")</f>
        <v>1.2543362364156941E-3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7664.7800000000007</v>
      </c>
      <c r="C158" s="15">
        <f>IFERROR(B158/B444, "NA")</f>
        <v>4.340157627271627E-2</v>
      </c>
      <c r="D158" s="2"/>
      <c r="E158" s="14">
        <f>IFERROR(E153+E154+E155+E156+E157, "NA")</f>
        <v>3159.89</v>
      </c>
      <c r="F158" s="15">
        <f>IFERROR(E158/E444, "NA")</f>
        <v>1.700002216535744E-2</v>
      </c>
      <c r="G158" s="2"/>
      <c r="H158" s="14">
        <f t="shared" si="36"/>
        <v>-4504.8900000000012</v>
      </c>
      <c r="I158" s="15">
        <f>IFERROR(H158/H444, "NA")</f>
        <v>0.48574327544526663</v>
      </c>
      <c r="J158" s="2"/>
      <c r="K158" s="14">
        <f>IFERROR(K153+K154+K155+K156+K157, "NA")</f>
        <v>7085.72</v>
      </c>
      <c r="L158" s="15">
        <f>IFERROR(K158/K444, "NA")</f>
        <v>4.3381420899920267E-2</v>
      </c>
      <c r="M158" s="2"/>
      <c r="N158" s="14">
        <f t="shared" si="37"/>
        <v>-579.0600000000004</v>
      </c>
      <c r="O158" s="15">
        <f>IFERROR(N158/N444, "NA")</f>
        <v>-4.3649734736613523E-2</v>
      </c>
      <c r="P158" s="2"/>
      <c r="Q158" s="14">
        <f>IFERROR(Q153+Q154+Q155+Q156+Q157, "NA")</f>
        <v>37915.29</v>
      </c>
      <c r="R158" s="15">
        <f>IFERROR(Q158/Q444, "NA")</f>
        <v>4.2498291282484044E-2</v>
      </c>
      <c r="S158" s="2"/>
      <c r="T158" s="14">
        <f>IFERROR(T153+T154+T155+T156+T157, "NA")</f>
        <v>15319.58</v>
      </c>
      <c r="U158" s="15">
        <f>IFERROR(T158/T444, "NA")</f>
        <v>1.9175572714770144E-2</v>
      </c>
      <c r="V158" s="2"/>
      <c r="W158" s="14">
        <f t="shared" si="38"/>
        <v>-22595.71</v>
      </c>
      <c r="X158" s="15">
        <f>IFERROR(W158/W444, "NA")</f>
        <v>-0.24231550471301982</v>
      </c>
      <c r="Y158" s="2"/>
      <c r="Z158" s="14">
        <f>IFERROR(Z153+Z154+Z155+Z156+Z157, "NA")</f>
        <v>34441.189999999995</v>
      </c>
      <c r="AA158" s="15">
        <f>IFERROR(Z158/Z444, "NA")</f>
        <v>4.7824027102456056E-2</v>
      </c>
      <c r="AB158" s="2"/>
      <c r="AC158" s="14">
        <f t="shared" si="39"/>
        <v>-3474.1000000000058</v>
      </c>
      <c r="AD158" s="15">
        <f>IFERROR(AC158/AC444, "NA")</f>
        <v>-2.019880188621382E-2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178.51</v>
      </c>
      <c r="C161" s="8">
        <f>IFERROR(B161/B444, "NA")</f>
        <v>1.0108072743695944E-3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-178.51</v>
      </c>
      <c r="I161" s="8">
        <f>IFERROR(H161/H444, "NA")</f>
        <v>1.924797988402259E-2</v>
      </c>
      <c r="J161" s="9"/>
      <c r="K161" s="7">
        <v>333.82</v>
      </c>
      <c r="L161" s="8">
        <f>IFERROR(K161/K444, "NA")</f>
        <v>2.0437705589285752E-3</v>
      </c>
      <c r="M161" s="9"/>
      <c r="N161" s="10">
        <f t="shared" si="41"/>
        <v>155.31</v>
      </c>
      <c r="O161" s="8">
        <f>IFERROR(N161/N444, "NA")</f>
        <v>1.1707319279424313E-2</v>
      </c>
      <c r="P161" s="9"/>
      <c r="Q161" s="7">
        <v>786.76</v>
      </c>
      <c r="R161" s="8">
        <f>IFERROR(Q161/Q444, "NA")</f>
        <v>8.8185942002308687E-4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-786.76</v>
      </c>
      <c r="X161" s="8">
        <f>IFERROR(W161/W444, "NA")</f>
        <v>-8.4371832745249193E-3</v>
      </c>
      <c r="Y161" s="9"/>
      <c r="Z161" s="7">
        <v>1698.98</v>
      </c>
      <c r="AA161" s="8">
        <f>IFERROR(Z161/Z444, "NA")</f>
        <v>2.3591538377893098E-3</v>
      </c>
      <c r="AB161" s="9"/>
      <c r="AC161" s="10">
        <f t="shared" si="43"/>
        <v>912.22</v>
      </c>
      <c r="AD161" s="8">
        <f>IFERROR(AC161/AC444, "NA")</f>
        <v>5.3037480373742674E-3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178.51</v>
      </c>
      <c r="C166" s="15">
        <f>IFERROR(B166/B444, "NA")</f>
        <v>1.0108072743695944E-3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-178.51</v>
      </c>
      <c r="I166" s="15">
        <f>IFERROR(H166/H444, "NA")</f>
        <v>1.924797988402259E-2</v>
      </c>
      <c r="J166" s="2"/>
      <c r="K166" s="14">
        <f>IFERROR(K160+K161+K162+K163+K164+K165, "NA")</f>
        <v>333.82</v>
      </c>
      <c r="L166" s="15">
        <f>IFERROR(K166/K444, "NA")</f>
        <v>2.0437705589285752E-3</v>
      </c>
      <c r="M166" s="2"/>
      <c r="N166" s="14">
        <f t="shared" si="41"/>
        <v>155.31</v>
      </c>
      <c r="O166" s="15">
        <f>IFERROR(N166/N444, "NA")</f>
        <v>1.1707319279424313E-2</v>
      </c>
      <c r="P166" s="2"/>
      <c r="Q166" s="14">
        <f>IFERROR(Q160+Q161+Q162+Q163+Q164+Q165, "NA")</f>
        <v>786.76</v>
      </c>
      <c r="R166" s="15">
        <f>IFERROR(Q166/Q444, "NA")</f>
        <v>8.8185942002308687E-4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-786.76</v>
      </c>
      <c r="X166" s="15">
        <f>IFERROR(W166/W444, "NA")</f>
        <v>-8.4371832745249193E-3</v>
      </c>
      <c r="Y166" s="2"/>
      <c r="Z166" s="14">
        <f>IFERROR(Z160+Z161+Z162+Z163+Z164+Z165, "NA")</f>
        <v>1698.98</v>
      </c>
      <c r="AA166" s="15">
        <f>IFERROR(Z166/Z444, "NA")</f>
        <v>2.3591538377893098E-3</v>
      </c>
      <c r="AB166" s="2"/>
      <c r="AC166" s="14">
        <f t="shared" si="43"/>
        <v>912.22</v>
      </c>
      <c r="AD166" s="15">
        <f>IFERROR(AC166/AC444, "NA")</f>
        <v>5.3037480373742674E-3</v>
      </c>
    </row>
    <row r="167" spans="1:30" ht="16.5" customHeight="1" x14ac:dyDescent="0.45">
      <c r="A167" s="6" t="s">
        <v>155</v>
      </c>
      <c r="B167" s="7">
        <v>179.98</v>
      </c>
      <c r="C167" s="8">
        <f>IFERROR(B167/B444, "NA")</f>
        <v>1.0191311032493396E-3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-179.98</v>
      </c>
      <c r="I167" s="8">
        <f>IFERROR(H167/H444, "NA")</f>
        <v>1.9406483779767999E-2</v>
      </c>
      <c r="J167" s="9"/>
      <c r="K167" s="7">
        <v>160.41999999999999</v>
      </c>
      <c r="L167" s="8">
        <f>IFERROR(K167/K444, "NA")</f>
        <v>9.8215107861518783E-4</v>
      </c>
      <c r="M167" s="9"/>
      <c r="N167" s="10">
        <f t="shared" si="41"/>
        <v>-19.560000000000002</v>
      </c>
      <c r="O167" s="8">
        <f>IFERROR(N167/N444, "NA")</f>
        <v>-1.4744392834044142E-3</v>
      </c>
      <c r="P167" s="9"/>
      <c r="Q167" s="7">
        <v>712.21</v>
      </c>
      <c r="R167" s="8">
        <f>IFERROR(Q167/Q444, "NA")</f>
        <v>7.9829820724826219E-4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-712.21</v>
      </c>
      <c r="X167" s="8">
        <f>IFERROR(W167/W444, "NA")</f>
        <v>-7.6377120086804024E-3</v>
      </c>
      <c r="Y167" s="9"/>
      <c r="Z167" s="7">
        <v>917.09</v>
      </c>
      <c r="AA167" s="8">
        <f>IFERROR(Z167/Z444, "NA")</f>
        <v>1.273444297812922E-3</v>
      </c>
      <c r="AB167" s="9"/>
      <c r="AC167" s="10">
        <f t="shared" si="43"/>
        <v>204.88</v>
      </c>
      <c r="AD167" s="8">
        <f>IFERROR(AC167/AC444, "NA")</f>
        <v>1.1911949945158401E-3</v>
      </c>
    </row>
    <row r="168" spans="1:30" ht="16.5" customHeight="1" x14ac:dyDescent="0.45">
      <c r="A168" s="6" t="s">
        <v>156</v>
      </c>
      <c r="B168" s="7">
        <v>59.6</v>
      </c>
      <c r="C168" s="8">
        <f>IFERROR(B168/B444, "NA")</f>
        <v>3.3748313009034694E-4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-59.6</v>
      </c>
      <c r="I168" s="8">
        <f>IFERROR(H168/H444, "NA")</f>
        <v>6.4264164533513321E-3</v>
      </c>
      <c r="J168" s="9"/>
      <c r="K168" s="7">
        <v>53.4</v>
      </c>
      <c r="L168" s="8">
        <f>IFERROR(K168/K444, "NA")</f>
        <v>3.2693471885083549E-4</v>
      </c>
      <c r="M168" s="9"/>
      <c r="N168" s="10">
        <f t="shared" si="41"/>
        <v>-6.2000000000000028</v>
      </c>
      <c r="O168" s="8">
        <f>IFERROR(N168/N444, "NA")</f>
        <v>-4.6735805506683902E-4</v>
      </c>
      <c r="P168" s="9"/>
      <c r="Q168" s="7">
        <v>274</v>
      </c>
      <c r="R168" s="8">
        <f>IFERROR(Q168/Q444, "NA")</f>
        <v>3.071196820966061E-4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-274</v>
      </c>
      <c r="X168" s="8">
        <f>IFERROR(W168/W444, "NA")</f>
        <v>-2.9383652158470538E-3</v>
      </c>
      <c r="Y168" s="9"/>
      <c r="Z168" s="7">
        <v>273.89999999999998</v>
      </c>
      <c r="AA168" s="8">
        <f>IFERROR(Z168/Z444, "NA")</f>
        <v>3.8032951310226841E-4</v>
      </c>
      <c r="AB168" s="9"/>
      <c r="AC168" s="10">
        <f t="shared" si="43"/>
        <v>-0.10000000000002274</v>
      </c>
      <c r="AD168" s="8">
        <f>IFERROR(AC168/AC444, "NA")</f>
        <v>-5.8141106721793784E-7</v>
      </c>
    </row>
    <row r="169" spans="1:30" ht="16.5" customHeight="1" x14ac:dyDescent="0.45">
      <c r="A169" s="6" t="s">
        <v>157</v>
      </c>
      <c r="B169" s="7">
        <v>-1743.47</v>
      </c>
      <c r="C169" s="8">
        <f>IFERROR(B169/B444, "NA")</f>
        <v>-9.8723441748090127E-3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1743.47</v>
      </c>
      <c r="I169" s="8">
        <f>IFERROR(H169/H444, "NA")</f>
        <v>-0.18799101164302764</v>
      </c>
      <c r="J169" s="9"/>
      <c r="K169" s="7">
        <v>-2232.1799999999998</v>
      </c>
      <c r="L169" s="8">
        <f>IFERROR(K169/K444, "NA")</f>
        <v>-1.3666238590345655E-2</v>
      </c>
      <c r="M169" s="9"/>
      <c r="N169" s="10">
        <f t="shared" si="41"/>
        <v>-488.70999999999981</v>
      </c>
      <c r="O169" s="8">
        <f>IFERROR(N169/N444, "NA")</f>
        <v>-3.683912178898624E-2</v>
      </c>
      <c r="P169" s="9"/>
      <c r="Q169" s="7">
        <v>-12275.02</v>
      </c>
      <c r="R169" s="8">
        <f>IFERROR(Q169/Q444, "NA")</f>
        <v>-1.3758760000472561E-2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12275.02</v>
      </c>
      <c r="X169" s="8">
        <f>IFERROR(W169/W444, "NA")</f>
        <v>0.1316368313570325</v>
      </c>
      <c r="Y169" s="9"/>
      <c r="Z169" s="7">
        <v>-10257.39</v>
      </c>
      <c r="AA169" s="8">
        <f>IFERROR(Z169/Z444, "NA")</f>
        <v>-1.4243111151515431E-2</v>
      </c>
      <c r="AB169" s="9"/>
      <c r="AC169" s="10">
        <f t="shared" si="43"/>
        <v>2017.630000000001</v>
      </c>
      <c r="AD169" s="8">
        <f>IFERROR(AC169/AC444, "NA")</f>
        <v>1.1730724115506618E-2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6339.4000000000005</v>
      </c>
      <c r="C170" s="15">
        <f>IFERROR(B170/B444, "NA")</f>
        <v>3.5896653605616537E-2</v>
      </c>
      <c r="D170" s="2"/>
      <c r="E170" s="14">
        <f>IFERROR(E151+E153+E154+E155+E156+E157+E160+E161+E162+E163+E164+E165+E167+E168+E169, "NA")</f>
        <v>3159.89</v>
      </c>
      <c r="F170" s="15">
        <f>IFERROR(E170/E444, "NA")</f>
        <v>1.700002216535744E-2</v>
      </c>
      <c r="G170" s="2"/>
      <c r="H170" s="14">
        <f t="shared" si="40"/>
        <v>-3179.5100000000007</v>
      </c>
      <c r="I170" s="15">
        <f>IFERROR(H170/H444, "NA")</f>
        <v>0.34283314391938086</v>
      </c>
      <c r="J170" s="2"/>
      <c r="K170" s="14">
        <f>IFERROR(K151+K153+K154+K155+K156+K157+K160+K161+K162+K163+K164+K165+K167+K168+K169, "NA")</f>
        <v>5401.18</v>
      </c>
      <c r="L170" s="15">
        <f>IFERROR(K170/K444, "NA")</f>
        <v>3.3068038665969211E-2</v>
      </c>
      <c r="M170" s="2"/>
      <c r="N170" s="14">
        <f t="shared" si="41"/>
        <v>-938.22000000000025</v>
      </c>
      <c r="O170" s="15">
        <f>IFERROR(N170/N444, "NA")</f>
        <v>-7.0723334584646719E-2</v>
      </c>
      <c r="P170" s="2"/>
      <c r="Q170" s="14">
        <f>IFERROR(Q151+Q153+Q154+Q155+Q156+Q157+Q160+Q161+Q162+Q163+Q164+Q165+Q167+Q168+Q169, "NA")</f>
        <v>27413.24</v>
      </c>
      <c r="R170" s="15">
        <f>IFERROR(Q170/Q444, "NA")</f>
        <v>3.072680859137944E-2</v>
      </c>
      <c r="S170" s="2"/>
      <c r="T170" s="14">
        <f>IFERROR(T151+T153+T154+T155+T156+T157+T160+T161+T162+T163+T164+T165+T167+T168+T169, "NA")</f>
        <v>15319.58</v>
      </c>
      <c r="U170" s="15">
        <f>IFERROR(T170/T444, "NA")</f>
        <v>1.9175572714770144E-2</v>
      </c>
      <c r="V170" s="2"/>
      <c r="W170" s="14">
        <f t="shared" si="42"/>
        <v>-12093.660000000002</v>
      </c>
      <c r="X170" s="15">
        <f>IFERROR(W170/W444, "NA")</f>
        <v>-0.12969193385503974</v>
      </c>
      <c r="Y170" s="2"/>
      <c r="Z170" s="14">
        <f>IFERROR(Z151+Z153+Z154+Z155+Z156+Z157+Z160+Z161+Z162+Z163+Z164+Z165+Z167+Z168+Z169, "NA")</f>
        <v>27073.769999999997</v>
      </c>
      <c r="AA170" s="15">
        <f>IFERROR(Z170/Z444, "NA")</f>
        <v>3.7593843599645127E-2</v>
      </c>
      <c r="AB170" s="2"/>
      <c r="AC170" s="14">
        <f t="shared" si="43"/>
        <v>-339.4700000000048</v>
      </c>
      <c r="AD170" s="15">
        <f>IFERROR(AC170/AC444, "NA")</f>
        <v>-1.9737161498843128E-3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51674.67</v>
      </c>
      <c r="C171" s="15">
        <f>IFERROR(B171/B444, "NA")</f>
        <v>0.29260619761721052</v>
      </c>
      <c r="D171" s="2"/>
      <c r="E171" s="14">
        <f>IFERROR(E127+E129+E130+E131+E132+E133+E134+E135+E136+E137+E138+E139+E140+E143+E144+E145+E146+E147+E151+E153+E154+E155+E156+E157+E160+E161+E162+E163+E164+E165+E167+E168+E169, "NA")</f>
        <v>43866.659999999996</v>
      </c>
      <c r="F171" s="15">
        <f>IFERROR(E171/E444, "NA")</f>
        <v>0.23600004820427245</v>
      </c>
      <c r="G171" s="2"/>
      <c r="H171" s="14">
        <f t="shared" si="40"/>
        <v>-7808.010000000002</v>
      </c>
      <c r="I171" s="15">
        <f>IFERROR(H171/H444, "NA")</f>
        <v>0.84190476395858638</v>
      </c>
      <c r="J171" s="2"/>
      <c r="K171" s="14">
        <f>IFERROR(K127+K129+K130+K131+K132+K133+K134+K135+K136+K137+K138+K139+K140+K143+K144+K145+K146+K147+K151+K153+K154+K155+K156+K157+K160+K161+K162+K163+K164+K165+K167+K168+K169, "NA")</f>
        <v>46166.049999999988</v>
      </c>
      <c r="L171" s="15">
        <f>IFERROR(K171/K444, "NA")</f>
        <v>0.28264577859931855</v>
      </c>
      <c r="M171" s="2"/>
      <c r="N171" s="14">
        <f t="shared" si="41"/>
        <v>-5508.6200000000099</v>
      </c>
      <c r="O171" s="15">
        <f>IFERROR(N171/N444, "NA")</f>
        <v>-0.41524160150037004</v>
      </c>
      <c r="P171" s="2"/>
      <c r="Q171" s="14">
        <f>IFERROR(Q127+Q129+Q130+Q131+Q132+Q133+Q134+Q135+Q136+Q137+Q138+Q139+Q140+Q143+Q144+Q145+Q146+Q147+Q151+Q153+Q154+Q155+Q156+Q157+Q160+Q161+Q162+Q163+Q164+Q165+Q167+Q168+Q169, "NA")</f>
        <v>239025.16999999998</v>
      </c>
      <c r="R171" s="15">
        <f>IFERROR(Q171/Q444, "NA")</f>
        <v>0.26791727818790956</v>
      </c>
      <c r="S171" s="2"/>
      <c r="T171" s="14">
        <f>IFERROR(T127+T129+T130+T131+T132+T133+T134+T135+T136+T137+T138+T139+T140+T143+T144+T145+T146+T147+T151+T153+T154+T155+T156+T157+T160+T161+T162+T163+T164+T165+T167+T168+T169, "NA")</f>
        <v>195091.00999999998</v>
      </c>
      <c r="U171" s="15">
        <f>IFERROR(T171/T444, "NA")</f>
        <v>0.24419611035374006</v>
      </c>
      <c r="V171" s="2"/>
      <c r="W171" s="14">
        <f t="shared" si="42"/>
        <v>-43934.16</v>
      </c>
      <c r="X171" s="15">
        <f>IFERROR(W171/W444, "NA")</f>
        <v>-0.47114820266955842</v>
      </c>
      <c r="Y171" s="2"/>
      <c r="Z171" s="14">
        <f>IFERROR(Z127+Z129+Z130+Z131+Z132+Z133+Z134+Z135+Z136+Z137+Z138+Z139+Z140+Z143+Z144+Z145+Z146+Z147+Z151+Z153+Z154+Z155+Z156+Z157+Z160+Z161+Z162+Z163+Z164+Z165+Z167+Z168+Z169, "NA")</f>
        <v>201994.91999999998</v>
      </c>
      <c r="AA171" s="15">
        <f>IFERROR(Z171/Z444, "NA")</f>
        <v>0.28048422626042957</v>
      </c>
      <c r="AB171" s="2"/>
      <c r="AC171" s="14">
        <f t="shared" si="43"/>
        <v>-37030.25</v>
      </c>
      <c r="AD171" s="15">
        <f>IFERROR(AC171/AC444, "NA")</f>
        <v>-0.21529797171842149</v>
      </c>
    </row>
    <row r="172" spans="1:30" ht="16.5" customHeight="1" x14ac:dyDescent="0.45">
      <c r="A172" s="22" t="s">
        <v>160</v>
      </c>
      <c r="B172" s="23">
        <f>IFERROR(B124-B171, "NA")</f>
        <v>124926.75000000001</v>
      </c>
      <c r="C172" s="24">
        <f>IFERROR(B172/B444, "NA")</f>
        <v>0.70739380238278948</v>
      </c>
      <c r="D172" s="25"/>
      <c r="E172" s="23">
        <f>IFERROR(E124-E171, "NA")</f>
        <v>142008.98000000004</v>
      </c>
      <c r="F172" s="24">
        <f>IFERROR(E172/E444, "NA")</f>
        <v>0.76399995179572766</v>
      </c>
      <c r="G172" s="25"/>
      <c r="H172" s="23">
        <f>IFERROR(B172-E172, "NA")</f>
        <v>-17082.230000000025</v>
      </c>
      <c r="I172" s="24">
        <f>IFERROR(H172/H444, "NA")</f>
        <v>1.8419047639585888</v>
      </c>
      <c r="J172" s="25"/>
      <c r="K172" s="23">
        <f>IFERROR(K124-K171, "NA")</f>
        <v>117169.31000000003</v>
      </c>
      <c r="L172" s="24">
        <f>IFERROR(K172/K444, "NA")</f>
        <v>0.71735422140068161</v>
      </c>
      <c r="M172" s="25"/>
      <c r="N172" s="23">
        <f>IFERROR(B172-K172, "NA")</f>
        <v>7757.4399999999878</v>
      </c>
      <c r="O172" s="24">
        <f>IFERROR(N172/N444, "NA")</f>
        <v>0.58475839849962774</v>
      </c>
      <c r="P172" s="25"/>
      <c r="Q172" s="23">
        <f>IFERROR(Q124-Q171, "NA")</f>
        <v>653135.16999999993</v>
      </c>
      <c r="R172" s="24">
        <f>IFERROR(Q172/Q444, "NA")</f>
        <v>0.73208272181209033</v>
      </c>
      <c r="S172" s="25"/>
      <c r="T172" s="23">
        <f>IFERROR(T124-T171, "NA")</f>
        <v>603820.19999999995</v>
      </c>
      <c r="U172" s="24">
        <f>IFERROR(T172/T444, "NA")</f>
        <v>0.75580388964625989</v>
      </c>
      <c r="V172" s="25"/>
      <c r="W172" s="23">
        <f>IFERROR(Q172-T172, "NA")</f>
        <v>49314.969999999972</v>
      </c>
      <c r="X172" s="24">
        <f>IFERROR(W172/W444, "NA")</f>
        <v>0.5288517973304413</v>
      </c>
      <c r="Y172" s="25"/>
      <c r="Z172" s="23">
        <f>IFERROR(Z124-Z171, "NA")</f>
        <v>518170.06999999989</v>
      </c>
      <c r="AA172" s="24">
        <f>IFERROR(Z172/Z444, "NA")</f>
        <v>0.71951577373957032</v>
      </c>
      <c r="AB172" s="25"/>
      <c r="AC172" s="23">
        <f>IFERROR(Q172-Z172, "NA")</f>
        <v>134965.10000000003</v>
      </c>
      <c r="AD172" s="24">
        <f>IFERROR(AC172/AC444, "NA")</f>
        <v>0.78470202828157887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10076.92</v>
      </c>
      <c r="C178" s="8">
        <f>IFERROR(B178/B444, "NA")</f>
        <v>5.706024334345669E-2</v>
      </c>
      <c r="D178" s="9"/>
      <c r="E178" s="7">
        <v>10307.69</v>
      </c>
      <c r="F178" s="8">
        <f>IFERROR(E178/E444, "NA")</f>
        <v>5.5454765347411845E-2</v>
      </c>
      <c r="G178" s="9"/>
      <c r="H178" s="10">
        <f t="shared" si="44"/>
        <v>230.77000000000044</v>
      </c>
      <c r="I178" s="8">
        <f>IFERROR(H178/H444, "NA")</f>
        <v>-2.4882955116441102E-2</v>
      </c>
      <c r="J178" s="9"/>
      <c r="K178" s="7">
        <v>4423.08</v>
      </c>
      <c r="L178" s="8">
        <f>IFERROR(K178/K444, "NA")</f>
        <v>2.7079745622748192E-2</v>
      </c>
      <c r="M178" s="9"/>
      <c r="N178" s="10">
        <f t="shared" si="45"/>
        <v>-5653.84</v>
      </c>
      <c r="O178" s="8">
        <f>IFERROR(N178/N444, "NA")</f>
        <v>-0.42618833323533806</v>
      </c>
      <c r="P178" s="9"/>
      <c r="Q178" s="7">
        <v>52903.83</v>
      </c>
      <c r="R178" s="8">
        <f>IFERROR(Q178/Q444, "NA")</f>
        <v>5.9298567340485012E-2</v>
      </c>
      <c r="S178" s="9"/>
      <c r="T178" s="7">
        <v>54115.38</v>
      </c>
      <c r="U178" s="8">
        <f>IFERROR(T178/T444, "NA")</f>
        <v>6.7736413411948498E-2</v>
      </c>
      <c r="V178" s="9"/>
      <c r="W178" s="10">
        <f t="shared" si="46"/>
        <v>1211.5499999999956</v>
      </c>
      <c r="X178" s="8">
        <f>IFERROR(W178/W444, "NA")</f>
        <v>1.2992614515545568E-2</v>
      </c>
      <c r="Y178" s="9"/>
      <c r="Z178" s="7">
        <v>23221.17</v>
      </c>
      <c r="AA178" s="8">
        <f>IFERROR(Z178/Z444, "NA")</f>
        <v>3.2244236143720344E-2</v>
      </c>
      <c r="AB178" s="9"/>
      <c r="AC178" s="10">
        <f t="shared" si="47"/>
        <v>-29682.660000000003</v>
      </c>
      <c r="AD178" s="8">
        <f>IFERROR(AC178/AC444, "NA")</f>
        <v>-0.17257827028463274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29076.75</v>
      </c>
      <c r="C180" s="8">
        <f>IFERROR(B180/B444, "NA")</f>
        <v>0.16464618461165259</v>
      </c>
      <c r="D180" s="9"/>
      <c r="E180" s="7">
        <v>29182.48</v>
      </c>
      <c r="F180" s="8">
        <f>IFERROR(E180/E444, "NA")</f>
        <v>0.15700002431733387</v>
      </c>
      <c r="G180" s="9"/>
      <c r="H180" s="10">
        <f t="shared" si="44"/>
        <v>105.72999999999956</v>
      </c>
      <c r="I180" s="8">
        <f>IFERROR(H180/H444, "NA")</f>
        <v>-1.1400419657933449E-2</v>
      </c>
      <c r="J180" s="9"/>
      <c r="K180" s="7">
        <v>28110.94</v>
      </c>
      <c r="L180" s="8">
        <f>IFERROR(K180/K444, "NA")</f>
        <v>0.17210566040323419</v>
      </c>
      <c r="M180" s="9"/>
      <c r="N180" s="10">
        <f t="shared" si="45"/>
        <v>-965.81000000000131</v>
      </c>
      <c r="O180" s="8">
        <f>IFERROR(N180/N444, "NA")</f>
        <v>-7.2803077929694218E-2</v>
      </c>
      <c r="P180" s="9"/>
      <c r="Q180" s="7">
        <v>141373.1</v>
      </c>
      <c r="R180" s="8">
        <f>IFERROR(Q180/Q444, "NA")</f>
        <v>0.15846153842705002</v>
      </c>
      <c r="S180" s="9"/>
      <c r="T180" s="7">
        <v>132188.38</v>
      </c>
      <c r="U180" s="8">
        <f>IFERROR(T180/T444, "NA")</f>
        <v>0.16546066489666605</v>
      </c>
      <c r="V180" s="9"/>
      <c r="W180" s="10">
        <f t="shared" si="46"/>
        <v>-9184.7200000000012</v>
      </c>
      <c r="X180" s="8">
        <f>IFERROR(W180/W444, "NA")</f>
        <v>-9.849657578574729E-2</v>
      </c>
      <c r="Y180" s="9"/>
      <c r="Z180" s="7">
        <v>134369.47</v>
      </c>
      <c r="AA180" s="8">
        <f>IFERROR(Z180/Z444, "NA")</f>
        <v>0.18658150821799876</v>
      </c>
      <c r="AB180" s="9"/>
      <c r="AC180" s="10">
        <f t="shared" si="47"/>
        <v>-7003.6300000000047</v>
      </c>
      <c r="AD180" s="8">
        <f>IFERROR(AC180/AC444, "NA")</f>
        <v>-4.0719879926986433E-2</v>
      </c>
    </row>
    <row r="181" spans="1:30" ht="16.5" customHeight="1" x14ac:dyDescent="0.45">
      <c r="A181" s="12" t="s">
        <v>166</v>
      </c>
      <c r="B181" s="7">
        <v>487.2</v>
      </c>
      <c r="C181" s="8">
        <f>IFERROR(B181/B444, "NA")</f>
        <v>2.7587547144298156E-3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-487.2</v>
      </c>
      <c r="I181" s="8">
        <f>IFERROR(H181/H444, "NA")</f>
        <v>5.2532719732764584E-2</v>
      </c>
      <c r="J181" s="9"/>
      <c r="K181" s="7">
        <v>1428.21</v>
      </c>
      <c r="L181" s="8">
        <f>IFERROR(K181/K444, "NA")</f>
        <v>8.7440343597369255E-3</v>
      </c>
      <c r="M181" s="9"/>
      <c r="N181" s="10">
        <f t="shared" si="45"/>
        <v>941.01</v>
      </c>
      <c r="O181" s="8">
        <f>IFERROR(N181/N444, "NA")</f>
        <v>7.0933645709426771E-2</v>
      </c>
      <c r="P181" s="9"/>
      <c r="Q181" s="7">
        <v>3150.01</v>
      </c>
      <c r="R181" s="8">
        <f>IFERROR(Q181/Q444, "NA")</f>
        <v>3.5307666781063149E-3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-3150.01</v>
      </c>
      <c r="X181" s="8">
        <f>IFERROR(W181/W444, "NA")</f>
        <v>-3.3780583261205761E-2</v>
      </c>
      <c r="Y181" s="9"/>
      <c r="Z181" s="7">
        <v>3691.4</v>
      </c>
      <c r="AA181" s="8">
        <f>IFERROR(Z181/Z444, "NA")</f>
        <v>5.1257698600427658E-3</v>
      </c>
      <c r="AB181" s="9"/>
      <c r="AC181" s="10">
        <f t="shared" si="47"/>
        <v>541.38999999999987</v>
      </c>
      <c r="AD181" s="8">
        <f>IFERROR(AC181/AC444, "NA")</f>
        <v>3.1477013768104775E-3</v>
      </c>
    </row>
    <row r="182" spans="1:30" ht="16.5" customHeight="1" x14ac:dyDescent="0.45">
      <c r="A182" s="13" t="s">
        <v>167</v>
      </c>
      <c r="B182" s="14">
        <f>IFERROR(B177+B178+B179+B180+B181, "NA")</f>
        <v>39640.869999999995</v>
      </c>
      <c r="C182" s="15">
        <f>IFERROR(B182/B444, "NA")</f>
        <v>0.22446518266953908</v>
      </c>
      <c r="D182" s="2"/>
      <c r="E182" s="14">
        <f>IFERROR(E177+E178+E179+E180+E181, "NA")</f>
        <v>39490.17</v>
      </c>
      <c r="F182" s="15">
        <f>IFERROR(E182/E444, "NA")</f>
        <v>0.21245478966474571</v>
      </c>
      <c r="G182" s="2"/>
      <c r="H182" s="14">
        <f t="shared" si="44"/>
        <v>-150.69999999999709</v>
      </c>
      <c r="I182" s="15">
        <f>IFERROR(H182/H444, "NA")</f>
        <v>1.6249344958389717E-2</v>
      </c>
      <c r="J182" s="2"/>
      <c r="K182" s="14">
        <f>IFERROR(K177+K178+K179+K180+K181, "NA")</f>
        <v>33962.229999999996</v>
      </c>
      <c r="L182" s="15">
        <f>IFERROR(K182/K444, "NA")</f>
        <v>0.20792944038571928</v>
      </c>
      <c r="M182" s="2"/>
      <c r="N182" s="14">
        <f t="shared" si="45"/>
        <v>-5678.6399999999994</v>
      </c>
      <c r="O182" s="15">
        <f>IFERROR(N182/N444, "NA")</f>
        <v>-0.42805776545560537</v>
      </c>
      <c r="P182" s="2"/>
      <c r="Q182" s="14">
        <f>IFERROR(Q177+Q178+Q179+Q180+Q181, "NA")</f>
        <v>197426.94</v>
      </c>
      <c r="R182" s="15">
        <f>IFERROR(Q182/Q444, "NA")</f>
        <v>0.22129087244564133</v>
      </c>
      <c r="S182" s="2"/>
      <c r="T182" s="14">
        <f>IFERROR(T177+T178+T179+T180+T181, "NA")</f>
        <v>186303.76</v>
      </c>
      <c r="U182" s="15">
        <f>IFERROR(T182/T444, "NA")</f>
        <v>0.23319707830861458</v>
      </c>
      <c r="V182" s="2"/>
      <c r="W182" s="14">
        <f t="shared" si="46"/>
        <v>-11123.179999999993</v>
      </c>
      <c r="X182" s="15">
        <f>IFERROR(W182/W444, "NA")</f>
        <v>-0.11928454453140734</v>
      </c>
      <c r="Y182" s="2"/>
      <c r="Z182" s="14">
        <f>IFERROR(Z177+Z178+Z179+Z180+Z181, "NA")</f>
        <v>161282.04</v>
      </c>
      <c r="AA182" s="15">
        <f>IFERROR(Z182/Z444, "NA")</f>
        <v>0.2239515142217619</v>
      </c>
      <c r="AB182" s="2"/>
      <c r="AC182" s="14">
        <f t="shared" si="47"/>
        <v>-36144.899999999994</v>
      </c>
      <c r="AD182" s="15">
        <f>IFERROR(AC182/AC444, "NA")</f>
        <v>-0.2101504488348086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1150</v>
      </c>
      <c r="C184" s="8">
        <f>IFERROR(B184/B444, "NA")</f>
        <v>6.5118389195285061E-3</v>
      </c>
      <c r="D184" s="9"/>
      <c r="E184" s="7">
        <v>1150</v>
      </c>
      <c r="F184" s="8">
        <f>IFERROR(E184/E444, "NA")</f>
        <v>6.1869322951625073E-3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1.8367119036563793E-3</v>
      </c>
      <c r="M184" s="9"/>
      <c r="N184" s="10">
        <f t="shared" si="45"/>
        <v>-850</v>
      </c>
      <c r="O184" s="8">
        <f>IFERROR(N184/N444, "NA")</f>
        <v>-6.4073281743034352E-2</v>
      </c>
      <c r="P184" s="9"/>
      <c r="Q184" s="7">
        <v>5750</v>
      </c>
      <c r="R184" s="8">
        <f>IFERROR(Q184/Q444, "NA")</f>
        <v>6.4450298250200181E-3</v>
      </c>
      <c r="S184" s="9"/>
      <c r="T184" s="7">
        <v>5750</v>
      </c>
      <c r="U184" s="8">
        <f>IFERROR(T184/T444, "NA")</f>
        <v>7.1972954291128297E-3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1350</v>
      </c>
      <c r="AA184" s="8">
        <f>IFERROR(Z184/Z444, "NA")</f>
        <v>1.8745704369772266E-3</v>
      </c>
      <c r="AB184" s="9"/>
      <c r="AC184" s="10">
        <f t="shared" si="47"/>
        <v>-4400</v>
      </c>
      <c r="AD184" s="8">
        <f>IFERROR(AC184/AC444, "NA")</f>
        <v>-2.558208695758345E-2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3832.06</v>
      </c>
      <c r="C186" s="8">
        <f>IFERROR(B186/B444, "NA")</f>
        <v>2.1698919521711657E-2</v>
      </c>
      <c r="D186" s="9"/>
      <c r="E186" s="7">
        <v>4047.96</v>
      </c>
      <c r="F186" s="8">
        <f>IFERROR(E186/E444, "NA")</f>
        <v>2.1777786481326975E-2</v>
      </c>
      <c r="G186" s="9"/>
      <c r="H186" s="10">
        <f t="shared" ref="H186:H197" si="48">IFERROR(-(B186-E186), "NA")</f>
        <v>215.90000000000009</v>
      </c>
      <c r="I186" s="8">
        <f>IFERROR(H186/H444, "NA")</f>
        <v>-2.3279585776485791E-2</v>
      </c>
      <c r="J186" s="9"/>
      <c r="K186" s="7">
        <v>3299.65</v>
      </c>
      <c r="L186" s="8">
        <f>IFERROR(K186/K444, "NA")</f>
        <v>2.0201688109665907E-2</v>
      </c>
      <c r="M186" s="9"/>
      <c r="N186" s="10">
        <f t="shared" ref="N186:N197" si="49">IFERROR(-(B186-K186), "NA")</f>
        <v>-532.40999999999985</v>
      </c>
      <c r="O186" s="8">
        <f>IFERROR(N186/N444, "NA")</f>
        <v>-4.0133242273892832E-2</v>
      </c>
      <c r="P186" s="9"/>
      <c r="Q186" s="7">
        <v>20481.04</v>
      </c>
      <c r="R186" s="8">
        <f>IFERROR(Q186/Q444, "NA")</f>
        <v>2.2956680634335307E-2</v>
      </c>
      <c r="S186" s="9"/>
      <c r="T186" s="7">
        <v>22297.68</v>
      </c>
      <c r="U186" s="8">
        <f>IFERROR(T186/T444, "NA")</f>
        <v>2.7910085277186185E-2</v>
      </c>
      <c r="V186" s="9"/>
      <c r="W186" s="10">
        <f t="shared" ref="W186:W197" si="50">IFERROR(-(Q186-T186), "NA")</f>
        <v>1816.6399999999994</v>
      </c>
      <c r="X186" s="8">
        <f>IFERROR(W186/W444, "NA")</f>
        <v>1.9481575860278797E-2</v>
      </c>
      <c r="Y186" s="9"/>
      <c r="Z186" s="7">
        <v>17190.79</v>
      </c>
      <c r="AA186" s="8">
        <f>IFERROR(Z186/Z444, "NA")</f>
        <v>2.3870627201691658E-2</v>
      </c>
      <c r="AB186" s="9"/>
      <c r="AC186" s="10">
        <f t="shared" ref="AC186:AC197" si="51">IFERROR(-(Q186-Z186), "NA")</f>
        <v>-3290.25</v>
      </c>
      <c r="AD186" s="8">
        <f>IFERROR(AC186/AC444, "NA")</f>
        <v>-1.912987763913385E-2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-0.01</v>
      </c>
      <c r="L187" s="8">
        <f>IFERROR(K187/K444, "NA")</f>
        <v>-6.1223730121879312E-8</v>
      </c>
      <c r="M187" s="9"/>
      <c r="N187" s="10">
        <f t="shared" si="49"/>
        <v>-0.01</v>
      </c>
      <c r="O187" s="8">
        <f>IFERROR(N187/N444, "NA")</f>
        <v>-7.5380331462393351E-7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0.04</v>
      </c>
      <c r="AA187" s="8">
        <f>IFERROR(Z187/Z444, "NA")</f>
        <v>5.5542827762288198E-8</v>
      </c>
      <c r="AB187" s="9"/>
      <c r="AC187" s="10">
        <f t="shared" si="51"/>
        <v>0.04</v>
      </c>
      <c r="AD187" s="8">
        <f>IFERROR(AC187/AC444, "NA")</f>
        <v>2.3256442688712228E-7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3832.06</v>
      </c>
      <c r="C193" s="15">
        <f>IFERROR(B193/B444, "NA")</f>
        <v>2.1698919521711657E-2</v>
      </c>
      <c r="D193" s="2"/>
      <c r="E193" s="14">
        <f>IFERROR(E186+E187+E188+E189+E190+E191+E192, "NA")</f>
        <v>4047.96</v>
      </c>
      <c r="F193" s="15">
        <f>IFERROR(E193/E444, "NA")</f>
        <v>2.1777786481326975E-2</v>
      </c>
      <c r="G193" s="2"/>
      <c r="H193" s="14">
        <f t="shared" si="48"/>
        <v>215.90000000000009</v>
      </c>
      <c r="I193" s="15">
        <f>IFERROR(H193/H444, "NA")</f>
        <v>-2.3279585776485791E-2</v>
      </c>
      <c r="J193" s="2"/>
      <c r="K193" s="14">
        <f>IFERROR(K186+K187+K188+K189+K190+K191+K192, "NA")</f>
        <v>3299.64</v>
      </c>
      <c r="L193" s="15">
        <f>IFERROR(K193/K444, "NA")</f>
        <v>2.0201626885935783E-2</v>
      </c>
      <c r="M193" s="2"/>
      <c r="N193" s="14">
        <f t="shared" si="49"/>
        <v>-532.42000000000007</v>
      </c>
      <c r="O193" s="15">
        <f>IFERROR(N193/N444, "NA")</f>
        <v>-4.0133996077207475E-2</v>
      </c>
      <c r="P193" s="2"/>
      <c r="Q193" s="14">
        <f>IFERROR(Q186+Q187+Q188+Q189+Q190+Q191+Q192, "NA")</f>
        <v>20481.04</v>
      </c>
      <c r="R193" s="15">
        <f>IFERROR(Q193/Q444, "NA")</f>
        <v>2.2956680634335307E-2</v>
      </c>
      <c r="S193" s="2"/>
      <c r="T193" s="14">
        <f>IFERROR(T186+T187+T188+T189+T190+T191+T192, "NA")</f>
        <v>22297.68</v>
      </c>
      <c r="U193" s="15">
        <f>IFERROR(T193/T444, "NA")</f>
        <v>2.7910085277186185E-2</v>
      </c>
      <c r="V193" s="2"/>
      <c r="W193" s="14">
        <f t="shared" si="50"/>
        <v>1816.6399999999994</v>
      </c>
      <c r="X193" s="15">
        <f>IFERROR(W193/W444, "NA")</f>
        <v>1.9481575860278797E-2</v>
      </c>
      <c r="Y193" s="2"/>
      <c r="Z193" s="14">
        <f>IFERROR(Z186+Z187+Z188+Z189+Z190+Z191+Z192, "NA")</f>
        <v>17190.830000000002</v>
      </c>
      <c r="AA193" s="15">
        <f>IFERROR(Z193/Z444, "NA")</f>
        <v>2.3870682744519423E-2</v>
      </c>
      <c r="AB193" s="2"/>
      <c r="AC193" s="14">
        <f t="shared" si="51"/>
        <v>-3290.2099999999991</v>
      </c>
      <c r="AD193" s="15">
        <f>IFERROR(AC193/AC444, "NA")</f>
        <v>-1.912964507470696E-2</v>
      </c>
    </row>
    <row r="194" spans="1:30" ht="16.5" customHeight="1" x14ac:dyDescent="0.45">
      <c r="A194" s="6" t="s">
        <v>178</v>
      </c>
      <c r="B194" s="7">
        <v>275.60000000000002</v>
      </c>
      <c r="C194" s="8">
        <f>IFERROR(B194/B444, "NA")</f>
        <v>1.5605763532365708E-3</v>
      </c>
      <c r="D194" s="9"/>
      <c r="E194" s="7">
        <v>325.12</v>
      </c>
      <c r="F194" s="8">
        <f>IFERROR(E194/E444, "NA")</f>
        <v>1.7491264589593342E-3</v>
      </c>
      <c r="G194" s="9"/>
      <c r="H194" s="10">
        <f t="shared" si="48"/>
        <v>49.519999999999982</v>
      </c>
      <c r="I194" s="8">
        <f>IFERROR(H194/H444, "NA")</f>
        <v>-5.339532596811373E-3</v>
      </c>
      <c r="J194" s="9"/>
      <c r="K194" s="7">
        <v>275.60000000000002</v>
      </c>
      <c r="L194" s="8">
        <f>IFERROR(K194/K444, "NA")</f>
        <v>1.687326002158994E-3</v>
      </c>
      <c r="M194" s="9"/>
      <c r="N194" s="10">
        <f t="shared" si="49"/>
        <v>0</v>
      </c>
      <c r="O194" s="8">
        <f>IFERROR(N194/N444, "NA")</f>
        <v>0</v>
      </c>
      <c r="P194" s="9"/>
      <c r="Q194" s="7">
        <v>1387.54</v>
      </c>
      <c r="R194" s="8">
        <f>IFERROR(Q194/Q444, "NA")</f>
        <v>1.5552585536362221E-3</v>
      </c>
      <c r="S194" s="9"/>
      <c r="T194" s="7">
        <v>1536.43</v>
      </c>
      <c r="U194" s="8">
        <f>IFERROR(T194/T444, "NA")</f>
        <v>1.923154889765535E-3</v>
      </c>
      <c r="V194" s="9"/>
      <c r="W194" s="10">
        <f t="shared" si="50"/>
        <v>148.8900000000001</v>
      </c>
      <c r="X194" s="8">
        <f>IFERROR(W194/W444, "NA")</f>
        <v>1.5966904999542633E-3</v>
      </c>
      <c r="Y194" s="9"/>
      <c r="Z194" s="7">
        <v>1193.51</v>
      </c>
      <c r="AA194" s="8">
        <f>IFERROR(Z194/Z444, "NA")</f>
        <v>1.6572730090642146E-3</v>
      </c>
      <c r="AB194" s="9"/>
      <c r="AC194" s="10">
        <f t="shared" si="51"/>
        <v>-194.02999999999997</v>
      </c>
      <c r="AD194" s="8">
        <f>IFERROR(AC194/AC444, "NA")</f>
        <v>-1.1281118937227083E-3</v>
      </c>
    </row>
    <row r="195" spans="1:30" ht="16.5" customHeight="1" x14ac:dyDescent="0.45">
      <c r="A195" s="6" t="s">
        <v>179</v>
      </c>
      <c r="B195" s="7">
        <v>381.85</v>
      </c>
      <c r="C195" s="8">
        <f>IFERROR(B195/B444, "NA")</f>
        <v>2.1622136447147478E-3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-381.85</v>
      </c>
      <c r="I195" s="8">
        <f>IFERROR(H195/H444, "NA")</f>
        <v>4.1173273871010177E-2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-381.85</v>
      </c>
      <c r="O195" s="8">
        <f>IFERROR(N195/N444, "NA")</f>
        <v>-2.8783979568914903E-2</v>
      </c>
      <c r="P195" s="9"/>
      <c r="Q195" s="7">
        <v>1909.25</v>
      </c>
      <c r="R195" s="8">
        <f>IFERROR(Q195/Q444, "NA")</f>
        <v>2.1400301205946903E-3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-1909.25</v>
      </c>
      <c r="X195" s="8">
        <f>IFERROR(W195/W444, "NA")</f>
        <v>-2.0474721855313825E-2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-1909.25</v>
      </c>
      <c r="AD195" s="8">
        <f>IFERROR(AC195/AC444, "NA")</f>
        <v>-1.1100590800855955E-2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45280.37999999999</v>
      </c>
      <c r="C196" s="15">
        <f>IFERROR(B196/B444, "NA")</f>
        <v>0.25639873110873052</v>
      </c>
      <c r="D196" s="2"/>
      <c r="E196" s="14">
        <f>IFERROR(E175+E177+E178+E179+E180+E181+E183+E184+E186+E187+E188+E189+E190+E191+E192+E194+E195, "NA")</f>
        <v>45013.25</v>
      </c>
      <c r="F196" s="15">
        <f>IFERROR(E196/E444, "NA")</f>
        <v>0.24216863490019455</v>
      </c>
      <c r="G196" s="2"/>
      <c r="H196" s="14">
        <f t="shared" si="48"/>
        <v>-267.1299999999901</v>
      </c>
      <c r="I196" s="15">
        <f>IFERROR(H196/H444, "NA")</f>
        <v>2.8803500456101975E-2</v>
      </c>
      <c r="J196" s="2"/>
      <c r="K196" s="14">
        <f>IFERROR(K175+K177+K178+K179+K180+K181+K183+K184+K186+K187+K188+K189+K190+K191+K192+K194+K195, "NA")</f>
        <v>37837.469999999994</v>
      </c>
      <c r="L196" s="15">
        <f>IFERROR(K196/K444, "NA")</f>
        <v>0.23165510517747043</v>
      </c>
      <c r="M196" s="2"/>
      <c r="N196" s="14">
        <f t="shared" si="49"/>
        <v>-7442.9099999999962</v>
      </c>
      <c r="O196" s="15">
        <f>IFERROR(N196/N444, "NA")</f>
        <v>-0.56104902284476188</v>
      </c>
      <c r="P196" s="2"/>
      <c r="Q196" s="14">
        <f>IFERROR(Q175+Q177+Q178+Q179+Q180+Q181+Q183+Q184+Q186+Q187+Q188+Q189+Q190+Q191+Q192+Q194+Q195, "NA")</f>
        <v>226954.77000000002</v>
      </c>
      <c r="R196" s="15">
        <f>IFERROR(Q196/Q444, "NA")</f>
        <v>0.2543878715792276</v>
      </c>
      <c r="S196" s="2"/>
      <c r="T196" s="14">
        <f>IFERROR(T175+T177+T178+T179+T180+T181+T183+T184+T186+T187+T188+T189+T190+T191+T192+T194+T195, "NA")</f>
        <v>215887.87</v>
      </c>
      <c r="U196" s="15">
        <f>IFERROR(T196/T444, "NA")</f>
        <v>0.27022761390467909</v>
      </c>
      <c r="V196" s="2"/>
      <c r="W196" s="14">
        <f t="shared" si="50"/>
        <v>-11066.900000000023</v>
      </c>
      <c r="X196" s="15">
        <f>IFERROR(W196/W444, "NA")</f>
        <v>-0.11868100002648843</v>
      </c>
      <c r="Y196" s="2"/>
      <c r="Z196" s="14">
        <f>IFERROR(Z175+Z177+Z178+Z179+Z180+Z181+Z183+Z184+Z186+Z187+Z188+Z189+Z190+Z191+Z192+Z194+Z195, "NA")</f>
        <v>181016.38000000003</v>
      </c>
      <c r="AA196" s="15">
        <f>IFERROR(Z196/Z444, "NA")</f>
        <v>0.25135404041232279</v>
      </c>
      <c r="AB196" s="2"/>
      <c r="AC196" s="14">
        <f t="shared" si="51"/>
        <v>-45938.389999999985</v>
      </c>
      <c r="AD196" s="15">
        <f>IFERROR(AC196/AC444, "NA")</f>
        <v>-0.26709088356167765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45280.37999999999</v>
      </c>
      <c r="C197" s="15">
        <f>IFERROR(B197/B444, "NA")</f>
        <v>0.25639873110873052</v>
      </c>
      <c r="D197" s="2"/>
      <c r="E197" s="14">
        <f>IFERROR(E175+E177+E178+E179+E180+E181+E183+E184+E186+E187+E188+E189+E190+E191+E192+E194+E195, "NA")</f>
        <v>45013.25</v>
      </c>
      <c r="F197" s="15">
        <f>IFERROR(E197/E444, "NA")</f>
        <v>0.24216863490019455</v>
      </c>
      <c r="G197" s="2"/>
      <c r="H197" s="14">
        <f t="shared" si="48"/>
        <v>-267.1299999999901</v>
      </c>
      <c r="I197" s="15">
        <f>IFERROR(H197/H444, "NA")</f>
        <v>2.8803500456101975E-2</v>
      </c>
      <c r="J197" s="2"/>
      <c r="K197" s="14">
        <f>IFERROR(K175+K177+K178+K179+K180+K181+K183+K184+K186+K187+K188+K189+K190+K191+K192+K194+K195, "NA")</f>
        <v>37837.469999999994</v>
      </c>
      <c r="L197" s="15">
        <f>IFERROR(K197/K444, "NA")</f>
        <v>0.23165510517747043</v>
      </c>
      <c r="M197" s="2"/>
      <c r="N197" s="14">
        <f t="shared" si="49"/>
        <v>-7442.9099999999962</v>
      </c>
      <c r="O197" s="15">
        <f>IFERROR(N197/N444, "NA")</f>
        <v>-0.56104902284476188</v>
      </c>
      <c r="P197" s="2"/>
      <c r="Q197" s="14">
        <f>IFERROR(Q175+Q177+Q178+Q179+Q180+Q181+Q183+Q184+Q186+Q187+Q188+Q189+Q190+Q191+Q192+Q194+Q195, "NA")</f>
        <v>226954.77000000002</v>
      </c>
      <c r="R197" s="15">
        <f>IFERROR(Q197/Q444, "NA")</f>
        <v>0.2543878715792276</v>
      </c>
      <c r="S197" s="2"/>
      <c r="T197" s="14">
        <f>IFERROR(T175+T177+T178+T179+T180+T181+T183+T184+T186+T187+T188+T189+T190+T191+T192+T194+T195, "NA")</f>
        <v>215887.87</v>
      </c>
      <c r="U197" s="15">
        <f>IFERROR(T197/T444, "NA")</f>
        <v>0.27022761390467909</v>
      </c>
      <c r="V197" s="2"/>
      <c r="W197" s="14">
        <f t="shared" si="50"/>
        <v>-11066.900000000023</v>
      </c>
      <c r="X197" s="15">
        <f>IFERROR(W197/W444, "NA")</f>
        <v>-0.11868100002648843</v>
      </c>
      <c r="Y197" s="2"/>
      <c r="Z197" s="14">
        <f>IFERROR(Z175+Z177+Z178+Z179+Z180+Z181+Z183+Z184+Z186+Z187+Z188+Z189+Z190+Z191+Z192+Z194+Z195, "NA")</f>
        <v>181016.38000000003</v>
      </c>
      <c r="AA197" s="15">
        <f>IFERROR(Z197/Z444, "NA")</f>
        <v>0.25135404041232279</v>
      </c>
      <c r="AB197" s="2"/>
      <c r="AC197" s="14">
        <f t="shared" si="51"/>
        <v>-45938.389999999985</v>
      </c>
      <c r="AD197" s="15">
        <f>IFERROR(AC197/AC444, "NA")</f>
        <v>-0.26709088356167765</v>
      </c>
    </row>
    <row r="198" spans="1:30" ht="16.5" customHeight="1" x14ac:dyDescent="0.45">
      <c r="A198" s="22" t="s">
        <v>181</v>
      </c>
      <c r="B198" s="23">
        <f>IFERROR(B172-B197, "NA")</f>
        <v>79646.370000000024</v>
      </c>
      <c r="C198" s="24">
        <f>IFERROR(B198/B444, "NA")</f>
        <v>0.45099507127405897</v>
      </c>
      <c r="D198" s="25"/>
      <c r="E198" s="23">
        <f>IFERROR(E172-E197, "NA")</f>
        <v>96995.73000000004</v>
      </c>
      <c r="F198" s="24">
        <f>IFERROR(E198/E444, "NA")</f>
        <v>0.52183131689553308</v>
      </c>
      <c r="G198" s="25"/>
      <c r="H198" s="23">
        <f>IFERROR(B198-E198, "NA")</f>
        <v>-17349.360000000015</v>
      </c>
      <c r="I198" s="24">
        <f>IFERROR(H198/H444, "NA")</f>
        <v>1.8707082644146906</v>
      </c>
      <c r="J198" s="25"/>
      <c r="K198" s="23">
        <f>IFERROR(K172-K197, "NA")</f>
        <v>79331.840000000026</v>
      </c>
      <c r="L198" s="24">
        <f>IFERROR(K198/K444, "NA")</f>
        <v>0.48569911622321116</v>
      </c>
      <c r="M198" s="25"/>
      <c r="N198" s="23">
        <f>IFERROR(B198-K198, "NA")</f>
        <v>314.52999999999884</v>
      </c>
      <c r="O198" s="24">
        <f>IFERROR(N198/N444, "NA")</f>
        <v>2.3709375654866496E-2</v>
      </c>
      <c r="P198" s="25"/>
      <c r="Q198" s="23">
        <f>IFERROR(Q172-Q197, "NA")</f>
        <v>426180.39999999991</v>
      </c>
      <c r="R198" s="24">
        <f>IFERROR(Q198/Q444, "NA")</f>
        <v>0.47769485023286279</v>
      </c>
      <c r="S198" s="25"/>
      <c r="T198" s="23">
        <f>IFERROR(T172-T197, "NA")</f>
        <v>387932.32999999996</v>
      </c>
      <c r="U198" s="24">
        <f>IFERROR(T198/T444, "NA")</f>
        <v>0.4855762757415808</v>
      </c>
      <c r="V198" s="25"/>
      <c r="W198" s="23">
        <f>IFERROR(Q198-T198, "NA")</f>
        <v>38248.069999999949</v>
      </c>
      <c r="X198" s="24">
        <f>IFERROR(W198/W444, "NA")</f>
        <v>0.41017079730395284</v>
      </c>
      <c r="Y198" s="25"/>
      <c r="Z198" s="23">
        <f>IFERROR(Z172-Z197, "NA")</f>
        <v>337153.68999999983</v>
      </c>
      <c r="AA198" s="24">
        <f>IFERROR(Z198/Z444, "NA")</f>
        <v>0.46816173332724748</v>
      </c>
      <c r="AB198" s="25"/>
      <c r="AC198" s="23">
        <f>IFERROR(Q198-Z198, "NA")</f>
        <v>89026.710000000079</v>
      </c>
      <c r="AD198" s="24">
        <f>IFERROR(AC198/AC444, "NA")</f>
        <v>0.51761114471990144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3159.89</v>
      </c>
      <c r="F201" s="8">
        <f>IFERROR(E201/E444, "NA")</f>
        <v>1.700002216535744E-2</v>
      </c>
      <c r="G201" s="9"/>
      <c r="H201" s="10">
        <f t="shared" ref="H201:H209" si="52">IFERROR(-(B201-E201), "NA")</f>
        <v>3159.89</v>
      </c>
      <c r="I201" s="8">
        <f>IFERROR(H201/H444, "NA")</f>
        <v>-0.34071760212718694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13829.8</v>
      </c>
      <c r="U201" s="8">
        <f>IFERROR(T201/T444, "NA")</f>
        <v>1.7310809795746888E-2</v>
      </c>
      <c r="V201" s="9"/>
      <c r="W201" s="10">
        <f t="shared" ref="W201:W209" si="54">IFERROR(-(Q201-T201), "NA")</f>
        <v>13829.8</v>
      </c>
      <c r="X201" s="8">
        <f>IFERROR(W201/W444, "NA")</f>
        <v>0.14831023088365541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1632.13</v>
      </c>
      <c r="C202" s="8">
        <f>IFERROR(B202/B444, "NA")</f>
        <v>9.24188491802614E-3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-1632.13</v>
      </c>
      <c r="I202" s="8">
        <f>IFERROR(H202/H444, "NA")</f>
        <v>0.17598568936255554</v>
      </c>
      <c r="J202" s="9"/>
      <c r="K202" s="7">
        <v>945.48</v>
      </c>
      <c r="L202" s="8">
        <f>IFERROR(K202/K444, "NA")</f>
        <v>5.7885812355634447E-3</v>
      </c>
      <c r="M202" s="9"/>
      <c r="N202" s="10">
        <f t="shared" si="53"/>
        <v>-686.65000000000009</v>
      </c>
      <c r="O202" s="8">
        <f>IFERROR(N202/N444, "NA")</f>
        <v>-5.1759904598652401E-2</v>
      </c>
      <c r="P202" s="9"/>
      <c r="Q202" s="7">
        <v>7009.64</v>
      </c>
      <c r="R202" s="8">
        <f>IFERROR(Q202/Q444, "NA")</f>
        <v>7.8569284978527529E-3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-7009.64</v>
      </c>
      <c r="X202" s="8">
        <f>IFERROR(W202/W444, "NA")</f>
        <v>-7.5171103473029716E-2</v>
      </c>
      <c r="Y202" s="9"/>
      <c r="Z202" s="7">
        <v>5804.88</v>
      </c>
      <c r="AA202" s="8">
        <f>IFERROR(Z202/Z444, "NA")</f>
        <v>8.0604862505187884E-3</v>
      </c>
      <c r="AB202" s="9"/>
      <c r="AC202" s="10">
        <f t="shared" si="55"/>
        <v>-1204.7600000000002</v>
      </c>
      <c r="AD202" s="8">
        <f>IFERROR(AC202/AC444, "NA")</f>
        <v>-7.0046079734132367E-3</v>
      </c>
    </row>
    <row r="203" spans="1:30" ht="16.5" customHeight="1" x14ac:dyDescent="0.45">
      <c r="A203" s="6" t="s">
        <v>185</v>
      </c>
      <c r="B203" s="7">
        <v>975.08</v>
      </c>
      <c r="C203" s="8">
        <f>IFERROR(B203/B444, "NA")</f>
        <v>5.5213599075250924E-3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-975.08</v>
      </c>
      <c r="I203" s="8">
        <f>IFERROR(H203/H444, "NA")</f>
        <v>0.10513876099553385</v>
      </c>
      <c r="J203" s="9"/>
      <c r="K203" s="7">
        <v>697.91</v>
      </c>
      <c r="L203" s="8">
        <f>IFERROR(K203/K444, "NA")</f>
        <v>4.2728653489360786E-3</v>
      </c>
      <c r="M203" s="9"/>
      <c r="N203" s="10">
        <f t="shared" si="53"/>
        <v>-277.17000000000007</v>
      </c>
      <c r="O203" s="8">
        <f>IFERROR(N203/N444, "NA")</f>
        <v>-2.0893166471431572E-2</v>
      </c>
      <c r="P203" s="9"/>
      <c r="Q203" s="7">
        <v>6506.25</v>
      </c>
      <c r="R203" s="8">
        <f>IFERROR(Q203/Q444, "NA")</f>
        <v>7.2926913563541732E-3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-6506.25</v>
      </c>
      <c r="X203" s="8">
        <f>IFERROR(W203/W444, "NA")</f>
        <v>-6.9772768925565304E-2</v>
      </c>
      <c r="Y203" s="9"/>
      <c r="Z203" s="7">
        <v>4513.82</v>
      </c>
      <c r="AA203" s="8">
        <f>IFERROR(Z203/Z444, "NA")</f>
        <v>6.2677581702492921E-3</v>
      </c>
      <c r="AB203" s="9"/>
      <c r="AC203" s="10">
        <f t="shared" si="55"/>
        <v>-1992.4300000000003</v>
      </c>
      <c r="AD203" s="8">
        <f>IFERROR(AC203/AC444, "NA")</f>
        <v>-1.1584208526567727E-2</v>
      </c>
    </row>
    <row r="204" spans="1:30" ht="16.5" customHeight="1" x14ac:dyDescent="0.45">
      <c r="A204" s="6" t="s">
        <v>186</v>
      </c>
      <c r="B204" s="7">
        <v>359.13</v>
      </c>
      <c r="C204" s="8">
        <f>IFERROR(B204/B444, "NA")</f>
        <v>2.0335623575393671E-3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-359.13</v>
      </c>
      <c r="I204" s="8">
        <f>IFERROR(H204/H444, "NA")</f>
        <v>3.8723472162618525E-2</v>
      </c>
      <c r="J204" s="9"/>
      <c r="K204" s="7">
        <v>352.63</v>
      </c>
      <c r="L204" s="8">
        <f>IFERROR(K204/K444, "NA")</f>
        <v>2.1589323952878299E-3</v>
      </c>
      <c r="M204" s="9"/>
      <c r="N204" s="10">
        <f t="shared" si="53"/>
        <v>-6.5</v>
      </c>
      <c r="O204" s="8">
        <f>IFERROR(N204/N444, "NA")</f>
        <v>-4.8997215450555676E-4</v>
      </c>
      <c r="P204" s="9"/>
      <c r="Q204" s="7">
        <v>771.72</v>
      </c>
      <c r="R204" s="8">
        <f>IFERROR(Q204/Q444, "NA")</f>
        <v>8.6500146375033892E-4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-771.72</v>
      </c>
      <c r="X204" s="8">
        <f>IFERROR(W204/W444, "NA")</f>
        <v>-8.2758949064725851E-3</v>
      </c>
      <c r="Y204" s="9"/>
      <c r="Z204" s="7">
        <v>1502.96</v>
      </c>
      <c r="AA204" s="8">
        <f>IFERROR(Z204/Z444, "NA")</f>
        <v>2.0869662103402166E-3</v>
      </c>
      <c r="AB204" s="9"/>
      <c r="AC204" s="10">
        <f t="shared" si="55"/>
        <v>731.24</v>
      </c>
      <c r="AD204" s="8">
        <f>IFERROR(AC204/AC444, "NA")</f>
        <v>4.2515102879234819E-3</v>
      </c>
    </row>
    <row r="205" spans="1:30" ht="16.5" customHeight="1" x14ac:dyDescent="0.45">
      <c r="A205" s="6" t="s">
        <v>187</v>
      </c>
      <c r="B205" s="7">
        <v>739.03</v>
      </c>
      <c r="C205" s="8">
        <f>IFERROR(B205/B444, "NA")</f>
        <v>4.1847341884340451E-3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-739.03</v>
      </c>
      <c r="I205" s="8">
        <f>IFERROR(H205/H444, "NA")</f>
        <v>7.9686485763762333E-2</v>
      </c>
      <c r="J205" s="9"/>
      <c r="K205" s="7">
        <v>354.95</v>
      </c>
      <c r="L205" s="8">
        <f>IFERROR(K205/K444, "NA")</f>
        <v>2.173136300676106E-3</v>
      </c>
      <c r="M205" s="9"/>
      <c r="N205" s="10">
        <f t="shared" si="53"/>
        <v>-384.08</v>
      </c>
      <c r="O205" s="8">
        <f>IFERROR(N205/N444, "NA")</f>
        <v>-2.8952077708076038E-2</v>
      </c>
      <c r="P205" s="9"/>
      <c r="Q205" s="7">
        <v>3734.07</v>
      </c>
      <c r="R205" s="8">
        <f>IFERROR(Q205/Q444, "NA")</f>
        <v>4.185424785863044E-3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-3734.07</v>
      </c>
      <c r="X205" s="8">
        <f>IFERROR(W205/W444, "NA")</f>
        <v>-4.0044019713642368E-2</v>
      </c>
      <c r="Y205" s="9"/>
      <c r="Z205" s="7">
        <v>2241.69</v>
      </c>
      <c r="AA205" s="8">
        <f>IFERROR(Z205/Z444, "NA")</f>
        <v>3.1127450391610959E-3</v>
      </c>
      <c r="AB205" s="9"/>
      <c r="AC205" s="10">
        <f t="shared" si="55"/>
        <v>-1492.38</v>
      </c>
      <c r="AD205" s="8">
        <f>IFERROR(AC205/AC444, "NA")</f>
        <v>-8.6768624849450898E-3</v>
      </c>
    </row>
    <row r="206" spans="1:30" ht="16.5" customHeight="1" x14ac:dyDescent="0.45">
      <c r="A206" s="6" t="s">
        <v>188</v>
      </c>
      <c r="B206" s="7">
        <v>293.61</v>
      </c>
      <c r="C206" s="8">
        <f>IFERROR(B206/B444, "NA")</f>
        <v>1.662557413185013E-3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-293.61</v>
      </c>
      <c r="I206" s="8">
        <f>IFERROR(H206/H444, "NA")</f>
        <v>3.1658727095108807E-2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-293.61</v>
      </c>
      <c r="O206" s="8">
        <f>IFERROR(N206/N444, "NA")</f>
        <v>-2.2132419120673315E-2</v>
      </c>
      <c r="P206" s="9"/>
      <c r="Q206" s="7">
        <v>587.42999999999995</v>
      </c>
      <c r="R206" s="8">
        <f>IFERROR(Q206/Q444, "NA")</f>
        <v>6.5843545567156685E-4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-587.42999999999995</v>
      </c>
      <c r="X206" s="8">
        <f>IFERROR(W206/W444, "NA")</f>
        <v>-6.299576199799397E-3</v>
      </c>
      <c r="Y206" s="9"/>
      <c r="Z206" s="7">
        <v>422.99</v>
      </c>
      <c r="AA206" s="8">
        <f>IFERROR(Z206/Z444, "NA")</f>
        <v>5.8735151787925712E-4</v>
      </c>
      <c r="AB206" s="9"/>
      <c r="AC206" s="10">
        <f t="shared" si="55"/>
        <v>-164.43999999999994</v>
      </c>
      <c r="AD206" s="8">
        <f>IFERROR(AC206/AC444, "NA")</f>
        <v>-9.5607235893295929E-4</v>
      </c>
    </row>
    <row r="207" spans="1:30" ht="16.5" customHeight="1" x14ac:dyDescent="0.45">
      <c r="A207" s="6" t="s">
        <v>189</v>
      </c>
      <c r="B207" s="7">
        <v>488.7</v>
      </c>
      <c r="C207" s="8">
        <f>IFERROR(B207/B444, "NA")</f>
        <v>2.7672484173683312E-3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-488.7</v>
      </c>
      <c r="I207" s="8">
        <f>IFERROR(H207/H444, "NA")</f>
        <v>5.2694458401892554E-2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-488.7</v>
      </c>
      <c r="O207" s="8">
        <f>IFERROR(N207/N444, "NA")</f>
        <v>-3.6838367985671631E-2</v>
      </c>
      <c r="P207" s="9"/>
      <c r="Q207" s="7">
        <v>588.29999999999995</v>
      </c>
      <c r="R207" s="8">
        <f>IFERROR(Q207/Q444, "NA")</f>
        <v>6.5941061670596118E-4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-588.29999999999995</v>
      </c>
      <c r="X207" s="8">
        <f>IFERROR(W207/W444, "NA")</f>
        <v>-6.3089060455577429E-3</v>
      </c>
      <c r="Y207" s="9"/>
      <c r="Z207" s="7">
        <v>308.3</v>
      </c>
      <c r="AA207" s="8">
        <f>IFERROR(Z207/Z444, "NA")</f>
        <v>4.2809634497783627E-4</v>
      </c>
      <c r="AB207" s="9"/>
      <c r="AC207" s="10">
        <f t="shared" si="55"/>
        <v>-279.99999999999994</v>
      </c>
      <c r="AD207" s="8">
        <f>IFERROR(AC207/AC444, "NA")</f>
        <v>-1.6279509882098555E-3</v>
      </c>
    </row>
    <row r="208" spans="1:30" ht="16.5" customHeight="1" x14ac:dyDescent="0.45">
      <c r="A208" s="6" t="s">
        <v>190</v>
      </c>
      <c r="B208" s="7">
        <v>282.14</v>
      </c>
      <c r="C208" s="8">
        <f>IFERROR(B208/B444, "NA")</f>
        <v>1.5976088980484979E-3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-282.14</v>
      </c>
      <c r="I208" s="8">
        <f>IFERROR(H208/H444, "NA")</f>
        <v>3.0421965405176925E-2</v>
      </c>
      <c r="J208" s="9"/>
      <c r="K208" s="7">
        <v>21.19</v>
      </c>
      <c r="L208" s="8">
        <f>IFERROR(K208/K444, "NA")</f>
        <v>1.2973308412826226E-4</v>
      </c>
      <c r="M208" s="9"/>
      <c r="N208" s="10">
        <f t="shared" si="53"/>
        <v>-260.95</v>
      </c>
      <c r="O208" s="8">
        <f>IFERROR(N208/N444, "NA")</f>
        <v>-1.9670497495111544E-2</v>
      </c>
      <c r="P208" s="9"/>
      <c r="Q208" s="7">
        <v>918.71</v>
      </c>
      <c r="R208" s="8">
        <f>IFERROR(Q208/Q444, "NA")</f>
        <v>1.0297588435728942E-3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-918.71</v>
      </c>
      <c r="X208" s="8">
        <f>IFERROR(W208/W444, "NA")</f>
        <v>-9.8522098812074705E-3</v>
      </c>
      <c r="Y208" s="9"/>
      <c r="Z208" s="7">
        <v>625.28</v>
      </c>
      <c r="AA208" s="8">
        <f>IFERROR(Z208/Z444, "NA")</f>
        <v>8.6824548358008908E-4</v>
      </c>
      <c r="AB208" s="9"/>
      <c r="AC208" s="10">
        <f t="shared" si="55"/>
        <v>-293.43000000000006</v>
      </c>
      <c r="AD208" s="8">
        <f>IFERROR(AC208/AC444, "NA")</f>
        <v>-1.7060344945372076E-3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4769.8200000000006</v>
      </c>
      <c r="C209" s="15">
        <f>IFERROR(B209/B444, "NA")</f>
        <v>2.7008956100126491E-2</v>
      </c>
      <c r="D209" s="2"/>
      <c r="E209" s="14">
        <f>IFERROR(E201+E202+E203+E204+E205+E206+E207+E208, "NA")</f>
        <v>3159.89</v>
      </c>
      <c r="F209" s="15">
        <f>IFERROR(E209/E444, "NA")</f>
        <v>1.700002216535744E-2</v>
      </c>
      <c r="G209" s="2"/>
      <c r="H209" s="14">
        <f t="shared" si="52"/>
        <v>-1609.9300000000007</v>
      </c>
      <c r="I209" s="15">
        <f>IFERROR(H209/H444, "NA")</f>
        <v>0.17359195705946168</v>
      </c>
      <c r="J209" s="2"/>
      <c r="K209" s="14">
        <f>IFERROR(K201+K202+K203+K204+K205+K206+K207+K208, "NA")</f>
        <v>2372.16</v>
      </c>
      <c r="L209" s="15">
        <f>IFERROR(K209/K444, "NA")</f>
        <v>1.4523248364591722E-2</v>
      </c>
      <c r="M209" s="2"/>
      <c r="N209" s="14">
        <f t="shared" si="53"/>
        <v>-2397.6600000000008</v>
      </c>
      <c r="O209" s="15">
        <f>IFERROR(N209/N444, "NA")</f>
        <v>-0.1807364055341221</v>
      </c>
      <c r="P209" s="2"/>
      <c r="Q209" s="14">
        <f>IFERROR(Q201+Q202+Q203+Q204+Q205+Q206+Q207+Q208, "NA")</f>
        <v>20116.12</v>
      </c>
      <c r="R209" s="15">
        <f>IFERROR(Q209/Q444, "NA")</f>
        <v>2.2547651019770729E-2</v>
      </c>
      <c r="S209" s="2"/>
      <c r="T209" s="14">
        <f>IFERROR(T201+T202+T203+T204+T205+T206+T207+T208, "NA")</f>
        <v>13829.8</v>
      </c>
      <c r="U209" s="15">
        <f>IFERROR(T209/T444, "NA")</f>
        <v>1.7310809795746888E-2</v>
      </c>
      <c r="V209" s="2"/>
      <c r="W209" s="14">
        <f t="shared" si="54"/>
        <v>-6286.32</v>
      </c>
      <c r="X209" s="15">
        <f>IFERROR(W209/W444, "NA")</f>
        <v>-6.7414248261619167E-2</v>
      </c>
      <c r="Y209" s="2"/>
      <c r="Z209" s="14">
        <f>IFERROR(Z201+Z202+Z203+Z204+Z205+Z206+Z207+Z208, "NA")</f>
        <v>15419.92</v>
      </c>
      <c r="AA209" s="15">
        <f>IFERROR(Z209/Z444, "NA")</f>
        <v>2.1411649016706575E-2</v>
      </c>
      <c r="AB209" s="2"/>
      <c r="AC209" s="14">
        <f t="shared" si="55"/>
        <v>-4696.1999999999989</v>
      </c>
      <c r="AD209" s="15">
        <f>IFERROR(AC209/AC444, "NA")</f>
        <v>-2.7304226538682586E-2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8375.7199999999993</v>
      </c>
      <c r="F213" s="8">
        <f>IFERROR(E213/E444, "NA")</f>
        <v>4.5060880489772616E-2</v>
      </c>
      <c r="G213" s="9"/>
      <c r="H213" s="10">
        <f t="shared" ref="H213:H227" si="56">IFERROR(-(B213-E213), "NA")</f>
        <v>8375.7199999999993</v>
      </c>
      <c r="I213" s="8">
        <f>IFERROR(H213/H444, "NA")</f>
        <v>-0.90311853719234592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36929.53</v>
      </c>
      <c r="U213" s="8">
        <f>IFERROR(T213/T444, "NA")</f>
        <v>4.622482390752785E-2</v>
      </c>
      <c r="V213" s="9"/>
      <c r="W213" s="10">
        <f t="shared" ref="W213:W227" si="58">IFERROR(-(Q213-T213), "NA")</f>
        <v>36929.53</v>
      </c>
      <c r="X213" s="8">
        <f>IFERROR(W213/W444, "NA")</f>
        <v>0.39603082623934399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1103.73</v>
      </c>
      <c r="C214" s="8">
        <f>IFERROR(B214/B444, "NA")</f>
        <v>6.2498364962184335E-3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-1103.73</v>
      </c>
      <c r="I214" s="8">
        <f>IFERROR(H214/H444, "NA")</f>
        <v>0.11901054751774272</v>
      </c>
      <c r="J214" s="9"/>
      <c r="K214" s="7">
        <v>785</v>
      </c>
      <c r="L214" s="8">
        <f>IFERROR(K214/K444, "NA")</f>
        <v>4.8060628145675261E-3</v>
      </c>
      <c r="M214" s="9"/>
      <c r="N214" s="10">
        <f t="shared" si="57"/>
        <v>-318.73</v>
      </c>
      <c r="O214" s="8">
        <f>IFERROR(N214/N444, "NA")</f>
        <v>-2.4025973047008636E-2</v>
      </c>
      <c r="P214" s="9"/>
      <c r="Q214" s="7">
        <v>22327.63</v>
      </c>
      <c r="R214" s="8">
        <f>IFERROR(Q214/Q444, "NA")</f>
        <v>2.5026476742958562E-2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-22327.63</v>
      </c>
      <c r="X214" s="8">
        <f>IFERROR(W214/W444, "NA")</f>
        <v>-0.2394406253441721</v>
      </c>
      <c r="Y214" s="9"/>
      <c r="Z214" s="7">
        <v>3515</v>
      </c>
      <c r="AA214" s="8">
        <f>IFERROR(Z214/Z444, "NA")</f>
        <v>4.8808259896110755E-3</v>
      </c>
      <c r="AB214" s="9"/>
      <c r="AC214" s="10">
        <f t="shared" si="59"/>
        <v>-18812.63</v>
      </c>
      <c r="AD214" s="8">
        <f>IFERROR(AC214/AC444, "NA")</f>
        <v>-0.10937871285473708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275.89</v>
      </c>
      <c r="C216" s="8">
        <f>IFERROR(B216/B444, "NA")</f>
        <v>1.5622184691380168E-3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-275.89</v>
      </c>
      <c r="I216" s="8">
        <f>IFERROR(H216/H444, "NA")</f>
        <v>2.9748054283810384E-2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-275.89</v>
      </c>
      <c r="O216" s="8">
        <f>IFERROR(N216/N444, "NA")</f>
        <v>-2.0796679647159703E-2</v>
      </c>
      <c r="P216" s="9"/>
      <c r="Q216" s="7">
        <v>390.89</v>
      </c>
      <c r="R216" s="8">
        <f>IFERROR(Q216/Q444, "NA")</f>
        <v>4.3813873187862175E-4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-390.89</v>
      </c>
      <c r="X216" s="8">
        <f>IFERROR(W216/W444, "NA")</f>
        <v>-4.1918889752644338E-3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-390.89</v>
      </c>
      <c r="AD216" s="8">
        <f>IFERROR(AC216/AC444, "NA")</f>
        <v>-2.2726777206476807E-3</v>
      </c>
    </row>
    <row r="217" spans="1:30" ht="16.5" customHeight="1" x14ac:dyDescent="0.45">
      <c r="A217" s="12" t="s">
        <v>197</v>
      </c>
      <c r="B217" s="7">
        <v>3207.55</v>
      </c>
      <c r="C217" s="8">
        <f>IFERROR(B217/B444, "NA")</f>
        <v>1.816265124029014E-2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-3207.55</v>
      </c>
      <c r="I217" s="8">
        <f>IFERROR(H217/H444, "NA")</f>
        <v>0.34585657877427967</v>
      </c>
      <c r="J217" s="9"/>
      <c r="K217" s="7">
        <v>481</v>
      </c>
      <c r="L217" s="8">
        <f>IFERROR(K217/K444, "NA")</f>
        <v>2.9448614188623949E-3</v>
      </c>
      <c r="M217" s="9"/>
      <c r="N217" s="10">
        <f t="shared" si="57"/>
        <v>-2726.55</v>
      </c>
      <c r="O217" s="8">
        <f>IFERROR(N217/N444, "NA")</f>
        <v>-0.20552824274878861</v>
      </c>
      <c r="P217" s="9"/>
      <c r="Q217" s="7">
        <v>23576.89</v>
      </c>
      <c r="R217" s="8">
        <f>IFERROR(Q217/Q444, "NA")</f>
        <v>2.642674073586369E-2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-23576.89</v>
      </c>
      <c r="X217" s="8">
        <f>IFERROR(W217/W444, "NA")</f>
        <v>-0.25283764041551915</v>
      </c>
      <c r="Y217" s="9"/>
      <c r="Z217" s="7">
        <v>1647.56</v>
      </c>
      <c r="AA217" s="8">
        <f>IFERROR(Z217/Z444, "NA")</f>
        <v>2.2877535327008882E-3</v>
      </c>
      <c r="AB217" s="9"/>
      <c r="AC217" s="10">
        <f t="shared" si="59"/>
        <v>-21929.329999999998</v>
      </c>
      <c r="AD217" s="8">
        <f>IFERROR(AC217/AC444, "NA")</f>
        <v>-0.12749955158671442</v>
      </c>
    </row>
    <row r="218" spans="1:30" ht="16.5" customHeight="1" x14ac:dyDescent="0.45">
      <c r="A218" s="13" t="s">
        <v>198</v>
      </c>
      <c r="B218" s="14">
        <f>IFERROR(B213+B214+B215+B216+B217, "NA")</f>
        <v>4587.17</v>
      </c>
      <c r="C218" s="15">
        <f>IFERROR(B218/B444, "NA")</f>
        <v>2.597470620564659E-2</v>
      </c>
      <c r="D218" s="2"/>
      <c r="E218" s="14">
        <f>IFERROR(E213+E214+E215+E216+E217, "NA")</f>
        <v>8375.7199999999993</v>
      </c>
      <c r="F218" s="15">
        <f>IFERROR(E218/E444, "NA")</f>
        <v>4.5060880489772616E-2</v>
      </c>
      <c r="G218" s="2"/>
      <c r="H218" s="14">
        <f t="shared" si="56"/>
        <v>3788.5499999999993</v>
      </c>
      <c r="I218" s="15">
        <f>IFERROR(H218/H444, "NA")</f>
        <v>-0.40850335661651316</v>
      </c>
      <c r="J218" s="2"/>
      <c r="K218" s="14">
        <f>IFERROR(K213+K214+K215+K216+K217, "NA")</f>
        <v>1266</v>
      </c>
      <c r="L218" s="15">
        <f>IFERROR(K218/K444, "NA")</f>
        <v>7.7509242334299205E-3</v>
      </c>
      <c r="M218" s="2"/>
      <c r="N218" s="14">
        <f t="shared" si="57"/>
        <v>-3321.17</v>
      </c>
      <c r="O218" s="15">
        <f>IFERROR(N218/N444, "NA")</f>
        <v>-0.25035089544295697</v>
      </c>
      <c r="P218" s="2"/>
      <c r="Q218" s="14">
        <f>IFERROR(Q213+Q214+Q215+Q216+Q217, "NA")</f>
        <v>46295.41</v>
      </c>
      <c r="R218" s="15">
        <f>IFERROR(Q218/Q444, "NA")</f>
        <v>5.1891356210700873E-2</v>
      </c>
      <c r="S218" s="2"/>
      <c r="T218" s="14">
        <f>IFERROR(T213+T214+T215+T216+T217, "NA")</f>
        <v>36929.53</v>
      </c>
      <c r="U218" s="15">
        <f>IFERROR(T218/T444, "NA")</f>
        <v>4.622482390752785E-2</v>
      </c>
      <c r="V218" s="2"/>
      <c r="W218" s="14">
        <f t="shared" si="58"/>
        <v>-9365.8800000000047</v>
      </c>
      <c r="X218" s="15">
        <f>IFERROR(W218/W444, "NA")</f>
        <v>-0.10043932849561174</v>
      </c>
      <c r="Y218" s="2"/>
      <c r="Z218" s="14">
        <f>IFERROR(Z213+Z214+Z215+Z216+Z217, "NA")</f>
        <v>5162.5599999999995</v>
      </c>
      <c r="AA218" s="15">
        <f>IFERROR(Z218/Z444, "NA")</f>
        <v>7.1685795223119632E-3</v>
      </c>
      <c r="AB218" s="2"/>
      <c r="AC218" s="14">
        <f t="shared" si="59"/>
        <v>-41132.850000000006</v>
      </c>
      <c r="AD218" s="15">
        <f>IFERROR(AC218/AC444, "NA")</f>
        <v>-0.23915094216209923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87.5</v>
      </c>
      <c r="C222" s="8">
        <f>IFERROR(B222/B444, "NA")</f>
        <v>4.9546600474673422E-4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-87.5</v>
      </c>
      <c r="I222" s="8">
        <f>IFERROR(H222/H444, "NA")</f>
        <v>9.4347556991315699E-3</v>
      </c>
      <c r="J222" s="9"/>
      <c r="K222" s="7">
        <v>87.5</v>
      </c>
      <c r="L222" s="8">
        <f>IFERROR(K222/K444, "NA")</f>
        <v>5.3570763856644393E-4</v>
      </c>
      <c r="M222" s="9"/>
      <c r="N222" s="10">
        <f t="shared" si="57"/>
        <v>0</v>
      </c>
      <c r="O222" s="8">
        <f>IFERROR(N222/N444, "NA")</f>
        <v>0</v>
      </c>
      <c r="P222" s="9"/>
      <c r="Q222" s="7">
        <v>1441.3</v>
      </c>
      <c r="R222" s="8">
        <f>IFERROR(Q222/Q444, "NA")</f>
        <v>1.6155167803132786E-3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-1441.3</v>
      </c>
      <c r="X222" s="8">
        <f>IFERROR(W222/W444, "NA")</f>
        <v>-1.545644447299401E-2</v>
      </c>
      <c r="Y222" s="9"/>
      <c r="Z222" s="7">
        <v>637.5</v>
      </c>
      <c r="AA222" s="8">
        <f>IFERROR(Z222/Z444, "NA")</f>
        <v>8.8521381746146813E-4</v>
      </c>
      <c r="AB222" s="9"/>
      <c r="AC222" s="10">
        <f t="shared" si="59"/>
        <v>-803.8</v>
      </c>
      <c r="AD222" s="8">
        <f>IFERROR(AC222/AC444, "NA")</f>
        <v>-4.6733821582967214E-3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185.88</v>
      </c>
      <c r="F226" s="8">
        <f>IFERROR(E226/E444, "NA")</f>
        <v>1.0000234565433102E-3</v>
      </c>
      <c r="G226" s="9"/>
      <c r="H226" s="10">
        <f t="shared" si="56"/>
        <v>185.88</v>
      </c>
      <c r="I226" s="8">
        <f>IFERROR(H226/H444, "NA")</f>
        <v>-2.0042655878338013E-2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798.92</v>
      </c>
      <c r="U226" s="8">
        <f>IFERROR(T226/T444, "NA")</f>
        <v>1.0000110024742299E-3</v>
      </c>
      <c r="V226" s="9"/>
      <c r="W226" s="10">
        <f t="shared" si="58"/>
        <v>798.92</v>
      </c>
      <c r="X226" s="8">
        <f>IFERROR(W226/W444, "NA")</f>
        <v>8.5675866359289348E-3</v>
      </c>
      <c r="Y226" s="9"/>
      <c r="Z226" s="7">
        <v>1067.28</v>
      </c>
      <c r="AA226" s="8">
        <f>IFERROR(Z226/Z444, "NA")</f>
        <v>1.4819937303533735E-3</v>
      </c>
      <c r="AB226" s="9"/>
      <c r="AC226" s="10">
        <f t="shared" si="59"/>
        <v>1067.28</v>
      </c>
      <c r="AD226" s="8">
        <f>IFERROR(AC226/AC444, "NA")</f>
        <v>6.2052840382021959E-3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4674.67</v>
      </c>
      <c r="C227" s="15">
        <f>IFERROR(B227/B444, "NA")</f>
        <v>2.6470172210393324E-2</v>
      </c>
      <c r="D227" s="2"/>
      <c r="E227" s="14">
        <f>IFERROR(E211+E213+E214+E215+E216+E217+E219+E220+E221+E222+E223+E224+E225+E226, "NA")</f>
        <v>8561.5999999999985</v>
      </c>
      <c r="F227" s="15">
        <f>IFERROR(E227/E444, "NA")</f>
        <v>4.6060903946315922E-2</v>
      </c>
      <c r="G227" s="2"/>
      <c r="H227" s="14">
        <f t="shared" si="56"/>
        <v>3886.9299999999985</v>
      </c>
      <c r="I227" s="15">
        <f>IFERROR(H227/H444, "NA")</f>
        <v>-0.41911125679571953</v>
      </c>
      <c r="J227" s="2"/>
      <c r="K227" s="14">
        <f>IFERROR(K211+K213+K214+K215+K216+K217+K219+K220+K221+K222+K223+K224+K225+K226, "NA")</f>
        <v>1353.5</v>
      </c>
      <c r="L227" s="15">
        <f>IFERROR(K227/K444, "NA")</f>
        <v>8.2866318719963649E-3</v>
      </c>
      <c r="M227" s="2"/>
      <c r="N227" s="14">
        <f t="shared" si="57"/>
        <v>-3321.17</v>
      </c>
      <c r="O227" s="15">
        <f>IFERROR(N227/N444, "NA")</f>
        <v>-0.25035089544295697</v>
      </c>
      <c r="P227" s="2"/>
      <c r="Q227" s="14">
        <f>IFERROR(Q211+Q213+Q214+Q215+Q216+Q217+Q219+Q220+Q221+Q222+Q223+Q224+Q225+Q226, "NA")</f>
        <v>47736.710000000006</v>
      </c>
      <c r="R227" s="15">
        <f>IFERROR(Q227/Q444, "NA")</f>
        <v>5.3506872991014157E-2</v>
      </c>
      <c r="S227" s="2"/>
      <c r="T227" s="14">
        <f>IFERROR(T211+T213+T214+T215+T216+T217+T219+T220+T221+T222+T223+T224+T225+T226, "NA")</f>
        <v>37728.449999999997</v>
      </c>
      <c r="U227" s="15">
        <f>IFERROR(T227/T444, "NA")</f>
        <v>4.7224834910002074E-2</v>
      </c>
      <c r="V227" s="2"/>
      <c r="W227" s="14">
        <f t="shared" si="58"/>
        <v>-10008.260000000009</v>
      </c>
      <c r="X227" s="15">
        <f>IFERROR(W227/W444, "NA")</f>
        <v>-0.10732818633267688</v>
      </c>
      <c r="Y227" s="2"/>
      <c r="Z227" s="14">
        <f>IFERROR(Z211+Z213+Z214+Z215+Z216+Z217+Z219+Z220+Z221+Z222+Z223+Z224+Z225+Z226, "NA")</f>
        <v>6867.3399999999992</v>
      </c>
      <c r="AA227" s="15">
        <f>IFERROR(Z227/Z444, "NA")</f>
        <v>9.5357870701268041E-3</v>
      </c>
      <c r="AB227" s="2"/>
      <c r="AC227" s="14">
        <f t="shared" si="59"/>
        <v>-40869.37000000001</v>
      </c>
      <c r="AD227" s="15">
        <f>IFERROR(AC227/AC444, "NA")</f>
        <v>-0.23761904028219377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5529.8</v>
      </c>
      <c r="F229" s="8">
        <f>IFERROR(E229/E444, "NA")</f>
        <v>2.9749998439817071E-2</v>
      </c>
      <c r="G229" s="9"/>
      <c r="H229" s="10">
        <f t="shared" ref="H229:H236" si="60">IFERROR(-(B229-E229), "NA")</f>
        <v>5529.8</v>
      </c>
      <c r="I229" s="8">
        <f>IFERROR(H229/H444, "NA")</f>
        <v>-0.59625499502923152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23767.61</v>
      </c>
      <c r="U229" s="8">
        <f>IFERROR(T229/T444, "NA")</f>
        <v>2.9750001880684589E-2</v>
      </c>
      <c r="V229" s="9"/>
      <c r="W229" s="10">
        <f t="shared" ref="W229:W236" si="62">IFERROR(-(Q229-T229), "NA")</f>
        <v>23767.61</v>
      </c>
      <c r="X229" s="8">
        <f>IFERROR(W229/W444, "NA")</f>
        <v>0.25488291418911896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30</v>
      </c>
      <c r="AA230" s="8">
        <f>IFERROR(Z230/Z444, "NA")</f>
        <v>4.1657120821716148E-5</v>
      </c>
      <c r="AB230" s="9"/>
      <c r="AC230" s="10">
        <f t="shared" si="63"/>
        <v>30</v>
      </c>
      <c r="AD230" s="8">
        <f>IFERROR(AC230/AC444, "NA")</f>
        <v>1.7442332016534171E-4</v>
      </c>
    </row>
    <row r="231" spans="1:30" ht="16.5" customHeight="1" x14ac:dyDescent="0.45">
      <c r="A231" s="6" t="s">
        <v>210</v>
      </c>
      <c r="B231" s="7">
        <v>427</v>
      </c>
      <c r="C231" s="8">
        <f>IFERROR(B231/B444, "NA")</f>
        <v>2.4178741031640628E-3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-427</v>
      </c>
      <c r="I231" s="8">
        <f>IFERROR(H231/H444, "NA")</f>
        <v>4.6041607811762059E-2</v>
      </c>
      <c r="J231" s="9"/>
      <c r="K231" s="7">
        <v>434.33</v>
      </c>
      <c r="L231" s="8">
        <f>IFERROR(K231/K444, "NA")</f>
        <v>2.659130270383584E-3</v>
      </c>
      <c r="M231" s="9"/>
      <c r="N231" s="10">
        <f t="shared" si="61"/>
        <v>7.3299999999999841</v>
      </c>
      <c r="O231" s="8">
        <f>IFERROR(N231/N444, "NA")</f>
        <v>5.5253782961934205E-4</v>
      </c>
      <c r="P231" s="9"/>
      <c r="Q231" s="7">
        <v>2003.81</v>
      </c>
      <c r="R231" s="8">
        <f>IFERROR(Q231/Q444, "NA")</f>
        <v>2.246020037160585E-3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-2003.81</v>
      </c>
      <c r="X231" s="8">
        <f>IFERROR(W231/W444, "NA")</f>
        <v>-2.1488779573600309E-2</v>
      </c>
      <c r="Y231" s="9"/>
      <c r="Z231" s="7">
        <v>1859.49</v>
      </c>
      <c r="AA231" s="8">
        <f>IFERROR(Z231/Z444, "NA")</f>
        <v>2.5820333198924321E-3</v>
      </c>
      <c r="AB231" s="9"/>
      <c r="AC231" s="10">
        <f t="shared" si="63"/>
        <v>-144.31999999999994</v>
      </c>
      <c r="AD231" s="8">
        <f>IFERROR(AC231/AC444, "NA")</f>
        <v>-8.3909245220873676E-4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17</v>
      </c>
      <c r="AA233" s="8">
        <f>IFERROR(Z233/Z444, "NA")</f>
        <v>2.3605701798972484E-5</v>
      </c>
      <c r="AB233" s="9"/>
      <c r="AC233" s="10">
        <f t="shared" si="63"/>
        <v>17</v>
      </c>
      <c r="AD233" s="8">
        <f>IFERROR(AC233/AC444, "NA")</f>
        <v>9.8839881427026968E-5</v>
      </c>
    </row>
    <row r="234" spans="1:30" ht="16.5" customHeight="1" x14ac:dyDescent="0.45">
      <c r="A234" s="6" t="s">
        <v>213</v>
      </c>
      <c r="B234" s="7">
        <v>3919.04</v>
      </c>
      <c r="C234" s="8">
        <f>IFERROR(B234/B444, "NA")</f>
        <v>2.2191441042773041E-2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-3919.04</v>
      </c>
      <c r="I234" s="8">
        <f>IFERROR(H234/H444, "NA")</f>
        <v>0.42257354257285246</v>
      </c>
      <c r="J234" s="9"/>
      <c r="K234" s="7">
        <v>4418.7</v>
      </c>
      <c r="L234" s="8">
        <f>IFERROR(K234/K444, "NA")</f>
        <v>2.7052929628954808E-2</v>
      </c>
      <c r="M234" s="9"/>
      <c r="N234" s="10">
        <f t="shared" si="61"/>
        <v>499.65999999999985</v>
      </c>
      <c r="O234" s="8">
        <f>IFERROR(N234/N444, "NA")</f>
        <v>3.7664536418499456E-2</v>
      </c>
      <c r="P234" s="9"/>
      <c r="Q234" s="7">
        <v>18543.810000000001</v>
      </c>
      <c r="R234" s="8">
        <f>IFERROR(Q234/Q444, "NA")</f>
        <v>2.0785288438174693E-2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-18543.810000000001</v>
      </c>
      <c r="X234" s="8">
        <f>IFERROR(W234/W444, "NA")</f>
        <v>-0.1988630885886013</v>
      </c>
      <c r="Y234" s="9"/>
      <c r="Z234" s="7">
        <v>19599.240000000002</v>
      </c>
      <c r="AA234" s="8">
        <f>IFERROR(Z234/Z444, "NA")</f>
        <v>2.7214930289793736E-2</v>
      </c>
      <c r="AB234" s="9"/>
      <c r="AC234" s="10">
        <f t="shared" si="63"/>
        <v>1055.4300000000003</v>
      </c>
      <c r="AD234" s="8">
        <f>IFERROR(AC234/AC444, "NA")</f>
        <v>6.1363868267368879E-3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4346.04</v>
      </c>
      <c r="C236" s="15">
        <f>IFERROR(B236/B444, "NA")</f>
        <v>2.4609315145937102E-2</v>
      </c>
      <c r="D236" s="2"/>
      <c r="E236" s="14">
        <f>IFERROR(E229+E230+E231+E232+E233+E234+E235, "NA")</f>
        <v>5529.8</v>
      </c>
      <c r="F236" s="15">
        <f>IFERROR(E236/E444, "NA")</f>
        <v>2.9749998439817071E-2</v>
      </c>
      <c r="G236" s="2"/>
      <c r="H236" s="14">
        <f t="shared" si="60"/>
        <v>1183.7600000000002</v>
      </c>
      <c r="I236" s="15">
        <f>IFERROR(H236/H444, "NA")</f>
        <v>-0.12763984464461703</v>
      </c>
      <c r="J236" s="2"/>
      <c r="K236" s="14">
        <f>IFERROR(K229+K230+K231+K232+K233+K234+K235, "NA")</f>
        <v>4853.03</v>
      </c>
      <c r="L236" s="15">
        <f>IFERROR(K236/K444, "NA")</f>
        <v>2.9712059899338394E-2</v>
      </c>
      <c r="M236" s="2"/>
      <c r="N236" s="14">
        <f t="shared" si="61"/>
        <v>506.98999999999978</v>
      </c>
      <c r="O236" s="15">
        <f>IFERROR(N236/N444, "NA")</f>
        <v>3.8217074248118793E-2</v>
      </c>
      <c r="P236" s="2"/>
      <c r="Q236" s="14">
        <f>IFERROR(Q229+Q230+Q231+Q232+Q233+Q234+Q235, "NA")</f>
        <v>20547.620000000003</v>
      </c>
      <c r="R236" s="15">
        <f>IFERROR(Q236/Q444, "NA")</f>
        <v>2.3031308475335278E-2</v>
      </c>
      <c r="S236" s="2"/>
      <c r="T236" s="14">
        <f>IFERROR(T229+T230+T231+T232+T233+T234+T235, "NA")</f>
        <v>23767.61</v>
      </c>
      <c r="U236" s="15">
        <f>IFERROR(T236/T444, "NA")</f>
        <v>2.9750001880684589E-2</v>
      </c>
      <c r="V236" s="2"/>
      <c r="W236" s="14">
        <f t="shared" si="62"/>
        <v>3219.989999999998</v>
      </c>
      <c r="X236" s="15">
        <f>IFERROR(W236/W444, "NA")</f>
        <v>3.4531046026917332E-2</v>
      </c>
      <c r="Y236" s="2"/>
      <c r="Z236" s="14">
        <f>IFERROR(Z229+Z230+Z231+Z232+Z233+Z234+Z235, "NA")</f>
        <v>21505.730000000003</v>
      </c>
      <c r="AA236" s="15">
        <f>IFERROR(Z236/Z444, "NA")</f>
        <v>2.9862226432306856E-2</v>
      </c>
      <c r="AB236" s="2"/>
      <c r="AC236" s="14">
        <f t="shared" si="63"/>
        <v>958.11000000000058</v>
      </c>
      <c r="AD236" s="15">
        <f>IFERROR(AC236/AC444, "NA")</f>
        <v>5.5705575761205214E-3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17002.79</v>
      </c>
      <c r="F240" s="8">
        <f>IFERROR(E240/E444, "NA")</f>
        <v>9.1474009181622726E-2</v>
      </c>
      <c r="G240" s="9"/>
      <c r="H240" s="10">
        <f t="shared" ref="H240:H263" si="64">IFERROR(-(B240-E240), "NA")</f>
        <v>17002.79</v>
      </c>
      <c r="I240" s="8">
        <f>IFERROR(H240/H444, "NA")</f>
        <v>-1.8333390840415689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73769.070000000007</v>
      </c>
      <c r="U240" s="8">
        <f>IFERROR(T240/T444, "NA")</f>
        <v>9.2337007012331204E-2</v>
      </c>
      <c r="V240" s="9"/>
      <c r="W240" s="10">
        <f t="shared" ref="W240:W263" si="66">IFERROR(-(Q240-T240), "NA")</f>
        <v>73769.070000000007</v>
      </c>
      <c r="X240" s="8">
        <f>IFERROR(W240/W444, "NA")</f>
        <v>0.79109660326053444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1895.43</v>
      </c>
      <c r="C242" s="8">
        <f>IFERROR(B242/B444, "NA")</f>
        <v>1.0732812907166885E-2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-1895.43</v>
      </c>
      <c r="I242" s="8">
        <f>IFERROR(H242/H444, "NA")</f>
        <v>0.20437621708348516</v>
      </c>
      <c r="J242" s="9"/>
      <c r="K242" s="7">
        <v>1970.47</v>
      </c>
      <c r="L242" s="8">
        <f>IFERROR(K242/K444, "NA")</f>
        <v>1.2063952349325953E-2</v>
      </c>
      <c r="M242" s="9"/>
      <c r="N242" s="10">
        <f t="shared" si="65"/>
        <v>75.039999999999964</v>
      </c>
      <c r="O242" s="8">
        <f>IFERROR(N242/N444, "NA")</f>
        <v>5.6565400729379949E-3</v>
      </c>
      <c r="P242" s="9"/>
      <c r="Q242" s="7">
        <v>12284.2</v>
      </c>
      <c r="R242" s="8">
        <f>IFERROR(Q242/Q444, "NA")</f>
        <v>1.376904963069755E-2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-12284.2</v>
      </c>
      <c r="X242" s="8">
        <f>IFERROR(W242/W444, "NA")</f>
        <v>-0.13173527731572401</v>
      </c>
      <c r="Y242" s="9"/>
      <c r="Z242" s="7">
        <v>9201.94</v>
      </c>
      <c r="AA242" s="8">
        <f>IFERROR(Z242/Z444, "NA")</f>
        <v>1.2777544212472756E-2</v>
      </c>
      <c r="AB242" s="9"/>
      <c r="AC242" s="10">
        <f t="shared" si="67"/>
        <v>-3082.26</v>
      </c>
      <c r="AD242" s="8">
        <f>IFERROR(AC242/AC444, "NA")</f>
        <v>-1.7920600760427539E-2</v>
      </c>
    </row>
    <row r="243" spans="1:30" ht="16.5" customHeight="1" x14ac:dyDescent="0.45">
      <c r="A243" s="12" t="s">
        <v>220</v>
      </c>
      <c r="B243" s="7">
        <v>7464.77</v>
      </c>
      <c r="C243" s="8">
        <f>IFERROR(B243/B444, "NA")</f>
        <v>4.2269025922894617E-2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-7464.77</v>
      </c>
      <c r="I243" s="8">
        <f>IFERROR(H243/H444, "NA")</f>
        <v>0.80489464343092998</v>
      </c>
      <c r="J243" s="9"/>
      <c r="K243" s="7">
        <v>6661.7</v>
      </c>
      <c r="L243" s="8">
        <f>IFERROR(K243/K444, "NA")</f>
        <v>4.0785412295292339E-2</v>
      </c>
      <c r="M243" s="9"/>
      <c r="N243" s="10">
        <f t="shared" si="65"/>
        <v>-803.07000000000062</v>
      </c>
      <c r="O243" s="8">
        <f>IFERROR(N243/N444, "NA")</f>
        <v>-6.0535682787504277E-2</v>
      </c>
      <c r="P243" s="9"/>
      <c r="Q243" s="7">
        <v>34080.120000000003</v>
      </c>
      <c r="R243" s="8">
        <f>IFERROR(Q243/Q444, "NA")</f>
        <v>3.8199546059175866E-2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-34080.120000000003</v>
      </c>
      <c r="X243" s="8">
        <f>IFERROR(W243/W444, "NA")</f>
        <v>-0.36547386554705658</v>
      </c>
      <c r="Y243" s="9"/>
      <c r="Z243" s="7">
        <v>33665.61</v>
      </c>
      <c r="AA243" s="8">
        <f>IFERROR(Z243/Z444, "NA")</f>
        <v>4.6747079443559179E-2</v>
      </c>
      <c r="AB243" s="9"/>
      <c r="AC243" s="10">
        <f t="shared" si="67"/>
        <v>-414.51000000000204</v>
      </c>
      <c r="AD243" s="8">
        <f>IFERROR(AC243/AC444, "NA")</f>
        <v>-2.410007014724538E-3</v>
      </c>
    </row>
    <row r="244" spans="1:30" ht="16.5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590</v>
      </c>
      <c r="R244" s="8">
        <f>IFERROR(Q244/Q444, "NA")</f>
        <v>6.6131610378466273E-4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-590</v>
      </c>
      <c r="X244" s="8">
        <f>IFERROR(W244/W444, "NA")</f>
        <v>-6.3271367786487658E-3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-590</v>
      </c>
      <c r="AD244" s="8">
        <f>IFERROR(AC244/AC444, "NA")</f>
        <v>-3.4303252965850535E-3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809.66</v>
      </c>
      <c r="C246" s="8">
        <f>IFERROR(B246/B444, "NA")</f>
        <v>4.5846743474656088E-3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-809.66</v>
      </c>
      <c r="I246" s="8">
        <f>IFERROR(H246/H444, "NA")</f>
        <v>8.7302220564101335E-2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-809.66</v>
      </c>
      <c r="O246" s="8">
        <f>IFERROR(N246/N444, "NA")</f>
        <v>-6.1032439171841403E-2</v>
      </c>
      <c r="P246" s="9"/>
      <c r="Q246" s="7">
        <v>3537.6</v>
      </c>
      <c r="R246" s="8">
        <f>IFERROR(Q246/Q444, "NA")</f>
        <v>3.9652065233027507E-3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-3537.6</v>
      </c>
      <c r="X246" s="8">
        <f>IFERROR(W246/W444, "NA")</f>
        <v>-3.7937083166352324E-2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-3537.6</v>
      </c>
      <c r="AD246" s="8">
        <f>IFERROR(AC246/AC444, "NA")</f>
        <v>-2.0567997913897094E-2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1.1399999999999999</v>
      </c>
      <c r="L247" s="8">
        <f>IFERROR(K247/K444, "NA")</f>
        <v>6.9795052338942403E-6</v>
      </c>
      <c r="M247" s="9"/>
      <c r="N247" s="10">
        <f t="shared" si="65"/>
        <v>1.1399999999999999</v>
      </c>
      <c r="O247" s="8">
        <f>IFERROR(N247/N444, "NA")</f>
        <v>8.5933577867128422E-5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8.94</v>
      </c>
      <c r="AA247" s="8">
        <f>IFERROR(Z247/Z444, "NA")</f>
        <v>1.2413822004871412E-5</v>
      </c>
      <c r="AB247" s="9"/>
      <c r="AC247" s="10">
        <f t="shared" si="67"/>
        <v>8.94</v>
      </c>
      <c r="AD247" s="8">
        <f>IFERROR(AC247/AC444, "NA")</f>
        <v>5.1978149409271823E-5</v>
      </c>
    </row>
    <row r="248" spans="1:30" ht="16.5" customHeight="1" x14ac:dyDescent="0.45">
      <c r="A248" s="12" t="s">
        <v>225</v>
      </c>
      <c r="B248" s="7">
        <v>246.65</v>
      </c>
      <c r="C248" s="8">
        <f>IFERROR(B248/B444, "NA")</f>
        <v>1.3966478865232227E-3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-246.65</v>
      </c>
      <c r="I248" s="8">
        <f>IFERROR(H248/H444, "NA")</f>
        <v>2.6595228493609162E-2</v>
      </c>
      <c r="J248" s="9"/>
      <c r="K248" s="7">
        <v>218.91</v>
      </c>
      <c r="L248" s="8">
        <f>IFERROR(K248/K444, "NA")</f>
        <v>1.34024867609806E-3</v>
      </c>
      <c r="M248" s="9"/>
      <c r="N248" s="10">
        <f t="shared" si="65"/>
        <v>-27.740000000000009</v>
      </c>
      <c r="O248" s="8">
        <f>IFERROR(N248/N444, "NA")</f>
        <v>-2.0910503947667923E-3</v>
      </c>
      <c r="P248" s="9"/>
      <c r="Q248" s="7">
        <v>976.4</v>
      </c>
      <c r="R248" s="8">
        <f>IFERROR(Q248/Q444, "NA")</f>
        <v>1.0944221080260079E-3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-976.4</v>
      </c>
      <c r="X248" s="8">
        <f>IFERROR(W248/W444, "NA")</f>
        <v>-1.0470875170631617E-2</v>
      </c>
      <c r="Y248" s="9"/>
      <c r="Z248" s="7">
        <v>965.34</v>
      </c>
      <c r="AA248" s="8">
        <f>IFERROR(Z248/Z444, "NA")</f>
        <v>1.3404428338011822E-3</v>
      </c>
      <c r="AB248" s="9"/>
      <c r="AC248" s="10">
        <f t="shared" si="67"/>
        <v>-11.059999999999945</v>
      </c>
      <c r="AD248" s="8">
        <f>IFERROR(AC248/AC444, "NA")</f>
        <v>-6.4304064034288993E-5</v>
      </c>
    </row>
    <row r="249" spans="1:30" ht="16.5" customHeight="1" x14ac:dyDescent="0.45">
      <c r="A249" s="12" t="s">
        <v>226</v>
      </c>
      <c r="B249" s="7">
        <v>2872.58</v>
      </c>
      <c r="C249" s="8">
        <f>IFERROR(B249/B444, "NA")</f>
        <v>1.6265894124747125E-2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-2872.58</v>
      </c>
      <c r="I249" s="8">
        <f>IFERROR(H249/H444, "NA")</f>
        <v>0.30973817744241561</v>
      </c>
      <c r="J249" s="9"/>
      <c r="K249" s="7">
        <v>3468.42</v>
      </c>
      <c r="L249" s="8">
        <f>IFERROR(K249/K444, "NA")</f>
        <v>2.1234961002932862E-2</v>
      </c>
      <c r="M249" s="9"/>
      <c r="N249" s="10">
        <f t="shared" si="65"/>
        <v>595.84000000000015</v>
      </c>
      <c r="O249" s="8">
        <f>IFERROR(N249/N444, "NA")</f>
        <v>4.491461669855247E-2</v>
      </c>
      <c r="P249" s="9"/>
      <c r="Q249" s="7">
        <v>18197.05</v>
      </c>
      <c r="R249" s="8">
        <f>IFERROR(Q249/Q444, "NA")</f>
        <v>2.0396613909109657E-2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-18197.05</v>
      </c>
      <c r="X249" s="8">
        <f>IFERROR(W249/W444, "NA")</f>
        <v>-0.1951444479964585</v>
      </c>
      <c r="Y249" s="9"/>
      <c r="Z249" s="7">
        <v>14023.77</v>
      </c>
      <c r="AA249" s="8">
        <f>IFERROR(Z249/Z444, "NA")</f>
        <v>1.9472996042198609E-2</v>
      </c>
      <c r="AB249" s="9"/>
      <c r="AC249" s="10">
        <f t="shared" si="67"/>
        <v>-4173.2799999999988</v>
      </c>
      <c r="AD249" s="8">
        <f>IFERROR(AC249/AC444, "NA")</f>
        <v>-2.4263911785987233E-2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23.59</v>
      </c>
      <c r="L252" s="8">
        <f>IFERROR(K252/K444, "NA")</f>
        <v>1.444267793575133E-4</v>
      </c>
      <c r="M252" s="9"/>
      <c r="N252" s="10">
        <f t="shared" si="65"/>
        <v>23.59</v>
      </c>
      <c r="O252" s="8">
        <f>IFERROR(N252/N444, "NA")</f>
        <v>1.7782220191978593E-3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155.75</v>
      </c>
      <c r="AA252" s="8">
        <f>IFERROR(Z252/Z444, "NA")</f>
        <v>2.1626988559940967E-4</v>
      </c>
      <c r="AB252" s="9"/>
      <c r="AC252" s="10">
        <f t="shared" si="67"/>
        <v>155.75</v>
      </c>
      <c r="AD252" s="8">
        <f>IFERROR(AC252/AC444, "NA")</f>
        <v>9.0554773719173239E-4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2565.52</v>
      </c>
      <c r="C254" s="8">
        <f>IFERROR(B254/B444, "NA")</f>
        <v>1.452717650854676E-2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-2565.52</v>
      </c>
      <c r="I254" s="8">
        <f>IFERROR(H254/H444, "NA")</f>
        <v>0.27662919361412602</v>
      </c>
      <c r="J254" s="9"/>
      <c r="K254" s="7">
        <v>1957.76</v>
      </c>
      <c r="L254" s="8">
        <f>IFERROR(K254/K444, "NA")</f>
        <v>1.1986136988341044E-2</v>
      </c>
      <c r="M254" s="9"/>
      <c r="N254" s="10">
        <f t="shared" si="65"/>
        <v>-607.76</v>
      </c>
      <c r="O254" s="8">
        <f>IFERROR(N254/N444, "NA")</f>
        <v>-4.5813150249584184E-2</v>
      </c>
      <c r="P254" s="9"/>
      <c r="Q254" s="7">
        <v>10974.5</v>
      </c>
      <c r="R254" s="8">
        <f>IFERROR(Q254/Q444, "NA")</f>
        <v>1.2301039967770816E-2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-10974.5</v>
      </c>
      <c r="X254" s="8">
        <f>IFERROR(W254/W444, "NA")</f>
        <v>-0.11769010606318793</v>
      </c>
      <c r="Y254" s="9"/>
      <c r="Z254" s="7">
        <v>10625.42</v>
      </c>
      <c r="AA254" s="8">
        <f>IFERROR(Z254/Z444, "NA")</f>
        <v>1.4754146824049305E-2</v>
      </c>
      <c r="AB254" s="9"/>
      <c r="AC254" s="10">
        <f t="shared" si="67"/>
        <v>-349.07999999999993</v>
      </c>
      <c r="AD254" s="8">
        <f>IFERROR(AC254/AC444, "NA")</f>
        <v>-2.0295897534439158E-3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328.82</v>
      </c>
      <c r="R257" s="8">
        <f>IFERROR(Q257/Q444, "NA")</f>
        <v>3.6856603601097087E-4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-328.82</v>
      </c>
      <c r="X257" s="8">
        <f>IFERROR(W257/W444, "NA")</f>
        <v>-3.5262527382293003E-3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-328.82</v>
      </c>
      <c r="AD257" s="8">
        <f>IFERROR(AC257/AC444, "NA")</f>
        <v>-1.9117958712255886E-3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15854.61</v>
      </c>
      <c r="C262" s="15">
        <f>IFERROR(B262/B444, "NA")</f>
        <v>8.9776231697344222E-2</v>
      </c>
      <c r="D262" s="2"/>
      <c r="E262" s="14">
        <f>IFERROR(E240+E241+E242+E243+E244+E245+E246+E247+E248+E249+E250+E251+E252+E253+E254+E255+E256+E257+E258+E259+E260+E261, "NA")</f>
        <v>17002.79</v>
      </c>
      <c r="F262" s="15">
        <f>IFERROR(E262/E444, "NA")</f>
        <v>9.1474009181622726E-2</v>
      </c>
      <c r="G262" s="2"/>
      <c r="H262" s="14">
        <f t="shared" si="64"/>
        <v>1148.1800000000003</v>
      </c>
      <c r="I262" s="15">
        <f>IFERROR(H262/H444, "NA")</f>
        <v>-0.12380340341290158</v>
      </c>
      <c r="J262" s="2"/>
      <c r="K262" s="14">
        <f>IFERROR(K240+K241+K242+K243+K244+K245+K246+K247+K248+K249+K250+K251+K252+K253+K254+K255+K256+K257+K258+K259+K260+K261, "NA")</f>
        <v>14301.99</v>
      </c>
      <c r="L262" s="15">
        <f>IFERROR(K262/K444, "NA")</f>
        <v>8.7562117596581668E-2</v>
      </c>
      <c r="M262" s="2"/>
      <c r="N262" s="14">
        <f t="shared" si="65"/>
        <v>-1552.6200000000008</v>
      </c>
      <c r="O262" s="15">
        <f>IFERROR(N262/N444, "NA")</f>
        <v>-0.11703701023514124</v>
      </c>
      <c r="P262" s="2"/>
      <c r="Q262" s="14">
        <f>IFERROR(Q240+Q241+Q242+Q243+Q244+Q245+Q246+Q247+Q248+Q249+Q250+Q251+Q252+Q253+Q254+Q255+Q256+Q257+Q258+Q259+Q260+Q261, "NA")</f>
        <v>80968.690000000017</v>
      </c>
      <c r="R262" s="15">
        <f>IFERROR(Q262/Q444, "NA")</f>
        <v>9.07557603378783E-2</v>
      </c>
      <c r="S262" s="2"/>
      <c r="T262" s="14">
        <f>IFERROR(T240+T241+T242+T243+T244+T245+T246+T247+T248+T249+T250+T251+T252+T253+T254+T255+T256+T257+T258+T259+T260+T261, "NA")</f>
        <v>73769.070000000007</v>
      </c>
      <c r="U262" s="15">
        <f>IFERROR(T262/T444, "NA")</f>
        <v>9.2337007012331204E-2</v>
      </c>
      <c r="V262" s="2"/>
      <c r="W262" s="14">
        <f t="shared" si="66"/>
        <v>-7199.6200000000099</v>
      </c>
      <c r="X262" s="15">
        <f>IFERROR(W262/W444, "NA")</f>
        <v>-7.7208441515754733E-2</v>
      </c>
      <c r="Y262" s="2"/>
      <c r="Z262" s="14">
        <f>IFERROR(Z240+Z241+Z242+Z243+Z244+Z245+Z246+Z247+Z248+Z249+Z250+Z251+Z252+Z253+Z254+Z255+Z256+Z257+Z258+Z259+Z260+Z261, "NA")</f>
        <v>68646.77</v>
      </c>
      <c r="AA262" s="15">
        <f>IFERROR(Z262/Z444, "NA")</f>
        <v>9.5320893063685311E-2</v>
      </c>
      <c r="AB262" s="2"/>
      <c r="AC262" s="14">
        <f t="shared" si="67"/>
        <v>-12321.920000000013</v>
      </c>
      <c r="AD262" s="15">
        <f>IFERROR(AC262/AC444, "NA")</f>
        <v>-7.1641006573724311E-2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15854.61</v>
      </c>
      <c r="C263" s="15">
        <f>IFERROR(B263/B444, "NA")</f>
        <v>8.9776231697344222E-2</v>
      </c>
      <c r="D263" s="2"/>
      <c r="E263" s="14">
        <f>IFERROR(E238+E240+E241+E242+E243+E244+E245+E246+E247+E248+E249+E250+E251+E252+E253+E254+E255+E256+E257+E258+E259+E260+E261, "NA")</f>
        <v>17002.79</v>
      </c>
      <c r="F263" s="15">
        <f>IFERROR(E263/E444, "NA")</f>
        <v>9.1474009181622726E-2</v>
      </c>
      <c r="G263" s="2"/>
      <c r="H263" s="14">
        <f t="shared" si="64"/>
        <v>1148.1800000000003</v>
      </c>
      <c r="I263" s="15">
        <f>IFERROR(H263/H444, "NA")</f>
        <v>-0.12380340341290158</v>
      </c>
      <c r="J263" s="2"/>
      <c r="K263" s="14">
        <f>IFERROR(K238+K240+K241+K242+K243+K244+K245+K246+K247+K248+K249+K250+K251+K252+K253+K254+K255+K256+K257+K258+K259+K260+K261, "NA")</f>
        <v>14301.99</v>
      </c>
      <c r="L263" s="15">
        <f>IFERROR(K263/K444, "NA")</f>
        <v>8.7562117596581668E-2</v>
      </c>
      <c r="M263" s="2"/>
      <c r="N263" s="14">
        <f t="shared" si="65"/>
        <v>-1552.6200000000008</v>
      </c>
      <c r="O263" s="15">
        <f>IFERROR(N263/N444, "NA")</f>
        <v>-0.11703701023514124</v>
      </c>
      <c r="P263" s="2"/>
      <c r="Q263" s="14">
        <f>IFERROR(Q238+Q240+Q241+Q242+Q243+Q244+Q245+Q246+Q247+Q248+Q249+Q250+Q251+Q252+Q253+Q254+Q255+Q256+Q257+Q258+Q259+Q260+Q261, "NA")</f>
        <v>80968.690000000017</v>
      </c>
      <c r="R263" s="15">
        <f>IFERROR(Q263/Q444, "NA")</f>
        <v>9.07557603378783E-2</v>
      </c>
      <c r="S263" s="2"/>
      <c r="T263" s="14">
        <f>IFERROR(T238+T240+T241+T242+T243+T244+T245+T246+T247+T248+T249+T250+T251+T252+T253+T254+T255+T256+T257+T258+T259+T260+T261, "NA")</f>
        <v>73769.070000000007</v>
      </c>
      <c r="U263" s="15">
        <f>IFERROR(T263/T444, "NA")</f>
        <v>9.2337007012331204E-2</v>
      </c>
      <c r="V263" s="2"/>
      <c r="W263" s="14">
        <f t="shared" si="66"/>
        <v>-7199.6200000000099</v>
      </c>
      <c r="X263" s="15">
        <f>IFERROR(W263/W444, "NA")</f>
        <v>-7.7208441515754733E-2</v>
      </c>
      <c r="Y263" s="2"/>
      <c r="Z263" s="14">
        <f>IFERROR(Z238+Z240+Z241+Z242+Z243+Z244+Z245+Z246+Z247+Z248+Z249+Z250+Z251+Z252+Z253+Z254+Z255+Z256+Z257+Z258+Z259+Z260+Z261, "NA")</f>
        <v>68646.77</v>
      </c>
      <c r="AA263" s="15">
        <f>IFERROR(Z263/Z444, "NA")</f>
        <v>9.5320893063685311E-2</v>
      </c>
      <c r="AB263" s="2"/>
      <c r="AC263" s="14">
        <f t="shared" si="67"/>
        <v>-12321.920000000013</v>
      </c>
      <c r="AD263" s="15">
        <f>IFERROR(AC263/AC444, "NA")</f>
        <v>-7.1641006573724311E-2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4478.51</v>
      </c>
      <c r="C265" s="8">
        <f>IFERROR(B265/B444, "NA")</f>
        <v>2.5359422364780532E-2</v>
      </c>
      <c r="D265" s="9"/>
      <c r="E265" s="7">
        <v>4646.8900000000003</v>
      </c>
      <c r="F265" s="8">
        <f>IFERROR(E265/E444, "NA")</f>
        <v>2.4999994620058873E-2</v>
      </c>
      <c r="G265" s="9"/>
      <c r="H265" s="10">
        <f>IFERROR(-(B265-E265), "NA")</f>
        <v>168.38000000000011</v>
      </c>
      <c r="I265" s="8">
        <f>IFERROR(H265/H444, "NA")</f>
        <v>-1.8155704738511712E-2</v>
      </c>
      <c r="J265" s="9"/>
      <c r="K265" s="7">
        <v>5480.35</v>
      </c>
      <c r="L265" s="8">
        <f>IFERROR(K265/K444, "NA")</f>
        <v>3.3552746937344127E-2</v>
      </c>
      <c r="M265" s="9"/>
      <c r="N265" s="10">
        <f>IFERROR(-(B265-K265), "NA")</f>
        <v>1001.8400000000001</v>
      </c>
      <c r="O265" s="8">
        <f>IFERROR(N265/N444, "NA")</f>
        <v>7.5519031272284168E-2</v>
      </c>
      <c r="P265" s="9"/>
      <c r="Q265" s="7">
        <v>21469.02</v>
      </c>
      <c r="R265" s="8">
        <f>IFERROR(Q265/Q444, "NA")</f>
        <v>2.4064082471991526E-2</v>
      </c>
      <c r="S265" s="9"/>
      <c r="T265" s="7">
        <v>20221.080000000002</v>
      </c>
      <c r="U265" s="8">
        <f>IFERROR(T265/T444, "NA")</f>
        <v>2.5310797679256501E-2</v>
      </c>
      <c r="V265" s="9"/>
      <c r="W265" s="10">
        <f>IFERROR(-(Q265-T265), "NA")</f>
        <v>-1247.9399999999987</v>
      </c>
      <c r="X265" s="8">
        <f>IFERROR(W265/W444, "NA")</f>
        <v>-1.3382859443299885E-2</v>
      </c>
      <c r="Y265" s="9"/>
      <c r="Z265" s="7">
        <v>18467.39</v>
      </c>
      <c r="AA265" s="8">
        <f>IFERROR(Z265/Z444, "NA")</f>
        <v>2.5643276549725084E-2</v>
      </c>
      <c r="AB265" s="9"/>
      <c r="AC265" s="10">
        <f>IFERROR(-(Q265-Z265), "NA")</f>
        <v>-3001.630000000001</v>
      </c>
      <c r="AD265" s="8">
        <f>IFERROR(AC265/AC444, "NA")</f>
        <v>-1.7451809016929828E-2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14.55</v>
      </c>
      <c r="AA266" s="8">
        <f>IFERROR(Z266/Z444, "NA")</f>
        <v>2.0203703598532331E-5</v>
      </c>
      <c r="AB266" s="9"/>
      <c r="AC266" s="10">
        <f>IFERROR(-(Q266-Z266), "NA")</f>
        <v>14.55</v>
      </c>
      <c r="AD266" s="8">
        <f>IFERROR(AC266/AC444, "NA")</f>
        <v>8.4595310280190727E-5</v>
      </c>
    </row>
    <row r="267" spans="1:30" ht="16.5" customHeight="1" x14ac:dyDescent="0.45">
      <c r="A267" s="19" t="s">
        <v>243</v>
      </c>
      <c r="B267" s="14">
        <f>IFERROR(B265+B266, "NA")</f>
        <v>4478.51</v>
      </c>
      <c r="C267" s="15">
        <f>IFERROR(B267/B444, "NA")</f>
        <v>2.5359422364780532E-2</v>
      </c>
      <c r="D267" s="2"/>
      <c r="E267" s="14">
        <f>IFERROR(E265+E266, "NA")</f>
        <v>4646.8900000000003</v>
      </c>
      <c r="F267" s="15">
        <f>IFERROR(E267/E444, "NA")</f>
        <v>2.4999994620058873E-2</v>
      </c>
      <c r="G267" s="2"/>
      <c r="H267" s="14">
        <f>IFERROR(-(B267-E267), "NA")</f>
        <v>168.38000000000011</v>
      </c>
      <c r="I267" s="15">
        <f>IFERROR(H267/H444, "NA")</f>
        <v>-1.8155704738511712E-2</v>
      </c>
      <c r="J267" s="2"/>
      <c r="K267" s="14">
        <f>IFERROR(K265+K266, "NA")</f>
        <v>5480.35</v>
      </c>
      <c r="L267" s="15">
        <f>IFERROR(K267/K444, "NA")</f>
        <v>3.3552746937344127E-2</v>
      </c>
      <c r="M267" s="2"/>
      <c r="N267" s="14">
        <f>IFERROR(-(B267-K267), "NA")</f>
        <v>1001.8400000000001</v>
      </c>
      <c r="O267" s="15">
        <f>IFERROR(N267/N444, "NA")</f>
        <v>7.5519031272284168E-2</v>
      </c>
      <c r="P267" s="2"/>
      <c r="Q267" s="14">
        <f>IFERROR(Q265+Q266, "NA")</f>
        <v>21469.02</v>
      </c>
      <c r="R267" s="15">
        <f>IFERROR(Q267/Q444, "NA")</f>
        <v>2.4064082471991526E-2</v>
      </c>
      <c r="S267" s="2"/>
      <c r="T267" s="14">
        <f>IFERROR(T265+T266, "NA")</f>
        <v>20221.080000000002</v>
      </c>
      <c r="U267" s="15">
        <f>IFERROR(T267/T444, "NA")</f>
        <v>2.5310797679256501E-2</v>
      </c>
      <c r="V267" s="2"/>
      <c r="W267" s="14">
        <f>IFERROR(-(Q267-T267), "NA")</f>
        <v>-1247.9399999999987</v>
      </c>
      <c r="X267" s="15">
        <f>IFERROR(W267/W444, "NA")</f>
        <v>-1.3382859443299885E-2</v>
      </c>
      <c r="Y267" s="2"/>
      <c r="Z267" s="14">
        <f>IFERROR(Z265+Z266, "NA")</f>
        <v>18481.939999999999</v>
      </c>
      <c r="AA267" s="15">
        <f>IFERROR(Z267/Z444, "NA")</f>
        <v>2.5663480253323614E-2</v>
      </c>
      <c r="AB267" s="2"/>
      <c r="AC267" s="14">
        <f>IFERROR(-(Q267-Z267), "NA")</f>
        <v>-2987.0800000000017</v>
      </c>
      <c r="AD267" s="15">
        <f>IFERROR(AC267/AC444, "NA")</f>
        <v>-1.7367213706649641E-2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229.7</v>
      </c>
      <c r="C270" s="8">
        <f>IFERROR(B270/B444, "NA")</f>
        <v>1.300669043317998E-3</v>
      </c>
      <c r="D270" s="9"/>
      <c r="E270" s="7">
        <v>243.84</v>
      </c>
      <c r="F270" s="8">
        <f>IFERROR(E270/E444, "NA")</f>
        <v>1.3118448442195007E-3</v>
      </c>
      <c r="G270" s="9"/>
      <c r="H270" s="10">
        <f>IFERROR(-(B270-E270), "NA")</f>
        <v>14.140000000000015</v>
      </c>
      <c r="I270" s="8">
        <f>IFERROR(H270/H444, "NA")</f>
        <v>-1.5246565209796634E-3</v>
      </c>
      <c r="J270" s="9"/>
      <c r="K270" s="7">
        <v>163.33000000000001</v>
      </c>
      <c r="L270" s="8">
        <f>IFERROR(K270/K444, "NA")</f>
        <v>9.9996718408065484E-4</v>
      </c>
      <c r="M270" s="9"/>
      <c r="N270" s="10">
        <f>IFERROR(-(B270-K270), "NA")</f>
        <v>-66.369999999999976</v>
      </c>
      <c r="O270" s="8">
        <f>IFERROR(N270/N444, "NA")</f>
        <v>-5.0029925991590448E-3</v>
      </c>
      <c r="P270" s="9"/>
      <c r="Q270" s="7">
        <v>1148.5</v>
      </c>
      <c r="R270" s="8">
        <f>IFERROR(Q270/Q444, "NA")</f>
        <v>1.2873246528757377E-3</v>
      </c>
      <c r="S270" s="9"/>
      <c r="T270" s="7">
        <v>1376.82</v>
      </c>
      <c r="U270" s="8">
        <f>IFERROR(T270/T444, "NA")</f>
        <v>1.7233704856888916E-3</v>
      </c>
      <c r="V270" s="9"/>
      <c r="W270" s="10">
        <f>IFERROR(-(Q270-T270), "NA")</f>
        <v>228.31999999999994</v>
      </c>
      <c r="X270" s="8">
        <f>IFERROR(W270/W444, "NA")</f>
        <v>2.4484946937306539E-3</v>
      </c>
      <c r="Y270" s="9"/>
      <c r="Z270" s="7">
        <v>816.61</v>
      </c>
      <c r="AA270" s="8">
        <f>IFERROR(Z270/Z444, "NA")</f>
        <v>1.1339207144740542E-3</v>
      </c>
      <c r="AB270" s="9"/>
      <c r="AC270" s="10">
        <f>IFERROR(-(Q270-Z270), "NA")</f>
        <v>-331.89</v>
      </c>
      <c r="AD270" s="8">
        <f>IFERROR(AC270/AC444, "NA")</f>
        <v>-1.9296451909891752E-3</v>
      </c>
    </row>
    <row r="271" spans="1:30" ht="16.5" customHeight="1" x14ac:dyDescent="0.45">
      <c r="A271" s="6" t="s">
        <v>246</v>
      </c>
      <c r="B271" s="7">
        <v>852.8</v>
      </c>
      <c r="C271" s="8">
        <f>IFERROR(B271/B444, "NA")</f>
        <v>4.8289532439773127E-3</v>
      </c>
      <c r="D271" s="9"/>
      <c r="E271" s="7">
        <v>743.5</v>
      </c>
      <c r="F271" s="8">
        <f>IFERROR(E271/E444, "NA")</f>
        <v>3.9999862273507169E-3</v>
      </c>
      <c r="G271" s="9"/>
      <c r="H271" s="10">
        <f>IFERROR(-(B271-E271), "NA")</f>
        <v>-109.29999999999995</v>
      </c>
      <c r="I271" s="8">
        <f>IFERROR(H271/H444, "NA")</f>
        <v>1.1785357690458059E-2</v>
      </c>
      <c r="J271" s="9"/>
      <c r="K271" s="7">
        <v>561.80999999999995</v>
      </c>
      <c r="L271" s="8">
        <f>IFERROR(K271/K444, "NA")</f>
        <v>3.439610381977301E-3</v>
      </c>
      <c r="M271" s="9"/>
      <c r="N271" s="10">
        <f>IFERROR(-(B271-K271), "NA")</f>
        <v>-290.99</v>
      </c>
      <c r="O271" s="8">
        <f>IFERROR(N271/N444, "NA")</f>
        <v>-2.1934922652241843E-2</v>
      </c>
      <c r="P271" s="9"/>
      <c r="Q271" s="7">
        <v>4264</v>
      </c>
      <c r="R271" s="8">
        <f>IFERROR(Q271/Q444, "NA")</f>
        <v>4.7794099432844099E-3</v>
      </c>
      <c r="S271" s="9"/>
      <c r="T271" s="7">
        <v>3195.64</v>
      </c>
      <c r="U271" s="8">
        <f>IFERROR(T271/T444, "NA")</f>
        <v>3.9999939417548038E-3</v>
      </c>
      <c r="V271" s="9"/>
      <c r="W271" s="10">
        <f>IFERROR(-(Q271-T271), "NA")</f>
        <v>-1068.3600000000001</v>
      </c>
      <c r="X271" s="8">
        <f>IFERROR(W271/W444, "NA")</f>
        <v>-1.1457050591249485E-2</v>
      </c>
      <c r="Y271" s="9"/>
      <c r="Z271" s="7">
        <v>2809.09</v>
      </c>
      <c r="AA271" s="8">
        <f>IFERROR(Z271/Z444, "NA")</f>
        <v>3.9006200509691539E-3</v>
      </c>
      <c r="AB271" s="9"/>
      <c r="AC271" s="10">
        <f>IFERROR(-(Q271-Z271), "NA")</f>
        <v>-1454.9099999999999</v>
      </c>
      <c r="AD271" s="8">
        <f>IFERROR(AC271/AC444, "NA")</f>
        <v>-8.4590077580585753E-3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1082.5</v>
      </c>
      <c r="C273" s="15">
        <f>IFERROR(B273/B444, "NA")</f>
        <v>6.1296222872953112E-3</v>
      </c>
      <c r="D273" s="2"/>
      <c r="E273" s="14">
        <f>IFERROR(E269+E270+E271+E272, "NA")</f>
        <v>987.34</v>
      </c>
      <c r="F273" s="15">
        <f>IFERROR(E273/E444, "NA")</f>
        <v>5.3118310715702171E-3</v>
      </c>
      <c r="G273" s="2"/>
      <c r="H273" s="14">
        <f>IFERROR(-(B273-E273), "NA")</f>
        <v>-95.159999999999968</v>
      </c>
      <c r="I273" s="15">
        <f>IFERROR(H273/H444, "NA")</f>
        <v>1.0260701169478399E-2</v>
      </c>
      <c r="J273" s="2"/>
      <c r="K273" s="14">
        <f>IFERROR(K269+K270+K271+K272, "NA")</f>
        <v>725.14</v>
      </c>
      <c r="L273" s="15">
        <f>IFERROR(K273/K444, "NA")</f>
        <v>4.4395775660579558E-3</v>
      </c>
      <c r="M273" s="2"/>
      <c r="N273" s="14">
        <f>IFERROR(-(B273-K273), "NA")</f>
        <v>-357.36</v>
      </c>
      <c r="O273" s="15">
        <f>IFERROR(N273/N444, "NA")</f>
        <v>-2.6937915251400889E-2</v>
      </c>
      <c r="P273" s="2"/>
      <c r="Q273" s="14">
        <f>IFERROR(Q269+Q270+Q271+Q272, "NA")</f>
        <v>5412.5</v>
      </c>
      <c r="R273" s="15">
        <f>IFERROR(Q273/Q444, "NA")</f>
        <v>6.066734596160148E-3</v>
      </c>
      <c r="S273" s="2"/>
      <c r="T273" s="14">
        <f>IFERROR(T269+T270+T271+T272, "NA")</f>
        <v>4572.46</v>
      </c>
      <c r="U273" s="15">
        <f>IFERROR(T273/T444, "NA")</f>
        <v>5.7233644274436958E-3</v>
      </c>
      <c r="V273" s="2"/>
      <c r="W273" s="14">
        <f>IFERROR(-(Q273-T273), "NA")</f>
        <v>-840.04</v>
      </c>
      <c r="X273" s="15">
        <f>IFERROR(W273/W444, "NA")</f>
        <v>-9.008555897518828E-3</v>
      </c>
      <c r="Y273" s="2"/>
      <c r="Z273" s="14">
        <f>IFERROR(Z269+Z270+Z271+Z272, "NA")</f>
        <v>3625.7000000000003</v>
      </c>
      <c r="AA273" s="15">
        <f>IFERROR(Z273/Z444, "NA")</f>
        <v>5.0345407654432085E-3</v>
      </c>
      <c r="AB273" s="2"/>
      <c r="AC273" s="14">
        <f>IFERROR(-(Q273-Z273), "NA")</f>
        <v>-1786.7999999999997</v>
      </c>
      <c r="AD273" s="15">
        <f>IFERROR(AC273/AC444, "NA")</f>
        <v>-1.038865294904775E-2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365</v>
      </c>
      <c r="F287" s="8">
        <f>IFERROR(E287/E444, "NA")</f>
        <v>1.9636785110733173E-3</v>
      </c>
      <c r="G287" s="9"/>
      <c r="H287" s="10">
        <f t="shared" si="72"/>
        <v>365</v>
      </c>
      <c r="I287" s="8">
        <f>IFERROR(H287/H444, "NA")</f>
        <v>-3.9356409487805978E-2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1825</v>
      </c>
      <c r="U287" s="8">
        <f>IFERROR(T287/T444, "NA")</f>
        <v>2.284358984022768E-3</v>
      </c>
      <c r="V287" s="9"/>
      <c r="W287" s="10">
        <f t="shared" si="74"/>
        <v>1825</v>
      </c>
      <c r="X287" s="8">
        <f>IFERROR(W287/W444, "NA")</f>
        <v>1.9571228171244064E-2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146.85</v>
      </c>
      <c r="C288" s="8">
        <f>IFERROR(B288/B444, "NA")</f>
        <v>8.3153351768066187E-4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-146.85</v>
      </c>
      <c r="I288" s="8">
        <f>IFERROR(H288/H444, "NA")</f>
        <v>1.5834215707628239E-2</v>
      </c>
      <c r="J288" s="9"/>
      <c r="K288" s="7">
        <v>144.65</v>
      </c>
      <c r="L288" s="8">
        <f>IFERROR(K288/K444, "NA")</f>
        <v>8.8560125621298428E-4</v>
      </c>
      <c r="M288" s="9"/>
      <c r="N288" s="10">
        <f t="shared" si="73"/>
        <v>-2.1999999999999886</v>
      </c>
      <c r="O288" s="8">
        <f>IFERROR(N288/N444, "NA")</f>
        <v>-1.6583672921726452E-4</v>
      </c>
      <c r="P288" s="9"/>
      <c r="Q288" s="7">
        <v>727.65</v>
      </c>
      <c r="R288" s="8">
        <f>IFERROR(Q288/Q444, "NA")</f>
        <v>8.1560451342188112E-4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-727.65</v>
      </c>
      <c r="X288" s="8">
        <f>IFERROR(W288/W444, "NA")</f>
        <v>-7.8032899609894475E-3</v>
      </c>
      <c r="Y288" s="9"/>
      <c r="Z288" s="7">
        <v>729.87</v>
      </c>
      <c r="AA288" s="8">
        <f>IFERROR(Z288/Z444, "NA")</f>
        <v>1.0134760924715321E-3</v>
      </c>
      <c r="AB288" s="9"/>
      <c r="AC288" s="10">
        <f t="shared" si="75"/>
        <v>2.2200000000000273</v>
      </c>
      <c r="AD288" s="8">
        <f>IFERROR(AC288/AC444, "NA")</f>
        <v>1.2907325692235444E-5</v>
      </c>
    </row>
    <row r="289" spans="1:30" ht="16.5" customHeight="1" x14ac:dyDescent="0.45">
      <c r="A289" s="6" t="s">
        <v>262</v>
      </c>
      <c r="B289" s="7">
        <v>228.98</v>
      </c>
      <c r="C289" s="8">
        <f>IFERROR(B289/B444, "NA")</f>
        <v>1.2965920659075106E-3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-228.98</v>
      </c>
      <c r="I289" s="8">
        <f>IFERROR(H289/H444, "NA")</f>
        <v>2.4689946971281677E-2</v>
      </c>
      <c r="J289" s="9"/>
      <c r="K289" s="7">
        <v>210.6</v>
      </c>
      <c r="L289" s="8">
        <f>IFERROR(K289/K444, "NA")</f>
        <v>1.2893717563667781E-3</v>
      </c>
      <c r="M289" s="9"/>
      <c r="N289" s="10">
        <f t="shared" si="73"/>
        <v>-18.379999999999995</v>
      </c>
      <c r="O289" s="8">
        <f>IFERROR(N289/N444, "NA")</f>
        <v>-1.3854904922787894E-3</v>
      </c>
      <c r="P289" s="9"/>
      <c r="Q289" s="7">
        <v>1107.0999999999999</v>
      </c>
      <c r="R289" s="8">
        <f>IFERROR(Q289/Q444, "NA")</f>
        <v>1.2409204381355933E-3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-1107.0999999999999</v>
      </c>
      <c r="X289" s="8">
        <f>IFERROR(W289/W444, "NA")</f>
        <v>-1.1872496826511945E-2</v>
      </c>
      <c r="Y289" s="9"/>
      <c r="Z289" s="7">
        <v>1086.22</v>
      </c>
      <c r="AA289" s="8">
        <f>IFERROR(Z289/Z444, "NA")</f>
        <v>1.5082932592988172E-3</v>
      </c>
      <c r="AB289" s="9"/>
      <c r="AC289" s="10">
        <f t="shared" si="75"/>
        <v>-20.879999999999882</v>
      </c>
      <c r="AD289" s="8">
        <f>IFERROR(AC289/AC444, "NA")</f>
        <v>-1.2139863083507713E-4</v>
      </c>
    </row>
    <row r="290" spans="1:30" ht="16.5" customHeight="1" x14ac:dyDescent="0.45">
      <c r="A290" s="6" t="s">
        <v>263</v>
      </c>
      <c r="B290" s="7">
        <v>1058.55</v>
      </c>
      <c r="C290" s="8">
        <f>IFERROR(B290/B444, "NA")</f>
        <v>5.9940061637103479E-3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-1058.55</v>
      </c>
      <c r="I290" s="8">
        <f>IFERROR(H290/H444, "NA")</f>
        <v>0.11413897880360827</v>
      </c>
      <c r="J290" s="9"/>
      <c r="K290" s="7">
        <v>67.2</v>
      </c>
      <c r="L290" s="8">
        <f>IFERROR(K290/K444, "NA")</f>
        <v>4.1142346641902895E-4</v>
      </c>
      <c r="M290" s="9"/>
      <c r="N290" s="10">
        <f t="shared" si="73"/>
        <v>-991.34999999999991</v>
      </c>
      <c r="O290" s="8">
        <f>IFERROR(N290/N444, "NA")</f>
        <v>-7.4728291595243648E-2</v>
      </c>
      <c r="P290" s="9"/>
      <c r="Q290" s="7">
        <v>6625.04</v>
      </c>
      <c r="R290" s="8">
        <f>IFERROR(Q290/Q444, "NA")</f>
        <v>7.4258400681653253E-3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-6625.04</v>
      </c>
      <c r="X290" s="8">
        <f>IFERROR(W290/W444, "NA")</f>
        <v>-7.1046668210202071E-2</v>
      </c>
      <c r="Y290" s="9"/>
      <c r="Z290" s="7">
        <v>622.14</v>
      </c>
      <c r="AA290" s="8">
        <f>IFERROR(Z290/Z444, "NA")</f>
        <v>8.6388537160074941E-4</v>
      </c>
      <c r="AB290" s="9"/>
      <c r="AC290" s="10">
        <f t="shared" si="75"/>
        <v>-6002.9</v>
      </c>
      <c r="AD290" s="8">
        <f>IFERROR(AC290/AC444, "NA")</f>
        <v>-3.4901524954017653E-2</v>
      </c>
    </row>
    <row r="291" spans="1:30" ht="16.5" customHeight="1" x14ac:dyDescent="0.45">
      <c r="A291" s="6" t="s">
        <v>264</v>
      </c>
      <c r="B291" s="7">
        <v>860.72</v>
      </c>
      <c r="C291" s="8">
        <f>IFERROR(B291/B444, "NA")</f>
        <v>4.8737999954926751E-3</v>
      </c>
      <c r="D291" s="9"/>
      <c r="E291" s="7">
        <v>2416.38</v>
      </c>
      <c r="F291" s="8">
        <f>IFERROR(E291/E444, "NA")</f>
        <v>1.299998213859546E-2</v>
      </c>
      <c r="G291" s="9"/>
      <c r="H291" s="10">
        <f t="shared" si="72"/>
        <v>1555.66</v>
      </c>
      <c r="I291" s="8">
        <f>IFERROR(H291/H444, "NA")</f>
        <v>-0.16774025201041165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-860.72</v>
      </c>
      <c r="O291" s="8">
        <f>IFERROR(N291/N444, "NA")</f>
        <v>-6.4881358896311206E-2</v>
      </c>
      <c r="P291" s="9"/>
      <c r="Q291" s="7">
        <v>7193.47</v>
      </c>
      <c r="R291" s="8">
        <f>IFERROR(Q291/Q444, "NA")</f>
        <v>8.0629789035455233E-3</v>
      </c>
      <c r="S291" s="9"/>
      <c r="T291" s="7">
        <v>10385.84</v>
      </c>
      <c r="U291" s="8">
        <f>IFERROR(T291/T444, "NA")</f>
        <v>1.2999992827738643E-2</v>
      </c>
      <c r="V291" s="9"/>
      <c r="W291" s="10">
        <f t="shared" si="74"/>
        <v>3192.37</v>
      </c>
      <c r="X291" s="8">
        <f>IFERROR(W291/W444, "NA")</f>
        <v>3.4234850233991455E-2</v>
      </c>
      <c r="Y291" s="9"/>
      <c r="Z291" s="7">
        <v>4874.72</v>
      </c>
      <c r="AA291" s="8">
        <f>IFERROR(Z291/Z444, "NA")</f>
        <v>6.7688933337345381E-3</v>
      </c>
      <c r="AB291" s="9"/>
      <c r="AC291" s="10">
        <f t="shared" si="75"/>
        <v>-2318.75</v>
      </c>
      <c r="AD291" s="8">
        <f>IFERROR(AC291/AC444, "NA")</f>
        <v>-1.3481469121112869E-2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681.63</v>
      </c>
      <c r="R292" s="8">
        <f>IFERROR(Q292/Q444, "NA")</f>
        <v>7.6402185732667746E-4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-681.63</v>
      </c>
      <c r="X292" s="8">
        <f>IFERROR(W292/W444, "NA")</f>
        <v>-7.3097732922548439E-3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-681.63</v>
      </c>
      <c r="AD292" s="8">
        <f>IFERROR(AC292/AC444, "NA")</f>
        <v>-3.9630722574767289E-3</v>
      </c>
    </row>
    <row r="293" spans="1:30" ht="16.5" customHeight="1" x14ac:dyDescent="0.45">
      <c r="A293" s="6" t="s">
        <v>266</v>
      </c>
      <c r="B293" s="7">
        <v>375.22</v>
      </c>
      <c r="C293" s="8">
        <f>IFERROR(B293/B444, "NA")</f>
        <v>2.1246714777265097E-3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-375.22</v>
      </c>
      <c r="I293" s="8">
        <f>IFERROR(H293/H444, "NA")</f>
        <v>4.0458388953464548E-2</v>
      </c>
      <c r="J293" s="9"/>
      <c r="K293" s="7">
        <v>523.5</v>
      </c>
      <c r="L293" s="8">
        <f>IFERROR(K293/K444, "NA")</f>
        <v>3.2050622718803818E-3</v>
      </c>
      <c r="M293" s="9"/>
      <c r="N293" s="10">
        <f t="shared" si="73"/>
        <v>148.27999999999997</v>
      </c>
      <c r="O293" s="8">
        <f>IFERROR(N293/N444, "NA")</f>
        <v>1.1177395549243685E-2</v>
      </c>
      <c r="P293" s="9"/>
      <c r="Q293" s="7">
        <v>825.43</v>
      </c>
      <c r="R293" s="8">
        <f>IFERROR(Q293/Q444, "NA")</f>
        <v>9.2520364668978667E-4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-825.43</v>
      </c>
      <c r="X293" s="8">
        <f>IFERROR(W293/W444, "NA")</f>
        <v>-8.8518788325424574E-3</v>
      </c>
      <c r="Y293" s="9"/>
      <c r="Z293" s="7">
        <v>523.5</v>
      </c>
      <c r="AA293" s="8">
        <f>IFERROR(Z293/Z444, "NA")</f>
        <v>7.2691675833894674E-4</v>
      </c>
      <c r="AB293" s="9"/>
      <c r="AC293" s="10">
        <f t="shared" si="75"/>
        <v>-301.92999999999995</v>
      </c>
      <c r="AD293" s="8">
        <f>IFERROR(AC293/AC444, "NA")</f>
        <v>-1.7554544352507205E-3</v>
      </c>
    </row>
    <row r="294" spans="1:30" ht="16.5" customHeight="1" x14ac:dyDescent="0.45">
      <c r="A294" s="6" t="s">
        <v>267</v>
      </c>
      <c r="B294" s="7">
        <v>325</v>
      </c>
      <c r="C294" s="8">
        <f>IFERROR(B294/B444, "NA")</f>
        <v>1.8403023033450126E-3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-325</v>
      </c>
      <c r="I294" s="8">
        <f>IFERROR(H294/H444, "NA")</f>
        <v>3.5043378311060115E-2</v>
      </c>
      <c r="J294" s="9"/>
      <c r="K294" s="7">
        <v>244</v>
      </c>
      <c r="L294" s="8">
        <f>IFERROR(K294/K444, "NA")</f>
        <v>1.4938590149738552E-3</v>
      </c>
      <c r="M294" s="9"/>
      <c r="N294" s="10">
        <f t="shared" si="73"/>
        <v>-81</v>
      </c>
      <c r="O294" s="8">
        <f>IFERROR(N294/N444, "NA")</f>
        <v>-6.1058068484538619E-3</v>
      </c>
      <c r="P294" s="9"/>
      <c r="Q294" s="7">
        <v>1838.98</v>
      </c>
      <c r="R294" s="8">
        <f>IFERROR(Q294/Q444, "NA")</f>
        <v>2.0612662517591851E-3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-1838.98</v>
      </c>
      <c r="X294" s="8">
        <f>IFERROR(W294/W444, "NA")</f>
        <v>-1.9721149141016112E-2</v>
      </c>
      <c r="Y294" s="9"/>
      <c r="Z294" s="7">
        <v>1220</v>
      </c>
      <c r="AA294" s="8">
        <f>IFERROR(Z294/Z444, "NA")</f>
        <v>1.6940562467497899E-3</v>
      </c>
      <c r="AB294" s="9"/>
      <c r="AC294" s="10">
        <f t="shared" si="75"/>
        <v>-618.98</v>
      </c>
      <c r="AD294" s="8">
        <f>IFERROR(AC294/AC444, "NA")</f>
        <v>-3.5988182238647737E-3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2995.3199999999997</v>
      </c>
      <c r="C295" s="15">
        <f>IFERROR(B295/B444, "NA")</f>
        <v>1.6960905523862715E-2</v>
      </c>
      <c r="D295" s="2"/>
      <c r="E295" s="14">
        <f>IFERROR(E286+E287+E288+E289+E290+E291+E292+E293+E294, "NA")</f>
        <v>2781.38</v>
      </c>
      <c r="F295" s="15">
        <f>IFERROR(E295/E444, "NA")</f>
        <v>1.4963660649668777E-2</v>
      </c>
      <c r="G295" s="2"/>
      <c r="H295" s="14">
        <f t="shared" si="72"/>
        <v>-213.9399999999996</v>
      </c>
      <c r="I295" s="15">
        <f>IFERROR(H295/H444, "NA")</f>
        <v>2.3068247248825193E-2</v>
      </c>
      <c r="J295" s="2"/>
      <c r="K295" s="14">
        <f>IFERROR(K286+K287+K288+K289+K290+K291+K292+K293+K294, "NA")</f>
        <v>1189.95</v>
      </c>
      <c r="L295" s="15">
        <f>IFERROR(K295/K444, "NA")</f>
        <v>7.2853177658530289E-3</v>
      </c>
      <c r="M295" s="2"/>
      <c r="N295" s="14">
        <f t="shared" si="73"/>
        <v>-1805.3699999999997</v>
      </c>
      <c r="O295" s="15">
        <f>IFERROR(N295/N444, "NA")</f>
        <v>-0.13608938901226106</v>
      </c>
      <c r="P295" s="2"/>
      <c r="Q295" s="14">
        <f>IFERROR(Q286+Q287+Q288+Q289+Q290+Q291+Q292+Q293+Q294, "NA")</f>
        <v>18999.3</v>
      </c>
      <c r="R295" s="15">
        <f>IFERROR(Q295/Q444, "NA")</f>
        <v>2.1295835679043969E-2</v>
      </c>
      <c r="S295" s="2"/>
      <c r="T295" s="14">
        <f>IFERROR(T286+T287+T288+T289+T290+T291+T292+T293+T294, "NA")</f>
        <v>12210.84</v>
      </c>
      <c r="U295" s="15">
        <f>IFERROR(T295/T444, "NA")</f>
        <v>1.528435181176141E-2</v>
      </c>
      <c r="V295" s="2"/>
      <c r="W295" s="14">
        <f t="shared" si="74"/>
        <v>-6788.4599999999991</v>
      </c>
      <c r="X295" s="15">
        <f>IFERROR(W295/W444, "NA")</f>
        <v>-7.2799177858281341E-2</v>
      </c>
      <c r="Y295" s="2"/>
      <c r="Z295" s="14">
        <f>IFERROR(Z286+Z287+Z288+Z289+Z290+Z291+Z292+Z293+Z294, "NA")</f>
        <v>9056.4500000000007</v>
      </c>
      <c r="AA295" s="15">
        <f>IFERROR(Z295/Z444, "NA")</f>
        <v>1.2575521062194374E-2</v>
      </c>
      <c r="AB295" s="2"/>
      <c r="AC295" s="14">
        <f t="shared" si="75"/>
        <v>-9942.8499999999985</v>
      </c>
      <c r="AD295" s="15">
        <f>IFERROR(AC295/AC444, "NA")</f>
        <v>-5.7808830296865586E-2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2416.38</v>
      </c>
      <c r="F297" s="8">
        <f>IFERROR(E297/E444, "NA")</f>
        <v>1.299998213859546E-2</v>
      </c>
      <c r="G297" s="9"/>
      <c r="H297" s="10">
        <f t="shared" ref="H297:H325" si="76">IFERROR(-(B297-E297), "NA")</f>
        <v>2416.38</v>
      </c>
      <c r="I297" s="8">
        <f>IFERROR(H297/H444, "NA")</f>
        <v>-0.26054805687162907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10385.84</v>
      </c>
      <c r="U297" s="8">
        <f>IFERROR(T297/T444, "NA")</f>
        <v>1.2999992827738643E-2</v>
      </c>
      <c r="V297" s="9"/>
      <c r="W297" s="10">
        <f t="shared" ref="W297:W325" si="78">IFERROR(-(Q297-T297), "NA")</f>
        <v>10385.84</v>
      </c>
      <c r="X297" s="8">
        <f>IFERROR(W297/W444, "NA")</f>
        <v>0.11137733939179914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1088.8599999999999</v>
      </c>
      <c r="C299" s="8">
        <f>IFERROR(B299/B444, "NA")</f>
        <v>6.1656355877546158E-3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-1088.8599999999999</v>
      </c>
      <c r="I299" s="8">
        <f>IFERROR(H299/H444, "NA")</f>
        <v>0.11740717817778744</v>
      </c>
      <c r="J299" s="9"/>
      <c r="K299" s="7">
        <v>491.87</v>
      </c>
      <c r="L299" s="8">
        <f>IFERROR(K299/K444, "NA")</f>
        <v>3.0114116135048774E-3</v>
      </c>
      <c r="M299" s="9"/>
      <c r="N299" s="10">
        <f t="shared" si="77"/>
        <v>-596.9899999999999</v>
      </c>
      <c r="O299" s="8">
        <f>IFERROR(N299/N444, "NA")</f>
        <v>-4.5001304079734197E-2</v>
      </c>
      <c r="P299" s="9"/>
      <c r="Q299" s="7">
        <v>4326.16</v>
      </c>
      <c r="R299" s="8">
        <f>IFERROR(Q299/Q444, "NA")</f>
        <v>4.849083517879757E-3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-4326.16</v>
      </c>
      <c r="X299" s="8">
        <f>IFERROR(W299/W444, "NA")</f>
        <v>-4.6393569570032447E-2</v>
      </c>
      <c r="Y299" s="9"/>
      <c r="Z299" s="7">
        <v>1600.75</v>
      </c>
      <c r="AA299" s="8">
        <f>IFERROR(Z299/Z444, "NA")</f>
        <v>2.2227545385120708E-3</v>
      </c>
      <c r="AB299" s="9"/>
      <c r="AC299" s="10">
        <f t="shared" si="79"/>
        <v>-2725.41</v>
      </c>
      <c r="AD299" s="8">
        <f>IFERROR(AC299/AC444, "NA")</f>
        <v>-1.5845835367060798E-2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hidden="1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0</v>
      </c>
      <c r="AA304" s="8">
        <f>IFERROR(Z304/Z444, "NA")</f>
        <v>0</v>
      </c>
      <c r="AB304" s="9"/>
      <c r="AC304" s="10">
        <f t="shared" si="79"/>
        <v>0</v>
      </c>
      <c r="AD304" s="8">
        <f>IFERROR(AC304/AC444, "NA")</f>
        <v>0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107.95</v>
      </c>
      <c r="C310" s="8">
        <f>IFERROR(B310/B444, "NA")</f>
        <v>6.1126348814182808E-4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-107.95</v>
      </c>
      <c r="I310" s="8">
        <f>IFERROR(H310/H444, "NA")</f>
        <v>1.1639792888242892E-2</v>
      </c>
      <c r="J310" s="9"/>
      <c r="K310" s="7">
        <v>73.62</v>
      </c>
      <c r="L310" s="8">
        <f>IFERROR(K310/K444, "NA")</f>
        <v>4.5072910115727551E-4</v>
      </c>
      <c r="M310" s="9"/>
      <c r="N310" s="10">
        <f t="shared" si="77"/>
        <v>-34.33</v>
      </c>
      <c r="O310" s="8">
        <f>IFERROR(N310/N444, "NA")</f>
        <v>-2.5878067791039639E-3</v>
      </c>
      <c r="P310" s="9"/>
      <c r="Q310" s="7">
        <v>329.78</v>
      </c>
      <c r="R310" s="8">
        <f>IFERROR(Q310/Q444, "NA")</f>
        <v>3.6964207577306116E-4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-329.78</v>
      </c>
      <c r="X310" s="8">
        <f>IFERROR(W310/W444, "NA")</f>
        <v>-3.5365477404454065E-3</v>
      </c>
      <c r="Y310" s="9"/>
      <c r="Z310" s="7">
        <v>159.47</v>
      </c>
      <c r="AA310" s="8">
        <f>IFERROR(Z310/Z444, "NA")</f>
        <v>2.2143536858130247E-4</v>
      </c>
      <c r="AB310" s="9"/>
      <c r="AC310" s="10">
        <f t="shared" si="79"/>
        <v>-170.30999999999997</v>
      </c>
      <c r="AD310" s="8">
        <f>IFERROR(AC310/AC444, "NA")</f>
        <v>-9.9020118857864469E-4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26.73</v>
      </c>
      <c r="R311" s="8">
        <f>IFERROR(Q311/Q444, "NA")</f>
        <v>2.9960982125701757E-5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-26.73</v>
      </c>
      <c r="X311" s="8">
        <f>IFERROR(W311/W444, "NA")</f>
        <v>-2.8665146795471444E-4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-26.73</v>
      </c>
      <c r="AD311" s="8">
        <f>IFERROR(AC311/AC444, "NA")</f>
        <v>-1.5541117826731946E-4</v>
      </c>
    </row>
    <row r="312" spans="1:30" ht="16.5" customHeight="1" x14ac:dyDescent="0.45">
      <c r="A312" s="6" t="s">
        <v>284</v>
      </c>
      <c r="B312" s="7">
        <v>576.87</v>
      </c>
      <c r="C312" s="8">
        <f>IFERROR(B312/B444, "NA")</f>
        <v>3.266508276094269E-3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-576.87</v>
      </c>
      <c r="I312" s="8">
        <f>IFERROR(H312/H444, "NA")</f>
        <v>6.2201457373234618E-2</v>
      </c>
      <c r="J312" s="9"/>
      <c r="K312" s="7">
        <v>270</v>
      </c>
      <c r="L312" s="8">
        <f>IFERROR(K312/K444, "NA")</f>
        <v>1.6530407132907413E-3</v>
      </c>
      <c r="M312" s="9"/>
      <c r="N312" s="10">
        <f t="shared" si="77"/>
        <v>-306.87</v>
      </c>
      <c r="O312" s="8">
        <f>IFERROR(N312/N444, "NA")</f>
        <v>-2.3131962315864649E-2</v>
      </c>
      <c r="P312" s="9"/>
      <c r="Q312" s="7">
        <v>1359.75</v>
      </c>
      <c r="R312" s="8">
        <f>IFERROR(Q312/Q444, "NA")</f>
        <v>1.5241094442732122E-3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-1359.75</v>
      </c>
      <c r="X312" s="8">
        <f>IFERROR(W312/W444, "NA")</f>
        <v>-1.4581905482657049E-2</v>
      </c>
      <c r="Y312" s="9"/>
      <c r="Z312" s="7">
        <v>1211.1500000000001</v>
      </c>
      <c r="AA312" s="8">
        <f>IFERROR(Z312/Z444, "NA")</f>
        <v>1.6817673961073839E-3</v>
      </c>
      <c r="AB312" s="9"/>
      <c r="AC312" s="10">
        <f t="shared" si="79"/>
        <v>-148.59999999999991</v>
      </c>
      <c r="AD312" s="8">
        <f>IFERROR(AC312/AC444, "NA")</f>
        <v>-8.6397684588565874E-4</v>
      </c>
    </row>
    <row r="313" spans="1:30" ht="16.5" customHeight="1" x14ac:dyDescent="0.45">
      <c r="A313" s="6" t="s">
        <v>285</v>
      </c>
      <c r="B313" s="7">
        <v>308.97000000000003</v>
      </c>
      <c r="C313" s="8">
        <f>IFERROR(B313/B444, "NA")</f>
        <v>1.749532931275411E-3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-308.97000000000003</v>
      </c>
      <c r="I313" s="8">
        <f>IFERROR(H313/H444, "NA")</f>
        <v>3.331493106697922E-2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-308.97000000000003</v>
      </c>
      <c r="O313" s="8">
        <f>IFERROR(N313/N444, "NA")</f>
        <v>-2.3290261011935678E-2</v>
      </c>
      <c r="P313" s="9"/>
      <c r="Q313" s="7">
        <v>1283.97</v>
      </c>
      <c r="R313" s="8">
        <f>IFERROR(Q313/Q444, "NA")</f>
        <v>1.4391695555532092E-3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-1283.97</v>
      </c>
      <c r="X313" s="8">
        <f>IFERROR(W313/W444, "NA")</f>
        <v>-1.3769243745223146E-2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-1283.97</v>
      </c>
      <c r="AD313" s="8">
        <f>IFERROR(AC313/AC444, "NA")</f>
        <v>-7.4651436797564599E-3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hidden="1" customHeight="1" x14ac:dyDescent="0.45">
      <c r="A315" s="6" t="s">
        <v>287</v>
      </c>
      <c r="B315" s="7">
        <v>0</v>
      </c>
      <c r="C315" s="8">
        <f>IFERROR(B315/B444, "NA")</f>
        <v>0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0</v>
      </c>
      <c r="I315" s="8">
        <f>IFERROR(H315/H444, "NA")</f>
        <v>0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0</v>
      </c>
      <c r="O315" s="8">
        <f>IFERROR(N315/N444, "NA")</f>
        <v>0</v>
      </c>
      <c r="P315" s="9"/>
      <c r="Q315" s="7">
        <v>0</v>
      </c>
      <c r="R315" s="8">
        <f>IFERROR(Q315/Q444, "NA")</f>
        <v>0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0</v>
      </c>
      <c r="X315" s="8">
        <f>IFERROR(W315/W444, "NA")</f>
        <v>0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0</v>
      </c>
      <c r="AD315" s="8">
        <f>IFERROR(AC315/AC444, "NA")</f>
        <v>0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693</v>
      </c>
      <c r="F318" s="8">
        <f>IFERROR(E318/E444, "NA")</f>
        <v>3.7282992004761891E-3</v>
      </c>
      <c r="G318" s="9"/>
      <c r="H318" s="10">
        <f t="shared" si="76"/>
        <v>693</v>
      </c>
      <c r="I318" s="8">
        <f>IFERROR(H318/H444, "NA")</f>
        <v>-7.4723265137122033E-2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3465</v>
      </c>
      <c r="U318" s="8">
        <f>IFERROR(T318/T444, "NA")</f>
        <v>4.3371528107610359E-3</v>
      </c>
      <c r="V318" s="9"/>
      <c r="W318" s="10">
        <f t="shared" si="78"/>
        <v>3465</v>
      </c>
      <c r="X318" s="8">
        <f>IFERROR(W318/W444, "NA")</f>
        <v>3.7158523623759279E-2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313.20999999999998</v>
      </c>
      <c r="C319" s="8">
        <f>IFERROR(B319/B444, "NA")</f>
        <v>1.7735417982482811E-3</v>
      </c>
      <c r="D319" s="9"/>
      <c r="E319" s="7">
        <v>294</v>
      </c>
      <c r="F319" s="8">
        <f>IFERROR(E319/E444, "NA")</f>
        <v>1.5817026911111105E-3</v>
      </c>
      <c r="G319" s="9"/>
      <c r="H319" s="10">
        <f t="shared" si="76"/>
        <v>-19.20999999999998</v>
      </c>
      <c r="I319" s="8">
        <f>IFERROR(H319/H444, "NA")</f>
        <v>2.0713332226321973E-3</v>
      </c>
      <c r="J319" s="9"/>
      <c r="K319" s="7">
        <v>293.35000000000002</v>
      </c>
      <c r="L319" s="8">
        <f>IFERROR(K319/K444, "NA")</f>
        <v>1.7959981231253296E-3</v>
      </c>
      <c r="M319" s="9"/>
      <c r="N319" s="10">
        <f t="shared" si="77"/>
        <v>-19.859999999999957</v>
      </c>
      <c r="O319" s="8">
        <f>IFERROR(N319/N444, "NA")</f>
        <v>-1.4970533828431287E-3</v>
      </c>
      <c r="P319" s="9"/>
      <c r="Q319" s="7">
        <v>1573.85</v>
      </c>
      <c r="R319" s="8">
        <f>IFERROR(Q319/Q444, "NA")</f>
        <v>1.7640887287143922E-3</v>
      </c>
      <c r="S319" s="9"/>
      <c r="T319" s="7">
        <v>1470</v>
      </c>
      <c r="U319" s="8">
        <f>IFERROR(T319/T444, "NA")</f>
        <v>1.840004222747106E-3</v>
      </c>
      <c r="V319" s="9"/>
      <c r="W319" s="10">
        <f t="shared" si="78"/>
        <v>-103.84999999999991</v>
      </c>
      <c r="X319" s="8">
        <f>IFERROR(W319/W444, "NA")</f>
        <v>-1.1136833126485996E-3</v>
      </c>
      <c r="Y319" s="9"/>
      <c r="Z319" s="7">
        <v>1426.1</v>
      </c>
      <c r="AA319" s="8">
        <f>IFERROR(Z319/Z444, "NA")</f>
        <v>1.9802406667949798E-3</v>
      </c>
      <c r="AB319" s="9"/>
      <c r="AC319" s="10">
        <f t="shared" si="79"/>
        <v>-147.75</v>
      </c>
      <c r="AD319" s="8">
        <f>IFERROR(AC319/AC444, "NA")</f>
        <v>-8.5903485181430784E-4</v>
      </c>
    </row>
    <row r="320" spans="1:30" ht="16.5" customHeight="1" x14ac:dyDescent="0.45">
      <c r="A320" s="6" t="s">
        <v>292</v>
      </c>
      <c r="B320" s="7">
        <v>1063.69</v>
      </c>
      <c r="C320" s="8">
        <f>IFERROR(B320/B444, "NA")</f>
        <v>6.023111252446328E-3</v>
      </c>
      <c r="D320" s="9"/>
      <c r="E320" s="7">
        <v>833</v>
      </c>
      <c r="F320" s="8">
        <f>IFERROR(E320/E444, "NA")</f>
        <v>4.4814909581481462E-3</v>
      </c>
      <c r="G320" s="9"/>
      <c r="H320" s="10">
        <f t="shared" si="76"/>
        <v>-230.69000000000005</v>
      </c>
      <c r="I320" s="8">
        <f>IFERROR(H320/H444, "NA")</f>
        <v>2.4874329054087572E-2</v>
      </c>
      <c r="J320" s="9"/>
      <c r="K320" s="7">
        <v>810.73</v>
      </c>
      <c r="L320" s="8">
        <f>IFERROR(K320/K444, "NA")</f>
        <v>4.9635914721711215E-3</v>
      </c>
      <c r="M320" s="9"/>
      <c r="N320" s="10">
        <f t="shared" si="77"/>
        <v>-252.96000000000004</v>
      </c>
      <c r="O320" s="8">
        <f>IFERROR(N320/N444, "NA")</f>
        <v>-1.9068208646727026E-2</v>
      </c>
      <c r="P320" s="9"/>
      <c r="Q320" s="7">
        <v>5198.75</v>
      </c>
      <c r="R320" s="8">
        <f>IFERROR(Q320/Q444, "NA")</f>
        <v>5.8271476178822302E-3</v>
      </c>
      <c r="S320" s="9"/>
      <c r="T320" s="7">
        <v>4165</v>
      </c>
      <c r="U320" s="8">
        <f>IFERROR(T320/T444, "NA")</f>
        <v>5.2133452977834675E-3</v>
      </c>
      <c r="V320" s="9"/>
      <c r="W320" s="10">
        <f t="shared" si="78"/>
        <v>-1033.75</v>
      </c>
      <c r="X320" s="8">
        <f>IFERROR(W320/W444, "NA")</f>
        <v>-1.1085894313437561E-2</v>
      </c>
      <c r="Y320" s="9"/>
      <c r="Z320" s="7">
        <v>4100.25</v>
      </c>
      <c r="AA320" s="8">
        <f>IFERROR(Z320/Z444, "NA")</f>
        <v>5.6934869883080545E-3</v>
      </c>
      <c r="AB320" s="9"/>
      <c r="AC320" s="10">
        <f t="shared" si="79"/>
        <v>-1098.5</v>
      </c>
      <c r="AD320" s="8">
        <f>IFERROR(AC320/AC444, "NA")</f>
        <v>-6.386800573387595E-3</v>
      </c>
    </row>
    <row r="321" spans="1:30" ht="16.5" customHeight="1" x14ac:dyDescent="0.45">
      <c r="A321" s="6" t="s">
        <v>293</v>
      </c>
      <c r="B321" s="7">
        <v>1743.47</v>
      </c>
      <c r="C321" s="8">
        <f>IFERROR(B321/B444, "NA")</f>
        <v>9.8723441748090127E-3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-1743.47</v>
      </c>
      <c r="I321" s="8">
        <f>IFERROR(H321/H444, "NA")</f>
        <v>0.18799101164302764</v>
      </c>
      <c r="J321" s="9"/>
      <c r="K321" s="7">
        <v>1469.57</v>
      </c>
      <c r="L321" s="8">
        <f>IFERROR(K321/K444, "NA")</f>
        <v>8.9972557075210166E-3</v>
      </c>
      <c r="M321" s="9"/>
      <c r="N321" s="10">
        <f t="shared" si="77"/>
        <v>-273.90000000000009</v>
      </c>
      <c r="O321" s="8">
        <f>IFERROR(N321/N444, "NA")</f>
        <v>-2.0646672787549548E-2</v>
      </c>
      <c r="P321" s="9"/>
      <c r="Q321" s="7">
        <v>12275.02</v>
      </c>
      <c r="R321" s="8">
        <f>IFERROR(Q321/Q444, "NA")</f>
        <v>1.3758760000472561E-2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-12275.02</v>
      </c>
      <c r="X321" s="8">
        <f>IFERROR(W321/W444, "NA")</f>
        <v>-0.1316368313570325</v>
      </c>
      <c r="Y321" s="9"/>
      <c r="Z321" s="7">
        <v>8136.32</v>
      </c>
      <c r="AA321" s="8">
        <f>IFERROR(Z321/Z444, "NA")</f>
        <v>1.1297855509471516E-2</v>
      </c>
      <c r="AB321" s="9"/>
      <c r="AC321" s="10">
        <f t="shared" si="79"/>
        <v>-4138.7000000000007</v>
      </c>
      <c r="AD321" s="8">
        <f>IFERROR(AC321/AC444, "NA")</f>
        <v>-2.4062859838943327E-2</v>
      </c>
    </row>
    <row r="322" spans="1:30" ht="16.5" customHeight="1" x14ac:dyDescent="0.45">
      <c r="A322" s="6" t="s">
        <v>294</v>
      </c>
      <c r="B322" s="7">
        <v>214.38</v>
      </c>
      <c r="C322" s="8">
        <f>IFERROR(B322/B444, "NA")</f>
        <v>1.2139200239726271E-3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-214.38</v>
      </c>
      <c r="I322" s="8">
        <f>IFERROR(H322/H444, "NA")</f>
        <v>2.311569059176944E-2</v>
      </c>
      <c r="J322" s="9"/>
      <c r="K322" s="7">
        <v>180.7</v>
      </c>
      <c r="L322" s="8">
        <f>IFERROR(K322/K444, "NA")</f>
        <v>1.106312803302359E-3</v>
      </c>
      <c r="M322" s="9"/>
      <c r="N322" s="10">
        <f t="shared" si="77"/>
        <v>-33.680000000000007</v>
      </c>
      <c r="O322" s="8">
        <f>IFERROR(N322/N444, "NA")</f>
        <v>-2.5388095636534086E-3</v>
      </c>
      <c r="P322" s="9"/>
      <c r="Q322" s="7">
        <v>947.89</v>
      </c>
      <c r="R322" s="8">
        <f>IFERROR(Q322/Q444, "NA")</f>
        <v>1.0624659688414305E-3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-947.89</v>
      </c>
      <c r="X322" s="8">
        <f>IFERROR(W322/W444, "NA")</f>
        <v>-1.0165135052734539E-2</v>
      </c>
      <c r="Y322" s="9"/>
      <c r="Z322" s="7">
        <v>832.01</v>
      </c>
      <c r="AA322" s="8">
        <f>IFERROR(Z322/Z444, "NA")</f>
        <v>1.1553047031625349E-3</v>
      </c>
      <c r="AB322" s="9"/>
      <c r="AC322" s="10">
        <f t="shared" si="79"/>
        <v>-115.88</v>
      </c>
      <c r="AD322" s="8">
        <f>IFERROR(AC322/AC444, "NA")</f>
        <v>-6.7373914469199322E-4</v>
      </c>
    </row>
    <row r="323" spans="1:30" ht="16.5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-31.29</v>
      </c>
      <c r="AA323" s="8">
        <f>IFERROR(Z323/Z444, "NA")</f>
        <v>-4.3448377017049939E-5</v>
      </c>
      <c r="AB323" s="9"/>
      <c r="AC323" s="10">
        <f t="shared" si="79"/>
        <v>-31.29</v>
      </c>
      <c r="AD323" s="8">
        <f>IFERROR(AC323/AC444, "NA")</f>
        <v>-1.819235229324514E-4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5417.4</v>
      </c>
      <c r="C324" s="15">
        <f>IFERROR(B324/B444, "NA")</f>
        <v>3.0675857532742372E-2</v>
      </c>
      <c r="D324" s="2"/>
      <c r="E324" s="14">
        <f>IFERROR(E297+E298+E299+E300+E301+E302+E303+E304+E305+E306+E307+E308+E309+E310+E311+E312+E313+E314+E315+E316+E317+E318+E319+E320+E321+E322+E323, "NA")</f>
        <v>4236.38</v>
      </c>
      <c r="F324" s="15">
        <f>IFERROR(E324/E444, "NA")</f>
        <v>2.2791474988330906E-2</v>
      </c>
      <c r="G324" s="2"/>
      <c r="H324" s="14">
        <f t="shared" si="76"/>
        <v>-1181.0199999999995</v>
      </c>
      <c r="I324" s="15">
        <f>IFERROR(H324/H444, "NA")</f>
        <v>0.12734440200900984</v>
      </c>
      <c r="J324" s="2"/>
      <c r="K324" s="14">
        <f>IFERROR(K297+K298+K299+K300+K301+K302+K303+K304+K305+K306+K307+K308+K309+K310+K311+K312+K313+K314+K315+K316+K317+K318+K319+K320+K321+K322+K323, "NA")</f>
        <v>3589.84</v>
      </c>
      <c r="L324" s="15">
        <f>IFERROR(K324/K444, "NA")</f>
        <v>2.1978339534072723E-2</v>
      </c>
      <c r="M324" s="2"/>
      <c r="N324" s="14">
        <f t="shared" si="77"/>
        <v>-1827.5599999999995</v>
      </c>
      <c r="O324" s="15">
        <f>IFERROR(N324/N444, "NA")</f>
        <v>-0.13776207856741157</v>
      </c>
      <c r="P324" s="2"/>
      <c r="Q324" s="14">
        <f>IFERROR(Q297+Q298+Q299+Q300+Q301+Q302+Q303+Q304+Q305+Q306+Q307+Q308+Q309+Q310+Q311+Q312+Q313+Q314+Q315+Q316+Q317+Q318+Q319+Q320+Q321+Q322+Q323, "NA")</f>
        <v>27321.9</v>
      </c>
      <c r="R324" s="15">
        <f>IFERROR(Q324/Q444, "NA")</f>
        <v>3.0624427891515558E-2</v>
      </c>
      <c r="S324" s="2"/>
      <c r="T324" s="14">
        <f>IFERROR(T297+T298+T299+T300+T301+T302+T303+T304+T305+T306+T307+T308+T309+T310+T311+T312+T313+T314+T315+T316+T317+T318+T319+T320+T321+T322+T323, "NA")</f>
        <v>19485.84</v>
      </c>
      <c r="U324" s="15">
        <f>IFERROR(T324/T444, "NA")</f>
        <v>2.4390495159030252E-2</v>
      </c>
      <c r="V324" s="2"/>
      <c r="W324" s="14">
        <f t="shared" si="78"/>
        <v>-7836.0600000000013</v>
      </c>
      <c r="X324" s="15">
        <f>IFERROR(W324/W444, "NA")</f>
        <v>-8.403359902660755E-2</v>
      </c>
      <c r="Y324" s="2"/>
      <c r="Z324" s="14">
        <f>IFERROR(Z297+Z298+Z299+Z300+Z301+Z302+Z303+Z304+Z305+Z306+Z307+Z308+Z309+Z310+Z311+Z312+Z313+Z314+Z315+Z316+Z317+Z318+Z319+Z320+Z321+Z322+Z323, "NA")</f>
        <v>17434.759999999998</v>
      </c>
      <c r="AA324" s="15">
        <f>IFERROR(Z324/Z444, "NA")</f>
        <v>2.4209396793920791E-2</v>
      </c>
      <c r="AB324" s="2"/>
      <c r="AC324" s="14">
        <f t="shared" si="79"/>
        <v>-9887.1400000000031</v>
      </c>
      <c r="AD324" s="15">
        <f>IFERROR(AC324/AC444, "NA")</f>
        <v>-5.7484926191318571E-2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43618.87000000001</v>
      </c>
      <c r="C325" s="15">
        <f>IFERROR(B325/B444, "NA")</f>
        <v>0.24699048286248212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46906.069999999992</v>
      </c>
      <c r="F325" s="15">
        <f>IFERROR(E325/E444, "NA")</f>
        <v>0.25235189506274192</v>
      </c>
      <c r="G325" s="2"/>
      <c r="H325" s="14">
        <f t="shared" si="76"/>
        <v>3287.1999999999825</v>
      </c>
      <c r="I325" s="15">
        <f>IFERROR(H325/H444, "NA")</f>
        <v>-0.35444490210497293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33865.959999999992</v>
      </c>
      <c r="L325" s="15">
        <f>IFERROR(K325/K444, "NA")</f>
        <v>0.20734003953583593</v>
      </c>
      <c r="M325" s="2"/>
      <c r="N325" s="14">
        <f t="shared" si="77"/>
        <v>-9752.910000000018</v>
      </c>
      <c r="O325" s="15">
        <f>IFERROR(N325/N444, "NA")</f>
        <v>-0.73517758852289217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242571.86000000002</v>
      </c>
      <c r="R325" s="15">
        <f>IFERROR(Q325/Q444, "NA")</f>
        <v>0.27189267346270968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205585.15000000002</v>
      </c>
      <c r="U325" s="15">
        <f>IFERROR(T325/T444, "NA")</f>
        <v>0.25733166267625662</v>
      </c>
      <c r="V325" s="2"/>
      <c r="W325" s="14">
        <f t="shared" si="78"/>
        <v>-36986.709999999992</v>
      </c>
      <c r="X325" s="15">
        <f>IFERROR(W325/W444, "NA")</f>
        <v>-0.39664402230884072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161038.61000000002</v>
      </c>
      <c r="AA325" s="15">
        <f>IFERROR(Z325/Z444, "NA")</f>
        <v>0.22361349445770756</v>
      </c>
      <c r="AB325" s="2"/>
      <c r="AC325" s="14">
        <f t="shared" si="79"/>
        <v>-81533.25</v>
      </c>
      <c r="AD325" s="15">
        <f>IFERROR(AC325/AC444, "NA")</f>
        <v>-0.47404333896236156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10136.4</v>
      </c>
      <c r="C329" s="8">
        <f>IFERROR(B329/B444, "NA")</f>
        <v>5.7397046977311954E-2</v>
      </c>
      <c r="D329" s="9"/>
      <c r="E329" s="7">
        <v>9355</v>
      </c>
      <c r="F329" s="8">
        <f>IFERROR(E329/E444, "NA")</f>
        <v>5.0329349235865441E-2</v>
      </c>
      <c r="G329" s="9"/>
      <c r="H329" s="10">
        <f t="shared" si="80"/>
        <v>-781.39999999999964</v>
      </c>
      <c r="I329" s="8">
        <f>IFERROR(H329/H444, "NA")</f>
        <v>8.4255064037730351E-2</v>
      </c>
      <c r="J329" s="9"/>
      <c r="K329" s="7">
        <v>9841.17</v>
      </c>
      <c r="L329" s="8">
        <f>IFERROR(K329/K444, "NA")</f>
        <v>6.0251313616353504E-2</v>
      </c>
      <c r="M329" s="9"/>
      <c r="N329" s="10">
        <f t="shared" si="81"/>
        <v>-295.22999999999956</v>
      </c>
      <c r="O329" s="8">
        <f>IFERROR(N329/N444, "NA")</f>
        <v>-2.2254535257642358E-2</v>
      </c>
      <c r="P329" s="9"/>
      <c r="Q329" s="7">
        <v>50682</v>
      </c>
      <c r="R329" s="8">
        <f>IFERROR(Q329/Q444, "NA")</f>
        <v>5.6808174189854711E-2</v>
      </c>
      <c r="S329" s="9"/>
      <c r="T329" s="7">
        <v>49117</v>
      </c>
      <c r="U329" s="8">
        <f>IFERROR(T329/T444, "NA")</f>
        <v>6.147992340725824E-2</v>
      </c>
      <c r="V329" s="9"/>
      <c r="W329" s="10">
        <f t="shared" si="82"/>
        <v>-1565</v>
      </c>
      <c r="X329" s="8">
        <f>IFERROR(W329/W444, "NA")</f>
        <v>-1.6782998404381896E-2</v>
      </c>
      <c r="Y329" s="9"/>
      <c r="Z329" s="7">
        <v>49205.85</v>
      </c>
      <c r="AA329" s="8">
        <f>IFERROR(Z329/Z444, "NA")</f>
        <v>6.8325801286174714E-2</v>
      </c>
      <c r="AB329" s="9"/>
      <c r="AC329" s="10">
        <f t="shared" si="83"/>
        <v>-1476.1500000000015</v>
      </c>
      <c r="AD329" s="8">
        <f>IFERROR(AC329/AC444, "NA")</f>
        <v>-8.5824994687356462E-3</v>
      </c>
    </row>
    <row r="330" spans="1:30" ht="16.5" customHeight="1" x14ac:dyDescent="0.45">
      <c r="A330" s="6" t="s">
        <v>301</v>
      </c>
      <c r="B330" s="7">
        <v>728.65</v>
      </c>
      <c r="C330" s="8">
        <f>IFERROR(B330/B444, "NA")</f>
        <v>4.1259577640995184E-3</v>
      </c>
      <c r="D330" s="9"/>
      <c r="E330" s="7">
        <v>728</v>
      </c>
      <c r="F330" s="8">
        <f>IFERROR(E330/E444, "NA")</f>
        <v>3.9165971398941787E-3</v>
      </c>
      <c r="G330" s="9"/>
      <c r="H330" s="10">
        <f t="shared" si="80"/>
        <v>-0.64999999999997726</v>
      </c>
      <c r="I330" s="8">
        <f>IFERROR(H330/H444, "NA")</f>
        <v>7.0086756622117789E-5</v>
      </c>
      <c r="J330" s="9"/>
      <c r="K330" s="7">
        <v>728.65</v>
      </c>
      <c r="L330" s="8">
        <f>IFERROR(K330/K444, "NA")</f>
        <v>4.4610670953307355E-3</v>
      </c>
      <c r="M330" s="9"/>
      <c r="N330" s="10">
        <f t="shared" si="81"/>
        <v>0</v>
      </c>
      <c r="O330" s="8">
        <f>IFERROR(N330/N444, "NA")</f>
        <v>0</v>
      </c>
      <c r="P330" s="9"/>
      <c r="Q330" s="7">
        <v>3643.25</v>
      </c>
      <c r="R330" s="8">
        <f>IFERROR(Q330/Q444, "NA")</f>
        <v>4.0836269408702922E-3</v>
      </c>
      <c r="S330" s="9"/>
      <c r="T330" s="7">
        <v>3640</v>
      </c>
      <c r="U330" s="8">
        <f>IFERROR(T330/T444, "NA")</f>
        <v>4.5562009325166436E-3</v>
      </c>
      <c r="V330" s="9"/>
      <c r="W330" s="10">
        <f t="shared" si="82"/>
        <v>-3.25</v>
      </c>
      <c r="X330" s="8">
        <f>IFERROR(W330/W444, "NA")</f>
        <v>-3.4852872085777098E-5</v>
      </c>
      <c r="Y330" s="9"/>
      <c r="Z330" s="7">
        <v>3643.25</v>
      </c>
      <c r="AA330" s="8">
        <f>IFERROR(Z330/Z444, "NA")</f>
        <v>5.0589101811239117E-3</v>
      </c>
      <c r="AB330" s="9"/>
      <c r="AC330" s="10">
        <f t="shared" si="83"/>
        <v>0</v>
      </c>
      <c r="AD330" s="8">
        <f>IFERROR(AC330/AC444, "NA")</f>
        <v>0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15.16</v>
      </c>
      <c r="C332" s="8">
        <f>IFERROR(B332/B444, "NA")</f>
        <v>8.5843024365262749E-5</v>
      </c>
      <c r="D332" s="9"/>
      <c r="E332" s="7">
        <v>15</v>
      </c>
      <c r="F332" s="8">
        <f>IFERROR(E332/E444, "NA")</f>
        <v>8.0699116893424012E-5</v>
      </c>
      <c r="G332" s="9"/>
      <c r="H332" s="10">
        <f t="shared" si="80"/>
        <v>-0.16000000000000014</v>
      </c>
      <c r="I332" s="8">
        <f>IFERROR(H332/H444, "NA")</f>
        <v>1.7252124706983459E-5</v>
      </c>
      <c r="J332" s="9"/>
      <c r="K332" s="7">
        <v>15.16</v>
      </c>
      <c r="L332" s="8">
        <f>IFERROR(K332/K444, "NA")</f>
        <v>9.2815174864769039E-5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75.8</v>
      </c>
      <c r="R332" s="8">
        <f>IFERROR(Q332/Q444, "NA")</f>
        <v>8.4962306215046501E-5</v>
      </c>
      <c r="S332" s="9"/>
      <c r="T332" s="7">
        <v>75</v>
      </c>
      <c r="U332" s="8">
        <f>IFERROR(T332/T444, "NA")</f>
        <v>9.387776646668909E-5</v>
      </c>
      <c r="V332" s="9"/>
      <c r="W332" s="10">
        <f t="shared" si="82"/>
        <v>-0.79999999999999716</v>
      </c>
      <c r="X332" s="8">
        <f>IFERROR(W332/W444, "NA")</f>
        <v>-8.5791685134220244E-6</v>
      </c>
      <c r="Y332" s="9"/>
      <c r="Z332" s="7">
        <v>75.8</v>
      </c>
      <c r="AA332" s="8">
        <f>IFERROR(Z332/Z444, "NA")</f>
        <v>1.0525365860953612E-4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964.14</v>
      </c>
      <c r="C333" s="8">
        <f>IFERROR(B333/B444, "NA")</f>
        <v>5.4594125007601862E-3</v>
      </c>
      <c r="D333" s="9"/>
      <c r="E333" s="7">
        <v>728</v>
      </c>
      <c r="F333" s="8">
        <f>IFERROR(E333/E444, "NA")</f>
        <v>3.9165971398941787E-3</v>
      </c>
      <c r="G333" s="9"/>
      <c r="H333" s="10">
        <f t="shared" si="80"/>
        <v>-236.14</v>
      </c>
      <c r="I333" s="8">
        <f>IFERROR(H333/H444, "NA")</f>
        <v>2.5461979551919187E-2</v>
      </c>
      <c r="J333" s="9"/>
      <c r="K333" s="7">
        <v>964.14</v>
      </c>
      <c r="L333" s="8">
        <f>IFERROR(K333/K444, "NA")</f>
        <v>5.9028247159708712E-3</v>
      </c>
      <c r="M333" s="9"/>
      <c r="N333" s="10">
        <f t="shared" si="81"/>
        <v>0</v>
      </c>
      <c r="O333" s="8">
        <f>IFERROR(N333/N444, "NA")</f>
        <v>0</v>
      </c>
      <c r="P333" s="9"/>
      <c r="Q333" s="7">
        <v>4820.7</v>
      </c>
      <c r="R333" s="8">
        <f>IFERROR(Q333/Q444, "NA")</f>
        <v>5.4034009178215653E-3</v>
      </c>
      <c r="S333" s="9"/>
      <c r="T333" s="7">
        <v>3640</v>
      </c>
      <c r="U333" s="8">
        <f>IFERROR(T333/T444, "NA")</f>
        <v>4.5562009325166436E-3</v>
      </c>
      <c r="V333" s="9"/>
      <c r="W333" s="10">
        <f t="shared" si="82"/>
        <v>-1180.6999999999998</v>
      </c>
      <c r="X333" s="8">
        <f>IFERROR(W333/W444, "NA")</f>
        <v>-1.2661780329746774E-2</v>
      </c>
      <c r="Y333" s="9"/>
      <c r="Z333" s="7">
        <v>4820.7</v>
      </c>
      <c r="AA333" s="8">
        <f>IFERROR(Z333/Z444, "NA")</f>
        <v>6.6938827448415677E-3</v>
      </c>
      <c r="AB333" s="9"/>
      <c r="AC333" s="10">
        <f t="shared" si="83"/>
        <v>0</v>
      </c>
      <c r="AD333" s="8">
        <f>IFERROR(AC333/AC444, "NA")</f>
        <v>0</v>
      </c>
    </row>
    <row r="334" spans="1:30" ht="16.5" customHeight="1" x14ac:dyDescent="0.45">
      <c r="A334" s="6" t="s">
        <v>305</v>
      </c>
      <c r="B334" s="7">
        <v>-780.5</v>
      </c>
      <c r="C334" s="8">
        <f>IFERROR(B334/B444, "NA")</f>
        <v>-4.4195567623408691E-3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780.5</v>
      </c>
      <c r="I334" s="8">
        <f>IFERROR(H334/H444, "NA")</f>
        <v>-8.4158020836253608E-2</v>
      </c>
      <c r="J334" s="9"/>
      <c r="K334" s="7">
        <v>-757.77</v>
      </c>
      <c r="L334" s="8">
        <f>IFERROR(K334/K444, "NA")</f>
        <v>-4.6393505974456481E-3</v>
      </c>
      <c r="M334" s="9"/>
      <c r="N334" s="10">
        <f t="shared" si="81"/>
        <v>22.730000000000018</v>
      </c>
      <c r="O334" s="8">
        <f>IFERROR(N334/N444, "NA")</f>
        <v>1.7133949341402023E-3</v>
      </c>
      <c r="P334" s="9"/>
      <c r="Q334" s="7">
        <v>-1561</v>
      </c>
      <c r="R334" s="8">
        <f>IFERROR(Q334/Q444, "NA")</f>
        <v>-1.7496854881489127E-3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1561</v>
      </c>
      <c r="X334" s="8">
        <f>IFERROR(W334/W444, "NA")</f>
        <v>1.6740102561814785E-2</v>
      </c>
      <c r="Y334" s="9"/>
      <c r="Z334" s="7">
        <v>-1515.54</v>
      </c>
      <c r="AA334" s="8">
        <f>IFERROR(Z334/Z444, "NA")</f>
        <v>-2.104434429671456E-3</v>
      </c>
      <c r="AB334" s="9"/>
      <c r="AC334" s="10">
        <f t="shared" si="83"/>
        <v>45.460000000000036</v>
      </c>
      <c r="AD334" s="8">
        <f>IFERROR(AC334/AC444, "NA")</f>
        <v>2.6430947115721465E-4</v>
      </c>
    </row>
    <row r="335" spans="1:30" ht="16.5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3309.62</v>
      </c>
      <c r="R335" s="8">
        <f>IFERROR(Q335/Q444, "NA")</f>
        <v>3.7096694973013482E-3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-3309.62</v>
      </c>
      <c r="X335" s="8">
        <f>IFERROR(W335/W444, "NA")</f>
        <v>-3.5492234619239879E-2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-3309.62</v>
      </c>
      <c r="AD335" s="8">
        <f>IFERROR(AC335/AC444, "NA")</f>
        <v>-1.924249696285394E-2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3351.56</v>
      </c>
      <c r="F337" s="8">
        <f>IFERROR(E337/E444, "NA")</f>
        <v>1.8031195481021611E-2</v>
      </c>
      <c r="G337" s="9"/>
      <c r="H337" s="10">
        <f t="shared" ref="H337:H344" si="84">IFERROR(-(B337-E337), "NA")</f>
        <v>3351.56</v>
      </c>
      <c r="I337" s="8">
        <f>IFERROR(H337/H444, "NA")</f>
        <v>-0.36138456926835888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19068.97</v>
      </c>
      <c r="U337" s="8">
        <f>IFERROR(T337/T444, "NA")</f>
        <v>2.3868697498937337E-2</v>
      </c>
      <c r="V337" s="9"/>
      <c r="W337" s="10">
        <f t="shared" ref="W337:W344" si="86">IFERROR(-(Q337-T337), "NA")</f>
        <v>19068.97</v>
      </c>
      <c r="X337" s="8">
        <f>IFERROR(W337/W444, "NA")</f>
        <v>0.20449488375923722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3096.77</v>
      </c>
      <c r="C338" s="8">
        <f>IFERROR(B338/B444, "NA")</f>
        <v>1.7535362965937645E-2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-3096.77</v>
      </c>
      <c r="I338" s="8">
        <f>IFERROR(H338/H444, "NA")</f>
        <v>0.33391163893028197</v>
      </c>
      <c r="J338" s="9"/>
      <c r="K338" s="7">
        <v>2256.48</v>
      </c>
      <c r="L338" s="8">
        <f>IFERROR(K338/K444, "NA")</f>
        <v>1.3815012254541823E-2</v>
      </c>
      <c r="M338" s="9"/>
      <c r="N338" s="10">
        <f t="shared" si="85"/>
        <v>-840.29</v>
      </c>
      <c r="O338" s="8">
        <f>IFERROR(N338/N444, "NA")</f>
        <v>-6.3341338724534513E-2</v>
      </c>
      <c r="P338" s="9"/>
      <c r="Q338" s="7">
        <v>19830.7</v>
      </c>
      <c r="R338" s="8">
        <f>IFERROR(Q338/Q444, "NA")</f>
        <v>2.222773094800426E-2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-19830.7</v>
      </c>
      <c r="X338" s="8">
        <f>IFERROR(W338/W444, "NA")</f>
        <v>-0.21266364629889845</v>
      </c>
      <c r="Y338" s="9"/>
      <c r="Z338" s="7">
        <v>12589.46</v>
      </c>
      <c r="AA338" s="8">
        <f>IFERROR(Z338/Z444, "NA")</f>
        <v>1.7481355210005416E-2</v>
      </c>
      <c r="AB338" s="9"/>
      <c r="AC338" s="10">
        <f t="shared" si="87"/>
        <v>-7241.2400000000016</v>
      </c>
      <c r="AD338" s="8">
        <f>IFERROR(AC338/AC444, "NA")</f>
        <v>-4.2101370763802638E-2</v>
      </c>
    </row>
    <row r="339" spans="1:30" ht="16.5" customHeight="1" x14ac:dyDescent="0.45">
      <c r="A339" s="12" t="s">
        <v>309</v>
      </c>
      <c r="B339" s="7">
        <v>373.99</v>
      </c>
      <c r="C339" s="8">
        <f>IFERROR(B339/B444, "NA")</f>
        <v>2.1177066413169271E-3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-373.99</v>
      </c>
      <c r="I339" s="8">
        <f>IFERROR(H339/H444, "NA")</f>
        <v>4.0325763244779614E-2</v>
      </c>
      <c r="J339" s="9"/>
      <c r="K339" s="7">
        <v>342.12</v>
      </c>
      <c r="L339" s="8">
        <f>IFERROR(K339/K444, "NA")</f>
        <v>2.0945862549297352E-3</v>
      </c>
      <c r="M339" s="9"/>
      <c r="N339" s="10">
        <f t="shared" si="85"/>
        <v>-31.870000000000005</v>
      </c>
      <c r="O339" s="8">
        <f>IFERROR(N339/N444, "NA")</f>
        <v>-2.4023711637064767E-3</v>
      </c>
      <c r="P339" s="9"/>
      <c r="Q339" s="7">
        <v>1669.64</v>
      </c>
      <c r="R339" s="8">
        <f>IFERROR(Q339/Q444, "NA")</f>
        <v>1.871457321225465E-3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-1669.64</v>
      </c>
      <c r="X339" s="8">
        <f>IFERROR(W339/W444, "NA")</f>
        <v>-1.7905153645937501E-2</v>
      </c>
      <c r="Y339" s="9"/>
      <c r="Z339" s="7">
        <v>2290.3200000000002</v>
      </c>
      <c r="AA339" s="8">
        <f>IFERROR(Z339/Z444, "NA")</f>
        <v>3.1802712320130977E-3</v>
      </c>
      <c r="AB339" s="9"/>
      <c r="AC339" s="10">
        <f t="shared" si="87"/>
        <v>620.68000000000006</v>
      </c>
      <c r="AD339" s="8">
        <f>IFERROR(AC339/AC444, "NA")</f>
        <v>3.6087022120074768E-3</v>
      </c>
    </row>
    <row r="340" spans="1:30" ht="16.5" customHeight="1" x14ac:dyDescent="0.45">
      <c r="A340" s="12" t="s">
        <v>310</v>
      </c>
      <c r="B340" s="7">
        <v>702.42</v>
      </c>
      <c r="C340" s="8">
        <f>IFERROR(B340/B444, "NA")</f>
        <v>3.9774312120480111E-3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-702.42</v>
      </c>
      <c r="I340" s="8">
        <f>IFERROR(H340/H444, "NA")</f>
        <v>7.573898397924568E-2</v>
      </c>
      <c r="J340" s="9"/>
      <c r="K340" s="7">
        <v>492.56</v>
      </c>
      <c r="L340" s="8">
        <f>IFERROR(K340/K444, "NA")</f>
        <v>3.0156360508832871E-3</v>
      </c>
      <c r="M340" s="9"/>
      <c r="N340" s="10">
        <f t="shared" si="85"/>
        <v>-209.85999999999996</v>
      </c>
      <c r="O340" s="8">
        <f>IFERROR(N340/N444, "NA")</f>
        <v>-1.5819316360697867E-2</v>
      </c>
      <c r="P340" s="9"/>
      <c r="Q340" s="7">
        <v>2887.77</v>
      </c>
      <c r="R340" s="8">
        <f>IFERROR(Q340/Q444, "NA")</f>
        <v>3.2368284830953144E-3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-2887.77</v>
      </c>
      <c r="X340" s="8">
        <f>IFERROR(W340/W444, "NA")</f>
        <v>-3.0968331822506009E-2</v>
      </c>
      <c r="Y340" s="9"/>
      <c r="Z340" s="7">
        <v>2181.85</v>
      </c>
      <c r="AA340" s="8">
        <f>IFERROR(Z340/Z444, "NA")</f>
        <v>3.0296529688287124E-3</v>
      </c>
      <c r="AB340" s="9"/>
      <c r="AC340" s="10">
        <f t="shared" si="87"/>
        <v>-705.92000000000007</v>
      </c>
      <c r="AD340" s="8">
        <f>IFERROR(AC340/AC444, "NA")</f>
        <v>-4.1042970057039345E-3</v>
      </c>
    </row>
    <row r="341" spans="1:30" ht="16.5" customHeight="1" x14ac:dyDescent="0.45">
      <c r="A341" s="12" t="s">
        <v>311</v>
      </c>
      <c r="B341" s="7">
        <v>380.17</v>
      </c>
      <c r="C341" s="8">
        <f>IFERROR(B341/B444, "NA")</f>
        <v>2.1527006974236106E-3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-380.17</v>
      </c>
      <c r="I341" s="8">
        <f>IFERROR(H341/H444, "NA")</f>
        <v>4.099212656158685E-2</v>
      </c>
      <c r="J341" s="9"/>
      <c r="K341" s="7">
        <v>351.45</v>
      </c>
      <c r="L341" s="8">
        <f>IFERROR(K341/K444, "NA")</f>
        <v>2.1517079951334484E-3</v>
      </c>
      <c r="M341" s="9"/>
      <c r="N341" s="10">
        <f t="shared" si="85"/>
        <v>-28.720000000000027</v>
      </c>
      <c r="O341" s="8">
        <f>IFERROR(N341/N444, "NA")</f>
        <v>-2.1649231195999393E-3</v>
      </c>
      <c r="P341" s="9"/>
      <c r="Q341" s="7">
        <v>1900.85</v>
      </c>
      <c r="R341" s="8">
        <f>IFERROR(Q341/Q444, "NA")</f>
        <v>2.1306147726764002E-3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-1900.85</v>
      </c>
      <c r="X341" s="8">
        <f>IFERROR(W341/W444, "NA")</f>
        <v>-2.0384640585922889E-2</v>
      </c>
      <c r="Y341" s="9"/>
      <c r="Z341" s="7">
        <v>1757.25</v>
      </c>
      <c r="AA341" s="8">
        <f>IFERROR(Z341/Z444, "NA")</f>
        <v>2.4400658521320233E-3</v>
      </c>
      <c r="AB341" s="9"/>
      <c r="AC341" s="10">
        <f t="shared" si="87"/>
        <v>-143.59999999999991</v>
      </c>
      <c r="AD341" s="8">
        <f>IFERROR(AC341/AC444, "NA")</f>
        <v>-8.3490629252476847E-4</v>
      </c>
    </row>
    <row r="342" spans="1:30" ht="16.5" customHeight="1" x14ac:dyDescent="0.45">
      <c r="A342" s="13" t="s">
        <v>312</v>
      </c>
      <c r="B342" s="14">
        <f>IFERROR(B337+B338+B339+B340+B341, "NA")</f>
        <v>4553.3500000000004</v>
      </c>
      <c r="C342" s="15">
        <f>IFERROR(B342/B444, "NA")</f>
        <v>2.5783201516726195E-2</v>
      </c>
      <c r="D342" s="2"/>
      <c r="E342" s="14">
        <f>IFERROR(E337+E338+E339+E340+E341, "NA")</f>
        <v>3351.56</v>
      </c>
      <c r="F342" s="15">
        <f>IFERROR(E342/E444, "NA")</f>
        <v>1.8031195481021611E-2</v>
      </c>
      <c r="G342" s="2"/>
      <c r="H342" s="14">
        <f t="shared" si="84"/>
        <v>-1201.7900000000004</v>
      </c>
      <c r="I342" s="15">
        <f>IFERROR(H342/H444, "NA")</f>
        <v>0.12958394344753524</v>
      </c>
      <c r="J342" s="2"/>
      <c r="K342" s="14">
        <f>IFERROR(K337+K338+K339+K340+K341, "NA")</f>
        <v>3442.6099999999997</v>
      </c>
      <c r="L342" s="15">
        <f>IFERROR(K342/K444, "NA")</f>
        <v>2.1076942555488292E-2</v>
      </c>
      <c r="M342" s="2"/>
      <c r="N342" s="14">
        <f t="shared" si="85"/>
        <v>-1110.7400000000007</v>
      </c>
      <c r="O342" s="15">
        <f>IFERROR(N342/N444, "NA")</f>
        <v>-8.3727949368538848E-2</v>
      </c>
      <c r="P342" s="2"/>
      <c r="Q342" s="14">
        <f>IFERROR(Q337+Q338+Q339+Q340+Q341, "NA")</f>
        <v>26288.959999999999</v>
      </c>
      <c r="R342" s="15">
        <f>IFERROR(Q342/Q444, "NA")</f>
        <v>2.9466631525001438E-2</v>
      </c>
      <c r="S342" s="2"/>
      <c r="T342" s="14">
        <f>IFERROR(T337+T338+T339+T340+T341, "NA")</f>
        <v>19068.97</v>
      </c>
      <c r="U342" s="15">
        <f>IFERROR(T342/T444, "NA")</f>
        <v>2.3868697498937337E-2</v>
      </c>
      <c r="V342" s="2"/>
      <c r="W342" s="14">
        <f t="shared" si="86"/>
        <v>-7219.989999999998</v>
      </c>
      <c r="X342" s="15">
        <f>IFERROR(W342/W444, "NA")</f>
        <v>-7.7426888594027604E-2</v>
      </c>
      <c r="Y342" s="2"/>
      <c r="Z342" s="14">
        <f>IFERROR(Z337+Z338+Z339+Z340+Z341, "NA")</f>
        <v>18818.879999999997</v>
      </c>
      <c r="AA342" s="15">
        <f>IFERROR(Z342/Z444, "NA")</f>
        <v>2.613134526297925E-2</v>
      </c>
      <c r="AB342" s="2"/>
      <c r="AC342" s="14">
        <f t="shared" si="87"/>
        <v>-7470.0800000000017</v>
      </c>
      <c r="AD342" s="15">
        <f>IFERROR(AC342/AC444, "NA")</f>
        <v>-4.3431871850023868E-2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15617.199999999999</v>
      </c>
      <c r="C343" s="15">
        <f>IFERROR(B343/B444, "NA")</f>
        <v>8.8431905020922241E-2</v>
      </c>
      <c r="D343" s="2"/>
      <c r="E343" s="14">
        <f>IFERROR(E328+E329+E330+E331+E332+E333+E334+E335+E337+E338+E339+E340+E341, "NA")</f>
        <v>14177.56</v>
      </c>
      <c r="F343" s="15">
        <f>IFERROR(E343/E444, "NA")</f>
        <v>7.6274438113568821E-2</v>
      </c>
      <c r="G343" s="2"/>
      <c r="H343" s="14">
        <f t="shared" si="84"/>
        <v>-1439.6399999999994</v>
      </c>
      <c r="I343" s="15">
        <f>IFERROR(H343/H444, "NA")</f>
        <v>0.15523030508226021</v>
      </c>
      <c r="J343" s="2"/>
      <c r="K343" s="14">
        <f>IFERROR(K328+K329+K330+K331+K332+K333+K334+K335+K337+K338+K339+K340+K341, "NA")</f>
        <v>14233.96</v>
      </c>
      <c r="L343" s="15">
        <f>IFERROR(K343/K444, "NA")</f>
        <v>8.714561256056251E-2</v>
      </c>
      <c r="M343" s="2"/>
      <c r="N343" s="14">
        <f t="shared" si="85"/>
        <v>-1383.2399999999998</v>
      </c>
      <c r="O343" s="15">
        <f>IFERROR(N343/N444, "NA")</f>
        <v>-0.10426908969204096</v>
      </c>
      <c r="P343" s="2"/>
      <c r="Q343" s="14">
        <f>IFERROR(Q328+Q329+Q330+Q331+Q332+Q333+Q334+Q335+Q337+Q338+Q339+Q340+Q341, "NA")</f>
        <v>87259.330000000016</v>
      </c>
      <c r="R343" s="15">
        <f>IFERROR(Q343/Q444, "NA")</f>
        <v>9.7806779888915507E-2</v>
      </c>
      <c r="S343" s="2"/>
      <c r="T343" s="14">
        <f>IFERROR(T328+T329+T330+T331+T332+T333+T334+T335+T337+T338+T339+T340+T341, "NA")</f>
        <v>75540.97</v>
      </c>
      <c r="U343" s="15">
        <f>IFERROR(T343/T444, "NA")</f>
        <v>9.4554900537695552E-2</v>
      </c>
      <c r="V343" s="2"/>
      <c r="W343" s="14">
        <f t="shared" si="86"/>
        <v>-11718.360000000015</v>
      </c>
      <c r="X343" s="15">
        <f>IFERROR(W343/W444, "NA")</f>
        <v>-0.12566723142618075</v>
      </c>
      <c r="Y343" s="2"/>
      <c r="Z343" s="14">
        <f>IFERROR(Z328+Z329+Z330+Z331+Z332+Z333+Z334+Z335+Z337+Z338+Z339+Z340+Z341, "NA")</f>
        <v>75048.94</v>
      </c>
      <c r="AA343" s="15">
        <f>IFERROR(Z343/Z444, "NA")</f>
        <v>0.10421075870405754</v>
      </c>
      <c r="AB343" s="2"/>
      <c r="AC343" s="14">
        <f t="shared" si="87"/>
        <v>-12210.390000000014</v>
      </c>
      <c r="AD343" s="15">
        <f>IFERROR(AC343/AC444, "NA")</f>
        <v>-7.099255881045631E-2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15617.199999999999</v>
      </c>
      <c r="C344" s="15">
        <f>IFERROR(B344/B444, "NA")</f>
        <v>8.8431905020922241E-2</v>
      </c>
      <c r="D344" s="2"/>
      <c r="E344" s="14">
        <f>IFERROR(E328+E329+E330+E331+E332+E333+E334+E335+E337+E338+E339+E340+E341, "NA")</f>
        <v>14177.56</v>
      </c>
      <c r="F344" s="15">
        <f>IFERROR(E344/E444, "NA")</f>
        <v>7.6274438113568821E-2</v>
      </c>
      <c r="G344" s="2"/>
      <c r="H344" s="14">
        <f t="shared" si="84"/>
        <v>-1439.6399999999994</v>
      </c>
      <c r="I344" s="15">
        <f>IFERROR(H344/H444, "NA")</f>
        <v>0.15523030508226021</v>
      </c>
      <c r="J344" s="2"/>
      <c r="K344" s="14">
        <f>IFERROR(K328+K329+K330+K331+K332+K333+K334+K335+K337+K338+K339+K340+K341, "NA")</f>
        <v>14233.96</v>
      </c>
      <c r="L344" s="15">
        <f>IFERROR(K344/K444, "NA")</f>
        <v>8.714561256056251E-2</v>
      </c>
      <c r="M344" s="2"/>
      <c r="N344" s="14">
        <f t="shared" si="85"/>
        <v>-1383.2399999999998</v>
      </c>
      <c r="O344" s="15">
        <f>IFERROR(N344/N444, "NA")</f>
        <v>-0.10426908969204096</v>
      </c>
      <c r="P344" s="2"/>
      <c r="Q344" s="14">
        <f>IFERROR(Q328+Q329+Q330+Q331+Q332+Q333+Q334+Q335+Q337+Q338+Q339+Q340+Q341, "NA")</f>
        <v>87259.330000000016</v>
      </c>
      <c r="R344" s="15">
        <f>IFERROR(Q344/Q444, "NA")</f>
        <v>9.7806779888915507E-2</v>
      </c>
      <c r="S344" s="2"/>
      <c r="T344" s="14">
        <f>IFERROR(T328+T329+T330+T331+T332+T333+T334+T335+T337+T338+T339+T340+T341, "NA")</f>
        <v>75540.97</v>
      </c>
      <c r="U344" s="15">
        <f>IFERROR(T344/T444, "NA")</f>
        <v>9.4554900537695552E-2</v>
      </c>
      <c r="V344" s="2"/>
      <c r="W344" s="14">
        <f t="shared" si="86"/>
        <v>-11718.360000000015</v>
      </c>
      <c r="X344" s="15">
        <f>IFERROR(W344/W444, "NA")</f>
        <v>-0.12566723142618075</v>
      </c>
      <c r="Y344" s="2"/>
      <c r="Z344" s="14">
        <f>IFERROR(Z328+Z329+Z330+Z331+Z332+Z333+Z334+Z335+Z337+Z338+Z339+Z340+Z341, "NA")</f>
        <v>75048.94</v>
      </c>
      <c r="AA344" s="15">
        <f>IFERROR(Z344/Z444, "NA")</f>
        <v>0.10421075870405754</v>
      </c>
      <c r="AB344" s="2"/>
      <c r="AC344" s="14">
        <f t="shared" si="87"/>
        <v>-12210.390000000014</v>
      </c>
      <c r="AD344" s="15">
        <f>IFERROR(AC344/AC444, "NA")</f>
        <v>-7.099255881045631E-2</v>
      </c>
    </row>
    <row r="345" spans="1:30" ht="16.5" customHeight="1" x14ac:dyDescent="0.45">
      <c r="A345" s="22" t="s">
        <v>315</v>
      </c>
      <c r="B345" s="23">
        <f>IFERROR(B198-B325-B344, "NA")</f>
        <v>20410.300000000017</v>
      </c>
      <c r="C345" s="24">
        <f>IFERROR(B345/B444, "NA")</f>
        <v>0.11557268339065459</v>
      </c>
      <c r="D345" s="25"/>
      <c r="E345" s="23">
        <f>IFERROR(E198-E325-E344, "NA")</f>
        <v>35912.100000000049</v>
      </c>
      <c r="F345" s="24">
        <f>IFERROR(E345/E444, "NA")</f>
        <v>0.19320498371922243</v>
      </c>
      <c r="G345" s="25"/>
      <c r="H345" s="23">
        <f>IFERROR(B345-E345, "NA")</f>
        <v>-15501.800000000032</v>
      </c>
      <c r="I345" s="24">
        <f>IFERROR(H345/H444, "NA")</f>
        <v>1.671493667391978</v>
      </c>
      <c r="J345" s="25"/>
      <c r="K345" s="23">
        <f>IFERROR(K198-K325-K344, "NA")</f>
        <v>31231.920000000035</v>
      </c>
      <c r="L345" s="24">
        <f>IFERROR(K345/K444, "NA")</f>
        <v>0.1912134641268127</v>
      </c>
      <c r="M345" s="25"/>
      <c r="N345" s="23">
        <f>IFERROR(B345-K345, "NA")</f>
        <v>-10821.620000000017</v>
      </c>
      <c r="O345" s="24">
        <f>IFERROR(N345/N444, "NA")</f>
        <v>-0.81573730256006649</v>
      </c>
      <c r="P345" s="25"/>
      <c r="Q345" s="23">
        <f>IFERROR(Q198-Q325-Q344, "NA")</f>
        <v>96349.209999999875</v>
      </c>
      <c r="R345" s="24">
        <f>IFERROR(Q345/Q444, "NA")</f>
        <v>0.1079953968812376</v>
      </c>
      <c r="S345" s="25"/>
      <c r="T345" s="23">
        <f>IFERROR(T198-T325-T344, "NA")</f>
        <v>106806.20999999993</v>
      </c>
      <c r="U345" s="24">
        <f>IFERROR(T345/T444, "NA")</f>
        <v>0.13368971252762862</v>
      </c>
      <c r="V345" s="25"/>
      <c r="W345" s="23">
        <f>IFERROR(Q345-T345, "NA")</f>
        <v>-10457.000000000058</v>
      </c>
      <c r="X345" s="24">
        <f>IFERROR(W345/W444, "NA")</f>
        <v>-0.11214045643106867</v>
      </c>
      <c r="Y345" s="25"/>
      <c r="Z345" s="23">
        <f>IFERROR(Z198-Z325-Z344, "NA")</f>
        <v>101066.13999999981</v>
      </c>
      <c r="AA345" s="24">
        <f>IFERROR(Z345/Z444, "NA")</f>
        <v>0.14033748016548236</v>
      </c>
      <c r="AB345" s="25"/>
      <c r="AC345" s="23">
        <f>IFERROR(Q345-Z345, "NA")</f>
        <v>-4716.9299999999348</v>
      </c>
      <c r="AD345" s="24">
        <f>IFERROR(AC345/AC444, "NA")</f>
        <v>-2.7424753052916463E-2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20410.300000000017</v>
      </c>
      <c r="C404" s="24">
        <f>IFERROR(B404/B444, "NA")</f>
        <v>0.11557268339065459</v>
      </c>
      <c r="D404" s="25"/>
      <c r="E404" s="23">
        <f>IFERROR(E345-E403, "NA")</f>
        <v>35912.100000000049</v>
      </c>
      <c r="F404" s="24">
        <f>IFERROR(E404/E444, "NA")</f>
        <v>0.19320498371922243</v>
      </c>
      <c r="G404" s="25"/>
      <c r="H404" s="23">
        <f>IFERROR(B404-E404, "NA")</f>
        <v>-15501.800000000032</v>
      </c>
      <c r="I404" s="24">
        <f>IFERROR(H404/H444, "NA")</f>
        <v>1.671493667391978</v>
      </c>
      <c r="J404" s="25"/>
      <c r="K404" s="23">
        <f>IFERROR(K345-K403, "NA")</f>
        <v>31231.920000000035</v>
      </c>
      <c r="L404" s="24">
        <f>IFERROR(K404/K444, "NA")</f>
        <v>0.1912134641268127</v>
      </c>
      <c r="M404" s="25"/>
      <c r="N404" s="23">
        <f>IFERROR(B404-K404, "NA")</f>
        <v>-10821.620000000017</v>
      </c>
      <c r="O404" s="24">
        <f>IFERROR(N404/N444, "NA")</f>
        <v>-0.81573730256006649</v>
      </c>
      <c r="P404" s="25"/>
      <c r="Q404" s="23">
        <f>IFERROR(Q345-Q403, "NA")</f>
        <v>96349.209999999875</v>
      </c>
      <c r="R404" s="24">
        <f>IFERROR(Q404/Q444, "NA")</f>
        <v>0.1079953968812376</v>
      </c>
      <c r="S404" s="25"/>
      <c r="T404" s="23">
        <f>IFERROR(T345-T403, "NA")</f>
        <v>106806.20999999993</v>
      </c>
      <c r="U404" s="24">
        <f>IFERROR(T404/T444, "NA")</f>
        <v>0.13368971252762862</v>
      </c>
      <c r="V404" s="25"/>
      <c r="W404" s="23">
        <f>IFERROR(Q404-T404, "NA")</f>
        <v>-10457.000000000058</v>
      </c>
      <c r="X404" s="24">
        <f>IFERROR(W404/W444, "NA")</f>
        <v>-0.11214045643106867</v>
      </c>
      <c r="Y404" s="25"/>
      <c r="Z404" s="23">
        <f>IFERROR(Z345-Z403, "NA")</f>
        <v>101066.13999999981</v>
      </c>
      <c r="AA404" s="24">
        <f>IFERROR(Z404/Z444, "NA")</f>
        <v>0.14033748016548236</v>
      </c>
      <c r="AB404" s="25"/>
      <c r="AC404" s="23">
        <f>IFERROR(Q404-Z404, "NA")</f>
        <v>-4716.9299999999348</v>
      </c>
      <c r="AD404" s="24">
        <f>IFERROR(AC404/AC444, "NA")</f>
        <v>-2.7424753052916463E-2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-40</v>
      </c>
      <c r="AA407" s="8">
        <f>IFERROR(Z407/Z444, "NA")</f>
        <v>-5.5542827762288195E-5</v>
      </c>
      <c r="AB407" s="9"/>
      <c r="AC407" s="10">
        <f t="shared" ref="AC407:AC429" si="103">IFERROR(-(Q407-Z407), "NA")</f>
        <v>-40</v>
      </c>
      <c r="AD407" s="8">
        <f>IFERROR(AC407/AC444, "NA")</f>
        <v>-2.3256442688712227E-4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-231</v>
      </c>
      <c r="AA408" s="8">
        <f>IFERROR(Z408/Z444, "NA")</f>
        <v>-3.2075983032721432E-4</v>
      </c>
      <c r="AB408" s="9"/>
      <c r="AC408" s="10">
        <f t="shared" si="103"/>
        <v>-231</v>
      </c>
      <c r="AD408" s="8">
        <f>IFERROR(AC408/AC444, "NA")</f>
        <v>-1.3430595652731312E-3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3345.17</v>
      </c>
      <c r="C410" s="8">
        <f>IFERROR(B410/B444, "NA")</f>
        <v>1.8941920172555804E-2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-3345.17</v>
      </c>
      <c r="I410" s="8">
        <f>IFERROR(H410/H444, "NA")</f>
        <v>0.36069556253787377</v>
      </c>
      <c r="J410" s="9"/>
      <c r="K410" s="7">
        <v>4573.8</v>
      </c>
      <c r="L410" s="8">
        <f>IFERROR(K410/K444, "NA")</f>
        <v>2.800250968314516E-2</v>
      </c>
      <c r="M410" s="9"/>
      <c r="N410" s="10">
        <f t="shared" si="101"/>
        <v>1228.6300000000001</v>
      </c>
      <c r="O410" s="8">
        <f>IFERROR(N410/N444, "NA")</f>
        <v>9.2614536644640352E-2</v>
      </c>
      <c r="P410" s="9"/>
      <c r="Q410" s="7">
        <v>16169.44</v>
      </c>
      <c r="R410" s="8">
        <f>IFERROR(Q410/Q444, "NA")</f>
        <v>1.8123917052847251E-2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-16169.44</v>
      </c>
      <c r="X410" s="8">
        <f>IFERROR(W410/W444, "NA")</f>
        <v>-0.17340043815958389</v>
      </c>
      <c r="Y410" s="9"/>
      <c r="Z410" s="7">
        <v>22756.78</v>
      </c>
      <c r="AA410" s="8">
        <f>IFERROR(Z410/Z444, "NA")</f>
        <v>3.1599397799107115E-2</v>
      </c>
      <c r="AB410" s="9"/>
      <c r="AC410" s="10">
        <f t="shared" si="103"/>
        <v>6587.3399999999983</v>
      </c>
      <c r="AD410" s="8">
        <f>IFERROR(AC410/AC444, "NA")</f>
        <v>3.829952379526539E-2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hidden="1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0</v>
      </c>
      <c r="L416" s="8">
        <f>IFERROR(K416/K444, "NA")</f>
        <v>0</v>
      </c>
      <c r="M416" s="9"/>
      <c r="N416" s="10">
        <f t="shared" si="101"/>
        <v>0</v>
      </c>
      <c r="O416" s="8">
        <f>IFERROR(N416/N444, "NA")</f>
        <v>0</v>
      </c>
      <c r="P416" s="9"/>
      <c r="Q416" s="7">
        <v>0</v>
      </c>
      <c r="R416" s="8">
        <f>IFERROR(Q416/Q444, "NA")</f>
        <v>0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0</v>
      </c>
      <c r="X416" s="8">
        <f>IFERROR(W416/W444, "NA")</f>
        <v>0</v>
      </c>
      <c r="Y416" s="9"/>
      <c r="Z416" s="7">
        <v>0</v>
      </c>
      <c r="AA416" s="8">
        <f>IFERROR(Z416/Z444, "NA")</f>
        <v>0</v>
      </c>
      <c r="AB416" s="9"/>
      <c r="AC416" s="10">
        <f t="shared" si="103"/>
        <v>0</v>
      </c>
      <c r="AD416" s="8">
        <f>IFERROR(AC416/AC444, "NA")</f>
        <v>0</v>
      </c>
    </row>
    <row r="417" spans="1:30" ht="16.5" customHeight="1" x14ac:dyDescent="0.45">
      <c r="A417" s="6" t="s">
        <v>382</v>
      </c>
      <c r="B417" s="7">
        <v>251.97</v>
      </c>
      <c r="C417" s="8">
        <f>IFERROR(B417/B444, "NA")</f>
        <v>1.4267722196118241E-3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-251.97</v>
      </c>
      <c r="I417" s="8">
        <f>IFERROR(H417/H444, "NA")</f>
        <v>2.7168861640116362E-2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-251.97</v>
      </c>
      <c r="O417" s="8">
        <f>IFERROR(N417/N444, "NA")</f>
        <v>-1.8993582118579252E-2</v>
      </c>
      <c r="P417" s="9"/>
      <c r="Q417" s="7">
        <v>67.5</v>
      </c>
      <c r="R417" s="8">
        <f>IFERROR(Q417/Q444, "NA")</f>
        <v>7.5659045771974131E-5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-67.5</v>
      </c>
      <c r="X417" s="8">
        <f>IFERROR(W417/W444, "NA")</f>
        <v>-7.2386734331998594E-4</v>
      </c>
      <c r="Y417" s="9"/>
      <c r="Z417" s="7">
        <v>-28.35</v>
      </c>
      <c r="AA417" s="8">
        <f>IFERROR(Z417/Z444, "NA")</f>
        <v>-3.9365979176521759E-5</v>
      </c>
      <c r="AB417" s="9"/>
      <c r="AC417" s="10">
        <f t="shared" si="103"/>
        <v>-95.85</v>
      </c>
      <c r="AD417" s="8">
        <f>IFERROR(AC417/AC444, "NA")</f>
        <v>-5.572825079282667E-4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-50</v>
      </c>
      <c r="R421" s="8">
        <f>IFERROR(Q421/Q444, "NA")</f>
        <v>-5.6043737608869727E-5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50</v>
      </c>
      <c r="X421" s="8">
        <f>IFERROR(W421/W444, "NA")</f>
        <v>5.3619803208887842E-4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50</v>
      </c>
      <c r="AD421" s="8">
        <f>IFERROR(AC421/AC444, "NA")</f>
        <v>2.9070553360890282E-4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3597.14</v>
      </c>
      <c r="C428" s="15">
        <f>IFERROR(B428/B444, "NA")</f>
        <v>2.0368692392167626E-2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-3597.14</v>
      </c>
      <c r="I428" s="15">
        <f>IFERROR(H428/H444, "NA")</f>
        <v>0.38786442417799011</v>
      </c>
      <c r="J428" s="2"/>
      <c r="K428" s="14">
        <f>IFERROR(K407+K408+K409+K410+K411+K412+K413+K414+K415+K416+K417+K418+K419+K420+K421+K422+K423+K424+K425+K426+K427, "NA")</f>
        <v>4573.8</v>
      </c>
      <c r="L428" s="15">
        <f>IFERROR(K428/K444, "NA")</f>
        <v>2.800250968314516E-2</v>
      </c>
      <c r="M428" s="2"/>
      <c r="N428" s="14">
        <f t="shared" si="101"/>
        <v>976.66000000000031</v>
      </c>
      <c r="O428" s="15">
        <f>IFERROR(N428/N444, "NA")</f>
        <v>7.3620954526061114E-2</v>
      </c>
      <c r="P428" s="2"/>
      <c r="Q428" s="14">
        <f>IFERROR(Q407+Q408+Q409+Q410+Q411+Q412+Q413+Q414+Q415+Q416+Q417+Q418+Q419+Q420+Q421+Q422+Q423+Q424+Q425+Q426+Q427, "NA")</f>
        <v>16186.94</v>
      </c>
      <c r="R428" s="15">
        <f>IFERROR(Q428/Q444, "NA")</f>
        <v>1.8143532361010354E-2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-16186.94</v>
      </c>
      <c r="X428" s="15">
        <f>IFERROR(W428/W444, "NA")</f>
        <v>-0.17358810747081502</v>
      </c>
      <c r="Y428" s="2"/>
      <c r="Z428" s="14">
        <f>IFERROR(Z407+Z408+Z409+Z410+Z411+Z412+Z413+Z414+Z415+Z416+Z417+Z418+Z419+Z420+Z421+Z422+Z423+Z424+Z425+Z426+Z427, "NA")</f>
        <v>22457.43</v>
      </c>
      <c r="AA428" s="15">
        <f>IFERROR(Z428/Z444, "NA")</f>
        <v>3.1183729161841096E-2</v>
      </c>
      <c r="AB428" s="2"/>
      <c r="AC428" s="14">
        <f t="shared" si="103"/>
        <v>6270.49</v>
      </c>
      <c r="AD428" s="15">
        <f>IFERROR(AC428/AC444, "NA")</f>
        <v>3.6457322828785783E-2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3597.14</v>
      </c>
      <c r="C429" s="15">
        <f>IFERROR(B429/B444, "NA")</f>
        <v>2.0368692392167626E-2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-3597.14</v>
      </c>
      <c r="I429" s="15">
        <f>IFERROR(H429/H444, "NA")</f>
        <v>0.38786442417799011</v>
      </c>
      <c r="J429" s="2"/>
      <c r="K429" s="14">
        <f>IFERROR(K407+K408+K409+K410+K411+K412+K413+K414+K415+K416+K417+K418+K419+K420+K421+K422+K423+K424+K425+K426+K427, "NA")</f>
        <v>4573.8</v>
      </c>
      <c r="L429" s="15">
        <f>IFERROR(K429/K444, "NA")</f>
        <v>2.800250968314516E-2</v>
      </c>
      <c r="M429" s="2"/>
      <c r="N429" s="14">
        <f t="shared" si="101"/>
        <v>976.66000000000031</v>
      </c>
      <c r="O429" s="15">
        <f>IFERROR(N429/N444, "NA")</f>
        <v>7.3620954526061114E-2</v>
      </c>
      <c r="P429" s="2"/>
      <c r="Q429" s="14">
        <f>IFERROR(Q407+Q408+Q409+Q410+Q411+Q412+Q413+Q414+Q415+Q416+Q417+Q418+Q419+Q420+Q421+Q422+Q423+Q424+Q425+Q426+Q427, "NA")</f>
        <v>16186.94</v>
      </c>
      <c r="R429" s="15">
        <f>IFERROR(Q429/Q444, "NA")</f>
        <v>1.8143532361010354E-2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-16186.94</v>
      </c>
      <c r="X429" s="15">
        <f>IFERROR(W429/W444, "NA")</f>
        <v>-0.17358810747081502</v>
      </c>
      <c r="Y429" s="2"/>
      <c r="Z429" s="14">
        <f>IFERROR(Z407+Z408+Z409+Z410+Z411+Z412+Z413+Z414+Z415+Z416+Z417+Z418+Z419+Z420+Z421+Z422+Z423+Z424+Z425+Z426+Z427, "NA")</f>
        <v>22457.43</v>
      </c>
      <c r="AA429" s="15">
        <f>IFERROR(Z429/Z444, "NA")</f>
        <v>3.1183729161841096E-2</v>
      </c>
      <c r="AB429" s="2"/>
      <c r="AC429" s="14">
        <f t="shared" si="103"/>
        <v>6270.49</v>
      </c>
      <c r="AD429" s="15">
        <f>IFERROR(AC429/AC444, "NA")</f>
        <v>3.6457322828785783E-2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16813.160000000018</v>
      </c>
      <c r="C443" s="24">
        <f>IFERROR(B443/B444, "NA")</f>
        <v>9.5203990998486976E-2</v>
      </c>
      <c r="D443" s="25"/>
      <c r="E443" s="23">
        <f>IFERROR(E404-E429-E442, "NA")</f>
        <v>35912.100000000049</v>
      </c>
      <c r="F443" s="24">
        <f>IFERROR(E443/E444, "NA")</f>
        <v>0.19320498371922243</v>
      </c>
      <c r="G443" s="25"/>
      <c r="H443" s="23">
        <f>IFERROR(B443-E443, "NA")</f>
        <v>-19098.940000000031</v>
      </c>
      <c r="I443" s="24">
        <f>IFERROR(H443/H444, "NA")</f>
        <v>2.0593580915699681</v>
      </c>
      <c r="J443" s="25"/>
      <c r="K443" s="23">
        <f>IFERROR(K404-K429-K442, "NA")</f>
        <v>26658.120000000035</v>
      </c>
      <c r="L443" s="24">
        <f>IFERROR(K443/K444, "NA")</f>
        <v>0.16321095444366754</v>
      </c>
      <c r="M443" s="25"/>
      <c r="N443" s="23">
        <f>IFERROR(B443-K443, "NA")</f>
        <v>-9844.9600000000173</v>
      </c>
      <c r="O443" s="24">
        <f>IFERROR(N443/N444, "NA")</f>
        <v>-0.74211634803400539</v>
      </c>
      <c r="P443" s="25"/>
      <c r="Q443" s="23">
        <f>IFERROR(Q404-Q429-Q442, "NA")</f>
        <v>80162.269999999873</v>
      </c>
      <c r="R443" s="24">
        <f>IFERROR(Q443/Q444, "NA")</f>
        <v>8.985186452022724E-2</v>
      </c>
      <c r="S443" s="25"/>
      <c r="T443" s="23">
        <f>IFERROR(T404-T429-T442, "NA")</f>
        <v>106806.20999999993</v>
      </c>
      <c r="U443" s="24">
        <f>IFERROR(T443/T444, "NA")</f>
        <v>0.13368971252762862</v>
      </c>
      <c r="V443" s="25"/>
      <c r="W443" s="23">
        <f>IFERROR(Q443-T443, "NA")</f>
        <v>-26643.940000000061</v>
      </c>
      <c r="X443" s="24">
        <f>IFERROR(W443/W444, "NA")</f>
        <v>-0.28572856390188367</v>
      </c>
      <c r="Y443" s="25"/>
      <c r="Z443" s="23">
        <f>IFERROR(Z404-Z429-Z442, "NA")</f>
        <v>78608.709999999817</v>
      </c>
      <c r="AA443" s="24">
        <f>IFERROR(Z443/Z444, "NA")</f>
        <v>0.10915375100364129</v>
      </c>
      <c r="AB443" s="25"/>
      <c r="AC443" s="23">
        <f>IFERROR(Q443-Z443, "NA")</f>
        <v>1553.5600000000559</v>
      </c>
      <c r="AD443" s="24">
        <f>IFERROR(AC443/AC444, "NA")</f>
        <v>9.0325697758692671E-3</v>
      </c>
    </row>
    <row r="444" spans="1:30" ht="15.75" hidden="1" x14ac:dyDescent="0.45">
      <c r="A444" s="26" t="s">
        <v>117</v>
      </c>
      <c r="B444" s="7">
        <v>176601.42</v>
      </c>
      <c r="C444" s="27"/>
      <c r="D444" s="9"/>
      <c r="E444" s="7">
        <v>185875.64</v>
      </c>
      <c r="F444" s="27"/>
      <c r="G444" s="9"/>
      <c r="H444" s="10">
        <f>IFERROR(B444-E444, "NA")</f>
        <v>-9274.2200000000012</v>
      </c>
      <c r="I444" s="27"/>
      <c r="J444" s="9"/>
      <c r="K444" s="7">
        <v>163335.35999999999</v>
      </c>
      <c r="L444" s="27"/>
      <c r="M444" s="9"/>
      <c r="N444" s="10">
        <f>IFERROR(B444-K444, "NA")</f>
        <v>13266.060000000027</v>
      </c>
      <c r="O444" s="27"/>
      <c r="P444" s="9"/>
      <c r="Q444" s="7">
        <v>892160.34</v>
      </c>
      <c r="R444" s="27"/>
      <c r="S444" s="9"/>
      <c r="T444" s="7">
        <v>798911.21</v>
      </c>
      <c r="U444" s="27"/>
      <c r="V444" s="9"/>
      <c r="W444" s="10">
        <f>IFERROR(Q444-T444, "NA")</f>
        <v>93249.13</v>
      </c>
      <c r="X444" s="27"/>
      <c r="Y444" s="9"/>
      <c r="Z444" s="7">
        <v>720164.99</v>
      </c>
      <c r="AA444" s="27"/>
      <c r="AB444" s="9"/>
      <c r="AC444" s="10">
        <f>IFERROR(Q444-Z444, "NA")</f>
        <v>171995.34999999998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414</v>
      </c>
      <c r="B3" s="31" t="s">
        <v>414</v>
      </c>
      <c r="C3" s="31" t="s">
        <v>414</v>
      </c>
      <c r="D3" s="31" t="s">
        <v>414</v>
      </c>
      <c r="E3" s="31" t="s">
        <v>414</v>
      </c>
      <c r="F3" s="31" t="s">
        <v>414</v>
      </c>
      <c r="G3" s="31" t="s">
        <v>414</v>
      </c>
      <c r="H3" s="31" t="s">
        <v>414</v>
      </c>
      <c r="I3" s="31" t="s">
        <v>414</v>
      </c>
      <c r="J3" s="31" t="s">
        <v>414</v>
      </c>
      <c r="K3" s="31" t="s">
        <v>414</v>
      </c>
      <c r="L3" s="31" t="s">
        <v>414</v>
      </c>
      <c r="M3" s="31" t="s">
        <v>414</v>
      </c>
      <c r="N3" s="31" t="s">
        <v>414</v>
      </c>
      <c r="O3" s="31" t="s">
        <v>414</v>
      </c>
      <c r="P3" s="31" t="s">
        <v>414</v>
      </c>
      <c r="Q3" s="31" t="s">
        <v>414</v>
      </c>
      <c r="R3" s="31" t="s">
        <v>414</v>
      </c>
      <c r="S3" s="31" t="s">
        <v>414</v>
      </c>
      <c r="T3" s="31" t="s">
        <v>414</v>
      </c>
      <c r="U3" s="31" t="s">
        <v>414</v>
      </c>
      <c r="V3" s="31" t="s">
        <v>414</v>
      </c>
      <c r="W3" s="31" t="s">
        <v>414</v>
      </c>
      <c r="X3" s="31" t="s">
        <v>414</v>
      </c>
      <c r="Y3" s="31" t="s">
        <v>414</v>
      </c>
      <c r="Z3" s="31" t="s">
        <v>414</v>
      </c>
      <c r="AA3" s="31" t="s">
        <v>414</v>
      </c>
      <c r="AB3" s="31" t="s">
        <v>414</v>
      </c>
      <c r="AC3" s="31" t="s">
        <v>414</v>
      </c>
      <c r="AD3" s="31" t="s">
        <v>414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57421.79</v>
      </c>
      <c r="F10" s="8">
        <f>IFERROR(E10/E444, "NA")</f>
        <v>0.49400004800477781</v>
      </c>
      <c r="G10" s="9"/>
      <c r="H10" s="10">
        <f t="shared" ref="H10:H19" si="0">IFERROR(B10-E10, "NA")</f>
        <v>-57421.79</v>
      </c>
      <c r="I10" s="8">
        <f>IFERROR(H10/H444, "NA")</f>
        <v>1.9378245003980485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236789.84</v>
      </c>
      <c r="U10" s="8">
        <f>IFERROR(T10/T444, "NA")</f>
        <v>0.49400004114061991</v>
      </c>
      <c r="V10" s="9"/>
      <c r="W10" s="10">
        <f t="shared" ref="W10:W19" si="2">IFERROR(Q10-T10, "NA")</f>
        <v>-236789.84</v>
      </c>
      <c r="X10" s="8">
        <f>IFERROR(W10/W444, "NA")</f>
        <v>7.2593301570357358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41511.199999999997</v>
      </c>
      <c r="C11" s="8">
        <f>IFERROR(B11/B444, "NA")</f>
        <v>0.47930902056362151</v>
      </c>
      <c r="D11" s="9"/>
      <c r="E11" s="7">
        <v>0</v>
      </c>
      <c r="F11" s="8">
        <f>IFERROR(E11/E444, "NA")</f>
        <v>0</v>
      </c>
      <c r="G11" s="9"/>
      <c r="H11" s="10">
        <f t="shared" si="0"/>
        <v>41511.199999999997</v>
      </c>
      <c r="I11" s="8">
        <f>IFERROR(H11/H444, "NA")</f>
        <v>-1.4008866738728183</v>
      </c>
      <c r="J11" s="9"/>
      <c r="K11" s="7">
        <v>44271.57</v>
      </c>
      <c r="L11" s="8">
        <f>IFERROR(K11/K444, "NA")</f>
        <v>0.43799888995408448</v>
      </c>
      <c r="M11" s="9"/>
      <c r="N11" s="10">
        <f t="shared" si="1"/>
        <v>-2760.3700000000026</v>
      </c>
      <c r="O11" s="8">
        <f>IFERROR(N11/N444, "NA")</f>
        <v>0.19075764863281056</v>
      </c>
      <c r="P11" s="9"/>
      <c r="Q11" s="7">
        <v>197605.79</v>
      </c>
      <c r="R11" s="8">
        <f>IFERROR(Q11/Q444, "NA")</f>
        <v>0.44235520561269631</v>
      </c>
      <c r="S11" s="9"/>
      <c r="T11" s="7">
        <v>0</v>
      </c>
      <c r="U11" s="8">
        <f>IFERROR(T11/T444, "NA")</f>
        <v>0</v>
      </c>
      <c r="V11" s="9"/>
      <c r="W11" s="10">
        <f t="shared" si="2"/>
        <v>197605.79</v>
      </c>
      <c r="X11" s="8">
        <f>IFERROR(W11/W444, "NA")</f>
        <v>-6.0580541401264121</v>
      </c>
      <c r="Y11" s="9"/>
      <c r="Z11" s="7">
        <v>197760.08</v>
      </c>
      <c r="AA11" s="8">
        <f>IFERROR(Z11/Z444, "NA")</f>
        <v>0.47885511444828732</v>
      </c>
      <c r="AB11" s="9"/>
      <c r="AC11" s="10">
        <f t="shared" si="3"/>
        <v>-154.28999999997905</v>
      </c>
      <c r="AD11" s="8">
        <f>IFERROR(AC11/AC444, "NA")</f>
        <v>-4.5745754530688455E-3</v>
      </c>
    </row>
    <row r="12" spans="1:30" ht="16.5" customHeight="1" x14ac:dyDescent="0.45">
      <c r="A12" s="12" t="s">
        <v>14</v>
      </c>
      <c r="B12" s="7">
        <v>4263.8</v>
      </c>
      <c r="C12" s="8">
        <f>IFERROR(B12/B444, "NA")</f>
        <v>4.9231961539998113E-2</v>
      </c>
      <c r="D12" s="9"/>
      <c r="E12" s="7">
        <v>0</v>
      </c>
      <c r="F12" s="8">
        <f>IFERROR(E12/E444, "NA")</f>
        <v>0</v>
      </c>
      <c r="G12" s="9"/>
      <c r="H12" s="10">
        <f t="shared" si="0"/>
        <v>4263.8</v>
      </c>
      <c r="I12" s="8">
        <f>IFERROR(H12/H444, "NA")</f>
        <v>-0.14389130162604125</v>
      </c>
      <c r="J12" s="9"/>
      <c r="K12" s="7">
        <v>4488.25</v>
      </c>
      <c r="L12" s="8">
        <f>IFERROR(K12/K444, "NA")</f>
        <v>4.4404309985763314E-2</v>
      </c>
      <c r="M12" s="9"/>
      <c r="N12" s="10">
        <f t="shared" si="1"/>
        <v>-224.44999999999982</v>
      </c>
      <c r="O12" s="8">
        <f>IFERROR(N12/N444, "NA")</f>
        <v>1.5510802622704295E-2</v>
      </c>
      <c r="P12" s="9"/>
      <c r="Q12" s="7">
        <v>19467.5</v>
      </c>
      <c r="R12" s="8">
        <f>IFERROR(Q12/Q444, "NA")</f>
        <v>4.3579441499488274E-2</v>
      </c>
      <c r="S12" s="9"/>
      <c r="T12" s="7">
        <v>0</v>
      </c>
      <c r="U12" s="8">
        <f>IFERROR(T12/T444, "NA")</f>
        <v>0</v>
      </c>
      <c r="V12" s="9"/>
      <c r="W12" s="10">
        <f t="shared" si="2"/>
        <v>19467.5</v>
      </c>
      <c r="X12" s="8">
        <f>IFERROR(W12/W444, "NA")</f>
        <v>-0.59682041185590218</v>
      </c>
      <c r="Y12" s="9"/>
      <c r="Z12" s="7">
        <v>19410.55</v>
      </c>
      <c r="AA12" s="8">
        <f>IFERROR(Z12/Z444, "NA")</f>
        <v>4.7000593556364885E-2</v>
      </c>
      <c r="AB12" s="9"/>
      <c r="AC12" s="10">
        <f t="shared" si="3"/>
        <v>56.950000000000728</v>
      </c>
      <c r="AD12" s="8">
        <f>IFERROR(AC12/AC444, "NA")</f>
        <v>1.6885220821330578E-3</v>
      </c>
    </row>
    <row r="13" spans="1:30" ht="16.5" customHeight="1" x14ac:dyDescent="0.45">
      <c r="A13" s="12" t="s">
        <v>15</v>
      </c>
      <c r="B13" s="7">
        <v>177.5</v>
      </c>
      <c r="C13" s="8">
        <f>IFERROR(B13/B444, "NA")</f>
        <v>2.0495035351915346E-3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177.5</v>
      </c>
      <c r="I13" s="8">
        <f>IFERROR(H13/H444, "NA")</f>
        <v>-5.9901275947798491E-3</v>
      </c>
      <c r="J13" s="9"/>
      <c r="K13" s="7">
        <v>287.5</v>
      </c>
      <c r="L13" s="8">
        <f>IFERROR(K13/K444, "NA")</f>
        <v>2.8443689903429963E-3</v>
      </c>
      <c r="M13" s="9"/>
      <c r="N13" s="10">
        <f t="shared" si="1"/>
        <v>-110</v>
      </c>
      <c r="O13" s="8">
        <f>IFERROR(N13/N444, "NA")</f>
        <v>7.6016408487301129E-3</v>
      </c>
      <c r="P13" s="9"/>
      <c r="Q13" s="7">
        <v>694</v>
      </c>
      <c r="R13" s="8">
        <f>IFERROR(Q13/Q444, "NA")</f>
        <v>1.5535704328056947E-3</v>
      </c>
      <c r="S13" s="9"/>
      <c r="T13" s="7">
        <v>0</v>
      </c>
      <c r="U13" s="8">
        <f>IFERROR(T13/T444, "NA")</f>
        <v>0</v>
      </c>
      <c r="V13" s="9"/>
      <c r="W13" s="10">
        <f t="shared" si="2"/>
        <v>694</v>
      </c>
      <c r="X13" s="8">
        <f>IFERROR(W13/W444, "NA")</f>
        <v>-2.1276145669859824E-2</v>
      </c>
      <c r="Y13" s="9"/>
      <c r="Z13" s="7">
        <v>666</v>
      </c>
      <c r="AA13" s="8">
        <f>IFERROR(Z13/Z444, "NA")</f>
        <v>1.6126485498112631E-3</v>
      </c>
      <c r="AB13" s="9"/>
      <c r="AC13" s="10">
        <f t="shared" si="3"/>
        <v>28</v>
      </c>
      <c r="AD13" s="8">
        <f>IFERROR(AC13/AC444, "NA")</f>
        <v>8.3017766988103625E-4</v>
      </c>
    </row>
    <row r="14" spans="1:30" ht="16.5" customHeight="1" x14ac:dyDescent="0.45">
      <c r="A14" s="12" t="s">
        <v>16</v>
      </c>
      <c r="B14" s="7">
        <v>345</v>
      </c>
      <c r="C14" s="8">
        <f>IFERROR(B14/B444, "NA")</f>
        <v>3.9835420824849543E-3</v>
      </c>
      <c r="D14" s="9"/>
      <c r="E14" s="7">
        <v>0</v>
      </c>
      <c r="F14" s="8">
        <f>IFERROR(E14/E444, "NA")</f>
        <v>0</v>
      </c>
      <c r="G14" s="9"/>
      <c r="H14" s="10">
        <f t="shared" si="0"/>
        <v>345</v>
      </c>
      <c r="I14" s="8">
        <f>IFERROR(H14/H444, "NA")</f>
        <v>-1.1642783212389003E-2</v>
      </c>
      <c r="J14" s="9"/>
      <c r="K14" s="7">
        <v>595</v>
      </c>
      <c r="L14" s="8">
        <f>IFERROR(K14/K444, "NA")</f>
        <v>5.8866071278402881E-3</v>
      </c>
      <c r="M14" s="9"/>
      <c r="N14" s="10">
        <f t="shared" si="1"/>
        <v>-250</v>
      </c>
      <c r="O14" s="8">
        <f>IFERROR(N14/N444, "NA")</f>
        <v>1.7276456474386619E-2</v>
      </c>
      <c r="P14" s="9"/>
      <c r="Q14" s="7">
        <v>1490</v>
      </c>
      <c r="R14" s="8">
        <f>IFERROR(Q14/Q444, "NA")</f>
        <v>3.3354754248998346E-3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1490</v>
      </c>
      <c r="X14" s="8">
        <f>IFERROR(W14/W444, "NA")</f>
        <v>-4.5679332922321528E-2</v>
      </c>
      <c r="Y14" s="9"/>
      <c r="Z14" s="7">
        <v>3005</v>
      </c>
      <c r="AA14" s="8">
        <f>IFERROR(Z14/Z444, "NA")</f>
        <v>7.2762896279021704E-3</v>
      </c>
      <c r="AB14" s="9"/>
      <c r="AC14" s="10">
        <f t="shared" si="3"/>
        <v>-1515</v>
      </c>
      <c r="AD14" s="8">
        <f>IFERROR(AC14/AC444, "NA")</f>
        <v>-4.4918541781063213E-2</v>
      </c>
    </row>
    <row r="15" spans="1:30" ht="16.5" customHeight="1" x14ac:dyDescent="0.45">
      <c r="A15" s="12" t="s">
        <v>17</v>
      </c>
      <c r="B15" s="7">
        <v>5</v>
      </c>
      <c r="C15" s="8">
        <f>IFERROR(B15/B444, "NA")</f>
        <v>5.7732493949057311E-5</v>
      </c>
      <c r="D15" s="9"/>
      <c r="E15" s="7">
        <v>0</v>
      </c>
      <c r="F15" s="8">
        <f>IFERROR(E15/E444, "NA")</f>
        <v>0</v>
      </c>
      <c r="G15" s="9"/>
      <c r="H15" s="10">
        <f t="shared" si="0"/>
        <v>5</v>
      </c>
      <c r="I15" s="8">
        <f>IFERROR(H15/H444, "NA")</f>
        <v>-1.6873598858534788E-4</v>
      </c>
      <c r="J15" s="9"/>
      <c r="K15" s="7">
        <v>75.5</v>
      </c>
      <c r="L15" s="8">
        <f>IFERROR(K15/K444, "NA")</f>
        <v>7.4695603050746516E-4</v>
      </c>
      <c r="M15" s="9"/>
      <c r="N15" s="10">
        <f t="shared" si="1"/>
        <v>-70.5</v>
      </c>
      <c r="O15" s="8">
        <f>IFERROR(N15/N444, "NA")</f>
        <v>4.8719607257770269E-3</v>
      </c>
      <c r="P15" s="9"/>
      <c r="Q15" s="7">
        <v>112</v>
      </c>
      <c r="R15" s="8">
        <f>IFERROR(Q15/Q444, "NA")</f>
        <v>2.5072030039515532E-4</v>
      </c>
      <c r="S15" s="9"/>
      <c r="T15" s="7">
        <v>0</v>
      </c>
      <c r="U15" s="8">
        <f>IFERROR(T15/T444, "NA")</f>
        <v>0</v>
      </c>
      <c r="V15" s="9"/>
      <c r="W15" s="10">
        <f t="shared" si="2"/>
        <v>112</v>
      </c>
      <c r="X15" s="8">
        <f>IFERROR(W15/W444, "NA")</f>
        <v>-3.4336142867785308E-3</v>
      </c>
      <c r="Y15" s="9"/>
      <c r="Z15" s="7">
        <v>244</v>
      </c>
      <c r="AA15" s="8">
        <f>IFERROR(Z15/Z444, "NA")</f>
        <v>5.9082018942034262E-4</v>
      </c>
      <c r="AB15" s="9"/>
      <c r="AC15" s="10">
        <f t="shared" si="3"/>
        <v>-132</v>
      </c>
      <c r="AD15" s="8">
        <f>IFERROR(AC15/AC444, "NA")</f>
        <v>-3.9136947294391711E-3</v>
      </c>
    </row>
    <row r="16" spans="1:30" ht="16.5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1.1000000000000001</v>
      </c>
      <c r="R16" s="8">
        <f>IFERROR(Q16/Q444, "NA")</f>
        <v>2.4624315217381331E-6</v>
      </c>
      <c r="S16" s="9"/>
      <c r="T16" s="7">
        <v>0</v>
      </c>
      <c r="U16" s="8">
        <f>IFERROR(T16/T444, "NA")</f>
        <v>0</v>
      </c>
      <c r="V16" s="9"/>
      <c r="W16" s="10">
        <f t="shared" si="2"/>
        <v>1.1000000000000001</v>
      </c>
      <c r="X16" s="8">
        <f>IFERROR(W16/W444, "NA")</f>
        <v>-3.3722997459431999E-5</v>
      </c>
      <c r="Y16" s="9"/>
      <c r="Z16" s="7">
        <v>0</v>
      </c>
      <c r="AA16" s="8">
        <f>IFERROR(Z16/Z444, "NA")</f>
        <v>0</v>
      </c>
      <c r="AB16" s="9"/>
      <c r="AC16" s="10">
        <f t="shared" si="3"/>
        <v>1.1000000000000001</v>
      </c>
      <c r="AD16" s="8">
        <f>IFERROR(AC16/AC444, "NA")</f>
        <v>3.2614122745326425E-5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46302.5</v>
      </c>
      <c r="C18" s="15">
        <f>IFERROR(B18/B444, "NA")</f>
        <v>0.53463176021524528</v>
      </c>
      <c r="D18" s="2"/>
      <c r="E18" s="14">
        <f>IFERROR(E10+E11+E12+E13+E14+E15+E16+E17, "NA")</f>
        <v>57421.79</v>
      </c>
      <c r="F18" s="15">
        <f>IFERROR(E18/E444, "NA")</f>
        <v>0.49400004800477781</v>
      </c>
      <c r="G18" s="2"/>
      <c r="H18" s="14">
        <f t="shared" si="0"/>
        <v>-11119.29</v>
      </c>
      <c r="I18" s="15">
        <f>IFERROR(H18/H444, "NA")</f>
        <v>0.37524487810343454</v>
      </c>
      <c r="J18" s="2"/>
      <c r="K18" s="14">
        <f>IFERROR(K10+K11+K12+K13+K14+K15+K16+K17, "NA")</f>
        <v>49717.82</v>
      </c>
      <c r="L18" s="15">
        <f>IFERROR(K18/K444, "NA")</f>
        <v>0.49188113208853856</v>
      </c>
      <c r="M18" s="2"/>
      <c r="N18" s="14">
        <f t="shared" si="1"/>
        <v>-3415.3199999999997</v>
      </c>
      <c r="O18" s="15">
        <f>IFERROR(N18/N444, "NA")</f>
        <v>0.23601850930440843</v>
      </c>
      <c r="P18" s="2"/>
      <c r="Q18" s="14">
        <f>IFERROR(Q10+Q11+Q12+Q13+Q14+Q15+Q16+Q17, "NA")</f>
        <v>219370.39</v>
      </c>
      <c r="R18" s="15">
        <f>IFERROR(Q18/Q444, "NA")</f>
        <v>0.49107687570180703</v>
      </c>
      <c r="S18" s="2"/>
      <c r="T18" s="14">
        <f>IFERROR(T10+T11+T12+T13+T14+T15+T16+T17, "NA")</f>
        <v>236789.84</v>
      </c>
      <c r="U18" s="15">
        <f>IFERROR(T18/T444, "NA")</f>
        <v>0.49400004114061991</v>
      </c>
      <c r="V18" s="2"/>
      <c r="W18" s="14">
        <f t="shared" si="2"/>
        <v>-17419.449999999983</v>
      </c>
      <c r="X18" s="15">
        <f>IFERROR(W18/W444, "NA")</f>
        <v>0.53403278917700192</v>
      </c>
      <c r="Y18" s="2"/>
      <c r="Z18" s="14">
        <f>IFERROR(Z10+Z11+Z12+Z13+Z14+Z15+Z16+Z17, "NA")</f>
        <v>221085.62999999998</v>
      </c>
      <c r="AA18" s="15">
        <f>IFERROR(Z18/Z444, "NA")</f>
        <v>0.53533546637178597</v>
      </c>
      <c r="AB18" s="2"/>
      <c r="AC18" s="14">
        <f t="shared" si="3"/>
        <v>-1715.2399999999616</v>
      </c>
      <c r="AD18" s="15">
        <f>IFERROR(AC18/AC444, "NA")</f>
        <v>-5.0855498088811311E-2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9066.6</v>
      </c>
      <c r="F21" s="8">
        <f>IFERROR(E21/E444, "NA")</f>
        <v>7.800002116339666E-2</v>
      </c>
      <c r="G21" s="9"/>
      <c r="H21" s="10">
        <f t="shared" ref="H21:H29" si="4">IFERROR(B21-E21, "NA")</f>
        <v>-9066.6</v>
      </c>
      <c r="I21" s="8">
        <f>IFERROR(H21/H444, "NA")</f>
        <v>0.30597234282158298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37387.870000000003</v>
      </c>
      <c r="U21" s="8">
        <f>IFERROR(T21/T444, "NA")</f>
        <v>7.8000007593907544E-2</v>
      </c>
      <c r="V21" s="9"/>
      <c r="W21" s="10">
        <f t="shared" ref="W21:W29" si="6">IFERROR(Q21-T21, "NA")</f>
        <v>-37387.870000000003</v>
      </c>
      <c r="X21" s="8">
        <f>IFERROR(W21/W444, "NA")</f>
        <v>1.1462100409305218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6014.75</v>
      </c>
      <c r="C22" s="8">
        <f>IFERROR(B22/B444, "NA")</f>
        <v>6.9449303596018488E-2</v>
      </c>
      <c r="D22" s="9"/>
      <c r="E22" s="7">
        <v>0</v>
      </c>
      <c r="F22" s="8">
        <f>IFERROR(E22/E444, "NA")</f>
        <v>0</v>
      </c>
      <c r="G22" s="9"/>
      <c r="H22" s="10">
        <f t="shared" si="4"/>
        <v>6014.75</v>
      </c>
      <c r="I22" s="8">
        <f>IFERROR(H22/H444, "NA")</f>
        <v>-0.2029809574687442</v>
      </c>
      <c r="J22" s="9"/>
      <c r="K22" s="7">
        <v>5166.66</v>
      </c>
      <c r="L22" s="8">
        <f>IFERROR(K22/K444, "NA")</f>
        <v>5.1116130391810594E-2</v>
      </c>
      <c r="M22" s="9"/>
      <c r="N22" s="10">
        <f t="shared" si="5"/>
        <v>848.09000000000015</v>
      </c>
      <c r="O22" s="8">
        <f>IFERROR(N22/N444, "NA")</f>
        <v>-5.86079598854502E-2</v>
      </c>
      <c r="P22" s="9"/>
      <c r="Q22" s="7">
        <v>28803.75</v>
      </c>
      <c r="R22" s="8">
        <f>IFERROR(Q22/Q444, "NA")</f>
        <v>6.4479329040240674E-2</v>
      </c>
      <c r="S22" s="9"/>
      <c r="T22" s="7">
        <v>0</v>
      </c>
      <c r="U22" s="8">
        <f>IFERROR(T22/T444, "NA")</f>
        <v>0</v>
      </c>
      <c r="V22" s="9"/>
      <c r="W22" s="10">
        <f t="shared" si="6"/>
        <v>28803.75</v>
      </c>
      <c r="X22" s="8">
        <f>IFERROR(W22/W444, "NA")</f>
        <v>-0.88304435279283133</v>
      </c>
      <c r="Y22" s="9"/>
      <c r="Z22" s="7">
        <v>24196.15</v>
      </c>
      <c r="AA22" s="8">
        <f>IFERROR(Z22/Z444, "NA")</f>
        <v>5.8588417730504203E-2</v>
      </c>
      <c r="AB22" s="9"/>
      <c r="AC22" s="10">
        <f t="shared" si="7"/>
        <v>4607.5999999999985</v>
      </c>
      <c r="AD22" s="8">
        <f>IFERROR(AC22/AC444, "NA")</f>
        <v>0.13661166541942363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720.39</v>
      </c>
      <c r="C24" s="8">
        <f>IFERROR(B24/B444, "NA")</f>
        <v>8.3179822631922785E-3</v>
      </c>
      <c r="D24" s="9"/>
      <c r="E24" s="7">
        <v>0</v>
      </c>
      <c r="F24" s="8">
        <f>IFERROR(E24/E444, "NA")</f>
        <v>0</v>
      </c>
      <c r="G24" s="9"/>
      <c r="H24" s="10">
        <f t="shared" si="4"/>
        <v>720.39</v>
      </c>
      <c r="I24" s="8">
        <f>IFERROR(H24/H444, "NA")</f>
        <v>-2.431114376339975E-2</v>
      </c>
      <c r="J24" s="9"/>
      <c r="K24" s="7">
        <v>373.05</v>
      </c>
      <c r="L24" s="8">
        <f>IFERROR(K24/K444, "NA")</f>
        <v>3.6907542672954953E-3</v>
      </c>
      <c r="M24" s="9"/>
      <c r="N24" s="10">
        <f t="shared" si="5"/>
        <v>347.34</v>
      </c>
      <c r="O24" s="8">
        <f>IFERROR(N24/N444, "NA")</f>
        <v>-2.4003217567253793E-2</v>
      </c>
      <c r="P24" s="9"/>
      <c r="Q24" s="7">
        <v>5431.86</v>
      </c>
      <c r="R24" s="8">
        <f>IFERROR(Q24/Q444, "NA")</f>
        <v>1.215962116878954E-2</v>
      </c>
      <c r="S24" s="9"/>
      <c r="T24" s="7">
        <v>0</v>
      </c>
      <c r="U24" s="8">
        <f>IFERROR(T24/T444, "NA")</f>
        <v>0</v>
      </c>
      <c r="V24" s="9"/>
      <c r="W24" s="10">
        <f t="shared" si="6"/>
        <v>5431.86</v>
      </c>
      <c r="X24" s="8">
        <f>IFERROR(W24/W444, "NA")</f>
        <v>-0.16652600089090025</v>
      </c>
      <c r="Y24" s="9"/>
      <c r="Z24" s="7">
        <v>1640.36</v>
      </c>
      <c r="AA24" s="8">
        <f>IFERROR(Z24/Z444, "NA")</f>
        <v>3.9719582209735791E-3</v>
      </c>
      <c r="AB24" s="9"/>
      <c r="AC24" s="10">
        <f t="shared" si="7"/>
        <v>3791.5</v>
      </c>
      <c r="AD24" s="8">
        <f>IFERROR(AC24/AC444, "NA")</f>
        <v>0.11241495126264103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186.78</v>
      </c>
      <c r="L27" s="8">
        <f>IFERROR(K27/K444, "NA")</f>
        <v>1.8478999652739648E-3</v>
      </c>
      <c r="M27" s="9"/>
      <c r="N27" s="10">
        <f t="shared" si="5"/>
        <v>-186.78</v>
      </c>
      <c r="O27" s="8">
        <f>IFERROR(N27/N444, "NA")</f>
        <v>1.2907586161143731E-2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1305.8</v>
      </c>
      <c r="AA27" s="8">
        <f>IFERROR(Z27/Z444, "NA")</f>
        <v>3.1618565710864075E-3</v>
      </c>
      <c r="AB27" s="9"/>
      <c r="AC27" s="10">
        <f t="shared" si="7"/>
        <v>-1305.8</v>
      </c>
      <c r="AD27" s="8">
        <f>IFERROR(AC27/AC444, "NA")</f>
        <v>-3.8715928618952039E-2</v>
      </c>
    </row>
    <row r="28" spans="1:30" ht="16.5" customHeight="1" x14ac:dyDescent="0.45">
      <c r="A28" s="12" t="s">
        <v>29</v>
      </c>
      <c r="B28" s="7">
        <v>904.49</v>
      </c>
      <c r="C28" s="8">
        <f>IFERROR(B28/B444, "NA")</f>
        <v>1.0443692690396569E-2</v>
      </c>
      <c r="D28" s="9"/>
      <c r="E28" s="7">
        <v>0</v>
      </c>
      <c r="F28" s="8">
        <f>IFERROR(E28/E444, "NA")</f>
        <v>0</v>
      </c>
      <c r="G28" s="9"/>
      <c r="H28" s="10">
        <f t="shared" si="4"/>
        <v>904.49</v>
      </c>
      <c r="I28" s="8">
        <f>IFERROR(H28/H444, "NA")</f>
        <v>-3.0524002863112257E-2</v>
      </c>
      <c r="J28" s="9"/>
      <c r="K28" s="7">
        <v>904.63</v>
      </c>
      <c r="L28" s="8">
        <f>IFERROR(K28/K444, "NA")</f>
        <v>8.9499183295095128E-3</v>
      </c>
      <c r="M28" s="9"/>
      <c r="N28" s="10">
        <f t="shared" si="5"/>
        <v>-0.13999999999998636</v>
      </c>
      <c r="O28" s="8">
        <f>IFERROR(N28/N444, "NA")</f>
        <v>9.674815625655564E-6</v>
      </c>
      <c r="P28" s="9"/>
      <c r="Q28" s="7">
        <v>4323.46</v>
      </c>
      <c r="R28" s="8">
        <f>IFERROR(Q28/Q444, "NA")</f>
        <v>9.6783856245217705E-3</v>
      </c>
      <c r="S28" s="9"/>
      <c r="T28" s="7">
        <v>0</v>
      </c>
      <c r="U28" s="8">
        <f>IFERROR(T28/T444, "NA")</f>
        <v>0</v>
      </c>
      <c r="V28" s="9"/>
      <c r="W28" s="10">
        <f t="shared" si="6"/>
        <v>4323.46</v>
      </c>
      <c r="X28" s="8">
        <f>IFERROR(W28/W444, "NA")</f>
        <v>-0.13254548235995989</v>
      </c>
      <c r="Y28" s="9"/>
      <c r="Z28" s="7">
        <v>4079.82</v>
      </c>
      <c r="AA28" s="8">
        <f>IFERROR(Z28/Z444, "NA")</f>
        <v>9.8788525622987809E-3</v>
      </c>
      <c r="AB28" s="9"/>
      <c r="AC28" s="10">
        <f t="shared" si="7"/>
        <v>243.63999999999987</v>
      </c>
      <c r="AD28" s="8">
        <f>IFERROR(AC28/AC444, "NA")</f>
        <v>7.2237316960648418E-3</v>
      </c>
    </row>
    <row r="29" spans="1:30" ht="16.5" customHeight="1" x14ac:dyDescent="0.45">
      <c r="A29" s="13" t="s">
        <v>30</v>
      </c>
      <c r="B29" s="14">
        <f>IFERROR(B21+B22+B23+B24+B25+B26+B27+B28, "NA")</f>
        <v>7639.63</v>
      </c>
      <c r="C29" s="15">
        <f>IFERROR(B29/B444, "NA")</f>
        <v>8.8210978549607341E-2</v>
      </c>
      <c r="D29" s="2"/>
      <c r="E29" s="14">
        <f>IFERROR(E21+E22+E23+E24+E25+E26+E27+E28, "NA")</f>
        <v>9066.6</v>
      </c>
      <c r="F29" s="15">
        <f>IFERROR(E29/E444, "NA")</f>
        <v>7.800002116339666E-2</v>
      </c>
      <c r="G29" s="2"/>
      <c r="H29" s="14">
        <f t="shared" si="4"/>
        <v>-1426.9700000000003</v>
      </c>
      <c r="I29" s="15">
        <f>IFERROR(H29/H444, "NA")</f>
        <v>4.8156238726326774E-2</v>
      </c>
      <c r="J29" s="2"/>
      <c r="K29" s="14">
        <f>IFERROR(K21+K22+K23+K24+K25+K26+K27+K28, "NA")</f>
        <v>6631.12</v>
      </c>
      <c r="L29" s="15">
        <f>IFERROR(K29/K444, "NA")</f>
        <v>6.5604702953889565E-2</v>
      </c>
      <c r="M29" s="2"/>
      <c r="N29" s="14">
        <f t="shared" si="5"/>
        <v>1008.5100000000002</v>
      </c>
      <c r="O29" s="15">
        <f>IFERROR(N29/N444, "NA")</f>
        <v>-6.969391647593462E-2</v>
      </c>
      <c r="P29" s="2"/>
      <c r="Q29" s="14">
        <f>IFERROR(Q21+Q22+Q23+Q24+Q25+Q26+Q27+Q28, "NA")</f>
        <v>38559.07</v>
      </c>
      <c r="R29" s="15">
        <f>IFERROR(Q29/Q444, "NA")</f>
        <v>8.6317335833551986E-2</v>
      </c>
      <c r="S29" s="2"/>
      <c r="T29" s="14">
        <f>IFERROR(T21+T22+T23+T24+T25+T26+T27+T28, "NA")</f>
        <v>37387.870000000003</v>
      </c>
      <c r="U29" s="15">
        <f>IFERROR(T29/T444, "NA")</f>
        <v>7.8000007593907544E-2</v>
      </c>
      <c r="V29" s="2"/>
      <c r="W29" s="14">
        <f t="shared" si="6"/>
        <v>1171.1999999999971</v>
      </c>
      <c r="X29" s="15">
        <f>IFERROR(W29/W444, "NA")</f>
        <v>-3.5905795113169686E-2</v>
      </c>
      <c r="Y29" s="2"/>
      <c r="Z29" s="14">
        <f>IFERROR(Z21+Z22+Z23+Z24+Z25+Z26+Z27+Z28, "NA")</f>
        <v>31222.13</v>
      </c>
      <c r="AA29" s="15">
        <f>IFERROR(Z29/Z444, "NA")</f>
        <v>7.5601085084862962E-2</v>
      </c>
      <c r="AB29" s="2"/>
      <c r="AC29" s="14">
        <f t="shared" si="7"/>
        <v>7336.9399999999987</v>
      </c>
      <c r="AD29" s="15">
        <f>IFERROR(AC29/AC444, "NA")</f>
        <v>0.21753441975917745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28245.94</v>
      </c>
      <c r="F31" s="8">
        <f>IFERROR(E31/E444, "NA")</f>
        <v>0.24300001299054022</v>
      </c>
      <c r="G31" s="9"/>
      <c r="H31" s="10">
        <f t="shared" ref="H31:H40" si="8">IFERROR(B31-E31, "NA")</f>
        <v>-28245.94</v>
      </c>
      <c r="I31" s="8">
        <f>IFERROR(H31/H444, "NA")</f>
        <v>0.95322132188448405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116477.58</v>
      </c>
      <c r="U31" s="8">
        <f>IFERROR(T31/T444, "NA")</f>
        <v>0.2429999923643677</v>
      </c>
      <c r="V31" s="9"/>
      <c r="W31" s="10">
        <f t="shared" ref="W31:W40" si="10">IFERROR(Q31-T31, "NA")</f>
        <v>-116477.58</v>
      </c>
      <c r="X31" s="8">
        <f>IFERROR(W31/W444, "NA")</f>
        <v>3.5708846676552612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7163.64</v>
      </c>
      <c r="C33" s="8">
        <f>IFERROR(B33/B444, "NA")</f>
        <v>8.2714960590644981E-2</v>
      </c>
      <c r="D33" s="9"/>
      <c r="E33" s="7">
        <v>0</v>
      </c>
      <c r="F33" s="8">
        <f>IFERROR(E33/E444, "NA")</f>
        <v>0</v>
      </c>
      <c r="G33" s="9"/>
      <c r="H33" s="10">
        <f t="shared" si="8"/>
        <v>7163.64</v>
      </c>
      <c r="I33" s="8">
        <f>IFERROR(H33/H444, "NA")</f>
        <v>-0.24175277545390828</v>
      </c>
      <c r="J33" s="9"/>
      <c r="K33" s="7">
        <v>6846.04</v>
      </c>
      <c r="L33" s="8">
        <f>IFERROR(K33/K444, "NA")</f>
        <v>6.7731004809209627E-2</v>
      </c>
      <c r="M33" s="9"/>
      <c r="N33" s="10">
        <f t="shared" si="9"/>
        <v>317.60000000000036</v>
      </c>
      <c r="O33" s="8">
        <f>IFERROR(N33/N444, "NA")</f>
        <v>-2.1948010305060786E-2</v>
      </c>
      <c r="P33" s="9"/>
      <c r="Q33" s="7">
        <v>51038.02</v>
      </c>
      <c r="R33" s="8">
        <f>IFERROR(Q33/Q444, "NA")</f>
        <v>0.11425239023191022</v>
      </c>
      <c r="S33" s="9"/>
      <c r="T33" s="7">
        <v>0</v>
      </c>
      <c r="U33" s="8">
        <f>IFERROR(T33/T444, "NA")</f>
        <v>0</v>
      </c>
      <c r="V33" s="9"/>
      <c r="W33" s="10">
        <f t="shared" si="10"/>
        <v>51038.02</v>
      </c>
      <c r="X33" s="8">
        <f>IFERROR(W33/W444, "NA")</f>
        <v>-1.5646863807222176</v>
      </c>
      <c r="Y33" s="9"/>
      <c r="Z33" s="7">
        <v>32510.25</v>
      </c>
      <c r="AA33" s="8">
        <f>IFERROR(Z33/Z444, "NA")</f>
        <v>7.8720131406158578E-2</v>
      </c>
      <c r="AB33" s="9"/>
      <c r="AC33" s="10">
        <f t="shared" si="11"/>
        <v>18527.769999999997</v>
      </c>
      <c r="AD33" s="8">
        <f>IFERROR(AC33/AC444, "NA")</f>
        <v>0.54933360452470581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1366.23</v>
      </c>
      <c r="C35" s="8">
        <f>IFERROR(B35/B444, "NA")</f>
        <v>1.5775173041604116E-2</v>
      </c>
      <c r="D35" s="9"/>
      <c r="E35" s="7">
        <v>0</v>
      </c>
      <c r="F35" s="8">
        <f>IFERROR(E35/E444, "NA")</f>
        <v>0</v>
      </c>
      <c r="G35" s="9"/>
      <c r="H35" s="10">
        <f t="shared" si="8"/>
        <v>1366.23</v>
      </c>
      <c r="I35" s="8">
        <f>IFERROR(H35/H444, "NA")</f>
        <v>-4.6106433936991965E-2</v>
      </c>
      <c r="J35" s="9"/>
      <c r="K35" s="7">
        <v>0</v>
      </c>
      <c r="L35" s="8">
        <f>IFERROR(K35/K444, "NA")</f>
        <v>0</v>
      </c>
      <c r="M35" s="9"/>
      <c r="N35" s="10">
        <f t="shared" si="9"/>
        <v>1366.23</v>
      </c>
      <c r="O35" s="8">
        <f>IFERROR(N35/N444, "NA")</f>
        <v>-9.4414452516004929E-2</v>
      </c>
      <c r="P35" s="9"/>
      <c r="Q35" s="7">
        <v>7037.78</v>
      </c>
      <c r="R35" s="8">
        <f>IFERROR(Q35/Q444, "NA")</f>
        <v>1.5754592104598359E-2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7037.78</v>
      </c>
      <c r="X35" s="8">
        <f>IFERROR(W35/W444, "NA")</f>
        <v>-0.21575912460003757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7037.78</v>
      </c>
      <c r="AD35" s="8">
        <f>IFERROR(AC35/AC444, "NA")</f>
        <v>0.20866456434054853</v>
      </c>
    </row>
    <row r="36" spans="1:30" ht="16.5" customHeight="1" x14ac:dyDescent="0.45">
      <c r="A36" s="12" t="s">
        <v>36</v>
      </c>
      <c r="B36" s="7">
        <v>9278.1</v>
      </c>
      <c r="C36" s="8">
        <f>IFERROR(B36/B444, "NA")</f>
        <v>0.10712957042174973</v>
      </c>
      <c r="D36" s="9"/>
      <c r="E36" s="7">
        <v>0</v>
      </c>
      <c r="F36" s="8">
        <f>IFERROR(E36/E444, "NA")</f>
        <v>0</v>
      </c>
      <c r="G36" s="9"/>
      <c r="H36" s="10">
        <f t="shared" si="8"/>
        <v>9278.1</v>
      </c>
      <c r="I36" s="8">
        <f>IFERROR(H36/H444, "NA")</f>
        <v>-0.31310987513874322</v>
      </c>
      <c r="J36" s="9"/>
      <c r="K36" s="7">
        <v>10718.25</v>
      </c>
      <c r="L36" s="8">
        <f>IFERROR(K36/K444, "NA")</f>
        <v>0.10604054932432634</v>
      </c>
      <c r="M36" s="9"/>
      <c r="N36" s="10">
        <f t="shared" si="9"/>
        <v>-1440.1499999999996</v>
      </c>
      <c r="O36" s="8">
        <f>IFERROR(N36/N444, "NA")</f>
        <v>9.9522755166351534E-2</v>
      </c>
      <c r="P36" s="9"/>
      <c r="Q36" s="7">
        <v>75749.320000000007</v>
      </c>
      <c r="R36" s="8">
        <f>IFERROR(Q36/Q444, "NA")</f>
        <v>0.16957046665293526</v>
      </c>
      <c r="S36" s="9"/>
      <c r="T36" s="7">
        <v>0</v>
      </c>
      <c r="U36" s="8">
        <f>IFERROR(T36/T444, "NA")</f>
        <v>0</v>
      </c>
      <c r="V36" s="9"/>
      <c r="W36" s="10">
        <f t="shared" si="10"/>
        <v>75749.320000000007</v>
      </c>
      <c r="X36" s="8">
        <f>IFERROR(W36/W444, "NA")</f>
        <v>-2.3222673871942741</v>
      </c>
      <c r="Y36" s="9"/>
      <c r="Z36" s="7">
        <v>46385.54</v>
      </c>
      <c r="AA36" s="8">
        <f>IFERROR(Z36/Z444, "NA")</f>
        <v>0.11231767839821673</v>
      </c>
      <c r="AB36" s="9"/>
      <c r="AC36" s="10">
        <f t="shared" si="11"/>
        <v>29363.780000000006</v>
      </c>
      <c r="AD36" s="8">
        <f>IFERROR(AC36/AC444, "NA")</f>
        <v>0.87061265926069209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630.25</v>
      </c>
      <c r="C39" s="8">
        <f>IFERROR(B39/B444, "NA")</f>
        <v>7.2771808622786741E-3</v>
      </c>
      <c r="D39" s="9"/>
      <c r="E39" s="7">
        <v>0</v>
      </c>
      <c r="F39" s="8">
        <f>IFERROR(E39/E444, "NA")</f>
        <v>0</v>
      </c>
      <c r="G39" s="9"/>
      <c r="H39" s="10">
        <f t="shared" si="8"/>
        <v>630.25</v>
      </c>
      <c r="I39" s="8">
        <f>IFERROR(H39/H444, "NA")</f>
        <v>-2.1269171361183097E-2</v>
      </c>
      <c r="J39" s="9"/>
      <c r="K39" s="7">
        <v>1101.05</v>
      </c>
      <c r="L39" s="8">
        <f>IFERROR(K39/K444, "NA")</f>
        <v>1.0893191223711848E-2</v>
      </c>
      <c r="M39" s="9"/>
      <c r="N39" s="10">
        <f t="shared" si="9"/>
        <v>-470.79999999999995</v>
      </c>
      <c r="O39" s="8">
        <f>IFERROR(N39/N444, "NA")</f>
        <v>3.2535022832564882E-2</v>
      </c>
      <c r="P39" s="9"/>
      <c r="Q39" s="7">
        <v>4324.93</v>
      </c>
      <c r="R39" s="8">
        <f>IFERROR(Q39/Q444, "NA")</f>
        <v>9.6816763284644572E-3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4324.93</v>
      </c>
      <c r="X39" s="8">
        <f>IFERROR(W39/W444, "NA")</f>
        <v>-0.13259054854747385</v>
      </c>
      <c r="Y39" s="9"/>
      <c r="Z39" s="7">
        <v>4759.99</v>
      </c>
      <c r="AA39" s="8">
        <f>IFERROR(Z39/Z444, "NA")</f>
        <v>1.1525812268192364E-2</v>
      </c>
      <c r="AB39" s="9"/>
      <c r="AC39" s="10">
        <f t="shared" si="11"/>
        <v>-435.05999999999949</v>
      </c>
      <c r="AD39" s="8">
        <f>IFERROR(AC39/AC444, "NA")</f>
        <v>-1.2899182037801544E-2</v>
      </c>
    </row>
    <row r="40" spans="1:30" ht="16.5" customHeight="1" x14ac:dyDescent="0.45">
      <c r="A40" s="13" t="s">
        <v>40</v>
      </c>
      <c r="B40" s="14">
        <f>IFERROR(B31+B32+B33+B34+B35+B36+B37+B38+B39, "NA")</f>
        <v>18438.22</v>
      </c>
      <c r="C40" s="15">
        <f>IFERROR(B40/B444, "NA")</f>
        <v>0.21289688491627751</v>
      </c>
      <c r="D40" s="2"/>
      <c r="E40" s="14">
        <f>IFERROR(E31+E32+E33+E34+E35+E36+E37+E38+E39, "NA")</f>
        <v>28245.94</v>
      </c>
      <c r="F40" s="15">
        <f>IFERROR(E40/E444, "NA")</f>
        <v>0.24300001299054022</v>
      </c>
      <c r="G40" s="2"/>
      <c r="H40" s="14">
        <f t="shared" si="8"/>
        <v>-9807.7199999999975</v>
      </c>
      <c r="I40" s="15">
        <f>IFERROR(H40/H444, "NA")</f>
        <v>0.33098306599365751</v>
      </c>
      <c r="J40" s="2"/>
      <c r="K40" s="14">
        <f>IFERROR(K31+K32+K33+K34+K35+K36+K37+K38+K39, "NA")</f>
        <v>18665.34</v>
      </c>
      <c r="L40" s="15">
        <f>IFERROR(K40/K444, "NA")</f>
        <v>0.18466474535724781</v>
      </c>
      <c r="M40" s="2"/>
      <c r="N40" s="14">
        <f t="shared" si="9"/>
        <v>-227.11999999999898</v>
      </c>
      <c r="O40" s="15">
        <f>IFERROR(N40/N444, "NA")</f>
        <v>1.5695315177850687E-2</v>
      </c>
      <c r="P40" s="2"/>
      <c r="Q40" s="14">
        <f>IFERROR(Q31+Q32+Q33+Q34+Q35+Q36+Q37+Q38+Q39, "NA")</f>
        <v>138150.04999999999</v>
      </c>
      <c r="R40" s="15">
        <f>IFERROR(Q40/Q444, "NA")</f>
        <v>0.30925912531790828</v>
      </c>
      <c r="S40" s="2"/>
      <c r="T40" s="14">
        <f>IFERROR(T31+T32+T33+T34+T35+T36+T37+T38+T39, "NA")</f>
        <v>116477.58</v>
      </c>
      <c r="U40" s="15">
        <f>IFERROR(T40/T444, "NA")</f>
        <v>0.2429999923643677</v>
      </c>
      <c r="V40" s="2"/>
      <c r="W40" s="14">
        <f t="shared" si="10"/>
        <v>21672.469999999987</v>
      </c>
      <c r="X40" s="15">
        <f>IFERROR(W40/W444, "NA")</f>
        <v>-0.66441877340874156</v>
      </c>
      <c r="Y40" s="2"/>
      <c r="Z40" s="14">
        <f>IFERROR(Z31+Z32+Z33+Z34+Z35+Z36+Z37+Z38+Z39, "NA")</f>
        <v>83655.780000000013</v>
      </c>
      <c r="AA40" s="15">
        <f>IFERROR(Z40/Z444, "NA")</f>
        <v>0.2025636220725677</v>
      </c>
      <c r="AB40" s="2"/>
      <c r="AC40" s="14">
        <f t="shared" si="11"/>
        <v>54494.269999999975</v>
      </c>
      <c r="AD40" s="15">
        <f>IFERROR(AC40/AC444, "NA")</f>
        <v>1.6157116460881442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7079.02</v>
      </c>
      <c r="C43" s="8">
        <f>IFERROR(B43/B444, "NA")</f>
        <v>8.1737895863051149E-2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7079.02</v>
      </c>
      <c r="I43" s="8">
        <f>IFERROR(H43/H444, "NA")</f>
        <v>-0.23889708758308986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7079.02</v>
      </c>
      <c r="O43" s="8">
        <f>IFERROR(N43/N444, "NA")</f>
        <v>-0.48920152364524949</v>
      </c>
      <c r="P43" s="9"/>
      <c r="Q43" s="7">
        <v>21901.439999999999</v>
      </c>
      <c r="R43" s="8">
        <f>IFERROR(Q43/Q444, "NA")</f>
        <v>4.9027996570414914E-2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21901.439999999999</v>
      </c>
      <c r="X43" s="8">
        <f>IFERROR(W43/W444, "NA")</f>
        <v>-0.67143836861627482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21901.439999999999</v>
      </c>
      <c r="AD43" s="8">
        <f>IFERROR(AC43/AC444, "NA")</f>
        <v>0.64936022950854722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23596.400000000001</v>
      </c>
      <c r="F46" s="8">
        <f>IFERROR(E46/E444, "NA")</f>
        <v>0.20299998890212129</v>
      </c>
      <c r="G46" s="9"/>
      <c r="H46" s="10">
        <f t="shared" ref="H46:H62" si="12">IFERROR(B46-E46, "NA")</f>
        <v>-23596.400000000001</v>
      </c>
      <c r="I46" s="8">
        <f>IFERROR(H46/H444, "NA")</f>
        <v>0.79631237621106055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97304.31</v>
      </c>
      <c r="U46" s="8">
        <f>IFERROR(T46/T444, "NA")</f>
        <v>0.20299998151592835</v>
      </c>
      <c r="V46" s="9"/>
      <c r="W46" s="10">
        <f t="shared" ref="W46:W62" si="14">IFERROR(Q46-T46, "NA")</f>
        <v>-97304.31</v>
      </c>
      <c r="X46" s="8">
        <f>IFERROR(W46/W444, "NA")</f>
        <v>2.9830845444743486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8161.53</v>
      </c>
      <c r="C48" s="8">
        <f>IFERROR(B48/B444, "NA")</f>
        <v>9.423709626800994E-2</v>
      </c>
      <c r="D48" s="9"/>
      <c r="E48" s="7">
        <v>0</v>
      </c>
      <c r="F48" s="8">
        <f>IFERROR(E48/E444, "NA")</f>
        <v>0</v>
      </c>
      <c r="G48" s="9"/>
      <c r="H48" s="10">
        <f t="shared" si="12"/>
        <v>8161.53</v>
      </c>
      <c r="I48" s="8">
        <f>IFERROR(H48/H444, "NA")</f>
        <v>-0.27542876658379484</v>
      </c>
      <c r="J48" s="9"/>
      <c r="K48" s="7">
        <v>23494.32</v>
      </c>
      <c r="L48" s="8">
        <f>IFERROR(K48/K444, "NA")</f>
        <v>0.23244005306850526</v>
      </c>
      <c r="M48" s="9"/>
      <c r="N48" s="10">
        <f t="shared" si="13"/>
        <v>-15332.79</v>
      </c>
      <c r="O48" s="8">
        <f>IFERROR(N48/N444, "NA")</f>
        <v>1.0595851162636418</v>
      </c>
      <c r="P48" s="9"/>
      <c r="Q48" s="7">
        <v>35153.919999999998</v>
      </c>
      <c r="R48" s="8">
        <f>IFERROR(Q48/Q444, "NA")</f>
        <v>7.8694655200600525E-2</v>
      </c>
      <c r="S48" s="9"/>
      <c r="T48" s="7">
        <v>0</v>
      </c>
      <c r="U48" s="8">
        <f>IFERROR(T48/T444, "NA")</f>
        <v>0</v>
      </c>
      <c r="V48" s="9"/>
      <c r="W48" s="10">
        <f t="shared" si="14"/>
        <v>35153.919999999998</v>
      </c>
      <c r="X48" s="8">
        <f>IFERROR(W48/W444, "NA")</f>
        <v>-1.0777232316809779</v>
      </c>
      <c r="Y48" s="9"/>
      <c r="Z48" s="7">
        <v>78300.289999999994</v>
      </c>
      <c r="AA48" s="8">
        <f>IFERROR(Z48/Z444, "NA")</f>
        <v>0.189595869546999</v>
      </c>
      <c r="AB48" s="9"/>
      <c r="AC48" s="10">
        <f t="shared" si="15"/>
        <v>-43146.369999999995</v>
      </c>
      <c r="AD48" s="8">
        <f>IFERROR(AC48/AC444, "NA")</f>
        <v>-1.2792554610866087</v>
      </c>
    </row>
    <row r="49" spans="1:30" ht="16.5" customHeight="1" x14ac:dyDescent="0.45">
      <c r="A49" s="17" t="s">
        <v>47</v>
      </c>
      <c r="B49" s="7">
        <v>470.48</v>
      </c>
      <c r="C49" s="8">
        <f>IFERROR(B49/B444, "NA")</f>
        <v>5.4323967506304969E-3</v>
      </c>
      <c r="D49" s="9"/>
      <c r="E49" s="7">
        <v>0</v>
      </c>
      <c r="F49" s="8">
        <f>IFERROR(E49/E444, "NA")</f>
        <v>0</v>
      </c>
      <c r="G49" s="9"/>
      <c r="H49" s="10">
        <f t="shared" si="12"/>
        <v>470.48</v>
      </c>
      <c r="I49" s="8">
        <f>IFERROR(H49/H444, "NA")</f>
        <v>-1.5877381581926892E-2</v>
      </c>
      <c r="J49" s="9"/>
      <c r="K49" s="7">
        <v>0</v>
      </c>
      <c r="L49" s="8">
        <f>IFERROR(K49/K444, "NA")</f>
        <v>0</v>
      </c>
      <c r="M49" s="9"/>
      <c r="N49" s="10">
        <f t="shared" si="13"/>
        <v>470.48</v>
      </c>
      <c r="O49" s="8">
        <f>IFERROR(N49/N444, "NA")</f>
        <v>-3.2512908968277666E-2</v>
      </c>
      <c r="P49" s="9"/>
      <c r="Q49" s="7">
        <v>475.48</v>
      </c>
      <c r="R49" s="8">
        <f>IFERROR(Q49/Q444, "NA")</f>
        <v>1.0643972181418613E-3</v>
      </c>
      <c r="S49" s="9"/>
      <c r="T49" s="7">
        <v>0</v>
      </c>
      <c r="U49" s="8">
        <f>IFERROR(T49/T444, "NA")</f>
        <v>0</v>
      </c>
      <c r="V49" s="9"/>
      <c r="W49" s="10">
        <f t="shared" si="14"/>
        <v>475.48</v>
      </c>
      <c r="X49" s="8">
        <f>IFERROR(W49/W444, "NA")</f>
        <v>-1.4576918938191571E-2</v>
      </c>
      <c r="Y49" s="9"/>
      <c r="Z49" s="7">
        <v>410.02</v>
      </c>
      <c r="AA49" s="8">
        <f>IFERROR(Z49/Z444, "NA")</f>
        <v>9.928200576480692E-4</v>
      </c>
      <c r="AB49" s="9"/>
      <c r="AC49" s="10">
        <f t="shared" si="15"/>
        <v>65.460000000000036</v>
      </c>
      <c r="AD49" s="8">
        <f>IFERROR(AC49/AC444, "NA")</f>
        <v>1.9408367953718808E-3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15.3</v>
      </c>
      <c r="C54" s="8">
        <f>IFERROR(B54/B444, "NA")</f>
        <v>1.7666143148411539E-4</v>
      </c>
      <c r="D54" s="9"/>
      <c r="E54" s="7">
        <v>0</v>
      </c>
      <c r="F54" s="8">
        <f>IFERROR(E54/E444, "NA")</f>
        <v>0</v>
      </c>
      <c r="G54" s="9"/>
      <c r="H54" s="10">
        <f t="shared" si="12"/>
        <v>15.3</v>
      </c>
      <c r="I54" s="8">
        <f>IFERROR(H54/H444, "NA")</f>
        <v>-5.1633212507116446E-4</v>
      </c>
      <c r="J54" s="9"/>
      <c r="K54" s="7">
        <v>0</v>
      </c>
      <c r="L54" s="8">
        <f>IFERROR(K54/K444, "NA")</f>
        <v>0</v>
      </c>
      <c r="M54" s="9"/>
      <c r="N54" s="10">
        <f t="shared" si="13"/>
        <v>15.3</v>
      </c>
      <c r="O54" s="8">
        <f>IFERROR(N54/N444, "NA")</f>
        <v>-1.0573191362324612E-3</v>
      </c>
      <c r="P54" s="9"/>
      <c r="Q54" s="7">
        <v>31.15</v>
      </c>
      <c r="R54" s="8">
        <f>IFERROR(Q54/Q444, "NA")</f>
        <v>6.9731583547402579E-5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31.15</v>
      </c>
      <c r="X54" s="8">
        <f>IFERROR(W54/W444, "NA")</f>
        <v>-9.5497397351027881E-4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31.15</v>
      </c>
      <c r="AD54" s="8">
        <f>IFERROR(AC54/AC444, "NA")</f>
        <v>9.2357265774265277E-4</v>
      </c>
    </row>
    <row r="55" spans="1:30" ht="16.5" customHeight="1" x14ac:dyDescent="0.45">
      <c r="A55" s="17" t="s">
        <v>53</v>
      </c>
      <c r="B55" s="7">
        <v>186.2</v>
      </c>
      <c r="C55" s="8">
        <f>IFERROR(B55/B444, "NA")</f>
        <v>2.1499580746628943E-3</v>
      </c>
      <c r="D55" s="9"/>
      <c r="E55" s="7">
        <v>0</v>
      </c>
      <c r="F55" s="8">
        <f>IFERROR(E55/E444, "NA")</f>
        <v>0</v>
      </c>
      <c r="G55" s="9"/>
      <c r="H55" s="10">
        <f t="shared" si="12"/>
        <v>186.2</v>
      </c>
      <c r="I55" s="8">
        <f>IFERROR(H55/H444, "NA")</f>
        <v>-6.2837282149183537E-3</v>
      </c>
      <c r="J55" s="9"/>
      <c r="K55" s="7">
        <v>446.48</v>
      </c>
      <c r="L55" s="8">
        <f>IFERROR(K55/K444, "NA")</f>
        <v>4.4172308410724906E-3</v>
      </c>
      <c r="M55" s="9"/>
      <c r="N55" s="10">
        <f t="shared" si="13"/>
        <v>-260.28000000000003</v>
      </c>
      <c r="O55" s="8">
        <f>IFERROR(N55/N444, "NA")</f>
        <v>1.79868643646134E-2</v>
      </c>
      <c r="P55" s="9"/>
      <c r="Q55" s="7">
        <v>1523.69</v>
      </c>
      <c r="R55" s="8">
        <f>IFERROR(Q55/Q444, "NA")</f>
        <v>3.4108929866883417E-3</v>
      </c>
      <c r="S55" s="9"/>
      <c r="T55" s="7">
        <v>0</v>
      </c>
      <c r="U55" s="8">
        <f>IFERROR(T55/T444, "NA")</f>
        <v>0</v>
      </c>
      <c r="V55" s="9"/>
      <c r="W55" s="10">
        <f t="shared" si="14"/>
        <v>1523.69</v>
      </c>
      <c r="X55" s="8">
        <f>IFERROR(W55/W444, "NA")</f>
        <v>-4.6712176362692676E-2</v>
      </c>
      <c r="Y55" s="9"/>
      <c r="Z55" s="7">
        <v>1997.78</v>
      </c>
      <c r="AA55" s="8">
        <f>IFERROR(Z55/Z444, "NA")</f>
        <v>4.8374129427056238E-3</v>
      </c>
      <c r="AB55" s="9"/>
      <c r="AC55" s="10">
        <f t="shared" si="15"/>
        <v>-474.08999999999992</v>
      </c>
      <c r="AD55" s="8">
        <f>IFERROR(AC55/AC444, "NA")</f>
        <v>-1.4056390411210729E-2</v>
      </c>
    </row>
    <row r="56" spans="1:30" ht="16.5" hidden="1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0</v>
      </c>
      <c r="R56" s="8">
        <f>IFERROR(Q56/Q444, "NA")</f>
        <v>0</v>
      </c>
      <c r="S56" s="9"/>
      <c r="T56" s="7">
        <v>0</v>
      </c>
      <c r="U56" s="8">
        <f>IFERROR(T56/T444, "NA")</f>
        <v>0</v>
      </c>
      <c r="V56" s="9"/>
      <c r="W56" s="10">
        <f t="shared" si="14"/>
        <v>0</v>
      </c>
      <c r="X56" s="8">
        <f>IFERROR(W56/W444, "NA")</f>
        <v>0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0</v>
      </c>
      <c r="AD56" s="8">
        <f>IFERROR(AC56/AC444, "NA")</f>
        <v>0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1122.93</v>
      </c>
      <c r="L59" s="8">
        <f>IFERROR(K59/K444, "NA")</f>
        <v>1.1109660070698647E-2</v>
      </c>
      <c r="M59" s="9"/>
      <c r="N59" s="10">
        <f t="shared" si="13"/>
        <v>-1122.93</v>
      </c>
      <c r="O59" s="8">
        <f>IFERROR(N59/N444, "NA")</f>
        <v>7.7601005075131874E-2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3415.53</v>
      </c>
      <c r="AA59" s="8">
        <f>IFERROR(Z59/Z444, "NA")</f>
        <v>8.270344596601897E-3</v>
      </c>
      <c r="AB59" s="9"/>
      <c r="AC59" s="10">
        <f t="shared" si="15"/>
        <v>-3415.53</v>
      </c>
      <c r="AD59" s="8">
        <f>IFERROR(AC59/AC444, "NA")</f>
        <v>-0.10126774060031342</v>
      </c>
    </row>
    <row r="60" spans="1:30" ht="16.5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116.96</v>
      </c>
      <c r="AA60" s="8">
        <f>IFERROR(Z60/Z444, "NA")</f>
        <v>2.8320626784673474E-4</v>
      </c>
      <c r="AB60" s="9"/>
      <c r="AC60" s="10">
        <f t="shared" si="15"/>
        <v>-116.96</v>
      </c>
      <c r="AD60" s="8">
        <f>IFERROR(AC60/AC444, "NA")</f>
        <v>-3.467770723903071E-3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8833.51</v>
      </c>
      <c r="C61" s="15">
        <f>IFERROR(B61/B444, "NA")</f>
        <v>0.10199611252478745</v>
      </c>
      <c r="D61" s="2"/>
      <c r="E61" s="14">
        <f>IFERROR(E46+E47+E48+E49+E50+E51+E52+E53+E54+E55+E56+E57+E58+E59+E60, "NA")</f>
        <v>23596.400000000001</v>
      </c>
      <c r="F61" s="15">
        <f>IFERROR(E61/E444, "NA")</f>
        <v>0.20299998890212129</v>
      </c>
      <c r="G61" s="2"/>
      <c r="H61" s="14">
        <f t="shared" si="12"/>
        <v>-14762.890000000001</v>
      </c>
      <c r="I61" s="15">
        <f>IFERROR(H61/H444, "NA")</f>
        <v>0.49820616770534926</v>
      </c>
      <c r="J61" s="2"/>
      <c r="K61" s="14">
        <f>IFERROR(K46+K47+K48+K49+K50+K51+K52+K53+K54+K55+K56+K57+K58+K59+K60, "NA")</f>
        <v>25063.73</v>
      </c>
      <c r="L61" s="15">
        <f>IFERROR(K61/K444, "NA")</f>
        <v>0.24796694398027641</v>
      </c>
      <c r="M61" s="2"/>
      <c r="N61" s="14">
        <f t="shared" si="13"/>
        <v>-16230.22</v>
      </c>
      <c r="O61" s="15">
        <f>IFERROR(N61/N444, "NA")</f>
        <v>1.1216027575988767</v>
      </c>
      <c r="P61" s="2"/>
      <c r="Q61" s="14">
        <f>IFERROR(Q46+Q47+Q48+Q49+Q50+Q51+Q52+Q53+Q54+Q55+Q56+Q57+Q58+Q59+Q60, "NA")</f>
        <v>37184.240000000005</v>
      </c>
      <c r="R61" s="15">
        <f>IFERROR(Q61/Q444, "NA")</f>
        <v>8.3239676988978148E-2</v>
      </c>
      <c r="S61" s="2"/>
      <c r="T61" s="14">
        <f>IFERROR(T46+T47+T48+T49+T50+T51+T52+T53+T54+T55+T56+T57+T58+T59+T60, "NA")</f>
        <v>97304.31</v>
      </c>
      <c r="U61" s="15">
        <f>IFERROR(T61/T444, "NA")</f>
        <v>0.20299998151592835</v>
      </c>
      <c r="V61" s="2"/>
      <c r="W61" s="14">
        <f t="shared" si="14"/>
        <v>-60120.069999999992</v>
      </c>
      <c r="X61" s="15">
        <f>IFERROR(W61/W444, "NA")</f>
        <v>1.843117243518976</v>
      </c>
      <c r="Y61" s="2"/>
      <c r="Z61" s="14">
        <f>IFERROR(Z46+Z47+Z48+Z49+Z50+Z51+Z52+Z53+Z54+Z55+Z56+Z57+Z58+Z59+Z60, "NA")</f>
        <v>84240.58</v>
      </c>
      <c r="AA61" s="15">
        <f>IFERROR(Z61/Z444, "NA")</f>
        <v>0.20397965341180135</v>
      </c>
      <c r="AB61" s="2"/>
      <c r="AC61" s="14">
        <f t="shared" si="15"/>
        <v>-47056.34</v>
      </c>
      <c r="AD61" s="15">
        <f>IFERROR(AC61/AC444, "NA")</f>
        <v>-1.3951829533689213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15912.529999999999</v>
      </c>
      <c r="C62" s="15">
        <f>IFERROR(B62/B444, "NA")</f>
        <v>0.18373400838783857</v>
      </c>
      <c r="D62" s="2"/>
      <c r="E62" s="14">
        <f>IFERROR(E42+E43+E44+E46+E47+E48+E49+E50+E51+E52+E53+E54+E55+E56+E57+E58+E59+E60, "NA")</f>
        <v>23596.400000000001</v>
      </c>
      <c r="F62" s="15">
        <f>IFERROR(E62/E444, "NA")</f>
        <v>0.20299998890212129</v>
      </c>
      <c r="G62" s="2"/>
      <c r="H62" s="14">
        <f t="shared" si="12"/>
        <v>-7683.8700000000026</v>
      </c>
      <c r="I62" s="15">
        <f>IFERROR(H62/H444, "NA")</f>
        <v>0.25930908012225945</v>
      </c>
      <c r="J62" s="2"/>
      <c r="K62" s="14">
        <f>IFERROR(K42+K43+K44+K46+K47+K48+K49+K50+K51+K52+K53+K54+K55+K56+K57+K58+K59+K60, "NA")</f>
        <v>25063.73</v>
      </c>
      <c r="L62" s="15">
        <f>IFERROR(K62/K444, "NA")</f>
        <v>0.24796694398027641</v>
      </c>
      <c r="M62" s="2"/>
      <c r="N62" s="14">
        <f t="shared" si="13"/>
        <v>-9151.2000000000007</v>
      </c>
      <c r="O62" s="15">
        <f>IFERROR(N62/N444, "NA")</f>
        <v>0.63240123395362735</v>
      </c>
      <c r="P62" s="2"/>
      <c r="Q62" s="14">
        <f>IFERROR(Q42+Q43+Q44+Q46+Q47+Q48+Q49+Q50+Q51+Q52+Q53+Q54+Q55+Q56+Q57+Q58+Q59+Q60, "NA")</f>
        <v>59085.680000000008</v>
      </c>
      <c r="R62" s="15">
        <f>IFERROR(Q62/Q444, "NA")</f>
        <v>0.13226767355939306</v>
      </c>
      <c r="S62" s="2"/>
      <c r="T62" s="14">
        <f>IFERROR(T42+T43+T44+T46+T47+T48+T49+T50+T51+T52+T53+T54+T55+T56+T57+T58+T59+T60, "NA")</f>
        <v>97304.31</v>
      </c>
      <c r="U62" s="15">
        <f>IFERROR(T62/T444, "NA")</f>
        <v>0.20299998151592835</v>
      </c>
      <c r="V62" s="2"/>
      <c r="W62" s="14">
        <f t="shared" si="14"/>
        <v>-38218.62999999999</v>
      </c>
      <c r="X62" s="15">
        <f>IFERROR(W62/W444, "NA")</f>
        <v>1.1716788749027012</v>
      </c>
      <c r="Y62" s="2"/>
      <c r="Z62" s="14">
        <f>IFERROR(Z42+Z43+Z44+Z46+Z47+Z48+Z49+Z50+Z51+Z52+Z53+Z54+Z55+Z56+Z57+Z58+Z59+Z60, "NA")</f>
        <v>84240.58</v>
      </c>
      <c r="AA62" s="15">
        <f>IFERROR(Z62/Z444, "NA")</f>
        <v>0.20397965341180135</v>
      </c>
      <c r="AB62" s="2"/>
      <c r="AC62" s="14">
        <f t="shared" si="15"/>
        <v>-25154.899999999994</v>
      </c>
      <c r="AD62" s="15">
        <f>IFERROR(AC62/AC444, "NA")</f>
        <v>-0.74582272386037407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2056.77</v>
      </c>
      <c r="C65" s="8">
        <f>IFERROR(B65/B444, "NA")</f>
        <v>2.3748492315920522E-2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2056.77</v>
      </c>
      <c r="I65" s="8">
        <f>IFERROR(H65/H444, "NA")</f>
        <v>-6.9410223848537178E-2</v>
      </c>
      <c r="J65" s="9"/>
      <c r="K65" s="7">
        <v>433.75</v>
      </c>
      <c r="L65" s="8">
        <f>IFERROR(K65/K444, "NA")</f>
        <v>4.2912871289087816E-3</v>
      </c>
      <c r="M65" s="9"/>
      <c r="N65" s="10">
        <f t="shared" si="17"/>
        <v>1623.02</v>
      </c>
      <c r="O65" s="8">
        <f>IFERROR(N65/N444, "NA")</f>
        <v>-0.11216013754823588</v>
      </c>
      <c r="P65" s="9"/>
      <c r="Q65" s="7">
        <v>10057.26</v>
      </c>
      <c r="R65" s="8">
        <f>IFERROR(Q65/Q444, "NA")</f>
        <v>2.2513921860287323E-2</v>
      </c>
      <c r="S65" s="9"/>
      <c r="T65" s="7">
        <v>0</v>
      </c>
      <c r="U65" s="8">
        <f>IFERROR(T65/T444, "NA")</f>
        <v>0</v>
      </c>
      <c r="V65" s="9"/>
      <c r="W65" s="10">
        <f t="shared" si="18"/>
        <v>10057.26</v>
      </c>
      <c r="X65" s="8">
        <f>IFERROR(W65/W444, "NA")</f>
        <v>-0.30832813948077004</v>
      </c>
      <c r="Y65" s="9"/>
      <c r="Z65" s="7">
        <v>798.46</v>
      </c>
      <c r="AA65" s="8">
        <f>IFERROR(Z65/Z444, "NA")</f>
        <v>1.9333864280515034E-3</v>
      </c>
      <c r="AB65" s="9"/>
      <c r="AC65" s="10">
        <f t="shared" si="19"/>
        <v>9258.7999999999993</v>
      </c>
      <c r="AD65" s="8">
        <f>IFERROR(AC65/AC444, "NA")</f>
        <v>0.27451603606766206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2056.77</v>
      </c>
      <c r="C73" s="15">
        <f>IFERROR(B73/B444, "NA")</f>
        <v>2.3748492315920522E-2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2056.77</v>
      </c>
      <c r="I73" s="15">
        <f>IFERROR(H73/H444, "NA")</f>
        <v>-6.9410223848537178E-2</v>
      </c>
      <c r="J73" s="2"/>
      <c r="K73" s="14">
        <f>IFERROR(K64+K65+K66+K67+K68+K69+K70+K71+K72, "NA")</f>
        <v>433.75</v>
      </c>
      <c r="L73" s="15">
        <f>IFERROR(K73/K444, "NA")</f>
        <v>4.2912871289087816E-3</v>
      </c>
      <c r="M73" s="2"/>
      <c r="N73" s="14">
        <f t="shared" si="17"/>
        <v>1623.02</v>
      </c>
      <c r="O73" s="15">
        <f>IFERROR(N73/N444, "NA")</f>
        <v>-0.11216013754823588</v>
      </c>
      <c r="P73" s="2"/>
      <c r="Q73" s="14">
        <f>IFERROR(Q64+Q65+Q66+Q67+Q68+Q69+Q70+Q71+Q72, "NA")</f>
        <v>10057.26</v>
      </c>
      <c r="R73" s="15">
        <f>IFERROR(Q73/Q444, "NA")</f>
        <v>2.2513921860287323E-2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10057.26</v>
      </c>
      <c r="X73" s="15">
        <f>IFERROR(W73/W444, "NA")</f>
        <v>-0.30832813948077004</v>
      </c>
      <c r="Y73" s="2"/>
      <c r="Z73" s="14">
        <f>IFERROR(Z64+Z65+Z66+Z67+Z68+Z69+Z70+Z71+Z72, "NA")</f>
        <v>798.46</v>
      </c>
      <c r="AA73" s="15">
        <f>IFERROR(Z73/Z444, "NA")</f>
        <v>1.9333864280515034E-3</v>
      </c>
      <c r="AB73" s="2"/>
      <c r="AC73" s="14">
        <f t="shared" si="19"/>
        <v>9258.7999999999993</v>
      </c>
      <c r="AD73" s="15">
        <f>IFERROR(AC73/AC444, "NA")</f>
        <v>0.27451603606766206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1976.05</v>
      </c>
      <c r="F75" s="8">
        <f>IFERROR(E75/E444, "NA")</f>
        <v>1.69999715240476E-2</v>
      </c>
      <c r="G75" s="9"/>
      <c r="H75" s="10">
        <f t="shared" ref="H75:H92" si="20">IFERROR(B75-E75, "NA")</f>
        <v>-1976.05</v>
      </c>
      <c r="I75" s="8">
        <f>IFERROR(H75/H444, "NA")</f>
        <v>6.6686150048815326E-2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8148.63</v>
      </c>
      <c r="U75" s="8">
        <f>IFERROR(T75/T444, "NA")</f>
        <v>1.6999984269762968E-2</v>
      </c>
      <c r="V75" s="9"/>
      <c r="W75" s="10">
        <f t="shared" ref="W75:W92" si="22">IFERROR(Q75-T75, "NA")</f>
        <v>-8148.63</v>
      </c>
      <c r="X75" s="8">
        <f>IFERROR(W75/W444, "NA")</f>
        <v>0.24981475344350124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579.14</v>
      </c>
      <c r="C77" s="8">
        <f>IFERROR(B77/B444, "NA")</f>
        <v>6.6870393091314102E-3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579.14</v>
      </c>
      <c r="I77" s="8">
        <f>IFERROR(H77/H444, "NA")</f>
        <v>-1.9544352085863671E-2</v>
      </c>
      <c r="J77" s="9"/>
      <c r="K77" s="7">
        <v>137.54</v>
      </c>
      <c r="L77" s="8">
        <f>IFERROR(K77/K444, "NA")</f>
        <v>1.3607461249800893E-3</v>
      </c>
      <c r="M77" s="9"/>
      <c r="N77" s="10">
        <f t="shared" si="21"/>
        <v>441.6</v>
      </c>
      <c r="O77" s="8">
        <f>IFERROR(N77/N444, "NA")</f>
        <v>-3.0517132716356525E-2</v>
      </c>
      <c r="P77" s="9"/>
      <c r="Q77" s="7">
        <v>2055.98</v>
      </c>
      <c r="R77" s="8">
        <f>IFERROR(Q77/Q444, "NA")</f>
        <v>4.6024636000574241E-3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2055.98</v>
      </c>
      <c r="X77" s="8">
        <f>IFERROR(W77/W444, "NA")</f>
        <v>-6.3030734833311813E-2</v>
      </c>
      <c r="Y77" s="9"/>
      <c r="Z77" s="7">
        <v>514.28</v>
      </c>
      <c r="AA77" s="8">
        <f>IFERROR(Z77/Z444, "NA")</f>
        <v>1.2452746189143189E-3</v>
      </c>
      <c r="AB77" s="9"/>
      <c r="AC77" s="10">
        <f t="shared" si="23"/>
        <v>1541.7</v>
      </c>
      <c r="AD77" s="8">
        <f>IFERROR(AC77/AC444, "NA")</f>
        <v>4.5710175487699768E-2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2.99</v>
      </c>
      <c r="L79" s="8">
        <f>IFERROR(K79/K444, "NA")</f>
        <v>2.9581437499567166E-5</v>
      </c>
      <c r="M79" s="9"/>
      <c r="N79" s="10">
        <f t="shared" si="21"/>
        <v>-2.99</v>
      </c>
      <c r="O79" s="8">
        <f>IFERROR(N79/N444, "NA")</f>
        <v>2.0662641943366397E-4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47.84</v>
      </c>
      <c r="AA79" s="8">
        <f>IFERROR(Z79/Z444, "NA")</f>
        <v>1.1583949943389015E-4</v>
      </c>
      <c r="AB79" s="9"/>
      <c r="AC79" s="10">
        <f t="shared" si="23"/>
        <v>-47.84</v>
      </c>
      <c r="AD79" s="8">
        <f>IFERROR(AC79/AC444, "NA")</f>
        <v>-1.4184178473967419E-3</v>
      </c>
    </row>
    <row r="80" spans="1:30" ht="16.5" customHeight="1" x14ac:dyDescent="0.45">
      <c r="A80" s="12" t="s">
        <v>76</v>
      </c>
      <c r="B80" s="7">
        <v>809.19</v>
      </c>
      <c r="C80" s="8">
        <f>IFERROR(B80/B444, "NA")</f>
        <v>9.3433113557275377E-3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809.19</v>
      </c>
      <c r="I80" s="8">
        <f>IFERROR(H80/H444, "NA")</f>
        <v>-2.7307894920675528E-2</v>
      </c>
      <c r="J80" s="9"/>
      <c r="K80" s="7">
        <v>2401.1</v>
      </c>
      <c r="L80" s="8">
        <f>IFERROR(K80/K444, "NA")</f>
        <v>2.3755180461608932E-2</v>
      </c>
      <c r="M80" s="9"/>
      <c r="N80" s="10">
        <f t="shared" si="21"/>
        <v>-1591.9099999999999</v>
      </c>
      <c r="O80" s="8">
        <f>IFERROR(N80/N444, "NA")</f>
        <v>0.11001025530456321</v>
      </c>
      <c r="P80" s="9"/>
      <c r="Q80" s="7">
        <v>3881.71</v>
      </c>
      <c r="R80" s="8">
        <f>IFERROR(Q80/Q444, "NA")</f>
        <v>8.6894955111328429E-3</v>
      </c>
      <c r="S80" s="9"/>
      <c r="T80" s="7">
        <v>0</v>
      </c>
      <c r="U80" s="8">
        <f>IFERROR(T80/T444, "NA")</f>
        <v>0</v>
      </c>
      <c r="V80" s="9"/>
      <c r="W80" s="10">
        <f t="shared" si="22"/>
        <v>3881.71</v>
      </c>
      <c r="X80" s="8">
        <f>IFERROR(W80/W444, "NA")</f>
        <v>-0.11900263315295617</v>
      </c>
      <c r="Y80" s="9"/>
      <c r="Z80" s="7">
        <v>7127.75</v>
      </c>
      <c r="AA80" s="8">
        <f>IFERROR(Z80/Z444, "NA")</f>
        <v>1.7259092644019865E-2</v>
      </c>
      <c r="AB80" s="9"/>
      <c r="AC80" s="10">
        <f t="shared" si="23"/>
        <v>-3246.04</v>
      </c>
      <c r="AD80" s="8">
        <f>IFERROR(AC80/AC444, "NA")</f>
        <v>-9.624249726930853E-2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25</v>
      </c>
      <c r="AA82" s="8">
        <f>IFERROR(Z82/Z444, "NA")</f>
        <v>6.0534855473395763E-5</v>
      </c>
      <c r="AB82" s="9"/>
      <c r="AC82" s="10">
        <f t="shared" si="23"/>
        <v>-25</v>
      </c>
      <c r="AD82" s="8">
        <f>IFERROR(AC82/AC444, "NA")</f>
        <v>-7.4123006239378236E-4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1388.33</v>
      </c>
      <c r="C88" s="15">
        <f>IFERROR(B88/B444, "NA")</f>
        <v>1.6030350664858948E-2</v>
      </c>
      <c r="D88" s="2"/>
      <c r="E88" s="14">
        <f>IFERROR(E75+E76+E77+E78+E79+E80+E81+E82+E83+E84+E85+E86+E87, "NA")</f>
        <v>1976.05</v>
      </c>
      <c r="F88" s="15">
        <f>IFERROR(E88/E444, "NA")</f>
        <v>1.69999715240476E-2</v>
      </c>
      <c r="G88" s="2"/>
      <c r="H88" s="14">
        <f t="shared" si="20"/>
        <v>-587.72</v>
      </c>
      <c r="I88" s="15">
        <f>IFERROR(H88/H444, "NA")</f>
        <v>1.983390304227613E-2</v>
      </c>
      <c r="J88" s="2"/>
      <c r="K88" s="14">
        <f>IFERROR(K75+K76+K77+K78+K79+K80+K81+K82+K83+K84+K85+K86+K87, "NA")</f>
        <v>2541.63</v>
      </c>
      <c r="L88" s="15">
        <f>IFERROR(K88/K444, "NA")</f>
        <v>2.5145508024088593E-2</v>
      </c>
      <c r="M88" s="2"/>
      <c r="N88" s="14">
        <f t="shared" si="21"/>
        <v>-1153.3000000000002</v>
      </c>
      <c r="O88" s="15">
        <f>IFERROR(N88/N444, "NA")</f>
        <v>7.9699749007640361E-2</v>
      </c>
      <c r="P88" s="2"/>
      <c r="Q88" s="14">
        <f>IFERROR(Q75+Q76+Q77+Q78+Q79+Q80+Q81+Q82+Q83+Q84+Q85+Q86+Q87, "NA")</f>
        <v>5937.6900000000005</v>
      </c>
      <c r="R88" s="15">
        <f>IFERROR(Q88/Q444, "NA")</f>
        <v>1.3291959111190268E-2</v>
      </c>
      <c r="S88" s="2"/>
      <c r="T88" s="14">
        <f>IFERROR(T75+T76+T77+T78+T79+T80+T81+T82+T83+T84+T85+T86+T87, "NA")</f>
        <v>8148.63</v>
      </c>
      <c r="U88" s="15">
        <f>IFERROR(T88/T444, "NA")</f>
        <v>1.6999984269762968E-2</v>
      </c>
      <c r="V88" s="2"/>
      <c r="W88" s="14">
        <f t="shared" si="22"/>
        <v>-2210.9399999999996</v>
      </c>
      <c r="X88" s="15">
        <f>IFERROR(W88/W444, "NA")</f>
        <v>6.7781385457233251E-2</v>
      </c>
      <c r="Y88" s="2"/>
      <c r="Z88" s="14">
        <f>IFERROR(Z75+Z76+Z77+Z78+Z79+Z80+Z81+Z82+Z83+Z84+Z85+Z86+Z87, "NA")</f>
        <v>7714.87</v>
      </c>
      <c r="AA88" s="15">
        <f>IFERROR(Z88/Z444, "NA")</f>
        <v>1.868074161784147E-2</v>
      </c>
      <c r="AB88" s="2"/>
      <c r="AC88" s="14">
        <f t="shared" si="23"/>
        <v>-1777.1799999999994</v>
      </c>
      <c r="AD88" s="15">
        <f>IFERROR(AC88/AC444, "NA")</f>
        <v>-5.2691969691399269E-2</v>
      </c>
    </row>
    <row r="89" spans="1:30" ht="16.5" customHeight="1" x14ac:dyDescent="0.45">
      <c r="A89" s="6" t="s">
        <v>85</v>
      </c>
      <c r="B89" s="7">
        <v>-16.91</v>
      </c>
      <c r="C89" s="8">
        <f>IFERROR(B89/B444, "NA")</f>
        <v>-1.9525129453571184E-4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-16.91</v>
      </c>
      <c r="I89" s="8">
        <f>IFERROR(H89/H444, "NA")</f>
        <v>5.7066511339564643E-4</v>
      </c>
      <c r="J89" s="9"/>
      <c r="K89" s="7">
        <v>-99.76</v>
      </c>
      <c r="L89" s="8">
        <f>IFERROR(K89/K444, "NA")</f>
        <v>-9.8697130600562547E-4</v>
      </c>
      <c r="M89" s="9"/>
      <c r="N89" s="10">
        <f t="shared" si="21"/>
        <v>82.850000000000009</v>
      </c>
      <c r="O89" s="8">
        <f>IFERROR(N89/N444, "NA")</f>
        <v>-5.7254176756117263E-3</v>
      </c>
      <c r="P89" s="9"/>
      <c r="Q89" s="7">
        <v>-126.63</v>
      </c>
      <c r="R89" s="8">
        <f>IFERROR(Q89/Q444, "NA")</f>
        <v>-2.8347063963427249E-4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-126.63</v>
      </c>
      <c r="X89" s="8">
        <f>IFERROR(W89/W444, "NA")</f>
        <v>3.8821301529889762E-3</v>
      </c>
      <c r="Y89" s="9"/>
      <c r="Z89" s="7">
        <v>916.6</v>
      </c>
      <c r="AA89" s="8">
        <f>IFERROR(Z89/Z444, "NA")</f>
        <v>2.2194499410765822E-3</v>
      </c>
      <c r="AB89" s="9"/>
      <c r="AC89" s="10">
        <f t="shared" si="23"/>
        <v>-1043.23</v>
      </c>
      <c r="AD89" s="8">
        <f>IFERROR(AC89/AC444, "NA")</f>
        <v>-3.0930937519642623E-2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-4068.35</v>
      </c>
      <c r="F94" s="8">
        <f>IFERROR(E94/E444, "NA")</f>
        <v>-3.5000042584883505E-2</v>
      </c>
      <c r="G94" s="9"/>
      <c r="H94" s="10">
        <f t="shared" ref="H94:H124" si="24">IFERROR(B94-E94, "NA")</f>
        <v>4068.35</v>
      </c>
      <c r="I94" s="8">
        <f>IFERROR(H94/H444, "NA")</f>
        <v>-0.13729541183224001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-16776.61</v>
      </c>
      <c r="U94" s="8">
        <f>IFERROR(T94/T444, "NA")</f>
        <v>-3.5000006884586501E-2</v>
      </c>
      <c r="V94" s="9"/>
      <c r="W94" s="10">
        <f t="shared" ref="W94:W124" si="26">IFERROR(Q94-T94, "NA")</f>
        <v>16776.61</v>
      </c>
      <c r="X94" s="8">
        <f>IFERROR(W94/W444, "NA")</f>
        <v>-0.51432506946171042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-1748.15</v>
      </c>
      <c r="C96" s="8">
        <f>IFERROR(B96/B444, "NA")</f>
        <v>-2.0185011859408908E-2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-1748.15</v>
      </c>
      <c r="I96" s="8">
        <f>IFERROR(H96/H444, "NA")</f>
        <v>5.899516368909518E-2</v>
      </c>
      <c r="J96" s="9"/>
      <c r="K96" s="7">
        <v>-103.95</v>
      </c>
      <c r="L96" s="8">
        <f>IFERROR(K96/K444, "NA")</f>
        <v>-1.0284248923344505E-3</v>
      </c>
      <c r="M96" s="9"/>
      <c r="N96" s="10">
        <f t="shared" si="25"/>
        <v>-1644.2</v>
      </c>
      <c r="O96" s="8">
        <f>IFERROR(N96/N444, "NA")</f>
        <v>0.11362379894074592</v>
      </c>
      <c r="P96" s="9"/>
      <c r="Q96" s="7">
        <v>-8966.2999999999993</v>
      </c>
      <c r="R96" s="8">
        <f>IFERROR(Q96/Q444, "NA")</f>
        <v>-2.0071727048509652E-2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-8966.2999999999993</v>
      </c>
      <c r="X96" s="8">
        <f>IFERROR(W96/W444, "NA")</f>
        <v>0.27488228374591372</v>
      </c>
      <c r="Y96" s="9"/>
      <c r="Z96" s="7">
        <v>-455.08</v>
      </c>
      <c r="AA96" s="8">
        <f>IFERROR(Z96/Z444, "NA")</f>
        <v>-1.1019280811533176E-3</v>
      </c>
      <c r="AB96" s="9"/>
      <c r="AC96" s="10">
        <f t="shared" si="27"/>
        <v>-8511.2199999999993</v>
      </c>
      <c r="AD96" s="8">
        <f>IFERROR(AC96/AC444, "NA")</f>
        <v>-0.25235088526588828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-1363.06</v>
      </c>
      <c r="C98" s="8">
        <f>IFERROR(B98/B444, "NA")</f>
        <v>-1.5738570640440413E-2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-1363.06</v>
      </c>
      <c r="I98" s="8">
        <f>IFERROR(H98/H444, "NA")</f>
        <v>4.5999455320228852E-2</v>
      </c>
      <c r="J98" s="9"/>
      <c r="K98" s="7">
        <v>-1230.21</v>
      </c>
      <c r="L98" s="8">
        <f>IFERROR(K98/K444, "NA")</f>
        <v>-1.2171030176034287E-2</v>
      </c>
      <c r="M98" s="9"/>
      <c r="N98" s="10">
        <f t="shared" si="25"/>
        <v>-132.84999999999991</v>
      </c>
      <c r="O98" s="8">
        <f>IFERROR(N98/N444, "NA")</f>
        <v>9.1807089704890425E-3</v>
      </c>
      <c r="P98" s="9"/>
      <c r="Q98" s="7">
        <v>-7433.25</v>
      </c>
      <c r="R98" s="8">
        <f>IFERROR(Q98/Q444, "NA")</f>
        <v>-1.6639881008145434E-2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-7433.25</v>
      </c>
      <c r="X98" s="8">
        <f>IFERROR(W98/W444, "NA")</f>
        <v>0.22788315533211173</v>
      </c>
      <c r="Y98" s="9"/>
      <c r="Z98" s="7">
        <v>-6311.98</v>
      </c>
      <c r="AA98" s="8">
        <f>IFERROR(Z98/Z444, "NA")</f>
        <v>-1.5283791882038582E-2</v>
      </c>
      <c r="AB98" s="9"/>
      <c r="AC98" s="10">
        <f t="shared" si="27"/>
        <v>-1121.2700000000004</v>
      </c>
      <c r="AD98" s="8">
        <f>IFERROR(AC98/AC444, "NA")</f>
        <v>-3.3244761282411064E-2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-713.2</v>
      </c>
      <c r="C100" s="8">
        <f>IFERROR(B100/B444, "NA")</f>
        <v>-8.2349629368935352E-3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-713.2</v>
      </c>
      <c r="I100" s="8">
        <f>IFERROR(H100/H444, "NA")</f>
        <v>2.4068501411814019E-2</v>
      </c>
      <c r="J100" s="9"/>
      <c r="K100" s="7">
        <v>-21.55</v>
      </c>
      <c r="L100" s="8">
        <f>IFERROR(K100/K444, "NA")</f>
        <v>-2.1320400605875331E-4</v>
      </c>
      <c r="M100" s="9"/>
      <c r="N100" s="10">
        <f t="shared" si="25"/>
        <v>-691.65000000000009</v>
      </c>
      <c r="O100" s="8">
        <f>IFERROR(N100/N444, "NA")</f>
        <v>4.7797044482038024E-2</v>
      </c>
      <c r="P100" s="9"/>
      <c r="Q100" s="7">
        <v>-1754.02</v>
      </c>
      <c r="R100" s="8">
        <f>IFERROR(Q100/Q444, "NA")</f>
        <v>-3.9265037615992E-3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-1754.02</v>
      </c>
      <c r="X100" s="8">
        <f>IFERROR(W100/W444, "NA")</f>
        <v>5.3773465457993559E-2</v>
      </c>
      <c r="Y100" s="9"/>
      <c r="Z100" s="7">
        <v>-4327.6000000000004</v>
      </c>
      <c r="AA100" s="8">
        <f>IFERROR(Z100/Z444, "NA")</f>
        <v>-1.0478825621866701E-2</v>
      </c>
      <c r="AB100" s="9"/>
      <c r="AC100" s="10">
        <f t="shared" si="27"/>
        <v>2573.5800000000004</v>
      </c>
      <c r="AD100" s="8">
        <f>IFERROR(AC100/AC444, "NA")</f>
        <v>7.6304594559015629E-2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-696.85</v>
      </c>
      <c r="C102" s="8">
        <f>IFERROR(B102/B444, "NA")</f>
        <v>-8.0461776816801184E-3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-696.85</v>
      </c>
      <c r="I102" s="8">
        <f>IFERROR(H102/H444, "NA")</f>
        <v>2.3516734729139933E-2</v>
      </c>
      <c r="J102" s="9"/>
      <c r="K102" s="7">
        <v>-132.69999999999999</v>
      </c>
      <c r="L102" s="8">
        <f>IFERROR(K102/K444, "NA")</f>
        <v>-1.3128617913687498E-3</v>
      </c>
      <c r="M102" s="9"/>
      <c r="N102" s="10">
        <f t="shared" si="25"/>
        <v>-564.15000000000009</v>
      </c>
      <c r="O102" s="8">
        <f>IFERROR(N102/N444, "NA")</f>
        <v>3.8986051680100851E-2</v>
      </c>
      <c r="P102" s="9"/>
      <c r="Q102" s="7">
        <v>-3554.6</v>
      </c>
      <c r="R102" s="8">
        <f>IFERROR(Q102/Q444, "NA")</f>
        <v>-7.9572355337912421E-3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-3554.6</v>
      </c>
      <c r="X102" s="8">
        <f>IFERROR(W102/W444, "NA")</f>
        <v>0.10897433342663361</v>
      </c>
      <c r="Y102" s="9"/>
      <c r="Z102" s="7">
        <v>-1367.7</v>
      </c>
      <c r="AA102" s="8">
        <f>IFERROR(Z102/Z444, "NA")</f>
        <v>-3.3117408732385354E-3</v>
      </c>
      <c r="AB102" s="9"/>
      <c r="AC102" s="10">
        <f t="shared" si="27"/>
        <v>-2186.8999999999996</v>
      </c>
      <c r="AD102" s="8">
        <f>IFERROR(AC102/AC444, "NA")</f>
        <v>-6.4839840937958498E-2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-531.22</v>
      </c>
      <c r="C104" s="8">
        <f>IFERROR(B104/B444, "NA")</f>
        <v>-6.133731087123645E-3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-531.22</v>
      </c>
      <c r="I104" s="8">
        <f>IFERROR(H104/H444, "NA")</f>
        <v>1.79271863712617E-2</v>
      </c>
      <c r="J104" s="9"/>
      <c r="K104" s="7">
        <v>-383.32</v>
      </c>
      <c r="L104" s="8">
        <f>IFERROR(K104/K444, "NA")</f>
        <v>-3.7923600743592256E-3</v>
      </c>
      <c r="M104" s="9"/>
      <c r="N104" s="10">
        <f t="shared" si="25"/>
        <v>-147.90000000000003</v>
      </c>
      <c r="O104" s="8">
        <f>IFERROR(N104/N444, "NA")</f>
        <v>1.0220751650247127E-2</v>
      </c>
      <c r="P104" s="9"/>
      <c r="Q104" s="7">
        <v>-2550.16</v>
      </c>
      <c r="R104" s="8">
        <f>IFERROR(Q104/Q444, "NA")</f>
        <v>-5.7087221540688335E-3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-2550.16</v>
      </c>
      <c r="X104" s="8">
        <f>IFERROR(W104/W444, "NA")</f>
        <v>7.8180944728313731E-2</v>
      </c>
      <c r="Y104" s="9"/>
      <c r="Z104" s="7">
        <v>-3438.44</v>
      </c>
      <c r="AA104" s="8">
        <f>IFERROR(Z104/Z444, "NA")</f>
        <v>-8.3258187381577177E-3</v>
      </c>
      <c r="AB104" s="9"/>
      <c r="AC104" s="10">
        <f t="shared" si="27"/>
        <v>888.2800000000002</v>
      </c>
      <c r="AD104" s="8">
        <f>IFERROR(AC104/AC444, "NA")</f>
        <v>2.6336793592925966E-2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-62.25</v>
      </c>
      <c r="C106" s="8">
        <f>IFERROR(B106/B444, "NA")</f>
        <v>-7.187695496657635E-4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-62.25</v>
      </c>
      <c r="I106" s="8">
        <f>IFERROR(H106/H444, "NA")</f>
        <v>2.1007630578875809E-3</v>
      </c>
      <c r="J106" s="9"/>
      <c r="K106" s="7">
        <v>0</v>
      </c>
      <c r="L106" s="8">
        <f>IFERROR(K106/K444, "NA")</f>
        <v>0</v>
      </c>
      <c r="M106" s="9"/>
      <c r="N106" s="10">
        <f t="shared" si="25"/>
        <v>-62.25</v>
      </c>
      <c r="O106" s="8">
        <f>IFERROR(N106/N444, "NA")</f>
        <v>4.3018376621222687E-3</v>
      </c>
      <c r="P106" s="9"/>
      <c r="Q106" s="7">
        <v>-62.25</v>
      </c>
      <c r="R106" s="8">
        <f>IFERROR(Q106/Q444, "NA")</f>
        <v>-1.3935123838927161E-4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-62.25</v>
      </c>
      <c r="X106" s="8">
        <f>IFERROR(W106/W444, "NA")</f>
        <v>1.9084150834996745E-3</v>
      </c>
      <c r="Y106" s="9"/>
      <c r="Z106" s="7">
        <v>-713.04</v>
      </c>
      <c r="AA106" s="8">
        <f>IFERROR(Z106/Z444, "NA")</f>
        <v>-1.7265509338700044E-3</v>
      </c>
      <c r="AB106" s="9"/>
      <c r="AC106" s="10">
        <f t="shared" si="27"/>
        <v>650.79</v>
      </c>
      <c r="AD106" s="8">
        <f>IFERROR(AC106/AC444, "NA")</f>
        <v>1.9295404492209983E-2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-5</v>
      </c>
      <c r="L108" s="8">
        <f>IFERROR(K108/K444, "NA")</f>
        <v>-4.9467286788573852E-5</v>
      </c>
      <c r="M108" s="9"/>
      <c r="N108" s="10">
        <f t="shared" si="25"/>
        <v>5</v>
      </c>
      <c r="O108" s="8">
        <f>IFERROR(N108/N444, "NA")</f>
        <v>-3.455291294877324E-4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-35</v>
      </c>
      <c r="AA108" s="8">
        <f>IFERROR(Z108/Z444, "NA")</f>
        <v>-8.4748797662754068E-5</v>
      </c>
      <c r="AB108" s="9"/>
      <c r="AC108" s="10">
        <f t="shared" si="27"/>
        <v>35</v>
      </c>
      <c r="AD108" s="8">
        <f>IFERROR(AC108/AC444, "NA")</f>
        <v>1.0377220873512953E-3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-5114.7300000000005</v>
      </c>
      <c r="C118" s="15">
        <f>IFERROR(B118/B444, "NA")</f>
        <v>-5.9057223755212385E-2</v>
      </c>
      <c r="D118" s="2"/>
      <c r="E118" s="14">
        <f>IFERROR(E94+E95+E96+E97+E98+E99+E100+E101+E102+E103+E104+E105+E106+E107+E108+E109+E110+E111+E112+E113+E114+E115+E116+E117, "NA")</f>
        <v>-4068.35</v>
      </c>
      <c r="F118" s="15">
        <f>IFERROR(E118/E444, "NA")</f>
        <v>-3.5000042584883505E-2</v>
      </c>
      <c r="G118" s="2"/>
      <c r="H118" s="14">
        <f t="shared" si="24"/>
        <v>-1046.3800000000006</v>
      </c>
      <c r="I118" s="15">
        <f>IFERROR(H118/H444, "NA")</f>
        <v>3.5312392747187275E-2</v>
      </c>
      <c r="J118" s="2"/>
      <c r="K118" s="14">
        <f>IFERROR(K94+K95+K96+K97+K98+K99+K100+K101+K102+K103+K104+K105+K106+K107+K108+K109+K110+K111+K112+K113+K114+K115+K116+K117, "NA")</f>
        <v>-1876.73</v>
      </c>
      <c r="L118" s="15">
        <f>IFERROR(K118/K444, "NA")</f>
        <v>-1.8567348226944041E-2</v>
      </c>
      <c r="M118" s="2"/>
      <c r="N118" s="14">
        <f t="shared" si="25"/>
        <v>-3238.0000000000005</v>
      </c>
      <c r="O118" s="15">
        <f>IFERROR(N118/N444, "NA")</f>
        <v>0.22376466425625552</v>
      </c>
      <c r="P118" s="2"/>
      <c r="Q118" s="14">
        <f>IFERROR(Q94+Q95+Q96+Q97+Q98+Q99+Q100+Q101+Q102+Q103+Q104+Q105+Q106+Q107+Q108+Q109+Q110+Q111+Q112+Q113+Q114+Q115+Q116+Q117, "NA")</f>
        <v>-24320.579999999998</v>
      </c>
      <c r="R118" s="15">
        <f>IFERROR(Q118/Q444, "NA")</f>
        <v>-5.4443420744503632E-2</v>
      </c>
      <c r="S118" s="2"/>
      <c r="T118" s="14">
        <f>IFERROR(T94+T95+T96+T97+T98+T99+T100+T101+T102+T103+T104+T105+T106+T107+T108+T109+T110+T111+T112+T113+T114+T115+T116+T117, "NA")</f>
        <v>-16776.61</v>
      </c>
      <c r="U118" s="15">
        <f>IFERROR(T118/T444, "NA")</f>
        <v>-3.5000006884586501E-2</v>
      </c>
      <c r="V118" s="2"/>
      <c r="W118" s="14">
        <f t="shared" si="26"/>
        <v>-7543.9699999999975</v>
      </c>
      <c r="X118" s="15">
        <f>IFERROR(W118/W444, "NA")</f>
        <v>0.23127752831275558</v>
      </c>
      <c r="Y118" s="2"/>
      <c r="Z118" s="14">
        <f>IFERROR(Z94+Z95+Z96+Z97+Z98+Z99+Z100+Z101+Z102+Z103+Z104+Z105+Z106+Z107+Z108+Z109+Z110+Z111+Z112+Z113+Z114+Z115+Z116+Z117, "NA")</f>
        <v>-16648.84</v>
      </c>
      <c r="AA118" s="15">
        <f>IFERROR(Z118/Z444, "NA")</f>
        <v>-4.0313404927987614E-2</v>
      </c>
      <c r="AB118" s="2"/>
      <c r="AC118" s="14">
        <f t="shared" si="27"/>
        <v>-7671.739999999998</v>
      </c>
      <c r="AD118" s="15">
        <f>IFERROR(AC118/AC444, "NA")</f>
        <v>-0.22746097275475496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86606.340000000011</v>
      </c>
      <c r="C122" s="15">
        <f>IFERROR(B122/B444, "NA")</f>
        <v>1.0000000000000002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116238.43000000001</v>
      </c>
      <c r="F122" s="15">
        <f>IFERROR(E122/E444, "NA")</f>
        <v>1.0000000000000002</v>
      </c>
      <c r="G122" s="2"/>
      <c r="H122" s="14">
        <f t="shared" si="24"/>
        <v>-29632.089999999997</v>
      </c>
      <c r="I122" s="15">
        <f>IFERROR(H122/H444, "NA")</f>
        <v>1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101076.9</v>
      </c>
      <c r="L122" s="15">
        <f>IFERROR(K122/K444, "NA")</f>
        <v>1</v>
      </c>
      <c r="M122" s="2"/>
      <c r="N122" s="14">
        <f t="shared" si="25"/>
        <v>-14470.559999999983</v>
      </c>
      <c r="O122" s="15">
        <f>IFERROR(N122/N444, "NA")</f>
        <v>0.999999999999999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446712.93000000005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479331.62000000005</v>
      </c>
      <c r="U122" s="15">
        <f>IFERROR(T122/T444, "NA")</f>
        <v>1.0000000000000002</v>
      </c>
      <c r="V122" s="2"/>
      <c r="W122" s="14">
        <f t="shared" si="26"/>
        <v>-32618.690000000002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412985.21000000008</v>
      </c>
      <c r="AA122" s="15">
        <f>IFERROR(Z122/Z444, "NA")</f>
        <v>1.0000000000000002</v>
      </c>
      <c r="AB122" s="2"/>
      <c r="AC122" s="14">
        <f t="shared" si="27"/>
        <v>33727.719999999972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86606.340000000011</v>
      </c>
      <c r="C124" s="15">
        <f>IFERROR(B124/B444, "NA")</f>
        <v>1.0000000000000002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116238.43000000001</v>
      </c>
      <c r="F124" s="15">
        <f>IFERROR(E124/E444, "NA")</f>
        <v>1.0000000000000002</v>
      </c>
      <c r="G124" s="2"/>
      <c r="H124" s="14">
        <f t="shared" si="24"/>
        <v>-29632.089999999997</v>
      </c>
      <c r="I124" s="15">
        <f>IFERROR(H124/H444, "NA")</f>
        <v>1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101076.9</v>
      </c>
      <c r="L124" s="15">
        <f>IFERROR(K124/K444, "NA")</f>
        <v>1</v>
      </c>
      <c r="M124" s="2"/>
      <c r="N124" s="14">
        <f t="shared" si="25"/>
        <v>-14470.559999999983</v>
      </c>
      <c r="O124" s="15">
        <f>IFERROR(N124/N444, "NA")</f>
        <v>0.999999999999999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446712.93000000005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479331.62000000005</v>
      </c>
      <c r="U124" s="15">
        <f>IFERROR(T124/T444, "NA")</f>
        <v>1.0000000000000002</v>
      </c>
      <c r="V124" s="2"/>
      <c r="W124" s="14">
        <f t="shared" si="26"/>
        <v>-32618.690000000002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412985.21000000008</v>
      </c>
      <c r="AA124" s="15">
        <f>IFERROR(Z124/Z444, "NA")</f>
        <v>1.0000000000000002</v>
      </c>
      <c r="AB124" s="2"/>
      <c r="AC124" s="14">
        <f t="shared" si="27"/>
        <v>33727.719999999972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25804.93</v>
      </c>
      <c r="F129" s="8">
        <f>IFERROR(E129/E444, "NA")</f>
        <v>0.22199998743961014</v>
      </c>
      <c r="G129" s="9"/>
      <c r="H129" s="10">
        <f t="shared" ref="H129:H141" si="28">IFERROR(-(B129-E129), "NA")</f>
        <v>25804.93</v>
      </c>
      <c r="I129" s="8">
        <f>IFERROR(H129/H444, "NA")</f>
        <v>-0.87084407478514014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109149.18</v>
      </c>
      <c r="U129" s="8">
        <f>IFERROR(T129/T444, "NA")</f>
        <v>0.22771120336271578</v>
      </c>
      <c r="V129" s="9"/>
      <c r="W129" s="10">
        <f t="shared" ref="W129:W141" si="30">IFERROR(-(Q129-T129), "NA")</f>
        <v>109149.18</v>
      </c>
      <c r="X129" s="8">
        <f>IFERROR(W129/W444, "NA")</f>
        <v>-3.3462159271264413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4533.51</v>
      </c>
      <c r="C130" s="8">
        <f>IFERROR(B130/B444, "NA")</f>
        <v>5.2346167728598167E-2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-4533.51</v>
      </c>
      <c r="I130" s="8">
        <f>IFERROR(H130/H444, "NA")</f>
        <v>0.15299325832231209</v>
      </c>
      <c r="J130" s="9"/>
      <c r="K130" s="7">
        <v>5798.1</v>
      </c>
      <c r="L130" s="8">
        <f>IFERROR(K130/K444, "NA")</f>
        <v>5.7363255105766016E-2</v>
      </c>
      <c r="M130" s="9"/>
      <c r="N130" s="10">
        <f t="shared" si="29"/>
        <v>1264.5900000000001</v>
      </c>
      <c r="O130" s="8">
        <f>IFERROR(N130/N444, "NA")</f>
        <v>-8.7390536371778307E-2</v>
      </c>
      <c r="P130" s="9"/>
      <c r="Q130" s="7">
        <v>24101.87</v>
      </c>
      <c r="R130" s="8">
        <f>IFERROR(Q130/Q444, "NA")</f>
        <v>5.3953822200758769E-2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-24101.87</v>
      </c>
      <c r="X130" s="8">
        <f>IFERROR(W130/W444, "NA")</f>
        <v>0.73889754616141845</v>
      </c>
      <c r="Y130" s="9"/>
      <c r="Z130" s="7">
        <v>23791.93</v>
      </c>
      <c r="AA130" s="8">
        <f>IFERROR(Z130/Z444, "NA")</f>
        <v>5.7609641759325952E-2</v>
      </c>
      <c r="AB130" s="9"/>
      <c r="AC130" s="10">
        <f t="shared" si="31"/>
        <v>-309.93999999999869</v>
      </c>
      <c r="AD130" s="8">
        <f>IFERROR(AC130/AC444, "NA")</f>
        <v>-9.1894738215331177E-3</v>
      </c>
    </row>
    <row r="131" spans="1:30" ht="16.5" customHeight="1" x14ac:dyDescent="0.45">
      <c r="A131" s="12" t="s">
        <v>123</v>
      </c>
      <c r="B131" s="7">
        <v>3031.76</v>
      </c>
      <c r="C131" s="8">
        <f>IFERROR(B131/B444, "NA")</f>
        <v>3.50062131709988E-2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-3031.76</v>
      </c>
      <c r="I131" s="8">
        <f>IFERROR(H131/H444, "NA")</f>
        <v>0.10231340415070285</v>
      </c>
      <c r="J131" s="9"/>
      <c r="K131" s="7">
        <v>1881.26</v>
      </c>
      <c r="L131" s="8">
        <f>IFERROR(K131/K444, "NA")</f>
        <v>1.8612165588774487E-2</v>
      </c>
      <c r="M131" s="9"/>
      <c r="N131" s="10">
        <f t="shared" si="29"/>
        <v>-1150.5000000000002</v>
      </c>
      <c r="O131" s="8">
        <f>IFERROR(N131/N444, "NA")</f>
        <v>7.9506252695127233E-2</v>
      </c>
      <c r="P131" s="9"/>
      <c r="Q131" s="7">
        <v>13540.91</v>
      </c>
      <c r="R131" s="8">
        <f>IFERROR(Q131/Q444, "NA")</f>
        <v>3.0312330560926453E-2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-13540.91</v>
      </c>
      <c r="X131" s="8">
        <f>IFERROR(W131/W444, "NA")</f>
        <v>0.41512733957127029</v>
      </c>
      <c r="Y131" s="9"/>
      <c r="Z131" s="7">
        <v>10912.53</v>
      </c>
      <c r="AA131" s="8">
        <f>IFERROR(Z131/Z444, "NA")</f>
        <v>2.6423537055963821E-2</v>
      </c>
      <c r="AB131" s="9"/>
      <c r="AC131" s="10">
        <f t="shared" si="31"/>
        <v>-2628.3799999999992</v>
      </c>
      <c r="AD131" s="8">
        <f>IFERROR(AC131/AC444, "NA")</f>
        <v>-7.7929370855782762E-2</v>
      </c>
    </row>
    <row r="132" spans="1:30" ht="16.5" customHeight="1" x14ac:dyDescent="0.45">
      <c r="A132" s="12" t="s">
        <v>124</v>
      </c>
      <c r="B132" s="7">
        <v>4074.8</v>
      </c>
      <c r="C132" s="8">
        <f>IFERROR(B132/B444, "NA")</f>
        <v>4.7049673268723752E-2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-4074.8</v>
      </c>
      <c r="I132" s="8">
        <f>IFERROR(H132/H444, "NA")</f>
        <v>0.1375130812575151</v>
      </c>
      <c r="J132" s="9"/>
      <c r="K132" s="7">
        <v>3557.32</v>
      </c>
      <c r="L132" s="8">
        <f>IFERROR(K132/K444, "NA")</f>
        <v>3.5194193727745911E-2</v>
      </c>
      <c r="M132" s="9"/>
      <c r="N132" s="10">
        <f t="shared" si="29"/>
        <v>-517.48</v>
      </c>
      <c r="O132" s="8">
        <f>IFERROR(N132/N444, "NA")</f>
        <v>3.5760882785462356E-2</v>
      </c>
      <c r="P132" s="9"/>
      <c r="Q132" s="7">
        <v>17285.939999999999</v>
      </c>
      <c r="R132" s="8">
        <f>IFERROR(Q132/Q444, "NA")</f>
        <v>3.8695857762612779E-2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-17285.939999999999</v>
      </c>
      <c r="X132" s="8">
        <f>IFERROR(W132/W444, "NA")</f>
        <v>0.52993973700353991</v>
      </c>
      <c r="Y132" s="9"/>
      <c r="Z132" s="7">
        <v>13531.19</v>
      </c>
      <c r="AA132" s="8">
        <f>IFERROR(Z132/Z444, "NA")</f>
        <v>3.2764345241322324E-2</v>
      </c>
      <c r="AB132" s="9"/>
      <c r="AC132" s="10">
        <f t="shared" si="31"/>
        <v>-3754.7499999999982</v>
      </c>
      <c r="AD132" s="8">
        <f>IFERROR(AC132/AC444, "NA")</f>
        <v>-0.11132534307092212</v>
      </c>
    </row>
    <row r="133" spans="1:30" ht="16.5" customHeight="1" x14ac:dyDescent="0.45">
      <c r="A133" s="12" t="s">
        <v>125</v>
      </c>
      <c r="B133" s="7">
        <v>2224.4899999999998</v>
      </c>
      <c r="C133" s="8">
        <f>IFERROR(B133/B444, "NA")</f>
        <v>2.5685071092947698E-2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-2224.4899999999998</v>
      </c>
      <c r="I133" s="8">
        <f>IFERROR(H133/H444, "NA")</f>
        <v>7.5070303849644082E-2</v>
      </c>
      <c r="J133" s="9"/>
      <c r="K133" s="7">
        <v>2191.9499999999998</v>
      </c>
      <c r="L133" s="8">
        <f>IFERROR(K133/K444, "NA")</f>
        <v>2.1685963855242889E-2</v>
      </c>
      <c r="M133" s="9"/>
      <c r="N133" s="10">
        <f t="shared" si="29"/>
        <v>-32.539999999999964</v>
      </c>
      <c r="O133" s="8">
        <f>IFERROR(N133/N444, "NA")</f>
        <v>2.2487035747061597E-3</v>
      </c>
      <c r="P133" s="9"/>
      <c r="Q133" s="7">
        <v>10604.67</v>
      </c>
      <c r="R133" s="8">
        <f>IFERROR(Q133/Q444, "NA")</f>
        <v>2.3739339714209752E-2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-10604.67</v>
      </c>
      <c r="X133" s="8">
        <f>IFERROR(W133/W444, "NA")</f>
        <v>0.32511023588010429</v>
      </c>
      <c r="Y133" s="9"/>
      <c r="Z133" s="7">
        <v>8562.82</v>
      </c>
      <c r="AA133" s="8">
        <f>IFERROR(Z133/Z444, "NA")</f>
        <v>2.0733962845788108E-2</v>
      </c>
      <c r="AB133" s="9"/>
      <c r="AC133" s="10">
        <f t="shared" si="31"/>
        <v>-2041.8500000000004</v>
      </c>
      <c r="AD133" s="8">
        <f>IFERROR(AC133/AC444, "NA")</f>
        <v>-6.0539224115949787E-2</v>
      </c>
    </row>
    <row r="134" spans="1:30" ht="16.5" customHeight="1" x14ac:dyDescent="0.45">
      <c r="A134" s="12" t="s">
        <v>126</v>
      </c>
      <c r="B134" s="7">
        <v>1099.3499999999999</v>
      </c>
      <c r="C134" s="8">
        <f>IFERROR(B134/B444, "NA")</f>
        <v>1.269364344457923E-2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-1099.3499999999999</v>
      </c>
      <c r="I134" s="8">
        <f>IFERROR(H134/H444, "NA")</f>
        <v>3.7099981810260432E-2</v>
      </c>
      <c r="J134" s="9"/>
      <c r="K134" s="7">
        <v>944.08</v>
      </c>
      <c r="L134" s="8">
        <f>IFERROR(K134/K444, "NA")</f>
        <v>9.34021522227136E-3</v>
      </c>
      <c r="M134" s="9"/>
      <c r="N134" s="10">
        <f t="shared" si="29"/>
        <v>-155.26999999999987</v>
      </c>
      <c r="O134" s="8">
        <f>IFERROR(N134/N444, "NA")</f>
        <v>1.0730061587112032E-2</v>
      </c>
      <c r="P134" s="9"/>
      <c r="Q134" s="7">
        <v>3970.27</v>
      </c>
      <c r="R134" s="8">
        <f>IFERROR(Q134/Q444, "NA")</f>
        <v>8.8877436343738694E-3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-3970.27</v>
      </c>
      <c r="X134" s="8">
        <f>IFERROR(W134/W444, "NA")</f>
        <v>0.12171764102114462</v>
      </c>
      <c r="Y134" s="9"/>
      <c r="Z134" s="7">
        <v>4651.9799999999996</v>
      </c>
      <c r="AA134" s="8">
        <f>IFERROR(Z134/Z444, "NA")</f>
        <v>1.1264277478605103E-2</v>
      </c>
      <c r="AB134" s="9"/>
      <c r="AC134" s="10">
        <f t="shared" si="31"/>
        <v>681.70999999999958</v>
      </c>
      <c r="AD134" s="8">
        <f>IFERROR(AC134/AC444, "NA")</f>
        <v>2.0212157833378604E-2</v>
      </c>
    </row>
    <row r="135" spans="1:30" ht="16.5" customHeight="1" x14ac:dyDescent="0.45">
      <c r="A135" s="12" t="s">
        <v>127</v>
      </c>
      <c r="B135" s="7">
        <v>714.19</v>
      </c>
      <c r="C135" s="8">
        <f>IFERROR(B135/B444, "NA")</f>
        <v>8.2463939706954488E-3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-714.19</v>
      </c>
      <c r="I135" s="8">
        <f>IFERROR(H135/H444, "NA")</f>
        <v>2.410191113755392E-2</v>
      </c>
      <c r="J135" s="9"/>
      <c r="K135" s="7">
        <v>797.44</v>
      </c>
      <c r="L135" s="8">
        <f>IFERROR(K135/K444, "NA")</f>
        <v>7.8894386353360671E-3</v>
      </c>
      <c r="M135" s="9"/>
      <c r="N135" s="10">
        <f t="shared" si="29"/>
        <v>83.25</v>
      </c>
      <c r="O135" s="8">
        <f>IFERROR(N135/N444, "NA")</f>
        <v>-5.7530600059707447E-3</v>
      </c>
      <c r="P135" s="9"/>
      <c r="Q135" s="7">
        <v>3820.53</v>
      </c>
      <c r="R135" s="8">
        <f>IFERROR(Q135/Q444, "NA")</f>
        <v>8.5525395470419895E-3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-3820.53</v>
      </c>
      <c r="X135" s="8">
        <f>IFERROR(W135/W444, "NA")</f>
        <v>0.1171270213488034</v>
      </c>
      <c r="Y135" s="9"/>
      <c r="Z135" s="7">
        <v>3755.08</v>
      </c>
      <c r="AA135" s="8">
        <f>IFERROR(Z135/Z444, "NA")</f>
        <v>9.0925290036415578E-3</v>
      </c>
      <c r="AB135" s="9"/>
      <c r="AC135" s="10">
        <f t="shared" si="31"/>
        <v>-65.450000000000273</v>
      </c>
      <c r="AD135" s="8">
        <f>IFERROR(AC135/AC444, "NA")</f>
        <v>-1.9405403033469302E-3</v>
      </c>
    </row>
    <row r="136" spans="1:30" ht="16.5" customHeight="1" x14ac:dyDescent="0.45">
      <c r="A136" s="12" t="s">
        <v>128</v>
      </c>
      <c r="B136" s="7">
        <v>576.29</v>
      </c>
      <c r="C136" s="8">
        <f>IFERROR(B136/B444, "NA")</f>
        <v>6.6541317875804468E-3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-576.29</v>
      </c>
      <c r="I136" s="8">
        <f>IFERROR(H136/H444, "NA")</f>
        <v>1.9448172572370023E-2</v>
      </c>
      <c r="J136" s="9"/>
      <c r="K136" s="7">
        <v>839.81</v>
      </c>
      <c r="L136" s="8">
        <f>IFERROR(K136/K444, "NA")</f>
        <v>8.3086244235824405E-3</v>
      </c>
      <c r="M136" s="9"/>
      <c r="N136" s="10">
        <f t="shared" si="29"/>
        <v>263.52</v>
      </c>
      <c r="O136" s="8">
        <f>IFERROR(N136/N444, "NA")</f>
        <v>-1.8210767240521446E-2</v>
      </c>
      <c r="P136" s="9"/>
      <c r="Q136" s="7">
        <v>3954.02</v>
      </c>
      <c r="R136" s="8">
        <f>IFERROR(Q136/Q444, "NA")</f>
        <v>8.8513668050754658E-3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-3954.02</v>
      </c>
      <c r="X136" s="8">
        <f>IFERROR(W136/W444, "NA")</f>
        <v>0.12121946037685755</v>
      </c>
      <c r="Y136" s="9"/>
      <c r="Z136" s="7">
        <v>3601.83</v>
      </c>
      <c r="AA136" s="8">
        <f>IFERROR(Z136/Z444, "NA")</f>
        <v>8.7214503395896415E-3</v>
      </c>
      <c r="AB136" s="9"/>
      <c r="AC136" s="10">
        <f t="shared" si="31"/>
        <v>-352.19000000000005</v>
      </c>
      <c r="AD136" s="8">
        <f>IFERROR(AC136/AC444, "NA")</f>
        <v>-1.0442152626978649E-2</v>
      </c>
    </row>
    <row r="137" spans="1:30" ht="16.5" customHeight="1" x14ac:dyDescent="0.45">
      <c r="A137" s="12" t="s">
        <v>129</v>
      </c>
      <c r="B137" s="7">
        <v>678.43</v>
      </c>
      <c r="C137" s="8">
        <f>IFERROR(B137/B444, "NA")</f>
        <v>7.8334911739717898E-3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-678.43</v>
      </c>
      <c r="I137" s="8">
        <f>IFERROR(H137/H444, "NA")</f>
        <v>2.2895111347191507E-2</v>
      </c>
      <c r="J137" s="9"/>
      <c r="K137" s="7">
        <v>365.07</v>
      </c>
      <c r="L137" s="8">
        <f>IFERROR(K137/K444, "NA")</f>
        <v>3.6118044775809311E-3</v>
      </c>
      <c r="M137" s="9"/>
      <c r="N137" s="10">
        <f t="shared" si="29"/>
        <v>-313.35999999999996</v>
      </c>
      <c r="O137" s="8">
        <f>IFERROR(N137/N444, "NA")</f>
        <v>2.1655001603255161E-2</v>
      </c>
      <c r="P137" s="9"/>
      <c r="Q137" s="7">
        <v>2532.67</v>
      </c>
      <c r="R137" s="8">
        <f>IFERROR(Q137/Q444, "NA")</f>
        <v>5.6695694928731973E-3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-2532.67</v>
      </c>
      <c r="X137" s="8">
        <f>IFERROR(W137/W444, "NA")</f>
        <v>7.764474906870876E-2</v>
      </c>
      <c r="Y137" s="9"/>
      <c r="Z137" s="7">
        <v>1807.92</v>
      </c>
      <c r="AA137" s="8">
        <f>IFERROR(Z137/Z444, "NA")</f>
        <v>4.3776870362984667E-3</v>
      </c>
      <c r="AB137" s="9"/>
      <c r="AC137" s="10">
        <f t="shared" si="31"/>
        <v>-724.75</v>
      </c>
      <c r="AD137" s="8">
        <f>IFERROR(AC137/AC444, "NA")</f>
        <v>-2.1488259508795751E-2</v>
      </c>
    </row>
    <row r="138" spans="1:30" ht="16.5" customHeight="1" x14ac:dyDescent="0.45">
      <c r="A138" s="12" t="s">
        <v>130</v>
      </c>
      <c r="B138" s="7">
        <v>4800.21</v>
      </c>
      <c r="C138" s="8">
        <f>IFERROR(B138/B444, "NA")</f>
        <v>5.5425618955840882E-2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-4800.21</v>
      </c>
      <c r="I138" s="8">
        <f>IFERROR(H138/H444, "NA")</f>
        <v>0.16199363595345453</v>
      </c>
      <c r="J138" s="9"/>
      <c r="K138" s="7">
        <v>4488.43</v>
      </c>
      <c r="L138" s="8">
        <f>IFERROR(K138/K444, "NA")</f>
        <v>4.440609080808771E-2</v>
      </c>
      <c r="M138" s="9"/>
      <c r="N138" s="10">
        <f t="shared" si="29"/>
        <v>-311.77999999999975</v>
      </c>
      <c r="O138" s="8">
        <f>IFERROR(N138/N444, "NA")</f>
        <v>2.1545814398337023E-2</v>
      </c>
      <c r="P138" s="9"/>
      <c r="Q138" s="7">
        <v>24962.76</v>
      </c>
      <c r="R138" s="8">
        <f>IFERROR(Q138/Q444, "NA")</f>
        <v>5.5880988266894353E-2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-24962.76</v>
      </c>
      <c r="X138" s="8">
        <f>IFERROR(W138/W444, "NA")</f>
        <v>0.76529008369128237</v>
      </c>
      <c r="Y138" s="9"/>
      <c r="Z138" s="7">
        <v>18779.72</v>
      </c>
      <c r="AA138" s="8">
        <f>IFERROR(Z138/Z444, "NA")</f>
        <v>4.5473105441233598E-2</v>
      </c>
      <c r="AB138" s="9"/>
      <c r="AC138" s="10">
        <f t="shared" si="31"/>
        <v>-6183.0399999999972</v>
      </c>
      <c r="AD138" s="8">
        <f>IFERROR(AC138/AC444, "NA")</f>
        <v>-0.18332220499933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40.590000000000003</v>
      </c>
      <c r="L140" s="8">
        <f>IFERROR(K140/K444, "NA")</f>
        <v>4.0157543414964255E-4</v>
      </c>
      <c r="M140" s="9"/>
      <c r="N140" s="10">
        <f t="shared" si="29"/>
        <v>40.590000000000003</v>
      </c>
      <c r="O140" s="8">
        <f>IFERROR(N140/N444, "NA")</f>
        <v>-2.8050054731814118E-3</v>
      </c>
      <c r="P140" s="9"/>
      <c r="Q140" s="7">
        <v>71.56</v>
      </c>
      <c r="R140" s="8">
        <f>IFERROR(Q140/Q444, "NA")</f>
        <v>1.601923633596189E-4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-71.56</v>
      </c>
      <c r="X140" s="8">
        <f>IFERROR(W140/W444, "NA")</f>
        <v>2.1938342710881398E-3</v>
      </c>
      <c r="Y140" s="9"/>
      <c r="Z140" s="7">
        <v>106.92</v>
      </c>
      <c r="AA140" s="8">
        <f>IFERROR(Z140/Z444, "NA")</f>
        <v>2.5889546988861899E-4</v>
      </c>
      <c r="AB140" s="9"/>
      <c r="AC140" s="10">
        <f t="shared" si="31"/>
        <v>35.36</v>
      </c>
      <c r="AD140" s="8">
        <f>IFERROR(AC140/AC444, "NA")</f>
        <v>1.0483958002497657E-3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21733.03</v>
      </c>
      <c r="C141" s="15">
        <f>IFERROR(B141/B444, "NA")</f>
        <v>0.25094040459393618</v>
      </c>
      <c r="D141" s="2"/>
      <c r="E141" s="14">
        <f>IFERROR(E129+E130+E131+E132+E133+E134+E135+E136+E137+E138+E139+E140, "NA")</f>
        <v>25804.93</v>
      </c>
      <c r="F141" s="15">
        <f>IFERROR(E141/E444, "NA")</f>
        <v>0.22199998743961014</v>
      </c>
      <c r="G141" s="2"/>
      <c r="H141" s="14">
        <f t="shared" si="28"/>
        <v>4071.9000000000015</v>
      </c>
      <c r="I141" s="15">
        <f>IFERROR(H141/H444, "NA")</f>
        <v>-0.13741521438413565</v>
      </c>
      <c r="J141" s="2"/>
      <c r="K141" s="14">
        <f>IFERROR(K129+K130+K131+K132+K133+K134+K135+K136+K137+K138+K139+K140, "NA")</f>
        <v>20904.05</v>
      </c>
      <c r="L141" s="15">
        <f>IFERROR(K141/K444, "NA")</f>
        <v>0.20681332727853743</v>
      </c>
      <c r="M141" s="2"/>
      <c r="N141" s="14">
        <f t="shared" si="29"/>
        <v>-828.97999999999956</v>
      </c>
      <c r="O141" s="15">
        <f>IFERROR(N141/N444, "NA")</f>
        <v>5.7287347552548051E-2</v>
      </c>
      <c r="P141" s="2"/>
      <c r="Q141" s="14">
        <f>IFERROR(Q129+Q130+Q131+Q132+Q133+Q134+Q135+Q136+Q137+Q138+Q139+Q140, "NA")</f>
        <v>104845.2</v>
      </c>
      <c r="R141" s="15">
        <f>IFERROR(Q141/Q444, "NA")</f>
        <v>0.23470375034812627</v>
      </c>
      <c r="S141" s="2"/>
      <c r="T141" s="14">
        <f>IFERROR(T129+T130+T131+T132+T133+T134+T135+T136+T137+T138+T139+T140, "NA")</f>
        <v>109149.18</v>
      </c>
      <c r="U141" s="15">
        <f>IFERROR(T141/T444, "NA")</f>
        <v>0.22771120336271578</v>
      </c>
      <c r="V141" s="2"/>
      <c r="W141" s="14">
        <f t="shared" si="30"/>
        <v>4303.9799999999959</v>
      </c>
      <c r="X141" s="15">
        <f>IFERROR(W141/W444, "NA")</f>
        <v>-0.13194827873222362</v>
      </c>
      <c r="Y141" s="2"/>
      <c r="Z141" s="14">
        <f>IFERROR(Z129+Z130+Z131+Z132+Z133+Z134+Z135+Z136+Z137+Z138+Z139+Z140, "NA")</f>
        <v>89501.92</v>
      </c>
      <c r="AA141" s="15">
        <f>IFERROR(Z141/Z444, "NA")</f>
        <v>0.21671943167165719</v>
      </c>
      <c r="AB141" s="2"/>
      <c r="AC141" s="14">
        <f t="shared" si="31"/>
        <v>-15343.279999999999</v>
      </c>
      <c r="AD141" s="15">
        <f>IFERROR(AC141/AC444, "NA")</f>
        <v>-0.45491601566901085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1766.21</v>
      </c>
      <c r="C144" s="8">
        <f>IFERROR(B144/B444, "NA")</f>
        <v>2.0393541627552903E-2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-1766.21</v>
      </c>
      <c r="I144" s="8">
        <f>IFERROR(H144/H444, "NA")</f>
        <v>5.9604638079865449E-2</v>
      </c>
      <c r="J144" s="9"/>
      <c r="K144" s="7">
        <v>1300.46</v>
      </c>
      <c r="L144" s="8">
        <f>IFERROR(K144/K444, "NA")</f>
        <v>1.2866045555413751E-2</v>
      </c>
      <c r="M144" s="9"/>
      <c r="N144" s="10">
        <f t="shared" si="33"/>
        <v>-465.75</v>
      </c>
      <c r="O144" s="8">
        <f>IFERROR(N144/N444, "NA")</f>
        <v>3.2186038411782275E-2</v>
      </c>
      <c r="P144" s="9"/>
      <c r="Q144" s="7">
        <v>6828.93</v>
      </c>
      <c r="R144" s="8">
        <f>IFERROR(Q144/Q444, "NA")</f>
        <v>1.5287065901584717E-2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-6828.93</v>
      </c>
      <c r="X144" s="8">
        <f>IFERROR(W144/W444, "NA")</f>
        <v>0.20935635367330815</v>
      </c>
      <c r="Y144" s="9"/>
      <c r="Z144" s="7">
        <v>5021.6099999999997</v>
      </c>
      <c r="AA144" s="8">
        <f>IFERROR(Z144/Z444, "NA")</f>
        <v>1.2159297423750355E-2</v>
      </c>
      <c r="AB144" s="9"/>
      <c r="AC144" s="10">
        <f t="shared" si="35"/>
        <v>-1807.3200000000006</v>
      </c>
      <c r="AD144" s="8">
        <f>IFERROR(AC144/AC444, "NA")</f>
        <v>-5.3585596654621245E-2</v>
      </c>
    </row>
    <row r="145" spans="1:30" ht="16.5" customHeight="1" x14ac:dyDescent="0.45">
      <c r="A145" s="12" t="s">
        <v>136</v>
      </c>
      <c r="B145" s="7">
        <v>61.65</v>
      </c>
      <c r="C145" s="8">
        <f>IFERROR(B145/B444, "NA")</f>
        <v>7.1184165039187659E-4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-61.65</v>
      </c>
      <c r="I145" s="8">
        <f>IFERROR(H145/H444, "NA")</f>
        <v>2.0805147392573393E-3</v>
      </c>
      <c r="J145" s="9"/>
      <c r="K145" s="7">
        <v>141.62</v>
      </c>
      <c r="L145" s="8">
        <f>IFERROR(K145/K444, "NA")</f>
        <v>1.4011114309995657E-3</v>
      </c>
      <c r="M145" s="9"/>
      <c r="N145" s="10">
        <f t="shared" si="33"/>
        <v>79.97</v>
      </c>
      <c r="O145" s="8">
        <f>IFERROR(N145/N444, "NA")</f>
        <v>-5.526392897026792E-3</v>
      </c>
      <c r="P145" s="9"/>
      <c r="Q145" s="7">
        <v>251.15</v>
      </c>
      <c r="R145" s="8">
        <f>IFERROR(Q145/Q444, "NA")</f>
        <v>5.6221788789502915E-4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-251.15</v>
      </c>
      <c r="X145" s="8">
        <f>IFERROR(W145/W444, "NA")</f>
        <v>7.699573465396679E-3</v>
      </c>
      <c r="Y145" s="9"/>
      <c r="Z145" s="7">
        <v>253.87</v>
      </c>
      <c r="AA145" s="8">
        <f>IFERROR(Z145/Z444, "NA")</f>
        <v>6.1471935036123927E-4</v>
      </c>
      <c r="AB145" s="9"/>
      <c r="AC145" s="10">
        <f t="shared" si="35"/>
        <v>2.7199999999999989</v>
      </c>
      <c r="AD145" s="8">
        <f>IFERROR(AC145/AC444, "NA")</f>
        <v>8.064583078844349E-5</v>
      </c>
    </row>
    <row r="146" spans="1:30" ht="16.5" customHeight="1" x14ac:dyDescent="0.45">
      <c r="A146" s="12" t="s">
        <v>137</v>
      </c>
      <c r="B146" s="7">
        <v>159.85</v>
      </c>
      <c r="C146" s="8">
        <f>IFERROR(B146/B444, "NA")</f>
        <v>1.8457078315513621E-3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-159.85</v>
      </c>
      <c r="I146" s="8">
        <f>IFERROR(H146/H444, "NA")</f>
        <v>5.394489555073571E-3</v>
      </c>
      <c r="J146" s="9"/>
      <c r="K146" s="7">
        <v>245.1</v>
      </c>
      <c r="L146" s="8">
        <f>IFERROR(K146/K444, "NA")</f>
        <v>2.4248863983758902E-3</v>
      </c>
      <c r="M146" s="9"/>
      <c r="N146" s="10">
        <f t="shared" si="33"/>
        <v>85.25</v>
      </c>
      <c r="O146" s="8">
        <f>IFERROR(N146/N444, "NA")</f>
        <v>-5.8912716577658375E-3</v>
      </c>
      <c r="P146" s="9"/>
      <c r="Q146" s="7">
        <v>-113.57</v>
      </c>
      <c r="R146" s="8">
        <f>IFERROR(Q146/Q444, "NA")</f>
        <v>-2.5423486174890882E-4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113.57</v>
      </c>
      <c r="X146" s="8">
        <f>IFERROR(W146/W444, "NA")</f>
        <v>-3.4817462013342652E-3</v>
      </c>
      <c r="Y146" s="9"/>
      <c r="Z146" s="7">
        <v>1679.61</v>
      </c>
      <c r="AA146" s="8">
        <f>IFERROR(Z146/Z444, "NA")</f>
        <v>4.0669979440668101E-3</v>
      </c>
      <c r="AB146" s="9"/>
      <c r="AC146" s="10">
        <f t="shared" si="35"/>
        <v>1793.1799999999998</v>
      </c>
      <c r="AD146" s="8">
        <f>IFERROR(AC146/AC444, "NA")</f>
        <v>5.3166356931331302E-2</v>
      </c>
    </row>
    <row r="147" spans="1:30" ht="16.5" customHeight="1" x14ac:dyDescent="0.45">
      <c r="A147" s="12" t="s">
        <v>138</v>
      </c>
      <c r="B147" s="7">
        <v>0.09</v>
      </c>
      <c r="C147" s="8">
        <f>IFERROR(B147/B444, "NA")</f>
        <v>1.0391848910830315E-6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-0.09</v>
      </c>
      <c r="I147" s="8">
        <f>IFERROR(H147/H444, "NA")</f>
        <v>3.0372477945362615E-6</v>
      </c>
      <c r="J147" s="9"/>
      <c r="K147" s="7">
        <v>32.159999999999997</v>
      </c>
      <c r="L147" s="8">
        <f>IFERROR(K147/K444, "NA")</f>
        <v>3.1817358862410697E-4</v>
      </c>
      <c r="M147" s="9"/>
      <c r="N147" s="10">
        <f t="shared" si="33"/>
        <v>32.069999999999993</v>
      </c>
      <c r="O147" s="8">
        <f>IFERROR(N147/N444, "NA")</f>
        <v>-2.2162238365343151E-3</v>
      </c>
      <c r="P147" s="9"/>
      <c r="Q147" s="7">
        <v>40.68</v>
      </c>
      <c r="R147" s="8">
        <f>IFERROR(Q147/Q444, "NA")</f>
        <v>9.1065194822097497E-5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-40.68</v>
      </c>
      <c r="X147" s="8">
        <f>IFERROR(W147/W444, "NA")</f>
        <v>1.2471377605906306E-3</v>
      </c>
      <c r="Y147" s="9"/>
      <c r="Z147" s="7">
        <v>-177.1</v>
      </c>
      <c r="AA147" s="8">
        <f>IFERROR(Z147/Z444, "NA")</f>
        <v>-4.2882891617353555E-4</v>
      </c>
      <c r="AB147" s="9"/>
      <c r="AC147" s="10">
        <f t="shared" si="35"/>
        <v>-217.78</v>
      </c>
      <c r="AD147" s="8">
        <f>IFERROR(AC147/AC444, "NA")</f>
        <v>-6.4570033195247168E-3</v>
      </c>
    </row>
    <row r="148" spans="1:30" ht="16.5" customHeight="1" x14ac:dyDescent="0.45">
      <c r="A148" s="13" t="s">
        <v>139</v>
      </c>
      <c r="B148" s="14">
        <f>IFERROR(B143+B144+B145+B146+B147, "NA")</f>
        <v>1987.8</v>
      </c>
      <c r="C148" s="15">
        <f>IFERROR(B148/B444, "NA")</f>
        <v>2.2952130294387224E-2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-1987.8</v>
      </c>
      <c r="I148" s="15">
        <f>IFERROR(H148/H444, "NA")</f>
        <v>6.7082679621990896E-2</v>
      </c>
      <c r="J148" s="2"/>
      <c r="K148" s="14">
        <f>IFERROR(K143+K144+K145+K146+K147, "NA")</f>
        <v>1719.34</v>
      </c>
      <c r="L148" s="15">
        <f>IFERROR(K148/K444, "NA")</f>
        <v>1.7010216973413313E-2</v>
      </c>
      <c r="M148" s="2"/>
      <c r="N148" s="14">
        <f t="shared" si="33"/>
        <v>-268.46000000000004</v>
      </c>
      <c r="O148" s="15">
        <f>IFERROR(N148/N444, "NA")</f>
        <v>1.8552150020455328E-2</v>
      </c>
      <c r="P148" s="2"/>
      <c r="Q148" s="14">
        <f>IFERROR(Q143+Q144+Q145+Q146+Q147, "NA")</f>
        <v>7007.1900000000005</v>
      </c>
      <c r="R148" s="15">
        <f>IFERROR(Q148/Q444, "NA")</f>
        <v>1.5686114122552934E-2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-7007.1900000000005</v>
      </c>
      <c r="X148" s="15">
        <f>IFERROR(W148/W444, "NA")</f>
        <v>0.2148213186979612</v>
      </c>
      <c r="Y148" s="2"/>
      <c r="Z148" s="14">
        <f>IFERROR(Z143+Z144+Z145+Z146+Z147, "NA")</f>
        <v>6777.9899999999989</v>
      </c>
      <c r="AA148" s="15">
        <f>IFERROR(Z148/Z444, "NA")</f>
        <v>1.6412185802004868E-2</v>
      </c>
      <c r="AB148" s="2"/>
      <c r="AC148" s="14">
        <f t="shared" si="35"/>
        <v>-229.20000000000164</v>
      </c>
      <c r="AD148" s="15">
        <f>IFERROR(AC148/AC444, "NA")</f>
        <v>-6.7955972120262451E-3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23720.829999999998</v>
      </c>
      <c r="C149" s="15">
        <f>IFERROR(B149/B444, "NA")</f>
        <v>0.27389253488832338</v>
      </c>
      <c r="D149" s="2"/>
      <c r="E149" s="14">
        <f>IFERROR(E127+E129+E130+E131+E132+E133+E134+E135+E136+E137+E138+E139+E140+E143+E144+E145+E146+E147, "NA")</f>
        <v>25804.93</v>
      </c>
      <c r="F149" s="15">
        <f>IFERROR(E149/E444, "NA")</f>
        <v>0.22199998743961014</v>
      </c>
      <c r="G149" s="2"/>
      <c r="H149" s="14">
        <f t="shared" si="32"/>
        <v>2084.1000000000022</v>
      </c>
      <c r="I149" s="15">
        <f>IFERROR(H149/H444, "NA")</f>
        <v>-7.0332534762144766E-2</v>
      </c>
      <c r="J149" s="2"/>
      <c r="K149" s="14">
        <f>IFERROR(K127+K129+K130+K131+K132+K133+K134+K135+K136+K137+K138+K139+K140+K143+K144+K145+K146+K147, "NA")</f>
        <v>22623.389999999996</v>
      </c>
      <c r="L149" s="15">
        <f>IFERROR(K149/K444, "NA")</f>
        <v>0.22382354425195072</v>
      </c>
      <c r="M149" s="2"/>
      <c r="N149" s="14">
        <f t="shared" si="33"/>
        <v>-1097.4400000000023</v>
      </c>
      <c r="O149" s="15">
        <f>IFERROR(N149/N444, "NA")</f>
        <v>7.5839497573003567E-2</v>
      </c>
      <c r="P149" s="2"/>
      <c r="Q149" s="14">
        <f>IFERROR(Q127+Q129+Q130+Q131+Q132+Q133+Q134+Q135+Q136+Q137+Q138+Q139+Q140+Q143+Q144+Q145+Q146+Q147, "NA")</f>
        <v>111852.38999999998</v>
      </c>
      <c r="R149" s="15">
        <f>IFERROR(Q149/Q444, "NA")</f>
        <v>0.25038986447067918</v>
      </c>
      <c r="S149" s="2"/>
      <c r="T149" s="14">
        <f>IFERROR(T127+T129+T130+T131+T132+T133+T134+T135+T136+T137+T138+T139+T140+T143+T144+T145+T146+T147, "NA")</f>
        <v>109149.18</v>
      </c>
      <c r="U149" s="15">
        <f>IFERROR(T149/T444, "NA")</f>
        <v>0.22771120336271578</v>
      </c>
      <c r="V149" s="2"/>
      <c r="W149" s="14">
        <f t="shared" si="34"/>
        <v>-2703.2099999999919</v>
      </c>
      <c r="X149" s="15">
        <f>IFERROR(W149/W444, "NA")</f>
        <v>8.287303996573718E-2</v>
      </c>
      <c r="Y149" s="2"/>
      <c r="Z149" s="14">
        <f>IFERROR(Z127+Z129+Z130+Z131+Z132+Z133+Z134+Z135+Z136+Z137+Z138+Z139+Z140+Z143+Z144+Z145+Z146+Z147, "NA")</f>
        <v>96279.909999999989</v>
      </c>
      <c r="AA149" s="15">
        <f>IFERROR(Z149/Z444, "NA")</f>
        <v>0.23313161747366204</v>
      </c>
      <c r="AB149" s="2"/>
      <c r="AC149" s="14">
        <f t="shared" si="35"/>
        <v>-15572.479999999996</v>
      </c>
      <c r="AD149" s="15">
        <f>IFERROR(AC149/AC444, "NA")</f>
        <v>-0.46171161288103701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2092.29</v>
      </c>
      <c r="F153" s="8">
        <f>IFERROR(E153/E444, "NA")</f>
        <v>1.7999985030768224E-2</v>
      </c>
      <c r="G153" s="9"/>
      <c r="H153" s="10">
        <f t="shared" ref="H153:H158" si="36">IFERROR(-(B153-E153), "NA")</f>
        <v>2092.29</v>
      </c>
      <c r="I153" s="8">
        <f>IFERROR(H153/H444, "NA")</f>
        <v>-7.0608924311447496E-2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9776.7099999999991</v>
      </c>
      <c r="U153" s="8">
        <f>IFERROR(T153/T444, "NA")</f>
        <v>2.0396547175418972E-2</v>
      </c>
      <c r="V153" s="9"/>
      <c r="W153" s="10">
        <f t="shared" ref="W153:W158" si="38">IFERROR(-(Q153-T153), "NA")</f>
        <v>9776.7099999999991</v>
      </c>
      <c r="X153" s="8">
        <f>IFERROR(W153/W444, "NA")</f>
        <v>-0.29972724226509401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2856.14</v>
      </c>
      <c r="C154" s="8">
        <f>IFERROR(B154/B444, "NA")</f>
        <v>3.2978417053532105E-2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-2856.14</v>
      </c>
      <c r="I154" s="8">
        <f>IFERROR(H154/H444, "NA")</f>
        <v>9.638672128763108E-2</v>
      </c>
      <c r="J154" s="9"/>
      <c r="K154" s="7">
        <v>3224.02</v>
      </c>
      <c r="L154" s="8">
        <f>IFERROR(K154/K444, "NA")</f>
        <v>3.1896704390419577E-2</v>
      </c>
      <c r="M154" s="9"/>
      <c r="N154" s="10">
        <f t="shared" si="37"/>
        <v>367.88000000000011</v>
      </c>
      <c r="O154" s="8">
        <f>IFERROR(N154/N444, "NA")</f>
        <v>-2.5422651231189405E-2</v>
      </c>
      <c r="P154" s="9"/>
      <c r="Q154" s="7">
        <v>15380.1</v>
      </c>
      <c r="R154" s="8">
        <f>IFERROR(Q154/Q444, "NA")</f>
        <v>3.4429493679531506E-2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-15380.1</v>
      </c>
      <c r="X154" s="8">
        <f>IFERROR(W154/W444, "NA")</f>
        <v>0.47151188475073647</v>
      </c>
      <c r="Y154" s="9"/>
      <c r="Z154" s="7">
        <v>14849.36</v>
      </c>
      <c r="AA154" s="8">
        <f>IFERROR(Z154/Z444, "NA")</f>
        <v>3.5956154458896966E-2</v>
      </c>
      <c r="AB154" s="9"/>
      <c r="AC154" s="10">
        <f t="shared" si="39"/>
        <v>-530.73999999999978</v>
      </c>
      <c r="AD154" s="8">
        <f>IFERROR(AC154/AC444, "NA")</f>
        <v>-1.5736017732595035E-2</v>
      </c>
    </row>
    <row r="155" spans="1:30" ht="16.5" customHeight="1" x14ac:dyDescent="0.45">
      <c r="A155" s="12" t="s">
        <v>144</v>
      </c>
      <c r="B155" s="7">
        <v>785.06</v>
      </c>
      <c r="C155" s="8">
        <f>IFERROR(B155/B444, "NA")</f>
        <v>9.0646943399293866E-3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-785.06</v>
      </c>
      <c r="I155" s="8">
        <f>IFERROR(H155/H444, "NA")</f>
        <v>2.6493575039762636E-2</v>
      </c>
      <c r="J155" s="9"/>
      <c r="K155" s="7">
        <v>1123.4000000000001</v>
      </c>
      <c r="L155" s="8">
        <f>IFERROR(K155/K444, "NA")</f>
        <v>1.1114309995656773E-2</v>
      </c>
      <c r="M155" s="9"/>
      <c r="N155" s="10">
        <f t="shared" si="37"/>
        <v>338.34000000000015</v>
      </c>
      <c r="O155" s="8">
        <f>IFERROR(N155/N444, "NA")</f>
        <v>-2.3381265134175884E-2</v>
      </c>
      <c r="P155" s="9"/>
      <c r="Q155" s="7">
        <v>3802.55</v>
      </c>
      <c r="R155" s="8">
        <f>IFERROR(Q155/Q444, "NA")</f>
        <v>8.5122899845321252E-3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-3802.55</v>
      </c>
      <c r="X155" s="8">
        <f>IFERROR(W155/W444, "NA")</f>
        <v>0.11657580362669377</v>
      </c>
      <c r="Y155" s="9"/>
      <c r="Z155" s="7">
        <v>4168.99</v>
      </c>
      <c r="AA155" s="8">
        <f>IFERROR(Z155/Z444, "NA")</f>
        <v>1.0094768284801287E-2</v>
      </c>
      <c r="AB155" s="9"/>
      <c r="AC155" s="10">
        <f t="shared" si="39"/>
        <v>366.4399999999996</v>
      </c>
      <c r="AD155" s="8">
        <f>IFERROR(AC155/AC444, "NA")</f>
        <v>1.0864653762543093E-2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131.03</v>
      </c>
      <c r="AA156" s="8">
        <f>IFERROR(Z156/Z444, "NA")</f>
        <v>3.1727528450716186E-4</v>
      </c>
      <c r="AB156" s="9"/>
      <c r="AC156" s="10">
        <f t="shared" si="39"/>
        <v>131.03</v>
      </c>
      <c r="AD156" s="8">
        <f>IFERROR(AC156/AC444, "NA")</f>
        <v>3.8849350030182922E-3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3641.2</v>
      </c>
      <c r="C158" s="15">
        <f>IFERROR(B158/B444, "NA")</f>
        <v>4.2043111393461494E-2</v>
      </c>
      <c r="D158" s="2"/>
      <c r="E158" s="14">
        <f>IFERROR(E153+E154+E155+E156+E157, "NA")</f>
        <v>2092.29</v>
      </c>
      <c r="F158" s="15">
        <f>IFERROR(E158/E444, "NA")</f>
        <v>1.7999985030768224E-2</v>
      </c>
      <c r="G158" s="2"/>
      <c r="H158" s="14">
        <f t="shared" si="36"/>
        <v>-1548.9099999999999</v>
      </c>
      <c r="I158" s="15">
        <f>IFERROR(H158/H444, "NA")</f>
        <v>5.2271372015946227E-2</v>
      </c>
      <c r="J158" s="2"/>
      <c r="K158" s="14">
        <f>IFERROR(K153+K154+K155+K156+K157, "NA")</f>
        <v>4347.42</v>
      </c>
      <c r="L158" s="15">
        <f>IFERROR(K158/K444, "NA")</f>
        <v>4.3011014386076345E-2</v>
      </c>
      <c r="M158" s="2"/>
      <c r="N158" s="14">
        <f t="shared" si="37"/>
        <v>706.22000000000025</v>
      </c>
      <c r="O158" s="15">
        <f>IFERROR(N158/N444, "NA")</f>
        <v>-4.8803916365365289E-2</v>
      </c>
      <c r="P158" s="2"/>
      <c r="Q158" s="14">
        <f>IFERROR(Q153+Q154+Q155+Q156+Q157, "NA")</f>
        <v>19182.650000000001</v>
      </c>
      <c r="R158" s="15">
        <f>IFERROR(Q158/Q444, "NA")</f>
        <v>4.2941783664063635E-2</v>
      </c>
      <c r="S158" s="2"/>
      <c r="T158" s="14">
        <f>IFERROR(T153+T154+T155+T156+T157, "NA")</f>
        <v>9776.7099999999991</v>
      </c>
      <c r="U158" s="15">
        <f>IFERROR(T158/T444, "NA")</f>
        <v>2.0396547175418972E-2</v>
      </c>
      <c r="V158" s="2"/>
      <c r="W158" s="14">
        <f t="shared" si="38"/>
        <v>-9405.9400000000023</v>
      </c>
      <c r="X158" s="15">
        <f>IFERROR(W158/W444, "NA")</f>
        <v>0.28836044611233624</v>
      </c>
      <c r="Y158" s="2"/>
      <c r="Z158" s="14">
        <f>IFERROR(Z153+Z154+Z155+Z156+Z157, "NA")</f>
        <v>19149.379999999997</v>
      </c>
      <c r="AA158" s="15">
        <f>IFERROR(Z158/Z444, "NA")</f>
        <v>4.636819802820541E-2</v>
      </c>
      <c r="AB158" s="2"/>
      <c r="AC158" s="14">
        <f t="shared" si="39"/>
        <v>-33.270000000004075</v>
      </c>
      <c r="AD158" s="15">
        <f>IFERROR(AC158/AC444, "NA")</f>
        <v>-9.8642896703376635E-4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275.56</v>
      </c>
      <c r="C161" s="8">
        <f>IFERROR(B161/B444, "NA")</f>
        <v>3.1817532065204464E-3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-275.56</v>
      </c>
      <c r="I161" s="8">
        <f>IFERROR(H161/H444, "NA")</f>
        <v>9.2993778029156916E-3</v>
      </c>
      <c r="J161" s="9"/>
      <c r="K161" s="7">
        <v>409.94</v>
      </c>
      <c r="L161" s="8">
        <f>IFERROR(K161/K444, "NA")</f>
        <v>4.0557239092215928E-3</v>
      </c>
      <c r="M161" s="9"/>
      <c r="N161" s="10">
        <f t="shared" si="41"/>
        <v>134.38</v>
      </c>
      <c r="O161" s="8">
        <f>IFERROR(N161/N444, "NA")</f>
        <v>-9.2864408841122955E-3</v>
      </c>
      <c r="P161" s="9"/>
      <c r="Q161" s="7">
        <v>1317.25</v>
      </c>
      <c r="R161" s="8">
        <f>IFERROR(Q161/Q444, "NA")</f>
        <v>2.9487617472814141E-3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-1317.25</v>
      </c>
      <c r="X161" s="8">
        <f>IFERROR(W161/W444, "NA")</f>
        <v>4.0383289457669815E-2</v>
      </c>
      <c r="Y161" s="9"/>
      <c r="Z161" s="7">
        <v>1981.57</v>
      </c>
      <c r="AA161" s="8">
        <f>IFERROR(Z161/Z444, "NA")</f>
        <v>4.7981621424166739E-3</v>
      </c>
      <c r="AB161" s="9"/>
      <c r="AC161" s="10">
        <f t="shared" si="43"/>
        <v>664.31999999999994</v>
      </c>
      <c r="AD161" s="8">
        <f>IFERROR(AC161/AC444, "NA")</f>
        <v>1.9696558201977497E-2</v>
      </c>
    </row>
    <row r="162" spans="1:30" ht="16.5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2.72</v>
      </c>
      <c r="L162" s="8">
        <f>IFERROR(K162/K444, "NA")</f>
        <v>2.6910204012984178E-5</v>
      </c>
      <c r="M162" s="9"/>
      <c r="N162" s="10">
        <f t="shared" si="41"/>
        <v>2.72</v>
      </c>
      <c r="O162" s="8">
        <f>IFERROR(N162/N444, "NA")</f>
        <v>-1.8796784644132644E-4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2.72</v>
      </c>
      <c r="AA162" s="8">
        <f>IFERROR(Z162/Z444, "NA")</f>
        <v>6.5861922755054599E-6</v>
      </c>
      <c r="AB162" s="9"/>
      <c r="AC162" s="10">
        <f t="shared" si="43"/>
        <v>2.72</v>
      </c>
      <c r="AD162" s="8">
        <f>IFERROR(AC162/AC444, "NA")</f>
        <v>8.0645830788443531E-5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275.56</v>
      </c>
      <c r="C166" s="15">
        <f>IFERROR(B166/B444, "NA")</f>
        <v>3.1817532065204464E-3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-275.56</v>
      </c>
      <c r="I166" s="15">
        <f>IFERROR(H166/H444, "NA")</f>
        <v>9.2993778029156916E-3</v>
      </c>
      <c r="J166" s="2"/>
      <c r="K166" s="14">
        <f>IFERROR(K160+K161+K162+K163+K164+K165, "NA")</f>
        <v>412.66</v>
      </c>
      <c r="L166" s="15">
        <f>IFERROR(K166/K444, "NA")</f>
        <v>4.082634113234577E-3</v>
      </c>
      <c r="M166" s="2"/>
      <c r="N166" s="14">
        <f t="shared" si="41"/>
        <v>137.10000000000002</v>
      </c>
      <c r="O166" s="15">
        <f>IFERROR(N166/N444, "NA")</f>
        <v>-9.4744087305536229E-3</v>
      </c>
      <c r="P166" s="2"/>
      <c r="Q166" s="14">
        <f>IFERROR(Q160+Q161+Q162+Q163+Q164+Q165, "NA")</f>
        <v>1317.25</v>
      </c>
      <c r="R166" s="15">
        <f>IFERROR(Q166/Q444, "NA")</f>
        <v>2.9487617472814141E-3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-1317.25</v>
      </c>
      <c r="X166" s="15">
        <f>IFERROR(W166/W444, "NA")</f>
        <v>4.0383289457669815E-2</v>
      </c>
      <c r="Y166" s="2"/>
      <c r="Z166" s="14">
        <f>IFERROR(Z160+Z161+Z162+Z163+Z164+Z165, "NA")</f>
        <v>1984.29</v>
      </c>
      <c r="AA166" s="15">
        <f>IFERROR(Z166/Z444, "NA")</f>
        <v>4.8047483346921787E-3</v>
      </c>
      <c r="AB166" s="2"/>
      <c r="AC166" s="14">
        <f t="shared" si="43"/>
        <v>667.04</v>
      </c>
      <c r="AD166" s="15">
        <f>IFERROR(AC166/AC444, "NA")</f>
        <v>1.9777204032765942E-2</v>
      </c>
    </row>
    <row r="167" spans="1:30" ht="16.5" customHeight="1" x14ac:dyDescent="0.45">
      <c r="A167" s="6" t="s">
        <v>155</v>
      </c>
      <c r="B167" s="7">
        <v>238.31</v>
      </c>
      <c r="C167" s="8">
        <f>IFERROR(B167/B444, "NA")</f>
        <v>2.7516461265999696E-3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-238.31</v>
      </c>
      <c r="I167" s="8">
        <f>IFERROR(H167/H444, "NA")</f>
        <v>8.0422946879548495E-3</v>
      </c>
      <c r="J167" s="9"/>
      <c r="K167" s="7">
        <v>357.83</v>
      </c>
      <c r="L167" s="8">
        <f>IFERROR(K167/K444, "NA")</f>
        <v>3.5401758463110759E-3</v>
      </c>
      <c r="M167" s="9"/>
      <c r="N167" s="10">
        <f t="shared" si="41"/>
        <v>119.51999999999998</v>
      </c>
      <c r="O167" s="8">
        <f>IFERROR(N167/N444, "NA")</f>
        <v>-8.2595283112747546E-3</v>
      </c>
      <c r="P167" s="9"/>
      <c r="Q167" s="7">
        <v>1551.31</v>
      </c>
      <c r="R167" s="8">
        <f>IFERROR(Q167/Q444, "NA")</f>
        <v>3.4727224036250753E-3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-1551.31</v>
      </c>
      <c r="X167" s="8">
        <f>IFERROR(W167/W444, "NA")</f>
        <v>4.7558930171628593E-2</v>
      </c>
      <c r="Y167" s="9"/>
      <c r="Z167" s="7">
        <v>1716.75</v>
      </c>
      <c r="AA167" s="8">
        <f>IFERROR(Z167/Z444, "NA")</f>
        <v>4.1569285253580867E-3</v>
      </c>
      <c r="AB167" s="9"/>
      <c r="AC167" s="10">
        <f t="shared" si="43"/>
        <v>165.44000000000005</v>
      </c>
      <c r="AD167" s="8">
        <f>IFERROR(AC167/AC444, "NA")</f>
        <v>4.9051640608970956E-3</v>
      </c>
    </row>
    <row r="168" spans="1:30" ht="16.5" customHeight="1" x14ac:dyDescent="0.45">
      <c r="A168" s="6" t="s">
        <v>156</v>
      </c>
      <c r="B168" s="7">
        <v>35.799999999999997</v>
      </c>
      <c r="C168" s="8">
        <f>IFERROR(B168/B444, "NA")</f>
        <v>4.133646566752503E-4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-35.799999999999997</v>
      </c>
      <c r="I168" s="8">
        <f>IFERROR(H168/H444, "NA")</f>
        <v>1.2081496782710907E-3</v>
      </c>
      <c r="J168" s="9"/>
      <c r="K168" s="7">
        <v>23.4</v>
      </c>
      <c r="L168" s="8">
        <f>IFERROR(K168/K444, "NA")</f>
        <v>2.315069021705256E-4</v>
      </c>
      <c r="M168" s="9"/>
      <c r="N168" s="10">
        <f t="shared" si="41"/>
        <v>-12.399999999999999</v>
      </c>
      <c r="O168" s="8">
        <f>IFERROR(N168/N444, "NA")</f>
        <v>8.569122411295762E-4</v>
      </c>
      <c r="P168" s="9"/>
      <c r="Q168" s="7">
        <v>175.6</v>
      </c>
      <c r="R168" s="8">
        <f>IFERROR(Q168/Q444, "NA")</f>
        <v>3.9309361383383284E-4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-175.6</v>
      </c>
      <c r="X168" s="8">
        <f>IFERROR(W168/W444, "NA")</f>
        <v>5.3834166853420533E-3</v>
      </c>
      <c r="Y168" s="9"/>
      <c r="Z168" s="7">
        <v>173.6</v>
      </c>
      <c r="AA168" s="8">
        <f>IFERROR(Z168/Z444, "NA")</f>
        <v>4.2035403640726019E-4</v>
      </c>
      <c r="AB168" s="9"/>
      <c r="AC168" s="10">
        <f t="shared" si="43"/>
        <v>-2</v>
      </c>
      <c r="AD168" s="8">
        <f>IFERROR(AC168/AC444, "NA")</f>
        <v>-5.9298404991502587E-5</v>
      </c>
    </row>
    <row r="169" spans="1:30" ht="16.5" customHeight="1" x14ac:dyDescent="0.45">
      <c r="A169" s="6" t="s">
        <v>157</v>
      </c>
      <c r="B169" s="7">
        <v>-1267.8499999999999</v>
      </c>
      <c r="C169" s="8">
        <f>IFERROR(B169/B444, "NA")</f>
        <v>-1.4639228490662461E-2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1267.8499999999999</v>
      </c>
      <c r="I169" s="8">
        <f>IFERROR(H169/H444, "NA")</f>
        <v>-4.2786384625586656E-2</v>
      </c>
      <c r="J169" s="9"/>
      <c r="K169" s="7">
        <v>-1113.8699999999999</v>
      </c>
      <c r="L169" s="8">
        <f>IFERROR(K169/K444, "NA")</f>
        <v>-1.102002534703775E-2</v>
      </c>
      <c r="M169" s="9"/>
      <c r="N169" s="10">
        <f t="shared" si="41"/>
        <v>153.98000000000002</v>
      </c>
      <c r="O169" s="8">
        <f>IFERROR(N169/N444, "NA")</f>
        <v>-1.0640915071704208E-2</v>
      </c>
      <c r="P169" s="9"/>
      <c r="Q169" s="7">
        <v>-8528.85</v>
      </c>
      <c r="R169" s="8">
        <f>IFERROR(Q169/Q444, "NA")</f>
        <v>-1.9092462803796614E-2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8528.85</v>
      </c>
      <c r="X169" s="8">
        <f>IFERROR(W169/W444, "NA")</f>
        <v>-0.26147126080170602</v>
      </c>
      <c r="Y169" s="9"/>
      <c r="Z169" s="7">
        <v>-7580.74</v>
      </c>
      <c r="AA169" s="8">
        <f>IFERROR(Z169/Z444, "NA")</f>
        <v>-1.8355960011255609E-2</v>
      </c>
      <c r="AB169" s="9"/>
      <c r="AC169" s="10">
        <f t="shared" si="43"/>
        <v>948.11000000000058</v>
      </c>
      <c r="AD169" s="8">
        <f>IFERROR(AC169/AC444, "NA")</f>
        <v>2.8110705378246777E-2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2923.02</v>
      </c>
      <c r="C170" s="15">
        <f>IFERROR(B170/B444, "NA")</f>
        <v>3.3750646892594702E-2</v>
      </c>
      <c r="D170" s="2"/>
      <c r="E170" s="14">
        <f>IFERROR(E151+E153+E154+E155+E156+E157+E160+E161+E162+E163+E164+E165+E167+E168+E169, "NA")</f>
        <v>2092.29</v>
      </c>
      <c r="F170" s="15">
        <f>IFERROR(E170/E444, "NA")</f>
        <v>1.7999985030768224E-2</v>
      </c>
      <c r="G170" s="2"/>
      <c r="H170" s="14">
        <f t="shared" si="40"/>
        <v>-830.73</v>
      </c>
      <c r="I170" s="15">
        <f>IFERROR(H170/H444, "NA")</f>
        <v>2.8034809559501207E-2</v>
      </c>
      <c r="J170" s="2"/>
      <c r="K170" s="14">
        <f>IFERROR(K151+K153+K154+K155+K156+K157+K160+K161+K162+K163+K164+K165+K167+K168+K169, "NA")</f>
        <v>4027.4399999999996</v>
      </c>
      <c r="L170" s="15">
        <f>IFERROR(K170/K444, "NA")</f>
        <v>3.9845305900754767E-2</v>
      </c>
      <c r="M170" s="2"/>
      <c r="N170" s="14">
        <f t="shared" si="41"/>
        <v>1104.4199999999996</v>
      </c>
      <c r="O170" s="15">
        <f>IFERROR(N170/N444, "NA")</f>
        <v>-7.6321856237768257E-2</v>
      </c>
      <c r="P170" s="2"/>
      <c r="Q170" s="14">
        <f>IFERROR(Q151+Q153+Q154+Q155+Q156+Q157+Q160+Q161+Q162+Q163+Q164+Q165+Q167+Q168+Q169, "NA")</f>
        <v>13697.960000000001</v>
      </c>
      <c r="R170" s="15">
        <f>IFERROR(Q170/Q444, "NA")</f>
        <v>3.0663898625007343E-2</v>
      </c>
      <c r="S170" s="2"/>
      <c r="T170" s="14">
        <f>IFERROR(T151+T153+T154+T155+T156+T157+T160+T161+T162+T163+T164+T165+T167+T168+T169, "NA")</f>
        <v>9776.7099999999991</v>
      </c>
      <c r="U170" s="15">
        <f>IFERROR(T170/T444, "NA")</f>
        <v>2.0396547175418972E-2</v>
      </c>
      <c r="V170" s="2"/>
      <c r="W170" s="14">
        <f t="shared" si="42"/>
        <v>-3921.2500000000018</v>
      </c>
      <c r="X170" s="15">
        <f>IFERROR(W170/W444, "NA")</f>
        <v>0.12021482162527071</v>
      </c>
      <c r="Y170" s="2"/>
      <c r="Z170" s="14">
        <f>IFERROR(Z151+Z153+Z154+Z155+Z156+Z157+Z160+Z161+Z162+Z163+Z164+Z165+Z167+Z168+Z169, "NA")</f>
        <v>15443.279999999997</v>
      </c>
      <c r="AA170" s="15">
        <f>IFERROR(Z170/Z444, "NA")</f>
        <v>3.7394268913407323E-2</v>
      </c>
      <c r="AB170" s="2"/>
      <c r="AC170" s="14">
        <f t="shared" si="43"/>
        <v>1745.3199999999961</v>
      </c>
      <c r="AD170" s="15">
        <f>IFERROR(AC170/AC444, "NA")</f>
        <v>5.1747346099884531E-2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26643.850000000002</v>
      </c>
      <c r="C171" s="15">
        <f>IFERROR(B171/B444, "NA")</f>
        <v>0.30764318178091815</v>
      </c>
      <c r="D171" s="2"/>
      <c r="E171" s="14">
        <f>IFERROR(E127+E129+E130+E131+E132+E133+E134+E135+E136+E137+E138+E139+E140+E143+E144+E145+E146+E147+E151+E153+E154+E155+E156+E157+E160+E161+E162+E163+E164+E165+E167+E168+E169, "NA")</f>
        <v>27897.22</v>
      </c>
      <c r="F171" s="15">
        <f>IFERROR(E171/E444, "NA")</f>
        <v>0.23999997247037835</v>
      </c>
      <c r="G171" s="2"/>
      <c r="H171" s="14">
        <f t="shared" si="40"/>
        <v>1253.369999999999</v>
      </c>
      <c r="I171" s="15">
        <f>IFERROR(H171/H444, "NA")</f>
        <v>-4.2297725202643459E-2</v>
      </c>
      <c r="J171" s="2"/>
      <c r="K171" s="14">
        <f>IFERROR(K127+K129+K130+K131+K132+K133+K134+K135+K136+K137+K138+K139+K140+K143+K144+K145+K146+K147+K151+K153+K154+K155+K156+K157+K160+K161+K162+K163+K164+K165+K167+K168+K169, "NA")</f>
        <v>26650.83</v>
      </c>
      <c r="L171" s="15">
        <f>IFERROR(K171/K444, "NA")</f>
        <v>0.26366885015270553</v>
      </c>
      <c r="M171" s="2"/>
      <c r="N171" s="14">
        <f t="shared" si="41"/>
        <v>6.9799999999995634</v>
      </c>
      <c r="O171" s="15">
        <f>IFERROR(N171/N444, "NA")</f>
        <v>-4.8235866476484425E-4</v>
      </c>
      <c r="P171" s="2"/>
      <c r="Q171" s="14">
        <f>IFERROR(Q127+Q129+Q130+Q131+Q132+Q133+Q134+Q135+Q136+Q137+Q138+Q139+Q140+Q143+Q144+Q145+Q146+Q147+Q151+Q153+Q154+Q155+Q156+Q157+Q160+Q161+Q162+Q163+Q164+Q165+Q167+Q168+Q169, "NA")</f>
        <v>125550.34999999998</v>
      </c>
      <c r="R171" s="15">
        <f>IFERROR(Q171/Q444, "NA")</f>
        <v>0.28105376309568647</v>
      </c>
      <c r="S171" s="2"/>
      <c r="T171" s="14">
        <f>IFERROR(T127+T129+T130+T131+T132+T133+T134+T135+T136+T137+T138+T139+T140+T143+T144+T145+T146+T147+T151+T153+T154+T155+T156+T157+T160+T161+T162+T163+T164+T165+T167+T168+T169, "NA")</f>
        <v>118925.88999999998</v>
      </c>
      <c r="U171" s="15">
        <f>IFERROR(T171/T444, "NA")</f>
        <v>0.24810775053813472</v>
      </c>
      <c r="V171" s="2"/>
      <c r="W171" s="14">
        <f t="shared" si="42"/>
        <v>-6624.4599999999919</v>
      </c>
      <c r="X171" s="15">
        <f>IFERROR(W171/W444, "NA")</f>
        <v>0.20308786159100783</v>
      </c>
      <c r="Y171" s="2"/>
      <c r="Z171" s="14">
        <f>IFERROR(Z127+Z129+Z130+Z131+Z132+Z133+Z134+Z135+Z136+Z137+Z138+Z139+Z140+Z143+Z144+Z145+Z146+Z147+Z151+Z153+Z154+Z155+Z156+Z157+Z160+Z161+Z162+Z163+Z164+Z165+Z167+Z168+Z169, "NA")</f>
        <v>111723.19</v>
      </c>
      <c r="AA171" s="15">
        <f>IFERROR(Z171/Z444, "NA")</f>
        <v>0.27052588638706943</v>
      </c>
      <c r="AB171" s="2"/>
      <c r="AC171" s="14">
        <f t="shared" si="43"/>
        <v>-13827.159999999974</v>
      </c>
      <c r="AD171" s="15">
        <f>IFERROR(AC171/AC444, "NA")</f>
        <v>-0.40996426678115172</v>
      </c>
    </row>
    <row r="172" spans="1:30" ht="16.5" customHeight="1" x14ac:dyDescent="0.45">
      <c r="A172" s="22" t="s">
        <v>160</v>
      </c>
      <c r="B172" s="23">
        <f>IFERROR(B124-B171, "NA")</f>
        <v>59962.490000000005</v>
      </c>
      <c r="C172" s="24">
        <f>IFERROR(B172/B444, "NA")</f>
        <v>0.69235681821908202</v>
      </c>
      <c r="D172" s="25"/>
      <c r="E172" s="23">
        <f>IFERROR(E124-E171, "NA")</f>
        <v>88341.21</v>
      </c>
      <c r="F172" s="24">
        <f>IFERROR(E172/E444, "NA")</f>
        <v>0.76000002752962181</v>
      </c>
      <c r="G172" s="25"/>
      <c r="H172" s="23">
        <f>IFERROR(B172-E172, "NA")</f>
        <v>-28378.720000000001</v>
      </c>
      <c r="I172" s="24">
        <f>IFERROR(H172/H444, "NA")</f>
        <v>0.9577022747973567</v>
      </c>
      <c r="J172" s="25"/>
      <c r="K172" s="23">
        <f>IFERROR(K124-K171, "NA")</f>
        <v>74426.069999999992</v>
      </c>
      <c r="L172" s="24">
        <f>IFERROR(K172/K444, "NA")</f>
        <v>0.73633114984729442</v>
      </c>
      <c r="M172" s="25"/>
      <c r="N172" s="23">
        <f>IFERROR(B172-K172, "NA")</f>
        <v>-14463.579999999987</v>
      </c>
      <c r="O172" s="24">
        <f>IFERROR(N172/N444, "NA")</f>
        <v>0.99951764133523435</v>
      </c>
      <c r="P172" s="25"/>
      <c r="Q172" s="23">
        <f>IFERROR(Q124-Q171, "NA")</f>
        <v>321162.58000000007</v>
      </c>
      <c r="R172" s="24">
        <f>IFERROR(Q172/Q444, "NA")</f>
        <v>0.7189462369043137</v>
      </c>
      <c r="S172" s="25"/>
      <c r="T172" s="23">
        <f>IFERROR(T124-T171, "NA")</f>
        <v>360405.7300000001</v>
      </c>
      <c r="U172" s="24">
        <f>IFERROR(T172/T444, "NA")</f>
        <v>0.7518922494618655</v>
      </c>
      <c r="V172" s="25"/>
      <c r="W172" s="23">
        <f>IFERROR(Q172-T172, "NA")</f>
        <v>-39243.150000000023</v>
      </c>
      <c r="X172" s="24">
        <f>IFERROR(W172/W444, "NA")</f>
        <v>1.2030878615910088</v>
      </c>
      <c r="Y172" s="25"/>
      <c r="Z172" s="23">
        <f>IFERROR(Z124-Z171, "NA")</f>
        <v>301262.02000000008</v>
      </c>
      <c r="AA172" s="24">
        <f>IFERROR(Z172/Z444, "NA")</f>
        <v>0.7294741136129308</v>
      </c>
      <c r="AB172" s="25"/>
      <c r="AC172" s="23">
        <f>IFERROR(Q172-Z172, "NA")</f>
        <v>19900.559999999998</v>
      </c>
      <c r="AD172" s="24">
        <f>IFERROR(AC172/AC444, "NA")</f>
        <v>0.59003573321884828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5640</v>
      </c>
      <c r="C178" s="8">
        <f>IFERROR(B178/B444, "NA")</f>
        <v>6.5122253174536654E-2</v>
      </c>
      <c r="D178" s="9"/>
      <c r="E178" s="7">
        <v>5576.92</v>
      </c>
      <c r="F178" s="8">
        <f>IFERROR(E178/E444, "NA")</f>
        <v>4.7978280504993059E-2</v>
      </c>
      <c r="G178" s="9"/>
      <c r="H178" s="10">
        <f t="shared" si="44"/>
        <v>-63.079999999999927</v>
      </c>
      <c r="I178" s="8">
        <f>IFERROR(H178/H444, "NA")</f>
        <v>2.1287732319927462E-3</v>
      </c>
      <c r="J178" s="9"/>
      <c r="K178" s="7">
        <v>5423.08</v>
      </c>
      <c r="L178" s="8">
        <f>IFERROR(K178/K444, "NA")</f>
        <v>5.3653010727475817E-2</v>
      </c>
      <c r="M178" s="9"/>
      <c r="N178" s="10">
        <f t="shared" si="45"/>
        <v>-216.92000000000007</v>
      </c>
      <c r="O178" s="8">
        <f>IFERROR(N178/N444, "NA")</f>
        <v>1.4990435753695786E-2</v>
      </c>
      <c r="P178" s="9"/>
      <c r="Q178" s="7">
        <v>29610</v>
      </c>
      <c r="R178" s="8">
        <f>IFERROR(Q178/Q444, "NA")</f>
        <v>6.6284179416969194E-2</v>
      </c>
      <c r="S178" s="9"/>
      <c r="T178" s="7">
        <v>29278.83</v>
      </c>
      <c r="U178" s="8">
        <f>IFERROR(T178/T444, "NA")</f>
        <v>6.1082617499759358E-2</v>
      </c>
      <c r="V178" s="9"/>
      <c r="W178" s="10">
        <f t="shared" si="46"/>
        <v>-331.16999999999825</v>
      </c>
      <c r="X178" s="8">
        <f>IFERROR(W178/W444, "NA")</f>
        <v>1.0152768244218215E-2</v>
      </c>
      <c r="Y178" s="9"/>
      <c r="Z178" s="7">
        <v>28471.17</v>
      </c>
      <c r="AA178" s="8">
        <f>IFERROR(Z178/Z444, "NA")</f>
        <v>6.8939926444339245E-2</v>
      </c>
      <c r="AB178" s="9"/>
      <c r="AC178" s="10">
        <f t="shared" si="47"/>
        <v>-1138.8300000000017</v>
      </c>
      <c r="AD178" s="8">
        <f>IFERROR(AC178/AC444, "NA")</f>
        <v>-3.3765401278236497E-2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19462</v>
      </c>
      <c r="C180" s="8">
        <f>IFERROR(B180/B444, "NA")</f>
        <v>0.22471795944731068</v>
      </c>
      <c r="D180" s="9"/>
      <c r="E180" s="7">
        <v>22085.3</v>
      </c>
      <c r="F180" s="8">
        <f>IFERROR(E180/E444, "NA")</f>
        <v>0.18999998537488849</v>
      </c>
      <c r="G180" s="9"/>
      <c r="H180" s="10">
        <f t="shared" si="44"/>
        <v>2623.2999999999993</v>
      </c>
      <c r="I180" s="8">
        <f>IFERROR(H180/H444, "NA")</f>
        <v>-8.8529023771188584E-2</v>
      </c>
      <c r="J180" s="9"/>
      <c r="K180" s="7">
        <v>21874.45</v>
      </c>
      <c r="L180" s="8">
        <f>IFERROR(K180/K444, "NA")</f>
        <v>0.21641393829846386</v>
      </c>
      <c r="M180" s="9"/>
      <c r="N180" s="10">
        <f t="shared" si="45"/>
        <v>2412.4500000000007</v>
      </c>
      <c r="O180" s="8">
        <f>IFERROR(N180/N444, "NA")</f>
        <v>-0.16671434968653606</v>
      </c>
      <c r="P180" s="9"/>
      <c r="Q180" s="7">
        <v>94623.09</v>
      </c>
      <c r="R180" s="8">
        <f>IFERROR(Q180/Q444, "NA")</f>
        <v>0.2118207995456948</v>
      </c>
      <c r="S180" s="9"/>
      <c r="T180" s="7">
        <v>96796.53</v>
      </c>
      <c r="U180" s="8">
        <f>IFERROR(T180/T444, "NA")</f>
        <v>0.20194063141505247</v>
      </c>
      <c r="V180" s="9"/>
      <c r="W180" s="10">
        <f t="shared" si="46"/>
        <v>2173.4400000000023</v>
      </c>
      <c r="X180" s="8">
        <f>IFERROR(W180/W444, "NA")</f>
        <v>-6.6631737816570877E-2</v>
      </c>
      <c r="Y180" s="9"/>
      <c r="Z180" s="7">
        <v>88703.42</v>
      </c>
      <c r="AA180" s="8">
        <f>IFERROR(Z180/Z444, "NA")</f>
        <v>0.21478594838783693</v>
      </c>
      <c r="AB180" s="9"/>
      <c r="AC180" s="10">
        <f t="shared" si="47"/>
        <v>-5919.6699999999983</v>
      </c>
      <c r="AD180" s="8">
        <f>IFERROR(AC180/AC444, "NA")</f>
        <v>-0.17551349453802401</v>
      </c>
    </row>
    <row r="181" spans="1:30" ht="16.5" customHeight="1" x14ac:dyDescent="0.45">
      <c r="A181" s="12" t="s">
        <v>166</v>
      </c>
      <c r="B181" s="7">
        <v>-84.17</v>
      </c>
      <c r="C181" s="8">
        <f>IFERROR(B181/B444, "NA")</f>
        <v>-9.7186880313843084E-4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84.17</v>
      </c>
      <c r="I181" s="8">
        <f>IFERROR(H181/H444, "NA")</f>
        <v>-2.8405016318457459E-3</v>
      </c>
      <c r="J181" s="9"/>
      <c r="K181" s="7">
        <v>6.44</v>
      </c>
      <c r="L181" s="8">
        <f>IFERROR(K181/K444, "NA")</f>
        <v>6.371386538368312E-5</v>
      </c>
      <c r="M181" s="9"/>
      <c r="N181" s="10">
        <f t="shared" si="45"/>
        <v>90.61</v>
      </c>
      <c r="O181" s="8">
        <f>IFERROR(N181/N444, "NA")</f>
        <v>-6.2616788845766859E-3</v>
      </c>
      <c r="P181" s="9"/>
      <c r="Q181" s="7">
        <v>971.64</v>
      </c>
      <c r="R181" s="8">
        <f>IFERROR(Q181/Q444, "NA")</f>
        <v>2.1750881488923992E-3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-971.64</v>
      </c>
      <c r="X181" s="8">
        <f>IFERROR(W181/W444, "NA")</f>
        <v>2.9787830228620461E-2</v>
      </c>
      <c r="Y181" s="9"/>
      <c r="Z181" s="7">
        <v>224.51</v>
      </c>
      <c r="AA181" s="8">
        <f>IFERROR(Z181/Z444, "NA")</f>
        <v>5.4362721609328333E-4</v>
      </c>
      <c r="AB181" s="9"/>
      <c r="AC181" s="10">
        <f t="shared" si="47"/>
        <v>-747.13</v>
      </c>
      <c r="AD181" s="8">
        <f>IFERROR(AC181/AC444, "NA")</f>
        <v>-2.2151808660650665E-2</v>
      </c>
    </row>
    <row r="182" spans="1:30" ht="16.5" customHeight="1" x14ac:dyDescent="0.45">
      <c r="A182" s="13" t="s">
        <v>167</v>
      </c>
      <c r="B182" s="14">
        <f>IFERROR(B177+B178+B179+B180+B181, "NA")</f>
        <v>25017.83</v>
      </c>
      <c r="C182" s="15">
        <f>IFERROR(B182/B444, "NA")</f>
        <v>0.28886834381870891</v>
      </c>
      <c r="D182" s="2"/>
      <c r="E182" s="14">
        <f>IFERROR(E177+E178+E179+E180+E181, "NA")</f>
        <v>27662.22</v>
      </c>
      <c r="F182" s="15">
        <f>IFERROR(E182/E444, "NA")</f>
        <v>0.23797826587988158</v>
      </c>
      <c r="G182" s="2"/>
      <c r="H182" s="14">
        <f t="shared" si="44"/>
        <v>2644.3899999999994</v>
      </c>
      <c r="I182" s="15">
        <f>IFERROR(H182/H444, "NA")</f>
        <v>-8.924075217104159E-2</v>
      </c>
      <c r="J182" s="2"/>
      <c r="K182" s="14">
        <f>IFERROR(K177+K178+K179+K180+K181, "NA")</f>
        <v>27303.969999999998</v>
      </c>
      <c r="L182" s="15">
        <f>IFERROR(K182/K444, "NA")</f>
        <v>0.27013066289132331</v>
      </c>
      <c r="M182" s="2"/>
      <c r="N182" s="14">
        <f t="shared" si="45"/>
        <v>2286.1399999999958</v>
      </c>
      <c r="O182" s="15">
        <f>IFERROR(N182/N444, "NA")</f>
        <v>-0.15798559281741661</v>
      </c>
      <c r="P182" s="2"/>
      <c r="Q182" s="14">
        <f>IFERROR(Q177+Q178+Q179+Q180+Q181, "NA")</f>
        <v>125204.73</v>
      </c>
      <c r="R182" s="15">
        <f>IFERROR(Q182/Q444, "NA")</f>
        <v>0.2802800671115564</v>
      </c>
      <c r="S182" s="2"/>
      <c r="T182" s="14">
        <f>IFERROR(T177+T178+T179+T180+T181, "NA")</f>
        <v>126075.36</v>
      </c>
      <c r="U182" s="15">
        <f>IFERROR(T182/T444, "NA")</f>
        <v>0.26302324891481182</v>
      </c>
      <c r="V182" s="2"/>
      <c r="W182" s="14">
        <f t="shared" si="46"/>
        <v>870.63000000000466</v>
      </c>
      <c r="X182" s="15">
        <f>IFERROR(W182/W444, "NA")</f>
        <v>-2.6691139343732215E-2</v>
      </c>
      <c r="Y182" s="2"/>
      <c r="Z182" s="14">
        <f>IFERROR(Z177+Z178+Z179+Z180+Z181, "NA")</f>
        <v>117399.09999999999</v>
      </c>
      <c r="AA182" s="15">
        <f>IFERROR(Z182/Z444, "NA")</f>
        <v>0.28426950204826945</v>
      </c>
      <c r="AB182" s="2"/>
      <c r="AC182" s="14">
        <f t="shared" si="47"/>
        <v>-7805.6300000000047</v>
      </c>
      <c r="AD182" s="15">
        <f>IFERROR(AC182/AC444, "NA")</f>
        <v>-0.2314307044769113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5.7732493949057308E-3</v>
      </c>
      <c r="D184" s="9"/>
      <c r="E184" s="7">
        <v>500</v>
      </c>
      <c r="F184" s="8">
        <f>IFERROR(E184/E444, "NA")</f>
        <v>4.3015033840357276E-3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2.968037207314431E-3</v>
      </c>
      <c r="M184" s="9"/>
      <c r="N184" s="10">
        <f t="shared" si="45"/>
        <v>-200</v>
      </c>
      <c r="O184" s="8">
        <f>IFERROR(N184/N444, "NA")</f>
        <v>1.3821165179509296E-2</v>
      </c>
      <c r="P184" s="9"/>
      <c r="Q184" s="7">
        <v>2500</v>
      </c>
      <c r="R184" s="8">
        <f>IFERROR(Q184/Q444, "NA")</f>
        <v>5.5964352766775744E-3</v>
      </c>
      <c r="S184" s="9"/>
      <c r="T184" s="7">
        <v>2500</v>
      </c>
      <c r="U184" s="8">
        <f>IFERROR(T184/T444, "NA")</f>
        <v>5.2155958332145919E-3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1050</v>
      </c>
      <c r="AA184" s="8">
        <f>IFERROR(Z184/Z444, "NA")</f>
        <v>2.5424639298826219E-3</v>
      </c>
      <c r="AB184" s="9"/>
      <c r="AC184" s="10">
        <f t="shared" si="47"/>
        <v>-1450</v>
      </c>
      <c r="AD184" s="8">
        <f>IFERROR(AC184/AC444, "NA")</f>
        <v>-4.2991343618839377E-2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2203.9499999999998</v>
      </c>
      <c r="C186" s="8">
        <f>IFERROR(B186/B444, "NA")</f>
        <v>2.5447906007804971E-2</v>
      </c>
      <c r="D186" s="9"/>
      <c r="E186" s="7">
        <v>2805.1</v>
      </c>
      <c r="F186" s="8">
        <f>IFERROR(E186/E444, "NA")</f>
        <v>2.4132294285117237E-2</v>
      </c>
      <c r="G186" s="9"/>
      <c r="H186" s="10">
        <f t="shared" ref="H186:H197" si="48">IFERROR(-(B186-E186), "NA")</f>
        <v>601.15000000000009</v>
      </c>
      <c r="I186" s="8">
        <f>IFERROR(H186/H444, "NA")</f>
        <v>-2.0287127907616376E-2</v>
      </c>
      <c r="J186" s="9"/>
      <c r="K186" s="7">
        <v>2431.54</v>
      </c>
      <c r="L186" s="8">
        <f>IFERROR(K186/K444, "NA")</f>
        <v>2.4056337303577771E-2</v>
      </c>
      <c r="M186" s="9"/>
      <c r="N186" s="10">
        <f t="shared" ref="N186:N197" si="49">IFERROR(-(B186-K186), "NA")</f>
        <v>227.59000000000015</v>
      </c>
      <c r="O186" s="8">
        <f>IFERROR(N186/N444, "NA")</f>
        <v>-1.5727794916022612E-2</v>
      </c>
      <c r="P186" s="9"/>
      <c r="Q186" s="7">
        <v>11416.14</v>
      </c>
      <c r="R186" s="8">
        <f>IFERROR(Q186/Q444, "NA")</f>
        <v>2.5555875447795969E-2</v>
      </c>
      <c r="S186" s="9"/>
      <c r="T186" s="7">
        <v>14825.98</v>
      </c>
      <c r="U186" s="8">
        <f>IFERROR(T186/T444, "NA")</f>
        <v>3.0930527804529147E-2</v>
      </c>
      <c r="V186" s="9"/>
      <c r="W186" s="10">
        <f t="shared" ref="W186:W197" si="50">IFERROR(-(Q186-T186), "NA")</f>
        <v>3409.84</v>
      </c>
      <c r="X186" s="8">
        <f>IFERROR(W186/W444, "NA")</f>
        <v>-0.10453638696097237</v>
      </c>
      <c r="Y186" s="9"/>
      <c r="Z186" s="7">
        <v>10813.11</v>
      </c>
      <c r="AA186" s="8">
        <f>IFERROR(Z186/Z444, "NA")</f>
        <v>2.618280204271722E-2</v>
      </c>
      <c r="AB186" s="9"/>
      <c r="AC186" s="10">
        <f t="shared" ref="AC186:AC197" si="51">IFERROR(-(Q186-Z186), "NA")</f>
        <v>-603.02999999999884</v>
      </c>
      <c r="AD186" s="8">
        <f>IFERROR(AC186/AC444, "NA")</f>
        <v>-1.7879358581012868E-2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</v>
      </c>
      <c r="L187" s="8">
        <f>IFERROR(K187/K444, "NA")</f>
        <v>0</v>
      </c>
      <c r="M187" s="9"/>
      <c r="N187" s="10">
        <f t="shared" si="49"/>
        <v>0</v>
      </c>
      <c r="O187" s="8">
        <f>IFERROR(N187/N444, "NA")</f>
        <v>0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4.8427884378716615E-8</v>
      </c>
      <c r="AB187" s="9"/>
      <c r="AC187" s="10">
        <f t="shared" si="51"/>
        <v>0.02</v>
      </c>
      <c r="AD187" s="8">
        <f>IFERROR(AC187/AC444, "NA")</f>
        <v>5.929840499150259E-7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2203.9499999999998</v>
      </c>
      <c r="C193" s="15">
        <f>IFERROR(B193/B444, "NA")</f>
        <v>2.5447906007804971E-2</v>
      </c>
      <c r="D193" s="2"/>
      <c r="E193" s="14">
        <f>IFERROR(E186+E187+E188+E189+E190+E191+E192, "NA")</f>
        <v>2805.1</v>
      </c>
      <c r="F193" s="15">
        <f>IFERROR(E193/E444, "NA")</f>
        <v>2.4132294285117237E-2</v>
      </c>
      <c r="G193" s="2"/>
      <c r="H193" s="14">
        <f t="shared" si="48"/>
        <v>601.15000000000009</v>
      </c>
      <c r="I193" s="15">
        <f>IFERROR(H193/H444, "NA")</f>
        <v>-2.0287127907616376E-2</v>
      </c>
      <c r="J193" s="2"/>
      <c r="K193" s="14">
        <f>IFERROR(K186+K187+K188+K189+K190+K191+K192, "NA")</f>
        <v>2431.54</v>
      </c>
      <c r="L193" s="15">
        <f>IFERROR(K193/K444, "NA")</f>
        <v>2.4056337303577771E-2</v>
      </c>
      <c r="M193" s="2"/>
      <c r="N193" s="14">
        <f t="shared" si="49"/>
        <v>227.59000000000015</v>
      </c>
      <c r="O193" s="15">
        <f>IFERROR(N193/N444, "NA")</f>
        <v>-1.5727794916022612E-2</v>
      </c>
      <c r="P193" s="2"/>
      <c r="Q193" s="14">
        <f>IFERROR(Q186+Q187+Q188+Q189+Q190+Q191+Q192, "NA")</f>
        <v>11416.14</v>
      </c>
      <c r="R193" s="15">
        <f>IFERROR(Q193/Q444, "NA")</f>
        <v>2.5555875447795969E-2</v>
      </c>
      <c r="S193" s="2"/>
      <c r="T193" s="14">
        <f>IFERROR(T186+T187+T188+T189+T190+T191+T192, "NA")</f>
        <v>14825.98</v>
      </c>
      <c r="U193" s="15">
        <f>IFERROR(T193/T444, "NA")</f>
        <v>3.0930527804529147E-2</v>
      </c>
      <c r="V193" s="2"/>
      <c r="W193" s="14">
        <f t="shared" si="50"/>
        <v>3409.84</v>
      </c>
      <c r="X193" s="15">
        <f>IFERROR(W193/W444, "NA")</f>
        <v>-0.10453638696097237</v>
      </c>
      <c r="Y193" s="2"/>
      <c r="Z193" s="14">
        <f>IFERROR(Z186+Z187+Z188+Z189+Z190+Z191+Z192, "NA")</f>
        <v>10813.130000000001</v>
      </c>
      <c r="AA193" s="15">
        <f>IFERROR(Z193/Z444, "NA")</f>
        <v>2.61828504706016E-2</v>
      </c>
      <c r="AB193" s="2"/>
      <c r="AC193" s="14">
        <f t="shared" si="51"/>
        <v>-603.0099999999984</v>
      </c>
      <c r="AD193" s="15">
        <f>IFERROR(AC193/AC444, "NA")</f>
        <v>-1.7878765596962939E-2</v>
      </c>
    </row>
    <row r="194" spans="1:30" ht="16.5" customHeight="1" x14ac:dyDescent="0.45">
      <c r="A194" s="6" t="s">
        <v>178</v>
      </c>
      <c r="B194" s="7">
        <v>248</v>
      </c>
      <c r="C194" s="8">
        <f>IFERROR(B194/B444, "NA")</f>
        <v>2.8635316998732426E-3</v>
      </c>
      <c r="D194" s="9"/>
      <c r="E194" s="7">
        <v>225.3</v>
      </c>
      <c r="F194" s="8">
        <f>IFERROR(E194/E444, "NA")</f>
        <v>1.938257424846499E-3</v>
      </c>
      <c r="G194" s="9"/>
      <c r="H194" s="10">
        <f t="shared" si="48"/>
        <v>-22.699999999999989</v>
      </c>
      <c r="I194" s="8">
        <f>IFERROR(H194/H444, "NA")</f>
        <v>7.6606138817747894E-4</v>
      </c>
      <c r="J194" s="9"/>
      <c r="K194" s="7">
        <v>224</v>
      </c>
      <c r="L194" s="8">
        <f>IFERROR(K194/K444, "NA")</f>
        <v>2.2161344481281087E-3</v>
      </c>
      <c r="M194" s="9"/>
      <c r="N194" s="10">
        <f t="shared" si="49"/>
        <v>-24</v>
      </c>
      <c r="O194" s="8">
        <f>IFERROR(N194/N444, "NA")</f>
        <v>1.6585398215411154E-3</v>
      </c>
      <c r="P194" s="9"/>
      <c r="Q194" s="7">
        <v>1338</v>
      </c>
      <c r="R194" s="8">
        <f>IFERROR(Q194/Q444, "NA")</f>
        <v>2.9952121600778378E-3</v>
      </c>
      <c r="S194" s="9"/>
      <c r="T194" s="7">
        <v>1028.6099999999999</v>
      </c>
      <c r="U194" s="8">
        <f>IFERROR(T194/T444, "NA")</f>
        <v>2.1459256120011441E-3</v>
      </c>
      <c r="V194" s="9"/>
      <c r="W194" s="10">
        <f t="shared" si="50"/>
        <v>-309.3900000000001</v>
      </c>
      <c r="X194" s="8">
        <f>IFERROR(W194/W444, "NA")</f>
        <v>9.4850528945215166E-3</v>
      </c>
      <c r="Y194" s="9"/>
      <c r="Z194" s="7">
        <v>881</v>
      </c>
      <c r="AA194" s="8">
        <f>IFERROR(Z194/Z444, "NA")</f>
        <v>2.1332483068824668E-3</v>
      </c>
      <c r="AB194" s="9"/>
      <c r="AC194" s="10">
        <f t="shared" si="51"/>
        <v>-457</v>
      </c>
      <c r="AD194" s="8">
        <f>IFERROR(AC194/AC444, "NA")</f>
        <v>-1.3549685540558342E-2</v>
      </c>
    </row>
    <row r="195" spans="1:30" ht="16.5" hidden="1" customHeight="1" x14ac:dyDescent="0.45">
      <c r="A195" s="6" t="s">
        <v>179</v>
      </c>
      <c r="B195" s="7">
        <v>0</v>
      </c>
      <c r="C195" s="8">
        <f>IFERROR(B195/B444, "NA")</f>
        <v>0</v>
      </c>
      <c r="D195" s="9"/>
      <c r="E195" s="7">
        <v>0</v>
      </c>
      <c r="F195" s="8">
        <f>IFERROR(E195/E444, "NA")</f>
        <v>0</v>
      </c>
      <c r="G195" s="9"/>
      <c r="H195" s="10">
        <f t="shared" si="48"/>
        <v>0</v>
      </c>
      <c r="I195" s="8">
        <f>IFERROR(H195/H444, "NA")</f>
        <v>0</v>
      </c>
      <c r="J195" s="9"/>
      <c r="K195" s="7">
        <v>0</v>
      </c>
      <c r="L195" s="8">
        <f>IFERROR(K195/K444, "NA")</f>
        <v>0</v>
      </c>
      <c r="M195" s="9"/>
      <c r="N195" s="10">
        <f t="shared" si="49"/>
        <v>0</v>
      </c>
      <c r="O195" s="8">
        <f>IFERROR(N195/N444, "NA")</f>
        <v>0</v>
      </c>
      <c r="P195" s="9"/>
      <c r="Q195" s="7">
        <v>0</v>
      </c>
      <c r="R195" s="8">
        <f>IFERROR(Q195/Q444, "NA")</f>
        <v>0</v>
      </c>
      <c r="S195" s="9"/>
      <c r="T195" s="7">
        <v>0</v>
      </c>
      <c r="U195" s="8">
        <f>IFERROR(T195/T444, "NA")</f>
        <v>0</v>
      </c>
      <c r="V195" s="9"/>
      <c r="W195" s="10">
        <f t="shared" si="50"/>
        <v>0</v>
      </c>
      <c r="X195" s="8">
        <f>IFERROR(W195/W444, "NA")</f>
        <v>0</v>
      </c>
      <c r="Y195" s="9"/>
      <c r="Z195" s="7">
        <v>0</v>
      </c>
      <c r="AA195" s="8">
        <f>IFERROR(Z195/Z444, "NA")</f>
        <v>0</v>
      </c>
      <c r="AB195" s="9"/>
      <c r="AC195" s="10">
        <f t="shared" si="51"/>
        <v>0</v>
      </c>
      <c r="AD195" s="8">
        <f>IFERROR(AC195/AC444, "NA")</f>
        <v>0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27969.780000000002</v>
      </c>
      <c r="C196" s="15">
        <f>IFERROR(B196/B444, "NA")</f>
        <v>0.32295303092129285</v>
      </c>
      <c r="D196" s="2"/>
      <c r="E196" s="14">
        <f>IFERROR(E175+E177+E178+E179+E180+E181+E183+E184+E186+E187+E188+E189+E190+E191+E192+E194+E195, "NA")</f>
        <v>31192.62</v>
      </c>
      <c r="F196" s="15">
        <f>IFERROR(E196/E444, "NA")</f>
        <v>0.26835032097388101</v>
      </c>
      <c r="G196" s="2"/>
      <c r="H196" s="14">
        <f t="shared" si="48"/>
        <v>3222.8399999999965</v>
      </c>
      <c r="I196" s="15">
        <f>IFERROR(H196/H444, "NA")</f>
        <v>-0.10876181869048038</v>
      </c>
      <c r="J196" s="2"/>
      <c r="K196" s="14">
        <f>IFERROR(K175+K177+K178+K179+K180+K181+K183+K184+K186+K187+K188+K189+K190+K191+K192+K194+K195, "NA")</f>
        <v>30259.51</v>
      </c>
      <c r="L196" s="15">
        <f>IFERROR(K196/K444, "NA")</f>
        <v>0.29937117185034368</v>
      </c>
      <c r="M196" s="2"/>
      <c r="N196" s="14">
        <f t="shared" si="49"/>
        <v>2289.7299999999959</v>
      </c>
      <c r="O196" s="15">
        <f>IFERROR(N196/N444, "NA")</f>
        <v>-0.1582336827323888</v>
      </c>
      <c r="P196" s="2"/>
      <c r="Q196" s="14">
        <f>IFERROR(Q175+Q177+Q178+Q179+Q180+Q181+Q183+Q184+Q186+Q187+Q188+Q189+Q190+Q191+Q192+Q194+Q195, "NA")</f>
        <v>140458.87</v>
      </c>
      <c r="R196" s="15">
        <f>IFERROR(Q196/Q444, "NA")</f>
        <v>0.31442758999610776</v>
      </c>
      <c r="S196" s="2"/>
      <c r="T196" s="14">
        <f>IFERROR(T175+T177+T178+T179+T180+T181+T183+T184+T186+T187+T188+T189+T190+T191+T192+T194+T195, "NA")</f>
        <v>144429.94999999998</v>
      </c>
      <c r="U196" s="15">
        <f>IFERROR(T196/T444, "NA")</f>
        <v>0.30131529816455671</v>
      </c>
      <c r="V196" s="2"/>
      <c r="W196" s="14">
        <f t="shared" si="50"/>
        <v>3971.0799999999872</v>
      </c>
      <c r="X196" s="15">
        <f>IFERROR(W196/W444, "NA")</f>
        <v>-0.12174247341018253</v>
      </c>
      <c r="Y196" s="2"/>
      <c r="Z196" s="14">
        <f>IFERROR(Z175+Z177+Z178+Z179+Z180+Z181+Z183+Z184+Z186+Z187+Z188+Z189+Z190+Z191+Z192+Z194+Z195, "NA")</f>
        <v>130143.23</v>
      </c>
      <c r="AA196" s="15">
        <f>IFERROR(Z196/Z444, "NA")</f>
        <v>0.31512806475563615</v>
      </c>
      <c r="AB196" s="2"/>
      <c r="AC196" s="14">
        <f t="shared" si="51"/>
        <v>-10315.64</v>
      </c>
      <c r="AD196" s="15">
        <f>IFERROR(AC196/AC444, "NA")</f>
        <v>-0.30585049923327184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27969.780000000002</v>
      </c>
      <c r="C197" s="15">
        <f>IFERROR(B197/B444, "NA")</f>
        <v>0.32295303092129285</v>
      </c>
      <c r="D197" s="2"/>
      <c r="E197" s="14">
        <f>IFERROR(E175+E177+E178+E179+E180+E181+E183+E184+E186+E187+E188+E189+E190+E191+E192+E194+E195, "NA")</f>
        <v>31192.62</v>
      </c>
      <c r="F197" s="15">
        <f>IFERROR(E197/E444, "NA")</f>
        <v>0.26835032097388101</v>
      </c>
      <c r="G197" s="2"/>
      <c r="H197" s="14">
        <f t="shared" si="48"/>
        <v>3222.8399999999965</v>
      </c>
      <c r="I197" s="15">
        <f>IFERROR(H197/H444, "NA")</f>
        <v>-0.10876181869048038</v>
      </c>
      <c r="J197" s="2"/>
      <c r="K197" s="14">
        <f>IFERROR(K175+K177+K178+K179+K180+K181+K183+K184+K186+K187+K188+K189+K190+K191+K192+K194+K195, "NA")</f>
        <v>30259.51</v>
      </c>
      <c r="L197" s="15">
        <f>IFERROR(K197/K444, "NA")</f>
        <v>0.29937117185034368</v>
      </c>
      <c r="M197" s="2"/>
      <c r="N197" s="14">
        <f t="shared" si="49"/>
        <v>2289.7299999999959</v>
      </c>
      <c r="O197" s="15">
        <f>IFERROR(N197/N444, "NA")</f>
        <v>-0.1582336827323888</v>
      </c>
      <c r="P197" s="2"/>
      <c r="Q197" s="14">
        <f>IFERROR(Q175+Q177+Q178+Q179+Q180+Q181+Q183+Q184+Q186+Q187+Q188+Q189+Q190+Q191+Q192+Q194+Q195, "NA")</f>
        <v>140458.87</v>
      </c>
      <c r="R197" s="15">
        <f>IFERROR(Q197/Q444, "NA")</f>
        <v>0.31442758999610776</v>
      </c>
      <c r="S197" s="2"/>
      <c r="T197" s="14">
        <f>IFERROR(T175+T177+T178+T179+T180+T181+T183+T184+T186+T187+T188+T189+T190+T191+T192+T194+T195, "NA")</f>
        <v>144429.94999999998</v>
      </c>
      <c r="U197" s="15">
        <f>IFERROR(T197/T444, "NA")</f>
        <v>0.30131529816455671</v>
      </c>
      <c r="V197" s="2"/>
      <c r="W197" s="14">
        <f t="shared" si="50"/>
        <v>3971.0799999999872</v>
      </c>
      <c r="X197" s="15">
        <f>IFERROR(W197/W444, "NA")</f>
        <v>-0.12174247341018253</v>
      </c>
      <c r="Y197" s="2"/>
      <c r="Z197" s="14">
        <f>IFERROR(Z175+Z177+Z178+Z179+Z180+Z181+Z183+Z184+Z186+Z187+Z188+Z189+Z190+Z191+Z192+Z194+Z195, "NA")</f>
        <v>130143.23</v>
      </c>
      <c r="AA197" s="15">
        <f>IFERROR(Z197/Z444, "NA")</f>
        <v>0.31512806475563615</v>
      </c>
      <c r="AB197" s="2"/>
      <c r="AC197" s="14">
        <f t="shared" si="51"/>
        <v>-10315.64</v>
      </c>
      <c r="AD197" s="15">
        <f>IFERROR(AC197/AC444, "NA")</f>
        <v>-0.30585049923327184</v>
      </c>
    </row>
    <row r="198" spans="1:30" ht="16.5" customHeight="1" x14ac:dyDescent="0.45">
      <c r="A198" s="22" t="s">
        <v>181</v>
      </c>
      <c r="B198" s="23">
        <f>IFERROR(B172-B197, "NA")</f>
        <v>31992.710000000003</v>
      </c>
      <c r="C198" s="24">
        <f>IFERROR(B198/B444, "NA")</f>
        <v>0.36940378729778911</v>
      </c>
      <c r="D198" s="25"/>
      <c r="E198" s="23">
        <f>IFERROR(E172-E197, "NA")</f>
        <v>57148.590000000011</v>
      </c>
      <c r="F198" s="24">
        <f>IFERROR(E198/E444, "NA")</f>
        <v>0.49164970655574075</v>
      </c>
      <c r="G198" s="25"/>
      <c r="H198" s="23">
        <f>IFERROR(B198-E198, "NA")</f>
        <v>-25155.880000000008</v>
      </c>
      <c r="I198" s="24">
        <f>IFERROR(H198/H444, "NA")</f>
        <v>0.84894045610687641</v>
      </c>
      <c r="J198" s="25"/>
      <c r="K198" s="23">
        <f>IFERROR(K172-K197, "NA")</f>
        <v>44166.559999999998</v>
      </c>
      <c r="L198" s="24">
        <f>IFERROR(K198/K444, "NA")</f>
        <v>0.43695997799695085</v>
      </c>
      <c r="M198" s="25"/>
      <c r="N198" s="23">
        <f>IFERROR(B198-K198, "NA")</f>
        <v>-12173.849999999995</v>
      </c>
      <c r="O198" s="24">
        <f>IFERROR(N198/N444, "NA")</f>
        <v>0.84128395860284588</v>
      </c>
      <c r="P198" s="25"/>
      <c r="Q198" s="23">
        <f>IFERROR(Q172-Q197, "NA")</f>
        <v>180703.71000000008</v>
      </c>
      <c r="R198" s="24">
        <f>IFERROR(Q198/Q444, "NA")</f>
        <v>0.40451864690820588</v>
      </c>
      <c r="S198" s="25"/>
      <c r="T198" s="23">
        <f>IFERROR(T172-T197, "NA")</f>
        <v>215975.78000000012</v>
      </c>
      <c r="U198" s="24">
        <f>IFERROR(T198/T444, "NA")</f>
        <v>0.45057695129730879</v>
      </c>
      <c r="V198" s="25"/>
      <c r="W198" s="23">
        <f>IFERROR(Q198-T198, "NA")</f>
        <v>-35272.070000000036</v>
      </c>
      <c r="X198" s="24">
        <f>IFERROR(W198/W444, "NA")</f>
        <v>1.0813453881808262</v>
      </c>
      <c r="Y198" s="25"/>
      <c r="Z198" s="23">
        <f>IFERROR(Z172-Z197, "NA")</f>
        <v>171118.7900000001</v>
      </c>
      <c r="AA198" s="24">
        <f>IFERROR(Z198/Z444, "NA")</f>
        <v>0.41434604885729465</v>
      </c>
      <c r="AB198" s="25"/>
      <c r="AC198" s="23">
        <f>IFERROR(Q198-Z198, "NA")</f>
        <v>9584.9199999999837</v>
      </c>
      <c r="AD198" s="24">
        <f>IFERROR(AC198/AC444, "NA")</f>
        <v>0.28418523398557599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2092.29</v>
      </c>
      <c r="F201" s="8">
        <f>IFERROR(E201/E444, "NA")</f>
        <v>1.7999985030768224E-2</v>
      </c>
      <c r="G201" s="9"/>
      <c r="H201" s="10">
        <f t="shared" ref="H201:H209" si="52">IFERROR(-(B201-E201), "NA")</f>
        <v>2092.29</v>
      </c>
      <c r="I201" s="8">
        <f>IFERROR(H201/H444, "NA")</f>
        <v>-7.0608924311447496E-2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8883.24</v>
      </c>
      <c r="U201" s="8">
        <f>IFERROR(T201/T444, "NA")</f>
        <v>1.8532555811778074E-2</v>
      </c>
      <c r="V201" s="9"/>
      <c r="W201" s="10">
        <f t="shared" ref="W201:W209" si="54">IFERROR(-(Q201-T201), "NA")</f>
        <v>8883.24</v>
      </c>
      <c r="X201" s="8">
        <f>IFERROR(W201/W444, "NA")</f>
        <v>-0.27233589086502247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840.95</v>
      </c>
      <c r="C202" s="8">
        <f>IFERROR(B202/B444, "NA")</f>
        <v>9.7100281572919493E-3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-840.95</v>
      </c>
      <c r="I202" s="8">
        <f>IFERROR(H202/H444, "NA")</f>
        <v>2.8379705920169657E-2</v>
      </c>
      <c r="J202" s="9"/>
      <c r="K202" s="7">
        <v>979.7</v>
      </c>
      <c r="L202" s="8">
        <f>IFERROR(K202/K444, "NA")</f>
        <v>9.6926201733531607E-3</v>
      </c>
      <c r="M202" s="9"/>
      <c r="N202" s="10">
        <f t="shared" si="53"/>
        <v>138.75</v>
      </c>
      <c r="O202" s="8">
        <f>IFERROR(N202/N444, "NA")</f>
        <v>-9.588433343284573E-3</v>
      </c>
      <c r="P202" s="9"/>
      <c r="Q202" s="7">
        <v>4599.5</v>
      </c>
      <c r="R202" s="8">
        <f>IFERROR(Q202/Q444, "NA")</f>
        <v>1.0296321622031401E-2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-4599.5</v>
      </c>
      <c r="X202" s="8">
        <f>IFERROR(W202/W444, "NA")</f>
        <v>0.14100811528605225</v>
      </c>
      <c r="Y202" s="9"/>
      <c r="Z202" s="7">
        <v>4485.08</v>
      </c>
      <c r="AA202" s="8">
        <f>IFERROR(Z202/Z444, "NA")</f>
        <v>1.0860146783464714E-2</v>
      </c>
      <c r="AB202" s="9"/>
      <c r="AC202" s="10">
        <f t="shared" si="55"/>
        <v>-114.42000000000007</v>
      </c>
      <c r="AD202" s="8">
        <f>IFERROR(AC202/AC444, "NA")</f>
        <v>-3.3924617495638652E-3</v>
      </c>
    </row>
    <row r="203" spans="1:30" ht="16.5" customHeight="1" x14ac:dyDescent="0.45">
      <c r="A203" s="6" t="s">
        <v>185</v>
      </c>
      <c r="B203" s="7">
        <v>303.27999999999997</v>
      </c>
      <c r="C203" s="8">
        <f>IFERROR(B203/B444, "NA")</f>
        <v>3.5018221529740201E-3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-303.27999999999997</v>
      </c>
      <c r="I203" s="8">
        <f>IFERROR(H203/H444, "NA")</f>
        <v>1.0234850123632859E-2</v>
      </c>
      <c r="J203" s="9"/>
      <c r="K203" s="7">
        <v>447.73</v>
      </c>
      <c r="L203" s="8">
        <f>IFERROR(K203/K444, "NA")</f>
        <v>4.4295976627696338E-3</v>
      </c>
      <c r="M203" s="9"/>
      <c r="N203" s="10">
        <f t="shared" si="53"/>
        <v>144.45000000000005</v>
      </c>
      <c r="O203" s="8">
        <f>IFERROR(N203/N444, "NA")</f>
        <v>-9.9823365509005921E-3</v>
      </c>
      <c r="P203" s="9"/>
      <c r="Q203" s="7">
        <v>3252.72</v>
      </c>
      <c r="R203" s="8">
        <f>IFERROR(Q203/Q444, "NA")</f>
        <v>7.2814547812618717E-3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-3252.72</v>
      </c>
      <c r="X203" s="8">
        <f>IFERROR(W203/W444, "NA")</f>
        <v>9.9719516632948771E-2</v>
      </c>
      <c r="Y203" s="9"/>
      <c r="Z203" s="7">
        <v>1972.46</v>
      </c>
      <c r="AA203" s="8">
        <f>IFERROR(Z203/Z444, "NA")</f>
        <v>4.7761032410821684E-3</v>
      </c>
      <c r="AB203" s="9"/>
      <c r="AC203" s="10">
        <f t="shared" si="55"/>
        <v>-1280.2599999999998</v>
      </c>
      <c r="AD203" s="8">
        <f>IFERROR(AC203/AC444, "NA")</f>
        <v>-3.7958687987210547E-2</v>
      </c>
    </row>
    <row r="204" spans="1:30" ht="16.5" customHeight="1" x14ac:dyDescent="0.45">
      <c r="A204" s="6" t="s">
        <v>186</v>
      </c>
      <c r="B204" s="7">
        <v>331.62</v>
      </c>
      <c r="C204" s="8">
        <f>IFERROR(B204/B444, "NA")</f>
        <v>3.8290499286772772E-3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-331.62</v>
      </c>
      <c r="I204" s="8">
        <f>IFERROR(H204/H444, "NA")</f>
        <v>1.1191245706934612E-2</v>
      </c>
      <c r="J204" s="9"/>
      <c r="K204" s="7">
        <v>18.260000000000002</v>
      </c>
      <c r="L204" s="8">
        <f>IFERROR(K204/K444, "NA")</f>
        <v>1.8065453135187172E-4</v>
      </c>
      <c r="M204" s="9"/>
      <c r="N204" s="10">
        <f t="shared" si="53"/>
        <v>-313.36</v>
      </c>
      <c r="O204" s="8">
        <f>IFERROR(N204/N444, "NA")</f>
        <v>2.1655001603255165E-2</v>
      </c>
      <c r="P204" s="9"/>
      <c r="Q204" s="7">
        <v>604.37</v>
      </c>
      <c r="R204" s="8">
        <f>IFERROR(Q204/Q444, "NA")</f>
        <v>1.3529270352662503E-3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-604.37</v>
      </c>
      <c r="X204" s="8">
        <f>IFERROR(W204/W444, "NA")</f>
        <v>1.8528334522324469E-2</v>
      </c>
      <c r="Y204" s="9"/>
      <c r="Z204" s="7">
        <v>343.04</v>
      </c>
      <c r="AA204" s="8">
        <f>IFERROR(Z204/Z444, "NA")</f>
        <v>8.306350728637474E-4</v>
      </c>
      <c r="AB204" s="9"/>
      <c r="AC204" s="10">
        <f t="shared" si="55"/>
        <v>-261.33</v>
      </c>
      <c r="AD204" s="8">
        <f>IFERROR(AC204/AC444, "NA")</f>
        <v>-7.7482260882146851E-3</v>
      </c>
    </row>
    <row r="205" spans="1:30" ht="16.5" customHeight="1" x14ac:dyDescent="0.45">
      <c r="A205" s="6" t="s">
        <v>187</v>
      </c>
      <c r="B205" s="7">
        <v>348.96</v>
      </c>
      <c r="C205" s="8">
        <f>IFERROR(B205/B444, "NA")</f>
        <v>4.029266217692608E-3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-348.96</v>
      </c>
      <c r="I205" s="8">
        <f>IFERROR(H205/H444, "NA")</f>
        <v>1.1776422115348597E-2</v>
      </c>
      <c r="J205" s="9"/>
      <c r="K205" s="7">
        <v>258</v>
      </c>
      <c r="L205" s="8">
        <f>IFERROR(K205/K444, "NA")</f>
        <v>2.5525119982904108E-3</v>
      </c>
      <c r="M205" s="9"/>
      <c r="N205" s="10">
        <f t="shared" si="53"/>
        <v>-90.95999999999998</v>
      </c>
      <c r="O205" s="8">
        <f>IFERROR(N205/N444, "NA")</f>
        <v>6.285865923640826E-3</v>
      </c>
      <c r="P205" s="9"/>
      <c r="Q205" s="7">
        <v>1739.86</v>
      </c>
      <c r="R205" s="8">
        <f>IFERROR(Q205/Q444, "NA")</f>
        <v>3.8948055521920979E-3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-1739.86</v>
      </c>
      <c r="X205" s="8">
        <f>IFERROR(W205/W444, "NA")</f>
        <v>5.3339358508879414E-2</v>
      </c>
      <c r="Y205" s="9"/>
      <c r="Z205" s="7">
        <v>1474.38</v>
      </c>
      <c r="AA205" s="8">
        <f>IFERROR(Z205/Z444, "NA")</f>
        <v>3.57005520851461E-3</v>
      </c>
      <c r="AB205" s="9"/>
      <c r="AC205" s="10">
        <f t="shared" si="55"/>
        <v>-265.47999999999979</v>
      </c>
      <c r="AD205" s="8">
        <f>IFERROR(AC205/AC444, "NA")</f>
        <v>-7.871270278572047E-3</v>
      </c>
    </row>
    <row r="206" spans="1:30" ht="16.5" customHeight="1" x14ac:dyDescent="0.45">
      <c r="A206" s="6" t="s">
        <v>188</v>
      </c>
      <c r="B206" s="7">
        <v>238.53</v>
      </c>
      <c r="C206" s="8">
        <f>IFERROR(B206/B444, "NA")</f>
        <v>2.7541863563337282E-3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-238.53</v>
      </c>
      <c r="I206" s="8">
        <f>IFERROR(H206/H444, "NA")</f>
        <v>8.0497190714526046E-3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-238.53</v>
      </c>
      <c r="O206" s="8">
        <f>IFERROR(N206/N444, "NA")</f>
        <v>1.6483812651341762E-2</v>
      </c>
      <c r="P206" s="9"/>
      <c r="Q206" s="7">
        <v>249.33</v>
      </c>
      <c r="R206" s="8">
        <f>IFERROR(Q206/Q444, "NA")</f>
        <v>5.581436830136079E-4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-249.33</v>
      </c>
      <c r="X206" s="8">
        <f>IFERROR(W206/W444, "NA")</f>
        <v>7.6437772332365274E-3</v>
      </c>
      <c r="Y206" s="9"/>
      <c r="Z206" s="7">
        <v>196.18</v>
      </c>
      <c r="AA206" s="8">
        <f>IFERROR(Z206/Z444, "NA")</f>
        <v>4.7502911787083123E-4</v>
      </c>
      <c r="AB206" s="9"/>
      <c r="AC206" s="10">
        <f t="shared" si="55"/>
        <v>-53.150000000000006</v>
      </c>
      <c r="AD206" s="8">
        <f>IFERROR(AC206/AC444, "NA")</f>
        <v>-1.5758551126491814E-3</v>
      </c>
    </row>
    <row r="207" spans="1:30" ht="16.5" customHeight="1" x14ac:dyDescent="0.45">
      <c r="A207" s="6" t="s">
        <v>189</v>
      </c>
      <c r="B207" s="7">
        <v>488.7</v>
      </c>
      <c r="C207" s="8">
        <f>IFERROR(B207/B444, "NA")</f>
        <v>5.6427739585808616E-3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-488.7</v>
      </c>
      <c r="I207" s="8">
        <f>IFERROR(H207/H444, "NA")</f>
        <v>1.6492255524331898E-2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-488.7</v>
      </c>
      <c r="O207" s="8">
        <f>IFERROR(N207/N444, "NA")</f>
        <v>3.377201711613096E-2</v>
      </c>
      <c r="P207" s="9"/>
      <c r="Q207" s="7">
        <v>588.29999999999995</v>
      </c>
      <c r="R207" s="8">
        <f>IFERROR(Q207/Q444, "NA")</f>
        <v>1.3169531493077667E-3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-588.29999999999995</v>
      </c>
      <c r="X207" s="8">
        <f>IFERROR(W207/W444, "NA")</f>
        <v>1.8035672186712585E-2</v>
      </c>
      <c r="Y207" s="9"/>
      <c r="Z207" s="7">
        <v>308.3</v>
      </c>
      <c r="AA207" s="8">
        <f>IFERROR(Z207/Z444, "NA")</f>
        <v>7.4651583769791657E-4</v>
      </c>
      <c r="AB207" s="9"/>
      <c r="AC207" s="10">
        <f t="shared" si="55"/>
        <v>-279.99999999999994</v>
      </c>
      <c r="AD207" s="8">
        <f>IFERROR(AC207/AC444, "NA")</f>
        <v>-8.3017766988103606E-3</v>
      </c>
    </row>
    <row r="208" spans="1:30" ht="16.5" customHeight="1" x14ac:dyDescent="0.45">
      <c r="A208" s="6" t="s">
        <v>190</v>
      </c>
      <c r="B208" s="7">
        <v>52.63</v>
      </c>
      <c r="C208" s="8">
        <f>IFERROR(B208/B444, "NA")</f>
        <v>6.0769223130777725E-4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-52.63</v>
      </c>
      <c r="I208" s="8">
        <f>IFERROR(H208/H444, "NA")</f>
        <v>1.7761150158493717E-3</v>
      </c>
      <c r="J208" s="9"/>
      <c r="K208" s="7">
        <v>348.88</v>
      </c>
      <c r="L208" s="8">
        <f>IFERROR(K208/K444, "NA")</f>
        <v>3.4516294029595289E-3</v>
      </c>
      <c r="M208" s="9"/>
      <c r="N208" s="10">
        <f t="shared" si="53"/>
        <v>296.25</v>
      </c>
      <c r="O208" s="8">
        <f>IFERROR(N208/N444, "NA")</f>
        <v>-2.0472600922148143E-2</v>
      </c>
      <c r="P208" s="9"/>
      <c r="Q208" s="7">
        <v>633.33000000000004</v>
      </c>
      <c r="R208" s="8">
        <f>IFERROR(Q208/Q444, "NA")</f>
        <v>1.4177561415112834E-3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-633.33000000000004</v>
      </c>
      <c r="X208" s="8">
        <f>IFERROR(W208/W444, "NA")</f>
        <v>1.9416169073620062E-2</v>
      </c>
      <c r="Y208" s="9"/>
      <c r="Z208" s="7">
        <v>760.43</v>
      </c>
      <c r="AA208" s="8">
        <f>IFERROR(Z208/Z444, "NA")</f>
        <v>1.8413008059053734E-3</v>
      </c>
      <c r="AB208" s="9"/>
      <c r="AC208" s="10">
        <f t="shared" si="55"/>
        <v>127.09999999999991</v>
      </c>
      <c r="AD208" s="8">
        <f>IFERROR(AC208/AC444, "NA")</f>
        <v>3.7684136372099866E-3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2604.67</v>
      </c>
      <c r="C209" s="15">
        <f>IFERROR(B209/B444, "NA")</f>
        <v>3.0074819002858223E-2</v>
      </c>
      <c r="D209" s="2"/>
      <c r="E209" s="14">
        <f>IFERROR(E201+E202+E203+E204+E205+E206+E207+E208, "NA")</f>
        <v>2092.29</v>
      </c>
      <c r="F209" s="15">
        <f>IFERROR(E209/E444, "NA")</f>
        <v>1.7999985030768224E-2</v>
      </c>
      <c r="G209" s="2"/>
      <c r="H209" s="14">
        <f t="shared" si="52"/>
        <v>-512.38000000000011</v>
      </c>
      <c r="I209" s="15">
        <f>IFERROR(H209/H444, "NA")</f>
        <v>1.7291389166272111E-2</v>
      </c>
      <c r="J209" s="2"/>
      <c r="K209" s="14">
        <f>IFERROR(K201+K202+K203+K204+K205+K206+K207+K208, "NA")</f>
        <v>2052.5700000000002</v>
      </c>
      <c r="L209" s="15">
        <f>IFERROR(K209/K444, "NA")</f>
        <v>2.0307013768724607E-2</v>
      </c>
      <c r="M209" s="2"/>
      <c r="N209" s="14">
        <f t="shared" si="53"/>
        <v>-552.09999999999991</v>
      </c>
      <c r="O209" s="15">
        <f>IFERROR(N209/N444, "NA")</f>
        <v>3.8153326478035404E-2</v>
      </c>
      <c r="P209" s="2"/>
      <c r="Q209" s="14">
        <f>IFERROR(Q201+Q202+Q203+Q204+Q205+Q206+Q207+Q208, "NA")</f>
        <v>11667.41</v>
      </c>
      <c r="R209" s="15">
        <f>IFERROR(Q209/Q444, "NA")</f>
        <v>2.611836196458428E-2</v>
      </c>
      <c r="S209" s="2"/>
      <c r="T209" s="14">
        <f>IFERROR(T201+T202+T203+T204+T205+T206+T207+T208, "NA")</f>
        <v>8883.24</v>
      </c>
      <c r="U209" s="15">
        <f>IFERROR(T209/T444, "NA")</f>
        <v>1.8532555811778074E-2</v>
      </c>
      <c r="V209" s="2"/>
      <c r="W209" s="14">
        <f t="shared" si="54"/>
        <v>-2784.17</v>
      </c>
      <c r="X209" s="15">
        <f>IFERROR(W209/W444, "NA")</f>
        <v>8.5355052578751631E-2</v>
      </c>
      <c r="Y209" s="2"/>
      <c r="Z209" s="14">
        <f>IFERROR(Z201+Z202+Z203+Z204+Z205+Z206+Z207+Z208, "NA")</f>
        <v>9539.869999999999</v>
      </c>
      <c r="AA209" s="15">
        <f>IFERROR(Z209/Z444, "NA")</f>
        <v>2.3099786067399358E-2</v>
      </c>
      <c r="AB209" s="2"/>
      <c r="AC209" s="14">
        <f t="shared" si="55"/>
        <v>-2127.5400000000009</v>
      </c>
      <c r="AD209" s="15">
        <f>IFERROR(AC209/AC444, "NA")</f>
        <v>-6.3079864277810732E-2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4506.1400000000003</v>
      </c>
      <c r="F213" s="8">
        <f>IFERROR(E213/E444, "NA")</f>
        <v>3.8766352917877507E-2</v>
      </c>
      <c r="G213" s="9"/>
      <c r="H213" s="10">
        <f t="shared" ref="H213:H227" si="56">IFERROR(-(B213-E213), "NA")</f>
        <v>4506.1400000000003</v>
      </c>
      <c r="I213" s="8">
        <f>IFERROR(H213/H444, "NA")</f>
        <v>-0.15206959752079591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18411.43</v>
      </c>
      <c r="U213" s="8">
        <f>IFERROR(T213/T444, "NA")</f>
        <v>3.8410631036608855E-2</v>
      </c>
      <c r="V213" s="9"/>
      <c r="W213" s="10">
        <f t="shared" ref="W213:W227" si="58">IFERROR(-(Q213-T213), "NA")</f>
        <v>18411.43</v>
      </c>
      <c r="X213" s="8">
        <f>IFERROR(W213/W444, "NA")</f>
        <v>-0.56444418828591825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710.31</v>
      </c>
      <c r="C214" s="8">
        <f>IFERROR(B214/B444, "NA")</f>
        <v>8.2015935553909798E-3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-710.31</v>
      </c>
      <c r="I214" s="8">
        <f>IFERROR(H214/H444, "NA")</f>
        <v>2.3970972010411686E-2</v>
      </c>
      <c r="J214" s="9"/>
      <c r="K214" s="7">
        <v>460</v>
      </c>
      <c r="L214" s="8">
        <f>IFERROR(K214/K444, "NA")</f>
        <v>4.5509903845487943E-3</v>
      </c>
      <c r="M214" s="9"/>
      <c r="N214" s="10">
        <f t="shared" si="57"/>
        <v>-250.30999999999995</v>
      </c>
      <c r="O214" s="8">
        <f>IFERROR(N214/N444, "NA")</f>
        <v>1.7297879280414857E-2</v>
      </c>
      <c r="P214" s="9"/>
      <c r="Q214" s="7">
        <v>13646.22</v>
      </c>
      <c r="R214" s="8">
        <f>IFERROR(Q214/Q444, "NA")</f>
        <v>3.054807480052122E-2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-13646.22</v>
      </c>
      <c r="X214" s="8">
        <f>IFERROR(W214/W444, "NA")</f>
        <v>0.41835585671895464</v>
      </c>
      <c r="Y214" s="9"/>
      <c r="Z214" s="7">
        <v>2070</v>
      </c>
      <c r="AA214" s="8">
        <f>IFERROR(Z214/Z444, "NA")</f>
        <v>5.0122860331971693E-3</v>
      </c>
      <c r="AB214" s="9"/>
      <c r="AC214" s="10">
        <f t="shared" si="59"/>
        <v>-11576.22</v>
      </c>
      <c r="AD214" s="8">
        <f>IFERROR(AC214/AC444, "NA")</f>
        <v>-0.34322569091536603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5.73</v>
      </c>
      <c r="R216" s="8">
        <f>IFERROR(Q216/Q444, "NA")</f>
        <v>1.2827029654145002E-5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-5.73</v>
      </c>
      <c r="X216" s="8">
        <f>IFERROR(W216/W444, "NA")</f>
        <v>1.7566615949322307E-4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-5.73</v>
      </c>
      <c r="AD216" s="8">
        <f>IFERROR(AC216/AC444, "NA")</f>
        <v>-1.6988993030065492E-4</v>
      </c>
    </row>
    <row r="217" spans="1:30" ht="16.5" customHeight="1" x14ac:dyDescent="0.45">
      <c r="A217" s="12" t="s">
        <v>197</v>
      </c>
      <c r="B217" s="7">
        <v>1620.11</v>
      </c>
      <c r="C217" s="8">
        <f>IFERROR(B217/B444, "NA")</f>
        <v>1.8706598154361449E-2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-1620.11</v>
      </c>
      <c r="I217" s="8">
        <f>IFERROR(H217/H444, "NA")</f>
        <v>5.4674172493401584E-2</v>
      </c>
      <c r="J217" s="9"/>
      <c r="K217" s="7">
        <v>289.5</v>
      </c>
      <c r="L217" s="8">
        <f>IFERROR(K217/K444, "NA")</f>
        <v>2.8641559050584259E-3</v>
      </c>
      <c r="M217" s="9"/>
      <c r="N217" s="10">
        <f t="shared" si="57"/>
        <v>-1330.61</v>
      </c>
      <c r="O217" s="8">
        <f>IFERROR(N217/N444, "NA")</f>
        <v>9.1952902997534308E-2</v>
      </c>
      <c r="P217" s="9"/>
      <c r="Q217" s="7">
        <v>15008.32</v>
      </c>
      <c r="R217" s="8">
        <f>IFERROR(Q217/Q444, "NA")</f>
        <v>3.3597236596666233E-2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-15008.32</v>
      </c>
      <c r="X217" s="8">
        <f>IFERROR(W217/W444, "NA")</f>
        <v>0.46011412475485675</v>
      </c>
      <c r="Y217" s="9"/>
      <c r="Z217" s="7">
        <v>1200.97</v>
      </c>
      <c r="AA217" s="8">
        <f>IFERROR(Z217/Z444, "NA")</f>
        <v>2.9080218151153643E-3</v>
      </c>
      <c r="AB217" s="9"/>
      <c r="AC217" s="10">
        <f t="shared" si="59"/>
        <v>-13807.35</v>
      </c>
      <c r="AD217" s="8">
        <f>IFERROR(AC217/AC444, "NA")</f>
        <v>-0.40937691607971166</v>
      </c>
    </row>
    <row r="218" spans="1:30" ht="16.5" customHeight="1" x14ac:dyDescent="0.45">
      <c r="A218" s="13" t="s">
        <v>198</v>
      </c>
      <c r="B218" s="14">
        <f>IFERROR(B213+B214+B215+B216+B217, "NA")</f>
        <v>2330.42</v>
      </c>
      <c r="C218" s="15">
        <f>IFERROR(B218/B444, "NA")</f>
        <v>2.6908191709752428E-2</v>
      </c>
      <c r="D218" s="2"/>
      <c r="E218" s="14">
        <f>IFERROR(E213+E214+E215+E216+E217, "NA")</f>
        <v>4506.1400000000003</v>
      </c>
      <c r="F218" s="15">
        <f>IFERROR(E218/E444, "NA")</f>
        <v>3.8766352917877507E-2</v>
      </c>
      <c r="G218" s="2"/>
      <c r="H218" s="14">
        <f t="shared" si="56"/>
        <v>2175.7200000000003</v>
      </c>
      <c r="I218" s="15">
        <f>IFERROR(H218/H444, "NA")</f>
        <v>-7.3424453016982624E-2</v>
      </c>
      <c r="J218" s="2"/>
      <c r="K218" s="14">
        <f>IFERROR(K213+K214+K215+K216+K217, "NA")</f>
        <v>749.5</v>
      </c>
      <c r="L218" s="15">
        <f>IFERROR(K218/K444, "NA")</f>
        <v>7.4151462896072202E-3</v>
      </c>
      <c r="M218" s="2"/>
      <c r="N218" s="14">
        <f t="shared" si="57"/>
        <v>-1580.92</v>
      </c>
      <c r="O218" s="15">
        <f>IFERROR(N218/N444, "NA")</f>
        <v>0.10925078227794918</v>
      </c>
      <c r="P218" s="2"/>
      <c r="Q218" s="14">
        <f>IFERROR(Q213+Q214+Q215+Q216+Q217, "NA")</f>
        <v>28660.269999999997</v>
      </c>
      <c r="R218" s="15">
        <f>IFERROR(Q218/Q444, "NA")</f>
        <v>6.4158138426841593E-2</v>
      </c>
      <c r="S218" s="2"/>
      <c r="T218" s="14">
        <f>IFERROR(T213+T214+T215+T216+T217, "NA")</f>
        <v>18411.43</v>
      </c>
      <c r="U218" s="15">
        <f>IFERROR(T218/T444, "NA")</f>
        <v>3.8410631036608855E-2</v>
      </c>
      <c r="V218" s="2"/>
      <c r="W218" s="14">
        <f t="shared" si="58"/>
        <v>-10248.839999999997</v>
      </c>
      <c r="X218" s="15">
        <f>IFERROR(W218/W444, "NA")</f>
        <v>0.3142014593473863</v>
      </c>
      <c r="Y218" s="2"/>
      <c r="Z218" s="14">
        <f>IFERROR(Z213+Z214+Z215+Z216+Z217, "NA")</f>
        <v>3270.9700000000003</v>
      </c>
      <c r="AA218" s="15">
        <f>IFERROR(Z218/Z444, "NA")</f>
        <v>7.9203078483125345E-3</v>
      </c>
      <c r="AB218" s="2"/>
      <c r="AC218" s="14">
        <f t="shared" si="59"/>
        <v>-25389.299999999996</v>
      </c>
      <c r="AD218" s="15">
        <f>IFERROR(AC218/AC444, "NA")</f>
        <v>-0.75277249692537818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0</v>
      </c>
      <c r="C222" s="8">
        <f>IFERROR(B222/B444, "NA")</f>
        <v>0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0</v>
      </c>
      <c r="I222" s="8">
        <f>IFERROR(H222/H444, "NA")</f>
        <v>0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0</v>
      </c>
      <c r="O222" s="8">
        <f>IFERROR(N222/N444, "NA")</f>
        <v>0</v>
      </c>
      <c r="P222" s="9"/>
      <c r="Q222" s="7">
        <v>758.74</v>
      </c>
      <c r="R222" s="8">
        <f>IFERROR(Q222/Q444, "NA")</f>
        <v>1.6984957207305373E-3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-758.74</v>
      </c>
      <c r="X222" s="8">
        <f>IFERROR(W222/W444, "NA")</f>
        <v>2.3260897356699485E-2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-758.74</v>
      </c>
      <c r="AD222" s="8">
        <f>IFERROR(AC222/AC444, "NA")</f>
        <v>-2.2496035901626337E-2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116.24</v>
      </c>
      <c r="F226" s="8">
        <f>IFERROR(E226/E444, "NA")</f>
        <v>1.0000135067206259E-3</v>
      </c>
      <c r="G226" s="9"/>
      <c r="H226" s="10">
        <f t="shared" si="56"/>
        <v>116.24</v>
      </c>
      <c r="I226" s="8">
        <f>IFERROR(H226/H444, "NA")</f>
        <v>-3.9227742626321673E-3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479.33</v>
      </c>
      <c r="U226" s="8">
        <f>IFERROR(T226/T444, "NA")</f>
        <v>9.9999662029389997E-4</v>
      </c>
      <c r="V226" s="9"/>
      <c r="W226" s="10">
        <f t="shared" si="58"/>
        <v>479.33</v>
      </c>
      <c r="X226" s="8">
        <f>IFERROR(W226/W444, "NA")</f>
        <v>-1.4694949429299581E-2</v>
      </c>
      <c r="Y226" s="9"/>
      <c r="Z226" s="7">
        <v>1334.74</v>
      </c>
      <c r="AA226" s="8">
        <f>IFERROR(Z226/Z444, "NA")</f>
        <v>3.2319317197824103E-3</v>
      </c>
      <c r="AB226" s="9"/>
      <c r="AC226" s="10">
        <f t="shared" si="59"/>
        <v>1334.74</v>
      </c>
      <c r="AD226" s="8">
        <f>IFERROR(AC226/AC444, "NA")</f>
        <v>3.957397653917908E-2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2330.42</v>
      </c>
      <c r="C227" s="15">
        <f>IFERROR(B227/B444, "NA")</f>
        <v>2.6908191709752428E-2</v>
      </c>
      <c r="D227" s="2"/>
      <c r="E227" s="14">
        <f>IFERROR(E211+E213+E214+E215+E216+E217+E219+E220+E221+E222+E223+E224+E225+E226, "NA")</f>
        <v>4622.38</v>
      </c>
      <c r="F227" s="15">
        <f>IFERROR(E227/E444, "NA")</f>
        <v>3.9766366424598132E-2</v>
      </c>
      <c r="G227" s="2"/>
      <c r="H227" s="14">
        <f t="shared" si="56"/>
        <v>2291.96</v>
      </c>
      <c r="I227" s="15">
        <f>IFERROR(H227/H444, "NA")</f>
        <v>-7.734722727961478E-2</v>
      </c>
      <c r="J227" s="2"/>
      <c r="K227" s="14">
        <f>IFERROR(K211+K213+K214+K215+K216+K217+K219+K220+K221+K222+K223+K224+K225+K226, "NA")</f>
        <v>749.5</v>
      </c>
      <c r="L227" s="15">
        <f>IFERROR(K227/K444, "NA")</f>
        <v>7.4151462896072202E-3</v>
      </c>
      <c r="M227" s="2"/>
      <c r="N227" s="14">
        <f t="shared" si="57"/>
        <v>-1580.92</v>
      </c>
      <c r="O227" s="15">
        <f>IFERROR(N227/N444, "NA")</f>
        <v>0.10925078227794918</v>
      </c>
      <c r="P227" s="2"/>
      <c r="Q227" s="14">
        <f>IFERROR(Q211+Q213+Q214+Q215+Q216+Q217+Q219+Q220+Q221+Q222+Q223+Q224+Q225+Q226, "NA")</f>
        <v>29419.01</v>
      </c>
      <c r="R227" s="15">
        <f>IFERROR(Q227/Q444, "NA")</f>
        <v>6.5856634147572132E-2</v>
      </c>
      <c r="S227" s="2"/>
      <c r="T227" s="14">
        <f>IFERROR(T211+T213+T214+T215+T216+T217+T219+T220+T221+T222+T223+T224+T225+T226, "NA")</f>
        <v>18890.760000000002</v>
      </c>
      <c r="U227" s="15">
        <f>IFERROR(T227/T444, "NA")</f>
        <v>3.9410627656902758E-2</v>
      </c>
      <c r="V227" s="2"/>
      <c r="W227" s="14">
        <f t="shared" si="58"/>
        <v>-10528.249999999996</v>
      </c>
      <c r="X227" s="15">
        <f>IFERROR(W227/W444, "NA")</f>
        <v>0.3227674072747862</v>
      </c>
      <c r="Y227" s="2"/>
      <c r="Z227" s="14">
        <f>IFERROR(Z211+Z213+Z214+Z215+Z216+Z217+Z219+Z220+Z221+Z222+Z223+Z224+Z225+Z226, "NA")</f>
        <v>4605.71</v>
      </c>
      <c r="AA227" s="15">
        <f>IFERROR(Z227/Z444, "NA")</f>
        <v>1.1152239568094944E-2</v>
      </c>
      <c r="AB227" s="2"/>
      <c r="AC227" s="14">
        <f t="shared" si="59"/>
        <v>-24813.3</v>
      </c>
      <c r="AD227" s="15">
        <f>IFERROR(AC227/AC444, "NA")</f>
        <v>-0.73569455628782554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1534.35</v>
      </c>
      <c r="F229" s="8">
        <f>IFERROR(E229/E444, "NA")</f>
        <v>1.3200023434590437E-2</v>
      </c>
      <c r="G229" s="9"/>
      <c r="H229" s="10">
        <f t="shared" ref="H229:H236" si="60">IFERROR(-(B229-E229), "NA")</f>
        <v>1534.35</v>
      </c>
      <c r="I229" s="8">
        <f>IFERROR(H229/H444, "NA")</f>
        <v>-5.1780012817185694E-2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6327.19</v>
      </c>
      <c r="U229" s="8">
        <f>IFERROR(T229/T444, "NA")</f>
        <v>1.3200026319982811E-2</v>
      </c>
      <c r="V229" s="9"/>
      <c r="W229" s="10">
        <f t="shared" ref="W229:W236" si="62">IFERROR(-(Q229-T229), "NA")</f>
        <v>6327.19</v>
      </c>
      <c r="X229" s="8">
        <f>IFERROR(W229/W444, "NA")</f>
        <v>-0.19397437481394866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-45</v>
      </c>
      <c r="AA230" s="8">
        <f>IFERROR(Z230/Z444, "NA")</f>
        <v>-1.0896273985211237E-4</v>
      </c>
      <c r="AB230" s="9"/>
      <c r="AC230" s="10">
        <f t="shared" si="63"/>
        <v>-45</v>
      </c>
      <c r="AD230" s="8">
        <f>IFERROR(AC230/AC444, "NA")</f>
        <v>-1.3342141123088083E-3</v>
      </c>
    </row>
    <row r="231" spans="1:30" ht="16.5" customHeight="1" x14ac:dyDescent="0.45">
      <c r="A231" s="6" t="s">
        <v>210</v>
      </c>
      <c r="B231" s="7">
        <v>182</v>
      </c>
      <c r="C231" s="8">
        <f>IFERROR(B231/B444, "NA")</f>
        <v>2.1014627797456861E-3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-182</v>
      </c>
      <c r="I231" s="8">
        <f>IFERROR(H231/H444, "NA")</f>
        <v>6.1419899845066624E-3</v>
      </c>
      <c r="J231" s="9"/>
      <c r="K231" s="7">
        <v>385.52</v>
      </c>
      <c r="L231" s="8">
        <f>IFERROR(K231/K444, "NA")</f>
        <v>3.8141256805461982E-3</v>
      </c>
      <c r="M231" s="9"/>
      <c r="N231" s="10">
        <f t="shared" si="61"/>
        <v>203.51999999999998</v>
      </c>
      <c r="O231" s="8">
        <f>IFERROR(N231/N444, "NA")</f>
        <v>-1.4064417686668659E-2</v>
      </c>
      <c r="P231" s="9"/>
      <c r="Q231" s="7">
        <v>1221.1300000000001</v>
      </c>
      <c r="R231" s="8">
        <f>IFERROR(Q231/Q444, "NA")</f>
        <v>2.7335900037637148E-3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-1221.1300000000001</v>
      </c>
      <c r="X231" s="8">
        <f>IFERROR(W231/W444, "NA")</f>
        <v>3.7436512625123819E-2</v>
      </c>
      <c r="Y231" s="9"/>
      <c r="Z231" s="7">
        <v>1536.02</v>
      </c>
      <c r="AA231" s="8">
        <f>IFERROR(Z231/Z444, "NA")</f>
        <v>3.7193099481698144E-3</v>
      </c>
      <c r="AB231" s="9"/>
      <c r="AC231" s="10">
        <f t="shared" si="63"/>
        <v>314.88999999999987</v>
      </c>
      <c r="AD231" s="8">
        <f>IFERROR(AC231/AC444, "NA")</f>
        <v>9.3362373738871216E-3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1387.28</v>
      </c>
      <c r="C234" s="8">
        <f>IFERROR(B234/B444, "NA")</f>
        <v>1.6018226841129645E-2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-1387.28</v>
      </c>
      <c r="I234" s="8">
        <f>IFERROR(H234/H444, "NA")</f>
        <v>4.6816812448936276E-2</v>
      </c>
      <c r="J234" s="9"/>
      <c r="K234" s="7">
        <v>2118.33</v>
      </c>
      <c r="L234" s="8">
        <f>IFERROR(K234/K444, "NA")</f>
        <v>2.0957607524567927E-2</v>
      </c>
      <c r="M234" s="9"/>
      <c r="N234" s="10">
        <f t="shared" si="61"/>
        <v>731.05</v>
      </c>
      <c r="O234" s="8">
        <f>IFERROR(N234/N444, "NA")</f>
        <v>-5.0519814022401348E-2</v>
      </c>
      <c r="P234" s="9"/>
      <c r="Q234" s="7">
        <v>5569.94</v>
      </c>
      <c r="R234" s="8">
        <f>IFERROR(Q234/Q444, "NA")</f>
        <v>1.2468723481990995E-2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-5569.94</v>
      </c>
      <c r="X234" s="8">
        <f>IFERROR(W234/W444, "NA")</f>
        <v>0.17075915679017151</v>
      </c>
      <c r="Y234" s="9"/>
      <c r="Z234" s="7">
        <v>7027.9</v>
      </c>
      <c r="AA234" s="8">
        <f>IFERROR(Z234/Z444, "NA")</f>
        <v>1.7017316431259123E-2</v>
      </c>
      <c r="AB234" s="9"/>
      <c r="AC234" s="10">
        <f t="shared" si="63"/>
        <v>1457.96</v>
      </c>
      <c r="AD234" s="8">
        <f>IFERROR(AC234/AC444, "NA")</f>
        <v>4.3227351270705559E-2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1569.28</v>
      </c>
      <c r="C236" s="15">
        <f>IFERROR(B236/B444, "NA")</f>
        <v>1.8119689620875332E-2</v>
      </c>
      <c r="D236" s="2"/>
      <c r="E236" s="14">
        <f>IFERROR(E229+E230+E231+E232+E233+E234+E235, "NA")</f>
        <v>1534.35</v>
      </c>
      <c r="F236" s="15">
        <f>IFERROR(E236/E444, "NA")</f>
        <v>1.3200023434590437E-2</v>
      </c>
      <c r="G236" s="2"/>
      <c r="H236" s="14">
        <f t="shared" si="60"/>
        <v>-34.930000000000064</v>
      </c>
      <c r="I236" s="15">
        <f>IFERROR(H236/H444, "NA")</f>
        <v>1.1787896162572423E-3</v>
      </c>
      <c r="J236" s="2"/>
      <c r="K236" s="14">
        <f>IFERROR(K229+K230+K231+K232+K233+K234+K235, "NA")</f>
        <v>2503.85</v>
      </c>
      <c r="L236" s="15">
        <f>IFERROR(K236/K444, "NA")</f>
        <v>2.4771733205114128E-2</v>
      </c>
      <c r="M236" s="2"/>
      <c r="N236" s="14">
        <f t="shared" si="61"/>
        <v>934.56999999999994</v>
      </c>
      <c r="O236" s="15">
        <f>IFERROR(N236/N444, "NA")</f>
        <v>-6.4584231709070003E-2</v>
      </c>
      <c r="P236" s="2"/>
      <c r="Q236" s="14">
        <f>IFERROR(Q229+Q230+Q231+Q232+Q233+Q234+Q235, "NA")</f>
        <v>6791.07</v>
      </c>
      <c r="R236" s="15">
        <f>IFERROR(Q236/Q444, "NA")</f>
        <v>1.5202313485754709E-2</v>
      </c>
      <c r="S236" s="2"/>
      <c r="T236" s="14">
        <f>IFERROR(T229+T230+T231+T232+T233+T234+T235, "NA")</f>
        <v>6327.19</v>
      </c>
      <c r="U236" s="15">
        <f>IFERROR(T236/T444, "NA")</f>
        <v>1.3200026319982811E-2</v>
      </c>
      <c r="V236" s="2"/>
      <c r="W236" s="14">
        <f t="shared" si="62"/>
        <v>-463.88000000000011</v>
      </c>
      <c r="X236" s="15">
        <f>IFERROR(W236/W444, "NA")</f>
        <v>1.4221294601346654E-2</v>
      </c>
      <c r="Y236" s="2"/>
      <c r="Z236" s="14">
        <f>IFERROR(Z229+Z230+Z231+Z232+Z233+Z234+Z235, "NA")</f>
        <v>8518.92</v>
      </c>
      <c r="AA236" s="15">
        <f>IFERROR(Z236/Z444, "NA")</f>
        <v>2.0627663639576826E-2</v>
      </c>
      <c r="AB236" s="2"/>
      <c r="AC236" s="14">
        <f t="shared" si="63"/>
        <v>1727.8500000000004</v>
      </c>
      <c r="AD236" s="15">
        <f>IFERROR(AC236/AC444, "NA")</f>
        <v>5.1229374532283885E-2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7119.37</v>
      </c>
      <c r="F240" s="8">
        <f>IFERROR(E240/E444, "NA")</f>
        <v>6.1247988294404872E-2</v>
      </c>
      <c r="G240" s="9"/>
      <c r="H240" s="10">
        <f t="shared" ref="H240:H263" si="64">IFERROR(-(B240-E240), "NA")</f>
        <v>7119.37</v>
      </c>
      <c r="I240" s="8">
        <f>IFERROR(H240/H444, "NA")</f>
        <v>-0.24025878701097361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29594.89</v>
      </c>
      <c r="U240" s="8">
        <f>IFERROR(T240/T444, "NA")</f>
        <v>6.1741993987377675E-2</v>
      </c>
      <c r="V240" s="9"/>
      <c r="W240" s="10">
        <f t="shared" ref="W240:W263" si="66">IFERROR(-(Q240-T240), "NA")</f>
        <v>29594.89</v>
      </c>
      <c r="X240" s="8">
        <f>IFERROR(W240/W444, "NA")</f>
        <v>-0.90729854571106316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1098.06</v>
      </c>
      <c r="C242" s="8">
        <f>IFERROR(B242/B444, "NA")</f>
        <v>1.2678748461140374E-2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-1098.06</v>
      </c>
      <c r="I242" s="8">
        <f>IFERROR(H242/H444, "NA")</f>
        <v>3.7056447925205412E-2</v>
      </c>
      <c r="J242" s="9"/>
      <c r="K242" s="7">
        <v>1042</v>
      </c>
      <c r="L242" s="8">
        <f>IFERROR(K242/K444, "NA")</f>
        <v>1.0308982566738791E-2</v>
      </c>
      <c r="M242" s="9"/>
      <c r="N242" s="10">
        <f t="shared" si="65"/>
        <v>-56.059999999999945</v>
      </c>
      <c r="O242" s="8">
        <f>IFERROR(N242/N444, "NA")</f>
        <v>3.8740725998164518E-3</v>
      </c>
      <c r="P242" s="9"/>
      <c r="Q242" s="7">
        <v>6613.77</v>
      </c>
      <c r="R242" s="8">
        <f>IFERROR(Q242/Q444, "NA")</f>
        <v>1.4805414295932738E-2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-6613.77</v>
      </c>
      <c r="X242" s="8">
        <f>IFERROR(W242/W444, "NA")</f>
        <v>0.20276013537024326</v>
      </c>
      <c r="Y242" s="9"/>
      <c r="Z242" s="7">
        <v>4945.42</v>
      </c>
      <c r="AA242" s="8">
        <f>IFERROR(Z242/Z444, "NA")</f>
        <v>1.1974811398209636E-2</v>
      </c>
      <c r="AB242" s="9"/>
      <c r="AC242" s="10">
        <f t="shared" si="67"/>
        <v>-1668.3500000000004</v>
      </c>
      <c r="AD242" s="8">
        <f>IFERROR(AC242/AC444, "NA")</f>
        <v>-4.9465246983786682E-2</v>
      </c>
    </row>
    <row r="243" spans="1:30" ht="16.5" customHeight="1" x14ac:dyDescent="0.45">
      <c r="A243" s="12" t="s">
        <v>220</v>
      </c>
      <c r="B243" s="7">
        <v>1335.19</v>
      </c>
      <c r="C243" s="8">
        <f>IFERROR(B243/B444, "NA")</f>
        <v>1.5416769719168368E-2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-1335.19</v>
      </c>
      <c r="I243" s="8">
        <f>IFERROR(H243/H444, "NA")</f>
        <v>4.5058920919854126E-2</v>
      </c>
      <c r="J243" s="9"/>
      <c r="K243" s="7">
        <v>3491.99</v>
      </c>
      <c r="L243" s="8">
        <f>IFERROR(K243/K444, "NA")</f>
        <v>3.4547854158566399E-2</v>
      </c>
      <c r="M243" s="9"/>
      <c r="N243" s="10">
        <f t="shared" si="65"/>
        <v>2156.7999999999997</v>
      </c>
      <c r="O243" s="8">
        <f>IFERROR(N243/N444, "NA")</f>
        <v>-0.14904744529582822</v>
      </c>
      <c r="P243" s="9"/>
      <c r="Q243" s="7">
        <v>6581.68</v>
      </c>
      <c r="R243" s="8">
        <f>IFERROR(Q243/Q444, "NA")</f>
        <v>1.4733578452721304E-2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-6581.68</v>
      </c>
      <c r="X243" s="8">
        <f>IFERROR(W243/W444, "NA")</f>
        <v>0.20177634356254037</v>
      </c>
      <c r="Y243" s="9"/>
      <c r="Z243" s="7">
        <v>10885.66</v>
      </c>
      <c r="AA243" s="8">
        <f>IFERROR(Z243/Z444, "NA")</f>
        <v>2.6358474193301014E-2</v>
      </c>
      <c r="AB243" s="9"/>
      <c r="AC243" s="10">
        <f t="shared" si="67"/>
        <v>4303.9799999999996</v>
      </c>
      <c r="AD243" s="8">
        <f>IFERROR(AC243/AC444, "NA")</f>
        <v>0.12760957455766364</v>
      </c>
    </row>
    <row r="244" spans="1:30" ht="16.5" customHeight="1" x14ac:dyDescent="0.45">
      <c r="A244" s="12" t="s">
        <v>221</v>
      </c>
      <c r="B244" s="7">
        <v>465.54</v>
      </c>
      <c r="C244" s="8">
        <f>IFERROR(B244/B444, "NA")</f>
        <v>5.3753570466088287E-3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-465.54</v>
      </c>
      <c r="I244" s="8">
        <f>IFERROR(H244/H444, "NA")</f>
        <v>1.5710670425204569E-2</v>
      </c>
      <c r="J244" s="9"/>
      <c r="K244" s="7">
        <v>107.98</v>
      </c>
      <c r="L244" s="8">
        <f>IFERROR(K244/K444, "NA")</f>
        <v>1.0682955254860409E-3</v>
      </c>
      <c r="M244" s="9"/>
      <c r="N244" s="10">
        <f t="shared" si="65"/>
        <v>-357.56</v>
      </c>
      <c r="O244" s="8">
        <f>IFERROR(N244/N444, "NA")</f>
        <v>2.4709479107926719E-2</v>
      </c>
      <c r="P244" s="9"/>
      <c r="Q244" s="7">
        <v>2329.9699999999998</v>
      </c>
      <c r="R244" s="8">
        <f>IFERROR(Q244/Q444, "NA")</f>
        <v>5.215810520640179E-3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-2329.9699999999998</v>
      </c>
      <c r="X244" s="8">
        <f>IFERROR(W244/W444, "NA")</f>
        <v>7.1430520355047974E-2</v>
      </c>
      <c r="Y244" s="9"/>
      <c r="Z244" s="7">
        <v>198.76</v>
      </c>
      <c r="AA244" s="8">
        <f>IFERROR(Z244/Z444, "NA")</f>
        <v>4.8127631495568565E-4</v>
      </c>
      <c r="AB244" s="9"/>
      <c r="AC244" s="10">
        <f t="shared" si="67"/>
        <v>-2131.21</v>
      </c>
      <c r="AD244" s="8">
        <f>IFERROR(AC244/AC444, "NA")</f>
        <v>-6.3188676850970113E-2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396.57</v>
      </c>
      <c r="C246" s="8">
        <f>IFERROR(B246/B444, "NA")</f>
        <v>4.5789950250755317E-3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-396.57</v>
      </c>
      <c r="I246" s="8">
        <f>IFERROR(H246/H444, "NA")</f>
        <v>1.3383126198658279E-2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-396.57</v>
      </c>
      <c r="O246" s="8">
        <f>IFERROR(N246/N444, "NA")</f>
        <v>2.7405297376190005E-2</v>
      </c>
      <c r="P246" s="9"/>
      <c r="Q246" s="7">
        <v>2006.6</v>
      </c>
      <c r="R246" s="8">
        <f>IFERROR(Q246/Q444, "NA")</f>
        <v>4.4919228104724884E-3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-2006.6</v>
      </c>
      <c r="X246" s="8">
        <f>IFERROR(W246/W444, "NA")</f>
        <v>6.1516878820087495E-2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-2006.6</v>
      </c>
      <c r="AD246" s="8">
        <f>IFERROR(AC246/AC444, "NA")</f>
        <v>-5.9494089727974542E-2</v>
      </c>
    </row>
    <row r="247" spans="1:30" ht="16.5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18.489999999999998</v>
      </c>
      <c r="L247" s="8">
        <f>IFERROR(K247/K444, "NA")</f>
        <v>1.829300265441461E-4</v>
      </c>
      <c r="M247" s="9"/>
      <c r="N247" s="10">
        <f t="shared" si="65"/>
        <v>18.489999999999998</v>
      </c>
      <c r="O247" s="8">
        <f>IFERROR(N247/N444, "NA")</f>
        <v>-1.2777667208456343E-3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129.27000000000001</v>
      </c>
      <c r="AA247" s="8">
        <f>IFERROR(Z247/Z444, "NA")</f>
        <v>3.1301363068183483E-4</v>
      </c>
      <c r="AB247" s="9"/>
      <c r="AC247" s="10">
        <f t="shared" si="67"/>
        <v>129.27000000000001</v>
      </c>
      <c r="AD247" s="8">
        <f>IFERROR(AC247/AC444, "NA")</f>
        <v>3.83275240662577E-3</v>
      </c>
    </row>
    <row r="248" spans="1:30" ht="16.5" customHeight="1" x14ac:dyDescent="0.45">
      <c r="A248" s="12" t="s">
        <v>225</v>
      </c>
      <c r="B248" s="7">
        <v>270.29000000000002</v>
      </c>
      <c r="C248" s="8">
        <f>IFERROR(B248/B444, "NA")</f>
        <v>3.1209031578981403E-3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-270.29000000000002</v>
      </c>
      <c r="I248" s="8">
        <f>IFERROR(H248/H444, "NA")</f>
        <v>9.1215300709467356E-3</v>
      </c>
      <c r="J248" s="9"/>
      <c r="K248" s="7">
        <v>282.08999999999997</v>
      </c>
      <c r="L248" s="8">
        <f>IFERROR(K248/K444, "NA")</f>
        <v>2.7908453860377592E-3</v>
      </c>
      <c r="M248" s="9"/>
      <c r="N248" s="10">
        <f t="shared" si="65"/>
        <v>11.799999999999955</v>
      </c>
      <c r="O248" s="8">
        <f>IFERROR(N248/N444, "NA")</f>
        <v>-8.1544874559104526E-4</v>
      </c>
      <c r="P248" s="9"/>
      <c r="Q248" s="7">
        <v>1329.9</v>
      </c>
      <c r="R248" s="8">
        <f>IFERROR(Q248/Q444, "NA")</f>
        <v>2.977079709781403E-3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-1329.9</v>
      </c>
      <c r="X248" s="8">
        <f>IFERROR(W248/W444, "NA")</f>
        <v>4.0771103928453289E-2</v>
      </c>
      <c r="Y248" s="9"/>
      <c r="Z248" s="7">
        <v>1182.5899999999999</v>
      </c>
      <c r="AA248" s="8">
        <f>IFERROR(Z248/Z444, "NA")</f>
        <v>2.8635165893713234E-3</v>
      </c>
      <c r="AB248" s="9"/>
      <c r="AC248" s="10">
        <f t="shared" si="67"/>
        <v>-147.31000000000017</v>
      </c>
      <c r="AD248" s="8">
        <f>IFERROR(AC248/AC444, "NA")</f>
        <v>-4.3676240196491283E-3</v>
      </c>
    </row>
    <row r="249" spans="1:30" ht="16.5" customHeight="1" x14ac:dyDescent="0.45">
      <c r="A249" s="12" t="s">
        <v>226</v>
      </c>
      <c r="B249" s="7">
        <v>1314.02</v>
      </c>
      <c r="C249" s="8">
        <f>IFERROR(B249/B444, "NA")</f>
        <v>1.5172330339788058E-2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-1314.02</v>
      </c>
      <c r="I249" s="8">
        <f>IFERROR(H249/H444, "NA")</f>
        <v>4.4344492744183762E-2</v>
      </c>
      <c r="J249" s="9"/>
      <c r="K249" s="7">
        <v>1500.79</v>
      </c>
      <c r="L249" s="8">
        <f>IFERROR(K249/K444, "NA")</f>
        <v>1.484800186788475E-2</v>
      </c>
      <c r="M249" s="9"/>
      <c r="N249" s="10">
        <f t="shared" si="65"/>
        <v>186.76999999999998</v>
      </c>
      <c r="O249" s="8">
        <f>IFERROR(N249/N444, "NA")</f>
        <v>-1.2906895102884754E-2</v>
      </c>
      <c r="P249" s="9"/>
      <c r="Q249" s="7">
        <v>9655.5400000000009</v>
      </c>
      <c r="R249" s="8">
        <f>IFERROR(Q249/Q444, "NA")</f>
        <v>2.1614641868548556E-2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-9655.5400000000009</v>
      </c>
      <c r="X249" s="8">
        <f>IFERROR(W249/W444, "NA")</f>
        <v>0.29601250080858549</v>
      </c>
      <c r="Y249" s="9"/>
      <c r="Z249" s="7">
        <v>6549.67</v>
      </c>
      <c r="AA249" s="8">
        <f>IFERROR(Z249/Z444, "NA")</f>
        <v>1.5859333073937443E-2</v>
      </c>
      <c r="AB249" s="9"/>
      <c r="AC249" s="10">
        <f t="shared" si="67"/>
        <v>-3105.8700000000008</v>
      </c>
      <c r="AD249" s="8">
        <f>IFERROR(AC249/AC444, "NA")</f>
        <v>-9.2086568555479101E-2</v>
      </c>
    </row>
    <row r="250" spans="1:30" ht="16.5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0.6</v>
      </c>
      <c r="AA250" s="8">
        <f>IFERROR(Z250/Z444, "NA")</f>
        <v>1.4528365313614984E-6</v>
      </c>
      <c r="AB250" s="9"/>
      <c r="AC250" s="10">
        <f t="shared" si="67"/>
        <v>0.6</v>
      </c>
      <c r="AD250" s="8">
        <f>IFERROR(AC250/AC444, "NA")</f>
        <v>1.7789521497450775E-5</v>
      </c>
    </row>
    <row r="251" spans="1:30" ht="16.5" customHeight="1" x14ac:dyDescent="0.45">
      <c r="A251" s="12" t="s">
        <v>228</v>
      </c>
      <c r="B251" s="7">
        <v>28.47</v>
      </c>
      <c r="C251" s="8">
        <f>IFERROR(B251/B444, "NA")</f>
        <v>3.2872882054593234E-4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-28.47</v>
      </c>
      <c r="I251" s="8">
        <f>IFERROR(H251/H444, "NA")</f>
        <v>9.6078271900497066E-4</v>
      </c>
      <c r="J251" s="9"/>
      <c r="K251" s="7">
        <v>68.2</v>
      </c>
      <c r="L251" s="8">
        <f>IFERROR(K251/K444, "NA")</f>
        <v>6.7473379179614737E-4</v>
      </c>
      <c r="M251" s="9"/>
      <c r="N251" s="10">
        <f t="shared" si="65"/>
        <v>39.730000000000004</v>
      </c>
      <c r="O251" s="8">
        <f>IFERROR(N251/N444, "NA")</f>
        <v>-2.7455744629095217E-3</v>
      </c>
      <c r="P251" s="9"/>
      <c r="Q251" s="7">
        <v>265.01</v>
      </c>
      <c r="R251" s="8">
        <f>IFERROR(Q251/Q444, "NA")</f>
        <v>5.9324452506892957E-4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-265.01</v>
      </c>
      <c r="X251" s="8">
        <f>IFERROR(W251/W444, "NA")</f>
        <v>8.124483233385521E-3</v>
      </c>
      <c r="Y251" s="9"/>
      <c r="Z251" s="7">
        <v>232.42</v>
      </c>
      <c r="AA251" s="8">
        <f>IFERROR(Z251/Z444, "NA")</f>
        <v>5.6278044436506571E-4</v>
      </c>
      <c r="AB251" s="9"/>
      <c r="AC251" s="10">
        <f t="shared" si="67"/>
        <v>-32.590000000000003</v>
      </c>
      <c r="AD251" s="8">
        <f>IFERROR(AC251/AC444, "NA")</f>
        <v>-9.6626750933653479E-4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61.41</v>
      </c>
      <c r="L255" s="8">
        <f>IFERROR(K255/K444, "NA")</f>
        <v>6.0755721633726396E-4</v>
      </c>
      <c r="M255" s="9"/>
      <c r="N255" s="10">
        <f t="shared" si="65"/>
        <v>61.41</v>
      </c>
      <c r="O255" s="8">
        <f>IFERROR(N255/N444, "NA")</f>
        <v>-4.2437887683683291E-3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178.46</v>
      </c>
      <c r="AA255" s="8">
        <f>IFERROR(Z255/Z444, "NA")</f>
        <v>4.3212201231128834E-4</v>
      </c>
      <c r="AB255" s="9"/>
      <c r="AC255" s="10">
        <f t="shared" si="67"/>
        <v>178.46</v>
      </c>
      <c r="AD255" s="8">
        <f>IFERROR(AC255/AC444, "NA")</f>
        <v>5.2911966773917761E-3</v>
      </c>
    </row>
    <row r="256" spans="1:30" ht="16.5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37.549999999999997</v>
      </c>
      <c r="AA256" s="8">
        <f>IFERROR(Z256/Z444, "NA")</f>
        <v>9.0923352921040425E-5</v>
      </c>
      <c r="AB256" s="9"/>
      <c r="AC256" s="10">
        <f t="shared" si="67"/>
        <v>37.549999999999997</v>
      </c>
      <c r="AD256" s="8">
        <f>IFERROR(AC256/AC444, "NA")</f>
        <v>1.113327553715461E-3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4908.1400000000003</v>
      </c>
      <c r="C262" s="15">
        <f>IFERROR(B262/B444, "NA")</f>
        <v>5.6671832570225233E-2</v>
      </c>
      <c r="D262" s="2"/>
      <c r="E262" s="14">
        <f>IFERROR(E240+E241+E242+E243+E244+E245+E246+E247+E248+E249+E250+E251+E252+E253+E254+E255+E256+E257+E258+E259+E260+E261, "NA")</f>
        <v>7119.37</v>
      </c>
      <c r="F262" s="15">
        <f>IFERROR(E262/E444, "NA")</f>
        <v>6.1247988294404872E-2</v>
      </c>
      <c r="G262" s="2"/>
      <c r="H262" s="14">
        <f t="shared" si="64"/>
        <v>2211.2299999999996</v>
      </c>
      <c r="I262" s="15">
        <f>IFERROR(H262/H444, "NA")</f>
        <v>-7.4622816007915732E-2</v>
      </c>
      <c r="J262" s="2"/>
      <c r="K262" s="14">
        <f>IFERROR(K240+K241+K242+K243+K244+K245+K246+K247+K248+K249+K250+K251+K252+K253+K254+K255+K256+K257+K258+K259+K260+K261, "NA")</f>
        <v>6572.9499999999989</v>
      </c>
      <c r="L262" s="15">
        <f>IFERROR(K262/K444, "NA")</f>
        <v>6.5029200539391291E-2</v>
      </c>
      <c r="M262" s="2"/>
      <c r="N262" s="14">
        <f t="shared" si="65"/>
        <v>1664.8099999999986</v>
      </c>
      <c r="O262" s="15">
        <f>IFERROR(N262/N444, "NA")</f>
        <v>-0.11504807001249426</v>
      </c>
      <c r="P262" s="2"/>
      <c r="Q262" s="14">
        <f>IFERROR(Q240+Q241+Q242+Q243+Q244+Q245+Q246+Q247+Q248+Q249+Q250+Q251+Q252+Q253+Q254+Q255+Q256+Q257+Q258+Q259+Q260+Q261, "NA")</f>
        <v>28782.47</v>
      </c>
      <c r="R262" s="15">
        <f>IFERROR(Q262/Q444, "NA")</f>
        <v>6.4431692183165593E-2</v>
      </c>
      <c r="S262" s="2"/>
      <c r="T262" s="14">
        <f>IFERROR(T240+T241+T242+T243+T244+T245+T246+T247+T248+T249+T250+T251+T252+T253+T254+T255+T256+T257+T258+T259+T260+T261, "NA")</f>
        <v>29594.89</v>
      </c>
      <c r="U262" s="15">
        <f>IFERROR(T262/T444, "NA")</f>
        <v>6.1741993987377675E-2</v>
      </c>
      <c r="V262" s="2"/>
      <c r="W262" s="14">
        <f t="shared" si="66"/>
        <v>812.41999999999825</v>
      </c>
      <c r="X262" s="15">
        <f>IFERROR(W262/W444, "NA")</f>
        <v>-2.4906579632719715E-2</v>
      </c>
      <c r="Y262" s="2"/>
      <c r="Z262" s="14">
        <f>IFERROR(Z240+Z241+Z242+Z243+Z244+Z245+Z246+Z247+Z248+Z249+Z250+Z251+Z252+Z253+Z254+Z255+Z256+Z257+Z258+Z259+Z260+Z261, "NA")</f>
        <v>24340.399999999998</v>
      </c>
      <c r="AA262" s="15">
        <f>IFERROR(Z262/Z444, "NA")</f>
        <v>5.8937703846585685E-2</v>
      </c>
      <c r="AB262" s="2"/>
      <c r="AC262" s="14">
        <f t="shared" si="67"/>
        <v>-4442.0700000000033</v>
      </c>
      <c r="AD262" s="15">
        <f>IFERROR(AC262/AC444, "NA")</f>
        <v>-0.13170383293030205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4908.1400000000003</v>
      </c>
      <c r="C263" s="15">
        <f>IFERROR(B263/B444, "NA")</f>
        <v>5.6671832570225233E-2</v>
      </c>
      <c r="D263" s="2"/>
      <c r="E263" s="14">
        <f>IFERROR(E238+E240+E241+E242+E243+E244+E245+E246+E247+E248+E249+E250+E251+E252+E253+E254+E255+E256+E257+E258+E259+E260+E261, "NA")</f>
        <v>7119.37</v>
      </c>
      <c r="F263" s="15">
        <f>IFERROR(E263/E444, "NA")</f>
        <v>6.1247988294404872E-2</v>
      </c>
      <c r="G263" s="2"/>
      <c r="H263" s="14">
        <f t="shared" si="64"/>
        <v>2211.2299999999996</v>
      </c>
      <c r="I263" s="15">
        <f>IFERROR(H263/H444, "NA")</f>
        <v>-7.4622816007915732E-2</v>
      </c>
      <c r="J263" s="2"/>
      <c r="K263" s="14">
        <f>IFERROR(K238+K240+K241+K242+K243+K244+K245+K246+K247+K248+K249+K250+K251+K252+K253+K254+K255+K256+K257+K258+K259+K260+K261, "NA")</f>
        <v>6572.9499999999989</v>
      </c>
      <c r="L263" s="15">
        <f>IFERROR(K263/K444, "NA")</f>
        <v>6.5029200539391291E-2</v>
      </c>
      <c r="M263" s="2"/>
      <c r="N263" s="14">
        <f t="shared" si="65"/>
        <v>1664.8099999999986</v>
      </c>
      <c r="O263" s="15">
        <f>IFERROR(N263/N444, "NA")</f>
        <v>-0.11504807001249426</v>
      </c>
      <c r="P263" s="2"/>
      <c r="Q263" s="14">
        <f>IFERROR(Q238+Q240+Q241+Q242+Q243+Q244+Q245+Q246+Q247+Q248+Q249+Q250+Q251+Q252+Q253+Q254+Q255+Q256+Q257+Q258+Q259+Q260+Q261, "NA")</f>
        <v>28782.47</v>
      </c>
      <c r="R263" s="15">
        <f>IFERROR(Q263/Q444, "NA")</f>
        <v>6.4431692183165593E-2</v>
      </c>
      <c r="S263" s="2"/>
      <c r="T263" s="14">
        <f>IFERROR(T238+T240+T241+T242+T243+T244+T245+T246+T247+T248+T249+T250+T251+T252+T253+T254+T255+T256+T257+T258+T259+T260+T261, "NA")</f>
        <v>29594.89</v>
      </c>
      <c r="U263" s="15">
        <f>IFERROR(T263/T444, "NA")</f>
        <v>6.1741993987377675E-2</v>
      </c>
      <c r="V263" s="2"/>
      <c r="W263" s="14">
        <f t="shared" si="66"/>
        <v>812.41999999999825</v>
      </c>
      <c r="X263" s="15">
        <f>IFERROR(W263/W444, "NA")</f>
        <v>-2.4906579632719715E-2</v>
      </c>
      <c r="Y263" s="2"/>
      <c r="Z263" s="14">
        <f>IFERROR(Z238+Z240+Z241+Z242+Z243+Z244+Z245+Z246+Z247+Z248+Z249+Z250+Z251+Z252+Z253+Z254+Z255+Z256+Z257+Z258+Z259+Z260+Z261, "NA")</f>
        <v>24340.399999999998</v>
      </c>
      <c r="AA263" s="15">
        <f>IFERROR(Z263/Z444, "NA")</f>
        <v>5.8937703846585685E-2</v>
      </c>
      <c r="AB263" s="2"/>
      <c r="AC263" s="14">
        <f t="shared" si="67"/>
        <v>-4442.0700000000033</v>
      </c>
      <c r="AD263" s="15">
        <f>IFERROR(AC263/AC444, "NA")</f>
        <v>-0.13170383293030205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2295.16</v>
      </c>
      <c r="C265" s="8">
        <f>IFERROR(B265/B444, "NA")</f>
        <v>2.6501062162423674E-2</v>
      </c>
      <c r="D265" s="9"/>
      <c r="E265" s="7">
        <v>3022.2</v>
      </c>
      <c r="F265" s="8">
        <f>IFERROR(E265/E444, "NA")</f>
        <v>2.6000007054465549E-2</v>
      </c>
      <c r="G265" s="9"/>
      <c r="H265" s="10">
        <f>IFERROR(-(B265-E265), "NA")</f>
        <v>727.04</v>
      </c>
      <c r="I265" s="8">
        <f>IFERROR(H265/H444, "NA")</f>
        <v>-2.4535562628218262E-2</v>
      </c>
      <c r="J265" s="9"/>
      <c r="K265" s="7">
        <v>2815.23</v>
      </c>
      <c r="L265" s="8">
        <f>IFERROR(K265/K444, "NA")</f>
        <v>2.7852357957159353E-2</v>
      </c>
      <c r="M265" s="9"/>
      <c r="N265" s="10">
        <f>IFERROR(-(B265-K265), "NA")</f>
        <v>520.07000000000016</v>
      </c>
      <c r="O265" s="8">
        <f>IFERROR(N265/N444, "NA")</f>
        <v>-3.5939866874537006E-2</v>
      </c>
      <c r="P265" s="9"/>
      <c r="Q265" s="7">
        <v>10622.17</v>
      </c>
      <c r="R265" s="8">
        <f>IFERROR(Q265/Q444, "NA")</f>
        <v>2.3778514761146494E-2</v>
      </c>
      <c r="S265" s="9"/>
      <c r="T265" s="7">
        <v>12590.26</v>
      </c>
      <c r="U265" s="8">
        <f>IFERROR(T265/T444, "NA")</f>
        <v>2.6266283038035337E-2</v>
      </c>
      <c r="V265" s="9"/>
      <c r="W265" s="10">
        <f>IFERROR(-(Q265-T265), "NA")</f>
        <v>1968.0900000000001</v>
      </c>
      <c r="X265" s="8">
        <f>IFERROR(W265/W444, "NA")</f>
        <v>-6.0336267336303206E-2</v>
      </c>
      <c r="Y265" s="9"/>
      <c r="Z265" s="7">
        <v>11085.74</v>
      </c>
      <c r="AA265" s="8">
        <f>IFERROR(Z265/Z444, "NA")</f>
        <v>2.6842946748625692E-2</v>
      </c>
      <c r="AB265" s="9"/>
      <c r="AC265" s="10">
        <f>IFERROR(-(Q265-Z265), "NA")</f>
        <v>463.56999999999971</v>
      </c>
      <c r="AD265" s="8">
        <f>IFERROR(AC265/AC444, "NA")</f>
        <v>1.3744480800955418E-2</v>
      </c>
    </row>
    <row r="266" spans="1:30" ht="16.5" hidden="1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0</v>
      </c>
      <c r="R266" s="8">
        <f>IFERROR(Q266/Q444, "NA")</f>
        <v>0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0</v>
      </c>
      <c r="X266" s="8">
        <f>IFERROR(W266/W444, "NA")</f>
        <v>0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0</v>
      </c>
      <c r="AD266" s="8">
        <f>IFERROR(AC266/AC444, "NA")</f>
        <v>0</v>
      </c>
    </row>
    <row r="267" spans="1:30" ht="16.5" customHeight="1" x14ac:dyDescent="0.45">
      <c r="A267" s="19" t="s">
        <v>243</v>
      </c>
      <c r="B267" s="14">
        <f>IFERROR(B265+B266, "NA")</f>
        <v>2295.16</v>
      </c>
      <c r="C267" s="15">
        <f>IFERROR(B267/B444, "NA")</f>
        <v>2.6501062162423674E-2</v>
      </c>
      <c r="D267" s="2"/>
      <c r="E267" s="14">
        <f>IFERROR(E265+E266, "NA")</f>
        <v>3022.2</v>
      </c>
      <c r="F267" s="15">
        <f>IFERROR(E267/E444, "NA")</f>
        <v>2.6000007054465549E-2</v>
      </c>
      <c r="G267" s="2"/>
      <c r="H267" s="14">
        <f>IFERROR(-(B267-E267), "NA")</f>
        <v>727.04</v>
      </c>
      <c r="I267" s="15">
        <f>IFERROR(H267/H444, "NA")</f>
        <v>-2.4535562628218262E-2</v>
      </c>
      <c r="J267" s="2"/>
      <c r="K267" s="14">
        <f>IFERROR(K265+K266, "NA")</f>
        <v>2815.23</v>
      </c>
      <c r="L267" s="15">
        <f>IFERROR(K267/K444, "NA")</f>
        <v>2.7852357957159353E-2</v>
      </c>
      <c r="M267" s="2"/>
      <c r="N267" s="14">
        <f>IFERROR(-(B267-K267), "NA")</f>
        <v>520.07000000000016</v>
      </c>
      <c r="O267" s="15">
        <f>IFERROR(N267/N444, "NA")</f>
        <v>-3.5939866874537006E-2</v>
      </c>
      <c r="P267" s="2"/>
      <c r="Q267" s="14">
        <f>IFERROR(Q265+Q266, "NA")</f>
        <v>10622.17</v>
      </c>
      <c r="R267" s="15">
        <f>IFERROR(Q267/Q444, "NA")</f>
        <v>2.3778514761146494E-2</v>
      </c>
      <c r="S267" s="2"/>
      <c r="T267" s="14">
        <f>IFERROR(T265+T266, "NA")</f>
        <v>12590.26</v>
      </c>
      <c r="U267" s="15">
        <f>IFERROR(T267/T444, "NA")</f>
        <v>2.6266283038035337E-2</v>
      </c>
      <c r="V267" s="2"/>
      <c r="W267" s="14">
        <f>IFERROR(-(Q267-T267), "NA")</f>
        <v>1968.0900000000001</v>
      </c>
      <c r="X267" s="15">
        <f>IFERROR(W267/W444, "NA")</f>
        <v>-6.0336267336303206E-2</v>
      </c>
      <c r="Y267" s="2"/>
      <c r="Z267" s="14">
        <f>IFERROR(Z265+Z266, "NA")</f>
        <v>11085.74</v>
      </c>
      <c r="AA267" s="15">
        <f>IFERROR(Z267/Z444, "NA")</f>
        <v>2.6842946748625692E-2</v>
      </c>
      <c r="AB267" s="2"/>
      <c r="AC267" s="14">
        <f>IFERROR(-(Q267-Z267), "NA")</f>
        <v>463.56999999999971</v>
      </c>
      <c r="AD267" s="15">
        <f>IFERROR(AC267/AC444, "NA")</f>
        <v>1.3744480800955418E-2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429.37</v>
      </c>
      <c r="C270" s="8">
        <f>IFERROR(B270/B444, "NA")</f>
        <v>4.957720185381348E-3</v>
      </c>
      <c r="D270" s="9"/>
      <c r="E270" s="7">
        <v>168.97</v>
      </c>
      <c r="F270" s="8">
        <f>IFERROR(E270/E444, "NA")</f>
        <v>1.4536500536010337E-3</v>
      </c>
      <c r="G270" s="9"/>
      <c r="H270" s="10">
        <f>IFERROR(-(B270-E270), "NA")</f>
        <v>-260.39999999999998</v>
      </c>
      <c r="I270" s="8">
        <f>IFERROR(H270/H444, "NA")</f>
        <v>8.7877702855249165E-3</v>
      </c>
      <c r="J270" s="9"/>
      <c r="K270" s="7">
        <v>296.5</v>
      </c>
      <c r="L270" s="8">
        <f>IFERROR(K270/K444, "NA")</f>
        <v>2.9334101065624295E-3</v>
      </c>
      <c r="M270" s="9"/>
      <c r="N270" s="10">
        <f>IFERROR(-(B270-K270), "NA")</f>
        <v>-132.87</v>
      </c>
      <c r="O270" s="8">
        <f>IFERROR(N270/N444, "NA")</f>
        <v>9.1820910870070004E-3</v>
      </c>
      <c r="P270" s="9"/>
      <c r="Q270" s="7">
        <v>1972.61</v>
      </c>
      <c r="R270" s="8">
        <f>IFERROR(Q270/Q444, "NA")</f>
        <v>4.41583367645078E-3</v>
      </c>
      <c r="S270" s="9"/>
      <c r="T270" s="7">
        <v>910.12</v>
      </c>
      <c r="U270" s="8">
        <f>IFERROR(T270/T444, "NA")</f>
        <v>1.8987272318901057E-3</v>
      </c>
      <c r="V270" s="9"/>
      <c r="W270" s="10">
        <f>IFERROR(-(Q270-T270), "NA")</f>
        <v>-1062.4899999999998</v>
      </c>
      <c r="X270" s="8">
        <f>IFERROR(W270/W444, "NA")</f>
        <v>3.2573043246065359E-2</v>
      </c>
      <c r="Y270" s="9"/>
      <c r="Z270" s="7">
        <v>1482.5</v>
      </c>
      <c r="AA270" s="8">
        <f>IFERROR(Z270/Z444, "NA")</f>
        <v>3.5897169295723689E-3</v>
      </c>
      <c r="AB270" s="9"/>
      <c r="AC270" s="10">
        <f>IFERROR(-(Q270-Z270), "NA")</f>
        <v>-490.1099999999999</v>
      </c>
      <c r="AD270" s="8">
        <f>IFERROR(AC270/AC444, "NA")</f>
        <v>-1.4531370635192664E-2</v>
      </c>
    </row>
    <row r="271" spans="1:30" ht="16.5" customHeight="1" x14ac:dyDescent="0.45">
      <c r="A271" s="6" t="s">
        <v>246</v>
      </c>
      <c r="B271" s="7">
        <v>952.74</v>
      </c>
      <c r="C271" s="8">
        <f>IFERROR(B271/B444, "NA")</f>
        <v>1.1000811257004972E-2</v>
      </c>
      <c r="D271" s="9"/>
      <c r="E271" s="7">
        <v>697.43</v>
      </c>
      <c r="F271" s="8">
        <f>IFERROR(E271/E444, "NA")</f>
        <v>5.9999950102560748E-3</v>
      </c>
      <c r="G271" s="9"/>
      <c r="H271" s="10">
        <f>IFERROR(-(B271-E271), "NA")</f>
        <v>-255.31000000000006</v>
      </c>
      <c r="I271" s="8">
        <f>IFERROR(H271/H444, "NA")</f>
        <v>8.6159970491450338E-3</v>
      </c>
      <c r="J271" s="9"/>
      <c r="K271" s="7">
        <v>762.02</v>
      </c>
      <c r="L271" s="8">
        <f>IFERROR(K271/K444, "NA")</f>
        <v>7.5390123757258093E-3</v>
      </c>
      <c r="M271" s="9"/>
      <c r="N271" s="10">
        <f>IFERROR(-(B271-K271), "NA")</f>
        <v>-190.72000000000003</v>
      </c>
      <c r="O271" s="8">
        <f>IFERROR(N271/N444, "NA")</f>
        <v>1.3179863115180067E-2</v>
      </c>
      <c r="P271" s="9"/>
      <c r="Q271" s="7">
        <v>4763.7</v>
      </c>
      <c r="R271" s="8">
        <f>IFERROR(Q271/Q444, "NA")</f>
        <v>1.0663895491003585E-2</v>
      </c>
      <c r="S271" s="9"/>
      <c r="T271" s="7">
        <v>2875.99</v>
      </c>
      <c r="U271" s="8">
        <f>IFERROR(T271/T444, "NA")</f>
        <v>6.0000005841467328E-3</v>
      </c>
      <c r="V271" s="9"/>
      <c r="W271" s="10">
        <f>IFERROR(-(Q271-T271), "NA")</f>
        <v>-1887.71</v>
      </c>
      <c r="X271" s="8">
        <f>IFERROR(W271/W444, "NA")</f>
        <v>5.7872035940131253E-2</v>
      </c>
      <c r="Y271" s="9"/>
      <c r="Z271" s="7">
        <v>3810.1</v>
      </c>
      <c r="AA271" s="8">
        <f>IFERROR(Z271/Z444, "NA")</f>
        <v>9.2257541135674082E-3</v>
      </c>
      <c r="AB271" s="9"/>
      <c r="AC271" s="10">
        <f>IFERROR(-(Q271-Z271), "NA")</f>
        <v>-953.59999999999991</v>
      </c>
      <c r="AD271" s="8">
        <f>IFERROR(AC271/AC444, "NA")</f>
        <v>-2.8273479499948431E-2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1382.1100000000001</v>
      </c>
      <c r="C273" s="15">
        <f>IFERROR(B273/B444, "NA")</f>
        <v>1.595853144238632E-2</v>
      </c>
      <c r="D273" s="2"/>
      <c r="E273" s="14">
        <f>IFERROR(E269+E270+E271+E272, "NA")</f>
        <v>866.4</v>
      </c>
      <c r="F273" s="15">
        <f>IFERROR(E273/E444, "NA")</f>
        <v>7.453645063857108E-3</v>
      </c>
      <c r="G273" s="2"/>
      <c r="H273" s="14">
        <f>IFERROR(-(B273-E273), "NA")</f>
        <v>-515.71000000000015</v>
      </c>
      <c r="I273" s="15">
        <f>IFERROR(H273/H444, "NA")</f>
        <v>1.7403767334669955E-2</v>
      </c>
      <c r="J273" s="2"/>
      <c r="K273" s="14">
        <f>IFERROR(K269+K270+K271+K272, "NA")</f>
        <v>1058.52</v>
      </c>
      <c r="L273" s="15">
        <f>IFERROR(K273/K444, "NA")</f>
        <v>1.0472422482288239E-2</v>
      </c>
      <c r="M273" s="2"/>
      <c r="N273" s="14">
        <f>IFERROR(-(B273-K273), "NA")</f>
        <v>-323.59000000000015</v>
      </c>
      <c r="O273" s="15">
        <f>IFERROR(N273/N444, "NA")</f>
        <v>2.2361954202187076E-2</v>
      </c>
      <c r="P273" s="2"/>
      <c r="Q273" s="14">
        <f>IFERROR(Q269+Q270+Q271+Q272, "NA")</f>
        <v>6736.3099999999995</v>
      </c>
      <c r="R273" s="15">
        <f>IFERROR(Q273/Q444, "NA")</f>
        <v>1.5079729167454365E-2</v>
      </c>
      <c r="S273" s="2"/>
      <c r="T273" s="14">
        <f>IFERROR(T269+T270+T271+T272, "NA")</f>
        <v>3786.1099999999997</v>
      </c>
      <c r="U273" s="15">
        <f>IFERROR(T273/T444, "NA")</f>
        <v>7.8987278160368383E-3</v>
      </c>
      <c r="V273" s="2"/>
      <c r="W273" s="14">
        <f>IFERROR(-(Q273-T273), "NA")</f>
        <v>-2950.2</v>
      </c>
      <c r="X273" s="15">
        <f>IFERROR(W273/W444, "NA")</f>
        <v>9.0445079186196611E-2</v>
      </c>
      <c r="Y273" s="2"/>
      <c r="Z273" s="14">
        <f>IFERROR(Z269+Z270+Z271+Z272, "NA")</f>
        <v>5292.6</v>
      </c>
      <c r="AA273" s="15">
        <f>IFERROR(Z273/Z444, "NA")</f>
        <v>1.2815471043139778E-2</v>
      </c>
      <c r="AB273" s="2"/>
      <c r="AC273" s="14">
        <f>IFERROR(-(Q273-Z273), "NA")</f>
        <v>-1443.7099999999991</v>
      </c>
      <c r="AD273" s="15">
        <f>IFERROR(AC273/AC444, "NA")</f>
        <v>-4.2804850135141077E-2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331</v>
      </c>
      <c r="F287" s="8">
        <f>IFERROR(E287/E444, "NA")</f>
        <v>2.8475952402316515E-3</v>
      </c>
      <c r="G287" s="9"/>
      <c r="H287" s="10">
        <f t="shared" si="72"/>
        <v>331</v>
      </c>
      <c r="I287" s="8">
        <f>IFERROR(H287/H444, "NA")</f>
        <v>-1.1170322444350029E-2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1655</v>
      </c>
      <c r="U287" s="8">
        <f>IFERROR(T287/T444, "NA")</f>
        <v>3.4527244415880599E-3</v>
      </c>
      <c r="V287" s="9"/>
      <c r="W287" s="10">
        <f t="shared" si="74"/>
        <v>1655</v>
      </c>
      <c r="X287" s="8">
        <f>IFERROR(W287/W444, "NA")</f>
        <v>-5.0737782541236322E-2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1.5876435835990761E-3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4.6402396860970663E-3</v>
      </c>
      <c r="J288" s="9"/>
      <c r="K288" s="7">
        <v>114</v>
      </c>
      <c r="L288" s="8">
        <f>IFERROR(K288/K444, "NA")</f>
        <v>1.1278541387794837E-3</v>
      </c>
      <c r="M288" s="9"/>
      <c r="N288" s="10">
        <f t="shared" si="73"/>
        <v>-23.5</v>
      </c>
      <c r="O288" s="8">
        <f>IFERROR(N288/N444, "NA")</f>
        <v>1.6239869085923422E-3</v>
      </c>
      <c r="P288" s="9"/>
      <c r="Q288" s="7">
        <v>687.5</v>
      </c>
      <c r="R288" s="8">
        <f>IFERROR(Q288/Q444, "NA")</f>
        <v>1.5390197010863331E-3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-687.5</v>
      </c>
      <c r="X288" s="8">
        <f>IFERROR(W288/W444, "NA")</f>
        <v>2.1076873412144998E-2</v>
      </c>
      <c r="Y288" s="9"/>
      <c r="Z288" s="7">
        <v>640.5</v>
      </c>
      <c r="AA288" s="8">
        <f>IFERROR(Z288/Z444, "NA")</f>
        <v>1.5509029972283995E-3</v>
      </c>
      <c r="AB288" s="9"/>
      <c r="AC288" s="10">
        <f t="shared" si="75"/>
        <v>-47</v>
      </c>
      <c r="AD288" s="8">
        <f>IFERROR(AC288/AC444, "NA")</f>
        <v>-1.3935125173003108E-3</v>
      </c>
    </row>
    <row r="289" spans="1:30" ht="16.5" customHeight="1" x14ac:dyDescent="0.45">
      <c r="A289" s="6" t="s">
        <v>262</v>
      </c>
      <c r="B289" s="7">
        <v>228.86</v>
      </c>
      <c r="C289" s="8">
        <f>IFERROR(B289/B444, "NA")</f>
        <v>2.6425317130362516E-3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-228.86</v>
      </c>
      <c r="I289" s="8">
        <f>IFERROR(H289/H444, "NA")</f>
        <v>7.7233836695285432E-3</v>
      </c>
      <c r="J289" s="9"/>
      <c r="K289" s="7">
        <v>198.58</v>
      </c>
      <c r="L289" s="8">
        <f>IFERROR(K289/K444, "NA")</f>
        <v>1.964642762094999E-3</v>
      </c>
      <c r="M289" s="9"/>
      <c r="N289" s="10">
        <f t="shared" si="73"/>
        <v>-30.28</v>
      </c>
      <c r="O289" s="8">
        <f>IFERROR(N289/N444, "NA")</f>
        <v>2.0925244081777075E-3</v>
      </c>
      <c r="P289" s="9"/>
      <c r="Q289" s="7">
        <v>1106.56</v>
      </c>
      <c r="R289" s="8">
        <f>IFERROR(Q289/Q444, "NA")</f>
        <v>2.4771165679041349E-3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-1106.56</v>
      </c>
      <c r="X289" s="8">
        <f>IFERROR(W289/W444, "NA")</f>
        <v>3.3924109153371879E-2</v>
      </c>
      <c r="Y289" s="9"/>
      <c r="Z289" s="7">
        <v>992.9</v>
      </c>
      <c r="AA289" s="8">
        <f>IFERROR(Z289/Z444, "NA")</f>
        <v>2.4042023199813863E-3</v>
      </c>
      <c r="AB289" s="9"/>
      <c r="AC289" s="10">
        <f t="shared" si="75"/>
        <v>-113.65999999999997</v>
      </c>
      <c r="AD289" s="8">
        <f>IFERROR(AC289/AC444, "NA")</f>
        <v>-3.3699283556670912E-3</v>
      </c>
    </row>
    <row r="290" spans="1:30" ht="16.5" customHeight="1" x14ac:dyDescent="0.45">
      <c r="A290" s="6" t="s">
        <v>263</v>
      </c>
      <c r="B290" s="7">
        <v>2214.67</v>
      </c>
      <c r="C290" s="8">
        <f>IFERROR(B290/B444, "NA")</f>
        <v>2.5571684474831751E-2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-2214.67</v>
      </c>
      <c r="I290" s="8">
        <f>IFERROR(H290/H444, "NA")</f>
        <v>7.4738906368062477E-2</v>
      </c>
      <c r="J290" s="9"/>
      <c r="K290" s="7">
        <v>530.5</v>
      </c>
      <c r="L290" s="8">
        <f>IFERROR(K290/K444, "NA")</f>
        <v>5.2484791282676859E-3</v>
      </c>
      <c r="M290" s="9"/>
      <c r="N290" s="10">
        <f t="shared" si="73"/>
        <v>-1684.17</v>
      </c>
      <c r="O290" s="8">
        <f>IFERROR(N290/N444, "NA")</f>
        <v>0.11638595880187086</v>
      </c>
      <c r="P290" s="9"/>
      <c r="Q290" s="7">
        <v>4767.12</v>
      </c>
      <c r="R290" s="8">
        <f>IFERROR(Q290/Q444, "NA")</f>
        <v>1.0671551414462079E-2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-4767.12</v>
      </c>
      <c r="X290" s="8">
        <f>IFERROR(W290/W444, "NA")</f>
        <v>0.14614688695346134</v>
      </c>
      <c r="Y290" s="9"/>
      <c r="Z290" s="7">
        <v>4319.3599999999997</v>
      </c>
      <c r="AA290" s="8">
        <f>IFERROR(Z290/Z444, "NA")</f>
        <v>1.0458873333502669E-2</v>
      </c>
      <c r="AB290" s="9"/>
      <c r="AC290" s="10">
        <f t="shared" si="75"/>
        <v>-447.76000000000022</v>
      </c>
      <c r="AD290" s="8">
        <f>IFERROR(AC290/AC444, "NA")</f>
        <v>-1.3275726909497606E-2</v>
      </c>
    </row>
    <row r="291" spans="1:30" ht="16.5" customHeight="1" x14ac:dyDescent="0.45">
      <c r="A291" s="6" t="s">
        <v>264</v>
      </c>
      <c r="B291" s="7">
        <v>1954.26</v>
      </c>
      <c r="C291" s="8">
        <f>IFERROR(B291/B444, "NA")</f>
        <v>2.2564860724976949E-2</v>
      </c>
      <c r="D291" s="9"/>
      <c r="E291" s="7">
        <v>1394.86</v>
      </c>
      <c r="F291" s="8">
        <f>IFERROR(E291/E444, "NA")</f>
        <v>1.199999002051215E-2</v>
      </c>
      <c r="G291" s="9"/>
      <c r="H291" s="10">
        <f t="shared" si="72"/>
        <v>-559.40000000000009</v>
      </c>
      <c r="I291" s="8">
        <f>IFERROR(H291/H444, "NA")</f>
        <v>1.8878182402928722E-2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-1954.26</v>
      </c>
      <c r="O291" s="8">
        <f>IFERROR(N291/N444, "NA")</f>
        <v>0.13505075131853919</v>
      </c>
      <c r="P291" s="9"/>
      <c r="Q291" s="7">
        <v>8433.48</v>
      </c>
      <c r="R291" s="8">
        <f>IFERROR(Q291/Q444, "NA")</f>
        <v>1.8878969990861916E-2</v>
      </c>
      <c r="S291" s="9"/>
      <c r="T291" s="7">
        <v>5751.98</v>
      </c>
      <c r="U291" s="8">
        <f>IFERROR(T291/T444, "NA")</f>
        <v>1.2000001168293466E-2</v>
      </c>
      <c r="V291" s="9"/>
      <c r="W291" s="10">
        <f t="shared" si="74"/>
        <v>-2681.5</v>
      </c>
      <c r="X291" s="8">
        <f>IFERROR(W291/W444, "NA")</f>
        <v>8.2207470624969914E-2</v>
      </c>
      <c r="Y291" s="9"/>
      <c r="Z291" s="7">
        <v>1564.43</v>
      </c>
      <c r="AA291" s="8">
        <f>IFERROR(Z291/Z444, "NA")</f>
        <v>3.7881017579297813E-3</v>
      </c>
      <c r="AB291" s="9"/>
      <c r="AC291" s="10">
        <f t="shared" si="75"/>
        <v>-6869.0499999999993</v>
      </c>
      <c r="AD291" s="8">
        <f>IFERROR(AC291/AC444, "NA")</f>
        <v>-0.2036618544034404</v>
      </c>
    </row>
    <row r="292" spans="1:30" ht="16.5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1038.82</v>
      </c>
      <c r="R292" s="8">
        <f>IFERROR(Q292/Q444, "NA")</f>
        <v>2.3254755576472791E-3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-1038.82</v>
      </c>
      <c r="X292" s="8">
        <f>IFERROR(W292/W444, "NA")</f>
        <v>3.1847385655279226E-2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-1038.82</v>
      </c>
      <c r="AD292" s="8">
        <f>IFERROR(AC292/AC444, "NA")</f>
        <v>-3.0800184536636358E-2</v>
      </c>
    </row>
    <row r="293" spans="1:30" ht="16.5" customHeight="1" x14ac:dyDescent="0.45">
      <c r="A293" s="6" t="s">
        <v>266</v>
      </c>
      <c r="B293" s="7">
        <v>292.74</v>
      </c>
      <c r="C293" s="8">
        <f>IFERROR(B293/B444, "NA")</f>
        <v>3.3801220557294078E-3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-292.74</v>
      </c>
      <c r="I293" s="8">
        <f>IFERROR(H293/H444, "NA")</f>
        <v>9.8791546596949473E-3</v>
      </c>
      <c r="J293" s="9"/>
      <c r="K293" s="7">
        <v>1091.2</v>
      </c>
      <c r="L293" s="8">
        <f>IFERROR(K293/K444, "NA")</f>
        <v>1.0795740668738358E-2</v>
      </c>
      <c r="M293" s="9"/>
      <c r="N293" s="10">
        <f t="shared" si="73"/>
        <v>798.46</v>
      </c>
      <c r="O293" s="8">
        <f>IFERROR(N293/N444, "NA")</f>
        <v>-5.5178237746154962E-2</v>
      </c>
      <c r="P293" s="9"/>
      <c r="Q293" s="7">
        <v>292.74</v>
      </c>
      <c r="R293" s="8">
        <f>IFERROR(Q293/Q444, "NA")</f>
        <v>6.5532018515783734E-4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-292.74</v>
      </c>
      <c r="X293" s="8">
        <f>IFERROR(W293/W444, "NA")</f>
        <v>8.9746093420673845E-3</v>
      </c>
      <c r="Y293" s="9"/>
      <c r="Z293" s="7">
        <v>1091.2</v>
      </c>
      <c r="AA293" s="8">
        <f>IFERROR(Z293/Z444, "NA")</f>
        <v>2.6422253717027786E-3</v>
      </c>
      <c r="AB293" s="9"/>
      <c r="AC293" s="10">
        <f t="shared" si="75"/>
        <v>798.46</v>
      </c>
      <c r="AD293" s="8">
        <f>IFERROR(AC293/AC444, "NA")</f>
        <v>2.3673702224757578E-2</v>
      </c>
    </row>
    <row r="294" spans="1:30" ht="16.5" customHeight="1" x14ac:dyDescent="0.45">
      <c r="A294" s="6" t="s">
        <v>267</v>
      </c>
      <c r="B294" s="7">
        <v>312.5</v>
      </c>
      <c r="C294" s="8">
        <f>IFERROR(B294/B444, "NA")</f>
        <v>3.6082808718160822E-3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-312.5</v>
      </c>
      <c r="I294" s="8">
        <f>IFERROR(H294/H444, "NA")</f>
        <v>1.0545999286584241E-2</v>
      </c>
      <c r="J294" s="9"/>
      <c r="K294" s="7">
        <v>345</v>
      </c>
      <c r="L294" s="8">
        <f>IFERROR(K294/K444, "NA")</f>
        <v>3.4132427884115959E-3</v>
      </c>
      <c r="M294" s="9"/>
      <c r="N294" s="10">
        <f t="shared" si="73"/>
        <v>32.5</v>
      </c>
      <c r="O294" s="8">
        <f>IFERROR(N294/N444, "NA")</f>
        <v>-2.2459393416702604E-3</v>
      </c>
      <c r="P294" s="9"/>
      <c r="Q294" s="7">
        <v>1997.95</v>
      </c>
      <c r="R294" s="8">
        <f>IFERROR(Q294/Q444, "NA")</f>
        <v>4.4725591444151839E-3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-1997.95</v>
      </c>
      <c r="X294" s="8">
        <f>IFERROR(W294/W444, "NA")</f>
        <v>6.1251693430974689E-2</v>
      </c>
      <c r="Y294" s="9"/>
      <c r="Z294" s="7">
        <v>1725</v>
      </c>
      <c r="AA294" s="8">
        <f>IFERROR(Z294/Z444, "NA")</f>
        <v>4.1769050276643073E-3</v>
      </c>
      <c r="AB294" s="9"/>
      <c r="AC294" s="10">
        <f t="shared" si="75"/>
        <v>-272.95000000000005</v>
      </c>
      <c r="AD294" s="8">
        <f>IFERROR(AC294/AC444, "NA")</f>
        <v>-8.0927498212153177E-3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5140.53</v>
      </c>
      <c r="C295" s="15">
        <f>IFERROR(B295/B444, "NA")</f>
        <v>5.9355123423989513E-2</v>
      </c>
      <c r="D295" s="2"/>
      <c r="E295" s="14">
        <f>IFERROR(E286+E287+E288+E289+E290+E291+E292+E293+E294, "NA")</f>
        <v>1725.86</v>
      </c>
      <c r="F295" s="15">
        <f>IFERROR(E295/E444, "NA")</f>
        <v>1.48475852607438E-2</v>
      </c>
      <c r="G295" s="2"/>
      <c r="H295" s="14">
        <f t="shared" si="72"/>
        <v>-3414.67</v>
      </c>
      <c r="I295" s="15">
        <f>IFERROR(H295/H444, "NA")</f>
        <v>0.11523554362854596</v>
      </c>
      <c r="J295" s="2"/>
      <c r="K295" s="14">
        <f>IFERROR(K286+K287+K288+K289+K290+K291+K292+K293+K294, "NA")</f>
        <v>2279.2800000000002</v>
      </c>
      <c r="L295" s="15">
        <f>IFERROR(K295/K444, "NA")</f>
        <v>2.2549959486292123E-2</v>
      </c>
      <c r="M295" s="2"/>
      <c r="N295" s="14">
        <f t="shared" si="73"/>
        <v>-2861.2499999999995</v>
      </c>
      <c r="O295" s="15">
        <f>IFERROR(N295/N444, "NA")</f>
        <v>0.19772904434935482</v>
      </c>
      <c r="P295" s="2"/>
      <c r="Q295" s="14">
        <f>IFERROR(Q286+Q287+Q288+Q289+Q290+Q291+Q292+Q293+Q294, "NA")</f>
        <v>18324.169999999998</v>
      </c>
      <c r="R295" s="15">
        <f>IFERROR(Q295/Q444, "NA")</f>
        <v>4.1020012561534765E-2</v>
      </c>
      <c r="S295" s="2"/>
      <c r="T295" s="14">
        <f>IFERROR(T286+T287+T288+T289+T290+T291+T292+T293+T294, "NA")</f>
        <v>7406.98</v>
      </c>
      <c r="U295" s="15">
        <f>IFERROR(T295/T444, "NA")</f>
        <v>1.5452725609881526E-2</v>
      </c>
      <c r="V295" s="2"/>
      <c r="W295" s="14">
        <f t="shared" si="74"/>
        <v>-10917.189999999999</v>
      </c>
      <c r="X295" s="15">
        <f>IFERROR(W295/W444, "NA")</f>
        <v>0.33469124603103306</v>
      </c>
      <c r="Y295" s="2"/>
      <c r="Z295" s="14">
        <f>IFERROR(Z286+Z287+Z288+Z289+Z290+Z291+Z292+Z293+Z294, "NA")</f>
        <v>10333.390000000001</v>
      </c>
      <c r="AA295" s="15">
        <f>IFERROR(Z295/Z444, "NA")</f>
        <v>2.5021210808009325E-2</v>
      </c>
      <c r="AB295" s="2"/>
      <c r="AC295" s="14">
        <f t="shared" si="75"/>
        <v>-7990.779999999997</v>
      </c>
      <c r="AD295" s="15">
        <f>IFERROR(AC295/AC444, "NA")</f>
        <v>-0.23692025431899943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1511.1</v>
      </c>
      <c r="F297" s="8">
        <f>IFERROR(E297/E444, "NA")</f>
        <v>1.3000003527232774E-2</v>
      </c>
      <c r="G297" s="9"/>
      <c r="H297" s="10">
        <f t="shared" ref="H297:H325" si="76">IFERROR(-(B297-E297), "NA")</f>
        <v>1511.1</v>
      </c>
      <c r="I297" s="8">
        <f>IFERROR(H297/H444, "NA")</f>
        <v>-5.0995390470263829E-2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6231.31</v>
      </c>
      <c r="U297" s="8">
        <f>IFERROR(T297/T444, "NA")</f>
        <v>1.2999997788587368E-2</v>
      </c>
      <c r="V297" s="9"/>
      <c r="W297" s="10">
        <f t="shared" ref="W297:W325" si="78">IFERROR(-(Q297-T297), "NA")</f>
        <v>6231.31</v>
      </c>
      <c r="X297" s="8">
        <f>IFERROR(W297/W444, "NA")</f>
        <v>-0.19103495572630291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0</v>
      </c>
      <c r="C299" s="8">
        <f>IFERROR(B299/B444, "NA")</f>
        <v>0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0</v>
      </c>
      <c r="I299" s="8">
        <f>IFERROR(H299/H444, "NA")</f>
        <v>0</v>
      </c>
      <c r="J299" s="9"/>
      <c r="K299" s="7">
        <v>0</v>
      </c>
      <c r="L299" s="8">
        <f>IFERROR(K299/K444, "NA")</f>
        <v>0</v>
      </c>
      <c r="M299" s="9"/>
      <c r="N299" s="10">
        <f t="shared" si="77"/>
        <v>0</v>
      </c>
      <c r="O299" s="8">
        <f>IFERROR(N299/N444, "NA")</f>
        <v>0</v>
      </c>
      <c r="P299" s="9"/>
      <c r="Q299" s="7">
        <v>411.65</v>
      </c>
      <c r="R299" s="8">
        <f>IFERROR(Q299/Q444, "NA")</f>
        <v>9.2150903265772943E-4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-411.65</v>
      </c>
      <c r="X299" s="8">
        <f>IFERROR(W299/W444, "NA")</f>
        <v>1.2620065367431982E-2</v>
      </c>
      <c r="Y299" s="9"/>
      <c r="Z299" s="7">
        <v>0</v>
      </c>
      <c r="AA299" s="8">
        <f>IFERROR(Z299/Z444, "NA")</f>
        <v>0</v>
      </c>
      <c r="AB299" s="9"/>
      <c r="AC299" s="10">
        <f t="shared" si="79"/>
        <v>-411.65</v>
      </c>
      <c r="AD299" s="8">
        <f>IFERROR(AC299/AC444, "NA")</f>
        <v>-1.2205094207376019E-2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268.25</v>
      </c>
      <c r="R304" s="8">
        <f>IFERROR(Q304/Q444, "NA")</f>
        <v>6.0049750518750378E-4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-268.25</v>
      </c>
      <c r="X304" s="8">
        <f>IFERROR(W304/W444, "NA")</f>
        <v>8.2238127895387578E-3</v>
      </c>
      <c r="Y304" s="9"/>
      <c r="Z304" s="7">
        <v>74.680000000000007</v>
      </c>
      <c r="AA304" s="8">
        <f>IFERROR(Z304/Z444, "NA")</f>
        <v>1.8082972027012783E-4</v>
      </c>
      <c r="AB304" s="9"/>
      <c r="AC304" s="10">
        <f t="shared" si="79"/>
        <v>-193.57</v>
      </c>
      <c r="AD304" s="8">
        <f>IFERROR(AC304/AC444, "NA")</f>
        <v>-5.7391961271025778E-3</v>
      </c>
    </row>
    <row r="305" spans="1:30" ht="16.5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5.59</v>
      </c>
      <c r="R305" s="8">
        <f>IFERROR(Q305/Q444, "NA")</f>
        <v>1.2513629278651057E-5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-5.59</v>
      </c>
      <c r="X305" s="8">
        <f>IFERROR(W305/W444, "NA")</f>
        <v>1.7137414163474987E-4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-5.59</v>
      </c>
      <c r="AD305" s="8">
        <f>IFERROR(AC305/AC444, "NA")</f>
        <v>-1.6573904195124972E-4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0</v>
      </c>
      <c r="O310" s="8">
        <f>IFERROR(N310/N444, "NA")</f>
        <v>0</v>
      </c>
      <c r="P310" s="9"/>
      <c r="Q310" s="7">
        <v>52.79</v>
      </c>
      <c r="R310" s="8">
        <f>IFERROR(Q310/Q444, "NA")</f>
        <v>1.1817432730232367E-4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-52.79</v>
      </c>
      <c r="X310" s="8">
        <f>IFERROR(W310/W444, "NA")</f>
        <v>1.6183973053485593E-3</v>
      </c>
      <c r="Y310" s="9"/>
      <c r="Z310" s="7">
        <v>40.119999999999997</v>
      </c>
      <c r="AA310" s="8">
        <f>IFERROR(Z310/Z444, "NA")</f>
        <v>9.7146336063705518E-5</v>
      </c>
      <c r="AB310" s="9"/>
      <c r="AC310" s="10">
        <f t="shared" si="79"/>
        <v>-12.670000000000002</v>
      </c>
      <c r="AD310" s="8">
        <f>IFERROR(AC310/AC444, "NA")</f>
        <v>-3.7565539562116893E-4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60.62</v>
      </c>
      <c r="R311" s="8">
        <f>IFERROR(Q311/Q444, "NA")</f>
        <v>1.3570236258887784E-4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-60.62</v>
      </c>
      <c r="X311" s="8">
        <f>IFERROR(W311/W444, "NA")</f>
        <v>1.8584437327188797E-3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-60.62</v>
      </c>
      <c r="AD311" s="8">
        <f>IFERROR(AC311/AC444, "NA")</f>
        <v>-1.7973346552924434E-3</v>
      </c>
    </row>
    <row r="312" spans="1:30" ht="16.5" customHeight="1" x14ac:dyDescent="0.45">
      <c r="A312" s="6" t="s">
        <v>284</v>
      </c>
      <c r="B312" s="7">
        <v>42.75</v>
      </c>
      <c r="C312" s="8">
        <f>IFERROR(B312/B444, "NA")</f>
        <v>4.9361282326444006E-4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-42.75</v>
      </c>
      <c r="I312" s="8">
        <f>IFERROR(H312/H444, "NA")</f>
        <v>1.4426927024047242E-3</v>
      </c>
      <c r="J312" s="9"/>
      <c r="K312" s="7">
        <v>69.11</v>
      </c>
      <c r="L312" s="8">
        <f>IFERROR(K312/K444, "NA")</f>
        <v>6.8373683799166781E-4</v>
      </c>
      <c r="M312" s="9"/>
      <c r="N312" s="10">
        <f t="shared" si="77"/>
        <v>26.36</v>
      </c>
      <c r="O312" s="8">
        <f>IFERROR(N312/N444, "NA")</f>
        <v>-1.8216295706593251E-3</v>
      </c>
      <c r="P312" s="9"/>
      <c r="Q312" s="7">
        <v>81.13</v>
      </c>
      <c r="R312" s="8">
        <f>IFERROR(Q312/Q444, "NA")</f>
        <v>1.8161551759874063E-4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-81.13</v>
      </c>
      <c r="X312" s="8">
        <f>IFERROR(W312/W444, "NA")</f>
        <v>2.4872243489851981E-3</v>
      </c>
      <c r="Y312" s="9"/>
      <c r="Z312" s="7">
        <v>126.11</v>
      </c>
      <c r="AA312" s="8">
        <f>IFERROR(Z312/Z444, "NA")</f>
        <v>3.0536202494999757E-4</v>
      </c>
      <c r="AB312" s="9"/>
      <c r="AC312" s="10">
        <f t="shared" si="79"/>
        <v>44.980000000000004</v>
      </c>
      <c r="AD312" s="8">
        <f>IFERROR(AC312/AC444, "NA")</f>
        <v>1.3336211282588934E-3</v>
      </c>
    </row>
    <row r="313" spans="1:30" ht="16.5" customHeight="1" x14ac:dyDescent="0.45">
      <c r="A313" s="6" t="s">
        <v>285</v>
      </c>
      <c r="B313" s="7">
        <v>10</v>
      </c>
      <c r="C313" s="8">
        <f>IFERROR(B313/B444, "NA")</f>
        <v>1.1546498789811462E-4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-10</v>
      </c>
      <c r="I313" s="8">
        <f>IFERROR(H313/H444, "NA")</f>
        <v>3.3747197717069575E-4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-10</v>
      </c>
      <c r="O313" s="8">
        <f>IFERROR(N313/N444, "NA")</f>
        <v>6.9105825897546481E-4</v>
      </c>
      <c r="P313" s="9"/>
      <c r="Q313" s="7">
        <v>34</v>
      </c>
      <c r="R313" s="8">
        <f>IFERROR(Q313/Q444, "NA")</f>
        <v>7.6111519762815013E-5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-34</v>
      </c>
      <c r="X313" s="8">
        <f>IFERROR(W313/W444, "NA")</f>
        <v>1.0423471942006253E-3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-34</v>
      </c>
      <c r="AD313" s="8">
        <f>IFERROR(AC313/AC444, "NA")</f>
        <v>-1.0080728848555439E-3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455.52</v>
      </c>
      <c r="C315" s="8">
        <f>IFERROR(B315/B444, "NA")</f>
        <v>5.2596611287349174E-3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-455.52</v>
      </c>
      <c r="I315" s="8">
        <f>IFERROR(H315/H444, "NA")</f>
        <v>1.5372523504079531E-2</v>
      </c>
      <c r="J315" s="9"/>
      <c r="K315" s="7">
        <v>605.44000000000005</v>
      </c>
      <c r="L315" s="8">
        <f>IFERROR(K315/K444, "NA")</f>
        <v>5.9898948226548314E-3</v>
      </c>
      <c r="M315" s="9"/>
      <c r="N315" s="10">
        <f t="shared" si="77"/>
        <v>149.92000000000007</v>
      </c>
      <c r="O315" s="8">
        <f>IFERROR(N315/N444, "NA")</f>
        <v>-1.0360345418560173E-2</v>
      </c>
      <c r="P315" s="9"/>
      <c r="Q315" s="7">
        <v>2277.6</v>
      </c>
      <c r="R315" s="8">
        <f>IFERROR(Q315/Q444, "NA")</f>
        <v>5.0985763944643376E-3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-2277.6</v>
      </c>
      <c r="X315" s="8">
        <f>IFERROR(W315/W444, "NA")</f>
        <v>6.9824999103274832E-2</v>
      </c>
      <c r="Y315" s="9"/>
      <c r="Z315" s="7">
        <v>3027.2</v>
      </c>
      <c r="AA315" s="8">
        <f>IFERROR(Z315/Z444, "NA")</f>
        <v>7.3300445795625455E-3</v>
      </c>
      <c r="AB315" s="9"/>
      <c r="AC315" s="10">
        <f t="shared" si="79"/>
        <v>749.59999999999991</v>
      </c>
      <c r="AD315" s="8">
        <f>IFERROR(AC315/AC444, "NA")</f>
        <v>2.2225042190815166E-2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414.58</v>
      </c>
      <c r="C318" s="8">
        <f>IFERROR(B318/B444, "NA")</f>
        <v>4.786947468280036E-3</v>
      </c>
      <c r="D318" s="9"/>
      <c r="E318" s="7">
        <v>415</v>
      </c>
      <c r="F318" s="8">
        <f>IFERROR(E318/E444, "NA")</f>
        <v>3.570247808749654E-3</v>
      </c>
      <c r="G318" s="9"/>
      <c r="H318" s="10">
        <f t="shared" si="76"/>
        <v>0.42000000000001592</v>
      </c>
      <c r="I318" s="8">
        <f>IFERROR(H318/H444, "NA")</f>
        <v>-1.4173823041169758E-5</v>
      </c>
      <c r="J318" s="9"/>
      <c r="K318" s="7">
        <v>414.58</v>
      </c>
      <c r="L318" s="8">
        <f>IFERROR(K318/K444, "NA")</f>
        <v>4.1016295513613896E-3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2072.9</v>
      </c>
      <c r="R318" s="8">
        <f>IFERROR(Q318/Q444, "NA")</f>
        <v>4.6403402740099776E-3</v>
      </c>
      <c r="S318" s="9"/>
      <c r="T318" s="7">
        <v>2075</v>
      </c>
      <c r="U318" s="8">
        <f>IFERROR(T318/T444, "NA")</f>
        <v>4.328944541568111E-3</v>
      </c>
      <c r="V318" s="9"/>
      <c r="W318" s="10">
        <f t="shared" si="78"/>
        <v>2.0999999999999091</v>
      </c>
      <c r="X318" s="8">
        <f>IFERROR(W318/W444, "NA")</f>
        <v>-6.4380267877094669E-5</v>
      </c>
      <c r="Y318" s="9"/>
      <c r="Z318" s="7">
        <v>2072.9</v>
      </c>
      <c r="AA318" s="8">
        <f>IFERROR(Z318/Z444, "NA")</f>
        <v>5.019308076432083E-3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267.91000000000003</v>
      </c>
      <c r="C319" s="8">
        <f>IFERROR(B319/B444, "NA")</f>
        <v>3.093422490778389E-3</v>
      </c>
      <c r="D319" s="9"/>
      <c r="E319" s="7">
        <v>249</v>
      </c>
      <c r="F319" s="8">
        <f>IFERROR(E319/E444, "NA")</f>
        <v>2.1421486852497922E-3</v>
      </c>
      <c r="G319" s="9"/>
      <c r="H319" s="10">
        <f t="shared" si="76"/>
        <v>-18.910000000000025</v>
      </c>
      <c r="I319" s="8">
        <f>IFERROR(H319/H444, "NA")</f>
        <v>6.3815950882978648E-4</v>
      </c>
      <c r="J319" s="9"/>
      <c r="K319" s="7">
        <v>218.42</v>
      </c>
      <c r="L319" s="8">
        <f>IFERROR(K319/K444, "NA")</f>
        <v>2.16092895607206E-3</v>
      </c>
      <c r="M319" s="9"/>
      <c r="N319" s="10">
        <f t="shared" si="77"/>
        <v>-49.490000000000038</v>
      </c>
      <c r="O319" s="8">
        <f>IFERROR(N319/N444, "NA")</f>
        <v>3.420047323669578E-3</v>
      </c>
      <c r="P319" s="9"/>
      <c r="Q319" s="7">
        <v>1321.07</v>
      </c>
      <c r="R319" s="8">
        <f>IFERROR(Q319/Q444, "NA")</f>
        <v>2.9573131003841771E-3</v>
      </c>
      <c r="S319" s="9"/>
      <c r="T319" s="7">
        <v>1245</v>
      </c>
      <c r="U319" s="8">
        <f>IFERROR(T319/T444, "NA")</f>
        <v>2.5973667249408667E-3</v>
      </c>
      <c r="V319" s="9"/>
      <c r="W319" s="10">
        <f t="shared" si="78"/>
        <v>-76.069999999999936</v>
      </c>
      <c r="X319" s="8">
        <f>IFERROR(W319/W444, "NA")</f>
        <v>2.3320985606718092E-3</v>
      </c>
      <c r="Y319" s="9"/>
      <c r="Z319" s="7">
        <v>1100.01</v>
      </c>
      <c r="AA319" s="8">
        <f>IFERROR(Z319/Z444, "NA")</f>
        <v>2.6635578547716029E-3</v>
      </c>
      <c r="AB319" s="9"/>
      <c r="AC319" s="10">
        <f t="shared" si="79"/>
        <v>-221.05999999999995</v>
      </c>
      <c r="AD319" s="8">
        <f>IFERROR(AC319/AC444, "NA")</f>
        <v>-6.5542527037107797E-3</v>
      </c>
    </row>
    <row r="320" spans="1:30" ht="16.5" customHeight="1" x14ac:dyDescent="0.45">
      <c r="A320" s="6" t="s">
        <v>292</v>
      </c>
      <c r="B320" s="7">
        <v>1138.71</v>
      </c>
      <c r="C320" s="8">
        <f>IFERROR(B320/B444, "NA")</f>
        <v>1.3148113636946211E-2</v>
      </c>
      <c r="D320" s="9"/>
      <c r="E320" s="7">
        <v>878</v>
      </c>
      <c r="F320" s="8">
        <f>IFERROR(E320/E444, "NA")</f>
        <v>7.5534399423667379E-3</v>
      </c>
      <c r="G320" s="9"/>
      <c r="H320" s="10">
        <f t="shared" si="76"/>
        <v>-260.71000000000004</v>
      </c>
      <c r="I320" s="8">
        <f>IFERROR(H320/H444, "NA")</f>
        <v>8.7982319168172091E-3</v>
      </c>
      <c r="J320" s="9"/>
      <c r="K320" s="7">
        <v>894.4</v>
      </c>
      <c r="L320" s="8">
        <f>IFERROR(K320/K444, "NA")</f>
        <v>8.8487082607400895E-3</v>
      </c>
      <c r="M320" s="9"/>
      <c r="N320" s="10">
        <f t="shared" si="77"/>
        <v>-244.31000000000006</v>
      </c>
      <c r="O320" s="8">
        <f>IFERROR(N320/N444, "NA")</f>
        <v>1.6883244325029585E-2</v>
      </c>
      <c r="P320" s="9"/>
      <c r="Q320" s="7">
        <v>5909.96</v>
      </c>
      <c r="R320" s="8">
        <f>IFERROR(Q320/Q444, "NA")</f>
        <v>1.3229883451101359E-2</v>
      </c>
      <c r="S320" s="9"/>
      <c r="T320" s="7">
        <v>4390</v>
      </c>
      <c r="U320" s="8">
        <f>IFERROR(T320/T444, "NA")</f>
        <v>9.1585862831248237E-3</v>
      </c>
      <c r="V320" s="9"/>
      <c r="W320" s="10">
        <f t="shared" si="78"/>
        <v>-1519.96</v>
      </c>
      <c r="X320" s="8">
        <f>IFERROR(W320/W444, "NA")</f>
        <v>4.6597824744034781E-2</v>
      </c>
      <c r="Y320" s="9"/>
      <c r="Z320" s="7">
        <v>4472</v>
      </c>
      <c r="AA320" s="8">
        <f>IFERROR(Z320/Z444, "NA")</f>
        <v>1.0828474947081035E-2</v>
      </c>
      <c r="AB320" s="9"/>
      <c r="AC320" s="10">
        <f t="shared" si="79"/>
        <v>-1437.96</v>
      </c>
      <c r="AD320" s="8">
        <f>IFERROR(AC320/AC444, "NA")</f>
        <v>-4.2634367220790531E-2</v>
      </c>
    </row>
    <row r="321" spans="1:30" ht="16.5" customHeight="1" x14ac:dyDescent="0.45">
      <c r="A321" s="6" t="s">
        <v>293</v>
      </c>
      <c r="B321" s="7">
        <v>1267.8499999999999</v>
      </c>
      <c r="C321" s="8">
        <f>IFERROR(B321/B444, "NA")</f>
        <v>1.4639228490662461E-2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-1267.8499999999999</v>
      </c>
      <c r="I321" s="8">
        <f>IFERROR(H321/H444, "NA")</f>
        <v>4.2786384625586656E-2</v>
      </c>
      <c r="J321" s="9"/>
      <c r="K321" s="7">
        <v>1113.8699999999999</v>
      </c>
      <c r="L321" s="8">
        <f>IFERROR(K321/K444, "NA")</f>
        <v>1.102002534703775E-2</v>
      </c>
      <c r="M321" s="9"/>
      <c r="N321" s="10">
        <f t="shared" si="77"/>
        <v>-153.98000000000002</v>
      </c>
      <c r="O321" s="8">
        <f>IFERROR(N321/N444, "NA")</f>
        <v>1.0640915071704208E-2</v>
      </c>
      <c r="P321" s="9"/>
      <c r="Q321" s="7">
        <v>8528.85</v>
      </c>
      <c r="R321" s="8">
        <f>IFERROR(Q321/Q444, "NA")</f>
        <v>1.9092462803796614E-2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-8528.85</v>
      </c>
      <c r="X321" s="8">
        <f>IFERROR(W321/W444, "NA")</f>
        <v>0.26147126080170602</v>
      </c>
      <c r="Y321" s="9"/>
      <c r="Z321" s="7">
        <v>7580.74</v>
      </c>
      <c r="AA321" s="8">
        <f>IFERROR(Z321/Z444, "NA")</f>
        <v>1.8355960011255609E-2</v>
      </c>
      <c r="AB321" s="9"/>
      <c r="AC321" s="10">
        <f t="shared" si="79"/>
        <v>-948.11000000000058</v>
      </c>
      <c r="AD321" s="8">
        <f>IFERROR(AC321/AC444, "NA")</f>
        <v>-2.8110705378246777E-2</v>
      </c>
    </row>
    <row r="322" spans="1:30" ht="16.5" customHeight="1" x14ac:dyDescent="0.45">
      <c r="A322" s="6" t="s">
        <v>294</v>
      </c>
      <c r="B322" s="7">
        <v>331.29</v>
      </c>
      <c r="C322" s="8">
        <f>IFERROR(B322/B444, "NA")</f>
        <v>3.8252395840766397E-3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-331.29</v>
      </c>
      <c r="I322" s="8">
        <f>IFERROR(H322/H444, "NA")</f>
        <v>1.1180109131687979E-2</v>
      </c>
      <c r="J322" s="9"/>
      <c r="K322" s="7">
        <v>279.3</v>
      </c>
      <c r="L322" s="8">
        <f>IFERROR(K322/K444, "NA")</f>
        <v>2.7632426400097353E-3</v>
      </c>
      <c r="M322" s="9"/>
      <c r="N322" s="10">
        <f t="shared" si="77"/>
        <v>-51.990000000000009</v>
      </c>
      <c r="O322" s="8">
        <f>IFERROR(N322/N444, "NA")</f>
        <v>3.5928118884134422E-3</v>
      </c>
      <c r="P322" s="9"/>
      <c r="Q322" s="7">
        <v>1830.59</v>
      </c>
      <c r="R322" s="8">
        <f>IFERROR(Q322/Q444, "NA")</f>
        <v>4.0979113812532808E-3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-1830.59</v>
      </c>
      <c r="X322" s="8">
        <f>IFERROR(W322/W444, "NA")</f>
        <v>5.6120892653874196E-2</v>
      </c>
      <c r="Y322" s="9"/>
      <c r="Z322" s="7">
        <v>2017.57</v>
      </c>
      <c r="AA322" s="8">
        <f>IFERROR(Z322/Z444, "NA")</f>
        <v>4.8853323342983633E-3</v>
      </c>
      <c r="AB322" s="9"/>
      <c r="AC322" s="10">
        <f t="shared" si="79"/>
        <v>186.98000000000002</v>
      </c>
      <c r="AD322" s="8">
        <f>IFERROR(AC322/AC444, "NA")</f>
        <v>5.5438078826555775E-3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3928.61</v>
      </c>
      <c r="C324" s="15">
        <f>IFERROR(B324/B444, "NA")</f>
        <v>4.5361690610641207E-2</v>
      </c>
      <c r="D324" s="2"/>
      <c r="E324" s="14">
        <f>IFERROR(E297+E298+E299+E300+E301+E302+E303+E304+E305+E306+E307+E308+E309+E310+E311+E312+E313+E314+E315+E316+E317+E318+E319+E320+E321+E322+E323, "NA")</f>
        <v>3053.1</v>
      </c>
      <c r="F324" s="15">
        <f>IFERROR(E324/E444, "NA")</f>
        <v>2.626583996359896E-2</v>
      </c>
      <c r="G324" s="2"/>
      <c r="H324" s="14">
        <f t="shared" si="76"/>
        <v>-875.51000000000022</v>
      </c>
      <c r="I324" s="15">
        <f>IFERROR(H324/H444, "NA")</f>
        <v>2.9546009073271588E-2</v>
      </c>
      <c r="J324" s="2"/>
      <c r="K324" s="14">
        <f>IFERROR(K297+K298+K299+K300+K301+K302+K303+K304+K305+K306+K307+K308+K309+K310+K311+K312+K313+K314+K315+K316+K317+K318+K319+K320+K321+K322+K323, "NA")</f>
        <v>3595.1200000000003</v>
      </c>
      <c r="L324" s="15">
        <f>IFERROR(K324/K444, "NA")</f>
        <v>3.5568166415867526E-2</v>
      </c>
      <c r="M324" s="2"/>
      <c r="N324" s="14">
        <f t="shared" si="77"/>
        <v>-333.48999999999978</v>
      </c>
      <c r="O324" s="15">
        <f>IFERROR(N324/N444, "NA")</f>
        <v>2.3046101878572759E-2</v>
      </c>
      <c r="P324" s="2"/>
      <c r="Q324" s="14">
        <f>IFERROR(Q297+Q298+Q299+Q300+Q301+Q302+Q303+Q304+Q305+Q306+Q307+Q308+Q309+Q310+Q311+Q312+Q313+Q314+Q315+Q316+Q317+Q318+Q319+Q320+Q321+Q322+Q323, "NA")</f>
        <v>22855.000000000004</v>
      </c>
      <c r="R324" s="15">
        <f>IFERROR(Q324/Q444, "NA")</f>
        <v>5.1162611299386394E-2</v>
      </c>
      <c r="S324" s="2"/>
      <c r="T324" s="14">
        <f>IFERROR(T297+T298+T299+T300+T301+T302+T303+T304+T305+T306+T307+T308+T309+T310+T311+T312+T313+T314+T315+T316+T317+T318+T319+T320+T321+T322+T323, "NA")</f>
        <v>13941.310000000001</v>
      </c>
      <c r="U324" s="15">
        <f>IFERROR(T324/T444, "NA")</f>
        <v>2.9084895338221169E-2</v>
      </c>
      <c r="V324" s="2"/>
      <c r="W324" s="14">
        <f t="shared" si="78"/>
        <v>-8913.6900000000023</v>
      </c>
      <c r="X324" s="15">
        <f>IFERROR(W324/W444, "NA")</f>
        <v>0.27326940474924044</v>
      </c>
      <c r="Y324" s="2"/>
      <c r="Z324" s="14">
        <f>IFERROR(Z297+Z298+Z299+Z300+Z301+Z302+Z303+Z304+Z305+Z306+Z307+Z308+Z309+Z310+Z311+Z312+Z313+Z314+Z315+Z316+Z317+Z318+Z319+Z320+Z321+Z322+Z323, "NA")</f>
        <v>20511.330000000002</v>
      </c>
      <c r="AA324" s="15">
        <f>IFERROR(Z324/Z444, "NA")</f>
        <v>4.9666015884685076E-2</v>
      </c>
      <c r="AB324" s="2"/>
      <c r="AC324" s="14">
        <f t="shared" si="79"/>
        <v>-2343.6700000000019</v>
      </c>
      <c r="AD324" s="15">
        <f>IFERROR(AC324/AC444, "NA")</f>
        <v>-6.9487946413217497E-2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24158.920000000006</v>
      </c>
      <c r="C325" s="15">
        <f>IFERROR(B325/B444, "NA")</f>
        <v>0.278950940543152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24035.95</v>
      </c>
      <c r="F325" s="15">
        <f>IFERROR(E325/E444, "NA")</f>
        <v>0.2067814405270271</v>
      </c>
      <c r="G325" s="2"/>
      <c r="H325" s="14">
        <f t="shared" si="76"/>
        <v>-122.9700000000048</v>
      </c>
      <c r="I325" s="15">
        <f>IFERROR(H325/H444, "NA")</f>
        <v>4.1498929032682073E-3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21627.019999999997</v>
      </c>
      <c r="L325" s="15">
        <f>IFERROR(K325/K444, "NA")</f>
        <v>0.21396600014444445</v>
      </c>
      <c r="M325" s="2"/>
      <c r="N325" s="14">
        <f t="shared" si="77"/>
        <v>-2531.9000000000087</v>
      </c>
      <c r="O325" s="15">
        <f>IFERROR(N325/N444, "NA")</f>
        <v>0.17496904058999854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135197.60999999996</v>
      </c>
      <c r="R325" s="15">
        <f>IFERROR(Q325/Q444, "NA")</f>
        <v>0.30264986957059864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101420.73999999999</v>
      </c>
      <c r="U325" s="15">
        <f>IFERROR(T325/T444, "NA")</f>
        <v>0.21158783557821617</v>
      </c>
      <c r="V325" s="2"/>
      <c r="W325" s="14">
        <f t="shared" si="78"/>
        <v>-33776.869999999966</v>
      </c>
      <c r="X325" s="15">
        <f>IFERROR(W325/W444, "NA")</f>
        <v>1.0355066374523307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94227.959999999963</v>
      </c>
      <c r="AA325" s="15">
        <f>IFERROR(Z325/Z444, "NA")</f>
        <v>0.22816303760611659</v>
      </c>
      <c r="AB325" s="2"/>
      <c r="AC325" s="14">
        <f t="shared" si="79"/>
        <v>-40969.649999999994</v>
      </c>
      <c r="AD325" s="15">
        <f>IFERROR(AC325/AC444, "NA")</f>
        <v>-1.2147174490300567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11108.66</v>
      </c>
      <c r="C329" s="8">
        <f>IFERROR(B329/B444, "NA")</f>
        <v>0.128266129246427</v>
      </c>
      <c r="D329" s="9"/>
      <c r="E329" s="7">
        <v>10253</v>
      </c>
      <c r="F329" s="8">
        <f>IFERROR(E329/E444, "NA")</f>
        <v>8.8206628393036626E-2</v>
      </c>
      <c r="G329" s="9"/>
      <c r="H329" s="10">
        <f t="shared" si="80"/>
        <v>-855.65999999999985</v>
      </c>
      <c r="I329" s="8">
        <f>IFERROR(H329/H444, "NA")</f>
        <v>2.8876127198587745E-2</v>
      </c>
      <c r="J329" s="9"/>
      <c r="K329" s="7">
        <v>4125.3</v>
      </c>
      <c r="L329" s="8">
        <f>IFERROR(K329/K444, "NA")</f>
        <v>4.0813479637780745E-2</v>
      </c>
      <c r="M329" s="9"/>
      <c r="N329" s="10">
        <f t="shared" si="81"/>
        <v>-6983.36</v>
      </c>
      <c r="O329" s="8">
        <f>IFERROR(N329/N444, "NA")</f>
        <v>0.48259086033989013</v>
      </c>
      <c r="P329" s="9"/>
      <c r="Q329" s="7">
        <v>38396.71</v>
      </c>
      <c r="R329" s="8">
        <f>IFERROR(Q329/Q444, "NA")</f>
        <v>8.5953880940943431E-2</v>
      </c>
      <c r="S329" s="9"/>
      <c r="T329" s="7">
        <v>36683</v>
      </c>
      <c r="U329" s="8">
        <f>IFERROR(T329/T444, "NA")</f>
        <v>7.6529480779924344E-2</v>
      </c>
      <c r="V329" s="9"/>
      <c r="W329" s="10">
        <f t="shared" si="82"/>
        <v>-1713.7099999999991</v>
      </c>
      <c r="X329" s="8">
        <f>IFERROR(W329/W444, "NA")</f>
        <v>5.2537670887457436E-2</v>
      </c>
      <c r="Y329" s="9"/>
      <c r="Z329" s="7">
        <v>20626.5</v>
      </c>
      <c r="AA329" s="8">
        <f>IFERROR(Z329/Z444, "NA")</f>
        <v>4.9944887856879908E-2</v>
      </c>
      <c r="AB329" s="9"/>
      <c r="AC329" s="10">
        <f t="shared" si="83"/>
        <v>-17770.21</v>
      </c>
      <c r="AD329" s="8">
        <f>IFERROR(AC329/AC444, "NA")</f>
        <v>-0.52687255468202454</v>
      </c>
    </row>
    <row r="330" spans="1:30" ht="16.5" customHeight="1" x14ac:dyDescent="0.45">
      <c r="A330" s="6" t="s">
        <v>301</v>
      </c>
      <c r="B330" s="7">
        <v>1026.43</v>
      </c>
      <c r="C330" s="8">
        <f>IFERROR(B330/B444, "NA")</f>
        <v>1.185167275282618E-2</v>
      </c>
      <c r="D330" s="9"/>
      <c r="E330" s="7">
        <v>1117</v>
      </c>
      <c r="F330" s="8">
        <f>IFERROR(E330/E444, "NA")</f>
        <v>9.6095585599358154E-3</v>
      </c>
      <c r="G330" s="9"/>
      <c r="H330" s="10">
        <f t="shared" si="80"/>
        <v>90.569999999999936</v>
      </c>
      <c r="I330" s="8">
        <f>IFERROR(H330/H444, "NA")</f>
        <v>-3.056483697234989E-3</v>
      </c>
      <c r="J330" s="9"/>
      <c r="K330" s="7">
        <v>1117.48</v>
      </c>
      <c r="L330" s="8">
        <f>IFERROR(K330/K444, "NA")</f>
        <v>1.1055740728099102E-2</v>
      </c>
      <c r="M330" s="9"/>
      <c r="N330" s="10">
        <f t="shared" si="81"/>
        <v>91.049999999999955</v>
      </c>
      <c r="O330" s="8">
        <f>IFERROR(N330/N444, "NA")</f>
        <v>-6.2920854479716036E-3</v>
      </c>
      <c r="P330" s="9"/>
      <c r="Q330" s="7">
        <v>2922.45</v>
      </c>
      <c r="R330" s="8">
        <f>IFERROR(Q330/Q444, "NA")</f>
        <v>6.5421209097305507E-3</v>
      </c>
      <c r="S330" s="9"/>
      <c r="T330" s="7">
        <v>5585</v>
      </c>
      <c r="U330" s="8">
        <f>IFERROR(T330/T444, "NA")</f>
        <v>1.1651641091401398E-2</v>
      </c>
      <c r="V330" s="9"/>
      <c r="W330" s="10">
        <f t="shared" si="82"/>
        <v>2662.55</v>
      </c>
      <c r="X330" s="8">
        <f>IFERROR(W330/W444, "NA")</f>
        <v>-8.1626515350555151E-2</v>
      </c>
      <c r="Y330" s="9"/>
      <c r="Z330" s="7">
        <v>4614.68</v>
      </c>
      <c r="AA330" s="8">
        <f>IFERROR(Z330/Z444, "NA")</f>
        <v>1.11739594742388E-2</v>
      </c>
      <c r="AB330" s="9"/>
      <c r="AC330" s="10">
        <f t="shared" si="83"/>
        <v>1692.2300000000005</v>
      </c>
      <c r="AD330" s="8">
        <f>IFERROR(AC330/AC444, "NA")</f>
        <v>5.0173269939385229E-2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860.16</v>
      </c>
      <c r="C333" s="8">
        <f>IFERROR(B333/B444, "NA")</f>
        <v>9.9318363990442277E-3</v>
      </c>
      <c r="D333" s="9"/>
      <c r="E333" s="7">
        <v>726</v>
      </c>
      <c r="F333" s="8">
        <f>IFERROR(E333/E444, "NA")</f>
        <v>6.245782913619876E-3</v>
      </c>
      <c r="G333" s="9"/>
      <c r="H333" s="10">
        <f t="shared" si="80"/>
        <v>-134.15999999999997</v>
      </c>
      <c r="I333" s="8">
        <f>IFERROR(H333/H444, "NA")</f>
        <v>4.5275240457220527E-3</v>
      </c>
      <c r="J333" s="9"/>
      <c r="K333" s="7">
        <v>726.35</v>
      </c>
      <c r="L333" s="8">
        <f>IFERROR(K333/K444, "NA")</f>
        <v>7.1861127517761237E-3</v>
      </c>
      <c r="M333" s="9"/>
      <c r="N333" s="10">
        <f t="shared" si="81"/>
        <v>-133.80999999999995</v>
      </c>
      <c r="O333" s="8">
        <f>IFERROR(N333/N444, "NA")</f>
        <v>9.2470505633506905E-3</v>
      </c>
      <c r="P333" s="9"/>
      <c r="Q333" s="7">
        <v>5589.83</v>
      </c>
      <c r="R333" s="8">
        <f>IFERROR(Q333/Q444, "NA")</f>
        <v>1.2513248721052243E-2</v>
      </c>
      <c r="S333" s="9"/>
      <c r="T333" s="7">
        <v>3630</v>
      </c>
      <c r="U333" s="8">
        <f>IFERROR(T333/T444, "NA")</f>
        <v>7.5730451498275874E-3</v>
      </c>
      <c r="V333" s="9"/>
      <c r="W333" s="10">
        <f t="shared" si="82"/>
        <v>-1959.83</v>
      </c>
      <c r="X333" s="8">
        <f>IFERROR(W333/W444, "NA")</f>
        <v>6.0083038282653281E-2</v>
      </c>
      <c r="Y333" s="9"/>
      <c r="Z333" s="7">
        <v>3422.42</v>
      </c>
      <c r="AA333" s="8">
        <f>IFERROR(Z333/Z444, "NA")</f>
        <v>8.2870280027703656E-3</v>
      </c>
      <c r="AB333" s="9"/>
      <c r="AC333" s="10">
        <f t="shared" si="83"/>
        <v>-2167.41</v>
      </c>
      <c r="AD333" s="8">
        <f>IFERROR(AC333/AC444, "NA")</f>
        <v>-6.4261977981316304E-2</v>
      </c>
    </row>
    <row r="334" spans="1:30" ht="16.5" customHeight="1" x14ac:dyDescent="0.45">
      <c r="A334" s="6" t="s">
        <v>305</v>
      </c>
      <c r="B334" s="7">
        <v>-855.37</v>
      </c>
      <c r="C334" s="8">
        <f>IFERROR(B334/B444, "NA")</f>
        <v>-9.8765286698410306E-3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855.37</v>
      </c>
      <c r="I334" s="8">
        <f>IFERROR(H334/H444, "NA")</f>
        <v>-2.88663405112498E-2</v>
      </c>
      <c r="J334" s="9"/>
      <c r="K334" s="7">
        <v>-317.64999999999998</v>
      </c>
      <c r="L334" s="8">
        <f>IFERROR(K334/K444, "NA")</f>
        <v>-3.1426567296780963E-3</v>
      </c>
      <c r="M334" s="9"/>
      <c r="N334" s="10">
        <f t="shared" si="81"/>
        <v>537.72</v>
      </c>
      <c r="O334" s="8">
        <f>IFERROR(N334/N444, "NA")</f>
        <v>-3.7159584701628695E-2</v>
      </c>
      <c r="P334" s="9"/>
      <c r="Q334" s="7">
        <v>-1710.74</v>
      </c>
      <c r="R334" s="8">
        <f>IFERROR(Q334/Q444, "NA")</f>
        <v>-3.8296182740893575E-3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1710.74</v>
      </c>
      <c r="X334" s="8">
        <f>IFERROR(W334/W444, "NA")</f>
        <v>-5.2446618794316995E-2</v>
      </c>
      <c r="Y334" s="9"/>
      <c r="Z334" s="7">
        <v>-635.29999999999995</v>
      </c>
      <c r="AA334" s="8">
        <f>IFERROR(Z334/Z444, "NA")</f>
        <v>-1.5383117472899329E-3</v>
      </c>
      <c r="AB334" s="9"/>
      <c r="AC334" s="10">
        <f t="shared" si="83"/>
        <v>1075.44</v>
      </c>
      <c r="AD334" s="8">
        <f>IFERROR(AC334/AC444, "NA")</f>
        <v>3.1885938332030773E-2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1765.92</v>
      </c>
      <c r="F337" s="8">
        <f>IFERROR(E337/E444, "NA")</f>
        <v>1.5192221711872745E-2</v>
      </c>
      <c r="G337" s="9"/>
      <c r="H337" s="10">
        <f t="shared" ref="H337:H344" si="84">IFERROR(-(B337-E337), "NA")</f>
        <v>1765.92</v>
      </c>
      <c r="I337" s="8">
        <f>IFERROR(H337/H444, "NA")</f>
        <v>-5.9594851392527501E-2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8515.58</v>
      </c>
      <c r="U337" s="8">
        <f>IFERROR(T337/T444, "NA")</f>
        <v>1.7765529426162205E-2</v>
      </c>
      <c r="V337" s="9"/>
      <c r="W337" s="10">
        <f t="shared" ref="W337:W344" si="86">IFERROR(-(Q337-T337), "NA")</f>
        <v>8515.58</v>
      </c>
      <c r="X337" s="8">
        <f>IFERROR(W337/W444, "NA")</f>
        <v>-0.26106443882326358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1160.55</v>
      </c>
      <c r="C338" s="8">
        <f>IFERROR(B338/B444, "NA")</f>
        <v>1.3400289170515693E-2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-1160.55</v>
      </c>
      <c r="I338" s="8">
        <f>IFERROR(H338/H444, "NA")</f>
        <v>3.9165310310545091E-2</v>
      </c>
      <c r="J338" s="9"/>
      <c r="K338" s="7">
        <v>1050.4100000000001</v>
      </c>
      <c r="L338" s="8">
        <f>IFERROR(K338/K444, "NA")</f>
        <v>1.0392186543117172E-2</v>
      </c>
      <c r="M338" s="9"/>
      <c r="N338" s="10">
        <f t="shared" si="85"/>
        <v>-110.13999999999987</v>
      </c>
      <c r="O338" s="8">
        <f>IFERROR(N338/N444, "NA")</f>
        <v>7.6113156643557601E-3</v>
      </c>
      <c r="P338" s="9"/>
      <c r="Q338" s="7">
        <v>4848.93</v>
      </c>
      <c r="R338" s="8">
        <f>IFERROR(Q338/Q444, "NA")</f>
        <v>1.0854689162456077E-2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-4848.93</v>
      </c>
      <c r="X338" s="8">
        <f>IFERROR(W338/W444, "NA")</f>
        <v>0.14865495824633054</v>
      </c>
      <c r="Y338" s="9"/>
      <c r="Z338" s="7">
        <v>4377.87</v>
      </c>
      <c r="AA338" s="8">
        <f>IFERROR(Z338/Z444, "NA")</f>
        <v>1.0600549109252604E-2</v>
      </c>
      <c r="AB338" s="9"/>
      <c r="AC338" s="10">
        <f t="shared" si="87"/>
        <v>-471.0600000000004</v>
      </c>
      <c r="AD338" s="8">
        <f>IFERROR(AC338/AC444, "NA")</f>
        <v>-1.3966553327648616E-2</v>
      </c>
    </row>
    <row r="339" spans="1:30" ht="16.5" customHeight="1" x14ac:dyDescent="0.45">
      <c r="A339" s="12" t="s">
        <v>309</v>
      </c>
      <c r="B339" s="7">
        <v>358.54</v>
      </c>
      <c r="C339" s="8">
        <f>IFERROR(B339/B444, "NA")</f>
        <v>4.1398816760990021E-3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-358.54</v>
      </c>
      <c r="I339" s="8">
        <f>IFERROR(H339/H444, "NA")</f>
        <v>1.2099720269478125E-2</v>
      </c>
      <c r="J339" s="9"/>
      <c r="K339" s="7">
        <v>316.85000000000002</v>
      </c>
      <c r="L339" s="8">
        <f>IFERROR(K339/K444, "NA")</f>
        <v>3.1347419637919251E-3</v>
      </c>
      <c r="M339" s="9"/>
      <c r="N339" s="10">
        <f t="shared" si="85"/>
        <v>-41.69</v>
      </c>
      <c r="O339" s="8">
        <f>IFERROR(N339/N444, "NA")</f>
        <v>2.8810218816687125E-3</v>
      </c>
      <c r="P339" s="9"/>
      <c r="Q339" s="7">
        <v>2795.05</v>
      </c>
      <c r="R339" s="8">
        <f>IFERROR(Q339/Q444, "NA")</f>
        <v>6.2569265680310626E-3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-2795.05</v>
      </c>
      <c r="X339" s="8">
        <f>IFERROR(W339/W444, "NA")</f>
        <v>8.5688603680895828E-2</v>
      </c>
      <c r="Y339" s="9"/>
      <c r="Z339" s="7">
        <v>2274.44</v>
      </c>
      <c r="AA339" s="8">
        <f>IFERROR(Z339/Z444, "NA")</f>
        <v>5.5073158673164101E-3</v>
      </c>
      <c r="AB339" s="9"/>
      <c r="AC339" s="10">
        <f t="shared" si="87"/>
        <v>-520.61000000000013</v>
      </c>
      <c r="AD339" s="8">
        <f>IFERROR(AC339/AC444, "NA")</f>
        <v>-1.5435671311313084E-2</v>
      </c>
    </row>
    <row r="340" spans="1:30" ht="16.5" customHeight="1" x14ac:dyDescent="0.45">
      <c r="A340" s="12" t="s">
        <v>310</v>
      </c>
      <c r="B340" s="7">
        <v>376.75</v>
      </c>
      <c r="C340" s="8">
        <f>IFERROR(B340/B444, "NA")</f>
        <v>4.3501434190614686E-3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-376.75</v>
      </c>
      <c r="I340" s="8">
        <f>IFERROR(H340/H444, "NA")</f>
        <v>1.2714256739905961E-2</v>
      </c>
      <c r="J340" s="9"/>
      <c r="K340" s="7">
        <v>326.41000000000003</v>
      </c>
      <c r="L340" s="8">
        <f>IFERROR(K340/K444, "NA")</f>
        <v>3.2293234161316783E-3</v>
      </c>
      <c r="M340" s="9"/>
      <c r="N340" s="10">
        <f t="shared" si="85"/>
        <v>-50.339999999999975</v>
      </c>
      <c r="O340" s="8">
        <f>IFERROR(N340/N444, "NA")</f>
        <v>3.4787872756824878E-3</v>
      </c>
      <c r="P340" s="9"/>
      <c r="Q340" s="7">
        <v>1813.55</v>
      </c>
      <c r="R340" s="8">
        <f>IFERROR(Q340/Q444, "NA")</f>
        <v>4.0597660784074457E-3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-1813.55</v>
      </c>
      <c r="X340" s="8">
        <f>IFERROR(W340/W444, "NA")</f>
        <v>5.5598492765957179E-2</v>
      </c>
      <c r="Y340" s="9"/>
      <c r="Z340" s="7">
        <v>1502.2</v>
      </c>
      <c r="AA340" s="8">
        <f>IFERROR(Z340/Z444, "NA")</f>
        <v>3.6374183956854049E-3</v>
      </c>
      <c r="AB340" s="9"/>
      <c r="AC340" s="10">
        <f t="shared" si="87"/>
        <v>-311.34999999999991</v>
      </c>
      <c r="AD340" s="8">
        <f>IFERROR(AC340/AC444, "NA")</f>
        <v>-9.231279197052163E-3</v>
      </c>
    </row>
    <row r="341" spans="1:30" ht="16.5" hidden="1" customHeight="1" x14ac:dyDescent="0.45">
      <c r="A341" s="12" t="s">
        <v>311</v>
      </c>
      <c r="B341" s="7">
        <v>0</v>
      </c>
      <c r="C341" s="8">
        <f>IFERROR(B341/B444, "NA")</f>
        <v>0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0</v>
      </c>
      <c r="I341" s="8">
        <f>IFERROR(H341/H444, "NA")</f>
        <v>0</v>
      </c>
      <c r="J341" s="9"/>
      <c r="K341" s="7">
        <v>0</v>
      </c>
      <c r="L341" s="8">
        <f>IFERROR(K341/K444, "NA")</f>
        <v>0</v>
      </c>
      <c r="M341" s="9"/>
      <c r="N341" s="10">
        <f t="shared" si="85"/>
        <v>0</v>
      </c>
      <c r="O341" s="8">
        <f>IFERROR(N341/N444, "NA")</f>
        <v>0</v>
      </c>
      <c r="P341" s="9"/>
      <c r="Q341" s="7">
        <v>0</v>
      </c>
      <c r="R341" s="8">
        <f>IFERROR(Q341/Q444, "NA")</f>
        <v>0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0</v>
      </c>
      <c r="X341" s="8">
        <f>IFERROR(W341/W444, "NA")</f>
        <v>0</v>
      </c>
      <c r="Y341" s="9"/>
      <c r="Z341" s="7">
        <v>0</v>
      </c>
      <c r="AA341" s="8">
        <f>IFERROR(Z341/Z444, "NA")</f>
        <v>0</v>
      </c>
      <c r="AB341" s="9"/>
      <c r="AC341" s="10">
        <f t="shared" si="87"/>
        <v>0</v>
      </c>
      <c r="AD341" s="8">
        <f>IFERROR(AC341/AC444, "NA")</f>
        <v>0</v>
      </c>
    </row>
    <row r="342" spans="1:30" ht="16.5" customHeight="1" x14ac:dyDescent="0.45">
      <c r="A342" s="13" t="s">
        <v>312</v>
      </c>
      <c r="B342" s="14">
        <f>IFERROR(B337+B338+B339+B340+B341, "NA")</f>
        <v>1895.84</v>
      </c>
      <c r="C342" s="15">
        <f>IFERROR(B342/B444, "NA")</f>
        <v>2.1890314265676163E-2</v>
      </c>
      <c r="D342" s="2"/>
      <c r="E342" s="14">
        <f>IFERROR(E337+E338+E339+E340+E341, "NA")</f>
        <v>1765.92</v>
      </c>
      <c r="F342" s="15">
        <f>IFERROR(E342/E444, "NA")</f>
        <v>1.5192221711872745E-2</v>
      </c>
      <c r="G342" s="2"/>
      <c r="H342" s="14">
        <f t="shared" si="84"/>
        <v>-129.91999999999985</v>
      </c>
      <c r="I342" s="15">
        <f>IFERROR(H342/H444, "NA")</f>
        <v>4.3844359274016736E-3</v>
      </c>
      <c r="J342" s="2"/>
      <c r="K342" s="14">
        <f>IFERROR(K337+K338+K339+K340+K341, "NA")</f>
        <v>1693.6700000000003</v>
      </c>
      <c r="L342" s="15">
        <f>IFERROR(K342/K444, "NA")</f>
        <v>1.6756251923040779E-2</v>
      </c>
      <c r="M342" s="2"/>
      <c r="N342" s="14">
        <f t="shared" si="85"/>
        <v>-202.16999999999962</v>
      </c>
      <c r="O342" s="15">
        <f>IFERROR(N342/N444, "NA")</f>
        <v>1.3971124821706945E-2</v>
      </c>
      <c r="P342" s="2"/>
      <c r="Q342" s="14">
        <f>IFERROR(Q337+Q338+Q339+Q340+Q341, "NA")</f>
        <v>9457.5300000000007</v>
      </c>
      <c r="R342" s="15">
        <f>IFERROR(Q342/Q444, "NA")</f>
        <v>2.1171381808894586E-2</v>
      </c>
      <c r="S342" s="2"/>
      <c r="T342" s="14">
        <f>IFERROR(T337+T338+T339+T340+T341, "NA")</f>
        <v>8515.58</v>
      </c>
      <c r="U342" s="15">
        <f>IFERROR(T342/T444, "NA")</f>
        <v>1.7765529426162205E-2</v>
      </c>
      <c r="V342" s="2"/>
      <c r="W342" s="14">
        <f t="shared" si="86"/>
        <v>-941.95000000000073</v>
      </c>
      <c r="X342" s="15">
        <f>IFERROR(W342/W444, "NA")</f>
        <v>2.8877615869919996E-2</v>
      </c>
      <c r="Y342" s="2"/>
      <c r="Z342" s="14">
        <f>IFERROR(Z337+Z338+Z339+Z340+Z341, "NA")</f>
        <v>8154.5099999999993</v>
      </c>
      <c r="AA342" s="15">
        <f>IFERROR(Z342/Z444, "NA")</f>
        <v>1.9745283372254417E-2</v>
      </c>
      <c r="AB342" s="2"/>
      <c r="AC342" s="14">
        <f t="shared" si="87"/>
        <v>-1303.0200000000013</v>
      </c>
      <c r="AD342" s="15">
        <f>IFERROR(AC342/AC444, "NA")</f>
        <v>-3.863350383601389E-2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14035.72</v>
      </c>
      <c r="C343" s="15">
        <f>IFERROR(B343/B444, "NA")</f>
        <v>0.16206342399413254</v>
      </c>
      <c r="D343" s="2"/>
      <c r="E343" s="14">
        <f>IFERROR(E328+E329+E330+E331+E332+E333+E334+E335+E337+E338+E339+E340+E341, "NA")</f>
        <v>13861.92</v>
      </c>
      <c r="F343" s="15">
        <f>IFERROR(E343/E444, "NA")</f>
        <v>0.11925419157846506</v>
      </c>
      <c r="G343" s="2"/>
      <c r="H343" s="14">
        <f t="shared" si="84"/>
        <v>-173.79999999999927</v>
      </c>
      <c r="I343" s="15">
        <f>IFERROR(H343/H444, "NA")</f>
        <v>5.8652629632266673E-3</v>
      </c>
      <c r="J343" s="2"/>
      <c r="K343" s="14">
        <f>IFERROR(K328+K329+K330+K331+K332+K333+K334+K335+K337+K338+K339+K340+K341, "NA")</f>
        <v>7345.1500000000015</v>
      </c>
      <c r="L343" s="15">
        <f>IFERROR(K343/K444, "NA")</f>
        <v>7.2668928311018663E-2</v>
      </c>
      <c r="M343" s="2"/>
      <c r="N343" s="14">
        <f t="shared" si="85"/>
        <v>-6690.5699999999979</v>
      </c>
      <c r="O343" s="15">
        <f>IFERROR(N343/N444, "NA")</f>
        <v>0.4623573655753474</v>
      </c>
      <c r="P343" s="2"/>
      <c r="Q343" s="14">
        <f>IFERROR(Q328+Q329+Q330+Q331+Q332+Q333+Q334+Q335+Q337+Q338+Q339+Q340+Q341, "NA")</f>
        <v>54655.780000000006</v>
      </c>
      <c r="R343" s="15">
        <f>IFERROR(Q343/Q444, "NA")</f>
        <v>0.12235101410653147</v>
      </c>
      <c r="S343" s="2"/>
      <c r="T343" s="14">
        <f>IFERROR(T328+T329+T330+T331+T332+T333+T334+T335+T337+T338+T339+T340+T341, "NA")</f>
        <v>54413.58</v>
      </c>
      <c r="U343" s="15">
        <f>IFERROR(T343/T444, "NA")</f>
        <v>0.11351969644731554</v>
      </c>
      <c r="V343" s="2"/>
      <c r="W343" s="14">
        <f t="shared" si="86"/>
        <v>-242.20000000000437</v>
      </c>
      <c r="X343" s="15">
        <f>IFERROR(W343/W444, "NA")</f>
        <v>7.4251908951587066E-3</v>
      </c>
      <c r="Y343" s="2"/>
      <c r="Z343" s="14">
        <f>IFERROR(Z328+Z329+Z330+Z331+Z332+Z333+Z334+Z335+Z337+Z338+Z339+Z340+Z341, "NA")</f>
        <v>36182.81</v>
      </c>
      <c r="AA343" s="15">
        <f>IFERROR(Z343/Z444, "NA")</f>
        <v>8.7612846958853546E-2</v>
      </c>
      <c r="AB343" s="2"/>
      <c r="AC343" s="14">
        <f t="shared" si="87"/>
        <v>-18472.970000000008</v>
      </c>
      <c r="AD343" s="15">
        <f>IFERROR(AC343/AC444, "NA")</f>
        <v>-0.54770882822793898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14035.72</v>
      </c>
      <c r="C344" s="15">
        <f>IFERROR(B344/B444, "NA")</f>
        <v>0.16206342399413254</v>
      </c>
      <c r="D344" s="2"/>
      <c r="E344" s="14">
        <f>IFERROR(E328+E329+E330+E331+E332+E333+E334+E335+E337+E338+E339+E340+E341, "NA")</f>
        <v>13861.92</v>
      </c>
      <c r="F344" s="15">
        <f>IFERROR(E344/E444, "NA")</f>
        <v>0.11925419157846506</v>
      </c>
      <c r="G344" s="2"/>
      <c r="H344" s="14">
        <f t="shared" si="84"/>
        <v>-173.79999999999927</v>
      </c>
      <c r="I344" s="15">
        <f>IFERROR(H344/H444, "NA")</f>
        <v>5.8652629632266673E-3</v>
      </c>
      <c r="J344" s="2"/>
      <c r="K344" s="14">
        <f>IFERROR(K328+K329+K330+K331+K332+K333+K334+K335+K337+K338+K339+K340+K341, "NA")</f>
        <v>7345.1500000000015</v>
      </c>
      <c r="L344" s="15">
        <f>IFERROR(K344/K444, "NA")</f>
        <v>7.2668928311018663E-2</v>
      </c>
      <c r="M344" s="2"/>
      <c r="N344" s="14">
        <f t="shared" si="85"/>
        <v>-6690.5699999999979</v>
      </c>
      <c r="O344" s="15">
        <f>IFERROR(N344/N444, "NA")</f>
        <v>0.4623573655753474</v>
      </c>
      <c r="P344" s="2"/>
      <c r="Q344" s="14">
        <f>IFERROR(Q328+Q329+Q330+Q331+Q332+Q333+Q334+Q335+Q337+Q338+Q339+Q340+Q341, "NA")</f>
        <v>54655.780000000006</v>
      </c>
      <c r="R344" s="15">
        <f>IFERROR(Q344/Q444, "NA")</f>
        <v>0.12235101410653147</v>
      </c>
      <c r="S344" s="2"/>
      <c r="T344" s="14">
        <f>IFERROR(T328+T329+T330+T331+T332+T333+T334+T335+T337+T338+T339+T340+T341, "NA")</f>
        <v>54413.58</v>
      </c>
      <c r="U344" s="15">
        <f>IFERROR(T344/T444, "NA")</f>
        <v>0.11351969644731554</v>
      </c>
      <c r="V344" s="2"/>
      <c r="W344" s="14">
        <f t="shared" si="86"/>
        <v>-242.20000000000437</v>
      </c>
      <c r="X344" s="15">
        <f>IFERROR(W344/W444, "NA")</f>
        <v>7.4251908951587066E-3</v>
      </c>
      <c r="Y344" s="2"/>
      <c r="Z344" s="14">
        <f>IFERROR(Z328+Z329+Z330+Z331+Z332+Z333+Z334+Z335+Z337+Z338+Z339+Z340+Z341, "NA")</f>
        <v>36182.81</v>
      </c>
      <c r="AA344" s="15">
        <f>IFERROR(Z344/Z444, "NA")</f>
        <v>8.7612846958853546E-2</v>
      </c>
      <c r="AB344" s="2"/>
      <c r="AC344" s="14">
        <f t="shared" si="87"/>
        <v>-18472.970000000008</v>
      </c>
      <c r="AD344" s="15">
        <f>IFERROR(AC344/AC444, "NA")</f>
        <v>-0.54770882822793898</v>
      </c>
    </row>
    <row r="345" spans="1:30" ht="16.5" customHeight="1" x14ac:dyDescent="0.45">
      <c r="A345" s="22" t="s">
        <v>315</v>
      </c>
      <c r="B345" s="23">
        <f>IFERROR(B198-B325-B344, "NA")</f>
        <v>-6201.9300000000021</v>
      </c>
      <c r="C345" s="24">
        <f>IFERROR(B345/B444, "NA")</f>
        <v>-7.1610577239495432E-2</v>
      </c>
      <c r="D345" s="25"/>
      <c r="E345" s="23">
        <f>IFERROR(E198-E325-E344, "NA")</f>
        <v>19250.720000000016</v>
      </c>
      <c r="F345" s="24">
        <f>IFERROR(E345/E444, "NA")</f>
        <v>0.16561407445024864</v>
      </c>
      <c r="G345" s="25"/>
      <c r="H345" s="23">
        <f>IFERROR(B345-E345, "NA")</f>
        <v>-25452.650000000016</v>
      </c>
      <c r="I345" s="24">
        <f>IFERROR(H345/H444, "NA")</f>
        <v>0.85895561197337145</v>
      </c>
      <c r="J345" s="25"/>
      <c r="K345" s="23">
        <f>IFERROR(K198-K325-K344, "NA")</f>
        <v>15194.39</v>
      </c>
      <c r="L345" s="24">
        <f>IFERROR(K345/K444, "NA")</f>
        <v>0.15032504954148773</v>
      </c>
      <c r="M345" s="25"/>
      <c r="N345" s="23">
        <f>IFERROR(B345-K345, "NA")</f>
        <v>-21396.32</v>
      </c>
      <c r="O345" s="24">
        <f>IFERROR(N345/N444, "NA")</f>
        <v>1.4786103647681916</v>
      </c>
      <c r="P345" s="25"/>
      <c r="Q345" s="23">
        <f>IFERROR(Q198-Q325-Q344, "NA")</f>
        <v>-9149.6799999998839</v>
      </c>
      <c r="R345" s="24">
        <f>IFERROR(Q345/Q444, "NA")</f>
        <v>-2.0482236768924248E-2</v>
      </c>
      <c r="S345" s="25"/>
      <c r="T345" s="23">
        <f>IFERROR(T198-T325-T344, "NA")</f>
        <v>60141.460000000123</v>
      </c>
      <c r="U345" s="24">
        <f>IFERROR(T345/T444, "NA")</f>
        <v>0.12546941927177707</v>
      </c>
      <c r="V345" s="25"/>
      <c r="W345" s="23">
        <f>IFERROR(Q345-T345, "NA")</f>
        <v>-69291.140000000014</v>
      </c>
      <c r="X345" s="24">
        <f>IFERROR(W345/W444, "NA")</f>
        <v>2.1242772165283159</v>
      </c>
      <c r="Y345" s="25"/>
      <c r="Z345" s="23">
        <f>IFERROR(Z198-Z325-Z344, "NA")</f>
        <v>40708.020000000135</v>
      </c>
      <c r="AA345" s="24">
        <f>IFERROR(Z345/Z444, "NA")</f>
        <v>9.85701642923245E-2</v>
      </c>
      <c r="AB345" s="25"/>
      <c r="AC345" s="23">
        <f>IFERROR(Q345-Z345, "NA")</f>
        <v>-49857.700000000019</v>
      </c>
      <c r="AD345" s="24">
        <f>IFERROR(AC345/AC444, "NA")</f>
        <v>-1.4782410432724198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-6201.9300000000021</v>
      </c>
      <c r="C404" s="24">
        <f>IFERROR(B404/B444, "NA")</f>
        <v>-7.1610577239495432E-2</v>
      </c>
      <c r="D404" s="25"/>
      <c r="E404" s="23">
        <f>IFERROR(E345-E403, "NA")</f>
        <v>19250.720000000016</v>
      </c>
      <c r="F404" s="24">
        <f>IFERROR(E404/E444, "NA")</f>
        <v>0.16561407445024864</v>
      </c>
      <c r="G404" s="25"/>
      <c r="H404" s="23">
        <f>IFERROR(B404-E404, "NA")</f>
        <v>-25452.650000000016</v>
      </c>
      <c r="I404" s="24">
        <f>IFERROR(H404/H444, "NA")</f>
        <v>0.85895561197337145</v>
      </c>
      <c r="J404" s="25"/>
      <c r="K404" s="23">
        <f>IFERROR(K345-K403, "NA")</f>
        <v>15194.39</v>
      </c>
      <c r="L404" s="24">
        <f>IFERROR(K404/K444, "NA")</f>
        <v>0.15032504954148773</v>
      </c>
      <c r="M404" s="25"/>
      <c r="N404" s="23">
        <f>IFERROR(B404-K404, "NA")</f>
        <v>-21396.32</v>
      </c>
      <c r="O404" s="24">
        <f>IFERROR(N404/N444, "NA")</f>
        <v>1.4786103647681916</v>
      </c>
      <c r="P404" s="25"/>
      <c r="Q404" s="23">
        <f>IFERROR(Q345-Q403, "NA")</f>
        <v>-9149.6799999998839</v>
      </c>
      <c r="R404" s="24">
        <f>IFERROR(Q404/Q444, "NA")</f>
        <v>-2.0482236768924248E-2</v>
      </c>
      <c r="S404" s="25"/>
      <c r="T404" s="23">
        <f>IFERROR(T345-T403, "NA")</f>
        <v>60141.460000000123</v>
      </c>
      <c r="U404" s="24">
        <f>IFERROR(T404/T444, "NA")</f>
        <v>0.12546941927177707</v>
      </c>
      <c r="V404" s="25"/>
      <c r="W404" s="23">
        <f>IFERROR(Q404-T404, "NA")</f>
        <v>-69291.140000000014</v>
      </c>
      <c r="X404" s="24">
        <f>IFERROR(W404/W444, "NA")</f>
        <v>2.1242772165283159</v>
      </c>
      <c r="Y404" s="25"/>
      <c r="Z404" s="23">
        <f>IFERROR(Z345-Z403, "NA")</f>
        <v>40708.020000000135</v>
      </c>
      <c r="AA404" s="24">
        <f>IFERROR(Z404/Z444, "NA")</f>
        <v>9.85701642923245E-2</v>
      </c>
      <c r="AB404" s="25"/>
      <c r="AC404" s="23">
        <f>IFERROR(Q404-Z404, "NA")</f>
        <v>-49857.700000000019</v>
      </c>
      <c r="AD404" s="24">
        <f>IFERROR(AC404/AC444, "NA")</f>
        <v>-1.4782410432724198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648</v>
      </c>
      <c r="AA408" s="8">
        <f>IFERROR(Z408/Z444, "NA")</f>
        <v>1.5690634538704181E-3</v>
      </c>
      <c r="AB408" s="9"/>
      <c r="AC408" s="10">
        <f t="shared" si="103"/>
        <v>648</v>
      </c>
      <c r="AD408" s="8">
        <f>IFERROR(AC408/AC444, "NA")</f>
        <v>1.921268321724684E-2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2891.92</v>
      </c>
      <c r="C410" s="8">
        <f>IFERROR(B410/B444, "NA")</f>
        <v>3.3391550780231566E-2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-2891.92</v>
      </c>
      <c r="I410" s="8">
        <f>IFERROR(H410/H444, "NA")</f>
        <v>9.759419602194784E-2</v>
      </c>
      <c r="J410" s="9"/>
      <c r="K410" s="7">
        <v>7805.75</v>
      </c>
      <c r="L410" s="8">
        <f>IFERROR(K410/K444, "NA")</f>
        <v>7.7225854769982061E-2</v>
      </c>
      <c r="M410" s="9"/>
      <c r="N410" s="10">
        <f t="shared" si="101"/>
        <v>4913.83</v>
      </c>
      <c r="O410" s="8">
        <f>IFERROR(N410/N444, "NA")</f>
        <v>-0.33957428047014082</v>
      </c>
      <c r="P410" s="9"/>
      <c r="Q410" s="7">
        <v>14902.18</v>
      </c>
      <c r="R410" s="8">
        <f>IFERROR(Q410/Q444, "NA")</f>
        <v>3.3359634340559607E-2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-14902.18</v>
      </c>
      <c r="X410" s="8">
        <f>IFERROR(W410/W444, "NA")</f>
        <v>0.45686016207272578</v>
      </c>
      <c r="Y410" s="9"/>
      <c r="Z410" s="7">
        <v>39029.230000000003</v>
      </c>
      <c r="AA410" s="8">
        <f>IFERROR(Z410/Z444, "NA")</f>
        <v>9.4505151891516898E-2</v>
      </c>
      <c r="AB410" s="9"/>
      <c r="AC410" s="10">
        <f t="shared" si="103"/>
        <v>24127.050000000003</v>
      </c>
      <c r="AD410" s="8">
        <f>IFERROR(AC410/AC444, "NA")</f>
        <v>0.71534779107511637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-43.47</v>
      </c>
      <c r="L416" s="8">
        <f>IFERROR(K416/K444, "NA")</f>
        <v>-4.3006859133986106E-4</v>
      </c>
      <c r="M416" s="9"/>
      <c r="N416" s="10">
        <f t="shared" si="101"/>
        <v>-43.47</v>
      </c>
      <c r="O416" s="8">
        <f>IFERROR(N416/N444, "NA")</f>
        <v>3.0040302517663452E-3</v>
      </c>
      <c r="P416" s="9"/>
      <c r="Q416" s="7">
        <v>-112.63</v>
      </c>
      <c r="R416" s="8">
        <f>IFERROR(Q416/Q444, "NA")</f>
        <v>-2.5213060208487809E-4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112.63</v>
      </c>
      <c r="X416" s="8">
        <f>IFERROR(W416/W444, "NA")</f>
        <v>-3.4529283671416596E-3</v>
      </c>
      <c r="Y416" s="9"/>
      <c r="Z416" s="7">
        <v>-141.99</v>
      </c>
      <c r="AA416" s="8">
        <f>IFERROR(Z416/Z444, "NA")</f>
        <v>-3.438137651466986E-4</v>
      </c>
      <c r="AB416" s="9"/>
      <c r="AC416" s="10">
        <f t="shared" si="103"/>
        <v>-29.360000000000014</v>
      </c>
      <c r="AD416" s="8">
        <f>IFERROR(AC416/AC444, "NA")</f>
        <v>-8.7050058527525834E-4</v>
      </c>
    </row>
    <row r="417" spans="1:30" ht="16.5" customHeight="1" x14ac:dyDescent="0.45">
      <c r="A417" s="6" t="s">
        <v>382</v>
      </c>
      <c r="B417" s="7">
        <v>-23.66</v>
      </c>
      <c r="C417" s="8">
        <f>IFERROR(B417/B444, "NA")</f>
        <v>-2.7319016136693921E-4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23.66</v>
      </c>
      <c r="I417" s="8">
        <f>IFERROR(H417/H444, "NA")</f>
        <v>-7.9845869798586609E-4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23.66</v>
      </c>
      <c r="O417" s="8">
        <f>IFERROR(N417/N444, "NA")</f>
        <v>-1.6350438407359497E-3</v>
      </c>
      <c r="P417" s="9"/>
      <c r="Q417" s="7">
        <v>48.27</v>
      </c>
      <c r="R417" s="8">
        <f>IFERROR(Q417/Q444, "NA")</f>
        <v>1.0805597232209062E-4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-48.27</v>
      </c>
      <c r="X417" s="8">
        <f>IFERROR(W417/W444, "NA")</f>
        <v>1.4798264430607114E-3</v>
      </c>
      <c r="Y417" s="9"/>
      <c r="Z417" s="7">
        <v>17.27</v>
      </c>
      <c r="AA417" s="8">
        <f>IFERROR(Z417/Z444, "NA")</f>
        <v>4.1817478161021794E-5</v>
      </c>
      <c r="AB417" s="9"/>
      <c r="AC417" s="10">
        <f t="shared" si="103"/>
        <v>-31.000000000000004</v>
      </c>
      <c r="AD417" s="8">
        <f>IFERROR(AC417/AC444, "NA")</f>
        <v>-9.1912527736829025E-4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2868.26</v>
      </c>
      <c r="C428" s="15">
        <f>IFERROR(B428/B444, "NA")</f>
        <v>3.3118360618864626E-2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-2868.26</v>
      </c>
      <c r="I428" s="15">
        <f>IFERROR(H428/H444, "NA")</f>
        <v>9.6795737323961975E-2</v>
      </c>
      <c r="J428" s="2"/>
      <c r="K428" s="14">
        <f>IFERROR(K407+K408+K409+K410+K411+K412+K413+K414+K415+K416+K417+K418+K419+K420+K421+K422+K423+K424+K425+K426+K427, "NA")</f>
        <v>7762.28</v>
      </c>
      <c r="L428" s="15">
        <f>IFERROR(K428/K444, "NA")</f>
        <v>7.6795786178642203E-2</v>
      </c>
      <c r="M428" s="2"/>
      <c r="N428" s="14">
        <f t="shared" si="101"/>
        <v>4894.0199999999995</v>
      </c>
      <c r="O428" s="15">
        <f>IFERROR(N428/N444, "NA")</f>
        <v>-0.33820529405911037</v>
      </c>
      <c r="P428" s="2"/>
      <c r="Q428" s="14">
        <f>IFERROR(Q407+Q408+Q409+Q410+Q411+Q412+Q413+Q414+Q415+Q416+Q417+Q418+Q419+Q420+Q421+Q422+Q423+Q424+Q425+Q426+Q427, "NA")</f>
        <v>14837.820000000002</v>
      </c>
      <c r="R428" s="15">
        <f>IFERROR(Q428/Q444, "NA")</f>
        <v>3.3215559710796823E-2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-14837.820000000002</v>
      </c>
      <c r="X428" s="15">
        <f>IFERROR(W428/W444, "NA")</f>
        <v>0.45488706014864483</v>
      </c>
      <c r="Y428" s="2"/>
      <c r="Z428" s="14">
        <f>IFERROR(Z407+Z408+Z409+Z410+Z411+Z412+Z413+Z414+Z415+Z416+Z417+Z418+Z419+Z420+Z421+Z422+Z423+Z424+Z425+Z426+Z427, "NA")</f>
        <v>39552.51</v>
      </c>
      <c r="AA428" s="15">
        <f>IFERROR(Z428/Z444, "NA")</f>
        <v>9.5772219058401636E-2</v>
      </c>
      <c r="AB428" s="2"/>
      <c r="AC428" s="14">
        <f t="shared" si="103"/>
        <v>24714.690000000002</v>
      </c>
      <c r="AD428" s="15">
        <f>IFERROR(AC428/AC444, "NA")</f>
        <v>0.73277084842971962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2868.26</v>
      </c>
      <c r="C429" s="15">
        <f>IFERROR(B429/B444, "NA")</f>
        <v>3.3118360618864626E-2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-2868.26</v>
      </c>
      <c r="I429" s="15">
        <f>IFERROR(H429/H444, "NA")</f>
        <v>9.6795737323961975E-2</v>
      </c>
      <c r="J429" s="2"/>
      <c r="K429" s="14">
        <f>IFERROR(K407+K408+K409+K410+K411+K412+K413+K414+K415+K416+K417+K418+K419+K420+K421+K422+K423+K424+K425+K426+K427, "NA")</f>
        <v>7762.28</v>
      </c>
      <c r="L429" s="15">
        <f>IFERROR(K429/K444, "NA")</f>
        <v>7.6795786178642203E-2</v>
      </c>
      <c r="M429" s="2"/>
      <c r="N429" s="14">
        <f t="shared" si="101"/>
        <v>4894.0199999999995</v>
      </c>
      <c r="O429" s="15">
        <f>IFERROR(N429/N444, "NA")</f>
        <v>-0.33820529405911037</v>
      </c>
      <c r="P429" s="2"/>
      <c r="Q429" s="14">
        <f>IFERROR(Q407+Q408+Q409+Q410+Q411+Q412+Q413+Q414+Q415+Q416+Q417+Q418+Q419+Q420+Q421+Q422+Q423+Q424+Q425+Q426+Q427, "NA")</f>
        <v>14837.820000000002</v>
      </c>
      <c r="R429" s="15">
        <f>IFERROR(Q429/Q444, "NA")</f>
        <v>3.3215559710796823E-2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-14837.820000000002</v>
      </c>
      <c r="X429" s="15">
        <f>IFERROR(W429/W444, "NA")</f>
        <v>0.45488706014864483</v>
      </c>
      <c r="Y429" s="2"/>
      <c r="Z429" s="14">
        <f>IFERROR(Z407+Z408+Z409+Z410+Z411+Z412+Z413+Z414+Z415+Z416+Z417+Z418+Z419+Z420+Z421+Z422+Z423+Z424+Z425+Z426+Z427, "NA")</f>
        <v>39552.51</v>
      </c>
      <c r="AA429" s="15">
        <f>IFERROR(Z429/Z444, "NA")</f>
        <v>9.5772219058401636E-2</v>
      </c>
      <c r="AB429" s="2"/>
      <c r="AC429" s="14">
        <f t="shared" si="103"/>
        <v>24714.690000000002</v>
      </c>
      <c r="AD429" s="15">
        <f>IFERROR(AC429/AC444, "NA")</f>
        <v>0.73277084842971962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-9070.1900000000023</v>
      </c>
      <c r="C443" s="24">
        <f>IFERROR(B443/B444, "NA")</f>
        <v>-0.10472893785836006</v>
      </c>
      <c r="D443" s="25"/>
      <c r="E443" s="23">
        <f>IFERROR(E404-E429-E442, "NA")</f>
        <v>19250.720000000016</v>
      </c>
      <c r="F443" s="24">
        <f>IFERROR(E443/E444, "NA")</f>
        <v>0.16561407445024864</v>
      </c>
      <c r="G443" s="25"/>
      <c r="H443" s="23">
        <f>IFERROR(B443-E443, "NA")</f>
        <v>-28320.910000000018</v>
      </c>
      <c r="I443" s="24">
        <f>IFERROR(H443/H444, "NA")</f>
        <v>0.95575134929733341</v>
      </c>
      <c r="J443" s="25"/>
      <c r="K443" s="23">
        <f>IFERROR(K404-K429-K442, "NA")</f>
        <v>7432.11</v>
      </c>
      <c r="L443" s="24">
        <f>IFERROR(K443/K444, "NA")</f>
        <v>7.3529263362845515E-2</v>
      </c>
      <c r="M443" s="25"/>
      <c r="N443" s="23">
        <f>IFERROR(B443-K443, "NA")</f>
        <v>-16502.300000000003</v>
      </c>
      <c r="O443" s="24">
        <f>IFERROR(N443/N444, "NA")</f>
        <v>1.1404050707090814</v>
      </c>
      <c r="P443" s="25"/>
      <c r="Q443" s="23">
        <f>IFERROR(Q404-Q429-Q442, "NA")</f>
        <v>-23987.499999999884</v>
      </c>
      <c r="R443" s="24">
        <f>IFERROR(Q443/Q444, "NA")</f>
        <v>-5.3697796479721067E-2</v>
      </c>
      <c r="S443" s="25"/>
      <c r="T443" s="23">
        <f>IFERROR(T404-T429-T442, "NA")</f>
        <v>60141.460000000123</v>
      </c>
      <c r="U443" s="24">
        <f>IFERROR(T443/T444, "NA")</f>
        <v>0.12546941927177707</v>
      </c>
      <c r="V443" s="25"/>
      <c r="W443" s="23">
        <f>IFERROR(Q443-T443, "NA")</f>
        <v>-84128.960000000006</v>
      </c>
      <c r="X443" s="24">
        <f>IFERROR(W443/W444, "NA")</f>
        <v>2.5791642766769605</v>
      </c>
      <c r="Y443" s="25"/>
      <c r="Z443" s="23">
        <f>IFERROR(Z404-Z429-Z442, "NA")</f>
        <v>1155.510000000133</v>
      </c>
      <c r="AA443" s="24">
        <f>IFERROR(Z443/Z444, "NA")</f>
        <v>2.7979452339228638E-3</v>
      </c>
      <c r="AB443" s="25"/>
      <c r="AC443" s="23">
        <f>IFERROR(Q443-Z443, "NA")</f>
        <v>-25143.010000000017</v>
      </c>
      <c r="AD443" s="24">
        <f>IFERROR(AC443/AC444, "NA")</f>
        <v>-0.74547019484270027</v>
      </c>
    </row>
    <row r="444" spans="1:30" ht="15.75" hidden="1" x14ac:dyDescent="0.45">
      <c r="A444" s="26" t="s">
        <v>117</v>
      </c>
      <c r="B444" s="7">
        <v>86606.34</v>
      </c>
      <c r="C444" s="27"/>
      <c r="D444" s="9"/>
      <c r="E444" s="7">
        <v>116238.43</v>
      </c>
      <c r="F444" s="27"/>
      <c r="G444" s="9"/>
      <c r="H444" s="10">
        <f>IFERROR(B444-E444, "NA")</f>
        <v>-29632.089999999997</v>
      </c>
      <c r="I444" s="27"/>
      <c r="J444" s="9"/>
      <c r="K444" s="7">
        <v>101076.9</v>
      </c>
      <c r="L444" s="27"/>
      <c r="M444" s="9"/>
      <c r="N444" s="10">
        <f>IFERROR(B444-K444, "NA")</f>
        <v>-14470.559999999998</v>
      </c>
      <c r="O444" s="27"/>
      <c r="P444" s="9"/>
      <c r="Q444" s="7">
        <v>446712.93</v>
      </c>
      <c r="R444" s="27"/>
      <c r="S444" s="9"/>
      <c r="T444" s="7">
        <v>479331.62</v>
      </c>
      <c r="U444" s="27"/>
      <c r="V444" s="9"/>
      <c r="W444" s="10">
        <f>IFERROR(Q444-T444, "NA")</f>
        <v>-32618.690000000002</v>
      </c>
      <c r="X444" s="27"/>
      <c r="Y444" s="9"/>
      <c r="Z444" s="7">
        <v>412985.21</v>
      </c>
      <c r="AA444" s="27"/>
      <c r="AB444" s="9"/>
      <c r="AC444" s="10">
        <f>IFERROR(Q444-Z444, "NA")</f>
        <v>33727.719999999972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415</v>
      </c>
      <c r="B3" s="31" t="s">
        <v>415</v>
      </c>
      <c r="C3" s="31" t="s">
        <v>415</v>
      </c>
      <c r="D3" s="31" t="s">
        <v>415</v>
      </c>
      <c r="E3" s="31" t="s">
        <v>415</v>
      </c>
      <c r="F3" s="31" t="s">
        <v>415</v>
      </c>
      <c r="G3" s="31" t="s">
        <v>415</v>
      </c>
      <c r="H3" s="31" t="s">
        <v>415</v>
      </c>
      <c r="I3" s="31" t="s">
        <v>415</v>
      </c>
      <c r="J3" s="31" t="s">
        <v>415</v>
      </c>
      <c r="K3" s="31" t="s">
        <v>415</v>
      </c>
      <c r="L3" s="31" t="s">
        <v>415</v>
      </c>
      <c r="M3" s="31" t="s">
        <v>415</v>
      </c>
      <c r="N3" s="31" t="s">
        <v>415</v>
      </c>
      <c r="O3" s="31" t="s">
        <v>415</v>
      </c>
      <c r="P3" s="31" t="s">
        <v>415</v>
      </c>
      <c r="Q3" s="31" t="s">
        <v>415</v>
      </c>
      <c r="R3" s="31" t="s">
        <v>415</v>
      </c>
      <c r="S3" s="31" t="s">
        <v>415</v>
      </c>
      <c r="T3" s="31" t="s">
        <v>415</v>
      </c>
      <c r="U3" s="31" t="s">
        <v>415</v>
      </c>
      <c r="V3" s="31" t="s">
        <v>415</v>
      </c>
      <c r="W3" s="31" t="s">
        <v>415</v>
      </c>
      <c r="X3" s="31" t="s">
        <v>415</v>
      </c>
      <c r="Y3" s="31" t="s">
        <v>415</v>
      </c>
      <c r="Z3" s="31" t="s">
        <v>415</v>
      </c>
      <c r="AA3" s="31" t="s">
        <v>415</v>
      </c>
      <c r="AB3" s="31" t="s">
        <v>415</v>
      </c>
      <c r="AC3" s="31" t="s">
        <v>415</v>
      </c>
      <c r="AD3" s="31" t="s">
        <v>415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65220.67</v>
      </c>
      <c r="F10" s="8">
        <f>IFERROR(E10/E444, "NA")</f>
        <v>0.58899993859002697</v>
      </c>
      <c r="G10" s="9"/>
      <c r="H10" s="10">
        <f t="shared" ref="H10:H19" si="0">IFERROR(B10-E10, "NA")</f>
        <v>-65220.67</v>
      </c>
      <c r="I10" s="8">
        <f>IFERROR(H10/H444, "NA")</f>
        <v>-3.2874879152540495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315402.98</v>
      </c>
      <c r="U10" s="8">
        <f>IFERROR(T10/T444, "NA")</f>
        <v>0.58899998943022058</v>
      </c>
      <c r="V10" s="9"/>
      <c r="W10" s="10">
        <f t="shared" ref="W10:W19" si="2">IFERROR(Q10-T10, "NA")</f>
        <v>-315402.98</v>
      </c>
      <c r="X10" s="8">
        <f>IFERROR(W10/W444, "NA")</f>
        <v>-19.673204587543246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68242.350000000006</v>
      </c>
      <c r="C11" s="8">
        <f>IFERROR(B11/B444, "NA")</f>
        <v>0.52264849591323481</v>
      </c>
      <c r="D11" s="9"/>
      <c r="E11" s="7">
        <v>0</v>
      </c>
      <c r="F11" s="8">
        <f>IFERROR(E11/E444, "NA")</f>
        <v>0</v>
      </c>
      <c r="G11" s="9"/>
      <c r="H11" s="10">
        <f t="shared" si="0"/>
        <v>68242.350000000006</v>
      </c>
      <c r="I11" s="8">
        <f>IFERROR(H11/H444, "NA")</f>
        <v>3.4397975508920289</v>
      </c>
      <c r="J11" s="9"/>
      <c r="K11" s="7">
        <v>54668.92</v>
      </c>
      <c r="L11" s="8">
        <f>IFERROR(K11/K444, "NA")</f>
        <v>0.57270177267637923</v>
      </c>
      <c r="M11" s="9"/>
      <c r="N11" s="10">
        <f t="shared" si="1"/>
        <v>13573.430000000008</v>
      </c>
      <c r="O11" s="8">
        <f>IFERROR(N11/N444, "NA")</f>
        <v>0.38657150164301235</v>
      </c>
      <c r="P11" s="9"/>
      <c r="Q11" s="7">
        <v>286857.76</v>
      </c>
      <c r="R11" s="8">
        <f>IFERROR(Q11/Q444, "NA")</f>
        <v>0.52012114496808415</v>
      </c>
      <c r="S11" s="9"/>
      <c r="T11" s="7">
        <v>0</v>
      </c>
      <c r="U11" s="8">
        <f>IFERROR(T11/T444, "NA")</f>
        <v>0</v>
      </c>
      <c r="V11" s="9"/>
      <c r="W11" s="10">
        <f t="shared" si="2"/>
        <v>286857.76</v>
      </c>
      <c r="X11" s="8">
        <f>IFERROR(W11/W444, "NA")</f>
        <v>17.892701584507478</v>
      </c>
      <c r="Y11" s="9"/>
      <c r="Z11" s="7">
        <v>257373.07</v>
      </c>
      <c r="AA11" s="8">
        <f>IFERROR(Z11/Z444, "NA")</f>
        <v>0.54341279518436059</v>
      </c>
      <c r="AB11" s="9"/>
      <c r="AC11" s="10">
        <f t="shared" si="3"/>
        <v>29484.690000000002</v>
      </c>
      <c r="AD11" s="8">
        <f>IFERROR(AC11/AC444, "NA")</f>
        <v>0.37850599922590616</v>
      </c>
    </row>
    <row r="12" spans="1:30" ht="16.5" customHeight="1" x14ac:dyDescent="0.45">
      <c r="A12" s="12" t="s">
        <v>14</v>
      </c>
      <c r="B12" s="7">
        <v>7765.1</v>
      </c>
      <c r="C12" s="8">
        <f>IFERROR(B12/B444, "NA")</f>
        <v>5.9470663533947171E-2</v>
      </c>
      <c r="D12" s="9"/>
      <c r="E12" s="7">
        <v>0</v>
      </c>
      <c r="F12" s="8">
        <f>IFERROR(E12/E444, "NA")</f>
        <v>0</v>
      </c>
      <c r="G12" s="9"/>
      <c r="H12" s="10">
        <f t="shared" si="0"/>
        <v>7765.1</v>
      </c>
      <c r="I12" s="8">
        <f>IFERROR(H12/H444, "NA")</f>
        <v>0.39140463308241424</v>
      </c>
      <c r="J12" s="9"/>
      <c r="K12" s="7">
        <v>5811.15</v>
      </c>
      <c r="L12" s="8">
        <f>IFERROR(K12/K444, "NA")</f>
        <v>6.0876562154297931E-2</v>
      </c>
      <c r="M12" s="9"/>
      <c r="N12" s="10">
        <f t="shared" si="1"/>
        <v>1953.9500000000007</v>
      </c>
      <c r="O12" s="8">
        <f>IFERROR(N12/N444, "NA")</f>
        <v>5.5648526985099853E-2</v>
      </c>
      <c r="P12" s="9"/>
      <c r="Q12" s="7">
        <v>32292.7</v>
      </c>
      <c r="R12" s="8">
        <f>IFERROR(Q12/Q444, "NA")</f>
        <v>5.8552071584575052E-2</v>
      </c>
      <c r="S12" s="9"/>
      <c r="T12" s="7">
        <v>0</v>
      </c>
      <c r="U12" s="8">
        <f>IFERROR(T12/T444, "NA")</f>
        <v>0</v>
      </c>
      <c r="V12" s="9"/>
      <c r="W12" s="10">
        <f t="shared" si="2"/>
        <v>32292.7</v>
      </c>
      <c r="X12" s="8">
        <f>IFERROR(W12/W444, "NA")</f>
        <v>2.0142513992231712</v>
      </c>
      <c r="Y12" s="9"/>
      <c r="Z12" s="7">
        <v>27106.9</v>
      </c>
      <c r="AA12" s="8">
        <f>IFERROR(Z12/Z444, "NA")</f>
        <v>5.7233013142295522E-2</v>
      </c>
      <c r="AB12" s="9"/>
      <c r="AC12" s="10">
        <f t="shared" si="3"/>
        <v>5185.7999999999993</v>
      </c>
      <c r="AD12" s="8">
        <f>IFERROR(AC12/AC444, "NA")</f>
        <v>6.6572055218681411E-2</v>
      </c>
    </row>
    <row r="13" spans="1:30" ht="16.5" customHeight="1" x14ac:dyDescent="0.45">
      <c r="A13" s="12" t="s">
        <v>15</v>
      </c>
      <c r="B13" s="7">
        <v>204</v>
      </c>
      <c r="C13" s="8">
        <f>IFERROR(B13/B444, "NA")</f>
        <v>1.5623772212753502E-3</v>
      </c>
      <c r="D13" s="9"/>
      <c r="E13" s="7">
        <v>0</v>
      </c>
      <c r="F13" s="8">
        <f>IFERROR(E13/E444, "NA")</f>
        <v>0</v>
      </c>
      <c r="G13" s="9"/>
      <c r="H13" s="10">
        <f t="shared" si="0"/>
        <v>204</v>
      </c>
      <c r="I13" s="8">
        <f>IFERROR(H13/H444, "NA")</f>
        <v>1.0282745251035081E-2</v>
      </c>
      <c r="J13" s="9"/>
      <c r="K13" s="7">
        <v>156.5</v>
      </c>
      <c r="L13" s="8">
        <f>IFERROR(K13/K444, "NA")</f>
        <v>1.6394658505025043E-3</v>
      </c>
      <c r="M13" s="9"/>
      <c r="N13" s="10">
        <f t="shared" si="1"/>
        <v>47.5</v>
      </c>
      <c r="O13" s="8">
        <f>IFERROR(N13/N444, "NA")</f>
        <v>1.3528007532394594E-3</v>
      </c>
      <c r="P13" s="9"/>
      <c r="Q13" s="7">
        <v>2034</v>
      </c>
      <c r="R13" s="8">
        <f>IFERROR(Q13/Q444, "NA")</f>
        <v>3.6879825348461312E-3</v>
      </c>
      <c r="S13" s="9"/>
      <c r="T13" s="7">
        <v>0</v>
      </c>
      <c r="U13" s="8">
        <f>IFERROR(T13/T444, "NA")</f>
        <v>0</v>
      </c>
      <c r="V13" s="9"/>
      <c r="W13" s="10">
        <f t="shared" si="2"/>
        <v>2034</v>
      </c>
      <c r="X13" s="8">
        <f>IFERROR(W13/W444, "NA")</f>
        <v>0.1268703869921044</v>
      </c>
      <c r="Y13" s="9"/>
      <c r="Z13" s="7">
        <v>787.99</v>
      </c>
      <c r="AA13" s="8">
        <f>IFERROR(Z13/Z444, "NA")</f>
        <v>1.6637476814389488E-3</v>
      </c>
      <c r="AB13" s="9"/>
      <c r="AC13" s="10">
        <f t="shared" si="3"/>
        <v>1246.01</v>
      </c>
      <c r="AD13" s="8">
        <f>IFERROR(AC13/AC444, "NA")</f>
        <v>1.5995496649124384E-2</v>
      </c>
    </row>
    <row r="14" spans="1:30" ht="16.5" customHeight="1" x14ac:dyDescent="0.45">
      <c r="A14" s="12" t="s">
        <v>16</v>
      </c>
      <c r="B14" s="7">
        <v>455</v>
      </c>
      <c r="C14" s="8">
        <f>IFERROR(B14/B444, "NA")</f>
        <v>3.4847139003935509E-3</v>
      </c>
      <c r="D14" s="9"/>
      <c r="E14" s="7">
        <v>0</v>
      </c>
      <c r="F14" s="8">
        <f>IFERROR(E14/E444, "NA")</f>
        <v>0</v>
      </c>
      <c r="G14" s="9"/>
      <c r="H14" s="10">
        <f t="shared" si="0"/>
        <v>455</v>
      </c>
      <c r="I14" s="8">
        <f>IFERROR(H14/H444, "NA")</f>
        <v>2.2934554358926284E-2</v>
      </c>
      <c r="J14" s="9"/>
      <c r="K14" s="7">
        <v>650</v>
      </c>
      <c r="L14" s="8">
        <f>IFERROR(K14/K444, "NA")</f>
        <v>6.8092830851541703E-3</v>
      </c>
      <c r="M14" s="9"/>
      <c r="N14" s="10">
        <f t="shared" si="1"/>
        <v>-195</v>
      </c>
      <c r="O14" s="8">
        <f>IFERROR(N14/N444, "NA")</f>
        <v>-5.5536030922462027E-3</v>
      </c>
      <c r="P14" s="9"/>
      <c r="Q14" s="7">
        <v>2895</v>
      </c>
      <c r="R14" s="8">
        <f>IFERROR(Q14/Q444, "NA")</f>
        <v>5.2491196845523844E-3</v>
      </c>
      <c r="S14" s="9"/>
      <c r="T14" s="7">
        <v>0</v>
      </c>
      <c r="U14" s="8">
        <f>IFERROR(T14/T444, "NA")</f>
        <v>0</v>
      </c>
      <c r="V14" s="9"/>
      <c r="W14" s="10">
        <f t="shared" si="2"/>
        <v>2895</v>
      </c>
      <c r="X14" s="8">
        <f>IFERROR(W14/W444, "NA")</f>
        <v>0.18057510832947013</v>
      </c>
      <c r="Y14" s="9"/>
      <c r="Z14" s="7">
        <v>2650</v>
      </c>
      <c r="AA14" s="8">
        <f>IFERROR(Z14/Z444, "NA")</f>
        <v>5.5951615576507498E-3</v>
      </c>
      <c r="AB14" s="9"/>
      <c r="AC14" s="10">
        <f t="shared" si="3"/>
        <v>245</v>
      </c>
      <c r="AD14" s="8">
        <f>IFERROR(AC14/AC444, "NA")</f>
        <v>3.1451566833616698E-3</v>
      </c>
    </row>
    <row r="15" spans="1:30" ht="16.5" customHeight="1" x14ac:dyDescent="0.45">
      <c r="A15" s="12" t="s">
        <v>17</v>
      </c>
      <c r="B15" s="7">
        <v>42</v>
      </c>
      <c r="C15" s="8">
        <f>IFERROR(B15/B444, "NA")</f>
        <v>3.2166589849786623E-4</v>
      </c>
      <c r="D15" s="9"/>
      <c r="E15" s="7">
        <v>0</v>
      </c>
      <c r="F15" s="8">
        <f>IFERROR(E15/E444, "NA")</f>
        <v>0</v>
      </c>
      <c r="G15" s="9"/>
      <c r="H15" s="10">
        <f t="shared" si="0"/>
        <v>42</v>
      </c>
      <c r="I15" s="8">
        <f>IFERROR(H15/H444, "NA")</f>
        <v>2.1170357869778108E-3</v>
      </c>
      <c r="J15" s="9"/>
      <c r="K15" s="7">
        <v>89</v>
      </c>
      <c r="L15" s="8">
        <f>IFERROR(K15/K444, "NA")</f>
        <v>9.3234799165957101E-4</v>
      </c>
      <c r="M15" s="9"/>
      <c r="N15" s="10">
        <f t="shared" si="1"/>
        <v>-47</v>
      </c>
      <c r="O15" s="8">
        <f>IFERROR(N15/N444, "NA")</f>
        <v>-1.338560745310623E-3</v>
      </c>
      <c r="P15" s="9"/>
      <c r="Q15" s="7">
        <v>314</v>
      </c>
      <c r="R15" s="8">
        <f>IFERROR(Q15/Q444, "NA")</f>
        <v>5.6933457027614803E-4</v>
      </c>
      <c r="S15" s="9"/>
      <c r="T15" s="7">
        <v>0</v>
      </c>
      <c r="U15" s="8">
        <f>IFERROR(T15/T444, "NA")</f>
        <v>0</v>
      </c>
      <c r="V15" s="9"/>
      <c r="W15" s="10">
        <f t="shared" si="2"/>
        <v>314</v>
      </c>
      <c r="X15" s="8">
        <f>IFERROR(W15/W444, "NA")</f>
        <v>1.9585693960433029E-2</v>
      </c>
      <c r="Y15" s="9"/>
      <c r="Z15" s="7">
        <v>329</v>
      </c>
      <c r="AA15" s="8">
        <f>IFERROR(Z15/Z444, "NA")</f>
        <v>6.9464458583664028E-4</v>
      </c>
      <c r="AB15" s="9"/>
      <c r="AC15" s="10">
        <f t="shared" si="3"/>
        <v>-15</v>
      </c>
      <c r="AD15" s="8">
        <f>IFERROR(AC15/AC444, "NA")</f>
        <v>-1.9256061326704103E-4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76708.450000000012</v>
      </c>
      <c r="C18" s="15">
        <f>IFERROR(B18/B444, "NA")</f>
        <v>0.58748791646734877</v>
      </c>
      <c r="D18" s="2"/>
      <c r="E18" s="14">
        <f>IFERROR(E10+E11+E12+E13+E14+E15+E16+E17, "NA")</f>
        <v>65220.67</v>
      </c>
      <c r="F18" s="15">
        <f>IFERROR(E18/E444, "NA")</f>
        <v>0.58899993859002697</v>
      </c>
      <c r="G18" s="2"/>
      <c r="H18" s="14">
        <f t="shared" si="0"/>
        <v>11487.780000000013</v>
      </c>
      <c r="I18" s="15">
        <f>IFERROR(H18/H444, "NA")</f>
        <v>0.57904860411733294</v>
      </c>
      <c r="J18" s="2"/>
      <c r="K18" s="14">
        <f>IFERROR(K10+K11+K12+K13+K14+K15+K16+K17, "NA")</f>
        <v>61375.57</v>
      </c>
      <c r="L18" s="15">
        <f>IFERROR(K18/K444, "NA")</f>
        <v>0.64295943175799353</v>
      </c>
      <c r="M18" s="2"/>
      <c r="N18" s="14">
        <f t="shared" si="1"/>
        <v>15332.880000000012</v>
      </c>
      <c r="O18" s="15">
        <f>IFERROR(N18/N444, "NA")</f>
        <v>0.43668066554379498</v>
      </c>
      <c r="P18" s="2"/>
      <c r="Q18" s="14">
        <f>IFERROR(Q10+Q11+Q12+Q13+Q14+Q15+Q16+Q17, "NA")</f>
        <v>324393.46000000002</v>
      </c>
      <c r="R18" s="15">
        <f>IFERROR(Q18/Q444, "NA")</f>
        <v>0.58817965334233391</v>
      </c>
      <c r="S18" s="2"/>
      <c r="T18" s="14">
        <f>IFERROR(T10+T11+T12+T13+T14+T15+T16+T17, "NA")</f>
        <v>315402.98</v>
      </c>
      <c r="U18" s="15">
        <f>IFERROR(T18/T444, "NA")</f>
        <v>0.58899998943022058</v>
      </c>
      <c r="V18" s="2"/>
      <c r="W18" s="14">
        <f t="shared" si="2"/>
        <v>8990.4800000000396</v>
      </c>
      <c r="X18" s="15">
        <f>IFERROR(W18/W444, "NA")</f>
        <v>0.56077958546940998</v>
      </c>
      <c r="Y18" s="2"/>
      <c r="Z18" s="14">
        <f>IFERROR(Z10+Z11+Z12+Z13+Z14+Z15+Z16+Z17, "NA")</f>
        <v>288246.96000000002</v>
      </c>
      <c r="AA18" s="15">
        <f>IFERROR(Z18/Z444, "NA")</f>
        <v>0.6085993621515825</v>
      </c>
      <c r="AB18" s="2"/>
      <c r="AC18" s="14">
        <f t="shared" si="3"/>
        <v>36146.5</v>
      </c>
      <c r="AD18" s="15">
        <f>IFERROR(AC18/AC444, "NA")</f>
        <v>0.46402614716380652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9190.69</v>
      </c>
      <c r="F21" s="8">
        <f>IFERROR(E21/E444, "NA")</f>
        <v>8.3000003612351353E-2</v>
      </c>
      <c r="G21" s="9"/>
      <c r="H21" s="10">
        <f t="shared" ref="H21:H29" si="4">IFERROR(B21-E21, "NA")</f>
        <v>-9190.69</v>
      </c>
      <c r="I21" s="8">
        <f>IFERROR(H21/H444, "NA")</f>
        <v>-0.46326237230997847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44445.59</v>
      </c>
      <c r="U21" s="8">
        <f>IFERROR(T21/T444, "NA")</f>
        <v>8.3000014902268576E-2</v>
      </c>
      <c r="V21" s="9"/>
      <c r="W21" s="10">
        <f t="shared" ref="W21:W29" si="6">IFERROR(Q21-T21, "NA")</f>
        <v>-44445.59</v>
      </c>
      <c r="X21" s="8">
        <f>IFERROR(W21/W444, "NA")</f>
        <v>-2.7722857440473967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8065.2</v>
      </c>
      <c r="C22" s="8">
        <f>IFERROR(B22/B444, "NA")</f>
        <v>6.1769042965833111E-2</v>
      </c>
      <c r="D22" s="9"/>
      <c r="E22" s="7">
        <v>0</v>
      </c>
      <c r="F22" s="8">
        <f>IFERROR(E22/E444, "NA")</f>
        <v>0</v>
      </c>
      <c r="G22" s="9"/>
      <c r="H22" s="10">
        <f t="shared" si="4"/>
        <v>8065.2</v>
      </c>
      <c r="I22" s="8">
        <f>IFERROR(H22/H444, "NA")</f>
        <v>0.40653135783651045</v>
      </c>
      <c r="J22" s="9"/>
      <c r="K22" s="7">
        <v>7165.54</v>
      </c>
      <c r="L22" s="8">
        <f>IFERROR(K22/K444, "NA")</f>
        <v>7.506490818153172E-2</v>
      </c>
      <c r="M22" s="9"/>
      <c r="N22" s="10">
        <f t="shared" si="5"/>
        <v>899.65999999999985</v>
      </c>
      <c r="O22" s="8">
        <f>IFERROR(N22/N444, "NA")</f>
        <v>2.5622331066513935E-2</v>
      </c>
      <c r="P22" s="9"/>
      <c r="Q22" s="7">
        <v>36379.550000000003</v>
      </c>
      <c r="R22" s="8">
        <f>IFERROR(Q22/Q444, "NA")</f>
        <v>6.5962214860158103E-2</v>
      </c>
      <c r="S22" s="9"/>
      <c r="T22" s="7">
        <v>0</v>
      </c>
      <c r="U22" s="8">
        <f>IFERROR(T22/T444, "NA")</f>
        <v>0</v>
      </c>
      <c r="V22" s="9"/>
      <c r="W22" s="10">
        <f t="shared" si="6"/>
        <v>36379.550000000003</v>
      </c>
      <c r="X22" s="8">
        <f>IFERROR(W22/W444, "NA")</f>
        <v>2.2691679385932213</v>
      </c>
      <c r="Y22" s="9"/>
      <c r="Z22" s="7">
        <v>33933.64</v>
      </c>
      <c r="AA22" s="8">
        <f>IFERROR(Z22/Z444, "NA")</f>
        <v>7.1646867184588597E-2</v>
      </c>
      <c r="AB22" s="9"/>
      <c r="AC22" s="10">
        <f t="shared" si="7"/>
        <v>2445.9100000000035</v>
      </c>
      <c r="AD22" s="8">
        <f>IFERROR(AC22/AC444, "NA")</f>
        <v>3.1399061973065932E-2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352.85</v>
      </c>
      <c r="C24" s="8">
        <f>IFERROR(B24/B444, "NA")</f>
        <v>2.7023764829755261E-3</v>
      </c>
      <c r="D24" s="9"/>
      <c r="E24" s="7">
        <v>0</v>
      </c>
      <c r="F24" s="8">
        <f>IFERROR(E24/E444, "NA")</f>
        <v>0</v>
      </c>
      <c r="G24" s="9"/>
      <c r="H24" s="10">
        <f t="shared" si="4"/>
        <v>352.85</v>
      </c>
      <c r="I24" s="8">
        <f>IFERROR(H24/H444, "NA")</f>
        <v>1.7785620891312394E-2</v>
      </c>
      <c r="J24" s="9"/>
      <c r="K24" s="7">
        <v>402</v>
      </c>
      <c r="L24" s="8">
        <f>IFERROR(K24/K444, "NA")</f>
        <v>4.2112796926645794E-3</v>
      </c>
      <c r="M24" s="9"/>
      <c r="N24" s="10">
        <f t="shared" si="5"/>
        <v>-49.149999999999977</v>
      </c>
      <c r="O24" s="8">
        <f>IFERROR(N24/N444, "NA")</f>
        <v>-1.3997927794046191E-3</v>
      </c>
      <c r="P24" s="9"/>
      <c r="Q24" s="7">
        <v>4903.46</v>
      </c>
      <c r="R24" s="8">
        <f>IFERROR(Q24/Q444, "NA")</f>
        <v>8.8907939234594939E-3</v>
      </c>
      <c r="S24" s="9"/>
      <c r="T24" s="7">
        <v>0</v>
      </c>
      <c r="U24" s="8">
        <f>IFERROR(T24/T444, "NA")</f>
        <v>0</v>
      </c>
      <c r="V24" s="9"/>
      <c r="W24" s="10">
        <f t="shared" si="6"/>
        <v>4903.46</v>
      </c>
      <c r="X24" s="8">
        <f>IFERROR(W24/W444, "NA")</f>
        <v>0.30585244237969728</v>
      </c>
      <c r="Y24" s="9"/>
      <c r="Z24" s="7">
        <v>1557.25</v>
      </c>
      <c r="AA24" s="8">
        <f>IFERROR(Z24/Z444, "NA")</f>
        <v>3.2879491832647663E-3</v>
      </c>
      <c r="AB24" s="9"/>
      <c r="AC24" s="10">
        <f t="shared" si="7"/>
        <v>3346.21</v>
      </c>
      <c r="AD24" s="8">
        <f>IFERROR(AC24/AC444, "NA")</f>
        <v>4.2956549981353689E-2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922.46</v>
      </c>
      <c r="C28" s="8">
        <f>IFERROR(B28/B444, "NA")</f>
        <v>7.0648553506748018E-3</v>
      </c>
      <c r="D28" s="9"/>
      <c r="E28" s="7">
        <v>0</v>
      </c>
      <c r="F28" s="8">
        <f>IFERROR(E28/E444, "NA")</f>
        <v>0</v>
      </c>
      <c r="G28" s="9"/>
      <c r="H28" s="10">
        <f t="shared" si="4"/>
        <v>922.46</v>
      </c>
      <c r="I28" s="8">
        <f>IFERROR(H28/H444, "NA")</f>
        <v>4.6497162667989318E-2</v>
      </c>
      <c r="J28" s="9"/>
      <c r="K28" s="7">
        <v>915.58</v>
      </c>
      <c r="L28" s="8">
        <f>IFERROR(K28/K444, "NA")</f>
        <v>9.5914513955468548E-3</v>
      </c>
      <c r="M28" s="9"/>
      <c r="N28" s="10">
        <f t="shared" si="5"/>
        <v>6.8799999999999955</v>
      </c>
      <c r="O28" s="8">
        <f>IFERROR(N28/N444, "NA")</f>
        <v>1.9594250910078895E-4</v>
      </c>
      <c r="P28" s="9"/>
      <c r="Q28" s="7">
        <v>4432.6000000000004</v>
      </c>
      <c r="R28" s="8">
        <f>IFERROR(Q28/Q444, "NA")</f>
        <v>8.0370459114842488E-3</v>
      </c>
      <c r="S28" s="9"/>
      <c r="T28" s="7">
        <v>0</v>
      </c>
      <c r="U28" s="8">
        <f>IFERROR(T28/T444, "NA")</f>
        <v>0</v>
      </c>
      <c r="V28" s="9"/>
      <c r="W28" s="10">
        <f t="shared" si="6"/>
        <v>4432.6000000000004</v>
      </c>
      <c r="X28" s="8">
        <f>IFERROR(W28/W444, "NA")</f>
        <v>0.27648263391406197</v>
      </c>
      <c r="Y28" s="9"/>
      <c r="Z28" s="7">
        <v>4264.83</v>
      </c>
      <c r="AA28" s="8">
        <f>IFERROR(Z28/Z444, "NA")</f>
        <v>9.0046841003455277E-3</v>
      </c>
      <c r="AB28" s="9"/>
      <c r="AC28" s="10">
        <f t="shared" si="7"/>
        <v>167.77000000000044</v>
      </c>
      <c r="AD28" s="8">
        <f>IFERROR(AC28/AC444, "NA")</f>
        <v>2.1537262725207702E-3</v>
      </c>
    </row>
    <row r="29" spans="1:30" ht="16.5" customHeight="1" x14ac:dyDescent="0.45">
      <c r="A29" s="13" t="s">
        <v>30</v>
      </c>
      <c r="B29" s="14">
        <f>IFERROR(B21+B22+B23+B24+B25+B26+B27+B28, "NA")</f>
        <v>9340.5099999999984</v>
      </c>
      <c r="C29" s="15">
        <f>IFERROR(B29/B444, "NA")</f>
        <v>7.1536274799483421E-2</v>
      </c>
      <c r="D29" s="2"/>
      <c r="E29" s="14">
        <f>IFERROR(E21+E22+E23+E24+E25+E26+E27+E28, "NA")</f>
        <v>9190.69</v>
      </c>
      <c r="F29" s="15">
        <f>IFERROR(E29/E444, "NA")</f>
        <v>8.3000003612351353E-2</v>
      </c>
      <c r="G29" s="2"/>
      <c r="H29" s="14">
        <f t="shared" si="4"/>
        <v>149.81999999999789</v>
      </c>
      <c r="I29" s="15">
        <f>IFERROR(H29/H444, "NA")</f>
        <v>7.5517690858335988E-3</v>
      </c>
      <c r="J29" s="2"/>
      <c r="K29" s="14">
        <f>IFERROR(K21+K22+K23+K24+K25+K26+K27+K28, "NA")</f>
        <v>8483.1200000000008</v>
      </c>
      <c r="L29" s="15">
        <f>IFERROR(K29/K444, "NA")</f>
        <v>8.8867639269743157E-2</v>
      </c>
      <c r="M29" s="2"/>
      <c r="N29" s="14">
        <f t="shared" si="5"/>
        <v>857.3899999999976</v>
      </c>
      <c r="O29" s="15">
        <f>IFERROR(N29/N444, "NA")</f>
        <v>2.4418480796210042E-2</v>
      </c>
      <c r="P29" s="2"/>
      <c r="Q29" s="14">
        <f>IFERROR(Q21+Q22+Q23+Q24+Q25+Q26+Q27+Q28, "NA")</f>
        <v>45715.61</v>
      </c>
      <c r="R29" s="15">
        <f>IFERROR(Q29/Q444, "NA")</f>
        <v>8.2890054695101842E-2</v>
      </c>
      <c r="S29" s="2"/>
      <c r="T29" s="14">
        <f>IFERROR(T21+T22+T23+T24+T25+T26+T27+T28, "NA")</f>
        <v>44445.59</v>
      </c>
      <c r="U29" s="15">
        <f>IFERROR(T29/T444, "NA")</f>
        <v>8.3000014902268576E-2</v>
      </c>
      <c r="V29" s="2"/>
      <c r="W29" s="14">
        <f t="shared" si="6"/>
        <v>1270.0200000000041</v>
      </c>
      <c r="X29" s="15">
        <f>IFERROR(W29/W444, "NA")</f>
        <v>7.9217270839583562E-2</v>
      </c>
      <c r="Y29" s="2"/>
      <c r="Z29" s="14">
        <f>IFERROR(Z21+Z22+Z23+Z24+Z25+Z26+Z27+Z28, "NA")</f>
        <v>39755.72</v>
      </c>
      <c r="AA29" s="15">
        <f>IFERROR(Z29/Z444, "NA")</f>
        <v>8.3939500468198897E-2</v>
      </c>
      <c r="AB29" s="2"/>
      <c r="AC29" s="14">
        <f t="shared" si="7"/>
        <v>5959.8899999999994</v>
      </c>
      <c r="AD29" s="15">
        <f>IFERROR(AC29/AC444, "NA")</f>
        <v>7.6509338226940338E-2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16720.41</v>
      </c>
      <c r="F31" s="8">
        <f>IFERROR(E31/E444, "NA")</f>
        <v>0.15099998916294594</v>
      </c>
      <c r="G31" s="9"/>
      <c r="H31" s="10">
        <f t="shared" ref="H31:H40" si="8">IFERROR(B31-E31, "NA")</f>
        <v>-16720.41</v>
      </c>
      <c r="I31" s="8">
        <f>IFERROR(H31/H444, "NA")</f>
        <v>-0.84280253197480137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80858.83</v>
      </c>
      <c r="U31" s="8">
        <f>IFERROR(T31/T444, "NA")</f>
        <v>0.15100000011204714</v>
      </c>
      <c r="V31" s="9"/>
      <c r="W31" s="10">
        <f t="shared" ref="W31:W40" si="10">IFERROR(Q31-T31, "NA")</f>
        <v>-80858.83</v>
      </c>
      <c r="X31" s="8">
        <f>IFERROR(W31/W444, "NA")</f>
        <v>-5.0435550903779651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7656.7</v>
      </c>
      <c r="C33" s="8">
        <f>IFERROR(B33/B444, "NA")</f>
        <v>5.8640459167347912E-2</v>
      </c>
      <c r="D33" s="9"/>
      <c r="E33" s="7">
        <v>0</v>
      </c>
      <c r="F33" s="8">
        <f>IFERROR(E33/E444, "NA")</f>
        <v>0</v>
      </c>
      <c r="G33" s="9"/>
      <c r="H33" s="10">
        <f t="shared" si="8"/>
        <v>7656.7</v>
      </c>
      <c r="I33" s="8">
        <f>IFERROR(H33/H444, "NA")</f>
        <v>0.38594066452745246</v>
      </c>
      <c r="J33" s="9"/>
      <c r="K33" s="7">
        <v>5595.94</v>
      </c>
      <c r="L33" s="8">
        <f>IFERROR(K33/K444, "NA")</f>
        <v>5.8622060903904039E-2</v>
      </c>
      <c r="M33" s="9"/>
      <c r="N33" s="10">
        <f t="shared" si="9"/>
        <v>2060.7600000000002</v>
      </c>
      <c r="O33" s="8">
        <f>IFERROR(N33/N444, "NA")</f>
        <v>5.8690477478857875E-2</v>
      </c>
      <c r="P33" s="9"/>
      <c r="Q33" s="7">
        <v>43398.77</v>
      </c>
      <c r="R33" s="8">
        <f>IFERROR(Q33/Q444, "NA")</f>
        <v>7.8689235886826067E-2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43398.77</v>
      </c>
      <c r="X33" s="8">
        <f>IFERROR(W33/W444, "NA")</f>
        <v>2.7069905333733191</v>
      </c>
      <c r="Y33" s="9"/>
      <c r="Z33" s="7">
        <v>28267</v>
      </c>
      <c r="AA33" s="8">
        <f>IFERROR(Z33/Z444, "NA")</f>
        <v>5.9682427075514626E-2</v>
      </c>
      <c r="AB33" s="9"/>
      <c r="AC33" s="10">
        <f t="shared" si="11"/>
        <v>15131.769999999997</v>
      </c>
      <c r="AD33" s="8">
        <f>IFERROR(AC33/AC444, "NA")</f>
        <v>0.19425219406772085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920.24</v>
      </c>
      <c r="C35" s="8">
        <f>IFERROR(B35/B444, "NA")</f>
        <v>7.047853010325629E-3</v>
      </c>
      <c r="D35" s="9"/>
      <c r="E35" s="7">
        <v>0</v>
      </c>
      <c r="F35" s="8">
        <f>IFERROR(E35/E444, "NA")</f>
        <v>0</v>
      </c>
      <c r="G35" s="9"/>
      <c r="H35" s="10">
        <f t="shared" si="8"/>
        <v>920.24</v>
      </c>
      <c r="I35" s="8">
        <f>IFERROR(H35/H444, "NA")</f>
        <v>4.6385262204963348E-2</v>
      </c>
      <c r="J35" s="9"/>
      <c r="K35" s="7">
        <v>0</v>
      </c>
      <c r="L35" s="8">
        <f>IFERROR(K35/K444, "NA")</f>
        <v>0</v>
      </c>
      <c r="M35" s="9"/>
      <c r="N35" s="10">
        <f t="shared" si="9"/>
        <v>920.24</v>
      </c>
      <c r="O35" s="8">
        <f>IFERROR(N35/N444, "NA")</f>
        <v>2.6208449792864848E-2</v>
      </c>
      <c r="P35" s="9"/>
      <c r="Q35" s="7">
        <v>5336.23</v>
      </c>
      <c r="R35" s="8">
        <f>IFERROR(Q35/Q444, "NA")</f>
        <v>9.6754783883588828E-3</v>
      </c>
      <c r="S35" s="9"/>
      <c r="T35" s="7">
        <v>0</v>
      </c>
      <c r="U35" s="8">
        <f>IFERROR(T35/T444, "NA")</f>
        <v>0</v>
      </c>
      <c r="V35" s="9"/>
      <c r="W35" s="10">
        <f t="shared" si="10"/>
        <v>5336.23</v>
      </c>
      <c r="X35" s="8">
        <f>IFERROR(W35/W444, "NA")</f>
        <v>0.33284639389325332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5336.23</v>
      </c>
      <c r="AD35" s="8">
        <f>IFERROR(AC35/AC444, "NA")</f>
        <v>6.8503181422265483E-2</v>
      </c>
    </row>
    <row r="36" spans="1:30" ht="16.5" customHeight="1" x14ac:dyDescent="0.45">
      <c r="A36" s="12" t="s">
        <v>36</v>
      </c>
      <c r="B36" s="7">
        <v>6202.67</v>
      </c>
      <c r="C36" s="8">
        <f>IFERROR(B36/B444, "NA")</f>
        <v>4.7504462348470472E-2</v>
      </c>
      <c r="D36" s="9"/>
      <c r="E36" s="7">
        <v>0</v>
      </c>
      <c r="F36" s="8">
        <f>IFERROR(E36/E444, "NA")</f>
        <v>0</v>
      </c>
      <c r="G36" s="9"/>
      <c r="H36" s="10">
        <f t="shared" si="8"/>
        <v>6202.67</v>
      </c>
      <c r="I36" s="8">
        <f>IFERROR(H36/H444, "NA")</f>
        <v>0.31264938963842043</v>
      </c>
      <c r="J36" s="9"/>
      <c r="K36" s="7">
        <v>4758.45</v>
      </c>
      <c r="L36" s="8">
        <f>IFERROR(K36/K444, "NA")</f>
        <v>4.9848666302387483E-2</v>
      </c>
      <c r="M36" s="9"/>
      <c r="N36" s="10">
        <f t="shared" si="9"/>
        <v>1444.2200000000003</v>
      </c>
      <c r="O36" s="8">
        <f>IFERROR(N36/N444, "NA")</f>
        <v>4.1131408501968267E-2</v>
      </c>
      <c r="P36" s="9"/>
      <c r="Q36" s="7">
        <v>42871.67</v>
      </c>
      <c r="R36" s="8">
        <f>IFERROR(Q36/Q444, "NA")</f>
        <v>7.7733515339079073E-2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42871.67</v>
      </c>
      <c r="X36" s="8">
        <f>IFERROR(W36/W444, "NA")</f>
        <v>2.6741127649448342</v>
      </c>
      <c r="Y36" s="9"/>
      <c r="Z36" s="7">
        <v>20989.98</v>
      </c>
      <c r="AA36" s="8">
        <f>IFERROR(Z36/Z444, "NA")</f>
        <v>4.4317860072399282E-2</v>
      </c>
      <c r="AB36" s="9"/>
      <c r="AC36" s="10">
        <f t="shared" si="11"/>
        <v>21881.69</v>
      </c>
      <c r="AD36" s="8">
        <f>IFERROR(AC36/AC444, "NA")</f>
        <v>0.2809034430479519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753.35</v>
      </c>
      <c r="C39" s="8">
        <f>IFERROR(B39/B444, "NA")</f>
        <v>5.7696905865087505E-3</v>
      </c>
      <c r="D39" s="9"/>
      <c r="E39" s="7">
        <v>0</v>
      </c>
      <c r="F39" s="8">
        <f>IFERROR(E39/E444, "NA")</f>
        <v>0</v>
      </c>
      <c r="G39" s="9"/>
      <c r="H39" s="10">
        <f t="shared" si="8"/>
        <v>753.35</v>
      </c>
      <c r="I39" s="8">
        <f>IFERROR(H39/H444, "NA")</f>
        <v>3.7973069288565087E-2</v>
      </c>
      <c r="J39" s="9"/>
      <c r="K39" s="7">
        <v>1196.95</v>
      </c>
      <c r="L39" s="8">
        <f>IFERROR(K39/K444, "NA")</f>
        <v>1.253903290580813E-2</v>
      </c>
      <c r="M39" s="9"/>
      <c r="N39" s="10">
        <f t="shared" si="9"/>
        <v>-443.6</v>
      </c>
      <c r="O39" s="8">
        <f>IFERROR(N39/N444, "NA")</f>
        <v>-1.263373503446367E-2</v>
      </c>
      <c r="P39" s="9"/>
      <c r="Q39" s="7">
        <v>4358.45</v>
      </c>
      <c r="R39" s="8">
        <f>IFERROR(Q39/Q444, "NA")</f>
        <v>7.9025995471976983E-3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4358.45</v>
      </c>
      <c r="X39" s="8">
        <f>IFERROR(W39/W444, "NA")</f>
        <v>0.27185754089760938</v>
      </c>
      <c r="Y39" s="9"/>
      <c r="Z39" s="7">
        <v>5325.67</v>
      </c>
      <c r="AA39" s="8">
        <f>IFERROR(Z39/Z444, "NA")</f>
        <v>1.1244522284050517E-2</v>
      </c>
      <c r="AB39" s="9"/>
      <c r="AC39" s="10">
        <f t="shared" si="11"/>
        <v>-967.22000000000025</v>
      </c>
      <c r="AD39" s="8">
        <f>IFERROR(AC39/AC444, "NA")</f>
        <v>-1.2416565090943164E-2</v>
      </c>
    </row>
    <row r="40" spans="1:30" ht="16.5" customHeight="1" x14ac:dyDescent="0.45">
      <c r="A40" s="13" t="s">
        <v>40</v>
      </c>
      <c r="B40" s="14">
        <f>IFERROR(B31+B32+B33+B34+B35+B36+B37+B38+B39, "NA")</f>
        <v>15532.960000000001</v>
      </c>
      <c r="C40" s="15">
        <f>IFERROR(B40/B444, "NA")</f>
        <v>0.11896246511265277</v>
      </c>
      <c r="D40" s="2"/>
      <c r="E40" s="14">
        <f>IFERROR(E31+E32+E33+E34+E35+E36+E37+E38+E39, "NA")</f>
        <v>16720.41</v>
      </c>
      <c r="F40" s="15">
        <f>IFERROR(E40/E444, "NA")</f>
        <v>0.15099998916294594</v>
      </c>
      <c r="G40" s="2"/>
      <c r="H40" s="14">
        <f t="shared" si="8"/>
        <v>-1187.4499999999989</v>
      </c>
      <c r="I40" s="15">
        <f>IFERROR(H40/H444, "NA")</f>
        <v>-5.9854146315399974E-2</v>
      </c>
      <c r="J40" s="2"/>
      <c r="K40" s="14">
        <f>IFERROR(K31+K32+K33+K34+K35+K36+K37+K38+K39, "NA")</f>
        <v>11551.34</v>
      </c>
      <c r="L40" s="15">
        <f>IFERROR(K40/K444, "NA")</f>
        <v>0.12100976011209966</v>
      </c>
      <c r="M40" s="2"/>
      <c r="N40" s="14">
        <f t="shared" si="9"/>
        <v>3981.6200000000008</v>
      </c>
      <c r="O40" s="15">
        <f>IFERROR(N40/N444, "NA")</f>
        <v>0.11339660073922733</v>
      </c>
      <c r="P40" s="2"/>
      <c r="Q40" s="14">
        <f>IFERROR(Q31+Q32+Q33+Q34+Q35+Q36+Q37+Q38+Q39, "NA")</f>
        <v>95965.119999999995</v>
      </c>
      <c r="R40" s="15">
        <f>IFERROR(Q40/Q444, "NA")</f>
        <v>0.17400082916146173</v>
      </c>
      <c r="S40" s="2"/>
      <c r="T40" s="14">
        <f>IFERROR(T31+T32+T33+T34+T35+T36+T37+T38+T39, "NA")</f>
        <v>80858.83</v>
      </c>
      <c r="U40" s="15">
        <f>IFERROR(T40/T444, "NA")</f>
        <v>0.15100000011204714</v>
      </c>
      <c r="V40" s="2"/>
      <c r="W40" s="14">
        <f t="shared" si="10"/>
        <v>15106.289999999994</v>
      </c>
      <c r="X40" s="15">
        <f>IFERROR(W40/W444, "NA")</f>
        <v>0.94225214273105018</v>
      </c>
      <c r="Y40" s="2"/>
      <c r="Z40" s="14">
        <f>IFERROR(Z31+Z32+Z33+Z34+Z35+Z36+Z37+Z38+Z39, "NA")</f>
        <v>54582.649999999994</v>
      </c>
      <c r="AA40" s="15">
        <f>IFERROR(Z40/Z444, "NA")</f>
        <v>0.11524480943196441</v>
      </c>
      <c r="AB40" s="2"/>
      <c r="AC40" s="14">
        <f t="shared" si="11"/>
        <v>41382.47</v>
      </c>
      <c r="AD40" s="15">
        <f>IFERROR(AC40/AC444, "NA")</f>
        <v>0.53124225344699516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1312.59</v>
      </c>
      <c r="C43" s="8">
        <f>IFERROR(B43/B444, "NA")</f>
        <v>1.0052748612126529E-2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1312.59</v>
      </c>
      <c r="I43" s="8">
        <f>IFERROR(H43/H444, "NA")</f>
        <v>6.6161904848314385E-2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1312.59</v>
      </c>
      <c r="O43" s="8">
        <f>IFERROR(N43/N444, "NA")</f>
        <v>3.7382584014622779E-2</v>
      </c>
      <c r="P43" s="9"/>
      <c r="Q43" s="7">
        <v>11621.01</v>
      </c>
      <c r="R43" s="8">
        <f>IFERROR(Q43/Q444, "NA")</f>
        <v>2.1070836734155475E-2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11621.01</v>
      </c>
      <c r="X43" s="8">
        <f>IFERROR(W43/W444, "NA")</f>
        <v>0.72485842474882756</v>
      </c>
      <c r="Y43" s="9"/>
      <c r="Z43" s="7">
        <v>13536.25</v>
      </c>
      <c r="AA43" s="8">
        <f>IFERROR(Z43/Z444, "NA")</f>
        <v>2.8580190805566025E-2</v>
      </c>
      <c r="AB43" s="9"/>
      <c r="AC43" s="10">
        <f>IFERROR(Q43-Z43, "NA")</f>
        <v>-1915.2399999999998</v>
      </c>
      <c r="AD43" s="8">
        <f>IFERROR(AC43/AC444, "NA")</f>
        <v>-2.4586652596904505E-2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22035.51</v>
      </c>
      <c r="F46" s="8">
        <f>IFERROR(E46/E444, "NA")</f>
        <v>0.19900001083705404</v>
      </c>
      <c r="G46" s="9"/>
      <c r="H46" s="10">
        <f t="shared" ref="H46:H62" si="12">IFERROR(B46-E46, "NA")</f>
        <v>-22035.51</v>
      </c>
      <c r="I46" s="8">
        <f>IFERROR(H46/H444, "NA")</f>
        <v>-1.1107134108168433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106562.3</v>
      </c>
      <c r="U46" s="8">
        <f>IFERROR(T46/T444, "NA")</f>
        <v>0.19900000175540511</v>
      </c>
      <c r="V46" s="9"/>
      <c r="W46" s="10">
        <f t="shared" ref="W46:W62" si="14">IFERROR(Q46-T46, "NA")</f>
        <v>-106562.3</v>
      </c>
      <c r="X46" s="8">
        <f>IFERROR(W46/W444, "NA")</f>
        <v>-6.6468044443307415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14520.67</v>
      </c>
      <c r="C48" s="8">
        <f>IFERROR(B48/B444, "NA")</f>
        <v>0.11120962767478598</v>
      </c>
      <c r="D48" s="9"/>
      <c r="E48" s="7">
        <v>0</v>
      </c>
      <c r="F48" s="8">
        <f>IFERROR(E48/E444, "NA")</f>
        <v>0</v>
      </c>
      <c r="G48" s="9"/>
      <c r="H48" s="10">
        <f t="shared" si="12"/>
        <v>14520.67</v>
      </c>
      <c r="I48" s="8">
        <f>IFERROR(H48/H444, "NA")</f>
        <v>0.73192328668797824</v>
      </c>
      <c r="J48" s="9"/>
      <c r="K48" s="7">
        <v>16031.02</v>
      </c>
      <c r="L48" s="8">
        <f>IFERROR(K48/K444, "NA")</f>
        <v>0.16793808203656649</v>
      </c>
      <c r="M48" s="9"/>
      <c r="N48" s="10">
        <f t="shared" si="13"/>
        <v>-1510.3500000000004</v>
      </c>
      <c r="O48" s="8">
        <f>IFERROR(N48/N444, "NA")</f>
        <v>-4.3014791950636171E-2</v>
      </c>
      <c r="P48" s="9"/>
      <c r="Q48" s="7">
        <v>77590.91</v>
      </c>
      <c r="R48" s="8">
        <f>IFERROR(Q48/Q444, "NA")</f>
        <v>0.14068531019804231</v>
      </c>
      <c r="S48" s="9"/>
      <c r="T48" s="7">
        <v>0</v>
      </c>
      <c r="U48" s="8">
        <f>IFERROR(T48/T444, "NA")</f>
        <v>0</v>
      </c>
      <c r="V48" s="9"/>
      <c r="W48" s="10">
        <f t="shared" si="14"/>
        <v>77590.91</v>
      </c>
      <c r="X48" s="8">
        <f>IFERROR(W48/W444, "NA")</f>
        <v>4.8397191636035126</v>
      </c>
      <c r="Y48" s="9"/>
      <c r="Z48" s="7">
        <v>85110.61</v>
      </c>
      <c r="AA48" s="8">
        <f>IFERROR(Z48/Z444, "NA")</f>
        <v>0.17970098612083227</v>
      </c>
      <c r="AB48" s="9"/>
      <c r="AC48" s="10">
        <f t="shared" si="15"/>
        <v>-7519.6999999999971</v>
      </c>
      <c r="AD48" s="8">
        <f>IFERROR(AC48/AC444, "NA")</f>
        <v>-9.6533202905611182E-2</v>
      </c>
    </row>
    <row r="49" spans="1:30" ht="16.5" customHeight="1" x14ac:dyDescent="0.45">
      <c r="A49" s="17" t="s">
        <v>47</v>
      </c>
      <c r="B49" s="7">
        <v>18135.099999999999</v>
      </c>
      <c r="C49" s="8">
        <f>IFERROR(B49/B444, "NA")</f>
        <v>0.13889150561544411</v>
      </c>
      <c r="D49" s="9"/>
      <c r="E49" s="7">
        <v>0</v>
      </c>
      <c r="F49" s="8">
        <f>IFERROR(E49/E444, "NA")</f>
        <v>0</v>
      </c>
      <c r="G49" s="9"/>
      <c r="H49" s="10">
        <f t="shared" si="12"/>
        <v>18135.099999999999</v>
      </c>
      <c r="I49" s="8">
        <f>IFERROR(H49/H444, "NA")</f>
        <v>0.91411085001003078</v>
      </c>
      <c r="J49" s="9"/>
      <c r="K49" s="7">
        <v>0</v>
      </c>
      <c r="L49" s="8">
        <f>IFERROR(K49/K444, "NA")</f>
        <v>0</v>
      </c>
      <c r="M49" s="9"/>
      <c r="N49" s="10">
        <f t="shared" si="13"/>
        <v>18135.099999999999</v>
      </c>
      <c r="O49" s="8">
        <f>IFERROR(N49/N444, "NA")</f>
        <v>0.51648793558048256</v>
      </c>
      <c r="P49" s="9"/>
      <c r="Q49" s="7">
        <v>18153.55</v>
      </c>
      <c r="R49" s="8">
        <f>IFERROR(Q49/Q444, "NA")</f>
        <v>3.2915425440243846E-2</v>
      </c>
      <c r="S49" s="9"/>
      <c r="T49" s="7">
        <v>0</v>
      </c>
      <c r="U49" s="8">
        <f>IFERROR(T49/T444, "NA")</f>
        <v>0</v>
      </c>
      <c r="V49" s="9"/>
      <c r="W49" s="10">
        <f t="shared" si="14"/>
        <v>18153.55</v>
      </c>
      <c r="X49" s="8">
        <f>IFERROR(W49/W444, "NA")</f>
        <v>1.1323244413866849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18153.55</v>
      </c>
      <c r="AD49" s="8">
        <f>IFERROR(AC49/AC444, "NA")</f>
        <v>0.23304391473159283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11.65</v>
      </c>
      <c r="R54" s="8">
        <f>IFERROR(Q54/Q444, "NA")</f>
        <v>2.112340045769785E-5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11.65</v>
      </c>
      <c r="X54" s="8">
        <f>IFERROR(W54/W444, "NA")</f>
        <v>7.266666708249835E-4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11.65</v>
      </c>
      <c r="AD54" s="8">
        <f>IFERROR(AC54/AC444, "NA")</f>
        <v>1.4955540963740185E-4</v>
      </c>
    </row>
    <row r="55" spans="1:30" ht="16.5" hidden="1" customHeight="1" x14ac:dyDescent="0.45">
      <c r="A55" s="17" t="s">
        <v>53</v>
      </c>
      <c r="B55" s="7">
        <v>0</v>
      </c>
      <c r="C55" s="8">
        <f>IFERROR(B55/B444, "NA")</f>
        <v>0</v>
      </c>
      <c r="D55" s="9"/>
      <c r="E55" s="7">
        <v>0</v>
      </c>
      <c r="F55" s="8">
        <f>IFERROR(E55/E444, "NA")</f>
        <v>0</v>
      </c>
      <c r="G55" s="9"/>
      <c r="H55" s="10">
        <f t="shared" si="12"/>
        <v>0</v>
      </c>
      <c r="I55" s="8">
        <f>IFERROR(H55/H444, "NA")</f>
        <v>0</v>
      </c>
      <c r="J55" s="9"/>
      <c r="K55" s="7">
        <v>0</v>
      </c>
      <c r="L55" s="8">
        <f>IFERROR(K55/K444, "NA")</f>
        <v>0</v>
      </c>
      <c r="M55" s="9"/>
      <c r="N55" s="10">
        <f t="shared" si="13"/>
        <v>0</v>
      </c>
      <c r="O55" s="8">
        <f>IFERROR(N55/N444, "NA")</f>
        <v>0</v>
      </c>
      <c r="P55" s="9"/>
      <c r="Q55" s="7">
        <v>0</v>
      </c>
      <c r="R55" s="8">
        <f>IFERROR(Q55/Q444, "NA")</f>
        <v>0</v>
      </c>
      <c r="S55" s="9"/>
      <c r="T55" s="7">
        <v>0</v>
      </c>
      <c r="U55" s="8">
        <f>IFERROR(T55/T444, "NA")</f>
        <v>0</v>
      </c>
      <c r="V55" s="9"/>
      <c r="W55" s="10">
        <f t="shared" si="14"/>
        <v>0</v>
      </c>
      <c r="X55" s="8">
        <f>IFERROR(W55/W444, "NA")</f>
        <v>0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0</v>
      </c>
      <c r="AD55" s="8">
        <f>IFERROR(AC55/AC444, "NA")</f>
        <v>0</v>
      </c>
    </row>
    <row r="56" spans="1:30" ht="16.5" customHeight="1" x14ac:dyDescent="0.45">
      <c r="A56" s="17" t="s">
        <v>54</v>
      </c>
      <c r="B56" s="7">
        <v>0</v>
      </c>
      <c r="C56" s="8">
        <f>IFERROR(B56/B444, "NA")</f>
        <v>0</v>
      </c>
      <c r="D56" s="9"/>
      <c r="E56" s="7">
        <v>0</v>
      </c>
      <c r="F56" s="8">
        <f>IFERROR(E56/E444, "NA")</f>
        <v>0</v>
      </c>
      <c r="G56" s="9"/>
      <c r="H56" s="10">
        <f t="shared" si="12"/>
        <v>0</v>
      </c>
      <c r="I56" s="8">
        <f>IFERROR(H56/H444, "NA")</f>
        <v>0</v>
      </c>
      <c r="J56" s="9"/>
      <c r="K56" s="7">
        <v>0</v>
      </c>
      <c r="L56" s="8">
        <f>IFERROR(K56/K444, "NA")</f>
        <v>0</v>
      </c>
      <c r="M56" s="9"/>
      <c r="N56" s="10">
        <f t="shared" si="13"/>
        <v>0</v>
      </c>
      <c r="O56" s="8">
        <f>IFERROR(N56/N444, "NA")</f>
        <v>0</v>
      </c>
      <c r="P56" s="9"/>
      <c r="Q56" s="7">
        <v>32.799999999999997</v>
      </c>
      <c r="R56" s="8">
        <f>IFERROR(Q56/Q444, "NA")</f>
        <v>5.9471891417381066E-5</v>
      </c>
      <c r="S56" s="9"/>
      <c r="T56" s="7">
        <v>0</v>
      </c>
      <c r="U56" s="8">
        <f>IFERROR(T56/T444, "NA")</f>
        <v>0</v>
      </c>
      <c r="V56" s="9"/>
      <c r="W56" s="10">
        <f t="shared" si="14"/>
        <v>32.799999999999997</v>
      </c>
      <c r="X56" s="8">
        <f>IFERROR(W56/W444, "NA")</f>
        <v>2.045894146185361E-3</v>
      </c>
      <c r="Y56" s="9"/>
      <c r="Z56" s="7">
        <v>887.25</v>
      </c>
      <c r="AA56" s="8">
        <f>IFERROR(Z56/Z444, "NA")</f>
        <v>1.8733234309530672E-3</v>
      </c>
      <c r="AB56" s="9"/>
      <c r="AC56" s="10">
        <f t="shared" si="15"/>
        <v>-854.45</v>
      </c>
      <c r="AD56" s="8">
        <f>IFERROR(AC56/AC444, "NA")</f>
        <v>-1.0968894400401547E-2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32655.769999999997</v>
      </c>
      <c r="C61" s="15">
        <f>IFERROR(B61/B444, "NA")</f>
        <v>0.25010113329023009</v>
      </c>
      <c r="D61" s="2"/>
      <c r="E61" s="14">
        <f>IFERROR(E46+E47+E48+E49+E50+E51+E52+E53+E54+E55+E56+E57+E58+E59+E60, "NA")</f>
        <v>22035.51</v>
      </c>
      <c r="F61" s="15">
        <f>IFERROR(E61/E444, "NA")</f>
        <v>0.19900001083705404</v>
      </c>
      <c r="G61" s="2"/>
      <c r="H61" s="14">
        <f t="shared" si="12"/>
        <v>10620.259999999998</v>
      </c>
      <c r="I61" s="15">
        <f>IFERROR(H61/H444, "NA")</f>
        <v>0.53532072588116575</v>
      </c>
      <c r="J61" s="2"/>
      <c r="K61" s="14">
        <f>IFERROR(K46+K47+K48+K49+K50+K51+K52+K53+K54+K55+K56+K57+K58+K59+K60, "NA")</f>
        <v>16031.02</v>
      </c>
      <c r="L61" s="15">
        <f>IFERROR(K61/K444, "NA")</f>
        <v>0.16793808203656649</v>
      </c>
      <c r="M61" s="2"/>
      <c r="N61" s="14">
        <f t="shared" si="13"/>
        <v>16624.749999999996</v>
      </c>
      <c r="O61" s="15">
        <f>IFERROR(N61/N444, "NA")</f>
        <v>0.47347314362984633</v>
      </c>
      <c r="P61" s="2"/>
      <c r="Q61" s="14">
        <f>IFERROR(Q46+Q47+Q48+Q49+Q50+Q51+Q52+Q53+Q54+Q55+Q56+Q57+Q58+Q59+Q60, "NA")</f>
        <v>95788.91</v>
      </c>
      <c r="R61" s="15">
        <f>IFERROR(Q61/Q444, "NA")</f>
        <v>0.17368133093016122</v>
      </c>
      <c r="S61" s="2"/>
      <c r="T61" s="14">
        <f>IFERROR(T46+T47+T48+T49+T50+T51+T52+T53+T54+T55+T56+T57+T58+T59+T60, "NA")</f>
        <v>106562.3</v>
      </c>
      <c r="U61" s="15">
        <f>IFERROR(T61/T444, "NA")</f>
        <v>0.19900000175540511</v>
      </c>
      <c r="V61" s="2"/>
      <c r="W61" s="14">
        <f t="shared" si="14"/>
        <v>-10773.39</v>
      </c>
      <c r="X61" s="15">
        <f>IFERROR(W61/W444, "NA")</f>
        <v>-0.67198827852353371</v>
      </c>
      <c r="Y61" s="2"/>
      <c r="Z61" s="14">
        <f>IFERROR(Z46+Z47+Z48+Z49+Z50+Z51+Z52+Z53+Z54+Z55+Z56+Z57+Z58+Z59+Z60, "NA")</f>
        <v>85997.86</v>
      </c>
      <c r="AA61" s="15">
        <f>IFERROR(Z61/Z444, "NA")</f>
        <v>0.18157430955178533</v>
      </c>
      <c r="AB61" s="2"/>
      <c r="AC61" s="14">
        <f t="shared" si="15"/>
        <v>9791.0500000000029</v>
      </c>
      <c r="AD61" s="15">
        <f>IFERROR(AC61/AC444, "NA")</f>
        <v>0.1256913728352175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33968.36</v>
      </c>
      <c r="C62" s="15">
        <f>IFERROR(B62/B444, "NA")</f>
        <v>0.26015388190235667</v>
      </c>
      <c r="D62" s="2"/>
      <c r="E62" s="14">
        <f>IFERROR(E42+E43+E44+E46+E47+E48+E49+E50+E51+E52+E53+E54+E55+E56+E57+E58+E59+E60, "NA")</f>
        <v>22035.51</v>
      </c>
      <c r="F62" s="15">
        <f>IFERROR(E62/E444, "NA")</f>
        <v>0.19900001083705404</v>
      </c>
      <c r="G62" s="2"/>
      <c r="H62" s="14">
        <f t="shared" si="12"/>
        <v>11932.850000000002</v>
      </c>
      <c r="I62" s="15">
        <f>IFERROR(H62/H444, "NA")</f>
        <v>0.60148263072948027</v>
      </c>
      <c r="J62" s="2"/>
      <c r="K62" s="14">
        <f>IFERROR(K42+K43+K44+K46+K47+K48+K49+K50+K51+K52+K53+K54+K55+K56+K57+K58+K59+K60, "NA")</f>
        <v>16031.02</v>
      </c>
      <c r="L62" s="15">
        <f>IFERROR(K62/K444, "NA")</f>
        <v>0.16793808203656649</v>
      </c>
      <c r="M62" s="2"/>
      <c r="N62" s="14">
        <f t="shared" si="13"/>
        <v>17937.34</v>
      </c>
      <c r="O62" s="15">
        <f>IFERROR(N62/N444, "NA")</f>
        <v>0.51085572764446918</v>
      </c>
      <c r="P62" s="2"/>
      <c r="Q62" s="14">
        <f>IFERROR(Q42+Q43+Q44+Q46+Q47+Q48+Q49+Q50+Q51+Q52+Q53+Q54+Q55+Q56+Q57+Q58+Q59+Q60, "NA")</f>
        <v>107409.92</v>
      </c>
      <c r="R62" s="15">
        <f>IFERROR(Q62/Q444, "NA")</f>
        <v>0.19475216766431669</v>
      </c>
      <c r="S62" s="2"/>
      <c r="T62" s="14">
        <f>IFERROR(T42+T43+T44+T46+T47+T48+T49+T50+T51+T52+T53+T54+T55+T56+T57+T58+T59+T60, "NA")</f>
        <v>106562.3</v>
      </c>
      <c r="U62" s="15">
        <f>IFERROR(T62/T444, "NA")</f>
        <v>0.19900000175540511</v>
      </c>
      <c r="V62" s="2"/>
      <c r="W62" s="14">
        <f t="shared" si="14"/>
        <v>847.61999999999534</v>
      </c>
      <c r="X62" s="15">
        <f>IFERROR(W62/W444, "NA")</f>
        <v>5.2870146225293485E-2</v>
      </c>
      <c r="Y62" s="2"/>
      <c r="Z62" s="14">
        <f>IFERROR(Z42+Z43+Z44+Z46+Z47+Z48+Z49+Z50+Z51+Z52+Z53+Z54+Z55+Z56+Z57+Z58+Z59+Z60, "NA")</f>
        <v>99534.11</v>
      </c>
      <c r="AA62" s="15">
        <f>IFERROR(Z62/Z444, "NA")</f>
        <v>0.21015450035735136</v>
      </c>
      <c r="AB62" s="2"/>
      <c r="AC62" s="14">
        <f t="shared" si="15"/>
        <v>7875.8099999999977</v>
      </c>
      <c r="AD62" s="15">
        <f>IFERROR(AC62/AC444, "NA")</f>
        <v>0.10110472023831292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8.0299999999999994</v>
      </c>
      <c r="C65" s="8">
        <f>IFERROR(B65/B444, "NA")</f>
        <v>6.1499456308044412E-5</v>
      </c>
      <c r="D65" s="9"/>
      <c r="E65" s="7">
        <v>0</v>
      </c>
      <c r="F65" s="8">
        <f>IFERROR(E65/E444, "NA")</f>
        <v>0</v>
      </c>
      <c r="G65" s="9"/>
      <c r="H65" s="10">
        <f t="shared" si="16"/>
        <v>8.0299999999999994</v>
      </c>
      <c r="I65" s="8">
        <f>IFERROR(H65/H444, "NA")</f>
        <v>4.0475708022456712E-4</v>
      </c>
      <c r="J65" s="9"/>
      <c r="K65" s="7">
        <v>279.60000000000002</v>
      </c>
      <c r="L65" s="8">
        <f>IFERROR(K65/K444, "NA")</f>
        <v>2.9290393086293942E-3</v>
      </c>
      <c r="M65" s="9"/>
      <c r="N65" s="10">
        <f t="shared" si="17"/>
        <v>-271.57000000000005</v>
      </c>
      <c r="O65" s="8">
        <f>IFERROR(N65/N444, "NA")</f>
        <v>-7.7343179064682122E-3</v>
      </c>
      <c r="P65" s="9"/>
      <c r="Q65" s="7">
        <v>2609.59</v>
      </c>
      <c r="R65" s="8">
        <f>IFERROR(Q65/Q444, "NA")</f>
        <v>4.7316235708501058E-3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2609.59</v>
      </c>
      <c r="X65" s="8">
        <f>IFERROR(W65/W444, "NA")</f>
        <v>0.16277271051658102</v>
      </c>
      <c r="Y65" s="9"/>
      <c r="Z65" s="7">
        <v>747.84</v>
      </c>
      <c r="AA65" s="8">
        <f>IFERROR(Z65/Z444, "NA")</f>
        <v>1.5789757053862403E-3</v>
      </c>
      <c r="AB65" s="9"/>
      <c r="AC65" s="10">
        <f t="shared" si="19"/>
        <v>1861.75</v>
      </c>
      <c r="AD65" s="8">
        <f>IFERROR(AC65/AC444, "NA")</f>
        <v>2.389998144999424E-2</v>
      </c>
    </row>
    <row r="66" spans="1:30" ht="16.5" hidden="1" customHeight="1" x14ac:dyDescent="0.45">
      <c r="A66" s="12" t="s">
        <v>63</v>
      </c>
      <c r="B66" s="7">
        <v>0</v>
      </c>
      <c r="C66" s="8">
        <f>IFERROR(B66/B444, "NA")</f>
        <v>0</v>
      </c>
      <c r="D66" s="9"/>
      <c r="E66" s="7">
        <v>0</v>
      </c>
      <c r="F66" s="8">
        <f>IFERROR(E66/E444, "NA")</f>
        <v>0</v>
      </c>
      <c r="G66" s="9"/>
      <c r="H66" s="10">
        <f t="shared" si="16"/>
        <v>0</v>
      </c>
      <c r="I66" s="8">
        <f>IFERROR(H66/H444, "NA")</f>
        <v>0</v>
      </c>
      <c r="J66" s="9"/>
      <c r="K66" s="7">
        <v>0</v>
      </c>
      <c r="L66" s="8">
        <f>IFERROR(K66/K444, "NA")</f>
        <v>0</v>
      </c>
      <c r="M66" s="9"/>
      <c r="N66" s="10">
        <f t="shared" si="17"/>
        <v>0</v>
      </c>
      <c r="O66" s="8">
        <f>IFERROR(N66/N444, "NA")</f>
        <v>0</v>
      </c>
      <c r="P66" s="9"/>
      <c r="Q66" s="7">
        <v>0</v>
      </c>
      <c r="R66" s="8">
        <f>IFERROR(Q66/Q444, "NA")</f>
        <v>0</v>
      </c>
      <c r="S66" s="9"/>
      <c r="T66" s="7">
        <v>0</v>
      </c>
      <c r="U66" s="8">
        <f>IFERROR(T66/T444, "NA")</f>
        <v>0</v>
      </c>
      <c r="V66" s="9"/>
      <c r="W66" s="10">
        <f t="shared" si="18"/>
        <v>0</v>
      </c>
      <c r="X66" s="8">
        <f>IFERROR(W66/W444, "NA")</f>
        <v>0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0</v>
      </c>
      <c r="AD66" s="8">
        <f>IFERROR(AC66/AC444, "NA")</f>
        <v>0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hidden="1" customHeight="1" x14ac:dyDescent="0.45">
      <c r="A68" s="12" t="s">
        <v>65</v>
      </c>
      <c r="B68" s="7">
        <v>0</v>
      </c>
      <c r="C68" s="8">
        <f>IFERROR(B68/B444, "NA")</f>
        <v>0</v>
      </c>
      <c r="D68" s="9"/>
      <c r="E68" s="7">
        <v>0</v>
      </c>
      <c r="F68" s="8">
        <f>IFERROR(E68/E444, "NA")</f>
        <v>0</v>
      </c>
      <c r="G68" s="9"/>
      <c r="H68" s="10">
        <f t="shared" si="16"/>
        <v>0</v>
      </c>
      <c r="I68" s="8">
        <f>IFERROR(H68/H444, "NA")</f>
        <v>0</v>
      </c>
      <c r="J68" s="9"/>
      <c r="K68" s="7">
        <v>0</v>
      </c>
      <c r="L68" s="8">
        <f>IFERROR(K68/K444, "NA")</f>
        <v>0</v>
      </c>
      <c r="M68" s="9"/>
      <c r="N68" s="10">
        <f t="shared" si="17"/>
        <v>0</v>
      </c>
      <c r="O68" s="8">
        <f>IFERROR(N68/N444, "NA")</f>
        <v>0</v>
      </c>
      <c r="P68" s="9"/>
      <c r="Q68" s="7">
        <v>0</v>
      </c>
      <c r="R68" s="8">
        <f>IFERROR(Q68/Q444, "NA")</f>
        <v>0</v>
      </c>
      <c r="S68" s="9"/>
      <c r="T68" s="7">
        <v>0</v>
      </c>
      <c r="U68" s="8">
        <f>IFERROR(T68/T444, "NA")</f>
        <v>0</v>
      </c>
      <c r="V68" s="9"/>
      <c r="W68" s="10">
        <f t="shared" si="18"/>
        <v>0</v>
      </c>
      <c r="X68" s="8">
        <f>IFERROR(W68/W444, "NA")</f>
        <v>0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0</v>
      </c>
      <c r="AD68" s="8">
        <f>IFERROR(AC68/AC444, "NA")</f>
        <v>0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8.0299999999999994</v>
      </c>
      <c r="C73" s="15">
        <f>IFERROR(B73/B444, "NA")</f>
        <v>6.1499456308044412E-5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8.0299999999999994</v>
      </c>
      <c r="I73" s="15">
        <f>IFERROR(H73/H444, "NA")</f>
        <v>4.0475708022456712E-4</v>
      </c>
      <c r="J73" s="2"/>
      <c r="K73" s="14">
        <f>IFERROR(K64+K65+K66+K67+K68+K69+K70+K71+K72, "NA")</f>
        <v>279.60000000000002</v>
      </c>
      <c r="L73" s="15">
        <f>IFERROR(K73/K444, "NA")</f>
        <v>2.9290393086293942E-3</v>
      </c>
      <c r="M73" s="2"/>
      <c r="N73" s="14">
        <f t="shared" si="17"/>
        <v>-271.57000000000005</v>
      </c>
      <c r="O73" s="15">
        <f>IFERROR(N73/N444, "NA")</f>
        <v>-7.7343179064682122E-3</v>
      </c>
      <c r="P73" s="2"/>
      <c r="Q73" s="14">
        <f>IFERROR(Q64+Q65+Q66+Q67+Q68+Q69+Q70+Q71+Q72, "NA")</f>
        <v>2609.59</v>
      </c>
      <c r="R73" s="15">
        <f>IFERROR(Q73/Q444, "NA")</f>
        <v>4.7316235708501058E-3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2609.59</v>
      </c>
      <c r="X73" s="15">
        <f>IFERROR(W73/W444, "NA")</f>
        <v>0.16277271051658102</v>
      </c>
      <c r="Y73" s="2"/>
      <c r="Z73" s="14">
        <f>IFERROR(Z64+Z65+Z66+Z67+Z68+Z69+Z70+Z71+Z72, "NA")</f>
        <v>747.84</v>
      </c>
      <c r="AA73" s="15">
        <f>IFERROR(Z73/Z444, "NA")</f>
        <v>1.5789757053862403E-3</v>
      </c>
      <c r="AB73" s="2"/>
      <c r="AC73" s="14">
        <f t="shared" si="19"/>
        <v>1861.75</v>
      </c>
      <c r="AD73" s="15">
        <f>IFERROR(AC73/AC444, "NA")</f>
        <v>2.389998144999424E-2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1439.51</v>
      </c>
      <c r="F75" s="8">
        <f>IFERROR(E75/E444, "NA")</f>
        <v>1.3000039735864869E-2</v>
      </c>
      <c r="G75" s="9"/>
      <c r="H75" s="10">
        <f t="shared" ref="H75:H92" si="20">IFERROR(B75-E75, "NA")</f>
        <v>-1439.51</v>
      </c>
      <c r="I75" s="8">
        <f>IFERROR(H75/H444, "NA")</f>
        <v>-7.2559385374105431E-2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6961.35</v>
      </c>
      <c r="U75" s="8">
        <f>IFERROR(T75/T444, "NA")</f>
        <v>1.2999988384447308E-2</v>
      </c>
      <c r="V75" s="9"/>
      <c r="W75" s="10">
        <f t="shared" ref="W75:W92" si="22">IFERROR(Q75-T75, "NA")</f>
        <v>-6961.35</v>
      </c>
      <c r="X75" s="8">
        <f>IFERROR(W75/W444, "NA")</f>
        <v>-0.43421296385815439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159.16</v>
      </c>
      <c r="C77" s="8">
        <f>IFERROR(B77/B444, "NA")</f>
        <v>1.218960581069533E-3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159.16</v>
      </c>
      <c r="I77" s="8">
        <f>IFERROR(H77/H444, "NA")</f>
        <v>8.0225575203663885E-3</v>
      </c>
      <c r="J77" s="9"/>
      <c r="K77" s="7">
        <v>56.81</v>
      </c>
      <c r="L77" s="8">
        <f>IFERROR(K77/K444, "NA")</f>
        <v>5.9513134164247456E-4</v>
      </c>
      <c r="M77" s="9"/>
      <c r="N77" s="10">
        <f t="shared" si="21"/>
        <v>102.35</v>
      </c>
      <c r="O77" s="8">
        <f>IFERROR(N77/N444, "NA")</f>
        <v>2.9149296230328143E-3</v>
      </c>
      <c r="P77" s="9"/>
      <c r="Q77" s="7">
        <v>1336.43</v>
      </c>
      <c r="R77" s="8">
        <f>IFERROR(Q77/Q444, "NA")</f>
        <v>2.4231713367966643E-3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1336.43</v>
      </c>
      <c r="X77" s="8">
        <f>IFERROR(W77/W444, "NA")</f>
        <v>8.335958273739337E-2</v>
      </c>
      <c r="Y77" s="9"/>
      <c r="Z77" s="7">
        <v>358.8</v>
      </c>
      <c r="AA77" s="8">
        <f>IFERROR(Z77/Z444, "NA")</f>
        <v>7.5756376108871294E-4</v>
      </c>
      <c r="AB77" s="9"/>
      <c r="AC77" s="10">
        <f t="shared" si="23"/>
        <v>977.63000000000011</v>
      </c>
      <c r="AD77" s="8">
        <f>IFERROR(AC77/AC444, "NA")</f>
        <v>1.2550202156550489E-2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5.1100000000000003</v>
      </c>
      <c r="C79" s="8">
        <f>IFERROR(B79/B444, "NA")</f>
        <v>3.9136017650573724E-5</v>
      </c>
      <c r="D79" s="9"/>
      <c r="E79" s="7">
        <v>0</v>
      </c>
      <c r="F79" s="8">
        <f>IFERROR(E79/E444, "NA")</f>
        <v>0</v>
      </c>
      <c r="G79" s="9"/>
      <c r="H79" s="10">
        <f t="shared" si="20"/>
        <v>5.1100000000000003</v>
      </c>
      <c r="I79" s="8">
        <f>IFERROR(H79/H444, "NA")</f>
        <v>2.5757268741563366E-4</v>
      </c>
      <c r="J79" s="9"/>
      <c r="K79" s="7">
        <v>0</v>
      </c>
      <c r="L79" s="8">
        <f>IFERROR(K79/K444, "NA")</f>
        <v>0</v>
      </c>
      <c r="M79" s="9"/>
      <c r="N79" s="10">
        <f t="shared" si="21"/>
        <v>5.1100000000000003</v>
      </c>
      <c r="O79" s="8">
        <f>IFERROR(N79/N444, "NA")</f>
        <v>1.4553288103270819E-4</v>
      </c>
      <c r="P79" s="9"/>
      <c r="Q79" s="7">
        <v>5.1100000000000003</v>
      </c>
      <c r="R79" s="8">
        <f>IFERROR(Q79/Q444, "NA")</f>
        <v>9.2652855226468687E-6</v>
      </c>
      <c r="S79" s="9"/>
      <c r="T79" s="7">
        <v>0</v>
      </c>
      <c r="U79" s="8">
        <f>IFERROR(T79/T444, "NA")</f>
        <v>0</v>
      </c>
      <c r="V79" s="9"/>
      <c r="W79" s="10">
        <f t="shared" si="22"/>
        <v>5.1100000000000003</v>
      </c>
      <c r="X79" s="8">
        <f>IFERROR(W79/W444, "NA")</f>
        <v>3.1873533801851206E-4</v>
      </c>
      <c r="Y79" s="9"/>
      <c r="Z79" s="7">
        <v>11.96</v>
      </c>
      <c r="AA79" s="8">
        <f>IFERROR(Z79/Z444, "NA")</f>
        <v>2.5252125369623765E-5</v>
      </c>
      <c r="AB79" s="9"/>
      <c r="AC79" s="10">
        <f t="shared" si="23"/>
        <v>-6.8500000000000005</v>
      </c>
      <c r="AD79" s="8">
        <f>IFERROR(AC79/AC444, "NA")</f>
        <v>-8.7936013391948743E-5</v>
      </c>
    </row>
    <row r="80" spans="1:30" ht="16.5" customHeight="1" x14ac:dyDescent="0.45">
      <c r="A80" s="12" t="s">
        <v>76</v>
      </c>
      <c r="B80" s="7">
        <v>1134.21</v>
      </c>
      <c r="C80" s="8">
        <f>IFERROR(B80/B444, "NA")</f>
        <v>8.6865875889348774E-3</v>
      </c>
      <c r="D80" s="9"/>
      <c r="E80" s="7">
        <v>0</v>
      </c>
      <c r="F80" s="8">
        <f>IFERROR(E80/E444, "NA")</f>
        <v>0</v>
      </c>
      <c r="G80" s="9"/>
      <c r="H80" s="10">
        <f t="shared" si="20"/>
        <v>1134.21</v>
      </c>
      <c r="I80" s="8">
        <f>IFERROR(H80/H444, "NA")</f>
        <v>5.7170551427335778E-2</v>
      </c>
      <c r="J80" s="9"/>
      <c r="K80" s="7">
        <v>1485.27</v>
      </c>
      <c r="L80" s="8">
        <f>IFERROR(K80/K444, "NA")</f>
        <v>1.55594213659799E-2</v>
      </c>
      <c r="M80" s="9"/>
      <c r="N80" s="10">
        <f t="shared" si="21"/>
        <v>-351.05999999999995</v>
      </c>
      <c r="O80" s="8">
        <f>IFERROR(N80/N444, "NA")</f>
        <v>-9.9981943669946224E-3</v>
      </c>
      <c r="P80" s="9"/>
      <c r="Q80" s="7">
        <v>6473.5</v>
      </c>
      <c r="R80" s="8">
        <f>IFERROR(Q80/Q444, "NA")</f>
        <v>1.1737539301537085E-2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6473.5</v>
      </c>
      <c r="X80" s="8">
        <f>IFERROR(W80/W444, "NA")</f>
        <v>0.40378340717472366</v>
      </c>
      <c r="Y80" s="9"/>
      <c r="Z80" s="7">
        <v>7510.27</v>
      </c>
      <c r="AA80" s="8">
        <f>IFERROR(Z80/Z444, "NA")</f>
        <v>1.5857046789274604E-2</v>
      </c>
      <c r="AB80" s="9"/>
      <c r="AC80" s="10">
        <f t="shared" si="23"/>
        <v>-1036.7700000000004</v>
      </c>
      <c r="AD80" s="8">
        <f>IFERROR(AC80/AC444, "NA")</f>
        <v>-1.3309404467791346E-2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1298.48</v>
      </c>
      <c r="C88" s="15">
        <f>IFERROR(B88/B444, "NA")</f>
        <v>9.9446841876549841E-3</v>
      </c>
      <c r="D88" s="2"/>
      <c r="E88" s="14">
        <f>IFERROR(E75+E76+E77+E78+E79+E80+E81+E82+E83+E84+E85+E86+E87, "NA")</f>
        <v>1439.51</v>
      </c>
      <c r="F88" s="15">
        <f>IFERROR(E88/E444, "NA")</f>
        <v>1.3000039735864869E-2</v>
      </c>
      <c r="G88" s="2"/>
      <c r="H88" s="14">
        <f t="shared" si="20"/>
        <v>-141.02999999999997</v>
      </c>
      <c r="I88" s="15">
        <f>IFERROR(H88/H444, "NA")</f>
        <v>-7.1087037389876333E-3</v>
      </c>
      <c r="J88" s="2"/>
      <c r="K88" s="14">
        <f>IFERROR(K75+K76+K77+K78+K79+K80+K81+K82+K83+K84+K85+K86+K87, "NA")</f>
        <v>1542.08</v>
      </c>
      <c r="L88" s="15">
        <f>IFERROR(K88/K444, "NA")</f>
        <v>1.6154552707622373E-2</v>
      </c>
      <c r="M88" s="2"/>
      <c r="N88" s="14">
        <f t="shared" si="21"/>
        <v>-243.59999999999991</v>
      </c>
      <c r="O88" s="15">
        <f>IFERROR(N88/N444, "NA")</f>
        <v>-6.9377318629290996E-3</v>
      </c>
      <c r="P88" s="2"/>
      <c r="Q88" s="14">
        <f>IFERROR(Q75+Q76+Q77+Q78+Q79+Q80+Q81+Q82+Q83+Q84+Q85+Q86+Q87, "NA")</f>
        <v>7815.04</v>
      </c>
      <c r="R88" s="15">
        <f>IFERROR(Q88/Q444, "NA")</f>
        <v>1.4169975923856395E-2</v>
      </c>
      <c r="S88" s="2"/>
      <c r="T88" s="14">
        <f>IFERROR(T75+T76+T77+T78+T79+T80+T81+T82+T83+T84+T85+T86+T87, "NA")</f>
        <v>6961.35</v>
      </c>
      <c r="U88" s="15">
        <f>IFERROR(T88/T444, "NA")</f>
        <v>1.2999988384447308E-2</v>
      </c>
      <c r="V88" s="2"/>
      <c r="W88" s="14">
        <f t="shared" si="22"/>
        <v>853.6899999999996</v>
      </c>
      <c r="X88" s="15">
        <f>IFERROR(W88/W444, "NA")</f>
        <v>5.3248761391981099E-2</v>
      </c>
      <c r="Y88" s="2"/>
      <c r="Z88" s="14">
        <f>IFERROR(Z75+Z76+Z77+Z78+Z79+Z80+Z81+Z82+Z83+Z84+Z85+Z86+Z87, "NA")</f>
        <v>7881.0300000000007</v>
      </c>
      <c r="AA88" s="15">
        <f>IFERROR(Z88/Z444, "NA")</f>
        <v>1.663986267573294E-2</v>
      </c>
      <c r="AB88" s="2"/>
      <c r="AC88" s="14">
        <f t="shared" si="23"/>
        <v>-65.990000000000691</v>
      </c>
      <c r="AD88" s="15">
        <f>IFERROR(AC88/AC444, "NA")</f>
        <v>-8.4713832463281129E-4</v>
      </c>
    </row>
    <row r="89" spans="1:30" ht="16.5" customHeight="1" x14ac:dyDescent="0.45">
      <c r="A89" s="6" t="s">
        <v>85</v>
      </c>
      <c r="B89" s="7">
        <v>47.2</v>
      </c>
      <c r="C89" s="8">
        <f>IFERROR(B89/B444, "NA")</f>
        <v>3.6149120021664965E-4</v>
      </c>
      <c r="D89" s="9"/>
      <c r="E89" s="7">
        <v>0</v>
      </c>
      <c r="F89" s="8">
        <f>IFERROR(E89/E444, "NA")</f>
        <v>0</v>
      </c>
      <c r="G89" s="9"/>
      <c r="H89" s="10">
        <f t="shared" si="20"/>
        <v>47.2</v>
      </c>
      <c r="I89" s="8">
        <f>IFERROR(H89/H444, "NA")</f>
        <v>2.3791449796512539E-3</v>
      </c>
      <c r="J89" s="9"/>
      <c r="K89" s="7">
        <v>-443.18</v>
      </c>
      <c r="L89" s="8">
        <f>IFERROR(K89/K444, "NA")</f>
        <v>-4.6426739656594239E-3</v>
      </c>
      <c r="M89" s="9"/>
      <c r="N89" s="10">
        <f t="shared" si="21"/>
        <v>490.38</v>
      </c>
      <c r="O89" s="8">
        <f>IFERROR(N89/N444, "NA")</f>
        <v>1.3966030176285603E-2</v>
      </c>
      <c r="P89" s="9"/>
      <c r="Q89" s="7">
        <v>226.1</v>
      </c>
      <c r="R89" s="8">
        <f>IFERROR(Q89/Q444, "NA")</f>
        <v>4.0995715394725183E-4</v>
      </c>
      <c r="S89" s="9"/>
      <c r="T89" s="7">
        <v>0</v>
      </c>
      <c r="U89" s="8">
        <f>IFERROR(T89/T444, "NA")</f>
        <v>0</v>
      </c>
      <c r="V89" s="9"/>
      <c r="W89" s="10">
        <f t="shared" si="22"/>
        <v>226.1</v>
      </c>
      <c r="X89" s="8">
        <f>IFERROR(W89/W444, "NA")</f>
        <v>1.4102947147942382E-2</v>
      </c>
      <c r="Y89" s="9"/>
      <c r="Z89" s="7">
        <v>884.9</v>
      </c>
      <c r="AA89" s="8">
        <f>IFERROR(Z89/Z444, "NA")</f>
        <v>1.8683616839113768E-3</v>
      </c>
      <c r="AB89" s="9"/>
      <c r="AC89" s="10">
        <f t="shared" si="23"/>
        <v>-658.8</v>
      </c>
      <c r="AD89" s="8">
        <f>IFERROR(AC89/AC444, "NA")</f>
        <v>-8.4572621346884411E-3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-3875.59</v>
      </c>
      <c r="F94" s="8">
        <f>IFERROR(E94/E444, "NA")</f>
        <v>-3.4999981938243246E-2</v>
      </c>
      <c r="G94" s="9"/>
      <c r="H94" s="10">
        <f t="shared" ref="H94:H124" si="24">IFERROR(B94-E94, "NA")</f>
        <v>3875.59</v>
      </c>
      <c r="I94" s="8">
        <f>IFERROR(H94/H444, "NA")</f>
        <v>0.19535149346793651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-18742.11</v>
      </c>
      <c r="U94" s="8">
        <f>IFERROR(T94/T444, "NA")</f>
        <v>-3.499999458438862E-2</v>
      </c>
      <c r="V94" s="9"/>
      <c r="W94" s="10">
        <f t="shared" ref="W94:W124" si="26">IFERROR(Q94-T94, "NA")</f>
        <v>18742.11</v>
      </c>
      <c r="X94" s="8">
        <f>IFERROR(W94/W444, "NA")</f>
        <v>1.1690357663464062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-1401.9</v>
      </c>
      <c r="C96" s="8">
        <f>IFERROR(B96/B444, "NA")</f>
        <v>-1.0736748169146635E-2</v>
      </c>
      <c r="D96" s="9"/>
      <c r="E96" s="7">
        <v>0</v>
      </c>
      <c r="F96" s="8">
        <f>IFERROR(E96/E444, "NA")</f>
        <v>0</v>
      </c>
      <c r="G96" s="9"/>
      <c r="H96" s="10">
        <f t="shared" si="24"/>
        <v>-1401.9</v>
      </c>
      <c r="I96" s="8">
        <f>IFERROR(H96/H444, "NA")</f>
        <v>-7.066363023248079E-2</v>
      </c>
      <c r="J96" s="9"/>
      <c r="K96" s="7">
        <v>-40.049999999999997</v>
      </c>
      <c r="L96" s="8">
        <f>IFERROR(K96/K444, "NA")</f>
        <v>-4.1955659624680694E-4</v>
      </c>
      <c r="M96" s="9"/>
      <c r="N96" s="10">
        <f t="shared" si="25"/>
        <v>-1361.8500000000001</v>
      </c>
      <c r="O96" s="8">
        <f>IFERROR(N96/N444, "NA")</f>
        <v>-3.8785509595771754E-2</v>
      </c>
      <c r="P96" s="9"/>
      <c r="Q96" s="7">
        <v>-7082.47</v>
      </c>
      <c r="R96" s="8">
        <f>IFERROR(Q96/Q444, "NA")</f>
        <v>-1.2841703866062773E-2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-7082.47</v>
      </c>
      <c r="X96" s="8">
        <f>IFERROR(W96/W444, "NA")</f>
        <v>-0.44176780224187301</v>
      </c>
      <c r="Y96" s="9"/>
      <c r="Z96" s="7">
        <v>-433.65</v>
      </c>
      <c r="AA96" s="8">
        <f>IFERROR(Z96/Z444, "NA")</f>
        <v>-9.1560068282084818E-4</v>
      </c>
      <c r="AB96" s="9"/>
      <c r="AC96" s="10">
        <f t="shared" si="27"/>
        <v>-6648.8200000000006</v>
      </c>
      <c r="AD96" s="8">
        <f>IFERROR(AC96/AC444, "NA")</f>
        <v>-8.5353390446811186E-2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-2387.27</v>
      </c>
      <c r="C98" s="8">
        <f>IFERROR(B98/B444, "NA")</f>
        <v>-1.8283413083500025E-2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-2387.27</v>
      </c>
      <c r="I98" s="8">
        <f>IFERROR(H98/H444, "NA")</f>
        <v>-0.120331810075679</v>
      </c>
      <c r="J98" s="9"/>
      <c r="K98" s="7">
        <v>-1913.79</v>
      </c>
      <c r="L98" s="8">
        <f>IFERROR(K98/K444, "NA")</f>
        <v>-2.004851980851877E-2</v>
      </c>
      <c r="M98" s="9"/>
      <c r="N98" s="10">
        <f t="shared" si="25"/>
        <v>-473.48</v>
      </c>
      <c r="O98" s="8">
        <f>IFERROR(N98/N444, "NA")</f>
        <v>-1.3484717908290934E-2</v>
      </c>
      <c r="P98" s="9"/>
      <c r="Q98" s="7">
        <v>-10502.09</v>
      </c>
      <c r="R98" s="8">
        <f>IFERROR(Q98/Q444, "NA")</f>
        <v>-1.9042047443157427E-2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-10502.09</v>
      </c>
      <c r="X98" s="8">
        <f>IFERROR(W98/W444, "NA")</f>
        <v>-0.65506598944243355</v>
      </c>
      <c r="Y98" s="9"/>
      <c r="Z98" s="7">
        <v>-8723.01</v>
      </c>
      <c r="AA98" s="8">
        <f>IFERROR(Z98/Z444, "NA")</f>
        <v>-1.8417603856227573E-2</v>
      </c>
      <c r="AB98" s="9"/>
      <c r="AC98" s="10">
        <f t="shared" si="27"/>
        <v>-1779.08</v>
      </c>
      <c r="AD98" s="8">
        <f>IFERROR(AC98/AC444, "NA")</f>
        <v>-2.2838715723408488E-2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-28.3</v>
      </c>
      <c r="C100" s="8">
        <f>IFERROR(B100/B444, "NA")</f>
        <v>-2.1674154589260987E-4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-28.3</v>
      </c>
      <c r="I100" s="8">
        <f>IFERROR(H100/H444, "NA")</f>
        <v>-1.4264788755112391E-3</v>
      </c>
      <c r="J100" s="9"/>
      <c r="K100" s="7">
        <v>-34.200000000000003</v>
      </c>
      <c r="L100" s="8">
        <f>IFERROR(K100/K444, "NA")</f>
        <v>-3.5827304848041948E-4</v>
      </c>
      <c r="M100" s="9"/>
      <c r="N100" s="10">
        <f t="shared" si="25"/>
        <v>5.9000000000000021</v>
      </c>
      <c r="O100" s="8">
        <f>IFERROR(N100/N444, "NA")</f>
        <v>1.6803209356026978E-4</v>
      </c>
      <c r="P100" s="9"/>
      <c r="Q100" s="7">
        <v>-620.67999999999995</v>
      </c>
      <c r="R100" s="8">
        <f>IFERROR(Q100/Q444, "NA")</f>
        <v>-1.125396755028661E-3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-620.67999999999995</v>
      </c>
      <c r="X100" s="8">
        <f>IFERROR(W100/W444, "NA")</f>
        <v>-3.8714804227266156E-2</v>
      </c>
      <c r="Y100" s="9"/>
      <c r="Z100" s="7">
        <v>-2691.36</v>
      </c>
      <c r="AA100" s="8">
        <f>IFERROR(Z100/Z444, "NA")</f>
        <v>-5.682488305584499E-3</v>
      </c>
      <c r="AB100" s="9"/>
      <c r="AC100" s="10">
        <f t="shared" si="27"/>
        <v>2070.6800000000003</v>
      </c>
      <c r="AD100" s="8">
        <f>IFERROR(AC100/AC444, "NA")</f>
        <v>2.6582094045319769E-2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-1253.25</v>
      </c>
      <c r="C102" s="8">
        <f>IFERROR(B102/B444, "NA")</f>
        <v>-9.5982806498202573E-3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-1253.25</v>
      </c>
      <c r="I102" s="8">
        <f>IFERROR(H102/H444, "NA")</f>
        <v>-6.3170835714998597E-2</v>
      </c>
      <c r="J102" s="9"/>
      <c r="K102" s="7">
        <v>-193.63</v>
      </c>
      <c r="L102" s="8">
        <f>IFERROR(K102/K444, "NA")</f>
        <v>-2.0284330519667725E-3</v>
      </c>
      <c r="M102" s="9"/>
      <c r="N102" s="10">
        <f t="shared" si="25"/>
        <v>-1059.6199999999999</v>
      </c>
      <c r="O102" s="8">
        <f>IFERROR(N102/N444, "NA")</f>
        <v>-3.0177994403107283E-2</v>
      </c>
      <c r="P102" s="9"/>
      <c r="Q102" s="7">
        <v>-7969.63</v>
      </c>
      <c r="R102" s="8">
        <f>IFERROR(Q102/Q444, "NA")</f>
        <v>-1.4450273475509229E-2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-7969.63</v>
      </c>
      <c r="X102" s="8">
        <f>IFERROR(W102/W444, "NA")</f>
        <v>-0.49710424891046462</v>
      </c>
      <c r="Y102" s="9"/>
      <c r="Z102" s="7">
        <v>-1871.84</v>
      </c>
      <c r="AA102" s="8">
        <f>IFERROR(Z102/Z444, "NA")</f>
        <v>-3.9521687585181058E-3</v>
      </c>
      <c r="AB102" s="9"/>
      <c r="AC102" s="10">
        <f t="shared" si="27"/>
        <v>-6097.79</v>
      </c>
      <c r="AD102" s="8">
        <f>IFERROR(AC102/AC444, "NA")</f>
        <v>-7.8279612131575332E-2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-911.51</v>
      </c>
      <c r="C104" s="8">
        <f>IFERROR(B104/B444, "NA")</f>
        <v>-6.9809924557092864E-3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-911.51</v>
      </c>
      <c r="I104" s="8">
        <f>IFERROR(H104/H444, "NA")</f>
        <v>-4.5945221194955817E-2</v>
      </c>
      <c r="J104" s="9"/>
      <c r="K104" s="7">
        <v>-475.96</v>
      </c>
      <c r="L104" s="8">
        <f>IFERROR(K104/K444, "NA")</f>
        <v>-4.9860713495538138E-3</v>
      </c>
      <c r="M104" s="9"/>
      <c r="N104" s="10">
        <f t="shared" si="25"/>
        <v>-435.55</v>
      </c>
      <c r="O104" s="8">
        <f>IFERROR(N104/N444, "NA")</f>
        <v>-1.2404470906809403E-2</v>
      </c>
      <c r="P104" s="9"/>
      <c r="Q104" s="7">
        <v>-5242.68</v>
      </c>
      <c r="R104" s="8">
        <f>IFERROR(Q104/Q444, "NA")</f>
        <v>-9.5058565760998606E-3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-5242.68</v>
      </c>
      <c r="X104" s="8">
        <f>IFERROR(W104/W444, "NA")</f>
        <v>-0.32701122933911797</v>
      </c>
      <c r="Y104" s="9"/>
      <c r="Z104" s="7">
        <v>-3072.26</v>
      </c>
      <c r="AA104" s="8">
        <f>IFERROR(Z104/Z444, "NA")</f>
        <v>-6.4867136026822998E-3</v>
      </c>
      <c r="AB104" s="9"/>
      <c r="AC104" s="10">
        <f t="shared" si="27"/>
        <v>-2170.42</v>
      </c>
      <c r="AD104" s="8">
        <f>IFERROR(AC104/AC444, "NA")</f>
        <v>-2.7862493749803412E-2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-351.5</v>
      </c>
      <c r="C106" s="8">
        <f>IFERROR(B106/B444, "NA")</f>
        <v>-2.6920372219523805E-3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-351.5</v>
      </c>
      <c r="I106" s="8">
        <f>IFERROR(H106/H444, "NA")</f>
        <v>-1.7717573312445251E-2</v>
      </c>
      <c r="J106" s="9"/>
      <c r="K106" s="7">
        <v>-699</v>
      </c>
      <c r="L106" s="8">
        <f>IFERROR(K106/K444, "NA")</f>
        <v>-7.3225982715734847E-3</v>
      </c>
      <c r="M106" s="9"/>
      <c r="N106" s="10">
        <f t="shared" si="25"/>
        <v>347.5</v>
      </c>
      <c r="O106" s="8">
        <f>IFERROR(N106/N444, "NA")</f>
        <v>9.8968055105413087E-3</v>
      </c>
      <c r="P106" s="9"/>
      <c r="Q106" s="7">
        <v>-1196.24</v>
      </c>
      <c r="R106" s="8">
        <f>IFERROR(Q106/Q444, "NA")</f>
        <v>-2.168983396009998E-3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-1196.24</v>
      </c>
      <c r="X106" s="8">
        <f>IFERROR(W106/W444, "NA")</f>
        <v>-7.4615256507096842E-2</v>
      </c>
      <c r="Y106" s="9"/>
      <c r="Z106" s="7">
        <v>-1212.5899999999999</v>
      </c>
      <c r="AA106" s="8">
        <f>IFERROR(Z106/Z444, "NA")</f>
        <v>-2.5602403596949896E-3</v>
      </c>
      <c r="AB106" s="9"/>
      <c r="AC106" s="10">
        <f t="shared" si="27"/>
        <v>16.349999999999909</v>
      </c>
      <c r="AD106" s="8">
        <f>IFERROR(AC106/AC444, "NA")</f>
        <v>2.0989106846107353E-4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-5</v>
      </c>
      <c r="L108" s="8">
        <f>IFERROR(K108/K444, "NA")</f>
        <v>-5.2379100655032081E-5</v>
      </c>
      <c r="M108" s="9"/>
      <c r="N108" s="10">
        <f t="shared" si="25"/>
        <v>5</v>
      </c>
      <c r="O108" s="8">
        <f>IFERROR(N108/N444, "NA")</f>
        <v>1.4240007928836417E-4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-1.0556908599341038E-5</v>
      </c>
      <c r="AB108" s="9"/>
      <c r="AC108" s="10">
        <f t="shared" si="27"/>
        <v>5</v>
      </c>
      <c r="AD108" s="8">
        <f>IFERROR(AC108/AC444, "NA")</f>
        <v>6.4186871089013677E-5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-6333.7300000000005</v>
      </c>
      <c r="C118" s="15">
        <f>IFERROR(B118/B444, "NA")</f>
        <v>-4.8508213126021202E-2</v>
      </c>
      <c r="D118" s="2"/>
      <c r="E118" s="14">
        <f>IFERROR(E94+E95+E96+E97+E98+E99+E100+E101+E102+E103+E104+E105+E106+E107+E108+E109+E110+E111+E112+E113+E114+E115+E116+E117, "NA")</f>
        <v>-3875.59</v>
      </c>
      <c r="F118" s="15">
        <f>IFERROR(E118/E444, "NA")</f>
        <v>-3.4999981938243246E-2</v>
      </c>
      <c r="G118" s="2"/>
      <c r="H118" s="14">
        <f t="shared" si="24"/>
        <v>-2458.1400000000003</v>
      </c>
      <c r="I118" s="15">
        <f>IFERROR(H118/H444, "NA")</f>
        <v>-0.12390405593813419</v>
      </c>
      <c r="J118" s="2"/>
      <c r="K118" s="14">
        <f>IFERROR(K94+K95+K96+K97+K98+K99+K100+K101+K102+K103+K104+K105+K106+K107+K108+K109+K110+K111+K112+K113+K114+K115+K116+K117, "NA")</f>
        <v>-3361.63</v>
      </c>
      <c r="L118" s="15">
        <f>IFERROR(K118/K444, "NA")</f>
        <v>-3.5215831226995099E-2</v>
      </c>
      <c r="M118" s="2"/>
      <c r="N118" s="14">
        <f t="shared" si="25"/>
        <v>-2972.1000000000004</v>
      </c>
      <c r="O118" s="15">
        <f>IFERROR(N118/N444, "NA")</f>
        <v>-8.4645455130589436E-2</v>
      </c>
      <c r="P118" s="2"/>
      <c r="Q118" s="14">
        <f>IFERROR(Q94+Q95+Q96+Q97+Q98+Q99+Q100+Q101+Q102+Q103+Q104+Q105+Q106+Q107+Q108+Q109+Q110+Q111+Q112+Q113+Q114+Q115+Q116+Q117, "NA")</f>
        <v>-32613.790000000005</v>
      </c>
      <c r="R118" s="15">
        <f>IFERROR(Q118/Q444, "NA")</f>
        <v>-5.9134261511867951E-2</v>
      </c>
      <c r="S118" s="2"/>
      <c r="T118" s="14">
        <f>IFERROR(T94+T95+T96+T97+T98+T99+T100+T101+T102+T103+T104+T105+T106+T107+T108+T109+T110+T111+T112+T113+T114+T115+T116+T117, "NA")</f>
        <v>-18742.11</v>
      </c>
      <c r="U118" s="15">
        <f>IFERROR(T118/T444, "NA")</f>
        <v>-3.499999458438862E-2</v>
      </c>
      <c r="V118" s="2"/>
      <c r="W118" s="14">
        <f t="shared" si="26"/>
        <v>-13871.680000000004</v>
      </c>
      <c r="X118" s="15">
        <f>IFERROR(W118/W444, "NA")</f>
        <v>-0.86524356432184635</v>
      </c>
      <c r="Y118" s="2"/>
      <c r="Z118" s="14">
        <f>IFERROR(Z94+Z95+Z96+Z97+Z98+Z99+Z100+Z101+Z102+Z103+Z104+Z105+Z106+Z107+Z108+Z109+Z110+Z111+Z112+Z113+Z114+Z115+Z116+Z117, "NA")</f>
        <v>-18009.710000000003</v>
      </c>
      <c r="AA118" s="15">
        <f>IFERROR(Z118/Z444, "NA")</f>
        <v>-3.8025372474127662E-2</v>
      </c>
      <c r="AB118" s="2"/>
      <c r="AC118" s="14">
        <f t="shared" si="27"/>
        <v>-14604.080000000002</v>
      </c>
      <c r="AD118" s="15">
        <f>IFERROR(AC118/AC444, "NA")</f>
        <v>-0.18747804006672858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130570.26000000005</v>
      </c>
      <c r="C122" s="15">
        <f>IFERROR(B122/B444, "NA")</f>
        <v>1.0000000000000004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110731.2</v>
      </c>
      <c r="F122" s="15">
        <f>IFERROR(E122/E444, "NA")</f>
        <v>1</v>
      </c>
      <c r="G122" s="2"/>
      <c r="H122" s="14">
        <f t="shared" si="24"/>
        <v>19839.060000000056</v>
      </c>
      <c r="I122" s="15">
        <f>IFERROR(H122/H444, "NA")</f>
        <v>1.0000000000000029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95457.920000000013</v>
      </c>
      <c r="L122" s="15">
        <f>IFERROR(K122/K444, "NA")</f>
        <v>1.0000000000000002</v>
      </c>
      <c r="M122" s="2"/>
      <c r="N122" s="14">
        <f t="shared" si="25"/>
        <v>35112.34000000004</v>
      </c>
      <c r="O122" s="15">
        <f>IFERROR(N122/N444, "NA")</f>
        <v>1.0000000000000013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551521.05000000005</v>
      </c>
      <c r="R122" s="15">
        <f>IFERROR(Q122/Q444, "NA")</f>
        <v>1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535488.93999999994</v>
      </c>
      <c r="U122" s="15">
        <f>IFERROR(T122/T444, "NA")</f>
        <v>1</v>
      </c>
      <c r="V122" s="2"/>
      <c r="W122" s="14">
        <f t="shared" si="26"/>
        <v>16032.110000000102</v>
      </c>
      <c r="X122" s="15">
        <f>IFERROR(W122/W444, "NA")</f>
        <v>1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473623.5</v>
      </c>
      <c r="AA122" s="15">
        <f>IFERROR(Z122/Z444, "NA")</f>
        <v>1</v>
      </c>
      <c r="AB122" s="2"/>
      <c r="AC122" s="14">
        <f t="shared" si="27"/>
        <v>77897.550000000047</v>
      </c>
      <c r="AD122" s="15">
        <f>IFERROR(AC122/AC444, "NA")</f>
        <v>1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130570.26000000005</v>
      </c>
      <c r="C124" s="15">
        <f>IFERROR(B124/B444, "NA")</f>
        <v>1.0000000000000004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110731.2</v>
      </c>
      <c r="F124" s="15">
        <f>IFERROR(E124/E444, "NA")</f>
        <v>1</v>
      </c>
      <c r="G124" s="2"/>
      <c r="H124" s="14">
        <f t="shared" si="24"/>
        <v>19839.060000000056</v>
      </c>
      <c r="I124" s="15">
        <f>IFERROR(H124/H444, "NA")</f>
        <v>1.0000000000000029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95457.920000000013</v>
      </c>
      <c r="L124" s="15">
        <f>IFERROR(K124/K444, "NA")</f>
        <v>1.0000000000000002</v>
      </c>
      <c r="M124" s="2"/>
      <c r="N124" s="14">
        <f t="shared" si="25"/>
        <v>35112.34000000004</v>
      </c>
      <c r="O124" s="15">
        <f>IFERROR(N124/N444, "NA")</f>
        <v>1.0000000000000013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551521.05000000005</v>
      </c>
      <c r="R124" s="15">
        <f>IFERROR(Q124/Q444, "NA")</f>
        <v>1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535488.93999999994</v>
      </c>
      <c r="U124" s="15">
        <f>IFERROR(T124/T444, "NA")</f>
        <v>1</v>
      </c>
      <c r="V124" s="2"/>
      <c r="W124" s="14">
        <f t="shared" si="26"/>
        <v>16032.110000000102</v>
      </c>
      <c r="X124" s="15">
        <f>IFERROR(W124/W444, "NA")</f>
        <v>1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473623.5</v>
      </c>
      <c r="AA124" s="15">
        <f>IFERROR(Z124/Z444, "NA")</f>
        <v>1</v>
      </c>
      <c r="AB124" s="2"/>
      <c r="AC124" s="14">
        <f t="shared" si="27"/>
        <v>77897.550000000047</v>
      </c>
      <c r="AD124" s="15">
        <f>IFERROR(AC124/AC444, "NA")</f>
        <v>1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25468.17</v>
      </c>
      <c r="F129" s="8">
        <f>IFERROR(E129/E444, "NA")</f>
        <v>0.22999994581472971</v>
      </c>
      <c r="G129" s="9"/>
      <c r="H129" s="10">
        <f t="shared" ref="H129:H141" si="28">IFERROR(-(B129-E129), "NA")</f>
        <v>25468.17</v>
      </c>
      <c r="I129" s="8">
        <f>IFERROR(H129/H444, "NA")</f>
        <v>1.2837387456865397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128215.27</v>
      </c>
      <c r="U129" s="8">
        <f>IFERROR(T129/T444, "NA")</f>
        <v>0.23943588825569398</v>
      </c>
      <c r="V129" s="9"/>
      <c r="W129" s="10">
        <f t="shared" ref="W129:W141" si="30">IFERROR(-(Q129-T129), "NA")</f>
        <v>128215.27</v>
      </c>
      <c r="X129" s="8">
        <f>IFERROR(W129/W444, "NA")</f>
        <v>7.9974045836760839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6689.72</v>
      </c>
      <c r="C130" s="8">
        <f>IFERROR(B130/B444, "NA")</f>
        <v>5.1234637964265375E-2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-6689.72</v>
      </c>
      <c r="I130" s="8">
        <f>IFERROR(H130/H444, "NA")</f>
        <v>-0.33719944392526668</v>
      </c>
      <c r="J130" s="9"/>
      <c r="K130" s="7">
        <v>6603.38</v>
      </c>
      <c r="L130" s="8">
        <f>IFERROR(K130/K444, "NA")</f>
        <v>6.9175821136685148E-2</v>
      </c>
      <c r="M130" s="9"/>
      <c r="N130" s="10">
        <f t="shared" si="29"/>
        <v>-86.340000000000146</v>
      </c>
      <c r="O130" s="8">
        <f>IFERROR(N130/N444, "NA")</f>
        <v>-2.4589645691514765E-3</v>
      </c>
      <c r="P130" s="9"/>
      <c r="Q130" s="7">
        <v>31637.9</v>
      </c>
      <c r="R130" s="8">
        <f>IFERROR(Q130/Q444, "NA")</f>
        <v>5.7364809557132947E-2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-31637.9</v>
      </c>
      <c r="X130" s="8">
        <f>IFERROR(W130/W444, "NA")</f>
        <v>-1.9734083660853001</v>
      </c>
      <c r="Y130" s="9"/>
      <c r="Z130" s="7">
        <v>30130.01</v>
      </c>
      <c r="AA130" s="8">
        <f>IFERROR(Z130/Z444, "NA")</f>
        <v>6.3615952333446288E-2</v>
      </c>
      <c r="AB130" s="9"/>
      <c r="AC130" s="10">
        <f t="shared" si="31"/>
        <v>-1507.8900000000031</v>
      </c>
      <c r="AD130" s="8">
        <f>IFERROR(AC130/AC444, "NA")</f>
        <v>-1.9357348209282605E-2</v>
      </c>
    </row>
    <row r="131" spans="1:30" ht="16.5" customHeight="1" x14ac:dyDescent="0.45">
      <c r="A131" s="12" t="s">
        <v>123</v>
      </c>
      <c r="B131" s="7">
        <v>4413.76</v>
      </c>
      <c r="C131" s="8">
        <f>IFERROR(B131/B444, "NA")</f>
        <v>3.3803716098903383E-2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-4413.76</v>
      </c>
      <c r="I131" s="8">
        <f>IFERROR(H131/H444, "NA")</f>
        <v>-0.22247828274121861</v>
      </c>
      <c r="J131" s="9"/>
      <c r="K131" s="7">
        <v>3251.9</v>
      </c>
      <c r="L131" s="8">
        <f>IFERROR(K131/K444, "NA")</f>
        <v>3.4066319484019766E-2</v>
      </c>
      <c r="M131" s="9"/>
      <c r="N131" s="10">
        <f t="shared" si="29"/>
        <v>-1161.8600000000001</v>
      </c>
      <c r="O131" s="8">
        <f>IFERROR(N131/N444, "NA")</f>
        <v>-3.3089791224395759E-2</v>
      </c>
      <c r="P131" s="9"/>
      <c r="Q131" s="7">
        <v>19138.990000000002</v>
      </c>
      <c r="R131" s="8">
        <f>IFERROR(Q131/Q444, "NA")</f>
        <v>3.4702193143851895E-2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-19138.990000000002</v>
      </c>
      <c r="X131" s="8">
        <f>IFERROR(W131/W444, "NA")</f>
        <v>-1.1937910855152492</v>
      </c>
      <c r="Y131" s="9"/>
      <c r="Z131" s="7">
        <v>16231.97</v>
      </c>
      <c r="AA131" s="8">
        <f>IFERROR(Z131/Z444, "NA")</f>
        <v>3.4271884735449148E-2</v>
      </c>
      <c r="AB131" s="9"/>
      <c r="AC131" s="10">
        <f t="shared" si="31"/>
        <v>-2907.0200000000023</v>
      </c>
      <c r="AD131" s="8">
        <f>IFERROR(AC131/AC444, "NA")</f>
        <v>-3.7318503598636935E-2</v>
      </c>
    </row>
    <row r="132" spans="1:30" ht="16.5" customHeight="1" x14ac:dyDescent="0.45">
      <c r="A132" s="12" t="s">
        <v>124</v>
      </c>
      <c r="B132" s="7">
        <v>6540.15</v>
      </c>
      <c r="C132" s="8">
        <f>IFERROR(B132/B444, "NA")</f>
        <v>5.0089124430019512E-2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-6540.15</v>
      </c>
      <c r="I132" s="8">
        <f>IFERROR(H132/H444, "NA")</f>
        <v>-0.32966027624292688</v>
      </c>
      <c r="J132" s="9"/>
      <c r="K132" s="7">
        <v>3282.68</v>
      </c>
      <c r="L132" s="8">
        <f>IFERROR(K132/K444, "NA")</f>
        <v>3.4388765227652142E-2</v>
      </c>
      <c r="M132" s="9"/>
      <c r="N132" s="10">
        <f t="shared" si="29"/>
        <v>-3257.47</v>
      </c>
      <c r="O132" s="8">
        <f>IFERROR(N132/N444, "NA")</f>
        <v>-9.2772797255893519E-2</v>
      </c>
      <c r="P132" s="9"/>
      <c r="Q132" s="7">
        <v>23466.67</v>
      </c>
      <c r="R132" s="8">
        <f>IFERROR(Q132/Q444, "NA")</f>
        <v>4.2549001529497373E-2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-23466.67</v>
      </c>
      <c r="X132" s="8">
        <f>IFERROR(W132/W444, "NA")</f>
        <v>-1.4637293531543789</v>
      </c>
      <c r="Y132" s="9"/>
      <c r="Z132" s="7">
        <v>16213.98</v>
      </c>
      <c r="AA132" s="8">
        <f>IFERROR(Z132/Z444, "NA")</f>
        <v>3.4233900978308716E-2</v>
      </c>
      <c r="AB132" s="9"/>
      <c r="AC132" s="10">
        <f t="shared" si="31"/>
        <v>-7252.6899999999987</v>
      </c>
      <c r="AD132" s="8">
        <f>IFERROR(AC132/AC444, "NA")</f>
        <v>-9.3105495615715697E-2</v>
      </c>
    </row>
    <row r="133" spans="1:30" ht="16.5" customHeight="1" x14ac:dyDescent="0.45">
      <c r="A133" s="12" t="s">
        <v>125</v>
      </c>
      <c r="B133" s="7">
        <v>3009.75</v>
      </c>
      <c r="C133" s="8">
        <f>IFERROR(B133/B444, "NA")</f>
        <v>2.3050808047713162E-2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-3009.75</v>
      </c>
      <c r="I133" s="8">
        <f>IFERROR(H133/H444, "NA")</f>
        <v>-0.15170829666324917</v>
      </c>
      <c r="J133" s="9"/>
      <c r="K133" s="7">
        <v>2134.81</v>
      </c>
      <c r="L133" s="8">
        <f>IFERROR(K133/K444, "NA")</f>
        <v>2.2363885573873806E-2</v>
      </c>
      <c r="M133" s="9"/>
      <c r="N133" s="10">
        <f t="shared" si="29"/>
        <v>-874.94</v>
      </c>
      <c r="O133" s="8">
        <f>IFERROR(N133/N444, "NA")</f>
        <v>-2.491830507451227E-2</v>
      </c>
      <c r="P133" s="9"/>
      <c r="Q133" s="7">
        <v>13862.22</v>
      </c>
      <c r="R133" s="8">
        <f>IFERROR(Q133/Q444, "NA")</f>
        <v>2.5134525690361224E-2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-13862.22</v>
      </c>
      <c r="X133" s="8">
        <f>IFERROR(W133/W444, "NA")</f>
        <v>-0.86465349851017181</v>
      </c>
      <c r="Y133" s="9"/>
      <c r="Z133" s="7">
        <v>10978.43</v>
      </c>
      <c r="AA133" s="8">
        <f>IFERROR(Z133/Z444, "NA")</f>
        <v>2.3179656414852725E-2</v>
      </c>
      <c r="AB133" s="9"/>
      <c r="AC133" s="10">
        <f t="shared" si="31"/>
        <v>-2883.7899999999991</v>
      </c>
      <c r="AD133" s="8">
        <f>IFERROR(AC133/AC444, "NA")</f>
        <v>-3.7020291395557334E-2</v>
      </c>
    </row>
    <row r="134" spans="1:30" ht="16.5" customHeight="1" x14ac:dyDescent="0.45">
      <c r="A134" s="12" t="s">
        <v>126</v>
      </c>
      <c r="B134" s="7">
        <v>974.02</v>
      </c>
      <c r="C134" s="8">
        <f>IFERROR(B134/B444, "NA")</f>
        <v>7.459738534640277E-3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-974.02</v>
      </c>
      <c r="I134" s="8">
        <f>IFERROR(H134/H444, "NA")</f>
        <v>-4.9096076124574457E-2</v>
      </c>
      <c r="J134" s="9"/>
      <c r="K134" s="7">
        <v>986.81</v>
      </c>
      <c r="L134" s="8">
        <f>IFERROR(K134/K444, "NA")</f>
        <v>1.0337644063478441E-2</v>
      </c>
      <c r="M134" s="9"/>
      <c r="N134" s="10">
        <f t="shared" si="29"/>
        <v>12.789999999999964</v>
      </c>
      <c r="O134" s="8">
        <f>IFERROR(N134/N444, "NA")</f>
        <v>3.642594028196345E-4</v>
      </c>
      <c r="P134" s="9"/>
      <c r="Q134" s="7">
        <v>4351.29</v>
      </c>
      <c r="R134" s="8">
        <f>IFERROR(Q134/Q444, "NA")</f>
        <v>7.8896172684614664E-3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-4351.29</v>
      </c>
      <c r="X134" s="8">
        <f>IFERROR(W134/W444, "NA")</f>
        <v>-0.27141093717545428</v>
      </c>
      <c r="Y134" s="9"/>
      <c r="Z134" s="7">
        <v>5866.24</v>
      </c>
      <c r="AA134" s="8">
        <f>IFERROR(Z134/Z444, "NA")</f>
        <v>1.2385871900359674E-2</v>
      </c>
      <c r="AB134" s="9"/>
      <c r="AC134" s="10">
        <f t="shared" si="31"/>
        <v>1514.9499999999998</v>
      </c>
      <c r="AD134" s="8">
        <f>IFERROR(AC134/AC444, "NA")</f>
        <v>1.9447980071260251E-2</v>
      </c>
    </row>
    <row r="135" spans="1:30" ht="16.5" customHeight="1" x14ac:dyDescent="0.45">
      <c r="A135" s="12" t="s">
        <v>127</v>
      </c>
      <c r="B135" s="7">
        <v>826.95</v>
      </c>
      <c r="C135" s="8">
        <f>IFERROR(B135/B444, "NA")</f>
        <v>6.3333717800669164E-3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-826.95</v>
      </c>
      <c r="I135" s="8">
        <f>IFERROR(H135/H444, "NA")</f>
        <v>-4.1682922477173825E-2</v>
      </c>
      <c r="J135" s="9"/>
      <c r="K135" s="7">
        <v>520.63</v>
      </c>
      <c r="L135" s="8">
        <f>IFERROR(K135/K444, "NA")</f>
        <v>5.4540262348058708E-3</v>
      </c>
      <c r="M135" s="9"/>
      <c r="N135" s="10">
        <f t="shared" si="29"/>
        <v>-306.32000000000005</v>
      </c>
      <c r="O135" s="8">
        <f>IFERROR(N135/N444, "NA")</f>
        <v>-8.7239984575223431E-3</v>
      </c>
      <c r="P135" s="9"/>
      <c r="Q135" s="7">
        <v>3890.45</v>
      </c>
      <c r="R135" s="8">
        <f>IFERROR(Q135/Q444, "NA")</f>
        <v>7.0540371940472617E-3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-3890.45</v>
      </c>
      <c r="X135" s="8">
        <f>IFERROR(W135/W444, "NA")</f>
        <v>-0.24266612442154994</v>
      </c>
      <c r="Y135" s="9"/>
      <c r="Z135" s="7">
        <v>3027.52</v>
      </c>
      <c r="AA135" s="8">
        <f>IFERROR(Z135/Z444, "NA")</f>
        <v>6.3922503845353961E-3</v>
      </c>
      <c r="AB135" s="9"/>
      <c r="AC135" s="10">
        <f t="shared" si="31"/>
        <v>-862.92999999999984</v>
      </c>
      <c r="AD135" s="8">
        <f>IFERROR(AC135/AC444, "NA")</f>
        <v>-1.1077755333768511E-2</v>
      </c>
    </row>
    <row r="136" spans="1:30" ht="16.5" customHeight="1" x14ac:dyDescent="0.45">
      <c r="A136" s="12" t="s">
        <v>128</v>
      </c>
      <c r="B136" s="7">
        <v>919.07</v>
      </c>
      <c r="C136" s="8">
        <f>IFERROR(B136/B444, "NA")</f>
        <v>7.038892317438903E-3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-919.07</v>
      </c>
      <c r="I136" s="8">
        <f>IFERROR(H136/H444, "NA")</f>
        <v>-4.6326287636611826E-2</v>
      </c>
      <c r="J136" s="9"/>
      <c r="K136" s="7">
        <v>1020.41</v>
      </c>
      <c r="L136" s="8">
        <f>IFERROR(K136/K444, "NA")</f>
        <v>1.0689631619880256E-2</v>
      </c>
      <c r="M136" s="9"/>
      <c r="N136" s="10">
        <f t="shared" si="29"/>
        <v>101.33999999999992</v>
      </c>
      <c r="O136" s="8">
        <f>IFERROR(N136/N444, "NA")</f>
        <v>2.8861648070165626E-3</v>
      </c>
      <c r="P136" s="9"/>
      <c r="Q136" s="7">
        <v>4617.18</v>
      </c>
      <c r="R136" s="8">
        <f>IFERROR(Q136/Q444, "NA")</f>
        <v>8.3717203541007184E-3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-4617.18</v>
      </c>
      <c r="X136" s="8">
        <f>IFERROR(W136/W444, "NA")</f>
        <v>-0.28799577847207702</v>
      </c>
      <c r="Y136" s="9"/>
      <c r="Z136" s="7">
        <v>4929.09</v>
      </c>
      <c r="AA136" s="8">
        <f>IFERROR(Z136/Z444, "NA")</f>
        <v>1.0407190521585183E-2</v>
      </c>
      <c r="AB136" s="9"/>
      <c r="AC136" s="10">
        <f t="shared" si="31"/>
        <v>311.90999999999985</v>
      </c>
      <c r="AD136" s="8">
        <f>IFERROR(AC136/AC444, "NA")</f>
        <v>4.0041053922748489E-3</v>
      </c>
    </row>
    <row r="137" spans="1:30" ht="16.5" customHeight="1" x14ac:dyDescent="0.45">
      <c r="A137" s="12" t="s">
        <v>129</v>
      </c>
      <c r="B137" s="7">
        <v>650.19000000000005</v>
      </c>
      <c r="C137" s="8">
        <f>IFERROR(B137/B444, "NA")</f>
        <v>4.9796178701030395E-3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-650.19000000000005</v>
      </c>
      <c r="I137" s="8">
        <f>IFERROR(H137/H444, "NA")</f>
        <v>-3.2773226150835784E-2</v>
      </c>
      <c r="J137" s="9"/>
      <c r="K137" s="7">
        <v>426.9</v>
      </c>
      <c r="L137" s="8">
        <f>IFERROR(K137/K444, "NA")</f>
        <v>4.4721276139266389E-3</v>
      </c>
      <c r="M137" s="9"/>
      <c r="N137" s="10">
        <f t="shared" si="29"/>
        <v>-223.29000000000008</v>
      </c>
      <c r="O137" s="8">
        <f>IFERROR(N137/N444, "NA")</f>
        <v>-6.3593027408597692E-3</v>
      </c>
      <c r="P137" s="9"/>
      <c r="Q137" s="7">
        <v>3362.1</v>
      </c>
      <c r="R137" s="8">
        <f>IFERROR(Q137/Q444, "NA")</f>
        <v>6.096050187023686E-3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-3362.1</v>
      </c>
      <c r="X137" s="8">
        <f>IFERROR(W137/W444, "NA")</f>
        <v>-0.2097103874661525</v>
      </c>
      <c r="Y137" s="9"/>
      <c r="Z137" s="7">
        <v>2833.33</v>
      </c>
      <c r="AA137" s="8">
        <f>IFERROR(Z137/Z444, "NA")</f>
        <v>5.9822411683541884E-3</v>
      </c>
      <c r="AB137" s="9"/>
      <c r="AC137" s="10">
        <f t="shared" si="31"/>
        <v>-528.77</v>
      </c>
      <c r="AD137" s="8">
        <f>IFERROR(AC137/AC444, "NA")</f>
        <v>-6.7880183651475518E-3</v>
      </c>
    </row>
    <row r="138" spans="1:30" ht="16.5" customHeight="1" x14ac:dyDescent="0.45">
      <c r="A138" s="12" t="s">
        <v>130</v>
      </c>
      <c r="B138" s="7">
        <v>8260.98</v>
      </c>
      <c r="C138" s="8">
        <f>IFERROR(B138/B444, "NA")</f>
        <v>6.3268465575545302E-2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-8260.98</v>
      </c>
      <c r="I138" s="8">
        <f>IFERROR(H138/H444, "NA")</f>
        <v>-0.41639976894066555</v>
      </c>
      <c r="J138" s="9"/>
      <c r="K138" s="7">
        <v>5079.59</v>
      </c>
      <c r="L138" s="8">
        <f>IFERROR(K138/K444, "NA")</f>
        <v>5.3212871179258887E-2</v>
      </c>
      <c r="M138" s="9"/>
      <c r="N138" s="10">
        <f t="shared" si="29"/>
        <v>-3181.3899999999994</v>
      </c>
      <c r="O138" s="8">
        <f>IFERROR(N138/N444, "NA")</f>
        <v>-9.0606037649441751E-2</v>
      </c>
      <c r="P138" s="9"/>
      <c r="Q138" s="7">
        <v>33527.230000000003</v>
      </c>
      <c r="R138" s="8">
        <f>IFERROR(Q138/Q444, "NA")</f>
        <v>6.0790481161145167E-2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-33527.230000000003</v>
      </c>
      <c r="X138" s="8">
        <f>IFERROR(W138/W444, "NA")</f>
        <v>-2.0912549876466535</v>
      </c>
      <c r="Y138" s="9"/>
      <c r="Z138" s="7">
        <v>24595.77</v>
      </c>
      <c r="AA138" s="8">
        <f>IFERROR(Z138/Z444, "NA")</f>
        <v>5.1931059164082867E-2</v>
      </c>
      <c r="AB138" s="9"/>
      <c r="AC138" s="10">
        <f t="shared" si="31"/>
        <v>-8931.4600000000028</v>
      </c>
      <c r="AD138" s="8">
        <f>IFERROR(AC138/AC444, "NA")</f>
        <v>-0.11465649433133644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hidden="1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0</v>
      </c>
      <c r="L140" s="8">
        <f>IFERROR(K140/K444, "NA")</f>
        <v>0</v>
      </c>
      <c r="M140" s="9"/>
      <c r="N140" s="10">
        <f t="shared" si="29"/>
        <v>0</v>
      </c>
      <c r="O140" s="8">
        <f>IFERROR(N140/N444, "NA")</f>
        <v>0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0</v>
      </c>
      <c r="AA140" s="8">
        <f>IFERROR(Z140/Z444, "NA")</f>
        <v>0</v>
      </c>
      <c r="AB140" s="9"/>
      <c r="AC140" s="10">
        <f t="shared" si="31"/>
        <v>0</v>
      </c>
      <c r="AD140" s="8">
        <f>IFERROR(AC140/AC444, "NA")</f>
        <v>0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32284.589999999997</v>
      </c>
      <c r="C141" s="15">
        <f>IFERROR(B141/B444, "NA")</f>
        <v>0.24725837261869585</v>
      </c>
      <c r="D141" s="2"/>
      <c r="E141" s="14">
        <f>IFERROR(E129+E130+E131+E132+E133+E134+E135+E136+E137+E138+E139+E140, "NA")</f>
        <v>25468.17</v>
      </c>
      <c r="F141" s="15">
        <f>IFERROR(E141/E444, "NA")</f>
        <v>0.22999994581472971</v>
      </c>
      <c r="G141" s="2"/>
      <c r="H141" s="14">
        <f t="shared" si="28"/>
        <v>-6816.4199999999983</v>
      </c>
      <c r="I141" s="15">
        <f>IFERROR(H141/H444, "NA")</f>
        <v>-0.34358583521598296</v>
      </c>
      <c r="J141" s="2"/>
      <c r="K141" s="14">
        <f>IFERROR(K129+K130+K131+K132+K133+K134+K135+K136+K137+K138+K139+K140, "NA")</f>
        <v>23307.11</v>
      </c>
      <c r="L141" s="15">
        <f>IFERROR(K141/K444, "NA")</f>
        <v>0.24416109213358098</v>
      </c>
      <c r="M141" s="2"/>
      <c r="N141" s="14">
        <f t="shared" si="29"/>
        <v>-8977.4799999999959</v>
      </c>
      <c r="O141" s="15">
        <f>IFERROR(N141/N444, "NA")</f>
        <v>-0.25567877276194056</v>
      </c>
      <c r="P141" s="2"/>
      <c r="Q141" s="14">
        <f>IFERROR(Q129+Q130+Q131+Q132+Q133+Q134+Q135+Q136+Q137+Q138+Q139+Q140, "NA")</f>
        <v>137854.03</v>
      </c>
      <c r="R141" s="15">
        <f>IFERROR(Q141/Q444, "NA")</f>
        <v>0.24995243608562173</v>
      </c>
      <c r="S141" s="2"/>
      <c r="T141" s="14">
        <f>IFERROR(T129+T130+T131+T132+T133+T134+T135+T136+T137+T138+T139+T140, "NA")</f>
        <v>128215.27</v>
      </c>
      <c r="U141" s="15">
        <f>IFERROR(T141/T444, "NA")</f>
        <v>0.23943588825569398</v>
      </c>
      <c r="V141" s="2"/>
      <c r="W141" s="14">
        <f t="shared" si="30"/>
        <v>-9638.7599999999948</v>
      </c>
      <c r="X141" s="15">
        <f>IFERROR(W141/W444, "NA")</f>
        <v>-0.60121593477090252</v>
      </c>
      <c r="Y141" s="2"/>
      <c r="Z141" s="14">
        <f>IFERROR(Z129+Z130+Z131+Z132+Z133+Z134+Z135+Z136+Z137+Z138+Z139+Z140, "NA")</f>
        <v>114806.34</v>
      </c>
      <c r="AA141" s="15">
        <f>IFERROR(Z141/Z444, "NA")</f>
        <v>0.24240000760097419</v>
      </c>
      <c r="AB141" s="2"/>
      <c r="AC141" s="14">
        <f t="shared" si="31"/>
        <v>-23047.690000000002</v>
      </c>
      <c r="AD141" s="15">
        <f>IFERROR(AC141/AC444, "NA")</f>
        <v>-0.29587182138590995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1815.8</v>
      </c>
      <c r="C144" s="8">
        <f>IFERROR(B144/B444, "NA")</f>
        <v>1.3906689011724416E-2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-1815.8</v>
      </c>
      <c r="I144" s="8">
        <f>IFERROR(H144/H444, "NA")</f>
        <v>-9.1526513857007344E-2</v>
      </c>
      <c r="J144" s="9"/>
      <c r="K144" s="7">
        <v>833.79</v>
      </c>
      <c r="L144" s="8">
        <f>IFERROR(K144/K444, "NA")</f>
        <v>8.7346340670318399E-3</v>
      </c>
      <c r="M144" s="9"/>
      <c r="N144" s="10">
        <f t="shared" si="33"/>
        <v>-982.01</v>
      </c>
      <c r="O144" s="8">
        <f>IFERROR(N144/N444, "NA")</f>
        <v>-2.7967660372393299E-2</v>
      </c>
      <c r="P144" s="9"/>
      <c r="Q144" s="7">
        <v>7279.32</v>
      </c>
      <c r="R144" s="8">
        <f>IFERROR(Q144/Q444, "NA")</f>
        <v>1.3198625872938121E-2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-7279.32</v>
      </c>
      <c r="X144" s="8">
        <f>IFERROR(W144/W444, "NA")</f>
        <v>-0.45404628586006168</v>
      </c>
      <c r="Y144" s="9"/>
      <c r="Z144" s="7">
        <v>3988.24</v>
      </c>
      <c r="AA144" s="8">
        <f>IFERROR(Z144/Z444, "NA")</f>
        <v>8.4206970304471791E-3</v>
      </c>
      <c r="AB144" s="9"/>
      <c r="AC144" s="10">
        <f t="shared" si="35"/>
        <v>-3291.08</v>
      </c>
      <c r="AD144" s="8">
        <f>IFERROR(AC144/AC444, "NA")</f>
        <v>-4.2248825540726224E-2</v>
      </c>
    </row>
    <row r="145" spans="1:30" ht="16.5" customHeight="1" x14ac:dyDescent="0.45">
      <c r="A145" s="12" t="s">
        <v>136</v>
      </c>
      <c r="B145" s="7">
        <v>64.459999999999994</v>
      </c>
      <c r="C145" s="8">
        <f>IFERROR(B145/B444, "NA")</f>
        <v>4.9368056707553467E-4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-64.459999999999994</v>
      </c>
      <c r="I145" s="8">
        <f>IFERROR(H145/H444, "NA")</f>
        <v>-3.2491458768711826E-3</v>
      </c>
      <c r="J145" s="9"/>
      <c r="K145" s="7">
        <v>70.64</v>
      </c>
      <c r="L145" s="8">
        <f>IFERROR(K145/K444, "NA")</f>
        <v>7.4001193405429328E-4</v>
      </c>
      <c r="M145" s="9"/>
      <c r="N145" s="10">
        <f t="shared" si="33"/>
        <v>6.1800000000000068</v>
      </c>
      <c r="O145" s="8">
        <f>IFERROR(N145/N444, "NA")</f>
        <v>1.7600649800041831E-4</v>
      </c>
      <c r="P145" s="9"/>
      <c r="Q145" s="7">
        <v>391.73</v>
      </c>
      <c r="R145" s="8">
        <f>IFERROR(Q145/Q444, "NA")</f>
        <v>7.1027207393081369E-4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-391.73</v>
      </c>
      <c r="X145" s="8">
        <f>IFERROR(W145/W444, "NA")</f>
        <v>-2.4434088837963157E-2</v>
      </c>
      <c r="Y145" s="9"/>
      <c r="Z145" s="7">
        <v>304.67</v>
      </c>
      <c r="AA145" s="8">
        <f>IFERROR(Z145/Z444, "NA")</f>
        <v>6.4327466859224688E-4</v>
      </c>
      <c r="AB145" s="9"/>
      <c r="AC145" s="10">
        <f t="shared" si="35"/>
        <v>-87.06</v>
      </c>
      <c r="AD145" s="8">
        <f>IFERROR(AC145/AC444, "NA")</f>
        <v>-1.1176217994019061E-3</v>
      </c>
    </row>
    <row r="146" spans="1:30" ht="16.5" customHeight="1" x14ac:dyDescent="0.45">
      <c r="A146" s="12" t="s">
        <v>137</v>
      </c>
      <c r="B146" s="7">
        <v>194.81</v>
      </c>
      <c r="C146" s="8">
        <f>IFERROR(B146/B444, "NA")</f>
        <v>1.4919936591992694E-3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-194.81</v>
      </c>
      <c r="I146" s="8">
        <f>IFERROR(H146/H444, "NA")</f>
        <v>-9.8195176585987448E-3</v>
      </c>
      <c r="J146" s="9"/>
      <c r="K146" s="7">
        <v>407.08</v>
      </c>
      <c r="L146" s="8">
        <f>IFERROR(K146/K444, "NA")</f>
        <v>4.2644968589300915E-3</v>
      </c>
      <c r="M146" s="9"/>
      <c r="N146" s="10">
        <f t="shared" si="33"/>
        <v>212.26999999999998</v>
      </c>
      <c r="O146" s="8">
        <f>IFERROR(N146/N444, "NA")</f>
        <v>6.0454529661082114E-3</v>
      </c>
      <c r="P146" s="9"/>
      <c r="Q146" s="7">
        <v>796.84</v>
      </c>
      <c r="R146" s="8">
        <f>IFERROR(Q146/Q444, "NA")</f>
        <v>1.4448043279581078E-3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-796.84</v>
      </c>
      <c r="X146" s="8">
        <f>IFERROR(W146/W444, "NA")</f>
        <v>-4.9702752787998267E-2</v>
      </c>
      <c r="Y146" s="9"/>
      <c r="Z146" s="7">
        <v>1796.88</v>
      </c>
      <c r="AA146" s="8">
        <f>IFERROR(Z146/Z444, "NA")</f>
        <v>3.7938995847967851E-3</v>
      </c>
      <c r="AB146" s="9"/>
      <c r="AC146" s="10">
        <f t="shared" si="35"/>
        <v>1000.0400000000001</v>
      </c>
      <c r="AD146" s="8">
        <f>IFERROR(AC146/AC444, "NA")</f>
        <v>1.2837887712771447E-2</v>
      </c>
    </row>
    <row r="147" spans="1:30" ht="16.5" customHeight="1" x14ac:dyDescent="0.45">
      <c r="A147" s="12" t="s">
        <v>138</v>
      </c>
      <c r="B147" s="7">
        <v>-146.66</v>
      </c>
      <c r="C147" s="8">
        <f>IFERROR(B147/B444, "NA")</f>
        <v>-1.1232266827070729E-3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146.66</v>
      </c>
      <c r="I147" s="8">
        <f>IFERROR(H147/H444, "NA")</f>
        <v>7.3924873456706125E-3</v>
      </c>
      <c r="J147" s="9"/>
      <c r="K147" s="7">
        <v>31.73</v>
      </c>
      <c r="L147" s="8">
        <f>IFERROR(K147/K444, "NA")</f>
        <v>3.3239777275683358E-4</v>
      </c>
      <c r="M147" s="9"/>
      <c r="N147" s="10">
        <f t="shared" si="33"/>
        <v>178.39</v>
      </c>
      <c r="O147" s="8">
        <f>IFERROR(N147/N444, "NA")</f>
        <v>5.080550028850256E-3</v>
      </c>
      <c r="P147" s="9"/>
      <c r="Q147" s="7">
        <v>105.49</v>
      </c>
      <c r="R147" s="8">
        <f>IFERROR(Q147/Q444, "NA")</f>
        <v>1.9127103126888808E-4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-105.49</v>
      </c>
      <c r="X147" s="8">
        <f>IFERROR(W147/W444, "NA")</f>
        <v>-6.5799199232040775E-3</v>
      </c>
      <c r="Y147" s="9"/>
      <c r="Z147" s="7">
        <v>85.3</v>
      </c>
      <c r="AA147" s="8">
        <f>IFERROR(Z147/Z444, "NA")</f>
        <v>1.801008607047581E-4</v>
      </c>
      <c r="AB147" s="9"/>
      <c r="AC147" s="10">
        <f t="shared" si="35"/>
        <v>-20.189999999999998</v>
      </c>
      <c r="AD147" s="8">
        <f>IFERROR(AC147/AC444, "NA")</f>
        <v>-2.591865854574372E-4</v>
      </c>
    </row>
    <row r="148" spans="1:30" ht="16.5" customHeight="1" x14ac:dyDescent="0.45">
      <c r="A148" s="13" t="s">
        <v>139</v>
      </c>
      <c r="B148" s="14">
        <f>IFERROR(B143+B144+B145+B146+B147, "NA")</f>
        <v>1928.41</v>
      </c>
      <c r="C148" s="15">
        <f>IFERROR(B148/B444, "NA")</f>
        <v>1.4769136555292148E-2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-1928.41</v>
      </c>
      <c r="I148" s="15">
        <f>IFERROR(H148/H444, "NA")</f>
        <v>-9.7202690046806664E-2</v>
      </c>
      <c r="J148" s="2"/>
      <c r="K148" s="14">
        <f>IFERROR(K143+K144+K145+K146+K147, "NA")</f>
        <v>1343.24</v>
      </c>
      <c r="L148" s="15">
        <f>IFERROR(K148/K444, "NA")</f>
        <v>1.4071540632773058E-2</v>
      </c>
      <c r="M148" s="2"/>
      <c r="N148" s="14">
        <f t="shared" si="33"/>
        <v>-585.17000000000007</v>
      </c>
      <c r="O148" s="15">
        <f>IFERROR(N148/N444, "NA")</f>
        <v>-1.6665650879434415E-2</v>
      </c>
      <c r="P148" s="2"/>
      <c r="Q148" s="14">
        <f>IFERROR(Q143+Q144+Q145+Q146+Q147, "NA")</f>
        <v>8573.3799999999992</v>
      </c>
      <c r="R148" s="15">
        <f>IFERROR(Q148/Q444, "NA")</f>
        <v>1.554497330609593E-2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-8573.3799999999992</v>
      </c>
      <c r="X148" s="15">
        <f>IFERROR(W148/W444, "NA")</f>
        <v>-0.53476304740922709</v>
      </c>
      <c r="Y148" s="2"/>
      <c r="Z148" s="14">
        <f>IFERROR(Z143+Z144+Z145+Z146+Z147, "NA")</f>
        <v>6175.09</v>
      </c>
      <c r="AA148" s="15">
        <f>IFERROR(Z148/Z444, "NA")</f>
        <v>1.303797214454097E-2</v>
      </c>
      <c r="AB148" s="2"/>
      <c r="AC148" s="14">
        <f t="shared" si="35"/>
        <v>-2398.2899999999991</v>
      </c>
      <c r="AD148" s="15">
        <f>IFERROR(AC148/AC444, "NA")</f>
        <v>-3.0787746212814108E-2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34212.999999999993</v>
      </c>
      <c r="C149" s="15">
        <f>IFERROR(B149/B444, "NA")</f>
        <v>0.26202750917398798</v>
      </c>
      <c r="D149" s="2"/>
      <c r="E149" s="14">
        <f>IFERROR(E127+E129+E130+E131+E132+E133+E134+E135+E136+E137+E138+E139+E140+E143+E144+E145+E146+E147, "NA")</f>
        <v>25468.17</v>
      </c>
      <c r="F149" s="15">
        <f>IFERROR(E149/E444, "NA")</f>
        <v>0.22999994581472971</v>
      </c>
      <c r="G149" s="2"/>
      <c r="H149" s="14">
        <f t="shared" si="32"/>
        <v>-8744.8299999999945</v>
      </c>
      <c r="I149" s="15">
        <f>IFERROR(H149/H444, "NA")</f>
        <v>-0.44078852526278944</v>
      </c>
      <c r="J149" s="2"/>
      <c r="K149" s="14">
        <f>IFERROR(K127+K129+K130+K131+K132+K133+K134+K135+K136+K137+K138+K139+K140+K143+K144+K145+K146+K147, "NA")</f>
        <v>24650.350000000002</v>
      </c>
      <c r="L149" s="15">
        <f>IFERROR(K149/K444, "NA")</f>
        <v>0.25823263276635405</v>
      </c>
      <c r="M149" s="2"/>
      <c r="N149" s="14">
        <f t="shared" si="33"/>
        <v>-9562.6499999999905</v>
      </c>
      <c r="O149" s="15">
        <f>IFERROR(N149/N444, "NA")</f>
        <v>-0.27234442364137484</v>
      </c>
      <c r="P149" s="2"/>
      <c r="Q149" s="14">
        <f>IFERROR(Q127+Q129+Q130+Q131+Q132+Q133+Q134+Q135+Q136+Q137+Q138+Q139+Q140+Q143+Q144+Q145+Q146+Q147, "NA")</f>
        <v>146427.41</v>
      </c>
      <c r="R149" s="15">
        <f>IFERROR(Q149/Q444, "NA")</f>
        <v>0.26549740939171768</v>
      </c>
      <c r="S149" s="2"/>
      <c r="T149" s="14">
        <f>IFERROR(T127+T129+T130+T131+T132+T133+T134+T135+T136+T137+T138+T139+T140+T143+T144+T145+T146+T147, "NA")</f>
        <v>128215.27</v>
      </c>
      <c r="U149" s="15">
        <f>IFERROR(T149/T444, "NA")</f>
        <v>0.23943588825569398</v>
      </c>
      <c r="V149" s="2"/>
      <c r="W149" s="14">
        <f t="shared" si="34"/>
        <v>-18212.14</v>
      </c>
      <c r="X149" s="15">
        <f>IFERROR(W149/W444, "NA")</f>
        <v>-1.13597898218013</v>
      </c>
      <c r="Y149" s="2"/>
      <c r="Z149" s="14">
        <f>IFERROR(Z127+Z129+Z130+Z131+Z132+Z133+Z134+Z135+Z136+Z137+Z138+Z139+Z140+Z143+Z144+Z145+Z146+Z147, "NA")</f>
        <v>120981.43000000001</v>
      </c>
      <c r="AA149" s="15">
        <f>IFERROR(Z149/Z444, "NA")</f>
        <v>0.25543797974551519</v>
      </c>
      <c r="AB149" s="2"/>
      <c r="AC149" s="14">
        <f t="shared" si="35"/>
        <v>-25445.979999999996</v>
      </c>
      <c r="AD149" s="15">
        <f>IFERROR(AC149/AC444, "NA")</f>
        <v>-0.326659567598724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1660.97</v>
      </c>
      <c r="F153" s="8">
        <f>IFERROR(E153/E444, "NA")</f>
        <v>1.500001806175676E-2</v>
      </c>
      <c r="G153" s="9"/>
      <c r="H153" s="10">
        <f t="shared" ref="H153:H158" si="36">IFERROR(-(B153-E153), "NA")</f>
        <v>1660.97</v>
      </c>
      <c r="I153" s="8">
        <f>IFERROR(H153/H444, "NA")</f>
        <v>8.3722212645155572E-2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9054.5</v>
      </c>
      <c r="U153" s="8">
        <f>IFERROR(T153/T444, "NA")</f>
        <v>1.6908845960478664E-2</v>
      </c>
      <c r="V153" s="9"/>
      <c r="W153" s="10">
        <f t="shared" ref="W153:W158" si="38">IFERROR(-(Q153-T153), "NA")</f>
        <v>9054.5</v>
      </c>
      <c r="X153" s="8">
        <f>IFERROR(W153/W444, "NA")</f>
        <v>0.56477282154376074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4216.0200000000004</v>
      </c>
      <c r="C154" s="8">
        <f>IFERROR(B154/B444, "NA")</f>
        <v>3.2289282413927957E-2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-4216.0200000000004</v>
      </c>
      <c r="I154" s="8">
        <f>IFERROR(H154/H444, "NA")</f>
        <v>-0.21251107663367119</v>
      </c>
      <c r="J154" s="9"/>
      <c r="K154" s="7">
        <v>3209.17</v>
      </c>
      <c r="L154" s="8">
        <f>IFERROR(K154/K444, "NA")</f>
        <v>3.3618687689821861E-2</v>
      </c>
      <c r="M154" s="9"/>
      <c r="N154" s="10">
        <f t="shared" si="37"/>
        <v>-1006.8500000000004</v>
      </c>
      <c r="O154" s="8">
        <f>IFERROR(N154/N444, "NA")</f>
        <v>-2.8675103966297903E-2</v>
      </c>
      <c r="P154" s="9"/>
      <c r="Q154" s="7">
        <v>18851.73</v>
      </c>
      <c r="R154" s="8">
        <f>IFERROR(Q154/Q444, "NA")</f>
        <v>3.4181342670420285E-2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-18851.73</v>
      </c>
      <c r="X154" s="8">
        <f>IFERROR(W154/W444, "NA")</f>
        <v>-1.1758732942825292</v>
      </c>
      <c r="Y154" s="9"/>
      <c r="Z154" s="7">
        <v>16077.58</v>
      </c>
      <c r="AA154" s="8">
        <f>IFERROR(Z154/Z444, "NA")</f>
        <v>3.3945908511718699E-2</v>
      </c>
      <c r="AB154" s="9"/>
      <c r="AC154" s="10">
        <f t="shared" si="39"/>
        <v>-2774.1499999999996</v>
      </c>
      <c r="AD154" s="8">
        <f>IFERROR(AC154/AC444, "NA")</f>
        <v>-3.5612801686317454E-2</v>
      </c>
    </row>
    <row r="155" spans="1:30" ht="16.5" customHeight="1" x14ac:dyDescent="0.45">
      <c r="A155" s="12" t="s">
        <v>144</v>
      </c>
      <c r="B155" s="7">
        <v>1046.67</v>
      </c>
      <c r="C155" s="8">
        <f>IFERROR(B155/B444, "NA")</f>
        <v>8.0161439519228963E-3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-1046.67</v>
      </c>
      <c r="I155" s="8">
        <f>IFERROR(H155/H444, "NA")</f>
        <v>-5.2758043979906313E-2</v>
      </c>
      <c r="J155" s="9"/>
      <c r="K155" s="7">
        <v>1049.72</v>
      </c>
      <c r="L155" s="8">
        <f>IFERROR(K155/K444, "NA")</f>
        <v>1.0996677907920055E-2</v>
      </c>
      <c r="M155" s="9"/>
      <c r="N155" s="10">
        <f t="shared" si="37"/>
        <v>3.0499999999999545</v>
      </c>
      <c r="O155" s="8">
        <f>IFERROR(N155/N444, "NA")</f>
        <v>8.6864048365900844E-5</v>
      </c>
      <c r="P155" s="9"/>
      <c r="Q155" s="7">
        <v>5603.52</v>
      </c>
      <c r="R155" s="8">
        <f>IFERROR(Q155/Q444, "NA")</f>
        <v>1.0160119908387904E-2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-5603.52</v>
      </c>
      <c r="X155" s="8">
        <f>IFERROR(W155/W444, "NA")</f>
        <v>-0.34951855994001818</v>
      </c>
      <c r="Y155" s="9"/>
      <c r="Z155" s="7">
        <v>6049.59</v>
      </c>
      <c r="AA155" s="8">
        <f>IFERROR(Z155/Z444, "NA")</f>
        <v>1.2772993738697509E-2</v>
      </c>
      <c r="AB155" s="9"/>
      <c r="AC155" s="10">
        <f t="shared" si="39"/>
        <v>446.06999999999971</v>
      </c>
      <c r="AD155" s="8">
        <f>IFERROR(AC155/AC444, "NA")</f>
        <v>5.7263675173352619E-3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0</v>
      </c>
      <c r="L156" s="8">
        <f>IFERROR(K156/K444, "NA")</f>
        <v>0</v>
      </c>
      <c r="M156" s="9"/>
      <c r="N156" s="10">
        <f t="shared" si="37"/>
        <v>0</v>
      </c>
      <c r="O156" s="8">
        <f>IFERROR(N156/N444, "NA")</f>
        <v>0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38.44</v>
      </c>
      <c r="AA156" s="8">
        <f>IFERROR(Z156/Z444, "NA")</f>
        <v>8.1161513311733889E-5</v>
      </c>
      <c r="AB156" s="9"/>
      <c r="AC156" s="10">
        <f t="shared" si="39"/>
        <v>38.44</v>
      </c>
      <c r="AD156" s="8">
        <f>IFERROR(AC156/AC444, "NA")</f>
        <v>4.9346866493233711E-4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5262.6900000000005</v>
      </c>
      <c r="C158" s="15">
        <f>IFERROR(B158/B444, "NA")</f>
        <v>4.0305426365850848E-2</v>
      </c>
      <c r="D158" s="2"/>
      <c r="E158" s="14">
        <f>IFERROR(E153+E154+E155+E156+E157, "NA")</f>
        <v>1660.97</v>
      </c>
      <c r="F158" s="15">
        <f>IFERROR(E158/E444, "NA")</f>
        <v>1.500001806175676E-2</v>
      </c>
      <c r="G158" s="2"/>
      <c r="H158" s="14">
        <f t="shared" si="36"/>
        <v>-3601.7200000000003</v>
      </c>
      <c r="I158" s="15">
        <f>IFERROR(H158/H444, "NA")</f>
        <v>-0.18154690796842193</v>
      </c>
      <c r="J158" s="2"/>
      <c r="K158" s="14">
        <f>IFERROR(K153+K154+K155+K156+K157, "NA")</f>
        <v>4258.8900000000003</v>
      </c>
      <c r="L158" s="15">
        <f>IFERROR(K158/K444, "NA")</f>
        <v>4.4615365597741923E-2</v>
      </c>
      <c r="M158" s="2"/>
      <c r="N158" s="14">
        <f t="shared" si="37"/>
        <v>-1003.8000000000002</v>
      </c>
      <c r="O158" s="15">
        <f>IFERROR(N158/N444, "NA")</f>
        <v>-2.8588239917931996E-2</v>
      </c>
      <c r="P158" s="2"/>
      <c r="Q158" s="14">
        <f>IFERROR(Q153+Q154+Q155+Q156+Q157, "NA")</f>
        <v>24455.25</v>
      </c>
      <c r="R158" s="15">
        <f>IFERROR(Q158/Q444, "NA")</f>
        <v>4.4341462578808187E-2</v>
      </c>
      <c r="S158" s="2"/>
      <c r="T158" s="14">
        <f>IFERROR(T153+T154+T155+T156+T157, "NA")</f>
        <v>9054.5</v>
      </c>
      <c r="U158" s="15">
        <f>IFERROR(T158/T444, "NA")</f>
        <v>1.6908845960478664E-2</v>
      </c>
      <c r="V158" s="2"/>
      <c r="W158" s="14">
        <f t="shared" si="38"/>
        <v>-15400.75</v>
      </c>
      <c r="X158" s="15">
        <f>IFERROR(W158/W444, "NA")</f>
        <v>-0.96061903267878657</v>
      </c>
      <c r="Y158" s="2"/>
      <c r="Z158" s="14">
        <f>IFERROR(Z153+Z154+Z155+Z156+Z157, "NA")</f>
        <v>22165.609999999997</v>
      </c>
      <c r="AA158" s="15">
        <f>IFERROR(Z158/Z444, "NA")</f>
        <v>4.6800063763727931E-2</v>
      </c>
      <c r="AB158" s="2"/>
      <c r="AC158" s="14">
        <f t="shared" si="39"/>
        <v>-2289.6400000000031</v>
      </c>
      <c r="AD158" s="15">
        <f>IFERROR(AC158/AC444, "NA")</f>
        <v>-2.9392965504049892E-2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181.07</v>
      </c>
      <c r="C161" s="8">
        <f>IFERROR(B161/B444, "NA")</f>
        <v>1.3867629581192531E-3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-181.07</v>
      </c>
      <c r="I161" s="8">
        <f>IFERROR(H161/H444, "NA")</f>
        <v>-9.1269445225731476E-3</v>
      </c>
      <c r="J161" s="9"/>
      <c r="K161" s="7">
        <v>378.16</v>
      </c>
      <c r="L161" s="8">
        <f>IFERROR(K161/K444, "NA")</f>
        <v>3.9615361407413863E-3</v>
      </c>
      <c r="M161" s="9"/>
      <c r="N161" s="10">
        <f t="shared" si="41"/>
        <v>197.09000000000003</v>
      </c>
      <c r="O161" s="8">
        <f>IFERROR(N161/N444, "NA")</f>
        <v>5.6131263253887398E-3</v>
      </c>
      <c r="P161" s="9"/>
      <c r="Q161" s="7">
        <v>1744.73</v>
      </c>
      <c r="R161" s="8">
        <f>IFERROR(Q161/Q444, "NA")</f>
        <v>3.1634875948977829E-3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-1744.73</v>
      </c>
      <c r="X161" s="8">
        <f>IFERROR(W161/W444, "NA")</f>
        <v>-0.10882722236810931</v>
      </c>
      <c r="Y161" s="9"/>
      <c r="Z161" s="7">
        <v>2115.67</v>
      </c>
      <c r="AA161" s="8">
        <f>IFERROR(Z161/Z444, "NA")</f>
        <v>4.4669869632735712E-3</v>
      </c>
      <c r="AB161" s="9"/>
      <c r="AC161" s="10">
        <f t="shared" si="43"/>
        <v>370.94000000000005</v>
      </c>
      <c r="AD161" s="8">
        <f>IFERROR(AC161/AC444, "NA")</f>
        <v>4.761895592351747E-3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181.07</v>
      </c>
      <c r="C166" s="15">
        <f>IFERROR(B166/B444, "NA")</f>
        <v>1.3867629581192531E-3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-181.07</v>
      </c>
      <c r="I166" s="15">
        <f>IFERROR(H166/H444, "NA")</f>
        <v>-9.1269445225731476E-3</v>
      </c>
      <c r="J166" s="2"/>
      <c r="K166" s="14">
        <f>IFERROR(K160+K161+K162+K163+K164+K165, "NA")</f>
        <v>378.16</v>
      </c>
      <c r="L166" s="15">
        <f>IFERROR(K166/K444, "NA")</f>
        <v>3.9615361407413863E-3</v>
      </c>
      <c r="M166" s="2"/>
      <c r="N166" s="14">
        <f t="shared" si="41"/>
        <v>197.09000000000003</v>
      </c>
      <c r="O166" s="15">
        <f>IFERROR(N166/N444, "NA")</f>
        <v>5.6131263253887398E-3</v>
      </c>
      <c r="P166" s="2"/>
      <c r="Q166" s="14">
        <f>IFERROR(Q160+Q161+Q162+Q163+Q164+Q165, "NA")</f>
        <v>1744.73</v>
      </c>
      <c r="R166" s="15">
        <f>IFERROR(Q166/Q444, "NA")</f>
        <v>3.1634875948977829E-3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-1744.73</v>
      </c>
      <c r="X166" s="15">
        <f>IFERROR(W166/W444, "NA")</f>
        <v>-0.10882722236810931</v>
      </c>
      <c r="Y166" s="2"/>
      <c r="Z166" s="14">
        <f>IFERROR(Z160+Z161+Z162+Z163+Z164+Z165, "NA")</f>
        <v>2115.67</v>
      </c>
      <c r="AA166" s="15">
        <f>IFERROR(Z166/Z444, "NA")</f>
        <v>4.4669869632735712E-3</v>
      </c>
      <c r="AB166" s="2"/>
      <c r="AC166" s="14">
        <f t="shared" si="43"/>
        <v>370.94000000000005</v>
      </c>
      <c r="AD166" s="15">
        <f>IFERROR(AC166/AC444, "NA")</f>
        <v>4.761895592351747E-3</v>
      </c>
    </row>
    <row r="167" spans="1:30" ht="16.5" customHeight="1" x14ac:dyDescent="0.45">
      <c r="A167" s="6" t="s">
        <v>155</v>
      </c>
      <c r="B167" s="7">
        <v>125.36</v>
      </c>
      <c r="C167" s="8">
        <f>IFERROR(B167/B444, "NA")</f>
        <v>9.6009611989744074E-4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-125.36</v>
      </c>
      <c r="I167" s="8">
        <f>IFERROR(H167/H444, "NA")</f>
        <v>-6.3188477679890082E-3</v>
      </c>
      <c r="J167" s="9"/>
      <c r="K167" s="7">
        <v>114.51</v>
      </c>
      <c r="L167" s="8">
        <f>IFERROR(K167/K444, "NA")</f>
        <v>1.1995861632015448E-3</v>
      </c>
      <c r="M167" s="9"/>
      <c r="N167" s="10">
        <f t="shared" si="41"/>
        <v>-10.849999999999994</v>
      </c>
      <c r="O167" s="8">
        <f>IFERROR(N167/N444, "NA")</f>
        <v>-3.0900817205575007E-4</v>
      </c>
      <c r="P167" s="9"/>
      <c r="Q167" s="7">
        <v>642.47</v>
      </c>
      <c r="R167" s="8">
        <f>IFERROR(Q167/Q444, "NA")</f>
        <v>1.1649056731379518E-3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-642.47</v>
      </c>
      <c r="X167" s="8">
        <f>IFERROR(W167/W444, "NA")</f>
        <v>-4.0073951588405765E-2</v>
      </c>
      <c r="Y167" s="9"/>
      <c r="Z167" s="7">
        <v>794.2</v>
      </c>
      <c r="AA167" s="8">
        <f>IFERROR(Z167/Z444, "NA")</f>
        <v>1.6768593619193306E-3</v>
      </c>
      <c r="AB167" s="9"/>
      <c r="AC167" s="10">
        <f t="shared" si="43"/>
        <v>151.73000000000002</v>
      </c>
      <c r="AD167" s="8">
        <f>IFERROR(AC167/AC444, "NA")</f>
        <v>1.9478147900672091E-3</v>
      </c>
    </row>
    <row r="168" spans="1:30" ht="16.5" customHeight="1" x14ac:dyDescent="0.45">
      <c r="A168" s="6" t="s">
        <v>156</v>
      </c>
      <c r="B168" s="7">
        <v>44.8</v>
      </c>
      <c r="C168" s="8">
        <f>IFERROR(B168/B444, "NA")</f>
        <v>3.4311029173105727E-4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-44.8</v>
      </c>
      <c r="I168" s="8">
        <f>IFERROR(H168/H444, "NA")</f>
        <v>-2.2581715061096644E-3</v>
      </c>
      <c r="J168" s="9"/>
      <c r="K168" s="7">
        <v>47.6</v>
      </c>
      <c r="L168" s="8">
        <f>IFERROR(K168/K444, "NA")</f>
        <v>4.9864903823590542E-4</v>
      </c>
      <c r="M168" s="9"/>
      <c r="N168" s="10">
        <f t="shared" si="41"/>
        <v>2.8000000000000043</v>
      </c>
      <c r="O168" s="8">
        <f>IFERROR(N168/N444, "NA")</f>
        <v>7.974404440148405E-5</v>
      </c>
      <c r="P168" s="9"/>
      <c r="Q168" s="7">
        <v>229.4</v>
      </c>
      <c r="R168" s="8">
        <f>IFERROR(Q168/Q444, "NA")</f>
        <v>4.1594060643741521E-4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-229.4</v>
      </c>
      <c r="X168" s="8">
        <f>IFERROR(W168/W444, "NA")</f>
        <v>-1.430878405899152E-2</v>
      </c>
      <c r="Y168" s="9"/>
      <c r="Z168" s="7">
        <v>235.9</v>
      </c>
      <c r="AA168" s="8">
        <f>IFERROR(Z168/Z444, "NA")</f>
        <v>4.980749477169102E-4</v>
      </c>
      <c r="AB168" s="9"/>
      <c r="AC168" s="10">
        <f t="shared" si="43"/>
        <v>6.5</v>
      </c>
      <c r="AD168" s="8">
        <f>IFERROR(AC168/AC444, "NA")</f>
        <v>8.3442932415717775E-5</v>
      </c>
    </row>
    <row r="169" spans="1:30" ht="16.5" customHeight="1" x14ac:dyDescent="0.45">
      <c r="A169" s="6" t="s">
        <v>157</v>
      </c>
      <c r="B169" s="7">
        <v>-1569.79</v>
      </c>
      <c r="C169" s="8">
        <f>IFERROR(B169/B444, "NA")</f>
        <v>-1.202256930483251E-2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1569.79</v>
      </c>
      <c r="I169" s="8">
        <f>IFERROR(H169/H444, "NA")</f>
        <v>7.9126228762854703E-2</v>
      </c>
      <c r="J169" s="9"/>
      <c r="K169" s="7">
        <v>-1992.65</v>
      </c>
      <c r="L169" s="8">
        <f>IFERROR(K169/K444, "NA")</f>
        <v>-2.0874642984049938E-2</v>
      </c>
      <c r="M169" s="9"/>
      <c r="N169" s="10">
        <f t="shared" si="41"/>
        <v>-422.86000000000013</v>
      </c>
      <c r="O169" s="8">
        <f>IFERROR(N169/N444, "NA")</f>
        <v>-1.2043059505575538E-2</v>
      </c>
      <c r="P169" s="9"/>
      <c r="Q169" s="7">
        <v>-11241.05</v>
      </c>
      <c r="R169" s="8">
        <f>IFERROR(Q169/Q444, "NA")</f>
        <v>-2.0381905640772909E-2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11241.05</v>
      </c>
      <c r="X169" s="8">
        <f>IFERROR(W169/W444, "NA")</f>
        <v>0.70115848756027299</v>
      </c>
      <c r="Y169" s="9"/>
      <c r="Z169" s="7">
        <v>-11971.96</v>
      </c>
      <c r="AA169" s="8">
        <f>IFERROR(Z169/Z444, "NA")</f>
        <v>-2.5277377494993383E-2</v>
      </c>
      <c r="AB169" s="9"/>
      <c r="AC169" s="10">
        <f t="shared" si="43"/>
        <v>-730.90999999999985</v>
      </c>
      <c r="AD169" s="8">
        <f>IFERROR(AC169/AC444, "NA")</f>
        <v>-9.382965189534194E-3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4044.13</v>
      </c>
      <c r="C170" s="15">
        <f>IFERROR(B170/B444, "NA")</f>
        <v>3.0972826430766088E-2</v>
      </c>
      <c r="D170" s="2"/>
      <c r="E170" s="14">
        <f>IFERROR(E151+E153+E154+E155+E156+E157+E160+E161+E162+E163+E164+E165+E167+E168+E169, "NA")</f>
        <v>1660.97</v>
      </c>
      <c r="F170" s="15">
        <f>IFERROR(E170/E444, "NA")</f>
        <v>1.500001806175676E-2</v>
      </c>
      <c r="G170" s="2"/>
      <c r="H170" s="14">
        <f t="shared" si="40"/>
        <v>-2383.16</v>
      </c>
      <c r="I170" s="15">
        <f>IFERROR(H170/H444, "NA")</f>
        <v>-0.12012464300223902</v>
      </c>
      <c r="J170" s="2"/>
      <c r="K170" s="14">
        <f>IFERROR(K151+K153+K154+K155+K156+K157+K160+K161+K162+K163+K164+K165+K167+K168+K169, "NA")</f>
        <v>2806.5100000000007</v>
      </c>
      <c r="L170" s="15">
        <f>IFERROR(K170/K444, "NA")</f>
        <v>2.9400493955870823E-2</v>
      </c>
      <c r="M170" s="2"/>
      <c r="N170" s="14">
        <f t="shared" si="41"/>
        <v>-1237.6199999999994</v>
      </c>
      <c r="O170" s="15">
        <f>IFERROR(N170/N444, "NA")</f>
        <v>-3.5247437225773032E-2</v>
      </c>
      <c r="P170" s="2"/>
      <c r="Q170" s="14">
        <f>IFERROR(Q151+Q153+Q154+Q155+Q156+Q157+Q160+Q161+Q162+Q163+Q164+Q165+Q167+Q168+Q169, "NA")</f>
        <v>15830.800000000003</v>
      </c>
      <c r="R170" s="15">
        <f>IFERROR(Q170/Q444, "NA")</f>
        <v>2.8703890812508428E-2</v>
      </c>
      <c r="S170" s="2"/>
      <c r="T170" s="14">
        <f>IFERROR(T151+T153+T154+T155+T156+T157+T160+T161+T162+T163+T164+T165+T167+T168+T169, "NA")</f>
        <v>9054.5</v>
      </c>
      <c r="U170" s="15">
        <f>IFERROR(T170/T444, "NA")</f>
        <v>1.6908845960478664E-2</v>
      </c>
      <c r="V170" s="2"/>
      <c r="W170" s="14">
        <f t="shared" si="42"/>
        <v>-6776.3000000000029</v>
      </c>
      <c r="X170" s="15">
        <f>IFERROR(W170/W444, "NA")</f>
        <v>-0.42267050313402038</v>
      </c>
      <c r="Y170" s="2"/>
      <c r="Z170" s="14">
        <f>IFERROR(Z151+Z153+Z154+Z155+Z156+Z157+Z160+Z161+Z162+Z163+Z164+Z165+Z167+Z168+Z169, "NA")</f>
        <v>13339.420000000002</v>
      </c>
      <c r="AA170" s="15">
        <f>IFERROR(Z170/Z444, "NA")</f>
        <v>2.8164607541644369E-2</v>
      </c>
      <c r="AB170" s="2"/>
      <c r="AC170" s="14">
        <f t="shared" si="43"/>
        <v>-2491.380000000001</v>
      </c>
      <c r="AD170" s="15">
        <f>IFERROR(AC170/AC444, "NA")</f>
        <v>-3.198277737874939E-2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38257.12999999999</v>
      </c>
      <c r="C171" s="15">
        <f>IFERROR(B171/B444, "NA")</f>
        <v>0.29300033560475403</v>
      </c>
      <c r="D171" s="2"/>
      <c r="E171" s="14">
        <f>IFERROR(E127+E129+E130+E131+E132+E133+E134+E135+E136+E137+E138+E139+E140+E143+E144+E145+E146+E147+E151+E153+E154+E155+E156+E157+E160+E161+E162+E163+E164+E165+E167+E168+E169, "NA")</f>
        <v>27129.14</v>
      </c>
      <c r="F171" s="15">
        <f>IFERROR(E171/E444, "NA")</f>
        <v>0.24499996387648648</v>
      </c>
      <c r="G171" s="2"/>
      <c r="H171" s="14">
        <f t="shared" si="40"/>
        <v>-11127.989999999991</v>
      </c>
      <c r="I171" s="15">
        <f>IFERROR(H171/H444, "NA")</f>
        <v>-0.56091316826502824</v>
      </c>
      <c r="J171" s="2"/>
      <c r="K171" s="14">
        <f>IFERROR(K127+K129+K130+K131+K132+K133+K134+K135+K136+K137+K138+K139+K140+K143+K144+K145+K146+K147+K151+K153+K154+K155+K156+K157+K160+K161+K162+K163+K164+K165+K167+K168+K169, "NA")</f>
        <v>27456.86</v>
      </c>
      <c r="L171" s="15">
        <f>IFERROR(K171/K444, "NA")</f>
        <v>0.28763312672222485</v>
      </c>
      <c r="M171" s="2"/>
      <c r="N171" s="14">
        <f t="shared" si="41"/>
        <v>-10800.26999999999</v>
      </c>
      <c r="O171" s="15">
        <f>IFERROR(N171/N444, "NA")</f>
        <v>-0.30759186086714785</v>
      </c>
      <c r="P171" s="2"/>
      <c r="Q171" s="14">
        <f>IFERROR(Q127+Q129+Q130+Q131+Q132+Q133+Q134+Q135+Q136+Q137+Q138+Q139+Q140+Q143+Q144+Q145+Q146+Q147+Q151+Q153+Q154+Q155+Q156+Q157+Q160+Q161+Q162+Q163+Q164+Q165+Q167+Q168+Q169, "NA")</f>
        <v>162258.21000000002</v>
      </c>
      <c r="R171" s="15">
        <f>IFERROR(Q171/Q444, "NA")</f>
        <v>0.29420130020422613</v>
      </c>
      <c r="S171" s="2"/>
      <c r="T171" s="14">
        <f>IFERROR(T127+T129+T130+T131+T132+T133+T134+T135+T136+T137+T138+T139+T140+T143+T144+T145+T146+T147+T151+T153+T154+T155+T156+T157+T160+T161+T162+T163+T164+T165+T167+T168+T169, "NA")</f>
        <v>137269.77000000002</v>
      </c>
      <c r="U171" s="15">
        <f>IFERROR(T171/T444, "NA")</f>
        <v>0.25634473421617265</v>
      </c>
      <c r="V171" s="2"/>
      <c r="W171" s="14">
        <f t="shared" si="42"/>
        <v>-24988.440000000002</v>
      </c>
      <c r="X171" s="15">
        <f>IFERROR(W171/W444, "NA")</f>
        <v>-1.5586494853141504</v>
      </c>
      <c r="Y171" s="2"/>
      <c r="Z171" s="14">
        <f>IFERROR(Z127+Z129+Z130+Z131+Z132+Z133+Z134+Z135+Z136+Z137+Z138+Z139+Z140+Z143+Z144+Z145+Z146+Z147+Z151+Z153+Z154+Z155+Z156+Z157+Z160+Z161+Z162+Z163+Z164+Z165+Z167+Z168+Z169, "NA")</f>
        <v>134320.85000000003</v>
      </c>
      <c r="AA171" s="15">
        <f>IFERROR(Z171/Z444, "NA")</f>
        <v>0.28360258728715959</v>
      </c>
      <c r="AB171" s="2"/>
      <c r="AC171" s="14">
        <f t="shared" si="43"/>
        <v>-27937.359999999986</v>
      </c>
      <c r="AD171" s="15">
        <f>IFERROR(AC171/AC444, "NA")</f>
        <v>-0.35864234497747322</v>
      </c>
    </row>
    <row r="172" spans="1:30" ht="16.5" customHeight="1" x14ac:dyDescent="0.45">
      <c r="A172" s="22" t="s">
        <v>160</v>
      </c>
      <c r="B172" s="23">
        <f>IFERROR(B124-B171, "NA")</f>
        <v>92313.130000000063</v>
      </c>
      <c r="C172" s="24">
        <f>IFERROR(B172/B444, "NA")</f>
        <v>0.70699966439524642</v>
      </c>
      <c r="D172" s="25"/>
      <c r="E172" s="23">
        <f>IFERROR(E124-E171, "NA")</f>
        <v>83602.06</v>
      </c>
      <c r="F172" s="24">
        <f>IFERROR(E172/E444, "NA")</f>
        <v>0.75500003612351352</v>
      </c>
      <c r="G172" s="25"/>
      <c r="H172" s="23">
        <f>IFERROR(B172-E172, "NA")</f>
        <v>8711.0700000000652</v>
      </c>
      <c r="I172" s="24">
        <f>IFERROR(H172/H444, "NA")</f>
        <v>0.43908683173497465</v>
      </c>
      <c r="J172" s="25"/>
      <c r="K172" s="23">
        <f>IFERROR(K124-K171, "NA")</f>
        <v>68001.060000000012</v>
      </c>
      <c r="L172" s="24">
        <f>IFERROR(K172/K444, "NA")</f>
        <v>0.71236687327777526</v>
      </c>
      <c r="M172" s="25"/>
      <c r="N172" s="23">
        <f>IFERROR(B172-K172, "NA")</f>
        <v>24312.070000000051</v>
      </c>
      <c r="O172" s="24">
        <f>IFERROR(N172/N444, "NA")</f>
        <v>0.69240813913285337</v>
      </c>
      <c r="P172" s="25"/>
      <c r="Q172" s="23">
        <f>IFERROR(Q124-Q171, "NA")</f>
        <v>389262.84</v>
      </c>
      <c r="R172" s="24">
        <f>IFERROR(Q172/Q444, "NA")</f>
        <v>0.70579869979577392</v>
      </c>
      <c r="S172" s="25"/>
      <c r="T172" s="23">
        <f>IFERROR(T124-T171, "NA")</f>
        <v>398219.16999999993</v>
      </c>
      <c r="U172" s="24">
        <f>IFERROR(T172/T444, "NA")</f>
        <v>0.74365526578382735</v>
      </c>
      <c r="V172" s="25"/>
      <c r="W172" s="23">
        <f>IFERROR(Q172-T172, "NA")</f>
        <v>-8956.3299999998999</v>
      </c>
      <c r="X172" s="24">
        <f>IFERROR(W172/W444, "NA")</f>
        <v>-0.55864948531415037</v>
      </c>
      <c r="Y172" s="25"/>
      <c r="Z172" s="23">
        <f>IFERROR(Z124-Z171, "NA")</f>
        <v>339302.64999999997</v>
      </c>
      <c r="AA172" s="24">
        <f>IFERROR(Z172/Z444, "NA")</f>
        <v>0.71639741271284041</v>
      </c>
      <c r="AB172" s="25"/>
      <c r="AC172" s="23">
        <f>IFERROR(Q172-Z172, "NA")</f>
        <v>49960.190000000061</v>
      </c>
      <c r="AD172" s="24">
        <f>IFERROR(AC172/AC444, "NA")</f>
        <v>0.64135765502252673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5846.16</v>
      </c>
      <c r="C178" s="8">
        <f>IFERROR(B178/B444, "NA")</f>
        <v>4.477405498005442E-2</v>
      </c>
      <c r="D178" s="9"/>
      <c r="E178" s="7">
        <v>5692.31</v>
      </c>
      <c r="F178" s="8">
        <f>IFERROR(E178/E444, "NA")</f>
        <v>5.1406559307584497E-2</v>
      </c>
      <c r="G178" s="9"/>
      <c r="H178" s="10">
        <f t="shared" si="44"/>
        <v>-153.84999999999945</v>
      </c>
      <c r="I178" s="8">
        <f>IFERROR(H178/H444, "NA")</f>
        <v>-7.7549037101555954E-3</v>
      </c>
      <c r="J178" s="9"/>
      <c r="K178" s="7">
        <v>5615.4</v>
      </c>
      <c r="L178" s="8">
        <f>IFERROR(K178/K444, "NA")</f>
        <v>5.8825920363653424E-2</v>
      </c>
      <c r="M178" s="9"/>
      <c r="N178" s="10">
        <f t="shared" si="45"/>
        <v>-230.76000000000022</v>
      </c>
      <c r="O178" s="8">
        <f>IFERROR(N178/N444, "NA")</f>
        <v>-6.5720484593165887E-3</v>
      </c>
      <c r="P178" s="9"/>
      <c r="Q178" s="7">
        <v>30692.34</v>
      </c>
      <c r="R178" s="8">
        <f>IFERROR(Q178/Q444, "NA")</f>
        <v>5.5650350970284812E-2</v>
      </c>
      <c r="S178" s="9"/>
      <c r="T178" s="7">
        <v>29884.62</v>
      </c>
      <c r="U178" s="8">
        <f>IFERROR(T178/T444, "NA")</f>
        <v>5.580809941658179E-2</v>
      </c>
      <c r="V178" s="9"/>
      <c r="W178" s="10">
        <f t="shared" si="46"/>
        <v>-807.72000000000116</v>
      </c>
      <c r="X178" s="8">
        <f>IFERROR(W178/W444, "NA")</f>
        <v>-5.038139084624519E-2</v>
      </c>
      <c r="Y178" s="9"/>
      <c r="Z178" s="7">
        <v>29480.85</v>
      </c>
      <c r="AA178" s="8">
        <f>IFERROR(Z178/Z444, "NA")</f>
        <v>6.2245327776176647E-2</v>
      </c>
      <c r="AB178" s="9"/>
      <c r="AC178" s="10">
        <f t="shared" si="47"/>
        <v>-1211.4900000000016</v>
      </c>
      <c r="AD178" s="8">
        <f>IFERROR(AC178/AC444, "NA")</f>
        <v>-1.5552350491125855E-2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20923.98</v>
      </c>
      <c r="C180" s="8">
        <f>IFERROR(B180/B444, "NA")</f>
        <v>0.16025073397265197</v>
      </c>
      <c r="D180" s="9"/>
      <c r="E180" s="7">
        <v>21481.85</v>
      </c>
      <c r="F180" s="8">
        <f>IFERROR(E180/E444, "NA")</f>
        <v>0.19399997471354052</v>
      </c>
      <c r="G180" s="9"/>
      <c r="H180" s="10">
        <f t="shared" si="44"/>
        <v>557.86999999999898</v>
      </c>
      <c r="I180" s="8">
        <f>IFERROR(H180/H444, "NA")</f>
        <v>2.8119779868602597E-2</v>
      </c>
      <c r="J180" s="9"/>
      <c r="K180" s="7">
        <v>20128.12</v>
      </c>
      <c r="L180" s="8">
        <f>IFERROR(K180/K444, "NA")</f>
        <v>0.21085856469531286</v>
      </c>
      <c r="M180" s="9"/>
      <c r="N180" s="10">
        <f t="shared" si="45"/>
        <v>-795.86000000000058</v>
      </c>
      <c r="O180" s="8">
        <f>IFERROR(N180/N444, "NA")</f>
        <v>-2.2666105420487515E-2</v>
      </c>
      <c r="P180" s="9"/>
      <c r="Q180" s="7">
        <v>100179.14</v>
      </c>
      <c r="R180" s="8">
        <f>IFERROR(Q180/Q444, "NA")</f>
        <v>0.1816415529380066</v>
      </c>
      <c r="S180" s="9"/>
      <c r="T180" s="7">
        <v>105798.62</v>
      </c>
      <c r="U180" s="8">
        <f>IFERROR(T180/T444, "NA")</f>
        <v>0.19757386585799513</v>
      </c>
      <c r="V180" s="9"/>
      <c r="W180" s="10">
        <f t="shared" si="46"/>
        <v>5619.4799999999959</v>
      </c>
      <c r="X180" s="8">
        <f>IFERROR(W180/W444, "NA")</f>
        <v>0.35051406209163732</v>
      </c>
      <c r="Y180" s="9"/>
      <c r="Z180" s="7">
        <v>100122.91</v>
      </c>
      <c r="AA180" s="8">
        <f>IFERROR(Z180/Z444, "NA")</f>
        <v>0.21139768191400976</v>
      </c>
      <c r="AB180" s="9"/>
      <c r="AC180" s="10">
        <f t="shared" si="47"/>
        <v>-56.229999999995925</v>
      </c>
      <c r="AD180" s="8">
        <f>IFERROR(AC180/AC444, "NA")</f>
        <v>-7.2184555226699541E-4</v>
      </c>
    </row>
    <row r="181" spans="1:30" ht="16.5" customHeight="1" x14ac:dyDescent="0.45">
      <c r="A181" s="12" t="s">
        <v>166</v>
      </c>
      <c r="B181" s="7">
        <v>1547.82</v>
      </c>
      <c r="C181" s="8">
        <f>IFERROR(B181/B444, "NA")</f>
        <v>1.1854307405070649E-2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-1547.82</v>
      </c>
      <c r="I181" s="8">
        <f>IFERROR(H181/H444, "NA")</f>
        <v>-7.8018817423809395E-2</v>
      </c>
      <c r="J181" s="9"/>
      <c r="K181" s="7">
        <v>65.42</v>
      </c>
      <c r="L181" s="8">
        <f>IFERROR(K181/K444, "NA")</f>
        <v>6.8532815297043983E-4</v>
      </c>
      <c r="M181" s="9"/>
      <c r="N181" s="10">
        <f t="shared" si="45"/>
        <v>-1482.3999999999999</v>
      </c>
      <c r="O181" s="8">
        <f>IFERROR(N181/N444, "NA")</f>
        <v>-4.2218775507414201E-2</v>
      </c>
      <c r="P181" s="9"/>
      <c r="Q181" s="7">
        <v>1940.28</v>
      </c>
      <c r="R181" s="8">
        <f>IFERROR(Q181/Q444, "NA")</f>
        <v>3.5180524841254921E-3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-1940.28</v>
      </c>
      <c r="X181" s="8">
        <f>IFERROR(W181/W444, "NA")</f>
        <v>-0.12102461871830891</v>
      </c>
      <c r="Y181" s="9"/>
      <c r="Z181" s="7">
        <v>722.35</v>
      </c>
      <c r="AA181" s="8">
        <f>IFERROR(Z181/Z444, "NA")</f>
        <v>1.5251565853467998E-3</v>
      </c>
      <c r="AB181" s="9"/>
      <c r="AC181" s="10">
        <f t="shared" si="47"/>
        <v>-1217.9299999999998</v>
      </c>
      <c r="AD181" s="8">
        <f>IFERROR(AC181/AC444, "NA")</f>
        <v>-1.5635023181088482E-2</v>
      </c>
    </row>
    <row r="182" spans="1:30" ht="16.5" customHeight="1" x14ac:dyDescent="0.45">
      <c r="A182" s="13" t="s">
        <v>167</v>
      </c>
      <c r="B182" s="14">
        <f>IFERROR(B177+B178+B179+B180+B181, "NA")</f>
        <v>28317.96</v>
      </c>
      <c r="C182" s="15">
        <f>IFERROR(B182/B444, "NA")</f>
        <v>0.21687909635777702</v>
      </c>
      <c r="D182" s="2"/>
      <c r="E182" s="14">
        <f>IFERROR(E177+E178+E179+E180+E181, "NA")</f>
        <v>27174.16</v>
      </c>
      <c r="F182" s="15">
        <f>IFERROR(E182/E444, "NA")</f>
        <v>0.24540653402112503</v>
      </c>
      <c r="G182" s="2"/>
      <c r="H182" s="14">
        <f t="shared" si="44"/>
        <v>-1143.7999999999993</v>
      </c>
      <c r="I182" s="15">
        <f>IFERROR(H182/H444, "NA")</f>
        <v>-5.7653941265362343E-2</v>
      </c>
      <c r="J182" s="2"/>
      <c r="K182" s="14">
        <f>IFERROR(K177+K178+K179+K180+K181, "NA")</f>
        <v>25808.939999999995</v>
      </c>
      <c r="L182" s="15">
        <f>IFERROR(K182/K444, "NA")</f>
        <v>0.2703698132119367</v>
      </c>
      <c r="M182" s="2"/>
      <c r="N182" s="14">
        <f t="shared" si="45"/>
        <v>-2509.0200000000041</v>
      </c>
      <c r="O182" s="15">
        <f>IFERROR(N182/N444, "NA")</f>
        <v>-7.1456929387218412E-2</v>
      </c>
      <c r="P182" s="2"/>
      <c r="Q182" s="14">
        <f>IFERROR(Q177+Q178+Q179+Q180+Q181, "NA")</f>
        <v>132811.76</v>
      </c>
      <c r="R182" s="15">
        <f>IFERROR(Q182/Q444, "NA")</f>
        <v>0.24080995639241692</v>
      </c>
      <c r="S182" s="2"/>
      <c r="T182" s="14">
        <f>IFERROR(T177+T178+T179+T180+T181, "NA")</f>
        <v>135683.24</v>
      </c>
      <c r="U182" s="15">
        <f>IFERROR(T182/T444, "NA")</f>
        <v>0.2533819652745769</v>
      </c>
      <c r="V182" s="2"/>
      <c r="W182" s="14">
        <f t="shared" si="46"/>
        <v>2871.4799999999814</v>
      </c>
      <c r="X182" s="15">
        <f>IFERROR(W182/W444, "NA")</f>
        <v>0.1791080525270824</v>
      </c>
      <c r="Y182" s="2"/>
      <c r="Z182" s="14">
        <f>IFERROR(Z177+Z178+Z179+Z180+Z181, "NA")</f>
        <v>130326.11000000002</v>
      </c>
      <c r="AA182" s="15">
        <f>IFERROR(Z182/Z444, "NA")</f>
        <v>0.27516816627553325</v>
      </c>
      <c r="AB182" s="2"/>
      <c r="AC182" s="14">
        <f t="shared" si="47"/>
        <v>-2485.6499999999942</v>
      </c>
      <c r="AD182" s="15">
        <f>IFERROR(AC182/AC444, "NA")</f>
        <v>-3.190921922448129E-2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3.8293559344984075E-3</v>
      </c>
      <c r="D184" s="9"/>
      <c r="E184" s="7">
        <v>500</v>
      </c>
      <c r="F184" s="8">
        <f>IFERROR(E184/E444, "NA")</f>
        <v>4.5154391896773446E-3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3.1427460393019251E-3</v>
      </c>
      <c r="M184" s="9"/>
      <c r="N184" s="10">
        <f t="shared" si="45"/>
        <v>-200</v>
      </c>
      <c r="O184" s="8">
        <f>IFERROR(N184/N444, "NA")</f>
        <v>-5.6960031715345668E-3</v>
      </c>
      <c r="P184" s="9"/>
      <c r="Q184" s="7">
        <v>2500</v>
      </c>
      <c r="R184" s="8">
        <f>IFERROR(Q184/Q444, "NA")</f>
        <v>4.5329185531540455E-3</v>
      </c>
      <c r="S184" s="9"/>
      <c r="T184" s="7">
        <v>2500</v>
      </c>
      <c r="U184" s="8">
        <f>IFERROR(T184/T444, "NA")</f>
        <v>4.6686305043013594E-3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1600</v>
      </c>
      <c r="AA184" s="8">
        <f>IFERROR(Z184/Z444, "NA")</f>
        <v>3.3782107517891322E-3</v>
      </c>
      <c r="AB184" s="9"/>
      <c r="AC184" s="10">
        <f t="shared" si="47"/>
        <v>-900</v>
      </c>
      <c r="AD184" s="8">
        <f>IFERROR(AC184/AC444, "NA")</f>
        <v>-1.1553636796022461E-2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2936.21</v>
      </c>
      <c r="C186" s="8">
        <f>IFERROR(B186/B444, "NA")</f>
        <v>2.2487586376867139E-2</v>
      </c>
      <c r="D186" s="9"/>
      <c r="E186" s="7">
        <v>2756.48</v>
      </c>
      <c r="F186" s="8">
        <f>IFERROR(E186/E444, "NA")</f>
        <v>2.4893435635123615E-2</v>
      </c>
      <c r="G186" s="9"/>
      <c r="H186" s="10">
        <f t="shared" ref="H186:H197" si="48">IFERROR(-(B186-E186), "NA")</f>
        <v>-179.73000000000002</v>
      </c>
      <c r="I186" s="8">
        <f>IFERROR(H186/H444, "NA")</f>
        <v>-9.0594009998457604E-3</v>
      </c>
      <c r="J186" s="9"/>
      <c r="K186" s="7">
        <v>2375.59</v>
      </c>
      <c r="L186" s="8">
        <f>IFERROR(K186/K444, "NA")</f>
        <v>2.4886253545017535E-2</v>
      </c>
      <c r="M186" s="9"/>
      <c r="N186" s="10">
        <f t="shared" ref="N186:N197" si="49">IFERROR(-(B186-K186), "NA")</f>
        <v>-560.61999999999989</v>
      </c>
      <c r="O186" s="8">
        <f>IFERROR(N186/N444, "NA")</f>
        <v>-1.5966466490128541E-2</v>
      </c>
      <c r="P186" s="9"/>
      <c r="Q186" s="7">
        <v>14973.8</v>
      </c>
      <c r="R186" s="8">
        <f>IFERROR(Q186/Q444, "NA")</f>
        <v>2.7150006332487216E-2</v>
      </c>
      <c r="S186" s="9"/>
      <c r="T186" s="7">
        <v>16048.42</v>
      </c>
      <c r="U186" s="8">
        <f>IFERROR(T186/T444, "NA")</f>
        <v>2.9969657263136006E-2</v>
      </c>
      <c r="V186" s="9"/>
      <c r="W186" s="10">
        <f t="shared" ref="W186:W197" si="50">IFERROR(-(Q186-T186), "NA")</f>
        <v>1074.6200000000008</v>
      </c>
      <c r="X186" s="8">
        <f>IFERROR(W186/W444, "NA")</f>
        <v>6.7029230712613241E-2</v>
      </c>
      <c r="Y186" s="9"/>
      <c r="Z186" s="7">
        <v>14198.81</v>
      </c>
      <c r="AA186" s="8">
        <f>IFERROR(Z186/Z444, "NA")</f>
        <v>2.9979107877881904E-2</v>
      </c>
      <c r="AB186" s="9"/>
      <c r="AC186" s="10">
        <f t="shared" ref="AC186:AC197" si="51">IFERROR(-(Q186-Z186), "NA")</f>
        <v>-774.98999999999978</v>
      </c>
      <c r="AD186" s="8">
        <f>IFERROR(AC186/AC444, "NA")</f>
        <v>-9.9488366450549391E-3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-0.01</v>
      </c>
      <c r="L187" s="8">
        <f>IFERROR(K187/K444, "NA")</f>
        <v>-1.0475820131006417E-7</v>
      </c>
      <c r="M187" s="9"/>
      <c r="N187" s="10">
        <f t="shared" si="49"/>
        <v>-0.01</v>
      </c>
      <c r="O187" s="8">
        <f>IFERROR(N187/N444, "NA")</f>
        <v>-2.8480015857672832E-7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-0.06</v>
      </c>
      <c r="AA187" s="8">
        <f>IFERROR(Z187/Z444, "NA")</f>
        <v>-1.2668290319209245E-7</v>
      </c>
      <c r="AB187" s="9"/>
      <c r="AC187" s="10">
        <f t="shared" si="51"/>
        <v>-0.06</v>
      </c>
      <c r="AD187" s="8">
        <f>IFERROR(AC187/AC444, "NA")</f>
        <v>-7.7024245306816402E-7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2936.21</v>
      </c>
      <c r="C193" s="15">
        <f>IFERROR(B193/B444, "NA")</f>
        <v>2.2487586376867139E-2</v>
      </c>
      <c r="D193" s="2"/>
      <c r="E193" s="14">
        <f>IFERROR(E186+E187+E188+E189+E190+E191+E192, "NA")</f>
        <v>2756.48</v>
      </c>
      <c r="F193" s="15">
        <f>IFERROR(E193/E444, "NA")</f>
        <v>2.4893435635123615E-2</v>
      </c>
      <c r="G193" s="2"/>
      <c r="H193" s="14">
        <f t="shared" si="48"/>
        <v>-179.73000000000002</v>
      </c>
      <c r="I193" s="15">
        <f>IFERROR(H193/H444, "NA")</f>
        <v>-9.0594009998457604E-3</v>
      </c>
      <c r="J193" s="2"/>
      <c r="K193" s="14">
        <f>IFERROR(K186+K187+K188+K189+K190+K191+K192, "NA")</f>
        <v>2375.58</v>
      </c>
      <c r="L193" s="15">
        <f>IFERROR(K193/K444, "NA")</f>
        <v>2.4886148786816224E-2</v>
      </c>
      <c r="M193" s="2"/>
      <c r="N193" s="14">
        <f t="shared" si="49"/>
        <v>-560.63000000000011</v>
      </c>
      <c r="O193" s="15">
        <f>IFERROR(N193/N444, "NA")</f>
        <v>-1.5966751290287122E-2</v>
      </c>
      <c r="P193" s="2"/>
      <c r="Q193" s="14">
        <f>IFERROR(Q186+Q187+Q188+Q189+Q190+Q191+Q192, "NA")</f>
        <v>14973.8</v>
      </c>
      <c r="R193" s="15">
        <f>IFERROR(Q193/Q444, "NA")</f>
        <v>2.7150006332487216E-2</v>
      </c>
      <c r="S193" s="2"/>
      <c r="T193" s="14">
        <f>IFERROR(T186+T187+T188+T189+T190+T191+T192, "NA")</f>
        <v>16048.42</v>
      </c>
      <c r="U193" s="15">
        <f>IFERROR(T193/T444, "NA")</f>
        <v>2.9969657263136006E-2</v>
      </c>
      <c r="V193" s="2"/>
      <c r="W193" s="14">
        <f t="shared" si="50"/>
        <v>1074.6200000000008</v>
      </c>
      <c r="X193" s="15">
        <f>IFERROR(W193/W444, "NA")</f>
        <v>6.7029230712613241E-2</v>
      </c>
      <c r="Y193" s="2"/>
      <c r="Z193" s="14">
        <f>IFERROR(Z186+Z187+Z188+Z189+Z190+Z191+Z192, "NA")</f>
        <v>14198.75</v>
      </c>
      <c r="AA193" s="15">
        <f>IFERROR(Z193/Z444, "NA")</f>
        <v>2.9978981194978712E-2</v>
      </c>
      <c r="AB193" s="2"/>
      <c r="AC193" s="14">
        <f t="shared" si="51"/>
        <v>-775.04999999999927</v>
      </c>
      <c r="AD193" s="15">
        <f>IFERROR(AC193/AC444, "NA")</f>
        <v>-9.9496068875080008E-3</v>
      </c>
    </row>
    <row r="194" spans="1:30" ht="16.5" customHeight="1" x14ac:dyDescent="0.45">
      <c r="A194" s="6" t="s">
        <v>178</v>
      </c>
      <c r="B194" s="7">
        <v>248</v>
      </c>
      <c r="C194" s="8">
        <f>IFERROR(B194/B444, "NA")</f>
        <v>1.8993605435112101E-3</v>
      </c>
      <c r="D194" s="9"/>
      <c r="E194" s="7">
        <v>221.39</v>
      </c>
      <c r="F194" s="8">
        <f>IFERROR(E194/E444, "NA")</f>
        <v>1.9993461644053348E-3</v>
      </c>
      <c r="G194" s="9"/>
      <c r="H194" s="10">
        <f t="shared" si="48"/>
        <v>-26.610000000000014</v>
      </c>
      <c r="I194" s="8">
        <f>IFERROR(H194/H444, "NA")</f>
        <v>-1.3412933878923707E-3</v>
      </c>
      <c r="J194" s="9"/>
      <c r="K194" s="7">
        <v>212</v>
      </c>
      <c r="L194" s="8">
        <f>IFERROR(K194/K444, "NA")</f>
        <v>2.2208738677733605E-3</v>
      </c>
      <c r="M194" s="9"/>
      <c r="N194" s="10">
        <f t="shared" si="49"/>
        <v>-36</v>
      </c>
      <c r="O194" s="8">
        <f>IFERROR(N194/N444, "NA")</f>
        <v>-1.0252805708762219E-3</v>
      </c>
      <c r="P194" s="9"/>
      <c r="Q194" s="7">
        <v>1164</v>
      </c>
      <c r="R194" s="8">
        <f>IFERROR(Q194/Q444, "NA")</f>
        <v>2.1105268783485234E-3</v>
      </c>
      <c r="S194" s="9"/>
      <c r="T194" s="7">
        <v>1105.47</v>
      </c>
      <c r="U194" s="8">
        <f>IFERROR(T194/T444, "NA")</f>
        <v>2.0644123854360093E-3</v>
      </c>
      <c r="V194" s="9"/>
      <c r="W194" s="10">
        <f t="shared" si="50"/>
        <v>-58.529999999999973</v>
      </c>
      <c r="X194" s="8">
        <f>IFERROR(W194/W444, "NA")</f>
        <v>-3.6507983041533273E-3</v>
      </c>
      <c r="Y194" s="9"/>
      <c r="Z194" s="7">
        <v>974</v>
      </c>
      <c r="AA194" s="8">
        <f>IFERROR(Z194/Z444, "NA")</f>
        <v>2.056485795151634E-3</v>
      </c>
      <c r="AB194" s="9"/>
      <c r="AC194" s="10">
        <f t="shared" si="51"/>
        <v>-190</v>
      </c>
      <c r="AD194" s="8">
        <f>IFERROR(AC194/AC444, "NA")</f>
        <v>-2.4391011013825195E-3</v>
      </c>
    </row>
    <row r="195" spans="1:30" ht="16.5" customHeight="1" x14ac:dyDescent="0.45">
      <c r="A195" s="6" t="s">
        <v>179</v>
      </c>
      <c r="B195" s="7">
        <v>300.83999999999997</v>
      </c>
      <c r="C195" s="8">
        <f>IFERROR(B195/B444, "NA")</f>
        <v>2.3040468786690014E-3</v>
      </c>
      <c r="D195" s="9"/>
      <c r="E195" s="7">
        <v>193.72</v>
      </c>
      <c r="F195" s="8">
        <f>IFERROR(E195/E444, "NA")</f>
        <v>1.7494617596485905E-3</v>
      </c>
      <c r="G195" s="9"/>
      <c r="H195" s="10">
        <f t="shared" si="48"/>
        <v>-107.11999999999998</v>
      </c>
      <c r="I195" s="8">
        <f>IFERROR(H195/H444, "NA")</f>
        <v>-5.3994493690729291E-3</v>
      </c>
      <c r="J195" s="9"/>
      <c r="K195" s="7">
        <v>246.55</v>
      </c>
      <c r="L195" s="8">
        <f>IFERROR(K195/K444, "NA")</f>
        <v>2.582813453299632E-3</v>
      </c>
      <c r="M195" s="9"/>
      <c r="N195" s="10">
        <f t="shared" si="49"/>
        <v>-54.289999999999964</v>
      </c>
      <c r="O195" s="8">
        <f>IFERROR(N195/N444, "NA")</f>
        <v>-1.546180060913057E-3</v>
      </c>
      <c r="P195" s="9"/>
      <c r="Q195" s="7">
        <v>1550.92</v>
      </c>
      <c r="R195" s="8">
        <f>IFERROR(Q195/Q444, "NA")</f>
        <v>2.8120776169830689E-3</v>
      </c>
      <c r="S195" s="9"/>
      <c r="T195" s="7">
        <v>967.29</v>
      </c>
      <c r="U195" s="8">
        <f>IFERROR(T195/T444, "NA")</f>
        <v>1.8063678402022647E-3</v>
      </c>
      <c r="V195" s="9"/>
      <c r="W195" s="10">
        <f t="shared" si="50"/>
        <v>-583.63000000000011</v>
      </c>
      <c r="X195" s="8">
        <f>IFERROR(W195/W444, "NA")</f>
        <v>-3.6403817089578128E-2</v>
      </c>
      <c r="Y195" s="9"/>
      <c r="Z195" s="7">
        <v>1133.45</v>
      </c>
      <c r="AA195" s="8">
        <f>IFERROR(Z195/Z444, "NA")</f>
        <v>2.3931456103846198E-3</v>
      </c>
      <c r="AB195" s="9"/>
      <c r="AC195" s="10">
        <f t="shared" si="51"/>
        <v>-417.47</v>
      </c>
      <c r="AD195" s="8">
        <f>IFERROR(AC195/AC444, "NA")</f>
        <v>-5.3592186147061079E-3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32303.01</v>
      </c>
      <c r="C196" s="15">
        <f>IFERROR(B196/B444, "NA")</f>
        <v>0.24739944609132278</v>
      </c>
      <c r="D196" s="2"/>
      <c r="E196" s="14">
        <f>IFERROR(E175+E177+E178+E179+E180+E181+E183+E184+E186+E187+E188+E189+E190+E191+E192+E194+E195, "NA")</f>
        <v>30845.75</v>
      </c>
      <c r="F196" s="15">
        <f>IFERROR(E196/E444, "NA")</f>
        <v>0.27856421676997994</v>
      </c>
      <c r="G196" s="2"/>
      <c r="H196" s="14">
        <f t="shared" si="48"/>
        <v>-1457.2599999999984</v>
      </c>
      <c r="I196" s="15">
        <f>IFERROR(H196/H444, "NA")</f>
        <v>-7.3454085022173363E-2</v>
      </c>
      <c r="J196" s="2"/>
      <c r="K196" s="14">
        <f>IFERROR(K175+K177+K178+K179+K180+K181+K183+K184+K186+K187+K188+K189+K190+K191+K192+K194+K195, "NA")</f>
        <v>28943.069999999996</v>
      </c>
      <c r="L196" s="15">
        <f>IFERROR(K196/K444, "NA")</f>
        <v>0.30320239535912785</v>
      </c>
      <c r="M196" s="2"/>
      <c r="N196" s="14">
        <f t="shared" si="49"/>
        <v>-3359.9400000000023</v>
      </c>
      <c r="O196" s="15">
        <f>IFERROR(N196/N444, "NA")</f>
        <v>-9.5691144480829327E-2</v>
      </c>
      <c r="P196" s="2"/>
      <c r="Q196" s="14">
        <f>IFERROR(Q175+Q177+Q178+Q179+Q180+Q181+Q183+Q184+Q186+Q187+Q188+Q189+Q190+Q191+Q192+Q194+Q195, "NA")</f>
        <v>153000.48000000001</v>
      </c>
      <c r="R196" s="15">
        <f>IFERROR(Q196/Q444, "NA")</f>
        <v>0.27741548577338981</v>
      </c>
      <c r="S196" s="2"/>
      <c r="T196" s="14">
        <f>IFERROR(T175+T177+T178+T179+T180+T181+T183+T184+T186+T187+T188+T189+T190+T191+T192+T194+T195, "NA")</f>
        <v>156304.42000000001</v>
      </c>
      <c r="U196" s="15">
        <f>IFERROR(T196/T444, "NA")</f>
        <v>0.29189103326765259</v>
      </c>
      <c r="V196" s="2"/>
      <c r="W196" s="14">
        <f t="shared" si="50"/>
        <v>3303.9400000000023</v>
      </c>
      <c r="X196" s="15">
        <f>IFERROR(W196/W444, "NA")</f>
        <v>0.20608266784596546</v>
      </c>
      <c r="Y196" s="2"/>
      <c r="Z196" s="14">
        <f>IFERROR(Z175+Z177+Z178+Z179+Z180+Z181+Z183+Z184+Z186+Z187+Z188+Z189+Z190+Z191+Z192+Z194+Z195, "NA")</f>
        <v>148232.31000000003</v>
      </c>
      <c r="AA196" s="15">
        <f>IFERROR(Z196/Z444, "NA")</f>
        <v>0.31297498962783737</v>
      </c>
      <c r="AB196" s="2"/>
      <c r="AC196" s="14">
        <f t="shared" si="51"/>
        <v>-4768.1699999999837</v>
      </c>
      <c r="AD196" s="15">
        <f>IFERROR(AC196/AC444, "NA")</f>
        <v>-6.1210782624100256E-2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32303.01</v>
      </c>
      <c r="C197" s="15">
        <f>IFERROR(B197/B444, "NA")</f>
        <v>0.24739944609132278</v>
      </c>
      <c r="D197" s="2"/>
      <c r="E197" s="14">
        <f>IFERROR(E175+E177+E178+E179+E180+E181+E183+E184+E186+E187+E188+E189+E190+E191+E192+E194+E195, "NA")</f>
        <v>30845.75</v>
      </c>
      <c r="F197" s="15">
        <f>IFERROR(E197/E444, "NA")</f>
        <v>0.27856421676997994</v>
      </c>
      <c r="G197" s="2"/>
      <c r="H197" s="14">
        <f t="shared" si="48"/>
        <v>-1457.2599999999984</v>
      </c>
      <c r="I197" s="15">
        <f>IFERROR(H197/H444, "NA")</f>
        <v>-7.3454085022173363E-2</v>
      </c>
      <c r="J197" s="2"/>
      <c r="K197" s="14">
        <f>IFERROR(K175+K177+K178+K179+K180+K181+K183+K184+K186+K187+K188+K189+K190+K191+K192+K194+K195, "NA")</f>
        <v>28943.069999999996</v>
      </c>
      <c r="L197" s="15">
        <f>IFERROR(K197/K444, "NA")</f>
        <v>0.30320239535912785</v>
      </c>
      <c r="M197" s="2"/>
      <c r="N197" s="14">
        <f t="shared" si="49"/>
        <v>-3359.9400000000023</v>
      </c>
      <c r="O197" s="15">
        <f>IFERROR(N197/N444, "NA")</f>
        <v>-9.5691144480829327E-2</v>
      </c>
      <c r="P197" s="2"/>
      <c r="Q197" s="14">
        <f>IFERROR(Q175+Q177+Q178+Q179+Q180+Q181+Q183+Q184+Q186+Q187+Q188+Q189+Q190+Q191+Q192+Q194+Q195, "NA")</f>
        <v>153000.48000000001</v>
      </c>
      <c r="R197" s="15">
        <f>IFERROR(Q197/Q444, "NA")</f>
        <v>0.27741548577338981</v>
      </c>
      <c r="S197" s="2"/>
      <c r="T197" s="14">
        <f>IFERROR(T175+T177+T178+T179+T180+T181+T183+T184+T186+T187+T188+T189+T190+T191+T192+T194+T195, "NA")</f>
        <v>156304.42000000001</v>
      </c>
      <c r="U197" s="15">
        <f>IFERROR(T197/T444, "NA")</f>
        <v>0.29189103326765259</v>
      </c>
      <c r="V197" s="2"/>
      <c r="W197" s="14">
        <f t="shared" si="50"/>
        <v>3303.9400000000023</v>
      </c>
      <c r="X197" s="15">
        <f>IFERROR(W197/W444, "NA")</f>
        <v>0.20608266784596546</v>
      </c>
      <c r="Y197" s="2"/>
      <c r="Z197" s="14">
        <f>IFERROR(Z175+Z177+Z178+Z179+Z180+Z181+Z183+Z184+Z186+Z187+Z188+Z189+Z190+Z191+Z192+Z194+Z195, "NA")</f>
        <v>148232.31000000003</v>
      </c>
      <c r="AA197" s="15">
        <f>IFERROR(Z197/Z444, "NA")</f>
        <v>0.31297498962783737</v>
      </c>
      <c r="AB197" s="2"/>
      <c r="AC197" s="14">
        <f t="shared" si="51"/>
        <v>-4768.1699999999837</v>
      </c>
      <c r="AD197" s="15">
        <f>IFERROR(AC197/AC444, "NA")</f>
        <v>-6.1210782624100256E-2</v>
      </c>
    </row>
    <row r="198" spans="1:30" ht="16.5" customHeight="1" x14ac:dyDescent="0.45">
      <c r="A198" s="22" t="s">
        <v>181</v>
      </c>
      <c r="B198" s="23">
        <f>IFERROR(B172-B197, "NA")</f>
        <v>60010.120000000068</v>
      </c>
      <c r="C198" s="24">
        <f>IFERROR(B198/B444, "NA")</f>
        <v>0.45960021830392367</v>
      </c>
      <c r="D198" s="25"/>
      <c r="E198" s="23">
        <f>IFERROR(E172-E197, "NA")</f>
        <v>52756.31</v>
      </c>
      <c r="F198" s="24">
        <f>IFERROR(E198/E444, "NA")</f>
        <v>0.47643581935353357</v>
      </c>
      <c r="G198" s="25"/>
      <c r="H198" s="23">
        <f>IFERROR(B198-E198, "NA")</f>
        <v>7253.8100000000704</v>
      </c>
      <c r="I198" s="24">
        <f>IFERROR(H198/H444, "NA")</f>
        <v>0.36563274671280149</v>
      </c>
      <c r="J198" s="25"/>
      <c r="K198" s="23">
        <f>IFERROR(K172-K197, "NA")</f>
        <v>39057.99000000002</v>
      </c>
      <c r="L198" s="24">
        <f>IFERROR(K198/K444, "NA")</f>
        <v>0.40916447791864752</v>
      </c>
      <c r="M198" s="25"/>
      <c r="N198" s="23">
        <f>IFERROR(B198-K198, "NA")</f>
        <v>20952.130000000048</v>
      </c>
      <c r="O198" s="24">
        <f>IFERROR(N198/N444, "NA")</f>
        <v>0.5967169946520241</v>
      </c>
      <c r="P198" s="25"/>
      <c r="Q198" s="23">
        <f>IFERROR(Q172-Q197, "NA")</f>
        <v>236262.36000000002</v>
      </c>
      <c r="R198" s="24">
        <f>IFERROR(Q198/Q444, "NA")</f>
        <v>0.42838321402238411</v>
      </c>
      <c r="S198" s="25"/>
      <c r="T198" s="23">
        <f>IFERROR(T172-T197, "NA")</f>
        <v>241914.74999999991</v>
      </c>
      <c r="U198" s="24">
        <f>IFERROR(T198/T444, "NA")</f>
        <v>0.4517642325161747</v>
      </c>
      <c r="V198" s="25"/>
      <c r="W198" s="23">
        <f>IFERROR(Q198-T198, "NA")</f>
        <v>-5652.3899999998976</v>
      </c>
      <c r="X198" s="24">
        <f>IFERROR(W198/W444, "NA")</f>
        <v>-0.35256681746818486</v>
      </c>
      <c r="Y198" s="25"/>
      <c r="Z198" s="23">
        <f>IFERROR(Z172-Z197, "NA")</f>
        <v>191070.33999999994</v>
      </c>
      <c r="AA198" s="24">
        <f>IFERROR(Z198/Z444, "NA")</f>
        <v>0.40342242308500303</v>
      </c>
      <c r="AB198" s="25"/>
      <c r="AC198" s="23">
        <f>IFERROR(Q198-Z198, "NA")</f>
        <v>45192.020000000077</v>
      </c>
      <c r="AD198" s="24">
        <f>IFERROR(AC198/AC444, "NA")</f>
        <v>0.58014687239842655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2325.35</v>
      </c>
      <c r="F201" s="8">
        <f>IFERROR(E201/E444, "NA")</f>
        <v>2.0999953039432428E-2</v>
      </c>
      <c r="G201" s="9"/>
      <c r="H201" s="10">
        <f t="shared" ref="H201:H209" si="52">IFERROR(-(B201-E201), "NA")</f>
        <v>2325.35</v>
      </c>
      <c r="I201" s="8">
        <f>IFERROR(H201/H444, "NA")</f>
        <v>0.11721069445830599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11585.98</v>
      </c>
      <c r="U201" s="8">
        <f>IFERROR(T201/T444, "NA")</f>
        <v>2.1636263860090182E-2</v>
      </c>
      <c r="V201" s="9"/>
      <c r="W201" s="10">
        <f t="shared" ref="W201:W209" si="54">IFERROR(-(Q201-T201), "NA")</f>
        <v>11585.98</v>
      </c>
      <c r="X201" s="8">
        <f>IFERROR(W201/W444, "NA")</f>
        <v>0.72267343475063017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1627.45</v>
      </c>
      <c r="C202" s="8">
        <f>IFERROR(B202/B444, "NA")</f>
        <v>1.2464170631198866E-2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-1627.45</v>
      </c>
      <c r="I202" s="8">
        <f>IFERROR(H202/H444, "NA")</f>
        <v>-8.2032616464691385E-2</v>
      </c>
      <c r="J202" s="9"/>
      <c r="K202" s="7">
        <v>1251.23</v>
      </c>
      <c r="L202" s="8">
        <f>IFERROR(K202/K444, "NA")</f>
        <v>1.3107660422519159E-2</v>
      </c>
      <c r="M202" s="9"/>
      <c r="N202" s="10">
        <f t="shared" si="53"/>
        <v>-376.22</v>
      </c>
      <c r="O202" s="8">
        <f>IFERROR(N202/N444, "NA")</f>
        <v>-1.0714751565973674E-2</v>
      </c>
      <c r="P202" s="9"/>
      <c r="Q202" s="7">
        <v>8261.6</v>
      </c>
      <c r="R202" s="8">
        <f>IFERROR(Q202/Q444, "NA")</f>
        <v>1.4979663967494984E-2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-8261.6</v>
      </c>
      <c r="X202" s="8">
        <f>IFERROR(W202/W444, "NA")</f>
        <v>-0.51531582555259092</v>
      </c>
      <c r="Y202" s="9"/>
      <c r="Z202" s="7">
        <v>5889.13</v>
      </c>
      <c r="AA202" s="8">
        <f>IFERROR(Z202/Z444, "NA")</f>
        <v>1.2434201427927458E-2</v>
      </c>
      <c r="AB202" s="9"/>
      <c r="AC202" s="10">
        <f t="shared" si="55"/>
        <v>-2372.4700000000003</v>
      </c>
      <c r="AD202" s="8">
        <f>IFERROR(AC202/AC444, "NA")</f>
        <v>-3.0456285210510456E-2</v>
      </c>
    </row>
    <row r="203" spans="1:30" ht="16.5" customHeight="1" x14ac:dyDescent="0.45">
      <c r="A203" s="6" t="s">
        <v>185</v>
      </c>
      <c r="B203" s="7">
        <v>601.73</v>
      </c>
      <c r="C203" s="8">
        <f>IFERROR(B203/B444, "NA")</f>
        <v>4.6084766929314538E-3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-601.73</v>
      </c>
      <c r="I203" s="8">
        <f>IFERROR(H203/H444, "NA")</f>
        <v>-3.0330570097575192E-2</v>
      </c>
      <c r="J203" s="9"/>
      <c r="K203" s="7">
        <v>438</v>
      </c>
      <c r="L203" s="8">
        <f>IFERROR(K203/K444, "NA")</f>
        <v>4.5884092173808103E-3</v>
      </c>
      <c r="M203" s="9"/>
      <c r="N203" s="10">
        <f t="shared" si="53"/>
        <v>-163.73000000000002</v>
      </c>
      <c r="O203" s="8">
        <f>IFERROR(N203/N444, "NA")</f>
        <v>-4.6630329963767737E-3</v>
      </c>
      <c r="P203" s="9"/>
      <c r="Q203" s="7">
        <v>3942.31</v>
      </c>
      <c r="R203" s="8">
        <f>IFERROR(Q203/Q444, "NA")</f>
        <v>7.1480680565138895E-3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-3942.31</v>
      </c>
      <c r="X203" s="8">
        <f>IFERROR(W203/W444, "NA")</f>
        <v>-0.24590088266609789</v>
      </c>
      <c r="Y203" s="9"/>
      <c r="Z203" s="7">
        <v>2123.77</v>
      </c>
      <c r="AA203" s="8">
        <f>IFERROR(Z203/Z444, "NA")</f>
        <v>4.484089155204503E-3</v>
      </c>
      <c r="AB203" s="9"/>
      <c r="AC203" s="10">
        <f t="shared" si="55"/>
        <v>-1818.54</v>
      </c>
      <c r="AD203" s="8">
        <f>IFERROR(AC203/AC444, "NA")</f>
        <v>-2.3345278510042984E-2</v>
      </c>
    </row>
    <row r="204" spans="1:30" ht="16.5" customHeight="1" x14ac:dyDescent="0.45">
      <c r="A204" s="6" t="s">
        <v>186</v>
      </c>
      <c r="B204" s="7">
        <v>364.01</v>
      </c>
      <c r="C204" s="8">
        <f>IFERROR(B204/B444, "NA")</f>
        <v>2.7878477074335306E-3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-364.01</v>
      </c>
      <c r="I204" s="8">
        <f>IFERROR(H204/H444, "NA")</f>
        <v>-1.8348147543280784E-2</v>
      </c>
      <c r="J204" s="9"/>
      <c r="K204" s="7">
        <v>-8.84</v>
      </c>
      <c r="L204" s="8">
        <f>IFERROR(K204/K444, "NA")</f>
        <v>-9.2606249958096716E-5</v>
      </c>
      <c r="M204" s="9"/>
      <c r="N204" s="10">
        <f t="shared" si="53"/>
        <v>-372.84999999999997</v>
      </c>
      <c r="O204" s="8">
        <f>IFERROR(N204/N444, "NA")</f>
        <v>-1.0618773912533314E-2</v>
      </c>
      <c r="P204" s="9"/>
      <c r="Q204" s="7">
        <v>981.14</v>
      </c>
      <c r="R204" s="8">
        <f>IFERROR(Q204/Q444, "NA")</f>
        <v>1.7789710836966239E-3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-981.14</v>
      </c>
      <c r="X204" s="8">
        <f>IFERROR(W204/W444, "NA")</f>
        <v>-6.1198432395984916E-2</v>
      </c>
      <c r="Y204" s="9"/>
      <c r="Z204" s="7">
        <v>565.29</v>
      </c>
      <c r="AA204" s="8">
        <f>IFERROR(Z204/Z444, "NA")</f>
        <v>1.193542972424299E-3</v>
      </c>
      <c r="AB204" s="9"/>
      <c r="AC204" s="10">
        <f t="shared" si="55"/>
        <v>-415.85</v>
      </c>
      <c r="AD204" s="8">
        <f>IFERROR(AC204/AC444, "NA")</f>
        <v>-5.3384220684732676E-3</v>
      </c>
    </row>
    <row r="205" spans="1:30" ht="16.5" customHeight="1" x14ac:dyDescent="0.45">
      <c r="A205" s="6" t="s">
        <v>187</v>
      </c>
      <c r="B205" s="7">
        <v>242.39</v>
      </c>
      <c r="C205" s="8">
        <f>IFERROR(B205/B444, "NA")</f>
        <v>1.8563951699261379E-3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-242.39</v>
      </c>
      <c r="I205" s="8">
        <f>IFERROR(H205/H444, "NA")</f>
        <v>-1.221781677156075E-2</v>
      </c>
      <c r="J205" s="9"/>
      <c r="K205" s="7">
        <v>291.39999999999998</v>
      </c>
      <c r="L205" s="8">
        <f>IFERROR(K205/K444, "NA")</f>
        <v>3.0526539861752697E-3</v>
      </c>
      <c r="M205" s="9"/>
      <c r="N205" s="10">
        <f t="shared" si="53"/>
        <v>49.009999999999991</v>
      </c>
      <c r="O205" s="8">
        <f>IFERROR(N205/N444, "NA")</f>
        <v>1.3958055771845453E-3</v>
      </c>
      <c r="P205" s="9"/>
      <c r="Q205" s="7">
        <v>1214.77</v>
      </c>
      <c r="R205" s="8">
        <f>IFERROR(Q205/Q444, "NA")</f>
        <v>2.2025813883259759E-3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-1214.77</v>
      </c>
      <c r="X205" s="8">
        <f>IFERROR(W205/W444, "NA")</f>
        <v>-7.5771061950048513E-2</v>
      </c>
      <c r="Y205" s="9"/>
      <c r="Z205" s="7">
        <v>1201.17</v>
      </c>
      <c r="AA205" s="8">
        <f>IFERROR(Z205/Z444, "NA")</f>
        <v>2.5361283804540952E-3</v>
      </c>
      <c r="AB205" s="9"/>
      <c r="AC205" s="10">
        <f t="shared" si="55"/>
        <v>-13.599999999999909</v>
      </c>
      <c r="AD205" s="8">
        <f>IFERROR(AC205/AC444, "NA")</f>
        <v>-1.7458828936211602E-4</v>
      </c>
    </row>
    <row r="206" spans="1:30" ht="16.5" customHeight="1" x14ac:dyDescent="0.45">
      <c r="A206" s="6" t="s">
        <v>188</v>
      </c>
      <c r="B206" s="7">
        <v>238.53</v>
      </c>
      <c r="C206" s="8">
        <f>IFERROR(B206/B444, "NA")</f>
        <v>1.8268325421118103E-3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-238.53</v>
      </c>
      <c r="I206" s="8">
        <f>IFERROR(H206/H444, "NA")</f>
        <v>-1.2023251101614695E-2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-238.53</v>
      </c>
      <c r="O206" s="8">
        <f>IFERROR(N206/N444, "NA")</f>
        <v>-6.793338182530701E-3</v>
      </c>
      <c r="P206" s="9"/>
      <c r="Q206" s="7">
        <v>271.58</v>
      </c>
      <c r="R206" s="8">
        <f>IFERROR(Q206/Q444, "NA")</f>
        <v>4.9242000826623018E-4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-271.58</v>
      </c>
      <c r="X206" s="8">
        <f>IFERROR(W206/W444, "NA")</f>
        <v>-1.693975403112867E-2</v>
      </c>
      <c r="Y206" s="9"/>
      <c r="Z206" s="7">
        <v>0</v>
      </c>
      <c r="AA206" s="8">
        <f>IFERROR(Z206/Z444, "NA")</f>
        <v>0</v>
      </c>
      <c r="AB206" s="9"/>
      <c r="AC206" s="10">
        <f t="shared" si="55"/>
        <v>-271.58</v>
      </c>
      <c r="AD206" s="8">
        <f>IFERROR(AC206/AC444, "NA")</f>
        <v>-3.4863740900708665E-3</v>
      </c>
    </row>
    <row r="207" spans="1:30" ht="16.5" customHeight="1" x14ac:dyDescent="0.45">
      <c r="A207" s="6" t="s">
        <v>189</v>
      </c>
      <c r="B207" s="7">
        <v>488.7</v>
      </c>
      <c r="C207" s="8">
        <f>IFERROR(B207/B444, "NA")</f>
        <v>3.7428124903787431E-3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-488.7</v>
      </c>
      <c r="I207" s="8">
        <f>IFERROR(H207/H444, "NA")</f>
        <v>-2.4633223549906096E-2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-488.7</v>
      </c>
      <c r="O207" s="8">
        <f>IFERROR(N207/N444, "NA")</f>
        <v>-1.3918183749644713E-2</v>
      </c>
      <c r="P207" s="9"/>
      <c r="Q207" s="7">
        <v>588.29999999999995</v>
      </c>
      <c r="R207" s="8">
        <f>IFERROR(Q207/Q444, "NA")</f>
        <v>1.0666863939282098E-3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-588.29999999999995</v>
      </c>
      <c r="X207" s="8">
        <f>IFERROR(W207/W444, "NA")</f>
        <v>-3.6695107506123412E-2</v>
      </c>
      <c r="Y207" s="9"/>
      <c r="Z207" s="7">
        <v>308.3</v>
      </c>
      <c r="AA207" s="8">
        <f>IFERROR(Z207/Z444, "NA")</f>
        <v>6.5093898423536844E-4</v>
      </c>
      <c r="AB207" s="9"/>
      <c r="AC207" s="10">
        <f t="shared" si="55"/>
        <v>-279.99999999999994</v>
      </c>
      <c r="AD207" s="8">
        <f>IFERROR(AC207/AC444, "NA")</f>
        <v>-3.594464780984765E-3</v>
      </c>
    </row>
    <row r="208" spans="1:30" ht="16.5" customHeight="1" x14ac:dyDescent="0.45">
      <c r="A208" s="6" t="s">
        <v>190</v>
      </c>
      <c r="B208" s="7">
        <v>12.84</v>
      </c>
      <c r="C208" s="8">
        <f>IFERROR(B208/B444, "NA")</f>
        <v>9.8337860397919094E-5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-12.84</v>
      </c>
      <c r="I208" s="8">
        <f>IFERROR(H208/H444, "NA")</f>
        <v>-6.4720808344750208E-4</v>
      </c>
      <c r="J208" s="9"/>
      <c r="K208" s="7">
        <v>806.32</v>
      </c>
      <c r="L208" s="8">
        <f>IFERROR(K208/K444, "NA")</f>
        <v>8.4468632880330945E-3</v>
      </c>
      <c r="M208" s="9"/>
      <c r="N208" s="10">
        <f t="shared" si="53"/>
        <v>793.48</v>
      </c>
      <c r="O208" s="8">
        <f>IFERROR(N208/N444, "NA")</f>
        <v>2.2598322982746239E-2</v>
      </c>
      <c r="P208" s="9"/>
      <c r="Q208" s="7">
        <v>589.79</v>
      </c>
      <c r="R208" s="8">
        <f>IFERROR(Q208/Q444, "NA")</f>
        <v>1.0693880133858897E-3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-589.79</v>
      </c>
      <c r="X208" s="8">
        <f>IFERROR(W208/W444, "NA")</f>
        <v>-3.6788045990203175E-2</v>
      </c>
      <c r="Y208" s="9"/>
      <c r="Z208" s="7">
        <v>1435.55</v>
      </c>
      <c r="AA208" s="8">
        <f>IFERROR(Z208/Z444, "NA")</f>
        <v>3.0309940279568052E-3</v>
      </c>
      <c r="AB208" s="9"/>
      <c r="AC208" s="10">
        <f t="shared" si="55"/>
        <v>845.76</v>
      </c>
      <c r="AD208" s="8">
        <f>IFERROR(AC208/AC444, "NA")</f>
        <v>1.0857337618448841E-2</v>
      </c>
    </row>
    <row r="209" spans="1:30" ht="16.5" customHeight="1" x14ac:dyDescent="0.45">
      <c r="A209" s="19" t="s">
        <v>191</v>
      </c>
      <c r="B209" s="14">
        <f>IFERROR(B201+B202+B203+B204+B205+B206+B207+B208, "NA")</f>
        <v>3575.6500000000005</v>
      </c>
      <c r="C209" s="15">
        <f>IFERROR(B209/B444, "NA")</f>
        <v>2.7384873094378464E-2</v>
      </c>
      <c r="D209" s="2"/>
      <c r="E209" s="14">
        <f>IFERROR(E201+E202+E203+E204+E205+E206+E207+E208, "NA")</f>
        <v>2325.35</v>
      </c>
      <c r="F209" s="15">
        <f>IFERROR(E209/E444, "NA")</f>
        <v>2.0999953039432428E-2</v>
      </c>
      <c r="G209" s="2"/>
      <c r="H209" s="14">
        <f t="shared" si="52"/>
        <v>-1250.3000000000006</v>
      </c>
      <c r="I209" s="15">
        <f>IFERROR(H209/H444, "NA")</f>
        <v>-6.3022139153770432E-2</v>
      </c>
      <c r="J209" s="2"/>
      <c r="K209" s="14">
        <f>IFERROR(K201+K202+K203+K204+K205+K206+K207+K208, "NA")</f>
        <v>2778.11</v>
      </c>
      <c r="L209" s="15">
        <f>IFERROR(K209/K444, "NA")</f>
        <v>2.9102980664150235E-2</v>
      </c>
      <c r="M209" s="2"/>
      <c r="N209" s="14">
        <f t="shared" si="53"/>
        <v>-797.54000000000042</v>
      </c>
      <c r="O209" s="15">
        <f>IFERROR(N209/N444, "NA")</f>
        <v>-2.2713951847128402E-2</v>
      </c>
      <c r="P209" s="2"/>
      <c r="Q209" s="14">
        <f>IFERROR(Q201+Q202+Q203+Q204+Q205+Q206+Q207+Q208, "NA")</f>
        <v>15849.489999999998</v>
      </c>
      <c r="R209" s="15">
        <f>IFERROR(Q209/Q444, "NA")</f>
        <v>2.8737778911611798E-2</v>
      </c>
      <c r="S209" s="2"/>
      <c r="T209" s="14">
        <f>IFERROR(T201+T202+T203+T204+T205+T206+T207+T208, "NA")</f>
        <v>11585.98</v>
      </c>
      <c r="U209" s="15">
        <f>IFERROR(T209/T444, "NA")</f>
        <v>2.1636263860090182E-2</v>
      </c>
      <c r="V209" s="2"/>
      <c r="W209" s="14">
        <f t="shared" si="54"/>
        <v>-4263.5099999999984</v>
      </c>
      <c r="X209" s="15">
        <f>IFERROR(W209/W444, "NA")</f>
        <v>-0.26593567534154711</v>
      </c>
      <c r="Y209" s="2"/>
      <c r="Z209" s="14">
        <f>IFERROR(Z201+Z202+Z203+Z204+Z205+Z206+Z207+Z208, "NA")</f>
        <v>11523.209999999997</v>
      </c>
      <c r="AA209" s="15">
        <f>IFERROR(Z209/Z444, "NA")</f>
        <v>2.4329894948202521E-2</v>
      </c>
      <c r="AB209" s="2"/>
      <c r="AC209" s="14">
        <f t="shared" si="55"/>
        <v>-4326.2800000000007</v>
      </c>
      <c r="AD209" s="15">
        <f>IFERROR(AC209/AC444, "NA")</f>
        <v>-5.5538075330995626E-2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2564.02</v>
      </c>
      <c r="F213" s="8">
        <f>IFERROR(E213/E444, "NA")</f>
        <v>2.3155352782233012E-2</v>
      </c>
      <c r="G213" s="9"/>
      <c r="H213" s="10">
        <f t="shared" ref="H213:H227" si="56">IFERROR(-(B213-E213), "NA")</f>
        <v>2564.02</v>
      </c>
      <c r="I213" s="8">
        <f>IFERROR(H213/H444, "NA")</f>
        <v>0.12924100234587729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12721.63</v>
      </c>
      <c r="U213" s="8">
        <f>IFERROR(T213/T444, "NA")</f>
        <v>2.3757035952974119E-2</v>
      </c>
      <c r="V213" s="9"/>
      <c r="W213" s="10">
        <f t="shared" ref="W213:W227" si="58">IFERROR(-(Q213-T213), "NA")</f>
        <v>12721.63</v>
      </c>
      <c r="X213" s="8">
        <f>IFERROR(W213/W444, "NA")</f>
        <v>0.79350940082122179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747.06</v>
      </c>
      <c r="C214" s="8">
        <f>IFERROR(B214/B444, "NA")</f>
        <v>5.72151728885276E-3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-747.06</v>
      </c>
      <c r="I214" s="8">
        <f>IFERROR(H214/H444, "NA")</f>
        <v>-3.7656017976658171E-2</v>
      </c>
      <c r="J214" s="9"/>
      <c r="K214" s="7">
        <v>425</v>
      </c>
      <c r="L214" s="8">
        <f>IFERROR(K214/K444, "NA")</f>
        <v>4.4522235556777269E-3</v>
      </c>
      <c r="M214" s="9"/>
      <c r="N214" s="10">
        <f t="shared" si="57"/>
        <v>-322.05999999999995</v>
      </c>
      <c r="O214" s="8">
        <f>IFERROR(N214/N444, "NA")</f>
        <v>-9.1722739071221117E-3</v>
      </c>
      <c r="P214" s="9"/>
      <c r="Q214" s="7">
        <v>11257.65</v>
      </c>
      <c r="R214" s="8">
        <f>IFERROR(Q214/Q444, "NA")</f>
        <v>2.0412004219965856E-2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-11257.65</v>
      </c>
      <c r="X214" s="8">
        <f>IFERROR(W214/W444, "NA")</f>
        <v>-0.70219390959767169</v>
      </c>
      <c r="Y214" s="9"/>
      <c r="Z214" s="7">
        <v>2005</v>
      </c>
      <c r="AA214" s="8">
        <f>IFERROR(Z214/Z444, "NA")</f>
        <v>4.2333203483357566E-3</v>
      </c>
      <c r="AB214" s="9"/>
      <c r="AC214" s="10">
        <f t="shared" si="59"/>
        <v>-9252.65</v>
      </c>
      <c r="AD214" s="8">
        <f>IFERROR(AC214/AC444, "NA")</f>
        <v>-0.11877973055635246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2.41</v>
      </c>
      <c r="R216" s="8">
        <f>IFERROR(Q216/Q444, "NA")</f>
        <v>4.3697334852404998E-6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-2.41</v>
      </c>
      <c r="X216" s="8">
        <f>IFERROR(W216/W444, "NA")</f>
        <v>-1.5032331988740002E-4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-2.41</v>
      </c>
      <c r="AD216" s="8">
        <f>IFERROR(AC216/AC444, "NA")</f>
        <v>-3.0938071864904592E-5</v>
      </c>
    </row>
    <row r="217" spans="1:30" ht="16.5" customHeight="1" x14ac:dyDescent="0.45">
      <c r="A217" s="12" t="s">
        <v>197</v>
      </c>
      <c r="B217" s="7">
        <v>1237.29</v>
      </c>
      <c r="C217" s="8">
        <f>IFERROR(B217/B444, "NA")</f>
        <v>9.476047608391068E-3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-1237.29</v>
      </c>
      <c r="I217" s="8">
        <f>IFERROR(H217/H444, "NA")</f>
        <v>-6.2366362115947031E-2</v>
      </c>
      <c r="J217" s="9"/>
      <c r="K217" s="7">
        <v>150</v>
      </c>
      <c r="L217" s="8">
        <f>IFERROR(K217/K444, "NA")</f>
        <v>1.5713730196509625E-3</v>
      </c>
      <c r="M217" s="9"/>
      <c r="N217" s="10">
        <f t="shared" si="57"/>
        <v>-1087.29</v>
      </c>
      <c r="O217" s="8">
        <f>IFERROR(N217/N444, "NA")</f>
        <v>-3.0966036441889094E-2</v>
      </c>
      <c r="P217" s="9"/>
      <c r="Q217" s="7">
        <v>9584.9599999999991</v>
      </c>
      <c r="R217" s="8">
        <f>IFERROR(Q217/Q444, "NA")</f>
        <v>1.7379137206095758E-2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-9584.9599999999991</v>
      </c>
      <c r="X217" s="8">
        <f>IFERROR(W217/W444, "NA")</f>
        <v>-0.59786016937258646</v>
      </c>
      <c r="Y217" s="9"/>
      <c r="Z217" s="7">
        <v>707.97</v>
      </c>
      <c r="AA217" s="8">
        <f>IFERROR(Z217/Z444, "NA")</f>
        <v>1.4947949162150949E-3</v>
      </c>
      <c r="AB217" s="9"/>
      <c r="AC217" s="10">
        <f t="shared" si="59"/>
        <v>-8876.99</v>
      </c>
      <c r="AD217" s="8">
        <f>IFERROR(AC217/AC444, "NA")</f>
        <v>-0.1139572425576927</v>
      </c>
    </row>
    <row r="218" spans="1:30" ht="16.5" customHeight="1" x14ac:dyDescent="0.45">
      <c r="A218" s="13" t="s">
        <v>198</v>
      </c>
      <c r="B218" s="14">
        <f>IFERROR(B213+B214+B215+B216+B217, "NA")</f>
        <v>1984.35</v>
      </c>
      <c r="C218" s="15">
        <f>IFERROR(B218/B444, "NA")</f>
        <v>1.5197564897243828E-2</v>
      </c>
      <c r="D218" s="2"/>
      <c r="E218" s="14">
        <f>IFERROR(E213+E214+E215+E216+E217, "NA")</f>
        <v>2564.02</v>
      </c>
      <c r="F218" s="15">
        <f>IFERROR(E218/E444, "NA")</f>
        <v>2.3155352782233012E-2</v>
      </c>
      <c r="G218" s="2"/>
      <c r="H218" s="14">
        <f t="shared" si="56"/>
        <v>579.67000000000007</v>
      </c>
      <c r="I218" s="15">
        <f>IFERROR(H218/H444, "NA")</f>
        <v>2.9218622253272087E-2</v>
      </c>
      <c r="J218" s="2"/>
      <c r="K218" s="14">
        <f>IFERROR(K213+K214+K215+K216+K217, "NA")</f>
        <v>575</v>
      </c>
      <c r="L218" s="15">
        <f>IFERROR(K218/K444, "NA")</f>
        <v>6.0235965753286892E-3</v>
      </c>
      <c r="M218" s="2"/>
      <c r="N218" s="14">
        <f t="shared" si="57"/>
        <v>-1409.35</v>
      </c>
      <c r="O218" s="15">
        <f>IFERROR(N218/N444, "NA")</f>
        <v>-4.0138310349011205E-2</v>
      </c>
      <c r="P218" s="2"/>
      <c r="Q218" s="14">
        <f>IFERROR(Q213+Q214+Q215+Q216+Q217, "NA")</f>
        <v>20845.019999999997</v>
      </c>
      <c r="R218" s="15">
        <f>IFERROR(Q218/Q444, "NA")</f>
        <v>3.7795511159546845E-2</v>
      </c>
      <c r="S218" s="2"/>
      <c r="T218" s="14">
        <f>IFERROR(T213+T214+T215+T216+T217, "NA")</f>
        <v>12721.63</v>
      </c>
      <c r="U218" s="15">
        <f>IFERROR(T218/T444, "NA")</f>
        <v>2.3757035952974119E-2</v>
      </c>
      <c r="V218" s="2"/>
      <c r="W218" s="14">
        <f t="shared" si="58"/>
        <v>-8123.3899999999976</v>
      </c>
      <c r="X218" s="15">
        <f>IFERROR(W218/W444, "NA")</f>
        <v>-0.50669500146892366</v>
      </c>
      <c r="Y218" s="2"/>
      <c r="Z218" s="14">
        <f>IFERROR(Z213+Z214+Z215+Z216+Z217, "NA")</f>
        <v>2712.9700000000003</v>
      </c>
      <c r="AA218" s="15">
        <f>IFERROR(Z218/Z444, "NA")</f>
        <v>5.7281152645508515E-3</v>
      </c>
      <c r="AB218" s="2"/>
      <c r="AC218" s="14">
        <f t="shared" si="59"/>
        <v>-18132.049999999996</v>
      </c>
      <c r="AD218" s="15">
        <f>IFERROR(AC218/AC444, "NA")</f>
        <v>-0.23276791118591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185.98</v>
      </c>
      <c r="C222" s="8">
        <f>IFERROR(B222/B444, "NA")</f>
        <v>1.4243672333960275E-3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-185.98</v>
      </c>
      <c r="I222" s="8">
        <f>IFERROR(H222/H444, "NA")</f>
        <v>-9.374436087193648E-3</v>
      </c>
      <c r="J222" s="9"/>
      <c r="K222" s="7">
        <v>150</v>
      </c>
      <c r="L222" s="8">
        <f>IFERROR(K222/K444, "NA")</f>
        <v>1.5713730196509625E-3</v>
      </c>
      <c r="M222" s="9"/>
      <c r="N222" s="10">
        <f t="shared" si="57"/>
        <v>-35.97999999999999</v>
      </c>
      <c r="O222" s="8">
        <f>IFERROR(N222/N444, "NA")</f>
        <v>-1.0247109705590683E-3</v>
      </c>
      <c r="P222" s="9"/>
      <c r="Q222" s="7">
        <v>1427.24</v>
      </c>
      <c r="R222" s="8">
        <f>IFERROR(Q222/Q444, "NA")</f>
        <v>2.5878250703214316E-3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-1427.24</v>
      </c>
      <c r="X222" s="8">
        <f>IFERROR(W222/W444, "NA")</f>
        <v>-8.9023840280536434E-2</v>
      </c>
      <c r="Y222" s="9"/>
      <c r="Z222" s="7">
        <v>750</v>
      </c>
      <c r="AA222" s="8">
        <f>IFERROR(Z222/Z444, "NA")</f>
        <v>1.5835362899011556E-3</v>
      </c>
      <c r="AB222" s="9"/>
      <c r="AC222" s="10">
        <f t="shared" si="59"/>
        <v>-677.24</v>
      </c>
      <c r="AD222" s="8">
        <f>IFERROR(AC222/AC444, "NA")</f>
        <v>-8.6939833152647247E-3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110.73</v>
      </c>
      <c r="F226" s="8">
        <f>IFERROR(E226/E444, "NA")</f>
        <v>9.9998916294594489E-4</v>
      </c>
      <c r="G226" s="9"/>
      <c r="H226" s="10">
        <f t="shared" si="56"/>
        <v>110.73</v>
      </c>
      <c r="I226" s="8">
        <f>IFERROR(H226/H444, "NA")</f>
        <v>5.5814136355250713E-3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535.48</v>
      </c>
      <c r="U226" s="8">
        <f>IFERROR(T226/T444, "NA")</f>
        <v>9.999833049773167E-4</v>
      </c>
      <c r="V226" s="9"/>
      <c r="W226" s="10">
        <f t="shared" si="58"/>
        <v>535.48</v>
      </c>
      <c r="X226" s="8">
        <f>IFERROR(W226/W444, "NA")</f>
        <v>3.3400469432906622E-2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2170.33</v>
      </c>
      <c r="C227" s="15">
        <f>IFERROR(B227/B444, "NA")</f>
        <v>1.6621932130639856E-2</v>
      </c>
      <c r="D227" s="2"/>
      <c r="E227" s="14">
        <f>IFERROR(E211+E213+E214+E215+E216+E217+E219+E220+E221+E222+E223+E224+E225+E226, "NA")</f>
        <v>2674.75</v>
      </c>
      <c r="F227" s="15">
        <f>IFERROR(E227/E444, "NA")</f>
        <v>2.4155341945178956E-2</v>
      </c>
      <c r="G227" s="2"/>
      <c r="H227" s="14">
        <f t="shared" si="56"/>
        <v>504.42000000000007</v>
      </c>
      <c r="I227" s="15">
        <f>IFERROR(H227/H444, "NA")</f>
        <v>2.5425599801603509E-2</v>
      </c>
      <c r="J227" s="2"/>
      <c r="K227" s="14">
        <f>IFERROR(K211+K213+K214+K215+K216+K217+K219+K220+K221+K222+K223+K224+K225+K226, "NA")</f>
        <v>725</v>
      </c>
      <c r="L227" s="15">
        <f>IFERROR(K227/K444, "NA")</f>
        <v>7.5949695949796515E-3</v>
      </c>
      <c r="M227" s="2"/>
      <c r="N227" s="14">
        <f t="shared" si="57"/>
        <v>-1445.33</v>
      </c>
      <c r="O227" s="15">
        <f>IFERROR(N227/N444, "NA")</f>
        <v>-4.1163021319570274E-2</v>
      </c>
      <c r="P227" s="2"/>
      <c r="Q227" s="14">
        <f>IFERROR(Q211+Q213+Q214+Q215+Q216+Q217+Q219+Q220+Q221+Q222+Q223+Q224+Q225+Q226, "NA")</f>
        <v>22272.26</v>
      </c>
      <c r="R227" s="15">
        <f>IFERROR(Q227/Q444, "NA")</f>
        <v>4.0383336229868283E-2</v>
      </c>
      <c r="S227" s="2"/>
      <c r="T227" s="14">
        <f>IFERROR(T211+T213+T214+T215+T216+T217+T219+T220+T221+T222+T223+T224+T225+T226, "NA")</f>
        <v>13257.109999999999</v>
      </c>
      <c r="U227" s="15">
        <f>IFERROR(T227/T444, "NA")</f>
        <v>2.4757019257951433E-2</v>
      </c>
      <c r="V227" s="2"/>
      <c r="W227" s="14">
        <f t="shared" si="58"/>
        <v>-9015.15</v>
      </c>
      <c r="X227" s="15">
        <f>IFERROR(W227/W444, "NA")</f>
        <v>-0.56231837231655357</v>
      </c>
      <c r="Y227" s="2"/>
      <c r="Z227" s="14">
        <f>IFERROR(Z211+Z213+Z214+Z215+Z216+Z217+Z219+Z220+Z221+Z222+Z223+Z224+Z225+Z226, "NA")</f>
        <v>3462.9700000000003</v>
      </c>
      <c r="AA227" s="15">
        <f>IFERROR(Z227/Z444, "NA")</f>
        <v>7.3116515544520075E-3</v>
      </c>
      <c r="AB227" s="2"/>
      <c r="AC227" s="14">
        <f t="shared" si="59"/>
        <v>-18809.289999999997</v>
      </c>
      <c r="AD227" s="15">
        <f>IFERROR(AC227/AC444, "NA")</f>
        <v>-0.24146189450117475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1328.77</v>
      </c>
      <c r="F229" s="8">
        <f>IFERROR(E229/E444, "NA")</f>
        <v>1.1999960264135131E-2</v>
      </c>
      <c r="G229" s="9"/>
      <c r="H229" s="10">
        <f t="shared" ref="H229:H236" si="60">IFERROR(-(B229-E229), "NA")</f>
        <v>1328.77</v>
      </c>
      <c r="I229" s="8">
        <f>IFERROR(H229/H444, "NA")</f>
        <v>6.6977467682440603E-2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6425.86</v>
      </c>
      <c r="U229" s="8">
        <f>IFERROR(T229/T444, "NA")</f>
        <v>1.1999986404947972E-2</v>
      </c>
      <c r="V229" s="9"/>
      <c r="W229" s="10">
        <f t="shared" ref="W229:W236" si="62">IFERROR(-(Q229-T229), "NA")</f>
        <v>6425.86</v>
      </c>
      <c r="X229" s="8">
        <f>IFERROR(W229/W444, "NA")</f>
        <v>0.40081187067703244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225</v>
      </c>
      <c r="AA230" s="8">
        <f>IFERROR(Z230/Z444, "NA")</f>
        <v>4.7506088697034669E-4</v>
      </c>
      <c r="AB230" s="9"/>
      <c r="AC230" s="10">
        <f t="shared" si="63"/>
        <v>225</v>
      </c>
      <c r="AD230" s="8">
        <f>IFERROR(AC230/AC444, "NA")</f>
        <v>2.8884091990056151E-3</v>
      </c>
    </row>
    <row r="231" spans="1:30" ht="16.5" customHeight="1" x14ac:dyDescent="0.45">
      <c r="A231" s="6" t="s">
        <v>210</v>
      </c>
      <c r="B231" s="7">
        <v>126</v>
      </c>
      <c r="C231" s="8">
        <f>IFERROR(B231/B444, "NA")</f>
        <v>9.6499769549359868E-4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-126</v>
      </c>
      <c r="I231" s="8">
        <f>IFERROR(H231/H444, "NA")</f>
        <v>-6.3511073609334324E-3</v>
      </c>
      <c r="J231" s="9"/>
      <c r="K231" s="7">
        <v>213.89</v>
      </c>
      <c r="L231" s="8">
        <f>IFERROR(K231/K444, "NA")</f>
        <v>2.2406731678209623E-3</v>
      </c>
      <c r="M231" s="9"/>
      <c r="N231" s="10">
        <f t="shared" si="61"/>
        <v>87.889999999999986</v>
      </c>
      <c r="O231" s="8">
        <f>IFERROR(N231/N444, "NA")</f>
        <v>2.5031085937308648E-3</v>
      </c>
      <c r="P231" s="9"/>
      <c r="Q231" s="7">
        <v>780.26</v>
      </c>
      <c r="R231" s="8">
        <f>IFERROR(Q231/Q444, "NA")</f>
        <v>1.4147420121135902E-3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-780.26</v>
      </c>
      <c r="X231" s="8">
        <f>IFERROR(W231/W444, "NA")</f>
        <v>-4.8668578247030178E-2</v>
      </c>
      <c r="Y231" s="9"/>
      <c r="Z231" s="7">
        <v>997.41</v>
      </c>
      <c r="AA231" s="8">
        <f>IFERROR(Z231/Z444, "NA")</f>
        <v>2.1059132412137487E-3</v>
      </c>
      <c r="AB231" s="9"/>
      <c r="AC231" s="10">
        <f t="shared" si="63"/>
        <v>217.14999999999998</v>
      </c>
      <c r="AD231" s="8">
        <f>IFERROR(AC231/AC444, "NA")</f>
        <v>2.7876358113958634E-3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1294.29</v>
      </c>
      <c r="C234" s="8">
        <f>IFERROR(B234/B444, "NA")</f>
        <v>9.9125941849238872E-3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-1294.29</v>
      </c>
      <c r="I234" s="8">
        <f>IFERROR(H234/H444, "NA")</f>
        <v>-6.5239482112559768E-2</v>
      </c>
      <c r="J234" s="9"/>
      <c r="K234" s="7">
        <v>1377.19</v>
      </c>
      <c r="L234" s="8">
        <f>IFERROR(K234/K444, "NA")</f>
        <v>1.4427194726220727E-2</v>
      </c>
      <c r="M234" s="9"/>
      <c r="N234" s="10">
        <f t="shared" si="61"/>
        <v>82.900000000000091</v>
      </c>
      <c r="O234" s="8">
        <f>IFERROR(N234/N444, "NA")</f>
        <v>2.3609933146010805E-3</v>
      </c>
      <c r="P234" s="9"/>
      <c r="Q234" s="7">
        <v>7406.5</v>
      </c>
      <c r="R234" s="8">
        <f>IFERROR(Q234/Q444, "NA")</f>
        <v>1.3429224505574175E-2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-7406.5</v>
      </c>
      <c r="X234" s="8">
        <f>IFERROR(W234/W444, "NA")</f>
        <v>-0.46197911566225236</v>
      </c>
      <c r="Y234" s="9"/>
      <c r="Z234" s="7">
        <v>7122.31</v>
      </c>
      <c r="AA234" s="8">
        <f>IFERROR(Z234/Z444, "NA")</f>
        <v>1.5037915137234533E-2</v>
      </c>
      <c r="AB234" s="9"/>
      <c r="AC234" s="10">
        <f t="shared" si="63"/>
        <v>-284.1899999999996</v>
      </c>
      <c r="AD234" s="8">
        <f>IFERROR(AC234/AC444, "NA")</f>
        <v>-3.648253378957354E-3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1420.29</v>
      </c>
      <c r="C236" s="15">
        <f>IFERROR(B236/B444, "NA")</f>
        <v>1.0877591880417486E-2</v>
      </c>
      <c r="D236" s="2"/>
      <c r="E236" s="14">
        <f>IFERROR(E229+E230+E231+E232+E233+E234+E235, "NA")</f>
        <v>1328.77</v>
      </c>
      <c r="F236" s="15">
        <f>IFERROR(E236/E444, "NA")</f>
        <v>1.1999960264135131E-2</v>
      </c>
      <c r="G236" s="2"/>
      <c r="H236" s="14">
        <f t="shared" si="60"/>
        <v>-91.519999999999982</v>
      </c>
      <c r="I236" s="15">
        <f>IFERROR(H236/H444, "NA")</f>
        <v>-4.6131217910525997E-3</v>
      </c>
      <c r="J236" s="2"/>
      <c r="K236" s="14">
        <f>IFERROR(K229+K230+K231+K232+K233+K234+K235, "NA")</f>
        <v>1591.08</v>
      </c>
      <c r="L236" s="15">
        <f>IFERROR(K236/K444, "NA")</f>
        <v>1.6667867894041687E-2</v>
      </c>
      <c r="M236" s="2"/>
      <c r="N236" s="14">
        <f t="shared" si="61"/>
        <v>170.78999999999996</v>
      </c>
      <c r="O236" s="15">
        <f>IFERROR(N236/N444, "NA")</f>
        <v>4.8641019083319418E-3</v>
      </c>
      <c r="P236" s="2"/>
      <c r="Q236" s="14">
        <f>IFERROR(Q229+Q230+Q231+Q232+Q233+Q234+Q235, "NA")</f>
        <v>8186.76</v>
      </c>
      <c r="R236" s="15">
        <f>IFERROR(Q236/Q444, "NA")</f>
        <v>1.4843966517687764E-2</v>
      </c>
      <c r="S236" s="2"/>
      <c r="T236" s="14">
        <f>IFERROR(T229+T230+T231+T232+T233+T234+T235, "NA")</f>
        <v>6425.86</v>
      </c>
      <c r="U236" s="15">
        <f>IFERROR(T236/T444, "NA")</f>
        <v>1.1999986404947972E-2</v>
      </c>
      <c r="V236" s="2"/>
      <c r="W236" s="14">
        <f t="shared" si="62"/>
        <v>-1760.9000000000005</v>
      </c>
      <c r="X236" s="15">
        <f>IFERROR(W236/W444, "NA")</f>
        <v>-0.10983582323225011</v>
      </c>
      <c r="Y236" s="2"/>
      <c r="Z236" s="14">
        <f>IFERROR(Z229+Z230+Z231+Z232+Z233+Z234+Z235, "NA")</f>
        <v>8344.7200000000012</v>
      </c>
      <c r="AA236" s="15">
        <f>IFERROR(Z236/Z444, "NA")</f>
        <v>1.761888926541863E-2</v>
      </c>
      <c r="AB236" s="2"/>
      <c r="AC236" s="14">
        <f t="shared" si="63"/>
        <v>157.96000000000095</v>
      </c>
      <c r="AD236" s="15">
        <f>IFERROR(AC236/AC444, "NA")</f>
        <v>2.0277916314441319E-3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5235.37</v>
      </c>
      <c r="F240" s="8">
        <f>IFERROR(E240/E444, "NA")</f>
        <v>4.7279989740922158E-2</v>
      </c>
      <c r="G240" s="9"/>
      <c r="H240" s="10">
        <f t="shared" ref="H240:H263" si="64">IFERROR(-(B240-E240), "NA")</f>
        <v>5235.37</v>
      </c>
      <c r="I240" s="8">
        <f>IFERROR(H240/H444, "NA")</f>
        <v>0.2638920392397624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25607.32</v>
      </c>
      <c r="U240" s="8">
        <f>IFERROR(T240/T444, "NA")</f>
        <v>4.7820446114162508E-2</v>
      </c>
      <c r="V240" s="9"/>
      <c r="W240" s="10">
        <f t="shared" ref="W240:W263" si="66">IFERROR(-(Q240-T240), "NA")</f>
        <v>25607.32</v>
      </c>
      <c r="X240" s="8">
        <f>IFERROR(W240/W444, "NA")</f>
        <v>1.5972520148626623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1165.1199999999999</v>
      </c>
      <c r="C242" s="8">
        <f>IFERROR(B242/B444, "NA")</f>
        <v>8.9233183728055672E-3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-1165.1199999999999</v>
      </c>
      <c r="I242" s="8">
        <f>IFERROR(H242/H444, "NA")</f>
        <v>-5.8728588955323492E-2</v>
      </c>
      <c r="J242" s="9"/>
      <c r="K242" s="7">
        <v>869.32</v>
      </c>
      <c r="L242" s="8">
        <f>IFERROR(K242/K444, "NA")</f>
        <v>9.1068399562864982E-3</v>
      </c>
      <c r="M242" s="9"/>
      <c r="N242" s="10">
        <f t="shared" si="65"/>
        <v>-295.79999999999984</v>
      </c>
      <c r="O242" s="8">
        <f>IFERROR(N242/N444, "NA")</f>
        <v>-8.4243886906996187E-3</v>
      </c>
      <c r="P242" s="9"/>
      <c r="Q242" s="7">
        <v>5710.94</v>
      </c>
      <c r="R242" s="8">
        <f>IFERROR(Q242/Q444, "NA")</f>
        <v>1.0354890352779825E-2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-5710.94</v>
      </c>
      <c r="X242" s="8">
        <f>IFERROR(W242/W444, "NA")</f>
        <v>-0.35621886326877517</v>
      </c>
      <c r="Y242" s="9"/>
      <c r="Z242" s="7">
        <v>4406.42</v>
      </c>
      <c r="AA242" s="8">
        <f>IFERROR(Z242/Z444, "NA")</f>
        <v>9.3036346380616676E-3</v>
      </c>
      <c r="AB242" s="9"/>
      <c r="AC242" s="10">
        <f t="shared" si="67"/>
        <v>-1304.5199999999995</v>
      </c>
      <c r="AD242" s="8">
        <f>IFERROR(AC242/AC444, "NA")</f>
        <v>-1.6746611414608016E-2</v>
      </c>
    </row>
    <row r="243" spans="1:30" ht="16.5" customHeight="1" x14ac:dyDescent="0.45">
      <c r="A243" s="12" t="s">
        <v>220</v>
      </c>
      <c r="B243" s="7">
        <v>2047.22</v>
      </c>
      <c r="C243" s="8">
        <f>IFERROR(B243/B444, "NA")</f>
        <v>1.567906811244766E-2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-2047.22</v>
      </c>
      <c r="I243" s="8">
        <f>IFERROR(H243/H444, "NA")</f>
        <v>-0.10319138104325509</v>
      </c>
      <c r="J243" s="9"/>
      <c r="K243" s="7">
        <v>2097.79</v>
      </c>
      <c r="L243" s="8">
        <f>IFERROR(K243/K444, "NA")</f>
        <v>2.197607071262395E-2</v>
      </c>
      <c r="M243" s="9"/>
      <c r="N243" s="10">
        <f t="shared" si="65"/>
        <v>50.569999999999936</v>
      </c>
      <c r="O243" s="8">
        <f>IFERROR(N243/N444, "NA")</f>
        <v>1.4402344019225134E-3</v>
      </c>
      <c r="P243" s="9"/>
      <c r="Q243" s="7">
        <v>12508.31</v>
      </c>
      <c r="R243" s="8">
        <f>IFERROR(Q243/Q444, "NA")</f>
        <v>2.2679660187040908E-2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-12508.31</v>
      </c>
      <c r="X243" s="8">
        <f>IFERROR(W243/W444, "NA")</f>
        <v>-0.78020360389243337</v>
      </c>
      <c r="Y243" s="9"/>
      <c r="Z243" s="7">
        <v>13879.83</v>
      </c>
      <c r="AA243" s="8">
        <f>IFERROR(Z243/Z444, "NA")</f>
        <v>2.9305619336878343E-2</v>
      </c>
      <c r="AB243" s="9"/>
      <c r="AC243" s="10">
        <f t="shared" si="67"/>
        <v>1371.5200000000004</v>
      </c>
      <c r="AD243" s="8">
        <f>IFERROR(AC243/AC444, "NA")</f>
        <v>1.7606715487200813E-2</v>
      </c>
    </row>
    <row r="244" spans="1:30" ht="16.5" customHeight="1" x14ac:dyDescent="0.45">
      <c r="A244" s="12" t="s">
        <v>221</v>
      </c>
      <c r="B244" s="7">
        <v>0</v>
      </c>
      <c r="C244" s="8">
        <f>IFERROR(B244/B444, "NA")</f>
        <v>0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0</v>
      </c>
      <c r="I244" s="8">
        <f>IFERROR(H244/H444, "NA")</f>
        <v>0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0</v>
      </c>
      <c r="O244" s="8">
        <f>IFERROR(N244/N444, "NA")</f>
        <v>0</v>
      </c>
      <c r="P244" s="9"/>
      <c r="Q244" s="7">
        <v>336.64</v>
      </c>
      <c r="R244" s="8">
        <f>IFERROR(Q244/Q444, "NA")</f>
        <v>6.1038468069351105E-4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-336.64</v>
      </c>
      <c r="X244" s="8">
        <f>IFERROR(W244/W444, "NA")</f>
        <v>-2.0997859919873168E-2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-336.64</v>
      </c>
      <c r="AD244" s="8">
        <f>IFERROR(AC244/AC444, "NA")</f>
        <v>-4.3215736566811127E-3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263.73</v>
      </c>
      <c r="C246" s="8">
        <f>IFERROR(B246/B444, "NA")</f>
        <v>2.0198320812105301E-3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-263.73</v>
      </c>
      <c r="I246" s="8">
        <f>IFERROR(H246/H444, "NA")</f>
        <v>-1.3293472573801382E-2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-263.73</v>
      </c>
      <c r="O246" s="8">
        <f>IFERROR(N246/N444, "NA")</f>
        <v>-7.5110345821440567E-3</v>
      </c>
      <c r="P246" s="9"/>
      <c r="Q246" s="7">
        <v>1534.68</v>
      </c>
      <c r="R246" s="8">
        <f>IFERROR(Q246/Q444, "NA")</f>
        <v>2.7826317780617802E-3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-1534.68</v>
      </c>
      <c r="X246" s="8">
        <f>IFERROR(W246/W444, "NA")</f>
        <v>-9.5725391105724089E-2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-1534.68</v>
      </c>
      <c r="AD246" s="8">
        <f>IFERROR(AC246/AC444, "NA")</f>
        <v>-1.9701261464577503E-2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275.66000000000003</v>
      </c>
      <c r="C248" s="8">
        <f>IFERROR(B248/B444, "NA")</f>
        <v>2.1112005138076624E-3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-275.66000000000003</v>
      </c>
      <c r="I248" s="8">
        <f>IFERROR(H248/H444, "NA")</f>
        <v>-1.3894811548531031E-2</v>
      </c>
      <c r="J248" s="9"/>
      <c r="K248" s="7">
        <v>289.25</v>
      </c>
      <c r="L248" s="8">
        <f>IFERROR(K248/K444, "NA")</f>
        <v>3.0301309728936058E-3</v>
      </c>
      <c r="M248" s="9"/>
      <c r="N248" s="10">
        <f t="shared" si="65"/>
        <v>13.589999999999975</v>
      </c>
      <c r="O248" s="8">
        <f>IFERROR(N248/N444, "NA")</f>
        <v>3.8704341550577307E-4</v>
      </c>
      <c r="P248" s="9"/>
      <c r="Q248" s="7">
        <v>1383.6</v>
      </c>
      <c r="R248" s="8">
        <f>IFERROR(Q248/Q444, "NA")</f>
        <v>2.5086984440575747E-3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-1383.6</v>
      </c>
      <c r="X248" s="8">
        <f>IFERROR(W248/W444, "NA")</f>
        <v>-8.6301803068965413E-2</v>
      </c>
      <c r="Y248" s="9"/>
      <c r="Z248" s="7">
        <v>1243.58</v>
      </c>
      <c r="AA248" s="8">
        <f>IFERROR(Z248/Z444, "NA")</f>
        <v>2.6256720791937053E-3</v>
      </c>
      <c r="AB248" s="9"/>
      <c r="AC248" s="10">
        <f t="shared" si="67"/>
        <v>-140.01999999999998</v>
      </c>
      <c r="AD248" s="8">
        <f>IFERROR(AC248/AC444, "NA")</f>
        <v>-1.7974891379767387E-3</v>
      </c>
    </row>
    <row r="249" spans="1:30" ht="16.5" customHeight="1" x14ac:dyDescent="0.45">
      <c r="A249" s="12" t="s">
        <v>226</v>
      </c>
      <c r="B249" s="7">
        <v>814.84</v>
      </c>
      <c r="C249" s="8">
        <f>IFERROR(B249/B444, "NA")</f>
        <v>6.2406247793333645E-3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-814.84</v>
      </c>
      <c r="I249" s="8">
        <f>IFERROR(H249/H444, "NA")</f>
        <v>-4.1072510491928553E-2</v>
      </c>
      <c r="J249" s="9"/>
      <c r="K249" s="7">
        <v>812.83</v>
      </c>
      <c r="L249" s="8">
        <f>IFERROR(K249/K444, "NA")</f>
        <v>8.5150608770859452E-3</v>
      </c>
      <c r="M249" s="9"/>
      <c r="N249" s="10">
        <f t="shared" si="65"/>
        <v>-2.0099999999999909</v>
      </c>
      <c r="O249" s="8">
        <f>IFERROR(N249/N444, "NA")</f>
        <v>-5.7244831873922133E-5</v>
      </c>
      <c r="P249" s="9"/>
      <c r="Q249" s="7">
        <v>5390.38</v>
      </c>
      <c r="R249" s="8">
        <f>IFERROR(Q249/Q444, "NA")</f>
        <v>9.7736614042202002E-3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-5390.38</v>
      </c>
      <c r="X249" s="8">
        <f>IFERROR(W249/W444, "NA")</f>
        <v>-0.33622399047910512</v>
      </c>
      <c r="Y249" s="9"/>
      <c r="Z249" s="7">
        <v>3578.87</v>
      </c>
      <c r="AA249" s="8">
        <f>IFERROR(Z249/Z444, "NA")</f>
        <v>7.5563606957847317E-3</v>
      </c>
      <c r="AB249" s="9"/>
      <c r="AC249" s="10">
        <f t="shared" si="67"/>
        <v>-1811.5100000000002</v>
      </c>
      <c r="AD249" s="8">
        <f>IFERROR(AC249/AC444, "NA")</f>
        <v>-2.3255031769291834E-2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hidden="1" customHeight="1" x14ac:dyDescent="0.45">
      <c r="A254" s="12" t="s">
        <v>231</v>
      </c>
      <c r="B254" s="7">
        <v>0</v>
      </c>
      <c r="C254" s="8">
        <f>IFERROR(B254/B444, "NA")</f>
        <v>0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0</v>
      </c>
      <c r="I254" s="8">
        <f>IFERROR(H254/H444, "NA")</f>
        <v>0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0</v>
      </c>
      <c r="O254" s="8">
        <f>IFERROR(N254/N444, "NA")</f>
        <v>0</v>
      </c>
      <c r="P254" s="9"/>
      <c r="Q254" s="7">
        <v>0</v>
      </c>
      <c r="R254" s="8">
        <f>IFERROR(Q254/Q444, "NA")</f>
        <v>0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0</v>
      </c>
      <c r="X254" s="8">
        <f>IFERROR(W254/W444, "NA")</f>
        <v>0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0</v>
      </c>
      <c r="AD254" s="8">
        <f>IFERROR(AC254/AC444, "NA")</f>
        <v>0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customHeight="1" x14ac:dyDescent="0.45">
      <c r="A257" s="12" t="s">
        <v>234</v>
      </c>
      <c r="B257" s="7">
        <v>2261.25</v>
      </c>
      <c r="C257" s="8">
        <f>IFERROR(B257/B444, "NA")</f>
        <v>1.7318262213769049E-2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-2261.25</v>
      </c>
      <c r="I257" s="8">
        <f>IFERROR(H257/H444, "NA")</f>
        <v>-0.11397969460246606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-2261.25</v>
      </c>
      <c r="O257" s="8">
        <f>IFERROR(N257/N444, "NA")</f>
        <v>-6.4400435858162686E-2</v>
      </c>
      <c r="P257" s="9"/>
      <c r="Q257" s="7">
        <v>2261.25</v>
      </c>
      <c r="R257" s="8">
        <f>IFERROR(Q257/Q444, "NA")</f>
        <v>4.1000248313278337E-3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-2261.25</v>
      </c>
      <c r="X257" s="8">
        <f>IFERROR(W257/W444, "NA")</f>
        <v>-0.14104506518480633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-2261.25</v>
      </c>
      <c r="AD257" s="8">
        <f>IFERROR(AC257/AC444, "NA")</f>
        <v>-2.9028512450006434E-2</v>
      </c>
    </row>
    <row r="258" spans="1:30" ht="16.5" hidden="1" customHeight="1" x14ac:dyDescent="0.45">
      <c r="A258" s="12" t="s">
        <v>235</v>
      </c>
      <c r="B258" s="7">
        <v>0</v>
      </c>
      <c r="C258" s="8">
        <f>IFERROR(B258/B444, "NA")</f>
        <v>0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0</v>
      </c>
      <c r="I258" s="8">
        <f>IFERROR(H258/H444, "NA")</f>
        <v>0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0</v>
      </c>
      <c r="O258" s="8">
        <f>IFERROR(N258/N444, "NA")</f>
        <v>0</v>
      </c>
      <c r="P258" s="9"/>
      <c r="Q258" s="7">
        <v>0</v>
      </c>
      <c r="R258" s="8">
        <f>IFERROR(Q258/Q444, "NA")</f>
        <v>0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0</v>
      </c>
      <c r="X258" s="8">
        <f>IFERROR(W258/W444, "NA")</f>
        <v>0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0</v>
      </c>
      <c r="AD258" s="8">
        <f>IFERROR(AC258/AC444, "NA")</f>
        <v>0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6827.82</v>
      </c>
      <c r="C262" s="15">
        <f>IFERROR(B262/B444, "NA")</f>
        <v>5.2292306073373832E-2</v>
      </c>
      <c r="D262" s="2"/>
      <c r="E262" s="14">
        <f>IFERROR(E240+E241+E242+E243+E244+E245+E246+E247+E248+E249+E250+E251+E252+E253+E254+E255+E256+E257+E258+E259+E260+E261, "NA")</f>
        <v>5235.37</v>
      </c>
      <c r="F262" s="15">
        <f>IFERROR(E262/E444, "NA")</f>
        <v>4.7279989740922158E-2</v>
      </c>
      <c r="G262" s="2"/>
      <c r="H262" s="14">
        <f t="shared" si="64"/>
        <v>-1592.4499999999998</v>
      </c>
      <c r="I262" s="15">
        <f>IFERROR(H262/H444, "NA")</f>
        <v>-8.0268419975543195E-2</v>
      </c>
      <c r="J262" s="2"/>
      <c r="K262" s="14">
        <f>IFERROR(K240+K241+K242+K243+K244+K245+K246+K247+K248+K249+K250+K251+K252+K253+K254+K255+K256+K257+K258+K259+K260+K261, "NA")</f>
        <v>4069.19</v>
      </c>
      <c r="L262" s="15">
        <f>IFERROR(K262/K444, "NA")</f>
        <v>4.2628102518890001E-2</v>
      </c>
      <c r="M262" s="2"/>
      <c r="N262" s="14">
        <f t="shared" si="65"/>
        <v>-2758.6299999999997</v>
      </c>
      <c r="O262" s="15">
        <f>IFERROR(N262/N444, "NA")</f>
        <v>-7.8565826145451989E-2</v>
      </c>
      <c r="P262" s="2"/>
      <c r="Q262" s="14">
        <f>IFERROR(Q240+Q241+Q242+Q243+Q244+Q245+Q246+Q247+Q248+Q249+Q250+Q251+Q252+Q253+Q254+Q255+Q256+Q257+Q258+Q259+Q260+Q261, "NA")</f>
        <v>29125.8</v>
      </c>
      <c r="R262" s="15">
        <f>IFERROR(Q262/Q444, "NA")</f>
        <v>5.2809951678181637E-2</v>
      </c>
      <c r="S262" s="2"/>
      <c r="T262" s="14">
        <f>IFERROR(T240+T241+T242+T243+T244+T245+T246+T247+T248+T249+T250+T251+T252+T253+T254+T255+T256+T257+T258+T259+T260+T261, "NA")</f>
        <v>25607.32</v>
      </c>
      <c r="U262" s="15">
        <f>IFERROR(T262/T444, "NA")</f>
        <v>4.7820446114162508E-2</v>
      </c>
      <c r="V262" s="2"/>
      <c r="W262" s="14">
        <f t="shared" si="66"/>
        <v>-3518.4799999999996</v>
      </c>
      <c r="X262" s="15">
        <f>IFERROR(W262/W444, "NA")</f>
        <v>-0.21946456205702039</v>
      </c>
      <c r="Y262" s="2"/>
      <c r="Z262" s="14">
        <f>IFERROR(Z240+Z241+Z242+Z243+Z244+Z245+Z246+Z247+Z248+Z249+Z250+Z251+Z252+Z253+Z254+Z255+Z256+Z257+Z258+Z259+Z260+Z261, "NA")</f>
        <v>23108.7</v>
      </c>
      <c r="AA262" s="15">
        <f>IFERROR(Z262/Z444, "NA")</f>
        <v>4.879128674991845E-2</v>
      </c>
      <c r="AB262" s="2"/>
      <c r="AC262" s="14">
        <f t="shared" si="67"/>
        <v>-6017.0999999999985</v>
      </c>
      <c r="AD262" s="15">
        <f>IFERROR(AC262/AC444, "NA")</f>
        <v>-7.7243764405940815E-2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6827.82</v>
      </c>
      <c r="C263" s="15">
        <f>IFERROR(B263/B444, "NA")</f>
        <v>5.2292306073373832E-2</v>
      </c>
      <c r="D263" s="2"/>
      <c r="E263" s="14">
        <f>IFERROR(E238+E240+E241+E242+E243+E244+E245+E246+E247+E248+E249+E250+E251+E252+E253+E254+E255+E256+E257+E258+E259+E260+E261, "NA")</f>
        <v>5235.37</v>
      </c>
      <c r="F263" s="15">
        <f>IFERROR(E263/E444, "NA")</f>
        <v>4.7279989740922158E-2</v>
      </c>
      <c r="G263" s="2"/>
      <c r="H263" s="14">
        <f t="shared" si="64"/>
        <v>-1592.4499999999998</v>
      </c>
      <c r="I263" s="15">
        <f>IFERROR(H263/H444, "NA")</f>
        <v>-8.0268419975543195E-2</v>
      </c>
      <c r="J263" s="2"/>
      <c r="K263" s="14">
        <f>IFERROR(K238+K240+K241+K242+K243+K244+K245+K246+K247+K248+K249+K250+K251+K252+K253+K254+K255+K256+K257+K258+K259+K260+K261, "NA")</f>
        <v>4069.19</v>
      </c>
      <c r="L263" s="15">
        <f>IFERROR(K263/K444, "NA")</f>
        <v>4.2628102518890001E-2</v>
      </c>
      <c r="M263" s="2"/>
      <c r="N263" s="14">
        <f t="shared" si="65"/>
        <v>-2758.6299999999997</v>
      </c>
      <c r="O263" s="15">
        <f>IFERROR(N263/N444, "NA")</f>
        <v>-7.8565826145451989E-2</v>
      </c>
      <c r="P263" s="2"/>
      <c r="Q263" s="14">
        <f>IFERROR(Q238+Q240+Q241+Q242+Q243+Q244+Q245+Q246+Q247+Q248+Q249+Q250+Q251+Q252+Q253+Q254+Q255+Q256+Q257+Q258+Q259+Q260+Q261, "NA")</f>
        <v>29125.8</v>
      </c>
      <c r="R263" s="15">
        <f>IFERROR(Q263/Q444, "NA")</f>
        <v>5.2809951678181637E-2</v>
      </c>
      <c r="S263" s="2"/>
      <c r="T263" s="14">
        <f>IFERROR(T238+T240+T241+T242+T243+T244+T245+T246+T247+T248+T249+T250+T251+T252+T253+T254+T255+T256+T257+T258+T259+T260+T261, "NA")</f>
        <v>25607.32</v>
      </c>
      <c r="U263" s="15">
        <f>IFERROR(T263/T444, "NA")</f>
        <v>4.7820446114162508E-2</v>
      </c>
      <c r="V263" s="2"/>
      <c r="W263" s="14">
        <f t="shared" si="66"/>
        <v>-3518.4799999999996</v>
      </c>
      <c r="X263" s="15">
        <f>IFERROR(W263/W444, "NA")</f>
        <v>-0.21946456205702039</v>
      </c>
      <c r="Y263" s="2"/>
      <c r="Z263" s="14">
        <f>IFERROR(Z238+Z240+Z241+Z242+Z243+Z244+Z245+Z246+Z247+Z248+Z249+Z250+Z251+Z252+Z253+Z254+Z255+Z256+Z257+Z258+Z259+Z260+Z261, "NA")</f>
        <v>23108.7</v>
      </c>
      <c r="AA263" s="15">
        <f>IFERROR(Z263/Z444, "NA")</f>
        <v>4.879128674991845E-2</v>
      </c>
      <c r="AB263" s="2"/>
      <c r="AC263" s="14">
        <f t="shared" si="67"/>
        <v>-6017.0999999999985</v>
      </c>
      <c r="AD263" s="15">
        <f>IFERROR(AC263/AC444, "NA")</f>
        <v>-7.7243764405940815E-2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3437.02</v>
      </c>
      <c r="C265" s="8">
        <f>IFERROR(B265/B444, "NA")</f>
        <v>2.6323145867979431E-2</v>
      </c>
      <c r="D265" s="9"/>
      <c r="E265" s="7">
        <v>3100.47</v>
      </c>
      <c r="F265" s="8">
        <f>IFERROR(E265/E444, "NA")</f>
        <v>2.7999967488837832E-2</v>
      </c>
      <c r="G265" s="9"/>
      <c r="H265" s="10">
        <f>IFERROR(-(B265-E265), "NA")</f>
        <v>-336.55000000000018</v>
      </c>
      <c r="I265" s="8">
        <f>IFERROR(H265/H444, "NA")</f>
        <v>-1.6964009383509109E-2</v>
      </c>
      <c r="J265" s="9"/>
      <c r="K265" s="7">
        <v>2867.98</v>
      </c>
      <c r="L265" s="8">
        <f>IFERROR(K265/K444, "NA")</f>
        <v>3.0044442619323781E-2</v>
      </c>
      <c r="M265" s="9"/>
      <c r="N265" s="10">
        <f>IFERROR(-(B265-K265), "NA")</f>
        <v>-569.04</v>
      </c>
      <c r="O265" s="8">
        <f>IFERROR(N265/N444, "NA")</f>
        <v>-1.6206268223650146E-2</v>
      </c>
      <c r="P265" s="9"/>
      <c r="Q265" s="7">
        <v>15304.29</v>
      </c>
      <c r="R265" s="8">
        <f>IFERROR(Q265/Q444, "NA")</f>
        <v>2.7749240033539971E-2</v>
      </c>
      <c r="S265" s="9"/>
      <c r="T265" s="7">
        <v>15164.05</v>
      </c>
      <c r="U265" s="8">
        <f>IFERROR(T265/T444, "NA")</f>
        <v>2.8318138559500407E-2</v>
      </c>
      <c r="V265" s="9"/>
      <c r="W265" s="10">
        <f>IFERROR(-(Q265-T265), "NA")</f>
        <v>-140.2400000000016</v>
      </c>
      <c r="X265" s="8">
        <f>IFERROR(W265/W444, "NA")</f>
        <v>-8.7474449713731191E-3</v>
      </c>
      <c r="Y265" s="9"/>
      <c r="Z265" s="7">
        <v>14506.7</v>
      </c>
      <c r="AA265" s="8">
        <f>IFERROR(Z265/Z444, "NA")</f>
        <v>3.0629181195612129E-2</v>
      </c>
      <c r="AB265" s="9"/>
      <c r="AC265" s="10">
        <f>IFERROR(-(Q265-Z265), "NA")</f>
        <v>-797.59000000000015</v>
      </c>
      <c r="AD265" s="8">
        <f>IFERROR(AC265/AC444, "NA")</f>
        <v>-1.0238961302377284E-2</v>
      </c>
    </row>
    <row r="266" spans="1:30" ht="16.5" customHeight="1" x14ac:dyDescent="0.45">
      <c r="A266" s="6" t="s">
        <v>242</v>
      </c>
      <c r="B266" s="7">
        <v>7.26</v>
      </c>
      <c r="C266" s="8">
        <f>IFERROR(B266/B444, "NA")</f>
        <v>5.5602248168916875E-5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-7.26</v>
      </c>
      <c r="I266" s="8">
        <f>IFERROR(H266/H444, "NA")</f>
        <v>-3.6594475746330729E-4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-7.26</v>
      </c>
      <c r="O266" s="8">
        <f>IFERROR(N266/N444, "NA")</f>
        <v>-2.0676491512670476E-4</v>
      </c>
      <c r="P266" s="9"/>
      <c r="Q266" s="7">
        <v>44.8</v>
      </c>
      <c r="R266" s="8">
        <f>IFERROR(Q266/Q444, "NA")</f>
        <v>8.1229900472520487E-5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-44.8</v>
      </c>
      <c r="X266" s="8">
        <f>IFERROR(W266/W444, "NA")</f>
        <v>-2.7943920045458591E-3</v>
      </c>
      <c r="Y266" s="9"/>
      <c r="Z266" s="7">
        <v>0</v>
      </c>
      <c r="AA266" s="8">
        <f>IFERROR(Z266/Z444, "NA")</f>
        <v>0</v>
      </c>
      <c r="AB266" s="9"/>
      <c r="AC266" s="10">
        <f>IFERROR(-(Q266-Z266), "NA")</f>
        <v>-44.8</v>
      </c>
      <c r="AD266" s="8">
        <f>IFERROR(AC266/AC444, "NA")</f>
        <v>-5.7511436495756249E-4</v>
      </c>
    </row>
    <row r="267" spans="1:30" ht="16.5" customHeight="1" x14ac:dyDescent="0.45">
      <c r="A267" s="19" t="s">
        <v>243</v>
      </c>
      <c r="B267" s="14">
        <f>IFERROR(B265+B266, "NA")</f>
        <v>3444.28</v>
      </c>
      <c r="C267" s="15">
        <f>IFERROR(B267/B444, "NA")</f>
        <v>2.6378748116148352E-2</v>
      </c>
      <c r="D267" s="2"/>
      <c r="E267" s="14">
        <f>IFERROR(E265+E266, "NA")</f>
        <v>3100.47</v>
      </c>
      <c r="F267" s="15">
        <f>IFERROR(E267/E444, "NA")</f>
        <v>2.7999967488837832E-2</v>
      </c>
      <c r="G267" s="2"/>
      <c r="H267" s="14">
        <f>IFERROR(-(B267-E267), "NA")</f>
        <v>-343.8100000000004</v>
      </c>
      <c r="I267" s="15">
        <f>IFERROR(H267/H444, "NA")</f>
        <v>-1.7329954140972426E-2</v>
      </c>
      <c r="J267" s="2"/>
      <c r="K267" s="14">
        <f>IFERROR(K265+K266, "NA")</f>
        <v>2867.98</v>
      </c>
      <c r="L267" s="15">
        <f>IFERROR(K267/K444, "NA")</f>
        <v>3.0044442619323781E-2</v>
      </c>
      <c r="M267" s="2"/>
      <c r="N267" s="14">
        <f>IFERROR(-(B267-K267), "NA")</f>
        <v>-576.30000000000018</v>
      </c>
      <c r="O267" s="15">
        <f>IFERROR(N267/N444, "NA")</f>
        <v>-1.6413033138776859E-2</v>
      </c>
      <c r="P267" s="2"/>
      <c r="Q267" s="14">
        <f>IFERROR(Q265+Q266, "NA")</f>
        <v>15349.09</v>
      </c>
      <c r="R267" s="15">
        <f>IFERROR(Q267/Q444, "NA")</f>
        <v>2.7830469934012489E-2</v>
      </c>
      <c r="S267" s="2"/>
      <c r="T267" s="14">
        <f>IFERROR(T265+T266, "NA")</f>
        <v>15164.05</v>
      </c>
      <c r="U267" s="15">
        <f>IFERROR(T267/T444, "NA")</f>
        <v>2.8318138559500407E-2</v>
      </c>
      <c r="V267" s="2"/>
      <c r="W267" s="14">
        <f>IFERROR(-(Q267-T267), "NA")</f>
        <v>-185.04000000000087</v>
      </c>
      <c r="X267" s="15">
        <f>IFERROR(W267/W444, "NA")</f>
        <v>-1.1541836975918934E-2</v>
      </c>
      <c r="Y267" s="2"/>
      <c r="Z267" s="14">
        <f>IFERROR(Z265+Z266, "NA")</f>
        <v>14506.7</v>
      </c>
      <c r="AA267" s="15">
        <f>IFERROR(Z267/Z444, "NA")</f>
        <v>3.0629181195612129E-2</v>
      </c>
      <c r="AB267" s="2"/>
      <c r="AC267" s="14">
        <f>IFERROR(-(Q267-Z267), "NA")</f>
        <v>-842.38999999999942</v>
      </c>
      <c r="AD267" s="15">
        <f>IFERROR(AC267/AC444, "NA")</f>
        <v>-1.0814075667334838E-2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201.75</v>
      </c>
      <c r="C270" s="8">
        <f>IFERROR(B270/B444, "NA")</f>
        <v>1.5451451195701074E-3</v>
      </c>
      <c r="D270" s="9"/>
      <c r="E270" s="7">
        <v>166.04</v>
      </c>
      <c r="F270" s="8">
        <f>IFERROR(E270/E444, "NA")</f>
        <v>1.4994870461080526E-3</v>
      </c>
      <c r="G270" s="9"/>
      <c r="H270" s="10">
        <f>IFERROR(-(B270-E270), "NA")</f>
        <v>-35.710000000000008</v>
      </c>
      <c r="I270" s="8">
        <f>IFERROR(H270/H444, "NA")</f>
        <v>-1.7999844750708962E-3</v>
      </c>
      <c r="J270" s="9"/>
      <c r="K270" s="7">
        <v>81.96</v>
      </c>
      <c r="L270" s="8">
        <f>IFERROR(K270/K444, "NA")</f>
        <v>8.5859821793728586E-4</v>
      </c>
      <c r="M270" s="9"/>
      <c r="N270" s="10">
        <f>IFERROR(-(B270-K270), "NA")</f>
        <v>-119.79</v>
      </c>
      <c r="O270" s="8">
        <f>IFERROR(N270/N444, "NA")</f>
        <v>-3.4116210995906288E-3</v>
      </c>
      <c r="P270" s="9"/>
      <c r="Q270" s="7">
        <v>1008.67</v>
      </c>
      <c r="R270" s="8">
        <f>IFERROR(Q270/Q444, "NA")</f>
        <v>1.8288875828039563E-3</v>
      </c>
      <c r="S270" s="9"/>
      <c r="T270" s="7">
        <v>989.68</v>
      </c>
      <c r="U270" s="8">
        <f>IFERROR(T270/T444, "NA")</f>
        <v>1.8481800949987875E-3</v>
      </c>
      <c r="V270" s="9"/>
      <c r="W270" s="10">
        <f>IFERROR(-(Q270-T270), "NA")</f>
        <v>-18.990000000000009</v>
      </c>
      <c r="X270" s="8">
        <f>IFERROR(W270/W444, "NA")</f>
        <v>-1.1844978608554885E-3</v>
      </c>
      <c r="Y270" s="9"/>
      <c r="Z270" s="7">
        <v>409.72</v>
      </c>
      <c r="AA270" s="8">
        <f>IFERROR(Z270/Z444, "NA")</f>
        <v>8.6507531826440201E-4</v>
      </c>
      <c r="AB270" s="9"/>
      <c r="AC270" s="10">
        <f>IFERROR(-(Q270-Z270), "NA")</f>
        <v>-598.94999999999993</v>
      </c>
      <c r="AD270" s="8">
        <f>IFERROR(AC270/AC444, "NA")</f>
        <v>-7.6889452877529473E-3</v>
      </c>
    </row>
    <row r="271" spans="1:30" ht="16.5" customHeight="1" x14ac:dyDescent="0.45">
      <c r="A271" s="6" t="s">
        <v>246</v>
      </c>
      <c r="B271" s="7">
        <v>778.64</v>
      </c>
      <c r="C271" s="8">
        <f>IFERROR(B271/B444, "NA")</f>
        <v>5.9633794096756801E-3</v>
      </c>
      <c r="D271" s="9"/>
      <c r="E271" s="7">
        <v>664.39</v>
      </c>
      <c r="F271" s="8">
        <f>IFERROR(E271/E444, "NA")</f>
        <v>6.000025286459462E-3</v>
      </c>
      <c r="G271" s="9"/>
      <c r="H271" s="10">
        <f>IFERROR(-(B271-E271), "NA")</f>
        <v>-114.25</v>
      </c>
      <c r="I271" s="8">
        <f>IFERROR(H271/H444, "NA")</f>
        <v>-5.7588413967194019E-3</v>
      </c>
      <c r="J271" s="9"/>
      <c r="K271" s="7">
        <v>551.79</v>
      </c>
      <c r="L271" s="8">
        <f>IFERROR(K271/K444, "NA")</f>
        <v>5.7804527900880299E-3</v>
      </c>
      <c r="M271" s="9"/>
      <c r="N271" s="10">
        <f>IFERROR(-(B271-K271), "NA")</f>
        <v>-226.85000000000002</v>
      </c>
      <c r="O271" s="8">
        <f>IFERROR(N271/N444, "NA")</f>
        <v>-6.4606915973130829E-3</v>
      </c>
      <c r="P271" s="9"/>
      <c r="Q271" s="7">
        <v>3892.96</v>
      </c>
      <c r="R271" s="8">
        <f>IFERROR(Q271/Q444, "NA")</f>
        <v>7.0585882442746285E-3</v>
      </c>
      <c r="S271" s="9"/>
      <c r="T271" s="7">
        <v>3212.94</v>
      </c>
      <c r="U271" s="8">
        <f>IFERROR(T271/T444, "NA")</f>
        <v>6.000011876996004E-3</v>
      </c>
      <c r="V271" s="9"/>
      <c r="W271" s="10">
        <f>IFERROR(-(Q271-T271), "NA")</f>
        <v>-680.02</v>
      </c>
      <c r="X271" s="8">
        <f>IFERROR(W271/W444, "NA")</f>
        <v>-4.2416126136858821E-2</v>
      </c>
      <c r="Y271" s="9"/>
      <c r="Z271" s="7">
        <v>2759.03</v>
      </c>
      <c r="AA271" s="8">
        <f>IFERROR(Z271/Z444, "NA")</f>
        <v>5.825365506567981E-3</v>
      </c>
      <c r="AB271" s="9"/>
      <c r="AC271" s="10">
        <f>IFERROR(-(Q271-Z271), "NA")</f>
        <v>-1133.9299999999998</v>
      </c>
      <c r="AD271" s="8">
        <f>IFERROR(AC271/AC444, "NA")</f>
        <v>-1.4556683746793052E-2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980.39</v>
      </c>
      <c r="C273" s="15">
        <f>IFERROR(B273/B444, "NA")</f>
        <v>7.5085245292457869E-3</v>
      </c>
      <c r="D273" s="2"/>
      <c r="E273" s="14">
        <f>IFERROR(E269+E270+E271+E272, "NA")</f>
        <v>830.43</v>
      </c>
      <c r="F273" s="15">
        <f>IFERROR(E273/E444, "NA")</f>
        <v>7.4995123325675142E-3</v>
      </c>
      <c r="G273" s="2"/>
      <c r="H273" s="14">
        <f>IFERROR(-(B273-E273), "NA")</f>
        <v>-149.96000000000004</v>
      </c>
      <c r="I273" s="15">
        <f>IFERROR(H273/H444, "NA")</f>
        <v>-7.5588258717902996E-3</v>
      </c>
      <c r="J273" s="2"/>
      <c r="K273" s="14">
        <f>IFERROR(K269+K270+K271+K272, "NA")</f>
        <v>633.75</v>
      </c>
      <c r="L273" s="15">
        <f>IFERROR(K273/K444, "NA")</f>
        <v>6.6390510080253165E-3</v>
      </c>
      <c r="M273" s="2"/>
      <c r="N273" s="14">
        <f>IFERROR(-(B273-K273), "NA")</f>
        <v>-346.64</v>
      </c>
      <c r="O273" s="15">
        <f>IFERROR(N273/N444, "NA")</f>
        <v>-9.8723126969037095E-3</v>
      </c>
      <c r="P273" s="2"/>
      <c r="Q273" s="14">
        <f>IFERROR(Q269+Q270+Q271+Q272, "NA")</f>
        <v>4901.63</v>
      </c>
      <c r="R273" s="15">
        <f>IFERROR(Q273/Q444, "NA")</f>
        <v>8.887475827078585E-3</v>
      </c>
      <c r="S273" s="2"/>
      <c r="T273" s="14">
        <f>IFERROR(T269+T270+T271+T272, "NA")</f>
        <v>4202.62</v>
      </c>
      <c r="U273" s="15">
        <f>IFERROR(T273/T444, "NA")</f>
        <v>7.8481919719947911E-3</v>
      </c>
      <c r="V273" s="2"/>
      <c r="W273" s="14">
        <f>IFERROR(-(Q273-T273), "NA")</f>
        <v>-699.01000000000022</v>
      </c>
      <c r="X273" s="15">
        <f>IFERROR(W273/W444, "NA")</f>
        <v>-4.3600623997714319E-2</v>
      </c>
      <c r="Y273" s="2"/>
      <c r="Z273" s="14">
        <f>IFERROR(Z269+Z270+Z271+Z272, "NA")</f>
        <v>3168.75</v>
      </c>
      <c r="AA273" s="15">
        <f>IFERROR(Z273/Z444, "NA")</f>
        <v>6.6904408248323827E-3</v>
      </c>
      <c r="AB273" s="2"/>
      <c r="AC273" s="14">
        <f>IFERROR(-(Q273-Z273), "NA")</f>
        <v>-1732.88</v>
      </c>
      <c r="AD273" s="15">
        <f>IFERROR(AC273/AC444, "NA")</f>
        <v>-2.2245629034546004E-2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300</v>
      </c>
      <c r="F287" s="8">
        <f>IFERROR(E287/E444, "NA")</f>
        <v>2.7092635138064071E-3</v>
      </c>
      <c r="G287" s="9"/>
      <c r="H287" s="10">
        <f t="shared" si="72"/>
        <v>300</v>
      </c>
      <c r="I287" s="8">
        <f>IFERROR(H287/H444, "NA")</f>
        <v>1.5121684192698649E-2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1500</v>
      </c>
      <c r="U287" s="8">
        <f>IFERROR(T287/T444, "NA")</f>
        <v>2.8011783025808155E-3</v>
      </c>
      <c r="V287" s="9"/>
      <c r="W287" s="10">
        <f t="shared" si="74"/>
        <v>1500</v>
      </c>
      <c r="X287" s="8">
        <f>IFERROR(W287/W444, "NA")</f>
        <v>9.3562232295062248E-2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137.5</v>
      </c>
      <c r="C288" s="8">
        <f>IFERROR(B288/B444, "NA")</f>
        <v>1.0530728819870621E-3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-137.5</v>
      </c>
      <c r="I288" s="8">
        <f>IFERROR(H288/H444, "NA")</f>
        <v>-6.9307719216535465E-3</v>
      </c>
      <c r="J288" s="9"/>
      <c r="K288" s="7">
        <v>137.5</v>
      </c>
      <c r="L288" s="8">
        <f>IFERROR(K288/K444, "NA")</f>
        <v>1.4404252680133823E-3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687.5</v>
      </c>
      <c r="R288" s="8">
        <f>IFERROR(Q288/Q444, "NA")</f>
        <v>1.2465526021173624E-3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-687.5</v>
      </c>
      <c r="X288" s="8">
        <f>IFERROR(W288/W444, "NA")</f>
        <v>-4.2882689801903531E-2</v>
      </c>
      <c r="Y288" s="9"/>
      <c r="Z288" s="7">
        <v>687.5</v>
      </c>
      <c r="AA288" s="8">
        <f>IFERROR(Z288/Z444, "NA")</f>
        <v>1.4515749324093927E-3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206.28</v>
      </c>
      <c r="C289" s="8">
        <f>IFERROR(B289/B444, "NA")</f>
        <v>1.5798390843366629E-3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-206.28</v>
      </c>
      <c r="I289" s="8">
        <f>IFERROR(H289/H444, "NA")</f>
        <v>-1.039767005089959E-2</v>
      </c>
      <c r="J289" s="9"/>
      <c r="K289" s="7">
        <v>189.85</v>
      </c>
      <c r="L289" s="8">
        <f>IFERROR(K289/K444, "NA")</f>
        <v>1.988834451871568E-3</v>
      </c>
      <c r="M289" s="9"/>
      <c r="N289" s="10">
        <f t="shared" si="73"/>
        <v>-16.430000000000007</v>
      </c>
      <c r="O289" s="8">
        <f>IFERROR(N289/N444, "NA")</f>
        <v>-4.6792666054156482E-4</v>
      </c>
      <c r="P289" s="9"/>
      <c r="Q289" s="7">
        <v>830.91</v>
      </c>
      <c r="R289" s="8">
        <f>IFERROR(Q289/Q444, "NA")</f>
        <v>1.506578942000491E-3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-830.91</v>
      </c>
      <c r="X289" s="8">
        <f>IFERROR(W289/W444, "NA")</f>
        <v>-5.1827862957526782E-2</v>
      </c>
      <c r="Y289" s="9"/>
      <c r="Z289" s="7">
        <v>790.49</v>
      </c>
      <c r="AA289" s="8">
        <f>IFERROR(Z289/Z444, "NA")</f>
        <v>1.6690261357386194E-3</v>
      </c>
      <c r="AB289" s="9"/>
      <c r="AC289" s="10">
        <f t="shared" si="75"/>
        <v>-40.419999999999959</v>
      </c>
      <c r="AD289" s="8">
        <f>IFERROR(AC289/AC444, "NA")</f>
        <v>-5.1888666588358599E-4</v>
      </c>
    </row>
    <row r="290" spans="1:30" ht="16.5" customHeight="1" x14ac:dyDescent="0.45">
      <c r="A290" s="6" t="s">
        <v>263</v>
      </c>
      <c r="B290" s="7">
        <v>42.78</v>
      </c>
      <c r="C290" s="8">
        <f>IFERROR(B290/B444, "NA")</f>
        <v>3.2763969375568372E-4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-42.78</v>
      </c>
      <c r="I290" s="8">
        <f>IFERROR(H290/H444, "NA")</f>
        <v>-2.1563521658788274E-3</v>
      </c>
      <c r="J290" s="9"/>
      <c r="K290" s="7">
        <v>0</v>
      </c>
      <c r="L290" s="8">
        <f>IFERROR(K290/K444, "NA")</f>
        <v>0</v>
      </c>
      <c r="M290" s="9"/>
      <c r="N290" s="10">
        <f t="shared" si="73"/>
        <v>-42.78</v>
      </c>
      <c r="O290" s="8">
        <f>IFERROR(N290/N444, "NA")</f>
        <v>-1.2183750783912439E-3</v>
      </c>
      <c r="P290" s="9"/>
      <c r="Q290" s="7">
        <v>3007.41</v>
      </c>
      <c r="R290" s="8">
        <f>IFERROR(Q290/Q444, "NA")</f>
        <v>5.4529378343764028E-3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-3007.41</v>
      </c>
      <c r="X290" s="8">
        <f>IFERROR(W290/W444, "NA")</f>
        <v>-0.18758666201766208</v>
      </c>
      <c r="Y290" s="9"/>
      <c r="Z290" s="7">
        <v>0</v>
      </c>
      <c r="AA290" s="8">
        <f>IFERROR(Z290/Z444, "NA")</f>
        <v>0</v>
      </c>
      <c r="AB290" s="9"/>
      <c r="AC290" s="10">
        <f t="shared" si="75"/>
        <v>-3007.41</v>
      </c>
      <c r="AD290" s="8">
        <f>IFERROR(AC290/AC444, "NA")</f>
        <v>-3.8607247596362117E-2</v>
      </c>
    </row>
    <row r="291" spans="1:30" ht="16.5" customHeight="1" x14ac:dyDescent="0.45">
      <c r="A291" s="6" t="s">
        <v>264</v>
      </c>
      <c r="B291" s="7">
        <v>0</v>
      </c>
      <c r="C291" s="8">
        <f>IFERROR(B291/B444, "NA")</f>
        <v>0</v>
      </c>
      <c r="D291" s="9"/>
      <c r="E291" s="7">
        <v>1328.77</v>
      </c>
      <c r="F291" s="8">
        <f>IFERROR(E291/E444, "NA")</f>
        <v>1.1999960264135131E-2</v>
      </c>
      <c r="G291" s="9"/>
      <c r="H291" s="10">
        <f t="shared" si="72"/>
        <v>1328.77</v>
      </c>
      <c r="I291" s="8">
        <f>IFERROR(H291/H444, "NA")</f>
        <v>6.6977467682440603E-2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0</v>
      </c>
      <c r="O291" s="8">
        <f>IFERROR(N291/N444, "NA")</f>
        <v>0</v>
      </c>
      <c r="P291" s="9"/>
      <c r="Q291" s="7">
        <v>1975.03</v>
      </c>
      <c r="R291" s="8">
        <f>IFERROR(Q291/Q444, "NA")</f>
        <v>3.5810600520143334E-3</v>
      </c>
      <c r="S291" s="9"/>
      <c r="T291" s="7">
        <v>6425.86</v>
      </c>
      <c r="U291" s="8">
        <f>IFERROR(T291/T444, "NA")</f>
        <v>1.1999986404947972E-2</v>
      </c>
      <c r="V291" s="9"/>
      <c r="W291" s="10">
        <f t="shared" si="74"/>
        <v>4450.83</v>
      </c>
      <c r="X291" s="8">
        <f>IFERROR(W291/W444, "NA")</f>
        <v>0.27761972691055459</v>
      </c>
      <c r="Y291" s="9"/>
      <c r="Z291" s="7">
        <v>311.72000000000003</v>
      </c>
      <c r="AA291" s="8">
        <f>IFERROR(Z291/Z444, "NA")</f>
        <v>6.5815990971731771E-4</v>
      </c>
      <c r="AB291" s="9"/>
      <c r="AC291" s="10">
        <f t="shared" si="75"/>
        <v>-1663.31</v>
      </c>
      <c r="AD291" s="8">
        <f>IFERROR(AC291/AC444, "NA")</f>
        <v>-2.1352532910213464E-2</v>
      </c>
    </row>
    <row r="292" spans="1:30" ht="16.5" customHeight="1" x14ac:dyDescent="0.45">
      <c r="A292" s="6" t="s">
        <v>265</v>
      </c>
      <c r="B292" s="7">
        <v>500.86</v>
      </c>
      <c r="C292" s="8">
        <f>IFERROR(B292/B444, "NA")</f>
        <v>3.8359424267057447E-3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-500.86</v>
      </c>
      <c r="I292" s="8">
        <f>IFERROR(H292/H444, "NA")</f>
        <v>-2.5246155815850151E-2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-500.86</v>
      </c>
      <c r="O292" s="8">
        <f>IFERROR(N292/N444, "NA")</f>
        <v>-1.4264500742474016E-2</v>
      </c>
      <c r="P292" s="9"/>
      <c r="Q292" s="7">
        <v>500.86</v>
      </c>
      <c r="R292" s="8">
        <f>IFERROR(Q292/Q444, "NA")</f>
        <v>9.08143034613094E-4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-500.86</v>
      </c>
      <c r="X292" s="8">
        <f>IFERROR(W292/W444, "NA")</f>
        <v>-3.1241053111536587E-2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-500.86</v>
      </c>
      <c r="AD292" s="8">
        <f>IFERROR(AC292/AC444, "NA")</f>
        <v>-6.4297272507286779E-3</v>
      </c>
    </row>
    <row r="293" spans="1:30" ht="16.5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369.93</v>
      </c>
      <c r="R293" s="8">
        <f>IFERROR(Q293/Q444, "NA")</f>
        <v>6.7074502414731039E-4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-369.93</v>
      </c>
      <c r="X293" s="8">
        <f>IFERROR(W293/W444, "NA")</f>
        <v>-2.3074317728608251E-2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-369.93</v>
      </c>
      <c r="AD293" s="8">
        <f>IFERROR(AC293/AC444, "NA")</f>
        <v>-4.7489298443917655E-3</v>
      </c>
    </row>
    <row r="294" spans="1:30" ht="16.5" customHeight="1" x14ac:dyDescent="0.45">
      <c r="A294" s="6" t="s">
        <v>267</v>
      </c>
      <c r="B294" s="7">
        <v>310</v>
      </c>
      <c r="C294" s="8">
        <f>IFERROR(B294/B444, "NA")</f>
        <v>2.3742006793890124E-3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-310</v>
      </c>
      <c r="I294" s="8">
        <f>IFERROR(H294/H444, "NA")</f>
        <v>-1.5625740332455271E-2</v>
      </c>
      <c r="J294" s="9"/>
      <c r="K294" s="7">
        <v>169.1</v>
      </c>
      <c r="L294" s="8">
        <f>IFERROR(K294/K444, "NA")</f>
        <v>1.7714611841531849E-3</v>
      </c>
      <c r="M294" s="9"/>
      <c r="N294" s="10">
        <f t="shared" si="73"/>
        <v>-140.9</v>
      </c>
      <c r="O294" s="8">
        <f>IFERROR(N294/N444, "NA")</f>
        <v>-4.0128342343461023E-3</v>
      </c>
      <c r="P294" s="9"/>
      <c r="Q294" s="7">
        <v>1778.96</v>
      </c>
      <c r="R294" s="8">
        <f>IFERROR(Q294/Q444, "NA")</f>
        <v>3.2255523157275682E-3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-1778.96</v>
      </c>
      <c r="X294" s="8">
        <f>IFERROR(W294/W444, "NA")</f>
        <v>-0.11096231250908263</v>
      </c>
      <c r="Y294" s="9"/>
      <c r="Z294" s="7">
        <v>845.5</v>
      </c>
      <c r="AA294" s="8">
        <f>IFERROR(Z294/Z444, "NA")</f>
        <v>1.7851732441485696E-3</v>
      </c>
      <c r="AB294" s="9"/>
      <c r="AC294" s="10">
        <f t="shared" si="75"/>
        <v>-933.46</v>
      </c>
      <c r="AD294" s="8">
        <f>IFERROR(AC294/AC444, "NA")</f>
        <v>-1.1983175337350141E-2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1197.42</v>
      </c>
      <c r="C295" s="15">
        <f>IFERROR(B295/B444, "NA")</f>
        <v>9.1706947661741658E-3</v>
      </c>
      <c r="D295" s="2"/>
      <c r="E295" s="14">
        <f>IFERROR(E286+E287+E288+E289+E290+E291+E292+E293+E294, "NA")</f>
        <v>1628.77</v>
      </c>
      <c r="F295" s="15">
        <f>IFERROR(E295/E444, "NA")</f>
        <v>1.4709223777941538E-2</v>
      </c>
      <c r="G295" s="2"/>
      <c r="H295" s="14">
        <f t="shared" si="72"/>
        <v>431.34999999999991</v>
      </c>
      <c r="I295" s="15">
        <f>IFERROR(H295/H444, "NA")</f>
        <v>2.1742461588401867E-2</v>
      </c>
      <c r="J295" s="2"/>
      <c r="K295" s="14">
        <f>IFERROR(K286+K287+K288+K289+K290+K291+K292+K293+K294, "NA")</f>
        <v>496.45000000000005</v>
      </c>
      <c r="L295" s="15">
        <f>IFERROR(K295/K444, "NA")</f>
        <v>5.2007209040381358E-3</v>
      </c>
      <c r="M295" s="2"/>
      <c r="N295" s="14">
        <f t="shared" si="73"/>
        <v>-700.97</v>
      </c>
      <c r="O295" s="15">
        <f>IFERROR(N295/N444, "NA")</f>
        <v>-1.9963636715752926E-2</v>
      </c>
      <c r="P295" s="2"/>
      <c r="Q295" s="14">
        <f>IFERROR(Q286+Q287+Q288+Q289+Q290+Q291+Q292+Q293+Q294, "NA")</f>
        <v>9150.5999999999985</v>
      </c>
      <c r="R295" s="15">
        <f>IFERROR(Q295/Q444, "NA")</f>
        <v>1.6591569804996559E-2</v>
      </c>
      <c r="S295" s="2"/>
      <c r="T295" s="14">
        <f>IFERROR(T286+T287+T288+T289+T290+T291+T292+T293+T294, "NA")</f>
        <v>7925.86</v>
      </c>
      <c r="U295" s="15">
        <f>IFERROR(T295/T444, "NA")</f>
        <v>1.4801164707528788E-2</v>
      </c>
      <c r="V295" s="2"/>
      <c r="W295" s="14">
        <f t="shared" si="74"/>
        <v>-1224.7399999999989</v>
      </c>
      <c r="X295" s="15">
        <f>IFERROR(W295/W444, "NA")</f>
        <v>-7.6392938920702952E-2</v>
      </c>
      <c r="Y295" s="2"/>
      <c r="Z295" s="14">
        <f>IFERROR(Z286+Z287+Z288+Z289+Z290+Z291+Z292+Z293+Z294, "NA")</f>
        <v>2635.21</v>
      </c>
      <c r="AA295" s="15">
        <f>IFERROR(Z295/Z444, "NA")</f>
        <v>5.563934222013899E-3</v>
      </c>
      <c r="AB295" s="2"/>
      <c r="AC295" s="14">
        <f t="shared" si="75"/>
        <v>-6515.3899999999985</v>
      </c>
      <c r="AD295" s="15">
        <f>IFERROR(AC295/AC444, "NA")</f>
        <v>-8.3640499604929738E-2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1439.51</v>
      </c>
      <c r="F297" s="8">
        <f>IFERROR(E297/E444, "NA")</f>
        <v>1.3000039735864869E-2</v>
      </c>
      <c r="G297" s="9"/>
      <c r="H297" s="10">
        <f t="shared" ref="H297:H325" si="76">IFERROR(-(B297-E297), "NA")</f>
        <v>1439.51</v>
      </c>
      <c r="I297" s="8">
        <f>IFERROR(H297/H444, "NA")</f>
        <v>7.2559385374105431E-2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6961.35</v>
      </c>
      <c r="U297" s="8">
        <f>IFERROR(T297/T444, "NA")</f>
        <v>1.2999988384447308E-2</v>
      </c>
      <c r="V297" s="9"/>
      <c r="W297" s="10">
        <f t="shared" ref="W297:W325" si="78">IFERROR(-(Q297-T297), "NA")</f>
        <v>6961.35</v>
      </c>
      <c r="X297" s="8">
        <f>IFERROR(W297/W444, "NA")</f>
        <v>0.43421296385815439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695.86</v>
      </c>
      <c r="C299" s="8">
        <f>IFERROR(B299/B444, "NA")</f>
        <v>5.3293912411601233E-3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-695.86</v>
      </c>
      <c r="I299" s="8">
        <f>IFERROR(H299/H444, "NA")</f>
        <v>-3.5075250541104268E-2</v>
      </c>
      <c r="J299" s="9"/>
      <c r="K299" s="7">
        <v>184.72</v>
      </c>
      <c r="L299" s="8">
        <f>IFERROR(K299/K444, "NA")</f>
        <v>1.9350934945995052E-3</v>
      </c>
      <c r="M299" s="9"/>
      <c r="N299" s="10">
        <f t="shared" si="77"/>
        <v>-511.14</v>
      </c>
      <c r="O299" s="8">
        <f>IFERROR(N299/N444, "NA")</f>
        <v>-1.4557275305490891E-2</v>
      </c>
      <c r="P299" s="9"/>
      <c r="Q299" s="7">
        <v>1521.23</v>
      </c>
      <c r="R299" s="8">
        <f>IFERROR(Q299/Q444, "NA")</f>
        <v>2.7582446762458111E-3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-1521.23</v>
      </c>
      <c r="X299" s="8">
        <f>IFERROR(W299/W444, "NA")</f>
        <v>-9.4886449756145033E-2</v>
      </c>
      <c r="Y299" s="9"/>
      <c r="Z299" s="7">
        <v>923.6</v>
      </c>
      <c r="AA299" s="8">
        <f>IFERROR(Z299/Z444, "NA")</f>
        <v>1.9500721564702766E-3</v>
      </c>
      <c r="AB299" s="9"/>
      <c r="AC299" s="10">
        <f t="shared" si="79"/>
        <v>-597.63</v>
      </c>
      <c r="AD299" s="8">
        <f>IFERROR(AC299/AC444, "NA")</f>
        <v>-7.6719999537854478E-3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197.01</v>
      </c>
      <c r="R304" s="8">
        <f>IFERROR(Q304/Q444, "NA")</f>
        <v>3.5721211366275134E-4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-197.01</v>
      </c>
      <c r="X304" s="8">
        <f>IFERROR(W304/W444, "NA")</f>
        <v>-1.2288463589633475E-2</v>
      </c>
      <c r="Y304" s="9"/>
      <c r="Z304" s="7">
        <v>268.92</v>
      </c>
      <c r="AA304" s="8">
        <f>IFERROR(Z304/Z444, "NA")</f>
        <v>5.6779277210695846E-4</v>
      </c>
      <c r="AB304" s="9"/>
      <c r="AC304" s="10">
        <f t="shared" si="79"/>
        <v>71.910000000000025</v>
      </c>
      <c r="AD304" s="8">
        <f>IFERROR(AC304/AC444, "NA")</f>
        <v>9.2313558000219498E-4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141.38999999999999</v>
      </c>
      <c r="C310" s="8">
        <f>IFERROR(B310/B444, "NA")</f>
        <v>1.0828652711574595E-3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-141.38999999999999</v>
      </c>
      <c r="I310" s="8">
        <f>IFERROR(H310/H444, "NA")</f>
        <v>-7.1268497600188718E-3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-141.38999999999999</v>
      </c>
      <c r="O310" s="8">
        <f>IFERROR(N310/N444, "NA")</f>
        <v>-4.0267894421163611E-3</v>
      </c>
      <c r="P310" s="9"/>
      <c r="Q310" s="7">
        <v>222.88</v>
      </c>
      <c r="R310" s="8">
        <f>IFERROR(Q310/Q444, "NA")</f>
        <v>4.0411875485078943E-4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-222.88</v>
      </c>
      <c r="X310" s="8">
        <f>IFERROR(W310/W444, "NA")</f>
        <v>-1.3902100222615649E-2</v>
      </c>
      <c r="Y310" s="9"/>
      <c r="Z310" s="7">
        <v>136.18</v>
      </c>
      <c r="AA310" s="8">
        <f>IFERROR(Z310/Z444, "NA")</f>
        <v>2.8752796261165254E-4</v>
      </c>
      <c r="AB310" s="9"/>
      <c r="AC310" s="10">
        <f t="shared" si="79"/>
        <v>-86.699999999999989</v>
      </c>
      <c r="AD310" s="8">
        <f>IFERROR(AC310/AC444, "NA")</f>
        <v>-1.1130003446834969E-3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4.8411570147685202E-5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-1.665407734852108E-3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-3.4275789161533301E-4</v>
      </c>
    </row>
    <row r="312" spans="1:30" ht="16.5" customHeight="1" x14ac:dyDescent="0.45">
      <c r="A312" s="6" t="s">
        <v>284</v>
      </c>
      <c r="B312" s="7">
        <v>214.49</v>
      </c>
      <c r="C312" s="8">
        <f>IFERROR(B312/B444, "NA")</f>
        <v>1.6427171087811268E-3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-214.49</v>
      </c>
      <c r="I312" s="8">
        <f>IFERROR(H312/H444, "NA")</f>
        <v>-1.0811500141639776E-2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-214.49</v>
      </c>
      <c r="O312" s="8">
        <f>IFERROR(N312/N444, "NA")</f>
        <v>-6.1086786013122459E-3</v>
      </c>
      <c r="P312" s="9"/>
      <c r="Q312" s="7">
        <v>427.06</v>
      </c>
      <c r="R312" s="8">
        <f>IFERROR(Q312/Q444, "NA")</f>
        <v>7.7433127892398662E-4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-427.06</v>
      </c>
      <c r="X312" s="8">
        <f>IFERROR(W312/W444, "NA")</f>
        <v>-2.6637791282619522E-2</v>
      </c>
      <c r="Y312" s="9"/>
      <c r="Z312" s="7">
        <v>49.99</v>
      </c>
      <c r="AA312" s="8">
        <f>IFERROR(Z312/Z444, "NA")</f>
        <v>1.055479721762117E-4</v>
      </c>
      <c r="AB312" s="9"/>
      <c r="AC312" s="10">
        <f t="shared" si="79"/>
        <v>-377.07</v>
      </c>
      <c r="AD312" s="8">
        <f>IFERROR(AC312/AC444, "NA")</f>
        <v>-4.8405886963068774E-3</v>
      </c>
    </row>
    <row r="313" spans="1:30" ht="16.5" customHeight="1" x14ac:dyDescent="0.45">
      <c r="A313" s="6" t="s">
        <v>285</v>
      </c>
      <c r="B313" s="7">
        <v>27</v>
      </c>
      <c r="C313" s="8">
        <f>IFERROR(B313/B444, "NA")</f>
        <v>2.06785220462914E-4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-27</v>
      </c>
      <c r="I313" s="8">
        <f>IFERROR(H313/H444, "NA")</f>
        <v>-1.3609515773428784E-3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-27</v>
      </c>
      <c r="O313" s="8">
        <f>IFERROR(N313/N444, "NA")</f>
        <v>-7.6896042815716647E-4</v>
      </c>
      <c r="P313" s="9"/>
      <c r="Q313" s="7">
        <v>47.75</v>
      </c>
      <c r="R313" s="8">
        <f>IFERROR(Q313/Q444, "NA")</f>
        <v>8.6578744365242266E-5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-47.75</v>
      </c>
      <c r="X313" s="8">
        <f>IFERROR(W313/W444, "NA")</f>
        <v>-2.9783977280594814E-3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-47.75</v>
      </c>
      <c r="AD313" s="8">
        <f>IFERROR(AC313/AC444, "NA")</f>
        <v>-6.1298461890008061E-4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794.11</v>
      </c>
      <c r="C315" s="8">
        <f>IFERROR(B315/B444, "NA")</f>
        <v>6.0818596822890605E-3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-794.11</v>
      </c>
      <c r="I315" s="8">
        <f>IFERROR(H315/H444, "NA")</f>
        <v>-4.0027602114213079E-2</v>
      </c>
      <c r="J315" s="9"/>
      <c r="K315" s="7">
        <v>0</v>
      </c>
      <c r="L315" s="8">
        <f>IFERROR(K315/K444, "NA")</f>
        <v>0</v>
      </c>
      <c r="M315" s="9"/>
      <c r="N315" s="10">
        <f t="shared" si="77"/>
        <v>-794.11</v>
      </c>
      <c r="O315" s="8">
        <f>IFERROR(N315/N444, "NA")</f>
        <v>-2.2616265392736572E-2</v>
      </c>
      <c r="P315" s="9"/>
      <c r="Q315" s="7">
        <v>3970.55</v>
      </c>
      <c r="R315" s="8">
        <f>IFERROR(Q315/Q444, "NA")</f>
        <v>7.1992719044903179E-3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-3970.55</v>
      </c>
      <c r="X315" s="8">
        <f>IFERROR(W315/W444, "NA")</f>
        <v>-0.24766234762610628</v>
      </c>
      <c r="Y315" s="9"/>
      <c r="Z315" s="7">
        <v>0</v>
      </c>
      <c r="AA315" s="8">
        <f>IFERROR(Z315/Z444, "NA")</f>
        <v>0</v>
      </c>
      <c r="AB315" s="9"/>
      <c r="AC315" s="10">
        <f t="shared" si="79"/>
        <v>-3970.55</v>
      </c>
      <c r="AD315" s="8">
        <f>IFERROR(AC315/AC444, "NA")</f>
        <v>-5.0971436200496649E-2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490.6</v>
      </c>
      <c r="C318" s="8">
        <f>IFERROR(B318/B444, "NA")</f>
        <v>3.7573640429298377E-3</v>
      </c>
      <c r="D318" s="9"/>
      <c r="E318" s="7">
        <v>718</v>
      </c>
      <c r="F318" s="8">
        <f>IFERROR(E318/E444, "NA")</f>
        <v>6.4841706763766674E-3</v>
      </c>
      <c r="G318" s="9"/>
      <c r="H318" s="10">
        <f t="shared" si="76"/>
        <v>227.39999999999998</v>
      </c>
      <c r="I318" s="8">
        <f>IFERROR(H318/H444, "NA")</f>
        <v>1.1462236618065573E-2</v>
      </c>
      <c r="J318" s="9"/>
      <c r="K318" s="7">
        <v>490.6</v>
      </c>
      <c r="L318" s="8">
        <f>IFERROR(K318/K444, "NA")</f>
        <v>5.1394373562717484E-3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2453</v>
      </c>
      <c r="R318" s="8">
        <f>IFERROR(Q318/Q444, "NA")</f>
        <v>4.4476996843547494E-3</v>
      </c>
      <c r="S318" s="9"/>
      <c r="T318" s="7">
        <v>3590</v>
      </c>
      <c r="U318" s="8">
        <f>IFERROR(T318/T444, "NA")</f>
        <v>6.704153404176752E-3</v>
      </c>
      <c r="V318" s="9"/>
      <c r="W318" s="10">
        <f t="shared" si="78"/>
        <v>1137</v>
      </c>
      <c r="X318" s="8">
        <f>IFERROR(W318/W444, "NA")</f>
        <v>7.0920172079657187E-2</v>
      </c>
      <c r="Y318" s="9"/>
      <c r="Z318" s="7">
        <v>2453</v>
      </c>
      <c r="AA318" s="8">
        <f>IFERROR(Z318/Z444, "NA")</f>
        <v>5.1792193588367135E-3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290.20999999999998</v>
      </c>
      <c r="C319" s="8">
        <f>IFERROR(B319/B444, "NA")</f>
        <v>2.2226347715015656E-3</v>
      </c>
      <c r="D319" s="9"/>
      <c r="E319" s="7">
        <v>160</v>
      </c>
      <c r="F319" s="8">
        <f>IFERROR(E319/E444, "NA")</f>
        <v>1.4449405406967504E-3</v>
      </c>
      <c r="G319" s="9"/>
      <c r="H319" s="10">
        <f t="shared" si="76"/>
        <v>-130.20999999999998</v>
      </c>
      <c r="I319" s="8">
        <f>IFERROR(H319/H444, "NA")</f>
        <v>-6.5633149957709689E-3</v>
      </c>
      <c r="J319" s="9"/>
      <c r="K319" s="7">
        <v>159.53</v>
      </c>
      <c r="L319" s="8">
        <f>IFERROR(K319/K444, "NA")</f>
        <v>1.6712075854994537E-3</v>
      </c>
      <c r="M319" s="9"/>
      <c r="N319" s="10">
        <f t="shared" si="77"/>
        <v>-130.67999999999998</v>
      </c>
      <c r="O319" s="8">
        <f>IFERROR(N319/N444, "NA")</f>
        <v>-3.7217684722806849E-3</v>
      </c>
      <c r="P319" s="9"/>
      <c r="Q319" s="7">
        <v>930.9</v>
      </c>
      <c r="R319" s="8">
        <f>IFERROR(Q319/Q444, "NA")</f>
        <v>1.6878775524524403E-3</v>
      </c>
      <c r="S319" s="9"/>
      <c r="T319" s="7">
        <v>800</v>
      </c>
      <c r="U319" s="8">
        <f>IFERROR(T319/T444, "NA")</f>
        <v>1.493961761376435E-3</v>
      </c>
      <c r="V319" s="9"/>
      <c r="W319" s="10">
        <f t="shared" si="78"/>
        <v>-130.89999999999998</v>
      </c>
      <c r="X319" s="8">
        <f>IFERROR(W319/W444, "NA")</f>
        <v>-8.1648641382824315E-3</v>
      </c>
      <c r="Y319" s="9"/>
      <c r="Z319" s="7">
        <v>798.61</v>
      </c>
      <c r="AA319" s="8">
        <f>IFERROR(Z319/Z444, "NA")</f>
        <v>1.6861705553039492E-3</v>
      </c>
      <c r="AB319" s="9"/>
      <c r="AC319" s="10">
        <f t="shared" si="79"/>
        <v>-132.28999999999996</v>
      </c>
      <c r="AD319" s="8">
        <f>IFERROR(AC319/AC444, "NA")</f>
        <v>-1.6982562352731232E-3</v>
      </c>
    </row>
    <row r="320" spans="1:30" ht="16.5" customHeight="1" x14ac:dyDescent="0.45">
      <c r="A320" s="6" t="s">
        <v>292</v>
      </c>
      <c r="B320" s="7">
        <v>1113.71</v>
      </c>
      <c r="C320" s="8">
        <f>IFERROR(B320/B444, "NA")</f>
        <v>8.5295839956204423E-3</v>
      </c>
      <c r="D320" s="9"/>
      <c r="E320" s="7">
        <v>827</v>
      </c>
      <c r="F320" s="8">
        <f>IFERROR(E320/E444, "NA")</f>
        <v>7.4685364197263288E-3</v>
      </c>
      <c r="G320" s="9"/>
      <c r="H320" s="10">
        <f t="shared" si="76"/>
        <v>-286.71000000000004</v>
      </c>
      <c r="I320" s="8">
        <f>IFERROR(H320/H444, "NA")</f>
        <v>-1.44517935829621E-2</v>
      </c>
      <c r="J320" s="9"/>
      <c r="K320" s="7">
        <v>869.4</v>
      </c>
      <c r="L320" s="8">
        <f>IFERROR(K320/K444, "NA")</f>
        <v>9.1076780218969783E-3</v>
      </c>
      <c r="M320" s="9"/>
      <c r="N320" s="10">
        <f t="shared" si="77"/>
        <v>-244.31000000000006</v>
      </c>
      <c r="O320" s="8">
        <f>IFERROR(N320/N444, "NA")</f>
        <v>-6.9579526741880516E-3</v>
      </c>
      <c r="P320" s="9"/>
      <c r="Q320" s="7">
        <v>5461.56</v>
      </c>
      <c r="R320" s="8">
        <f>IFERROR(Q320/Q444, "NA")</f>
        <v>9.902722661265604E-3</v>
      </c>
      <c r="S320" s="9"/>
      <c r="T320" s="7">
        <v>4135</v>
      </c>
      <c r="U320" s="8">
        <f>IFERROR(T320/T444, "NA")</f>
        <v>7.7219148541144483E-3</v>
      </c>
      <c r="V320" s="9"/>
      <c r="W320" s="10">
        <f t="shared" si="78"/>
        <v>-1326.5600000000004</v>
      </c>
      <c r="X320" s="8">
        <f>IFERROR(W320/W444, "NA")</f>
        <v>-8.274394324889188E-2</v>
      </c>
      <c r="Y320" s="9"/>
      <c r="Z320" s="7">
        <v>4407</v>
      </c>
      <c r="AA320" s="8">
        <f>IFERROR(Z320/Z444, "NA")</f>
        <v>9.3048592394591907E-3</v>
      </c>
      <c r="AB320" s="9"/>
      <c r="AC320" s="10">
        <f t="shared" si="79"/>
        <v>-1054.5600000000004</v>
      </c>
      <c r="AD320" s="8">
        <f>IFERROR(AC320/AC444, "NA")</f>
        <v>-1.3537781355126058E-2</v>
      </c>
    </row>
    <row r="321" spans="1:30" ht="16.5" customHeight="1" x14ac:dyDescent="0.45">
      <c r="A321" s="6" t="s">
        <v>293</v>
      </c>
      <c r="B321" s="7">
        <v>1569.79</v>
      </c>
      <c r="C321" s="8">
        <f>IFERROR(B321/B444, "NA")</f>
        <v>1.202256930483251E-2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-1569.79</v>
      </c>
      <c r="I321" s="8">
        <f>IFERROR(H321/H444, "NA")</f>
        <v>-7.9126228762854703E-2</v>
      </c>
      <c r="J321" s="9"/>
      <c r="K321" s="7">
        <v>1992.65</v>
      </c>
      <c r="L321" s="8">
        <f>IFERROR(K321/K444, "NA")</f>
        <v>2.0874642984049938E-2</v>
      </c>
      <c r="M321" s="9"/>
      <c r="N321" s="10">
        <f t="shared" si="77"/>
        <v>422.86000000000013</v>
      </c>
      <c r="O321" s="8">
        <f>IFERROR(N321/N444, "NA")</f>
        <v>1.2043059505575538E-2</v>
      </c>
      <c r="P321" s="9"/>
      <c r="Q321" s="7">
        <v>11241.05</v>
      </c>
      <c r="R321" s="8">
        <f>IFERROR(Q321/Q444, "NA")</f>
        <v>2.0381905640772909E-2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-11241.05</v>
      </c>
      <c r="X321" s="8">
        <f>IFERROR(W321/W444, "NA")</f>
        <v>-0.70115848756027299</v>
      </c>
      <c r="Y321" s="9"/>
      <c r="Z321" s="7">
        <v>11971.96</v>
      </c>
      <c r="AA321" s="8">
        <f>IFERROR(Z321/Z444, "NA")</f>
        <v>2.5277377494993383E-2</v>
      </c>
      <c r="AB321" s="9"/>
      <c r="AC321" s="10">
        <f t="shared" si="79"/>
        <v>730.90999999999985</v>
      </c>
      <c r="AD321" s="8">
        <f>IFERROR(AC321/AC444, "NA")</f>
        <v>9.382965189534194E-3</v>
      </c>
    </row>
    <row r="322" spans="1:30" ht="16.5" customHeight="1" x14ac:dyDescent="0.45">
      <c r="A322" s="6" t="s">
        <v>294</v>
      </c>
      <c r="B322" s="7">
        <v>338.98</v>
      </c>
      <c r="C322" s="8">
        <f>IFERROR(B322/B444, "NA")</f>
        <v>2.5961501493525405E-3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-338.98</v>
      </c>
      <c r="I322" s="8">
        <f>IFERROR(H322/H444, "NA")</f>
        <v>-1.708649502546996E-2</v>
      </c>
      <c r="J322" s="9"/>
      <c r="K322" s="7">
        <v>155.97</v>
      </c>
      <c r="L322" s="8">
        <f>IFERROR(K322/K444, "NA")</f>
        <v>1.6339136658330708E-3</v>
      </c>
      <c r="M322" s="9"/>
      <c r="N322" s="10">
        <f t="shared" si="77"/>
        <v>-183.01000000000002</v>
      </c>
      <c r="O322" s="8">
        <f>IFERROR(N322/N444, "NA")</f>
        <v>-5.2121277021127052E-3</v>
      </c>
      <c r="P322" s="9"/>
      <c r="Q322" s="7">
        <v>1387.19</v>
      </c>
      <c r="R322" s="8">
        <f>IFERROR(Q322/Q444, "NA")</f>
        <v>2.515207715099904E-3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-1387.19</v>
      </c>
      <c r="X322" s="8">
        <f>IFERROR(W322/W444, "NA")</f>
        <v>-8.6525728678258265E-2</v>
      </c>
      <c r="Y322" s="9"/>
      <c r="Z322" s="7">
        <v>1129.8499999999999</v>
      </c>
      <c r="AA322" s="8">
        <f>IFERROR(Z322/Z444, "NA")</f>
        <v>2.3855446361930942E-3</v>
      </c>
      <c r="AB322" s="9"/>
      <c r="AC322" s="10">
        <f t="shared" si="79"/>
        <v>-257.34000000000015</v>
      </c>
      <c r="AD322" s="8">
        <f>IFERROR(AC322/AC444, "NA")</f>
        <v>-3.3035698812093578E-3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5676.1399999999994</v>
      </c>
      <c r="C324" s="15">
        <f>IFERROR(B324/B444, "NA")</f>
        <v>4.3471920788087579E-2</v>
      </c>
      <c r="D324" s="2"/>
      <c r="E324" s="14">
        <f>IFERROR(E297+E298+E299+E300+E301+E302+E303+E304+E305+E306+E307+E308+E309+E310+E311+E312+E313+E314+E315+E316+E317+E318+E319+E320+E321+E322+E323, "NA")</f>
        <v>3144.51</v>
      </c>
      <c r="F324" s="15">
        <f>IFERROR(E324/E444, "NA")</f>
        <v>2.8397687372664619E-2</v>
      </c>
      <c r="G324" s="2"/>
      <c r="H324" s="14">
        <f t="shared" si="76"/>
        <v>-2531.6299999999992</v>
      </c>
      <c r="I324" s="15">
        <f>IFERROR(H324/H444, "NA")</f>
        <v>-0.12760836450920554</v>
      </c>
      <c r="J324" s="2"/>
      <c r="K324" s="14">
        <f>IFERROR(K297+K298+K299+K300+K301+K302+K303+K304+K305+K306+K307+K308+K309+K310+K311+K312+K313+K314+K315+K316+K317+K318+K319+K320+K321+K322+K323, "NA")</f>
        <v>3852.87</v>
      </c>
      <c r="L324" s="15">
        <f>IFERROR(K324/K444, "NA")</f>
        <v>4.0361973108150692E-2</v>
      </c>
      <c r="M324" s="2"/>
      <c r="N324" s="14">
        <f t="shared" si="77"/>
        <v>-1823.2699999999995</v>
      </c>
      <c r="O324" s="15">
        <f>IFERROR(N324/N444, "NA")</f>
        <v>-5.1926758512819131E-2</v>
      </c>
      <c r="P324" s="2"/>
      <c r="Q324" s="14">
        <f>IFERROR(Q297+Q298+Q299+Q300+Q301+Q302+Q303+Q304+Q305+Q306+Q307+Q308+Q309+Q310+Q311+Q312+Q313+Q314+Q315+Q316+Q317+Q318+Q319+Q320+Q321+Q322+Q323, "NA")</f>
        <v>27886.879999999997</v>
      </c>
      <c r="R324" s="15">
        <f>IFERROR(Q324/Q444, "NA")</f>
        <v>5.0563582296632187E-2</v>
      </c>
      <c r="S324" s="2"/>
      <c r="T324" s="14">
        <f>IFERROR(T297+T298+T299+T300+T301+T302+T303+T304+T305+T306+T307+T308+T309+T310+T311+T312+T313+T314+T315+T316+T317+T318+T319+T320+T321+T322+T323, "NA")</f>
        <v>15486.35</v>
      </c>
      <c r="U324" s="15">
        <f>IFERROR(T324/T444, "NA")</f>
        <v>2.8920018404114942E-2</v>
      </c>
      <c r="V324" s="2"/>
      <c r="W324" s="14">
        <f t="shared" si="78"/>
        <v>-12400.529999999997</v>
      </c>
      <c r="X324" s="15">
        <f>IFERROR(W324/W444, "NA")</f>
        <v>-0.7734808456279253</v>
      </c>
      <c r="Y324" s="2"/>
      <c r="Z324" s="14">
        <f>IFERROR(Z297+Z298+Z299+Z300+Z301+Z302+Z303+Z304+Z305+Z306+Z307+Z308+Z309+Z310+Z311+Z312+Z313+Z314+Z315+Z316+Z317+Z318+Z319+Z320+Z321+Z322+Z323, "NA")</f>
        <v>22139.109999999997</v>
      </c>
      <c r="AA324" s="15">
        <f>IFERROR(Z324/Z444, "NA")</f>
        <v>4.6744112148151426E-2</v>
      </c>
      <c r="AB324" s="2"/>
      <c r="AC324" s="14">
        <f t="shared" si="79"/>
        <v>-5747.77</v>
      </c>
      <c r="AD324" s="15">
        <f>IFERROR(AC324/AC444, "NA")</f>
        <v>-7.3786274407860022E-2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25292.319999999992</v>
      </c>
      <c r="C325" s="15">
        <f>IFERROR(B325/B444, "NA")</f>
        <v>0.19370659137846546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20268.419999999995</v>
      </c>
      <c r="F325" s="15">
        <f>IFERROR(E325/E444, "NA")</f>
        <v>0.18304163596168013</v>
      </c>
      <c r="G325" s="2"/>
      <c r="H325" s="14">
        <f t="shared" si="76"/>
        <v>-5023.8999999999978</v>
      </c>
      <c r="I325" s="15">
        <f>IFERROR(H325/H444, "NA")</f>
        <v>-0.25323276405232903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17014.43</v>
      </c>
      <c r="L325" s="15">
        <f>IFERROR(K325/K444, "NA")</f>
        <v>0.1782401083115995</v>
      </c>
      <c r="M325" s="2"/>
      <c r="N325" s="14">
        <f t="shared" si="77"/>
        <v>-8277.8899999999921</v>
      </c>
      <c r="O325" s="15">
        <f>IFERROR(N325/N444, "NA")</f>
        <v>-0.23575443846807115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132722.51</v>
      </c>
      <c r="R325" s="15">
        <f>IFERROR(Q325/Q444, "NA")</f>
        <v>0.24064813120006934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99655.150000000009</v>
      </c>
      <c r="U325" s="15">
        <f>IFERROR(T325/T444, "NA")</f>
        <v>0.18610122928029105</v>
      </c>
      <c r="V325" s="2"/>
      <c r="W325" s="14">
        <f t="shared" si="78"/>
        <v>-33067.360000000001</v>
      </c>
      <c r="X325" s="15">
        <f>IFERROR(W325/W444, "NA")</f>
        <v>-2.0625706784696329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88889.370000000024</v>
      </c>
      <c r="AA325" s="15">
        <f>IFERROR(Z325/Z444, "NA")</f>
        <v>0.1876793909086015</v>
      </c>
      <c r="AB325" s="2"/>
      <c r="AC325" s="14">
        <f t="shared" si="79"/>
        <v>-43833.139999999985</v>
      </c>
      <c r="AD325" s="15">
        <f>IFERROR(AC325/AC444, "NA")</f>
        <v>-0.56270242132133752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13132.5</v>
      </c>
      <c r="C329" s="8">
        <f>IFERROR(B329/B444, "NA")</f>
        <v>0.10057803361960067</v>
      </c>
      <c r="D329" s="9"/>
      <c r="E329" s="7">
        <v>12121</v>
      </c>
      <c r="F329" s="8">
        <f>IFERROR(E329/E444, "NA")</f>
        <v>0.1094632768361582</v>
      </c>
      <c r="G329" s="9"/>
      <c r="H329" s="10">
        <f t="shared" si="80"/>
        <v>-1011.5</v>
      </c>
      <c r="I329" s="8">
        <f>IFERROR(H329/H444, "NA")</f>
        <v>-5.0985278536382274E-2</v>
      </c>
      <c r="J329" s="9"/>
      <c r="K329" s="7">
        <v>12750</v>
      </c>
      <c r="L329" s="8">
        <f>IFERROR(K329/K444, "NA")</f>
        <v>0.1335667066703318</v>
      </c>
      <c r="M329" s="9"/>
      <c r="N329" s="10">
        <f t="shared" si="81"/>
        <v>-382.5</v>
      </c>
      <c r="O329" s="8">
        <f>IFERROR(N329/N444, "NA")</f>
        <v>-1.0893606065559858E-2</v>
      </c>
      <c r="P329" s="9"/>
      <c r="Q329" s="7">
        <v>65662.5</v>
      </c>
      <c r="R329" s="8">
        <f>IFERROR(Q329/Q444, "NA")</f>
        <v>0.119057105798591</v>
      </c>
      <c r="S329" s="9"/>
      <c r="T329" s="7">
        <v>63638</v>
      </c>
      <c r="U329" s="8">
        <f>IFERROR(T329/T444, "NA")</f>
        <v>0.11884092321309196</v>
      </c>
      <c r="V329" s="9"/>
      <c r="W329" s="10">
        <f t="shared" si="82"/>
        <v>-2024.5</v>
      </c>
      <c r="X329" s="8">
        <f>IFERROR(W329/W444, "NA")</f>
        <v>-0.12627782618756903</v>
      </c>
      <c r="Y329" s="9"/>
      <c r="Z329" s="7">
        <v>63750</v>
      </c>
      <c r="AA329" s="8">
        <f>IFERROR(Z329/Z444, "NA")</f>
        <v>0.13460058464159824</v>
      </c>
      <c r="AB329" s="9"/>
      <c r="AC329" s="10">
        <f t="shared" si="83"/>
        <v>-1912.5</v>
      </c>
      <c r="AD329" s="8">
        <f>IFERROR(AC329/AC444, "NA")</f>
        <v>-2.4551478191547731E-2</v>
      </c>
    </row>
    <row r="330" spans="1:30" ht="16.5" customHeight="1" x14ac:dyDescent="0.45">
      <c r="A330" s="6" t="s">
        <v>301</v>
      </c>
      <c r="B330" s="7">
        <v>2126</v>
      </c>
      <c r="C330" s="8">
        <f>IFERROR(B330/B444, "NA")</f>
        <v>1.6282421433487227E-2</v>
      </c>
      <c r="D330" s="9"/>
      <c r="E330" s="7">
        <v>1875</v>
      </c>
      <c r="F330" s="8">
        <f>IFERROR(E330/E444, "NA")</f>
        <v>1.6932896961290043E-2</v>
      </c>
      <c r="G330" s="9"/>
      <c r="H330" s="10">
        <f t="shared" si="80"/>
        <v>-251</v>
      </c>
      <c r="I330" s="8">
        <f>IFERROR(H330/H444, "NA")</f>
        <v>-1.2651809107891201E-2</v>
      </c>
      <c r="J330" s="9"/>
      <c r="K330" s="7">
        <v>2239.62</v>
      </c>
      <c r="L330" s="8">
        <f>IFERROR(K330/K444, "NA")</f>
        <v>2.346185628180459E-2</v>
      </c>
      <c r="M330" s="9"/>
      <c r="N330" s="10">
        <f t="shared" si="81"/>
        <v>113.61999999999989</v>
      </c>
      <c r="O330" s="8">
        <f>IFERROR(N330/N444, "NA")</f>
        <v>3.235899401748784E-3</v>
      </c>
      <c r="P330" s="9"/>
      <c r="Q330" s="7">
        <v>10630</v>
      </c>
      <c r="R330" s="8">
        <f>IFERROR(Q330/Q444, "NA")</f>
        <v>1.9273969688011001E-2</v>
      </c>
      <c r="S330" s="9"/>
      <c r="T330" s="7">
        <v>9375</v>
      </c>
      <c r="U330" s="8">
        <f>IFERROR(T330/T444, "NA")</f>
        <v>1.7507364391130098E-2</v>
      </c>
      <c r="V330" s="9"/>
      <c r="W330" s="10">
        <f t="shared" si="82"/>
        <v>-1255</v>
      </c>
      <c r="X330" s="8">
        <f>IFERROR(W330/W444, "NA")</f>
        <v>-7.8280401020202076E-2</v>
      </c>
      <c r="Y330" s="9"/>
      <c r="Z330" s="7">
        <v>9739.6200000000008</v>
      </c>
      <c r="AA330" s="8">
        <f>IFERROR(Z330/Z444, "NA")</f>
        <v>2.0564055626462793E-2</v>
      </c>
      <c r="AB330" s="9"/>
      <c r="AC330" s="10">
        <f t="shared" si="83"/>
        <v>-890.3799999999992</v>
      </c>
      <c r="AD330" s="8">
        <f>IFERROR(AC330/AC444, "NA")</f>
        <v>-1.1430141256047188E-2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customHeight="1" x14ac:dyDescent="0.45">
      <c r="A332" s="6" t="s">
        <v>303</v>
      </c>
      <c r="B332" s="7">
        <v>180</v>
      </c>
      <c r="C332" s="8">
        <f>IFERROR(B332/B444, "NA")</f>
        <v>1.3785681364194267E-3</v>
      </c>
      <c r="D332" s="9"/>
      <c r="E332" s="7">
        <v>180</v>
      </c>
      <c r="F332" s="8">
        <f>IFERROR(E332/E444, "NA")</f>
        <v>1.6255581082838442E-3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180</v>
      </c>
      <c r="L332" s="8">
        <f>IFERROR(K332/K444, "NA")</f>
        <v>1.8856476235811549E-3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900</v>
      </c>
      <c r="R332" s="8">
        <f>IFERROR(Q332/Q444, "NA")</f>
        <v>1.6318506791354562E-3</v>
      </c>
      <c r="S332" s="9"/>
      <c r="T332" s="7">
        <v>900</v>
      </c>
      <c r="U332" s="8">
        <f>IFERROR(T332/T444, "NA")</f>
        <v>1.6807069815484893E-3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900</v>
      </c>
      <c r="AA332" s="8">
        <f>IFERROR(Z332/Z444, "NA")</f>
        <v>1.9002435478813868E-3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1024.69</v>
      </c>
      <c r="C333" s="8">
        <f>IFERROR(B333/B444, "NA")</f>
        <v>7.847805465042346E-3</v>
      </c>
      <c r="D333" s="9"/>
      <c r="E333" s="7">
        <v>1254</v>
      </c>
      <c r="F333" s="8">
        <f>IFERROR(E333/E444, "NA")</f>
        <v>1.1324721487710781E-2</v>
      </c>
      <c r="G333" s="9"/>
      <c r="H333" s="10">
        <f t="shared" si="80"/>
        <v>229.30999999999995</v>
      </c>
      <c r="I333" s="8">
        <f>IFERROR(H333/H444, "NA")</f>
        <v>1.1558511340759086E-2</v>
      </c>
      <c r="J333" s="9"/>
      <c r="K333" s="7">
        <v>1254</v>
      </c>
      <c r="L333" s="8">
        <f>IFERROR(K333/K444, "NA")</f>
        <v>1.3136678444282046E-2</v>
      </c>
      <c r="M333" s="9"/>
      <c r="N333" s="10">
        <f t="shared" si="81"/>
        <v>229.30999999999995</v>
      </c>
      <c r="O333" s="8">
        <f>IFERROR(N333/N444, "NA")</f>
        <v>6.530752436322956E-3</v>
      </c>
      <c r="P333" s="9"/>
      <c r="Q333" s="7">
        <v>5123.45</v>
      </c>
      <c r="R333" s="8">
        <f>IFERROR(Q333/Q444, "NA")</f>
        <v>9.2896726244628362E-3</v>
      </c>
      <c r="S333" s="9"/>
      <c r="T333" s="7">
        <v>6270</v>
      </c>
      <c r="U333" s="8">
        <f>IFERROR(T333/T444, "NA")</f>
        <v>1.1708925304787808E-2</v>
      </c>
      <c r="V333" s="9"/>
      <c r="W333" s="10">
        <f t="shared" si="82"/>
        <v>1146.5500000000002</v>
      </c>
      <c r="X333" s="8">
        <f>IFERROR(W333/W444, "NA")</f>
        <v>7.1515851625269092E-2</v>
      </c>
      <c r="Y333" s="9"/>
      <c r="Z333" s="7">
        <v>2763.41</v>
      </c>
      <c r="AA333" s="8">
        <f>IFERROR(Z333/Z444, "NA")</f>
        <v>5.834613358501003E-3</v>
      </c>
      <c r="AB333" s="9"/>
      <c r="AC333" s="10">
        <f t="shared" si="83"/>
        <v>-2360.04</v>
      </c>
      <c r="AD333" s="8">
        <f>IFERROR(AC333/AC444, "NA")</f>
        <v>-3.0296716648983164E-2</v>
      </c>
    </row>
    <row r="334" spans="1:30" ht="16.5" customHeight="1" x14ac:dyDescent="0.45">
      <c r="A334" s="6" t="s">
        <v>305</v>
      </c>
      <c r="B334" s="7">
        <v>-1011.2</v>
      </c>
      <c r="C334" s="8">
        <f>IFERROR(B334/B444, "NA")</f>
        <v>-7.7444894419295791E-3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1011.2</v>
      </c>
      <c r="I334" s="8">
        <f>IFERROR(H334/H444, "NA")</f>
        <v>5.0970156852189578E-2</v>
      </c>
      <c r="J334" s="9"/>
      <c r="K334" s="7">
        <v>-981.75</v>
      </c>
      <c r="L334" s="8">
        <f>IFERROR(K334/K444, "NA")</f>
        <v>-1.028463641361555E-2</v>
      </c>
      <c r="M334" s="9"/>
      <c r="N334" s="10">
        <f t="shared" si="81"/>
        <v>29.450000000000045</v>
      </c>
      <c r="O334" s="8">
        <f>IFERROR(N334/N444, "NA")</f>
        <v>8.3873646700846616E-4</v>
      </c>
      <c r="P334" s="9"/>
      <c r="Q334" s="7">
        <v>-2022.4</v>
      </c>
      <c r="R334" s="8">
        <f>IFERROR(Q334/Q444, "NA")</f>
        <v>-3.6669497927594966E-3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2022.4</v>
      </c>
      <c r="X334" s="8">
        <f>IFERROR(W334/W444, "NA")</f>
        <v>0.12614683906235594</v>
      </c>
      <c r="Y334" s="9"/>
      <c r="Z334" s="7">
        <v>-1963.5</v>
      </c>
      <c r="AA334" s="8">
        <f>IFERROR(Z334/Z444, "NA")</f>
        <v>-4.1456980069612256E-3</v>
      </c>
      <c r="AB334" s="9"/>
      <c r="AC334" s="10">
        <f t="shared" si="83"/>
        <v>58.900000000000091</v>
      </c>
      <c r="AD334" s="8">
        <f>IFERROR(AC334/AC444, "NA")</f>
        <v>7.5612134142858224E-4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1622.75</v>
      </c>
      <c r="F337" s="8">
        <f>IFERROR(E337/E444, "NA")</f>
        <v>1.4654857890097822E-2</v>
      </c>
      <c r="G337" s="9"/>
      <c r="H337" s="10">
        <f t="shared" ref="H337:H344" si="84">IFERROR(-(B337-E337), "NA")</f>
        <v>1622.75</v>
      </c>
      <c r="I337" s="8">
        <f>IFERROR(H337/H444, "NA")</f>
        <v>8.1795710079005768E-2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7418.77</v>
      </c>
      <c r="U337" s="8">
        <f>IFERROR(T337/T444, "NA")</f>
        <v>1.3854198370558318E-2</v>
      </c>
      <c r="V337" s="9"/>
      <c r="W337" s="10">
        <f t="shared" ref="W337:W344" si="86">IFERROR(-(Q337-T337), "NA")</f>
        <v>7418.77</v>
      </c>
      <c r="X337" s="8">
        <f>IFERROR(W337/W444, "NA")</f>
        <v>0.46274445472242598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400</v>
      </c>
      <c r="C338" s="8">
        <f>IFERROR(B338/B444, "NA")</f>
        <v>3.063484747598726E-3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-400</v>
      </c>
      <c r="I338" s="8">
        <f>IFERROR(H338/H444, "NA")</f>
        <v>-2.0162245590264864E-2</v>
      </c>
      <c r="J338" s="9"/>
      <c r="K338" s="7">
        <v>316.39999999999998</v>
      </c>
      <c r="L338" s="8">
        <f>IFERROR(K338/K444, "NA")</f>
        <v>3.3145494894504298E-3</v>
      </c>
      <c r="M338" s="9"/>
      <c r="N338" s="10">
        <f t="shared" si="85"/>
        <v>-83.600000000000023</v>
      </c>
      <c r="O338" s="8">
        <f>IFERROR(N338/N444, "NA")</f>
        <v>-2.3809293257014493E-3</v>
      </c>
      <c r="P338" s="9"/>
      <c r="Q338" s="7">
        <v>1930.04</v>
      </c>
      <c r="R338" s="8">
        <f>IFERROR(Q338/Q444, "NA")</f>
        <v>3.4994856497317733E-3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-1930.04</v>
      </c>
      <c r="X338" s="8">
        <f>IFERROR(W338/W444, "NA")</f>
        <v>-0.12038590054584129</v>
      </c>
      <c r="Y338" s="9"/>
      <c r="Z338" s="7">
        <v>1874.69</v>
      </c>
      <c r="AA338" s="8">
        <f>IFERROR(Z338/Z444, "NA")</f>
        <v>3.9581861964197301E-3</v>
      </c>
      <c r="AB338" s="9"/>
      <c r="AC338" s="10">
        <f t="shared" si="87"/>
        <v>-55.349999999999909</v>
      </c>
      <c r="AD338" s="8">
        <f>IFERROR(AC338/AC444, "NA")</f>
        <v>-7.1054866295538024E-4</v>
      </c>
    </row>
    <row r="339" spans="1:30" ht="16.5" customHeight="1" x14ac:dyDescent="0.45">
      <c r="A339" s="12" t="s">
        <v>309</v>
      </c>
      <c r="B339" s="7">
        <v>404.13</v>
      </c>
      <c r="C339" s="8">
        <f>IFERROR(B339/B444, "NA")</f>
        <v>3.0951152276176828E-3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-404.13</v>
      </c>
      <c r="I339" s="8">
        <f>IFERROR(H339/H444, "NA")</f>
        <v>-2.037042077598435E-2</v>
      </c>
      <c r="J339" s="9"/>
      <c r="K339" s="7">
        <v>370.38</v>
      </c>
      <c r="L339" s="8">
        <f>IFERROR(K339/K444, "NA")</f>
        <v>3.8800342601221565E-3</v>
      </c>
      <c r="M339" s="9"/>
      <c r="N339" s="10">
        <f t="shared" si="85"/>
        <v>-33.75</v>
      </c>
      <c r="O339" s="8">
        <f>IFERROR(N339/N444, "NA")</f>
        <v>-9.6120053519645806E-4</v>
      </c>
      <c r="P339" s="9"/>
      <c r="Q339" s="7">
        <v>1730.12</v>
      </c>
      <c r="R339" s="8">
        <f>IFERROR(Q339/Q444, "NA")</f>
        <v>3.1369972188731504E-3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-1730.12</v>
      </c>
      <c r="X339" s="8">
        <f>IFERROR(W339/W444, "NA")</f>
        <v>-0.10791592622555539</v>
      </c>
      <c r="Y339" s="9"/>
      <c r="Z339" s="7">
        <v>1660.59</v>
      </c>
      <c r="AA339" s="8">
        <f>IFERROR(Z339/Z444, "NA")</f>
        <v>3.5061393701959465E-3</v>
      </c>
      <c r="AB339" s="9"/>
      <c r="AC339" s="10">
        <f t="shared" si="87"/>
        <v>-69.529999999999973</v>
      </c>
      <c r="AD339" s="8">
        <f>IFERROR(AC339/AC444, "NA")</f>
        <v>-8.9258262936382381E-4</v>
      </c>
    </row>
    <row r="340" spans="1:30" ht="16.5" customHeight="1" x14ac:dyDescent="0.45">
      <c r="A340" s="12" t="s">
        <v>310</v>
      </c>
      <c r="B340" s="7">
        <v>390</v>
      </c>
      <c r="C340" s="8">
        <f>IFERROR(B340/B444, "NA")</f>
        <v>2.9868976289087576E-3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-390</v>
      </c>
      <c r="I340" s="8">
        <f>IFERROR(H340/H444, "NA")</f>
        <v>-1.9658189450508241E-2</v>
      </c>
      <c r="J340" s="9"/>
      <c r="K340" s="7">
        <v>395</v>
      </c>
      <c r="L340" s="8">
        <f>IFERROR(K340/K444, "NA")</f>
        <v>4.1379489517475347E-3</v>
      </c>
      <c r="M340" s="9"/>
      <c r="N340" s="10">
        <f t="shared" si="85"/>
        <v>5</v>
      </c>
      <c r="O340" s="8">
        <f>IFERROR(N340/N444, "NA")</f>
        <v>1.4240007928836417E-4</v>
      </c>
      <c r="P340" s="9"/>
      <c r="Q340" s="7">
        <v>2129.1799999999998</v>
      </c>
      <c r="R340" s="8">
        <f>IFERROR(Q340/Q444, "NA")</f>
        <v>3.8605598100018117E-3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-2129.1799999999998</v>
      </c>
      <c r="X340" s="8">
        <f>IFERROR(W340/W444, "NA")</f>
        <v>-0.13280722250533375</v>
      </c>
      <c r="Y340" s="9"/>
      <c r="Z340" s="7">
        <v>1946.05</v>
      </c>
      <c r="AA340" s="8">
        <f>IFERROR(Z340/Z444, "NA")</f>
        <v>4.1088543959495252E-3</v>
      </c>
      <c r="AB340" s="9"/>
      <c r="AC340" s="10">
        <f t="shared" si="87"/>
        <v>-183.12999999999988</v>
      </c>
      <c r="AD340" s="8">
        <f>IFERROR(AC340/AC444, "NA")</f>
        <v>-2.3509083405062131E-3</v>
      </c>
    </row>
    <row r="341" spans="1:30" ht="16.5" customHeight="1" x14ac:dyDescent="0.45">
      <c r="A341" s="12" t="s">
        <v>311</v>
      </c>
      <c r="B341" s="7">
        <v>472.03</v>
      </c>
      <c r="C341" s="8">
        <f>IFERROR(B341/B444, "NA")</f>
        <v>3.6151417635225665E-3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-472.03</v>
      </c>
      <c r="I341" s="8">
        <f>IFERROR(H341/H444, "NA")</f>
        <v>-2.3792961964931806E-2</v>
      </c>
      <c r="J341" s="9"/>
      <c r="K341" s="7">
        <v>441.14</v>
      </c>
      <c r="L341" s="8">
        <f>IFERROR(K341/K444, "NA")</f>
        <v>4.6213032925921703E-3</v>
      </c>
      <c r="M341" s="9"/>
      <c r="N341" s="10">
        <f t="shared" si="85"/>
        <v>-30.889999999999986</v>
      </c>
      <c r="O341" s="8">
        <f>IFERROR(N341/N444, "NA")</f>
        <v>-8.7974768984351343E-4</v>
      </c>
      <c r="P341" s="9"/>
      <c r="Q341" s="7">
        <v>2357.37</v>
      </c>
      <c r="R341" s="8">
        <f>IFERROR(Q341/Q444, "NA")</f>
        <v>4.2743064838595005E-3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-2357.37</v>
      </c>
      <c r="X341" s="8">
        <f>IFERROR(W341/W444, "NA")</f>
        <v>-0.14704053303027392</v>
      </c>
      <c r="Y341" s="9"/>
      <c r="Z341" s="7">
        <v>2203.27</v>
      </c>
      <c r="AA341" s="8">
        <f>IFERROR(Z341/Z444, "NA")</f>
        <v>4.6519440019340257E-3</v>
      </c>
      <c r="AB341" s="9"/>
      <c r="AC341" s="10">
        <f t="shared" si="87"/>
        <v>-154.09999999999991</v>
      </c>
      <c r="AD341" s="8">
        <f>IFERROR(AC341/AC444, "NA")</f>
        <v>-1.9782393669634003E-3</v>
      </c>
    </row>
    <row r="342" spans="1:30" ht="16.5" customHeight="1" x14ac:dyDescent="0.45">
      <c r="A342" s="13" t="s">
        <v>312</v>
      </c>
      <c r="B342" s="14">
        <f>IFERROR(B337+B338+B339+B340+B341, "NA")</f>
        <v>1666.16</v>
      </c>
      <c r="C342" s="15">
        <f>IFERROR(B342/B444, "NA")</f>
        <v>1.2760639367647734E-2</v>
      </c>
      <c r="D342" s="2"/>
      <c r="E342" s="14">
        <f>IFERROR(E337+E338+E339+E340+E341, "NA")</f>
        <v>1622.75</v>
      </c>
      <c r="F342" s="15">
        <f>IFERROR(E342/E444, "NA")</f>
        <v>1.4654857890097822E-2</v>
      </c>
      <c r="G342" s="2"/>
      <c r="H342" s="14">
        <f t="shared" si="84"/>
        <v>-43.410000000000082</v>
      </c>
      <c r="I342" s="15">
        <f>IFERROR(H342/H444, "NA")</f>
        <v>-2.1881077026834985E-3</v>
      </c>
      <c r="J342" s="2"/>
      <c r="K342" s="14">
        <f>IFERROR(K337+K338+K339+K340+K341, "NA")</f>
        <v>1522.92</v>
      </c>
      <c r="L342" s="15">
        <f>IFERROR(K342/K444, "NA")</f>
        <v>1.5953835993912292E-2</v>
      </c>
      <c r="M342" s="2"/>
      <c r="N342" s="14">
        <f t="shared" si="85"/>
        <v>-143.24</v>
      </c>
      <c r="O342" s="15">
        <f>IFERROR(N342/N444, "NA")</f>
        <v>-4.0794774714530569E-3</v>
      </c>
      <c r="P342" s="2"/>
      <c r="Q342" s="14">
        <f>IFERROR(Q337+Q338+Q339+Q340+Q341, "NA")</f>
        <v>8146.71</v>
      </c>
      <c r="R342" s="15">
        <f>IFERROR(Q342/Q444, "NA")</f>
        <v>1.4771349162466236E-2</v>
      </c>
      <c r="S342" s="2"/>
      <c r="T342" s="14">
        <f>IFERROR(T337+T338+T339+T340+T341, "NA")</f>
        <v>7418.77</v>
      </c>
      <c r="U342" s="15">
        <f>IFERROR(T342/T444, "NA")</f>
        <v>1.3854198370558318E-2</v>
      </c>
      <c r="V342" s="2"/>
      <c r="W342" s="14">
        <f t="shared" si="86"/>
        <v>-727.9399999999996</v>
      </c>
      <c r="X342" s="15">
        <f>IFERROR(W342/W444, "NA")</f>
        <v>-4.5405127584578382E-2</v>
      </c>
      <c r="Y342" s="2"/>
      <c r="Z342" s="14">
        <f>IFERROR(Z337+Z338+Z339+Z340+Z341, "NA")</f>
        <v>7684.6</v>
      </c>
      <c r="AA342" s="15">
        <f>IFERROR(Z342/Z444, "NA")</f>
        <v>1.6225123964499228E-2</v>
      </c>
      <c r="AB342" s="2"/>
      <c r="AC342" s="14">
        <f t="shared" si="87"/>
        <v>-462.10999999999967</v>
      </c>
      <c r="AD342" s="15">
        <f>IFERROR(AC342/AC444, "NA")</f>
        <v>-5.9322789997888177E-3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17118.149999999994</v>
      </c>
      <c r="C343" s="15">
        <f>IFERROR(B343/B444, "NA")</f>
        <v>0.13110297858026779</v>
      </c>
      <c r="D343" s="2"/>
      <c r="E343" s="14">
        <f>IFERROR(E328+E329+E330+E331+E332+E333+E334+E335+E337+E338+E339+E340+E341, "NA")</f>
        <v>17052.75</v>
      </c>
      <c r="F343" s="15">
        <f>IFERROR(E343/E444, "NA")</f>
        <v>0.15400131128354069</v>
      </c>
      <c r="G343" s="2"/>
      <c r="H343" s="14">
        <f t="shared" si="84"/>
        <v>-65.399999999994179</v>
      </c>
      <c r="I343" s="15">
        <f>IFERROR(H343/H444, "NA")</f>
        <v>-3.2965271540080117E-3</v>
      </c>
      <c r="J343" s="2"/>
      <c r="K343" s="14">
        <f>IFERROR(K328+K329+K330+K331+K332+K333+K334+K335+K337+K338+K339+K340+K341, "NA")</f>
        <v>16964.789999999997</v>
      </c>
      <c r="L343" s="15">
        <f>IFERROR(K343/K444, "NA")</f>
        <v>0.17772008860029631</v>
      </c>
      <c r="M343" s="2"/>
      <c r="N343" s="14">
        <f t="shared" si="85"/>
        <v>-153.35999999999694</v>
      </c>
      <c r="O343" s="15">
        <f>IFERROR(N343/N444, "NA")</f>
        <v>-4.3676952319326185E-3</v>
      </c>
      <c r="P343" s="2"/>
      <c r="Q343" s="14">
        <f>IFERROR(Q328+Q329+Q330+Q331+Q332+Q333+Q334+Q335+Q337+Q338+Q339+Q340+Q341, "NA")</f>
        <v>88440.25999999998</v>
      </c>
      <c r="R343" s="15">
        <f>IFERROR(Q343/Q444, "NA")</f>
        <v>0.160356998159907</v>
      </c>
      <c r="S343" s="2"/>
      <c r="T343" s="14">
        <f>IFERROR(T328+T329+T330+T331+T332+T333+T334+T335+T337+T338+T339+T340+T341, "NA")</f>
        <v>87601.77</v>
      </c>
      <c r="U343" s="15">
        <f>IFERROR(T343/T444, "NA")</f>
        <v>0.16359211826111666</v>
      </c>
      <c r="V343" s="2"/>
      <c r="W343" s="14">
        <f t="shared" si="86"/>
        <v>-838.48999999997613</v>
      </c>
      <c r="X343" s="15">
        <f>IFERROR(W343/W444, "NA")</f>
        <v>-5.2300664104723005E-2</v>
      </c>
      <c r="Y343" s="2"/>
      <c r="Z343" s="14">
        <f>IFERROR(Z328+Z329+Z330+Z331+Z332+Z333+Z334+Z335+Z337+Z338+Z339+Z340+Z341, "NA")</f>
        <v>82874.13</v>
      </c>
      <c r="AA343" s="15">
        <f>IFERROR(Z343/Z444, "NA")</f>
        <v>0.17497892313198143</v>
      </c>
      <c r="AB343" s="2"/>
      <c r="AC343" s="14">
        <f t="shared" si="87"/>
        <v>-5566.1299999999756</v>
      </c>
      <c r="AD343" s="15">
        <f>IFERROR(AC343/AC444, "NA")</f>
        <v>-7.1454493754938023E-2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17118.149999999994</v>
      </c>
      <c r="C344" s="15">
        <f>IFERROR(B344/B444, "NA")</f>
        <v>0.13110297858026779</v>
      </c>
      <c r="D344" s="2"/>
      <c r="E344" s="14">
        <f>IFERROR(E328+E329+E330+E331+E332+E333+E334+E335+E337+E338+E339+E340+E341, "NA")</f>
        <v>17052.75</v>
      </c>
      <c r="F344" s="15">
        <f>IFERROR(E344/E444, "NA")</f>
        <v>0.15400131128354069</v>
      </c>
      <c r="G344" s="2"/>
      <c r="H344" s="14">
        <f t="shared" si="84"/>
        <v>-65.399999999994179</v>
      </c>
      <c r="I344" s="15">
        <f>IFERROR(H344/H444, "NA")</f>
        <v>-3.2965271540080117E-3</v>
      </c>
      <c r="J344" s="2"/>
      <c r="K344" s="14">
        <f>IFERROR(K328+K329+K330+K331+K332+K333+K334+K335+K337+K338+K339+K340+K341, "NA")</f>
        <v>16964.789999999997</v>
      </c>
      <c r="L344" s="15">
        <f>IFERROR(K344/K444, "NA")</f>
        <v>0.17772008860029631</v>
      </c>
      <c r="M344" s="2"/>
      <c r="N344" s="14">
        <f t="shared" si="85"/>
        <v>-153.35999999999694</v>
      </c>
      <c r="O344" s="15">
        <f>IFERROR(N344/N444, "NA")</f>
        <v>-4.3676952319326185E-3</v>
      </c>
      <c r="P344" s="2"/>
      <c r="Q344" s="14">
        <f>IFERROR(Q328+Q329+Q330+Q331+Q332+Q333+Q334+Q335+Q337+Q338+Q339+Q340+Q341, "NA")</f>
        <v>88440.25999999998</v>
      </c>
      <c r="R344" s="15">
        <f>IFERROR(Q344/Q444, "NA")</f>
        <v>0.160356998159907</v>
      </c>
      <c r="S344" s="2"/>
      <c r="T344" s="14">
        <f>IFERROR(T328+T329+T330+T331+T332+T333+T334+T335+T337+T338+T339+T340+T341, "NA")</f>
        <v>87601.77</v>
      </c>
      <c r="U344" s="15">
        <f>IFERROR(T344/T444, "NA")</f>
        <v>0.16359211826111666</v>
      </c>
      <c r="V344" s="2"/>
      <c r="W344" s="14">
        <f t="shared" si="86"/>
        <v>-838.48999999997613</v>
      </c>
      <c r="X344" s="15">
        <f>IFERROR(W344/W444, "NA")</f>
        <v>-5.2300664104723005E-2</v>
      </c>
      <c r="Y344" s="2"/>
      <c r="Z344" s="14">
        <f>IFERROR(Z328+Z329+Z330+Z331+Z332+Z333+Z334+Z335+Z337+Z338+Z339+Z340+Z341, "NA")</f>
        <v>82874.13</v>
      </c>
      <c r="AA344" s="15">
        <f>IFERROR(Z344/Z444, "NA")</f>
        <v>0.17497892313198143</v>
      </c>
      <c r="AB344" s="2"/>
      <c r="AC344" s="14">
        <f t="shared" si="87"/>
        <v>-5566.1299999999756</v>
      </c>
      <c r="AD344" s="15">
        <f>IFERROR(AC344/AC444, "NA")</f>
        <v>-7.1454493754938023E-2</v>
      </c>
    </row>
    <row r="345" spans="1:30" ht="16.5" customHeight="1" x14ac:dyDescent="0.45">
      <c r="A345" s="22" t="s">
        <v>315</v>
      </c>
      <c r="B345" s="23">
        <f>IFERROR(B198-B325-B344, "NA")</f>
        <v>17599.650000000081</v>
      </c>
      <c r="C345" s="24">
        <f>IFERROR(B345/B444, "NA")</f>
        <v>0.13479064834519042</v>
      </c>
      <c r="D345" s="25"/>
      <c r="E345" s="23">
        <f>IFERROR(E198-E325-E344, "NA")</f>
        <v>15435.140000000003</v>
      </c>
      <c r="F345" s="24">
        <f>IFERROR(E345/E444, "NA")</f>
        <v>0.13939287210831278</v>
      </c>
      <c r="G345" s="25"/>
      <c r="H345" s="23">
        <f>IFERROR(B345-E345, "NA")</f>
        <v>2164.5100000000784</v>
      </c>
      <c r="I345" s="24">
        <f>IFERROR(H345/H444, "NA")</f>
        <v>0.10910345550646446</v>
      </c>
      <c r="J345" s="25"/>
      <c r="K345" s="23">
        <f>IFERROR(K198-K325-K344, "NA")</f>
        <v>5078.7700000000223</v>
      </c>
      <c r="L345" s="24">
        <f>IFERROR(K345/K444, "NA")</f>
        <v>5.3204281006751689E-2</v>
      </c>
      <c r="M345" s="25"/>
      <c r="N345" s="23">
        <f>IFERROR(B345-K345, "NA")</f>
        <v>12520.880000000059</v>
      </c>
      <c r="O345" s="24">
        <f>IFERROR(N345/N444, "NA")</f>
        <v>0.35659486095202031</v>
      </c>
      <c r="P345" s="25"/>
      <c r="Q345" s="23">
        <f>IFERROR(Q198-Q325-Q344, "NA")</f>
        <v>15099.590000000026</v>
      </c>
      <c r="R345" s="24">
        <f>IFERROR(Q345/Q444, "NA")</f>
        <v>2.7378084662407761E-2</v>
      </c>
      <c r="S345" s="25"/>
      <c r="T345" s="23">
        <f>IFERROR(T198-T325-T344, "NA")</f>
        <v>54657.829999999914</v>
      </c>
      <c r="U345" s="24">
        <f>IFERROR(T345/T444, "NA")</f>
        <v>0.10207088497476702</v>
      </c>
      <c r="V345" s="25"/>
      <c r="W345" s="23">
        <f>IFERROR(Q345-T345, "NA")</f>
        <v>-39558.239999999889</v>
      </c>
      <c r="X345" s="24">
        <f>IFERROR(W345/W444, "NA")</f>
        <v>-2.4674381600425419</v>
      </c>
      <c r="Y345" s="25"/>
      <c r="Z345" s="23">
        <f>IFERROR(Z198-Z325-Z344, "NA")</f>
        <v>19306.839999999909</v>
      </c>
      <c r="AA345" s="24">
        <f>IFERROR(Z345/Z444, "NA")</f>
        <v>4.0764109044420113E-2</v>
      </c>
      <c r="AB345" s="25"/>
      <c r="AC345" s="23">
        <f>IFERROR(Q345-Z345, "NA")</f>
        <v>-4207.2499999998836</v>
      </c>
      <c r="AD345" s="24">
        <f>IFERROR(AC345/AC444, "NA")</f>
        <v>-5.4010042677849063E-2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17599.650000000081</v>
      </c>
      <c r="C404" s="24">
        <f>IFERROR(B404/B444, "NA")</f>
        <v>0.13479064834519042</v>
      </c>
      <c r="D404" s="25"/>
      <c r="E404" s="23">
        <f>IFERROR(E345-E403, "NA")</f>
        <v>15435.140000000003</v>
      </c>
      <c r="F404" s="24">
        <f>IFERROR(E404/E444, "NA")</f>
        <v>0.13939287210831278</v>
      </c>
      <c r="G404" s="25"/>
      <c r="H404" s="23">
        <f>IFERROR(B404-E404, "NA")</f>
        <v>2164.5100000000784</v>
      </c>
      <c r="I404" s="24">
        <f>IFERROR(H404/H444, "NA")</f>
        <v>0.10910345550646446</v>
      </c>
      <c r="J404" s="25"/>
      <c r="K404" s="23">
        <f>IFERROR(K345-K403, "NA")</f>
        <v>5078.7700000000223</v>
      </c>
      <c r="L404" s="24">
        <f>IFERROR(K404/K444, "NA")</f>
        <v>5.3204281006751689E-2</v>
      </c>
      <c r="M404" s="25"/>
      <c r="N404" s="23">
        <f>IFERROR(B404-K404, "NA")</f>
        <v>12520.880000000059</v>
      </c>
      <c r="O404" s="24">
        <f>IFERROR(N404/N444, "NA")</f>
        <v>0.35659486095202031</v>
      </c>
      <c r="P404" s="25"/>
      <c r="Q404" s="23">
        <f>IFERROR(Q345-Q403, "NA")</f>
        <v>15099.590000000026</v>
      </c>
      <c r="R404" s="24">
        <f>IFERROR(Q404/Q444, "NA")</f>
        <v>2.7378084662407761E-2</v>
      </c>
      <c r="S404" s="25"/>
      <c r="T404" s="23">
        <f>IFERROR(T345-T403, "NA")</f>
        <v>54657.829999999914</v>
      </c>
      <c r="U404" s="24">
        <f>IFERROR(T404/T444, "NA")</f>
        <v>0.10207088497476702</v>
      </c>
      <c r="V404" s="25"/>
      <c r="W404" s="23">
        <f>IFERROR(Q404-T404, "NA")</f>
        <v>-39558.239999999889</v>
      </c>
      <c r="X404" s="24">
        <f>IFERROR(W404/W444, "NA")</f>
        <v>-2.4674381600425419</v>
      </c>
      <c r="Y404" s="25"/>
      <c r="Z404" s="23">
        <f>IFERROR(Z345-Z403, "NA")</f>
        <v>19306.839999999909</v>
      </c>
      <c r="AA404" s="24">
        <f>IFERROR(Z404/Z444, "NA")</f>
        <v>4.0764109044420113E-2</v>
      </c>
      <c r="AB404" s="25"/>
      <c r="AC404" s="23">
        <f>IFERROR(Q404-Z404, "NA")</f>
        <v>-4207.2499999998836</v>
      </c>
      <c r="AD404" s="24">
        <f>IFERROR(AC404/AC444, "NA")</f>
        <v>-5.4010042677849063E-2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73</v>
      </c>
      <c r="AA408" s="8">
        <f>IFERROR(Z408/Z444, "NA")</f>
        <v>1.5413086555037916E-4</v>
      </c>
      <c r="AB408" s="9"/>
      <c r="AC408" s="10">
        <f t="shared" si="103"/>
        <v>73</v>
      </c>
      <c r="AD408" s="8">
        <f>IFERROR(AC408/AC444, "NA")</f>
        <v>9.3712831789959962E-4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8150.72</v>
      </c>
      <c r="C410" s="8">
        <f>IFERROR(B410/B444, "NA")</f>
        <v>6.2424016004869722E-2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-8150.72</v>
      </c>
      <c r="I410" s="8">
        <f>IFERROR(H410/H444, "NA")</f>
        <v>-0.4108420459437091</v>
      </c>
      <c r="J410" s="9"/>
      <c r="K410" s="7">
        <v>8357.0499999999993</v>
      </c>
      <c r="L410" s="8">
        <f>IFERROR(K410/K444, "NA")</f>
        <v>8.7546952625827165E-2</v>
      </c>
      <c r="M410" s="9"/>
      <c r="N410" s="10">
        <f t="shared" si="101"/>
        <v>206.32999999999902</v>
      </c>
      <c r="O410" s="8">
        <f>IFERROR(N410/N444, "NA")</f>
        <v>5.8762816719136078E-3</v>
      </c>
      <c r="P410" s="9"/>
      <c r="Q410" s="7">
        <v>40456.160000000003</v>
      </c>
      <c r="R410" s="8">
        <f>IFERROR(Q410/Q444, "NA")</f>
        <v>7.3353791301347435E-2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-40456.160000000003</v>
      </c>
      <c r="X410" s="8">
        <f>IFERROR(W410/W444, "NA")</f>
        <v>-2.5234457597908038</v>
      </c>
      <c r="Y410" s="9"/>
      <c r="Z410" s="7">
        <v>41785.67</v>
      </c>
      <c r="AA410" s="8">
        <f>IFERROR(Z410/Z444, "NA")</f>
        <v>8.8225499790445361E-2</v>
      </c>
      <c r="AB410" s="9"/>
      <c r="AC410" s="10">
        <f t="shared" si="103"/>
        <v>1329.5099999999948</v>
      </c>
      <c r="AD410" s="8">
        <f>IFERROR(AC410/AC444, "NA")</f>
        <v>1.7067417396310847E-2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0</v>
      </c>
      <c r="C416" s="8">
        <f>IFERROR(B416/B444, "NA")</f>
        <v>0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0</v>
      </c>
      <c r="I416" s="8">
        <f>IFERROR(H416/H444, "NA")</f>
        <v>0</v>
      </c>
      <c r="J416" s="9"/>
      <c r="K416" s="7">
        <v>-44.14</v>
      </c>
      <c r="L416" s="8">
        <f>IFERROR(K416/K444, "NA")</f>
        <v>-4.6240270058262321E-4</v>
      </c>
      <c r="M416" s="9"/>
      <c r="N416" s="10">
        <f t="shared" si="101"/>
        <v>-44.14</v>
      </c>
      <c r="O416" s="8">
        <f>IFERROR(N416/N444, "NA")</f>
        <v>-1.2571078999576788E-3</v>
      </c>
      <c r="P416" s="9"/>
      <c r="Q416" s="7">
        <v>-123.13</v>
      </c>
      <c r="R416" s="8">
        <f>IFERROR(Q416/Q444, "NA")</f>
        <v>-2.2325530457994303E-4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123.13</v>
      </c>
      <c r="X416" s="8">
        <f>IFERROR(W416/W444, "NA")</f>
        <v>7.6802117749940092E-3</v>
      </c>
      <c r="Y416" s="9"/>
      <c r="Z416" s="7">
        <v>-167.63</v>
      </c>
      <c r="AA416" s="8">
        <f>IFERROR(Z416/Z444, "NA")</f>
        <v>-3.5393091770150763E-4</v>
      </c>
      <c r="AB416" s="9"/>
      <c r="AC416" s="10">
        <f t="shared" si="103"/>
        <v>-44.5</v>
      </c>
      <c r="AD416" s="8">
        <f>IFERROR(AC416/AC444, "NA")</f>
        <v>-5.7126315269222174E-4</v>
      </c>
    </row>
    <row r="417" spans="1:30" ht="16.5" customHeight="1" x14ac:dyDescent="0.45">
      <c r="A417" s="6" t="s">
        <v>382</v>
      </c>
      <c r="B417" s="7">
        <v>-71.319999999999993</v>
      </c>
      <c r="C417" s="8">
        <f>IFERROR(B417/B444, "NA")</f>
        <v>-5.4621933049685278E-4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71.319999999999993</v>
      </c>
      <c r="I417" s="8">
        <f>IFERROR(H417/H444, "NA")</f>
        <v>3.594928388744225E-3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71.319999999999993</v>
      </c>
      <c r="O417" s="8">
        <f>IFERROR(N417/N444, "NA")</f>
        <v>2.0311947309692262E-3</v>
      </c>
      <c r="P417" s="9"/>
      <c r="Q417" s="7">
        <v>-353.82</v>
      </c>
      <c r="R417" s="8">
        <f>IFERROR(Q417/Q444, "NA")</f>
        <v>-6.4153489699078571E-4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353.82</v>
      </c>
      <c r="X417" s="8">
        <f>IFERROR(W417/W444, "NA")</f>
        <v>2.2069459353759282E-2</v>
      </c>
      <c r="Y417" s="9"/>
      <c r="Z417" s="7">
        <v>0</v>
      </c>
      <c r="AA417" s="8">
        <f>IFERROR(Z417/Z444, "NA")</f>
        <v>0</v>
      </c>
      <c r="AB417" s="9"/>
      <c r="AC417" s="10">
        <f t="shared" si="103"/>
        <v>353.82</v>
      </c>
      <c r="AD417" s="8">
        <f>IFERROR(AC417/AC444, "NA")</f>
        <v>4.5421197457429638E-3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hidden="1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0</v>
      </c>
      <c r="AA424" s="8">
        <f>IFERROR(Z424/Z444, "NA")</f>
        <v>0</v>
      </c>
      <c r="AB424" s="9"/>
      <c r="AC424" s="10">
        <f t="shared" si="103"/>
        <v>0</v>
      </c>
      <c r="AD424" s="8">
        <f>IFERROR(AC424/AC444, "NA")</f>
        <v>0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8079.4000000000005</v>
      </c>
      <c r="C428" s="15">
        <f>IFERROR(B428/B444, "NA")</f>
        <v>6.1877796674372869E-2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-8079.4000000000005</v>
      </c>
      <c r="I428" s="15">
        <f>IFERROR(H428/H444, "NA")</f>
        <v>-0.4072471175549649</v>
      </c>
      <c r="J428" s="2"/>
      <c r="K428" s="14">
        <f>IFERROR(K407+K408+K409+K410+K411+K412+K413+K414+K415+K416+K417+K418+K419+K420+K421+K422+K423+K424+K425+K426+K427, "NA")</f>
        <v>8312.91</v>
      </c>
      <c r="L428" s="15">
        <f>IFERROR(K428/K444, "NA")</f>
        <v>8.7084549925244545E-2</v>
      </c>
      <c r="M428" s="2"/>
      <c r="N428" s="14">
        <f t="shared" si="101"/>
        <v>233.50999999999931</v>
      </c>
      <c r="O428" s="15">
        <f>IFERROR(N428/N444, "NA")</f>
        <v>6.6503685029251636E-3</v>
      </c>
      <c r="P428" s="2"/>
      <c r="Q428" s="14">
        <f>IFERROR(Q407+Q408+Q409+Q410+Q411+Q412+Q413+Q414+Q415+Q416+Q417+Q418+Q419+Q420+Q421+Q422+Q423+Q424+Q425+Q426+Q427, "NA")</f>
        <v>39979.210000000006</v>
      </c>
      <c r="R428" s="15">
        <f>IFERROR(Q428/Q444, "NA")</f>
        <v>7.2489001099776698E-2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-39979.210000000006</v>
      </c>
      <c r="X428" s="15">
        <f>IFERROR(W428/W444, "NA")</f>
        <v>-2.4936960886620509</v>
      </c>
      <c r="Y428" s="2"/>
      <c r="Z428" s="14">
        <f>IFERROR(Z407+Z408+Z409+Z410+Z411+Z412+Z413+Z414+Z415+Z416+Z417+Z418+Z419+Z420+Z421+Z422+Z423+Z424+Z425+Z426+Z427, "NA")</f>
        <v>41691.040000000001</v>
      </c>
      <c r="AA428" s="15">
        <f>IFERROR(Z428/Z444, "NA")</f>
        <v>8.8025699738294244E-2</v>
      </c>
      <c r="AB428" s="2"/>
      <c r="AC428" s="14">
        <f t="shared" si="103"/>
        <v>1711.8299999999945</v>
      </c>
      <c r="AD428" s="15">
        <f>IFERROR(AC428/AC444, "NA")</f>
        <v>2.1975402307261183E-2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8079.4000000000005</v>
      </c>
      <c r="C429" s="15">
        <f>IFERROR(B429/B444, "NA")</f>
        <v>6.1877796674372869E-2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-8079.4000000000005</v>
      </c>
      <c r="I429" s="15">
        <f>IFERROR(H429/H444, "NA")</f>
        <v>-0.4072471175549649</v>
      </c>
      <c r="J429" s="2"/>
      <c r="K429" s="14">
        <f>IFERROR(K407+K408+K409+K410+K411+K412+K413+K414+K415+K416+K417+K418+K419+K420+K421+K422+K423+K424+K425+K426+K427, "NA")</f>
        <v>8312.91</v>
      </c>
      <c r="L429" s="15">
        <f>IFERROR(K429/K444, "NA")</f>
        <v>8.7084549925244545E-2</v>
      </c>
      <c r="M429" s="2"/>
      <c r="N429" s="14">
        <f t="shared" si="101"/>
        <v>233.50999999999931</v>
      </c>
      <c r="O429" s="15">
        <f>IFERROR(N429/N444, "NA")</f>
        <v>6.6503685029251636E-3</v>
      </c>
      <c r="P429" s="2"/>
      <c r="Q429" s="14">
        <f>IFERROR(Q407+Q408+Q409+Q410+Q411+Q412+Q413+Q414+Q415+Q416+Q417+Q418+Q419+Q420+Q421+Q422+Q423+Q424+Q425+Q426+Q427, "NA")</f>
        <v>39979.210000000006</v>
      </c>
      <c r="R429" s="15">
        <f>IFERROR(Q429/Q444, "NA")</f>
        <v>7.2489001099776698E-2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-39979.210000000006</v>
      </c>
      <c r="X429" s="15">
        <f>IFERROR(W429/W444, "NA")</f>
        <v>-2.4936960886620509</v>
      </c>
      <c r="Y429" s="2"/>
      <c r="Z429" s="14">
        <f>IFERROR(Z407+Z408+Z409+Z410+Z411+Z412+Z413+Z414+Z415+Z416+Z417+Z418+Z419+Z420+Z421+Z422+Z423+Z424+Z425+Z426+Z427, "NA")</f>
        <v>41691.040000000001</v>
      </c>
      <c r="AA429" s="15">
        <f>IFERROR(Z429/Z444, "NA")</f>
        <v>8.8025699738294244E-2</v>
      </c>
      <c r="AB429" s="2"/>
      <c r="AC429" s="14">
        <f t="shared" si="103"/>
        <v>1711.8299999999945</v>
      </c>
      <c r="AD429" s="15">
        <f>IFERROR(AC429/AC444, "NA")</f>
        <v>2.1975402307261183E-2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9520.25000000008</v>
      </c>
      <c r="C443" s="24">
        <f>IFERROR(B443/B444, "NA")</f>
        <v>7.2912851670817541E-2</v>
      </c>
      <c r="D443" s="25"/>
      <c r="E443" s="23">
        <f>IFERROR(E404-E429-E442, "NA")</f>
        <v>15435.140000000003</v>
      </c>
      <c r="F443" s="24">
        <f>IFERROR(E443/E444, "NA")</f>
        <v>0.13939287210831278</v>
      </c>
      <c r="G443" s="25"/>
      <c r="H443" s="23">
        <f>IFERROR(B443-E443, "NA")</f>
        <v>-5914.889999999923</v>
      </c>
      <c r="I443" s="24">
        <f>IFERROR(H443/H444, "NA")</f>
        <v>-0.29814366204850046</v>
      </c>
      <c r="J443" s="25"/>
      <c r="K443" s="23">
        <f>IFERROR(K404-K429-K442, "NA")</f>
        <v>-3234.1399999999776</v>
      </c>
      <c r="L443" s="24">
        <f>IFERROR(K443/K444, "NA")</f>
        <v>-3.3880268918492856E-2</v>
      </c>
      <c r="M443" s="25"/>
      <c r="N443" s="23">
        <f>IFERROR(B443-K443, "NA")</f>
        <v>12754.390000000058</v>
      </c>
      <c r="O443" s="24">
        <f>IFERROR(N443/N444, "NA")</f>
        <v>0.36324522945494542</v>
      </c>
      <c r="P443" s="25"/>
      <c r="Q443" s="23">
        <f>IFERROR(Q404-Q429-Q442, "NA")</f>
        <v>-24879.619999999981</v>
      </c>
      <c r="R443" s="24">
        <f>IFERROR(Q443/Q444, "NA")</f>
        <v>-4.5110916437368941E-2</v>
      </c>
      <c r="S443" s="25"/>
      <c r="T443" s="23">
        <f>IFERROR(T404-T429-T442, "NA")</f>
        <v>54657.829999999914</v>
      </c>
      <c r="U443" s="24">
        <f>IFERROR(T443/T444, "NA")</f>
        <v>0.10207088497476702</v>
      </c>
      <c r="V443" s="25"/>
      <c r="W443" s="23">
        <f>IFERROR(Q443-T443, "NA")</f>
        <v>-79537.449999999895</v>
      </c>
      <c r="X443" s="24">
        <f>IFERROR(W443/W444, "NA")</f>
        <v>-4.9611342487045924</v>
      </c>
      <c r="Y443" s="25"/>
      <c r="Z443" s="23">
        <f>IFERROR(Z404-Z429-Z442, "NA")</f>
        <v>-22384.200000000092</v>
      </c>
      <c r="AA443" s="24">
        <f>IFERROR(Z443/Z444, "NA")</f>
        <v>-4.7261590693874124E-2</v>
      </c>
      <c r="AB443" s="25"/>
      <c r="AC443" s="23">
        <f>IFERROR(Q443-Z443, "NA")</f>
        <v>-2495.4199999998891</v>
      </c>
      <c r="AD443" s="24">
        <f>IFERROR(AC443/AC444, "NA")</f>
        <v>-3.2034640370587876E-2</v>
      </c>
    </row>
    <row r="444" spans="1:30" ht="15.75" hidden="1" x14ac:dyDescent="0.45">
      <c r="A444" s="26" t="s">
        <v>117</v>
      </c>
      <c r="B444" s="7">
        <v>130570.26</v>
      </c>
      <c r="C444" s="27"/>
      <c r="D444" s="9"/>
      <c r="E444" s="7">
        <v>110731.2</v>
      </c>
      <c r="F444" s="27"/>
      <c r="G444" s="9"/>
      <c r="H444" s="10">
        <f>IFERROR(B444-E444, "NA")</f>
        <v>19839.059999999998</v>
      </c>
      <c r="I444" s="27"/>
      <c r="J444" s="9"/>
      <c r="K444" s="7">
        <v>95457.919999999998</v>
      </c>
      <c r="L444" s="27"/>
      <c r="M444" s="9"/>
      <c r="N444" s="10">
        <f>IFERROR(B444-K444, "NA")</f>
        <v>35112.339999999997</v>
      </c>
      <c r="O444" s="27"/>
      <c r="P444" s="9"/>
      <c r="Q444" s="7">
        <v>551521.05000000005</v>
      </c>
      <c r="R444" s="27"/>
      <c r="S444" s="9"/>
      <c r="T444" s="7">
        <v>535488.93999999994</v>
      </c>
      <c r="U444" s="27"/>
      <c r="V444" s="9"/>
      <c r="W444" s="10">
        <f>IFERROR(Q444-T444, "NA")</f>
        <v>16032.110000000102</v>
      </c>
      <c r="X444" s="27"/>
      <c r="Y444" s="9"/>
      <c r="Z444" s="7">
        <v>473623.5</v>
      </c>
      <c r="AA444" s="27"/>
      <c r="AB444" s="9"/>
      <c r="AC444" s="10">
        <f>IFERROR(Q444-Z444, "NA")</f>
        <v>77897.550000000047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AD449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45"/>
  <cols>
    <col min="1" max="1" width="42.86328125" customWidth="1"/>
    <col min="2" max="2" width="17.1328125" customWidth="1"/>
    <col min="3" max="3" width="9.3984375" customWidth="1"/>
    <col min="4" max="4" width="1.3984375" customWidth="1"/>
    <col min="5" max="5" width="17.1328125" customWidth="1"/>
    <col min="6" max="6" width="9.3984375" customWidth="1"/>
    <col min="7" max="7" width="1.3984375" customWidth="1"/>
    <col min="8" max="8" width="17.1328125" customWidth="1"/>
    <col min="9" max="9" width="9.3984375" customWidth="1"/>
    <col min="10" max="10" width="1.3984375" customWidth="1"/>
    <col min="11" max="11" width="17.1328125" customWidth="1"/>
    <col min="12" max="12" width="9.3984375" customWidth="1"/>
    <col min="13" max="13" width="1.3984375" customWidth="1"/>
    <col min="14" max="14" width="17.1328125" customWidth="1"/>
    <col min="15" max="15" width="9.3984375" customWidth="1"/>
    <col min="16" max="16" width="1.3984375" customWidth="1"/>
    <col min="17" max="17" width="17.1328125" customWidth="1"/>
    <col min="18" max="18" width="9.3984375" customWidth="1"/>
    <col min="19" max="19" width="1.3984375" customWidth="1"/>
    <col min="20" max="20" width="17.1328125" customWidth="1"/>
    <col min="21" max="21" width="9.3984375" customWidth="1"/>
    <col min="22" max="22" width="1.3984375" customWidth="1"/>
    <col min="23" max="23" width="17.1328125" customWidth="1"/>
    <col min="24" max="24" width="9.3984375" customWidth="1"/>
    <col min="25" max="25" width="1.3984375" customWidth="1"/>
    <col min="26" max="26" width="17.1328125" customWidth="1"/>
    <col min="27" max="27" width="9.3984375" customWidth="1"/>
    <col min="28" max="28" width="1.3984375" customWidth="1"/>
    <col min="29" max="29" width="17.1328125" customWidth="1"/>
    <col min="30" max="30" width="9.3984375" customWidth="1"/>
  </cols>
  <sheetData>
    <row r="1" spans="1:30" ht="33.4" x14ac:dyDescent="0.45">
      <c r="A1" s="29" t="s">
        <v>0</v>
      </c>
      <c r="B1" s="29" t="s">
        <v>0</v>
      </c>
      <c r="C1" s="29" t="s">
        <v>0</v>
      </c>
      <c r="D1" s="29" t="s">
        <v>0</v>
      </c>
      <c r="E1" s="29" t="s">
        <v>0</v>
      </c>
      <c r="F1" s="29" t="s">
        <v>0</v>
      </c>
      <c r="G1" s="29" t="s">
        <v>0</v>
      </c>
      <c r="H1" s="29" t="s">
        <v>0</v>
      </c>
      <c r="I1" s="29" t="s">
        <v>0</v>
      </c>
      <c r="J1" s="29" t="s">
        <v>0</v>
      </c>
      <c r="K1" s="29" t="s">
        <v>0</v>
      </c>
      <c r="L1" s="29" t="s">
        <v>0</v>
      </c>
      <c r="M1" s="29" t="s">
        <v>0</v>
      </c>
      <c r="N1" s="29" t="s">
        <v>0</v>
      </c>
      <c r="O1" s="29" t="s">
        <v>0</v>
      </c>
      <c r="P1" s="29" t="s">
        <v>0</v>
      </c>
      <c r="Q1" s="29" t="s">
        <v>0</v>
      </c>
      <c r="R1" s="29" t="s">
        <v>0</v>
      </c>
      <c r="S1" s="29" t="s">
        <v>0</v>
      </c>
      <c r="T1" s="29" t="s">
        <v>0</v>
      </c>
      <c r="U1" s="29" t="s">
        <v>0</v>
      </c>
      <c r="V1" s="29" t="s">
        <v>0</v>
      </c>
      <c r="W1" s="29" t="s">
        <v>0</v>
      </c>
      <c r="X1" s="29" t="s">
        <v>0</v>
      </c>
      <c r="Y1" s="29" t="s">
        <v>0</v>
      </c>
      <c r="Z1" s="29" t="s">
        <v>0</v>
      </c>
      <c r="AA1" s="29" t="s">
        <v>0</v>
      </c>
      <c r="AB1" s="29" t="s">
        <v>0</v>
      </c>
      <c r="AC1" s="29" t="s">
        <v>0</v>
      </c>
      <c r="AD1" s="29" t="s">
        <v>0</v>
      </c>
    </row>
    <row r="2" spans="1:30" ht="23.25" x14ac:dyDescent="0.45">
      <c r="A2" s="30" t="s">
        <v>1</v>
      </c>
      <c r="B2" s="30" t="s">
        <v>1</v>
      </c>
      <c r="C2" s="30" t="s">
        <v>1</v>
      </c>
      <c r="D2" s="30" t="s">
        <v>1</v>
      </c>
      <c r="E2" s="30" t="s">
        <v>1</v>
      </c>
      <c r="F2" s="30" t="s">
        <v>1</v>
      </c>
      <c r="G2" s="30" t="s">
        <v>1</v>
      </c>
      <c r="H2" s="30" t="s">
        <v>1</v>
      </c>
      <c r="I2" s="30" t="s">
        <v>1</v>
      </c>
      <c r="J2" s="30" t="s">
        <v>1</v>
      </c>
      <c r="K2" s="30" t="s">
        <v>1</v>
      </c>
      <c r="L2" s="30" t="s">
        <v>1</v>
      </c>
      <c r="M2" s="30" t="s">
        <v>1</v>
      </c>
      <c r="N2" s="30" t="s">
        <v>1</v>
      </c>
      <c r="O2" s="30" t="s">
        <v>1</v>
      </c>
      <c r="P2" s="30" t="s">
        <v>1</v>
      </c>
      <c r="Q2" s="30" t="s">
        <v>1</v>
      </c>
      <c r="R2" s="30" t="s">
        <v>1</v>
      </c>
      <c r="S2" s="30" t="s">
        <v>1</v>
      </c>
      <c r="T2" s="30" t="s">
        <v>1</v>
      </c>
      <c r="U2" s="30" t="s">
        <v>1</v>
      </c>
      <c r="V2" s="30" t="s">
        <v>1</v>
      </c>
      <c r="W2" s="30" t="s">
        <v>1</v>
      </c>
      <c r="X2" s="30" t="s">
        <v>1</v>
      </c>
      <c r="Y2" s="30" t="s">
        <v>1</v>
      </c>
      <c r="Z2" s="30" t="s">
        <v>1</v>
      </c>
      <c r="AA2" s="30" t="s">
        <v>1</v>
      </c>
      <c r="AB2" s="30" t="s">
        <v>1</v>
      </c>
      <c r="AC2" s="30" t="s">
        <v>1</v>
      </c>
      <c r="AD2" s="30" t="s">
        <v>1</v>
      </c>
    </row>
    <row r="3" spans="1:30" ht="15.75" x14ac:dyDescent="0.45">
      <c r="A3" s="31" t="s">
        <v>416</v>
      </c>
      <c r="B3" s="31" t="s">
        <v>416</v>
      </c>
      <c r="C3" s="31" t="s">
        <v>416</v>
      </c>
      <c r="D3" s="31" t="s">
        <v>416</v>
      </c>
      <c r="E3" s="31" t="s">
        <v>416</v>
      </c>
      <c r="F3" s="31" t="s">
        <v>416</v>
      </c>
      <c r="G3" s="31" t="s">
        <v>416</v>
      </c>
      <c r="H3" s="31" t="s">
        <v>416</v>
      </c>
      <c r="I3" s="31" t="s">
        <v>416</v>
      </c>
      <c r="J3" s="31" t="s">
        <v>416</v>
      </c>
      <c r="K3" s="31" t="s">
        <v>416</v>
      </c>
      <c r="L3" s="31" t="s">
        <v>416</v>
      </c>
      <c r="M3" s="31" t="s">
        <v>416</v>
      </c>
      <c r="N3" s="31" t="s">
        <v>416</v>
      </c>
      <c r="O3" s="31" t="s">
        <v>416</v>
      </c>
      <c r="P3" s="31" t="s">
        <v>416</v>
      </c>
      <c r="Q3" s="31" t="s">
        <v>416</v>
      </c>
      <c r="R3" s="31" t="s">
        <v>416</v>
      </c>
      <c r="S3" s="31" t="s">
        <v>416</v>
      </c>
      <c r="T3" s="31" t="s">
        <v>416</v>
      </c>
      <c r="U3" s="31" t="s">
        <v>416</v>
      </c>
      <c r="V3" s="31" t="s">
        <v>416</v>
      </c>
      <c r="W3" s="31" t="s">
        <v>416</v>
      </c>
      <c r="X3" s="31" t="s">
        <v>416</v>
      </c>
      <c r="Y3" s="31" t="s">
        <v>416</v>
      </c>
      <c r="Z3" s="31" t="s">
        <v>416</v>
      </c>
      <c r="AA3" s="31" t="s">
        <v>416</v>
      </c>
      <c r="AB3" s="31" t="s">
        <v>416</v>
      </c>
      <c r="AC3" s="31" t="s">
        <v>416</v>
      </c>
      <c r="AD3" s="31" t="s">
        <v>416</v>
      </c>
    </row>
    <row r="5" spans="1:30" ht="16.5" customHeight="1" x14ac:dyDescent="0.45">
      <c r="A5" s="32" t="s">
        <v>3</v>
      </c>
      <c r="B5" s="33" t="s">
        <v>4</v>
      </c>
      <c r="C5" s="34" t="s">
        <v>3</v>
      </c>
      <c r="D5" s="32" t="s">
        <v>3</v>
      </c>
      <c r="E5" s="33" t="s">
        <v>5</v>
      </c>
      <c r="F5" s="34" t="s">
        <v>3</v>
      </c>
      <c r="G5" s="32" t="s">
        <v>3</v>
      </c>
      <c r="H5" s="33" t="s">
        <v>6</v>
      </c>
      <c r="I5" s="34" t="s">
        <v>3</v>
      </c>
      <c r="J5" s="32" t="s">
        <v>3</v>
      </c>
      <c r="K5" s="33" t="s">
        <v>7</v>
      </c>
      <c r="L5" s="34" t="s">
        <v>3</v>
      </c>
      <c r="M5" s="32" t="s">
        <v>3</v>
      </c>
      <c r="N5" s="33" t="s">
        <v>6</v>
      </c>
      <c r="O5" s="34" t="s">
        <v>3</v>
      </c>
      <c r="P5" s="32" t="s">
        <v>3</v>
      </c>
      <c r="Q5" s="33" t="s">
        <v>8</v>
      </c>
      <c r="R5" s="34" t="s">
        <v>3</v>
      </c>
      <c r="S5" s="32" t="s">
        <v>3</v>
      </c>
      <c r="T5" s="33" t="s">
        <v>9</v>
      </c>
      <c r="U5" s="34" t="s">
        <v>3</v>
      </c>
      <c r="V5" s="32" t="s">
        <v>3</v>
      </c>
      <c r="W5" s="33" t="s">
        <v>6</v>
      </c>
      <c r="X5" s="34" t="s">
        <v>3</v>
      </c>
      <c r="Y5" s="32" t="s">
        <v>3</v>
      </c>
      <c r="Z5" s="33" t="s">
        <v>10</v>
      </c>
      <c r="AA5" s="34" t="s">
        <v>3</v>
      </c>
      <c r="AB5" s="32" t="s">
        <v>3</v>
      </c>
      <c r="AC5" s="33" t="s">
        <v>6</v>
      </c>
      <c r="AD5" s="34" t="s">
        <v>3</v>
      </c>
    </row>
    <row r="6" spans="1:30" ht="16.5" customHeight="1" x14ac:dyDescent="0.45">
      <c r="A6" s="1" t="s">
        <v>11</v>
      </c>
      <c r="B6" s="2"/>
      <c r="C6" s="3"/>
      <c r="D6" s="4"/>
      <c r="E6" s="2"/>
      <c r="F6" s="3"/>
      <c r="G6" s="4"/>
      <c r="H6" s="2"/>
      <c r="I6" s="3"/>
      <c r="J6" s="4"/>
      <c r="K6" s="2"/>
      <c r="L6" s="3"/>
      <c r="M6" s="4"/>
      <c r="N6" s="2"/>
      <c r="O6" s="3"/>
      <c r="P6" s="4"/>
      <c r="Q6" s="2"/>
      <c r="R6" s="3"/>
      <c r="S6" s="4"/>
      <c r="T6" s="2"/>
      <c r="U6" s="3"/>
      <c r="V6" s="4"/>
      <c r="W6" s="2"/>
      <c r="X6" s="3"/>
      <c r="Y6" s="4"/>
      <c r="Z6" s="2"/>
      <c r="AA6" s="3"/>
      <c r="AB6" s="4"/>
      <c r="AC6" s="2"/>
      <c r="AD6" s="3"/>
    </row>
    <row r="7" spans="1:30" ht="16.5" customHeight="1" x14ac:dyDescent="0.45">
      <c r="A7" s="5" t="s">
        <v>11</v>
      </c>
      <c r="B7" s="2"/>
      <c r="C7" s="3"/>
      <c r="D7" s="4"/>
      <c r="E7" s="2"/>
      <c r="F7" s="3"/>
      <c r="G7" s="4"/>
      <c r="H7" s="2"/>
      <c r="I7" s="3"/>
      <c r="J7" s="4"/>
      <c r="K7" s="2"/>
      <c r="L7" s="3"/>
      <c r="M7" s="4"/>
      <c r="N7" s="2"/>
      <c r="O7" s="3"/>
      <c r="P7" s="4"/>
      <c r="Q7" s="2"/>
      <c r="R7" s="3"/>
      <c r="S7" s="4"/>
      <c r="T7" s="2"/>
      <c r="U7" s="3"/>
      <c r="V7" s="4"/>
      <c r="W7" s="2"/>
      <c r="X7" s="3"/>
      <c r="Y7" s="4"/>
      <c r="Z7" s="2"/>
      <c r="AA7" s="3"/>
      <c r="AB7" s="4"/>
      <c r="AC7" s="2"/>
      <c r="AD7" s="3"/>
    </row>
    <row r="8" spans="1:30" ht="16.5" hidden="1" customHeight="1" x14ac:dyDescent="0.45">
      <c r="A8" s="6" t="s">
        <v>11</v>
      </c>
      <c r="B8" s="7">
        <v>0</v>
      </c>
      <c r="C8" s="8">
        <f>IFERROR(B8/B444, "NA")</f>
        <v>0</v>
      </c>
      <c r="D8" s="9"/>
      <c r="E8" s="7">
        <v>0</v>
      </c>
      <c r="F8" s="8">
        <f>IFERROR(E8/E444, "NA")</f>
        <v>0</v>
      </c>
      <c r="G8" s="9"/>
      <c r="H8" s="10">
        <f>IFERROR(B8-E8, "NA")</f>
        <v>0</v>
      </c>
      <c r="I8" s="8">
        <f>IFERROR(H8/H444, "NA")</f>
        <v>0</v>
      </c>
      <c r="J8" s="9"/>
      <c r="K8" s="7">
        <v>0</v>
      </c>
      <c r="L8" s="8">
        <f>IFERROR(K8/K444, "NA")</f>
        <v>0</v>
      </c>
      <c r="M8" s="9"/>
      <c r="N8" s="10">
        <f>IFERROR(B8-K8, "NA")</f>
        <v>0</v>
      </c>
      <c r="O8" s="8">
        <f>IFERROR(N8/N444, "NA")</f>
        <v>0</v>
      </c>
      <c r="P8" s="9"/>
      <c r="Q8" s="7">
        <v>0</v>
      </c>
      <c r="R8" s="8">
        <f>IFERROR(Q8/Q444, "NA")</f>
        <v>0</v>
      </c>
      <c r="S8" s="9"/>
      <c r="T8" s="7">
        <v>0</v>
      </c>
      <c r="U8" s="8">
        <f>IFERROR(T8/T444, "NA")</f>
        <v>0</v>
      </c>
      <c r="V8" s="9"/>
      <c r="W8" s="10">
        <f>IFERROR(Q8-T8, "NA")</f>
        <v>0</v>
      </c>
      <c r="X8" s="8">
        <f>IFERROR(W8/W444, "NA")</f>
        <v>0</v>
      </c>
      <c r="Y8" s="9"/>
      <c r="Z8" s="7">
        <v>0</v>
      </c>
      <c r="AA8" s="8">
        <f>IFERROR(Z8/Z444, "NA")</f>
        <v>0</v>
      </c>
      <c r="AB8" s="9"/>
      <c r="AC8" s="10">
        <f>IFERROR(Q8-Z8, "NA")</f>
        <v>0</v>
      </c>
      <c r="AD8" s="8">
        <f>IFERROR(AC8/AC444, "NA")</f>
        <v>0</v>
      </c>
    </row>
    <row r="9" spans="1:30" ht="16.5" customHeight="1" x14ac:dyDescent="0.45">
      <c r="A9" s="11" t="s">
        <v>12</v>
      </c>
      <c r="B9" s="2"/>
      <c r="C9" s="3"/>
      <c r="D9" s="4"/>
      <c r="E9" s="2"/>
      <c r="F9" s="3"/>
      <c r="G9" s="4"/>
      <c r="H9" s="2"/>
      <c r="I9" s="3"/>
      <c r="J9" s="4"/>
      <c r="K9" s="2"/>
      <c r="L9" s="3"/>
      <c r="M9" s="4"/>
      <c r="N9" s="2"/>
      <c r="O9" s="3"/>
      <c r="P9" s="4"/>
      <c r="Q9" s="2"/>
      <c r="R9" s="3"/>
      <c r="S9" s="4"/>
      <c r="T9" s="2"/>
      <c r="U9" s="3"/>
      <c r="V9" s="4"/>
      <c r="W9" s="2"/>
      <c r="X9" s="3"/>
      <c r="Y9" s="4"/>
      <c r="Z9" s="2"/>
      <c r="AA9" s="3"/>
      <c r="AB9" s="4"/>
      <c r="AC9" s="2"/>
      <c r="AD9" s="3"/>
    </row>
    <row r="10" spans="1:30" ht="16.5" customHeight="1" x14ac:dyDescent="0.45">
      <c r="A10" s="12" t="s">
        <v>12</v>
      </c>
      <c r="B10" s="7">
        <v>0</v>
      </c>
      <c r="C10" s="8">
        <f>IFERROR(B10/B444, "NA")</f>
        <v>0</v>
      </c>
      <c r="D10" s="9"/>
      <c r="E10" s="7">
        <v>71344.23</v>
      </c>
      <c r="F10" s="8">
        <f>IFERROR(E10/E444, "NA")</f>
        <v>0.53400006781264031</v>
      </c>
      <c r="G10" s="9"/>
      <c r="H10" s="10">
        <f t="shared" ref="H10:H19" si="0">IFERROR(B10-E10, "NA")</f>
        <v>-71344.23</v>
      </c>
      <c r="I10" s="8">
        <f>IFERROR(H10/H444, "NA")</f>
        <v>3.8382474226249479</v>
      </c>
      <c r="J10" s="9"/>
      <c r="K10" s="7">
        <v>0</v>
      </c>
      <c r="L10" s="8">
        <f>IFERROR(K10/K444, "NA")</f>
        <v>0</v>
      </c>
      <c r="M10" s="9"/>
      <c r="N10" s="10">
        <f t="shared" ref="N10:N19" si="1">IFERROR(B10-K10, "NA")</f>
        <v>0</v>
      </c>
      <c r="O10" s="8">
        <f>IFERROR(N10/N444, "NA")</f>
        <v>0</v>
      </c>
      <c r="P10" s="9"/>
      <c r="Q10" s="7">
        <v>0</v>
      </c>
      <c r="R10" s="8">
        <f>IFERROR(Q10/Q444, "NA")</f>
        <v>0</v>
      </c>
      <c r="S10" s="9"/>
      <c r="T10" s="7">
        <v>303499.63</v>
      </c>
      <c r="U10" s="8">
        <f>IFERROR(T10/T444, "NA")</f>
        <v>0.53400002540681968</v>
      </c>
      <c r="V10" s="9"/>
      <c r="W10" s="10">
        <f t="shared" ref="W10:W19" si="2">IFERROR(Q10-T10, "NA")</f>
        <v>-303499.63</v>
      </c>
      <c r="X10" s="8">
        <f>IFERROR(W10/W444, "NA")</f>
        <v>24.117878959091719</v>
      </c>
      <c r="Y10" s="9"/>
      <c r="Z10" s="7">
        <v>0</v>
      </c>
      <c r="AA10" s="8">
        <f>IFERROR(Z10/Z444, "NA")</f>
        <v>0</v>
      </c>
      <c r="AB10" s="9"/>
      <c r="AC10" s="10">
        <f t="shared" ref="AC10:AC19" si="3">IFERROR(Q10-Z10, "NA")</f>
        <v>0</v>
      </c>
      <c r="AD10" s="8">
        <f>IFERROR(AC10/AC444, "NA")</f>
        <v>0</v>
      </c>
    </row>
    <row r="11" spans="1:30" ht="16.5" customHeight="1" x14ac:dyDescent="0.45">
      <c r="A11" s="12" t="s">
        <v>13</v>
      </c>
      <c r="B11" s="7">
        <v>45979.45</v>
      </c>
      <c r="C11" s="8">
        <f>IFERROR(B11/B444, "NA")</f>
        <v>0.39976672749894143</v>
      </c>
      <c r="D11" s="9"/>
      <c r="E11" s="7">
        <v>0</v>
      </c>
      <c r="F11" s="8">
        <f>IFERROR(E11/E444, "NA")</f>
        <v>0</v>
      </c>
      <c r="G11" s="9"/>
      <c r="H11" s="10">
        <f t="shared" si="0"/>
        <v>45979.45</v>
      </c>
      <c r="I11" s="8">
        <f>IFERROR(H11/H444, "NA")</f>
        <v>-2.47364791036658</v>
      </c>
      <c r="J11" s="9"/>
      <c r="K11" s="7">
        <v>56134.91</v>
      </c>
      <c r="L11" s="8">
        <f>IFERROR(K11/K444, "NA")</f>
        <v>0.49578964530603437</v>
      </c>
      <c r="M11" s="9"/>
      <c r="N11" s="10">
        <f t="shared" si="1"/>
        <v>-10155.460000000006</v>
      </c>
      <c r="O11" s="8">
        <f>IFERROR(N11/N444, "NA")</f>
        <v>-5.6656550215904691</v>
      </c>
      <c r="P11" s="9"/>
      <c r="Q11" s="7">
        <v>241055.89</v>
      </c>
      <c r="R11" s="8">
        <f>IFERROR(Q11/Q444, "NA")</f>
        <v>0.43373526471950058</v>
      </c>
      <c r="S11" s="9"/>
      <c r="T11" s="7">
        <v>0</v>
      </c>
      <c r="U11" s="8">
        <f>IFERROR(T11/T444, "NA")</f>
        <v>0</v>
      </c>
      <c r="V11" s="9"/>
      <c r="W11" s="10">
        <f t="shared" si="2"/>
        <v>241055.89</v>
      </c>
      <c r="X11" s="8">
        <f>IFERROR(W11/W444, "NA")</f>
        <v>-19.155729374023053</v>
      </c>
      <c r="Y11" s="9"/>
      <c r="Z11" s="7">
        <v>273295.44</v>
      </c>
      <c r="AA11" s="8">
        <f>IFERROR(Z11/Z444, "NA")</f>
        <v>0.55505478835558086</v>
      </c>
      <c r="AB11" s="9"/>
      <c r="AC11" s="10">
        <f t="shared" si="3"/>
        <v>-32239.549999999988</v>
      </c>
      <c r="AD11" s="8">
        <f>IFERROR(AC11/AC444, "NA")</f>
        <v>-0.50857667215844593</v>
      </c>
    </row>
    <row r="12" spans="1:30" ht="16.5" customHeight="1" x14ac:dyDescent="0.45">
      <c r="A12" s="12" t="s">
        <v>14</v>
      </c>
      <c r="B12" s="7">
        <v>5772.15</v>
      </c>
      <c r="C12" s="8">
        <f>IFERROR(B12/B444, "NA")</f>
        <v>5.0185757248792991E-2</v>
      </c>
      <c r="D12" s="9"/>
      <c r="E12" s="7">
        <v>0</v>
      </c>
      <c r="F12" s="8">
        <f>IFERROR(E12/E444, "NA")</f>
        <v>0</v>
      </c>
      <c r="G12" s="9"/>
      <c r="H12" s="10">
        <f t="shared" si="0"/>
        <v>5772.15</v>
      </c>
      <c r="I12" s="8">
        <f>IFERROR(H12/H444, "NA")</f>
        <v>-0.31053583254741962</v>
      </c>
      <c r="J12" s="9"/>
      <c r="K12" s="7">
        <v>5800.95</v>
      </c>
      <c r="L12" s="8">
        <f>IFERROR(K12/K444, "NA")</f>
        <v>5.123462285657962E-2</v>
      </c>
      <c r="M12" s="9"/>
      <c r="N12" s="10">
        <f t="shared" si="1"/>
        <v>-28.800000000000182</v>
      </c>
      <c r="O12" s="8">
        <f>IFERROR(N12/N444, "NA")</f>
        <v>-1.6067304151836197E-2</v>
      </c>
      <c r="P12" s="9"/>
      <c r="Q12" s="7">
        <v>29031.65</v>
      </c>
      <c r="R12" s="8">
        <f>IFERROR(Q12/Q444, "NA")</f>
        <v>5.2237057547085401E-2</v>
      </c>
      <c r="S12" s="9"/>
      <c r="T12" s="7">
        <v>0</v>
      </c>
      <c r="U12" s="8">
        <f>IFERROR(T12/T444, "NA")</f>
        <v>0</v>
      </c>
      <c r="V12" s="9"/>
      <c r="W12" s="10">
        <f t="shared" si="2"/>
        <v>29031.65</v>
      </c>
      <c r="X12" s="8">
        <f>IFERROR(W12/W444, "NA")</f>
        <v>-2.3070269333860973</v>
      </c>
      <c r="Y12" s="9"/>
      <c r="Z12" s="7">
        <v>28291.85</v>
      </c>
      <c r="AA12" s="8">
        <f>IFERROR(Z12/Z444, "NA")</f>
        <v>5.7459893271317806E-2</v>
      </c>
      <c r="AB12" s="9"/>
      <c r="AC12" s="10">
        <f t="shared" si="3"/>
        <v>739.80000000000291</v>
      </c>
      <c r="AD12" s="8">
        <f>IFERROR(AC12/AC444, "NA")</f>
        <v>1.167029384910211E-2</v>
      </c>
    </row>
    <row r="13" spans="1:30" ht="16.5" customHeight="1" x14ac:dyDescent="0.45">
      <c r="A13" s="12" t="s">
        <v>15</v>
      </c>
      <c r="B13" s="7">
        <v>141.5</v>
      </c>
      <c r="C13" s="8">
        <f>IFERROR(B13/B444, "NA")</f>
        <v>1.2302668244422283E-3</v>
      </c>
      <c r="D13" s="9"/>
      <c r="E13" s="7">
        <v>0</v>
      </c>
      <c r="F13" s="8">
        <f>IFERROR(E13/E444, "NA")</f>
        <v>0</v>
      </c>
      <c r="G13" s="9"/>
      <c r="H13" s="10">
        <f t="shared" si="0"/>
        <v>141.5</v>
      </c>
      <c r="I13" s="8">
        <f>IFERROR(H13/H444, "NA")</f>
        <v>-7.6125568991554067E-3</v>
      </c>
      <c r="J13" s="9"/>
      <c r="K13" s="7">
        <v>354.5</v>
      </c>
      <c r="L13" s="8">
        <f>IFERROR(K13/K444, "NA")</f>
        <v>3.1309826498517441E-3</v>
      </c>
      <c r="M13" s="9"/>
      <c r="N13" s="10">
        <f t="shared" si="1"/>
        <v>-213</v>
      </c>
      <c r="O13" s="8">
        <f>IFERROR(N13/N444, "NA")</f>
        <v>-0.11883110362295447</v>
      </c>
      <c r="P13" s="9"/>
      <c r="Q13" s="7">
        <v>827.5</v>
      </c>
      <c r="R13" s="8">
        <f>IFERROR(Q13/Q444, "NA")</f>
        <v>1.4889324278920821E-3</v>
      </c>
      <c r="S13" s="9"/>
      <c r="T13" s="7">
        <v>0</v>
      </c>
      <c r="U13" s="8">
        <f>IFERROR(T13/T444, "NA")</f>
        <v>0</v>
      </c>
      <c r="V13" s="9"/>
      <c r="W13" s="10">
        <f t="shared" si="2"/>
        <v>827.5</v>
      </c>
      <c r="X13" s="8">
        <f>IFERROR(W13/W444, "NA")</f>
        <v>-6.5758053275545666E-2</v>
      </c>
      <c r="Y13" s="9"/>
      <c r="Z13" s="7">
        <v>1370</v>
      </c>
      <c r="AA13" s="8">
        <f>IFERROR(Z13/Z444, "NA")</f>
        <v>2.7824286422310804E-3</v>
      </c>
      <c r="AB13" s="9"/>
      <c r="AC13" s="10">
        <f t="shared" si="3"/>
        <v>-542.5</v>
      </c>
      <c r="AD13" s="8">
        <f>IFERROR(AC13/AC444, "NA")</f>
        <v>-8.5578999907243436E-3</v>
      </c>
    </row>
    <row r="14" spans="1:30" ht="16.5" customHeight="1" x14ac:dyDescent="0.45">
      <c r="A14" s="12" t="s">
        <v>16</v>
      </c>
      <c r="B14" s="7">
        <v>490</v>
      </c>
      <c r="C14" s="8">
        <f>IFERROR(B14/B444, "NA")</f>
        <v>4.2602879432981763E-3</v>
      </c>
      <c r="D14" s="9"/>
      <c r="E14" s="7">
        <v>0</v>
      </c>
      <c r="F14" s="8">
        <f>IFERROR(E14/E444, "NA")</f>
        <v>0</v>
      </c>
      <c r="G14" s="9"/>
      <c r="H14" s="10">
        <f t="shared" si="0"/>
        <v>490</v>
      </c>
      <c r="I14" s="8">
        <f>IFERROR(H14/H444, "NA")</f>
        <v>-2.6361504456439217E-2</v>
      </c>
      <c r="J14" s="9"/>
      <c r="K14" s="7">
        <v>825</v>
      </c>
      <c r="L14" s="8">
        <f>IFERROR(K14/K444, "NA")</f>
        <v>7.2864899467635792E-3</v>
      </c>
      <c r="M14" s="9"/>
      <c r="N14" s="10">
        <f t="shared" si="1"/>
        <v>-335</v>
      </c>
      <c r="O14" s="8">
        <f>IFERROR(N14/N444, "NA")</f>
        <v>-0.18689398926614906</v>
      </c>
      <c r="P14" s="9"/>
      <c r="Q14" s="7">
        <v>1990</v>
      </c>
      <c r="R14" s="8">
        <f>IFERROR(Q14/Q444, "NA")</f>
        <v>3.5806350833900223E-3</v>
      </c>
      <c r="S14" s="9"/>
      <c r="T14" s="7">
        <v>0</v>
      </c>
      <c r="U14" s="8">
        <f>IFERROR(T14/T444, "NA")</f>
        <v>0</v>
      </c>
      <c r="V14" s="9"/>
      <c r="W14" s="10">
        <f t="shared" si="2"/>
        <v>1990</v>
      </c>
      <c r="X14" s="8">
        <f>IFERROR(W14/W444, "NA")</f>
        <v>-0.15813719156294365</v>
      </c>
      <c r="Y14" s="9"/>
      <c r="Z14" s="7">
        <v>3365</v>
      </c>
      <c r="AA14" s="8">
        <f>IFERROR(Z14/Z444, "NA")</f>
        <v>6.8342134168668514E-3</v>
      </c>
      <c r="AB14" s="9"/>
      <c r="AC14" s="10">
        <f t="shared" si="3"/>
        <v>-1375</v>
      </c>
      <c r="AD14" s="8">
        <f>IFERROR(AC14/AC444, "NA")</f>
        <v>-2.1690529930407324E-2</v>
      </c>
    </row>
    <row r="15" spans="1:30" ht="16.5" customHeight="1" x14ac:dyDescent="0.45">
      <c r="A15" s="12" t="s">
        <v>17</v>
      </c>
      <c r="B15" s="7">
        <v>81</v>
      </c>
      <c r="C15" s="8">
        <f>IFERROR(B15/B444, "NA")</f>
        <v>7.0425168042275972E-4</v>
      </c>
      <c r="D15" s="9"/>
      <c r="E15" s="7">
        <v>0</v>
      </c>
      <c r="F15" s="8">
        <f>IFERROR(E15/E444, "NA")</f>
        <v>0</v>
      </c>
      <c r="G15" s="9"/>
      <c r="H15" s="10">
        <f t="shared" si="0"/>
        <v>81</v>
      </c>
      <c r="I15" s="8">
        <f>IFERROR(H15/H444, "NA")</f>
        <v>-4.3577180836154627E-3</v>
      </c>
      <c r="J15" s="9"/>
      <c r="K15" s="7">
        <v>73</v>
      </c>
      <c r="L15" s="8">
        <f>IFERROR(K15/K444, "NA")</f>
        <v>6.44743958925747E-4</v>
      </c>
      <c r="M15" s="9"/>
      <c r="N15" s="10">
        <f t="shared" si="1"/>
        <v>8</v>
      </c>
      <c r="O15" s="8">
        <f>IFERROR(N15/N444, "NA")</f>
        <v>4.4631400421766936E-3</v>
      </c>
      <c r="P15" s="9"/>
      <c r="Q15" s="7">
        <v>244</v>
      </c>
      <c r="R15" s="8">
        <f>IFERROR(Q15/Q444, "NA")</f>
        <v>4.3903264339053541E-4</v>
      </c>
      <c r="S15" s="9"/>
      <c r="T15" s="7">
        <v>0</v>
      </c>
      <c r="U15" s="8">
        <f>IFERROR(T15/T444, "NA")</f>
        <v>0</v>
      </c>
      <c r="V15" s="9"/>
      <c r="W15" s="10">
        <f t="shared" si="2"/>
        <v>244</v>
      </c>
      <c r="X15" s="8">
        <f>IFERROR(W15/W444, "NA")</f>
        <v>-1.9389685799677512E-2</v>
      </c>
      <c r="Y15" s="9"/>
      <c r="Z15" s="7">
        <v>652</v>
      </c>
      <c r="AA15" s="8">
        <f>IFERROR(Z15/Z444, "NA")</f>
        <v>1.3241923173245727E-3</v>
      </c>
      <c r="AB15" s="9"/>
      <c r="AC15" s="10">
        <f t="shared" si="3"/>
        <v>-408</v>
      </c>
      <c r="AD15" s="8">
        <f>IFERROR(AC15/AC444, "NA")</f>
        <v>-6.4361717902590458E-3</v>
      </c>
    </row>
    <row r="16" spans="1:30" ht="16.5" hidden="1" customHeight="1" x14ac:dyDescent="0.45">
      <c r="A16" s="12" t="s">
        <v>18</v>
      </c>
      <c r="B16" s="7">
        <v>0</v>
      </c>
      <c r="C16" s="8">
        <f>IFERROR(B16/B444, "NA")</f>
        <v>0</v>
      </c>
      <c r="D16" s="9"/>
      <c r="E16" s="7">
        <v>0</v>
      </c>
      <c r="F16" s="8">
        <f>IFERROR(E16/E444, "NA")</f>
        <v>0</v>
      </c>
      <c r="G16" s="9"/>
      <c r="H16" s="10">
        <f t="shared" si="0"/>
        <v>0</v>
      </c>
      <c r="I16" s="8">
        <f>IFERROR(H16/H444, "NA")</f>
        <v>0</v>
      </c>
      <c r="J16" s="9"/>
      <c r="K16" s="7">
        <v>0</v>
      </c>
      <c r="L16" s="8">
        <f>IFERROR(K16/K444, "NA")</f>
        <v>0</v>
      </c>
      <c r="M16" s="9"/>
      <c r="N16" s="10">
        <f t="shared" si="1"/>
        <v>0</v>
      </c>
      <c r="O16" s="8">
        <f>IFERROR(N16/N444, "NA")</f>
        <v>0</v>
      </c>
      <c r="P16" s="9"/>
      <c r="Q16" s="7">
        <v>0</v>
      </c>
      <c r="R16" s="8">
        <f>IFERROR(Q16/Q444, "NA")</f>
        <v>0</v>
      </c>
      <c r="S16" s="9"/>
      <c r="T16" s="7">
        <v>0</v>
      </c>
      <c r="U16" s="8">
        <f>IFERROR(T16/T444, "NA")</f>
        <v>0</v>
      </c>
      <c r="V16" s="9"/>
      <c r="W16" s="10">
        <f t="shared" si="2"/>
        <v>0</v>
      </c>
      <c r="X16" s="8">
        <f>IFERROR(W16/W444, "NA")</f>
        <v>0</v>
      </c>
      <c r="Y16" s="9"/>
      <c r="Z16" s="7">
        <v>0</v>
      </c>
      <c r="AA16" s="8">
        <f>IFERROR(Z16/Z444, "NA")</f>
        <v>0</v>
      </c>
      <c r="AB16" s="9"/>
      <c r="AC16" s="10">
        <f t="shared" si="3"/>
        <v>0</v>
      </c>
      <c r="AD16" s="8">
        <f>IFERROR(AC16/AC444, "NA")</f>
        <v>0</v>
      </c>
    </row>
    <row r="17" spans="1:30" ht="16.5" hidden="1" customHeight="1" x14ac:dyDescent="0.45">
      <c r="A17" s="12" t="s">
        <v>19</v>
      </c>
      <c r="B17" s="7">
        <v>0</v>
      </c>
      <c r="C17" s="8">
        <f>IFERROR(B17/B444, "NA")</f>
        <v>0</v>
      </c>
      <c r="D17" s="9"/>
      <c r="E17" s="7">
        <v>0</v>
      </c>
      <c r="F17" s="8">
        <f>IFERROR(E17/E444, "NA")</f>
        <v>0</v>
      </c>
      <c r="G17" s="9"/>
      <c r="H17" s="10">
        <f t="shared" si="0"/>
        <v>0</v>
      </c>
      <c r="I17" s="8">
        <f>IFERROR(H17/H444, "NA")</f>
        <v>0</v>
      </c>
      <c r="J17" s="9"/>
      <c r="K17" s="7">
        <v>0</v>
      </c>
      <c r="L17" s="8">
        <f>IFERROR(K17/K444, "NA")</f>
        <v>0</v>
      </c>
      <c r="M17" s="9"/>
      <c r="N17" s="10">
        <f t="shared" si="1"/>
        <v>0</v>
      </c>
      <c r="O17" s="8">
        <f>IFERROR(N17/N444, "NA")</f>
        <v>0</v>
      </c>
      <c r="P17" s="9"/>
      <c r="Q17" s="7">
        <v>0</v>
      </c>
      <c r="R17" s="8">
        <f>IFERROR(Q17/Q444, "NA")</f>
        <v>0</v>
      </c>
      <c r="S17" s="9"/>
      <c r="T17" s="7">
        <v>0</v>
      </c>
      <c r="U17" s="8">
        <f>IFERROR(T17/T444, "NA")</f>
        <v>0</v>
      </c>
      <c r="V17" s="9"/>
      <c r="W17" s="10">
        <f t="shared" si="2"/>
        <v>0</v>
      </c>
      <c r="X17" s="8">
        <f>IFERROR(W17/W444, "NA")</f>
        <v>0</v>
      </c>
      <c r="Y17" s="9"/>
      <c r="Z17" s="7">
        <v>0</v>
      </c>
      <c r="AA17" s="8">
        <f>IFERROR(Z17/Z444, "NA")</f>
        <v>0</v>
      </c>
      <c r="AB17" s="9"/>
      <c r="AC17" s="10">
        <f t="shared" si="3"/>
        <v>0</v>
      </c>
      <c r="AD17" s="8">
        <f>IFERROR(AC17/AC444, "NA")</f>
        <v>0</v>
      </c>
    </row>
    <row r="18" spans="1:30" ht="16.5" customHeight="1" x14ac:dyDescent="0.45">
      <c r="A18" s="13" t="s">
        <v>20</v>
      </c>
      <c r="B18" s="14">
        <f>IFERROR(B10+B11+B12+B13+B14+B15+B16+B17, "NA")</f>
        <v>52464.1</v>
      </c>
      <c r="C18" s="15">
        <f>IFERROR(B18/B444, "NA")</f>
        <v>0.45614729119589759</v>
      </c>
      <c r="D18" s="2"/>
      <c r="E18" s="14">
        <f>IFERROR(E10+E11+E12+E13+E14+E15+E16+E17, "NA")</f>
        <v>71344.23</v>
      </c>
      <c r="F18" s="15">
        <f>IFERROR(E18/E444, "NA")</f>
        <v>0.53400006781264031</v>
      </c>
      <c r="G18" s="2"/>
      <c r="H18" s="14">
        <f t="shared" si="0"/>
        <v>-18880.129999999997</v>
      </c>
      <c r="I18" s="15">
        <f>IFERROR(H18/H444, "NA")</f>
        <v>1.0157319002717382</v>
      </c>
      <c r="J18" s="2"/>
      <c r="K18" s="14">
        <f>IFERROR(K10+K11+K12+K13+K14+K15+K16+K17, "NA")</f>
        <v>63188.36</v>
      </c>
      <c r="L18" s="15">
        <f>IFERROR(K18/K444, "NA")</f>
        <v>0.55808648471815503</v>
      </c>
      <c r="M18" s="2"/>
      <c r="N18" s="14">
        <f t="shared" si="1"/>
        <v>-10724.260000000002</v>
      </c>
      <c r="O18" s="15">
        <f>IFERROR(N18/N444, "NA")</f>
        <v>-5.98298427858923</v>
      </c>
      <c r="P18" s="2"/>
      <c r="Q18" s="14">
        <f>IFERROR(Q10+Q11+Q12+Q13+Q14+Q15+Q16+Q17, "NA")</f>
        <v>273149.04000000004</v>
      </c>
      <c r="R18" s="15">
        <f>IFERROR(Q18/Q444, "NA")</f>
        <v>0.49148092242125868</v>
      </c>
      <c r="S18" s="2"/>
      <c r="T18" s="14">
        <f>IFERROR(T10+T11+T12+T13+T14+T15+T16+T17, "NA")</f>
        <v>303499.63</v>
      </c>
      <c r="U18" s="15">
        <f>IFERROR(T18/T444, "NA")</f>
        <v>0.53400002540681968</v>
      </c>
      <c r="V18" s="2"/>
      <c r="W18" s="14">
        <f t="shared" si="2"/>
        <v>-30350.589999999967</v>
      </c>
      <c r="X18" s="15">
        <f>IFERROR(W18/W444, "NA")</f>
        <v>2.4118377210444004</v>
      </c>
      <c r="Y18" s="2"/>
      <c r="Z18" s="14">
        <f>IFERROR(Z10+Z11+Z12+Z13+Z14+Z15+Z16+Z17, "NA")</f>
        <v>306974.28999999998</v>
      </c>
      <c r="AA18" s="15">
        <f>IFERROR(Z18/Z444, "NA")</f>
        <v>0.62345551600332105</v>
      </c>
      <c r="AB18" s="2"/>
      <c r="AC18" s="14">
        <f t="shared" si="3"/>
        <v>-33825.249999999942</v>
      </c>
      <c r="AD18" s="15">
        <f>IFERROR(AC18/AC444, "NA")</f>
        <v>-0.53359098002073391</v>
      </c>
    </row>
    <row r="19" spans="1:30" ht="16.5" hidden="1" customHeight="1" x14ac:dyDescent="0.45">
      <c r="A19" s="6" t="s">
        <v>21</v>
      </c>
      <c r="B19" s="7">
        <v>0</v>
      </c>
      <c r="C19" s="8">
        <f>IFERROR(B19/B444, "NA")</f>
        <v>0</v>
      </c>
      <c r="D19" s="9"/>
      <c r="E19" s="7">
        <v>0</v>
      </c>
      <c r="F19" s="8">
        <f>IFERROR(E19/E444, "NA")</f>
        <v>0</v>
      </c>
      <c r="G19" s="9"/>
      <c r="H19" s="10">
        <f t="shared" si="0"/>
        <v>0</v>
      </c>
      <c r="I19" s="8">
        <f>IFERROR(H19/H444, "NA")</f>
        <v>0</v>
      </c>
      <c r="J19" s="9"/>
      <c r="K19" s="7">
        <v>0</v>
      </c>
      <c r="L19" s="8">
        <f>IFERROR(K19/K444, "NA")</f>
        <v>0</v>
      </c>
      <c r="M19" s="9"/>
      <c r="N19" s="10">
        <f t="shared" si="1"/>
        <v>0</v>
      </c>
      <c r="O19" s="8">
        <f>IFERROR(N19/N444, "NA")</f>
        <v>0</v>
      </c>
      <c r="P19" s="9"/>
      <c r="Q19" s="7">
        <v>0</v>
      </c>
      <c r="R19" s="8">
        <f>IFERROR(Q19/Q444, "NA")</f>
        <v>0</v>
      </c>
      <c r="S19" s="9"/>
      <c r="T19" s="7">
        <v>0</v>
      </c>
      <c r="U19" s="8">
        <f>IFERROR(T19/T444, "NA")</f>
        <v>0</v>
      </c>
      <c r="V19" s="9"/>
      <c r="W19" s="10">
        <f t="shared" si="2"/>
        <v>0</v>
      </c>
      <c r="X19" s="8">
        <f>IFERROR(W19/W444, "NA")</f>
        <v>0</v>
      </c>
      <c r="Y19" s="9"/>
      <c r="Z19" s="7">
        <v>0</v>
      </c>
      <c r="AA19" s="8">
        <f>IFERROR(Z19/Z444, "NA")</f>
        <v>0</v>
      </c>
      <c r="AB19" s="9"/>
      <c r="AC19" s="10">
        <f t="shared" si="3"/>
        <v>0</v>
      </c>
      <c r="AD19" s="8">
        <f>IFERROR(AC19/AC444, "NA")</f>
        <v>0</v>
      </c>
    </row>
    <row r="20" spans="1:30" ht="16.5" customHeight="1" x14ac:dyDescent="0.45">
      <c r="A20" s="11" t="s">
        <v>22</v>
      </c>
      <c r="B20" s="2"/>
      <c r="C20" s="3"/>
      <c r="D20" s="4"/>
      <c r="E20" s="2"/>
      <c r="F20" s="3"/>
      <c r="G20" s="4"/>
      <c r="H20" s="2"/>
      <c r="I20" s="3"/>
      <c r="J20" s="4"/>
      <c r="K20" s="2"/>
      <c r="L20" s="3"/>
      <c r="M20" s="4"/>
      <c r="N20" s="2"/>
      <c r="O20" s="3"/>
      <c r="P20" s="4"/>
      <c r="Q20" s="2"/>
      <c r="R20" s="3"/>
      <c r="S20" s="4"/>
      <c r="T20" s="2"/>
      <c r="U20" s="3"/>
      <c r="V20" s="4"/>
      <c r="W20" s="2"/>
      <c r="X20" s="3"/>
      <c r="Y20" s="4"/>
      <c r="Z20" s="2"/>
      <c r="AA20" s="3"/>
      <c r="AB20" s="4"/>
      <c r="AC20" s="2"/>
      <c r="AD20" s="3"/>
    </row>
    <row r="21" spans="1:30" ht="16.5" customHeight="1" x14ac:dyDescent="0.45">
      <c r="A21" s="12" t="s">
        <v>22</v>
      </c>
      <c r="B21" s="7">
        <v>0</v>
      </c>
      <c r="C21" s="8">
        <f>IFERROR(B21/B444, "NA")</f>
        <v>0</v>
      </c>
      <c r="D21" s="9"/>
      <c r="E21" s="7">
        <v>14161.96</v>
      </c>
      <c r="F21" s="8">
        <f>IFERROR(E21/E444, "NA")</f>
        <v>0.1059999890721352</v>
      </c>
      <c r="G21" s="9"/>
      <c r="H21" s="10">
        <f t="shared" ref="H21:H29" si="4">IFERROR(B21-E21, "NA")</f>
        <v>-14161.96</v>
      </c>
      <c r="I21" s="8">
        <f>IFERROR(H21/H444, "NA")</f>
        <v>0.76189912582023256</v>
      </c>
      <c r="J21" s="9"/>
      <c r="K21" s="7">
        <v>0</v>
      </c>
      <c r="L21" s="8">
        <f>IFERROR(K21/K444, "NA")</f>
        <v>0</v>
      </c>
      <c r="M21" s="9"/>
      <c r="N21" s="10">
        <f t="shared" ref="N21:N29" si="5">IFERROR(B21-K21, "NA")</f>
        <v>0</v>
      </c>
      <c r="O21" s="8">
        <f>IFERROR(N21/N444, "NA")</f>
        <v>0</v>
      </c>
      <c r="P21" s="9"/>
      <c r="Q21" s="7">
        <v>0</v>
      </c>
      <c r="R21" s="8">
        <f>IFERROR(Q21/Q444, "NA")</f>
        <v>0</v>
      </c>
      <c r="S21" s="9"/>
      <c r="T21" s="7">
        <v>60245.23</v>
      </c>
      <c r="U21" s="8">
        <f>IFERROR(T21/T444, "NA")</f>
        <v>0.10599997881592046</v>
      </c>
      <c r="V21" s="9"/>
      <c r="W21" s="10">
        <f t="shared" ref="W21:W29" si="6">IFERROR(Q21-T21, "NA")</f>
        <v>-60245.23</v>
      </c>
      <c r="X21" s="8">
        <f>IFERROR(W21/W444, "NA")</f>
        <v>4.7874429533987941</v>
      </c>
      <c r="Y21" s="9"/>
      <c r="Z21" s="7">
        <v>0</v>
      </c>
      <c r="AA21" s="8">
        <f>IFERROR(Z21/Z444, "NA")</f>
        <v>0</v>
      </c>
      <c r="AB21" s="9"/>
      <c r="AC21" s="10">
        <f t="shared" ref="AC21:AC29" si="7">IFERROR(Q21-Z21, "NA")</f>
        <v>0</v>
      </c>
      <c r="AD21" s="8">
        <f>IFERROR(AC21/AC444, "NA")</f>
        <v>0</v>
      </c>
    </row>
    <row r="22" spans="1:30" ht="16.5" customHeight="1" x14ac:dyDescent="0.45">
      <c r="A22" s="12" t="s">
        <v>23</v>
      </c>
      <c r="B22" s="7">
        <v>7995.5</v>
      </c>
      <c r="C22" s="8">
        <f>IFERROR(B22/B444, "NA")</f>
        <v>6.9516596429878702E-2</v>
      </c>
      <c r="D22" s="9"/>
      <c r="E22" s="7">
        <v>0</v>
      </c>
      <c r="F22" s="8">
        <f>IFERROR(E22/E444, "NA")</f>
        <v>0</v>
      </c>
      <c r="G22" s="9"/>
      <c r="H22" s="10">
        <f t="shared" si="4"/>
        <v>7995.5</v>
      </c>
      <c r="I22" s="8">
        <f>IFERROR(H22/H444, "NA")</f>
        <v>-0.43014981404379543</v>
      </c>
      <c r="J22" s="9"/>
      <c r="K22" s="7">
        <v>9321.11</v>
      </c>
      <c r="L22" s="8">
        <f>IFERROR(K22/K444, "NA")</f>
        <v>8.2325059766881786E-2</v>
      </c>
      <c r="M22" s="9"/>
      <c r="N22" s="10">
        <f t="shared" si="5"/>
        <v>-1325.6100000000006</v>
      </c>
      <c r="O22" s="8">
        <f>IFERROR(N22/N444, "NA")</f>
        <v>-0.73954788391373116</v>
      </c>
      <c r="P22" s="9"/>
      <c r="Q22" s="7">
        <v>44572.15</v>
      </c>
      <c r="R22" s="8">
        <f>IFERROR(Q22/Q444, "NA")</f>
        <v>8.0199298508604314E-2</v>
      </c>
      <c r="S22" s="9"/>
      <c r="T22" s="7">
        <v>0</v>
      </c>
      <c r="U22" s="8">
        <f>IFERROR(T22/T444, "NA")</f>
        <v>0</v>
      </c>
      <c r="V22" s="9"/>
      <c r="W22" s="10">
        <f t="shared" si="6"/>
        <v>44572.15</v>
      </c>
      <c r="X22" s="8">
        <f>IFERROR(W22/W444, "NA")</f>
        <v>-3.541967147197115</v>
      </c>
      <c r="Y22" s="9"/>
      <c r="Z22" s="7">
        <v>47558.92</v>
      </c>
      <c r="AA22" s="8">
        <f>IFERROR(Z22/Z444, "NA")</f>
        <v>9.659073080407049E-2</v>
      </c>
      <c r="AB22" s="9"/>
      <c r="AC22" s="10">
        <f t="shared" si="7"/>
        <v>-2986.7699999999968</v>
      </c>
      <c r="AD22" s="8">
        <f>IFERROR(AC22/AC444, "NA")</f>
        <v>-4.7116090240176448E-2</v>
      </c>
    </row>
    <row r="23" spans="1:30" ht="16.5" hidden="1" customHeight="1" x14ac:dyDescent="0.45">
      <c r="A23" s="12" t="s">
        <v>24</v>
      </c>
      <c r="B23" s="7">
        <v>0</v>
      </c>
      <c r="C23" s="8">
        <f>IFERROR(B23/B444, "NA")</f>
        <v>0</v>
      </c>
      <c r="D23" s="9"/>
      <c r="E23" s="7">
        <v>0</v>
      </c>
      <c r="F23" s="8">
        <f>IFERROR(E23/E444, "NA")</f>
        <v>0</v>
      </c>
      <c r="G23" s="9"/>
      <c r="H23" s="10">
        <f t="shared" si="4"/>
        <v>0</v>
      </c>
      <c r="I23" s="8">
        <f>IFERROR(H23/H444, "NA")</f>
        <v>0</v>
      </c>
      <c r="J23" s="9"/>
      <c r="K23" s="7">
        <v>0</v>
      </c>
      <c r="L23" s="8">
        <f>IFERROR(K23/K444, "NA")</f>
        <v>0</v>
      </c>
      <c r="M23" s="9"/>
      <c r="N23" s="10">
        <f t="shared" si="5"/>
        <v>0</v>
      </c>
      <c r="O23" s="8">
        <f>IFERROR(N23/N444, "NA")</f>
        <v>0</v>
      </c>
      <c r="P23" s="9"/>
      <c r="Q23" s="7">
        <v>0</v>
      </c>
      <c r="R23" s="8">
        <f>IFERROR(Q23/Q444, "NA")</f>
        <v>0</v>
      </c>
      <c r="S23" s="9"/>
      <c r="T23" s="7">
        <v>0</v>
      </c>
      <c r="U23" s="8">
        <f>IFERROR(T23/T444, "NA")</f>
        <v>0</v>
      </c>
      <c r="V23" s="9"/>
      <c r="W23" s="10">
        <f t="shared" si="6"/>
        <v>0</v>
      </c>
      <c r="X23" s="8">
        <f>IFERROR(W23/W444, "NA")</f>
        <v>0</v>
      </c>
      <c r="Y23" s="9"/>
      <c r="Z23" s="7">
        <v>0</v>
      </c>
      <c r="AA23" s="8">
        <f>IFERROR(Z23/Z444, "NA")</f>
        <v>0</v>
      </c>
      <c r="AB23" s="9"/>
      <c r="AC23" s="10">
        <f t="shared" si="7"/>
        <v>0</v>
      </c>
      <c r="AD23" s="8">
        <f>IFERROR(AC23/AC444, "NA")</f>
        <v>0</v>
      </c>
    </row>
    <row r="24" spans="1:30" ht="16.5" customHeight="1" x14ac:dyDescent="0.45">
      <c r="A24" s="12" t="s">
        <v>25</v>
      </c>
      <c r="B24" s="7">
        <v>595.65</v>
      </c>
      <c r="C24" s="8">
        <f>IFERROR(B24/B444, "NA")</f>
        <v>5.178858190664405E-3</v>
      </c>
      <c r="D24" s="9"/>
      <c r="E24" s="7">
        <v>0</v>
      </c>
      <c r="F24" s="8">
        <f>IFERROR(E24/E444, "NA")</f>
        <v>0</v>
      </c>
      <c r="G24" s="9"/>
      <c r="H24" s="10">
        <f t="shared" si="4"/>
        <v>595.65</v>
      </c>
      <c r="I24" s="8">
        <f>IFERROR(H24/H444, "NA")</f>
        <v>-3.2045367611179633E-2</v>
      </c>
      <c r="J24" s="9"/>
      <c r="K24" s="7">
        <v>241.94</v>
      </c>
      <c r="L24" s="8">
        <f>IFERROR(K24/K444, "NA")</f>
        <v>2.1368404578424004E-3</v>
      </c>
      <c r="M24" s="9"/>
      <c r="N24" s="10">
        <f t="shared" si="5"/>
        <v>353.71</v>
      </c>
      <c r="O24" s="8">
        <f>IFERROR(N24/N444, "NA")</f>
        <v>0.19733215803978979</v>
      </c>
      <c r="P24" s="9"/>
      <c r="Q24" s="7">
        <v>5463.76</v>
      </c>
      <c r="R24" s="8">
        <f>IFERROR(Q24/Q444, "NA")</f>
        <v>9.831020473981442E-3</v>
      </c>
      <c r="S24" s="9"/>
      <c r="T24" s="7">
        <v>0</v>
      </c>
      <c r="U24" s="8">
        <f>IFERROR(T24/T444, "NA")</f>
        <v>0</v>
      </c>
      <c r="V24" s="9"/>
      <c r="W24" s="10">
        <f t="shared" si="6"/>
        <v>5463.76</v>
      </c>
      <c r="X24" s="8">
        <f>IFERROR(W24/W444, "NA")</f>
        <v>-0.43418274461002465</v>
      </c>
      <c r="Y24" s="9"/>
      <c r="Z24" s="7">
        <v>2194.08</v>
      </c>
      <c r="AA24" s="8">
        <f>IFERROR(Z24/Z444, "NA")</f>
        <v>4.4561102447783713E-3</v>
      </c>
      <c r="AB24" s="9"/>
      <c r="AC24" s="10">
        <f t="shared" si="7"/>
        <v>3269.6800000000003</v>
      </c>
      <c r="AD24" s="8">
        <f>IFERROR(AC24/AC444, "NA")</f>
        <v>5.1578975929348528E-2</v>
      </c>
    </row>
    <row r="25" spans="1:30" ht="16.5" hidden="1" customHeight="1" x14ac:dyDescent="0.45">
      <c r="A25" s="12" t="s">
        <v>26</v>
      </c>
      <c r="B25" s="7">
        <v>0</v>
      </c>
      <c r="C25" s="8">
        <f>IFERROR(B25/B444, "NA")</f>
        <v>0</v>
      </c>
      <c r="D25" s="9"/>
      <c r="E25" s="7">
        <v>0</v>
      </c>
      <c r="F25" s="8">
        <f>IFERROR(E25/E444, "NA")</f>
        <v>0</v>
      </c>
      <c r="G25" s="9"/>
      <c r="H25" s="10">
        <f t="shared" si="4"/>
        <v>0</v>
      </c>
      <c r="I25" s="8">
        <f>IFERROR(H25/H444, "NA")</f>
        <v>0</v>
      </c>
      <c r="J25" s="9"/>
      <c r="K25" s="7">
        <v>0</v>
      </c>
      <c r="L25" s="8">
        <f>IFERROR(K25/K444, "NA")</f>
        <v>0</v>
      </c>
      <c r="M25" s="9"/>
      <c r="N25" s="10">
        <f t="shared" si="5"/>
        <v>0</v>
      </c>
      <c r="O25" s="8">
        <f>IFERROR(N25/N444, "NA")</f>
        <v>0</v>
      </c>
      <c r="P25" s="9"/>
      <c r="Q25" s="7">
        <v>0</v>
      </c>
      <c r="R25" s="8">
        <f>IFERROR(Q25/Q444, "NA")</f>
        <v>0</v>
      </c>
      <c r="S25" s="9"/>
      <c r="T25" s="7">
        <v>0</v>
      </c>
      <c r="U25" s="8">
        <f>IFERROR(T25/T444, "NA")</f>
        <v>0</v>
      </c>
      <c r="V25" s="9"/>
      <c r="W25" s="10">
        <f t="shared" si="6"/>
        <v>0</v>
      </c>
      <c r="X25" s="8">
        <f>IFERROR(W25/W444, "NA")</f>
        <v>0</v>
      </c>
      <c r="Y25" s="9"/>
      <c r="Z25" s="7">
        <v>0</v>
      </c>
      <c r="AA25" s="8">
        <f>IFERROR(Z25/Z444, "NA")</f>
        <v>0</v>
      </c>
      <c r="AB25" s="9"/>
      <c r="AC25" s="10">
        <f t="shared" si="7"/>
        <v>0</v>
      </c>
      <c r="AD25" s="8">
        <f>IFERROR(AC25/AC444, "NA")</f>
        <v>0</v>
      </c>
    </row>
    <row r="26" spans="1:30" ht="16.5" hidden="1" customHeight="1" x14ac:dyDescent="0.45">
      <c r="A26" s="12" t="s">
        <v>27</v>
      </c>
      <c r="B26" s="7">
        <v>0</v>
      </c>
      <c r="C26" s="8">
        <f>IFERROR(B26/B444, "NA")</f>
        <v>0</v>
      </c>
      <c r="D26" s="9"/>
      <c r="E26" s="7">
        <v>0</v>
      </c>
      <c r="F26" s="8">
        <f>IFERROR(E26/E444, "NA")</f>
        <v>0</v>
      </c>
      <c r="G26" s="9"/>
      <c r="H26" s="10">
        <f t="shared" si="4"/>
        <v>0</v>
      </c>
      <c r="I26" s="8">
        <f>IFERROR(H26/H444, "NA")</f>
        <v>0</v>
      </c>
      <c r="J26" s="9"/>
      <c r="K26" s="7">
        <v>0</v>
      </c>
      <c r="L26" s="8">
        <f>IFERROR(K26/K444, "NA")</f>
        <v>0</v>
      </c>
      <c r="M26" s="9"/>
      <c r="N26" s="10">
        <f t="shared" si="5"/>
        <v>0</v>
      </c>
      <c r="O26" s="8">
        <f>IFERROR(N26/N444, "NA")</f>
        <v>0</v>
      </c>
      <c r="P26" s="9"/>
      <c r="Q26" s="7">
        <v>0</v>
      </c>
      <c r="R26" s="8">
        <f>IFERROR(Q26/Q444, "NA")</f>
        <v>0</v>
      </c>
      <c r="S26" s="9"/>
      <c r="T26" s="7">
        <v>0</v>
      </c>
      <c r="U26" s="8">
        <f>IFERROR(T26/T444, "NA")</f>
        <v>0</v>
      </c>
      <c r="V26" s="9"/>
      <c r="W26" s="10">
        <f t="shared" si="6"/>
        <v>0</v>
      </c>
      <c r="X26" s="8">
        <f>IFERROR(W26/W444, "NA")</f>
        <v>0</v>
      </c>
      <c r="Y26" s="9"/>
      <c r="Z26" s="7">
        <v>0</v>
      </c>
      <c r="AA26" s="8">
        <f>IFERROR(Z26/Z444, "NA")</f>
        <v>0</v>
      </c>
      <c r="AB26" s="9"/>
      <c r="AC26" s="10">
        <f t="shared" si="7"/>
        <v>0</v>
      </c>
      <c r="AD26" s="8">
        <f>IFERROR(AC26/AC444, "NA")</f>
        <v>0</v>
      </c>
    </row>
    <row r="27" spans="1:30" ht="16.5" hidden="1" customHeight="1" x14ac:dyDescent="0.45">
      <c r="A27" s="12" t="s">
        <v>28</v>
      </c>
      <c r="B27" s="7">
        <v>0</v>
      </c>
      <c r="C27" s="8">
        <f>IFERROR(B27/B444, "NA")</f>
        <v>0</v>
      </c>
      <c r="D27" s="9"/>
      <c r="E27" s="7">
        <v>0</v>
      </c>
      <c r="F27" s="8">
        <f>IFERROR(E27/E444, "NA")</f>
        <v>0</v>
      </c>
      <c r="G27" s="9"/>
      <c r="H27" s="10">
        <f t="shared" si="4"/>
        <v>0</v>
      </c>
      <c r="I27" s="8">
        <f>IFERROR(H27/H444, "NA")</f>
        <v>0</v>
      </c>
      <c r="J27" s="9"/>
      <c r="K27" s="7">
        <v>0</v>
      </c>
      <c r="L27" s="8">
        <f>IFERROR(K27/K444, "NA")</f>
        <v>0</v>
      </c>
      <c r="M27" s="9"/>
      <c r="N27" s="10">
        <f t="shared" si="5"/>
        <v>0</v>
      </c>
      <c r="O27" s="8">
        <f>IFERROR(N27/N444, "NA")</f>
        <v>0</v>
      </c>
      <c r="P27" s="9"/>
      <c r="Q27" s="7">
        <v>0</v>
      </c>
      <c r="R27" s="8">
        <f>IFERROR(Q27/Q444, "NA")</f>
        <v>0</v>
      </c>
      <c r="S27" s="9"/>
      <c r="T27" s="7">
        <v>0</v>
      </c>
      <c r="U27" s="8">
        <f>IFERROR(T27/T444, "NA")</f>
        <v>0</v>
      </c>
      <c r="V27" s="9"/>
      <c r="W27" s="10">
        <f t="shared" si="6"/>
        <v>0</v>
      </c>
      <c r="X27" s="8">
        <f>IFERROR(W27/W444, "NA")</f>
        <v>0</v>
      </c>
      <c r="Y27" s="9"/>
      <c r="Z27" s="7">
        <v>0</v>
      </c>
      <c r="AA27" s="8">
        <f>IFERROR(Z27/Z444, "NA")</f>
        <v>0</v>
      </c>
      <c r="AB27" s="9"/>
      <c r="AC27" s="10">
        <f t="shared" si="7"/>
        <v>0</v>
      </c>
      <c r="AD27" s="8">
        <f>IFERROR(AC27/AC444, "NA")</f>
        <v>0</v>
      </c>
    </row>
    <row r="28" spans="1:30" ht="16.5" customHeight="1" x14ac:dyDescent="0.45">
      <c r="A28" s="12" t="s">
        <v>29</v>
      </c>
      <c r="B28" s="7">
        <v>898.5</v>
      </c>
      <c r="C28" s="8">
        <f>IFERROR(B28/B444, "NA")</f>
        <v>7.8119769735783898E-3</v>
      </c>
      <c r="D28" s="9"/>
      <c r="E28" s="7">
        <v>0</v>
      </c>
      <c r="F28" s="8">
        <f>IFERROR(E28/E444, "NA")</f>
        <v>0</v>
      </c>
      <c r="G28" s="9"/>
      <c r="H28" s="10">
        <f t="shared" si="4"/>
        <v>898.5</v>
      </c>
      <c r="I28" s="8">
        <f>IFERROR(H28/H444, "NA")</f>
        <v>-4.833839133491967E-2</v>
      </c>
      <c r="J28" s="9"/>
      <c r="K28" s="7">
        <v>865.91</v>
      </c>
      <c r="L28" s="8">
        <f>IFERROR(K28/K444, "NA")</f>
        <v>7.647811527032789E-3</v>
      </c>
      <c r="M28" s="9"/>
      <c r="N28" s="10">
        <f t="shared" si="5"/>
        <v>32.590000000000032</v>
      </c>
      <c r="O28" s="8">
        <f>IFERROR(N28/N444, "NA")</f>
        <v>1.8181716746817324E-2</v>
      </c>
      <c r="P28" s="9"/>
      <c r="Q28" s="7">
        <v>4342.75</v>
      </c>
      <c r="R28" s="8">
        <f>IFERROR(Q28/Q444, "NA")</f>
        <v>7.813971361001015E-3</v>
      </c>
      <c r="S28" s="9"/>
      <c r="T28" s="7">
        <v>0</v>
      </c>
      <c r="U28" s="8">
        <f>IFERROR(T28/T444, "NA")</f>
        <v>0</v>
      </c>
      <c r="V28" s="9"/>
      <c r="W28" s="10">
        <f t="shared" si="6"/>
        <v>4342.75</v>
      </c>
      <c r="X28" s="8">
        <f>IFERROR(W28/W444, "NA")</f>
        <v>-0.34510064756782588</v>
      </c>
      <c r="Y28" s="9"/>
      <c r="Z28" s="7">
        <v>4000.49</v>
      </c>
      <c r="AA28" s="8">
        <f>IFERROR(Z28/Z444, "NA")</f>
        <v>8.1248744225978203E-3</v>
      </c>
      <c r="AB28" s="9"/>
      <c r="AC28" s="10">
        <f t="shared" si="7"/>
        <v>342.26000000000022</v>
      </c>
      <c r="AD28" s="8">
        <f>IFERROR(AC28/AC444, "NA")</f>
        <v>5.3991278356227022E-3</v>
      </c>
    </row>
    <row r="29" spans="1:30" ht="16.5" customHeight="1" x14ac:dyDescent="0.45">
      <c r="A29" s="13" t="s">
        <v>30</v>
      </c>
      <c r="B29" s="14">
        <f>IFERROR(B21+B22+B23+B24+B25+B26+B27+B28, "NA")</f>
        <v>9489.65</v>
      </c>
      <c r="C29" s="15">
        <f>IFERROR(B29/B444, "NA")</f>
        <v>8.2507431594121494E-2</v>
      </c>
      <c r="D29" s="2"/>
      <c r="E29" s="14">
        <f>IFERROR(E21+E22+E23+E24+E25+E26+E27+E28, "NA")</f>
        <v>14161.96</v>
      </c>
      <c r="F29" s="15">
        <f>IFERROR(E29/E444, "NA")</f>
        <v>0.1059999890721352</v>
      </c>
      <c r="G29" s="2"/>
      <c r="H29" s="14">
        <f t="shared" si="4"/>
        <v>-4672.3099999999995</v>
      </c>
      <c r="I29" s="15">
        <f>IFERROR(H29/H444, "NA")</f>
        <v>0.25136555283033779</v>
      </c>
      <c r="J29" s="2"/>
      <c r="K29" s="14">
        <f>IFERROR(K21+K22+K23+K24+K25+K26+K27+K28, "NA")</f>
        <v>10428.960000000001</v>
      </c>
      <c r="L29" s="15">
        <f>IFERROR(K29/K444, "NA")</f>
        <v>9.2109711751756973E-2</v>
      </c>
      <c r="M29" s="2"/>
      <c r="N29" s="14">
        <f t="shared" si="5"/>
        <v>-939.31000000000131</v>
      </c>
      <c r="O29" s="15">
        <f>IFERROR(N29/N444, "NA")</f>
        <v>-0.5240340091271245</v>
      </c>
      <c r="P29" s="2"/>
      <c r="Q29" s="14">
        <f>IFERROR(Q21+Q22+Q23+Q24+Q25+Q26+Q27+Q28, "NA")</f>
        <v>54378.66</v>
      </c>
      <c r="R29" s="15">
        <f>IFERROR(Q29/Q444, "NA")</f>
        <v>9.7844290343586784E-2</v>
      </c>
      <c r="S29" s="2"/>
      <c r="T29" s="14">
        <f>IFERROR(T21+T22+T23+T24+T25+T26+T27+T28, "NA")</f>
        <v>60245.23</v>
      </c>
      <c r="U29" s="15">
        <f>IFERROR(T29/T444, "NA")</f>
        <v>0.10599997881592046</v>
      </c>
      <c r="V29" s="2"/>
      <c r="W29" s="14">
        <f t="shared" si="6"/>
        <v>-5866.57</v>
      </c>
      <c r="X29" s="15">
        <f>IFERROR(W29/W444, "NA")</f>
        <v>0.46619241402382827</v>
      </c>
      <c r="Y29" s="2"/>
      <c r="Z29" s="14">
        <f>IFERROR(Z21+Z22+Z23+Z24+Z25+Z26+Z27+Z28, "NA")</f>
        <v>53753.49</v>
      </c>
      <c r="AA29" s="15">
        <f>IFERROR(Z29/Z444, "NA")</f>
        <v>0.10917171547144669</v>
      </c>
      <c r="AB29" s="2"/>
      <c r="AC29" s="14">
        <f t="shared" si="7"/>
        <v>625.17000000000553</v>
      </c>
      <c r="AD29" s="15">
        <f>IFERROR(AC29/AC444, "NA")</f>
        <v>9.8620135247948128E-3</v>
      </c>
    </row>
    <row r="30" spans="1:30" ht="16.5" customHeight="1" x14ac:dyDescent="0.45">
      <c r="A30" s="11" t="s">
        <v>31</v>
      </c>
      <c r="B30" s="2"/>
      <c r="C30" s="3"/>
      <c r="D30" s="4"/>
      <c r="E30" s="2"/>
      <c r="F30" s="3"/>
      <c r="G30" s="4"/>
      <c r="H30" s="2"/>
      <c r="I30" s="3"/>
      <c r="J30" s="4"/>
      <c r="K30" s="2"/>
      <c r="L30" s="3"/>
      <c r="M30" s="4"/>
      <c r="N30" s="2"/>
      <c r="O30" s="3"/>
      <c r="P30" s="4"/>
      <c r="Q30" s="2"/>
      <c r="R30" s="3"/>
      <c r="S30" s="4"/>
      <c r="T30" s="2"/>
      <c r="U30" s="3"/>
      <c r="V30" s="4"/>
      <c r="W30" s="2"/>
      <c r="X30" s="3"/>
      <c r="Y30" s="4"/>
      <c r="Z30" s="2"/>
      <c r="AA30" s="3"/>
      <c r="AB30" s="4"/>
      <c r="AC30" s="2"/>
      <c r="AD30" s="3"/>
    </row>
    <row r="31" spans="1:30" ht="16.5" customHeight="1" x14ac:dyDescent="0.45">
      <c r="A31" s="12" t="s">
        <v>31</v>
      </c>
      <c r="B31" s="7">
        <v>0</v>
      </c>
      <c r="C31" s="8">
        <f>IFERROR(B31/B444, "NA")</f>
        <v>0</v>
      </c>
      <c r="D31" s="9"/>
      <c r="E31" s="7">
        <v>25518.25</v>
      </c>
      <c r="F31" s="8">
        <f>IFERROR(E31/E444, "NA")</f>
        <v>0.19099999019486105</v>
      </c>
      <c r="G31" s="9"/>
      <c r="H31" s="10">
        <f t="shared" ref="H31:H40" si="8">IFERROR(B31-E31, "NA")</f>
        <v>-25518.25</v>
      </c>
      <c r="I31" s="8">
        <f>IFERROR(H31/H444, "NA")</f>
        <v>1.3728560430521022</v>
      </c>
      <c r="J31" s="9"/>
      <c r="K31" s="7">
        <v>0</v>
      </c>
      <c r="L31" s="8">
        <f>IFERROR(K31/K444, "NA")</f>
        <v>0</v>
      </c>
      <c r="M31" s="9"/>
      <c r="N31" s="10">
        <f t="shared" ref="N31:N40" si="9">IFERROR(B31-K31, "NA")</f>
        <v>0</v>
      </c>
      <c r="O31" s="8">
        <f>IFERROR(N31/N444, "NA")</f>
        <v>0</v>
      </c>
      <c r="P31" s="9"/>
      <c r="Q31" s="7">
        <v>0</v>
      </c>
      <c r="R31" s="8">
        <f>IFERROR(Q31/Q444, "NA")</f>
        <v>0</v>
      </c>
      <c r="S31" s="9"/>
      <c r="T31" s="7">
        <v>108555.1</v>
      </c>
      <c r="U31" s="8">
        <f>IFERROR(T31/T444, "NA")</f>
        <v>0.19099998954871825</v>
      </c>
      <c r="V31" s="9"/>
      <c r="W31" s="10">
        <f t="shared" ref="W31:W40" si="10">IFERROR(Q31-T31, "NA")</f>
        <v>-108555.1</v>
      </c>
      <c r="X31" s="8">
        <f>IFERROR(W31/W444, "NA")</f>
        <v>8.6264314793138226</v>
      </c>
      <c r="Y31" s="9"/>
      <c r="Z31" s="7">
        <v>0</v>
      </c>
      <c r="AA31" s="8">
        <f>IFERROR(Z31/Z444, "NA")</f>
        <v>0</v>
      </c>
      <c r="AB31" s="9"/>
      <c r="AC31" s="10">
        <f t="shared" ref="AC31:AC40" si="11">IFERROR(Q31-Z31, "NA")</f>
        <v>0</v>
      </c>
      <c r="AD31" s="8">
        <f>IFERROR(AC31/AC444, "NA")</f>
        <v>0</v>
      </c>
    </row>
    <row r="32" spans="1:30" ht="16.5" hidden="1" customHeight="1" x14ac:dyDescent="0.45">
      <c r="A32" s="12" t="s">
        <v>32</v>
      </c>
      <c r="B32" s="7">
        <v>0</v>
      </c>
      <c r="C32" s="8">
        <f>IFERROR(B32/B444, "NA")</f>
        <v>0</v>
      </c>
      <c r="D32" s="9"/>
      <c r="E32" s="7">
        <v>0</v>
      </c>
      <c r="F32" s="8">
        <f>IFERROR(E32/E444, "NA")</f>
        <v>0</v>
      </c>
      <c r="G32" s="9"/>
      <c r="H32" s="10">
        <f t="shared" si="8"/>
        <v>0</v>
      </c>
      <c r="I32" s="8">
        <f>IFERROR(H32/H444, "NA")</f>
        <v>0</v>
      </c>
      <c r="J32" s="9"/>
      <c r="K32" s="7">
        <v>0</v>
      </c>
      <c r="L32" s="8">
        <f>IFERROR(K32/K444, "NA")</f>
        <v>0</v>
      </c>
      <c r="M32" s="9"/>
      <c r="N32" s="10">
        <f t="shared" si="9"/>
        <v>0</v>
      </c>
      <c r="O32" s="8">
        <f>IFERROR(N32/N444, "NA")</f>
        <v>0</v>
      </c>
      <c r="P32" s="9"/>
      <c r="Q32" s="7">
        <v>0</v>
      </c>
      <c r="R32" s="8">
        <f>IFERROR(Q32/Q444, "NA")</f>
        <v>0</v>
      </c>
      <c r="S32" s="9"/>
      <c r="T32" s="7">
        <v>0</v>
      </c>
      <c r="U32" s="8">
        <f>IFERROR(T32/T444, "NA")</f>
        <v>0</v>
      </c>
      <c r="V32" s="9"/>
      <c r="W32" s="10">
        <f t="shared" si="10"/>
        <v>0</v>
      </c>
      <c r="X32" s="8">
        <f>IFERROR(W32/W444, "NA")</f>
        <v>0</v>
      </c>
      <c r="Y32" s="9"/>
      <c r="Z32" s="7">
        <v>0</v>
      </c>
      <c r="AA32" s="8">
        <f>IFERROR(Z32/Z444, "NA")</f>
        <v>0</v>
      </c>
      <c r="AB32" s="9"/>
      <c r="AC32" s="10">
        <f t="shared" si="11"/>
        <v>0</v>
      </c>
      <c r="AD32" s="8">
        <f>IFERROR(AC32/AC444, "NA")</f>
        <v>0</v>
      </c>
    </row>
    <row r="33" spans="1:30" ht="16.5" customHeight="1" x14ac:dyDescent="0.45">
      <c r="A33" s="12" t="s">
        <v>33</v>
      </c>
      <c r="B33" s="7">
        <v>6309.19</v>
      </c>
      <c r="C33" s="8">
        <f>IFERROR(B33/B444, "NA")</f>
        <v>5.4855032834647786E-2</v>
      </c>
      <c r="D33" s="9"/>
      <c r="E33" s="7">
        <v>0</v>
      </c>
      <c r="F33" s="8">
        <f>IFERROR(E33/E444, "NA")</f>
        <v>0</v>
      </c>
      <c r="G33" s="9"/>
      <c r="H33" s="10">
        <f t="shared" si="8"/>
        <v>6309.19</v>
      </c>
      <c r="I33" s="8">
        <f>IFERROR(H33/H444, "NA")</f>
        <v>-0.33942804143167704</v>
      </c>
      <c r="J33" s="9"/>
      <c r="K33" s="7">
        <v>5628.31</v>
      </c>
      <c r="L33" s="8">
        <f>IFERROR(K33/K444, "NA")</f>
        <v>4.9709847554265364E-2</v>
      </c>
      <c r="M33" s="9"/>
      <c r="N33" s="10">
        <f t="shared" si="9"/>
        <v>680.8799999999992</v>
      </c>
      <c r="O33" s="8">
        <f>IFERROR(N33/N444, "NA")</f>
        <v>0.37985784898965796</v>
      </c>
      <c r="P33" s="9"/>
      <c r="Q33" s="7">
        <v>40123.99</v>
      </c>
      <c r="R33" s="8">
        <f>IFERROR(Q33/Q444, "NA")</f>
        <v>7.2195661447030365E-2</v>
      </c>
      <c r="S33" s="9"/>
      <c r="T33" s="7">
        <v>0</v>
      </c>
      <c r="U33" s="8">
        <f>IFERROR(T33/T444, "NA")</f>
        <v>0</v>
      </c>
      <c r="V33" s="9"/>
      <c r="W33" s="10">
        <f t="shared" si="10"/>
        <v>40123.99</v>
      </c>
      <c r="X33" s="8">
        <f>IFERROR(W33/W444, "NA")</f>
        <v>-3.1884899964319775</v>
      </c>
      <c r="Y33" s="9"/>
      <c r="Z33" s="7">
        <v>27622.63</v>
      </c>
      <c r="AA33" s="8">
        <f>IFERROR(Z33/Z444, "NA")</f>
        <v>5.610072765383322E-2</v>
      </c>
      <c r="AB33" s="9"/>
      <c r="AC33" s="10">
        <f t="shared" si="11"/>
        <v>12501.359999999997</v>
      </c>
      <c r="AD33" s="8">
        <f>IFERROR(AC33/AC444, "NA")</f>
        <v>0.19720808963694317</v>
      </c>
    </row>
    <row r="34" spans="1:30" ht="16.5" hidden="1" customHeight="1" x14ac:dyDescent="0.45">
      <c r="A34" s="12" t="s">
        <v>34</v>
      </c>
      <c r="B34" s="7">
        <v>0</v>
      </c>
      <c r="C34" s="8">
        <f>IFERROR(B34/B444, "NA")</f>
        <v>0</v>
      </c>
      <c r="D34" s="9"/>
      <c r="E34" s="7">
        <v>0</v>
      </c>
      <c r="F34" s="8">
        <f>IFERROR(E34/E444, "NA")</f>
        <v>0</v>
      </c>
      <c r="G34" s="9"/>
      <c r="H34" s="10">
        <f t="shared" si="8"/>
        <v>0</v>
      </c>
      <c r="I34" s="8">
        <f>IFERROR(H34/H444, "NA")</f>
        <v>0</v>
      </c>
      <c r="J34" s="9"/>
      <c r="K34" s="7">
        <v>0</v>
      </c>
      <c r="L34" s="8">
        <f>IFERROR(K34/K444, "NA")</f>
        <v>0</v>
      </c>
      <c r="M34" s="9"/>
      <c r="N34" s="10">
        <f t="shared" si="9"/>
        <v>0</v>
      </c>
      <c r="O34" s="8">
        <f>IFERROR(N34/N444, "NA")</f>
        <v>0</v>
      </c>
      <c r="P34" s="9"/>
      <c r="Q34" s="7">
        <v>0</v>
      </c>
      <c r="R34" s="8">
        <f>IFERROR(Q34/Q444, "NA")</f>
        <v>0</v>
      </c>
      <c r="S34" s="9"/>
      <c r="T34" s="7">
        <v>0</v>
      </c>
      <c r="U34" s="8">
        <f>IFERROR(T34/T444, "NA")</f>
        <v>0</v>
      </c>
      <c r="V34" s="9"/>
      <c r="W34" s="10">
        <f t="shared" si="10"/>
        <v>0</v>
      </c>
      <c r="X34" s="8">
        <f>IFERROR(W34/W444, "NA")</f>
        <v>0</v>
      </c>
      <c r="Y34" s="9"/>
      <c r="Z34" s="7">
        <v>0</v>
      </c>
      <c r="AA34" s="8">
        <f>IFERROR(Z34/Z444, "NA")</f>
        <v>0</v>
      </c>
      <c r="AB34" s="9"/>
      <c r="AC34" s="10">
        <f t="shared" si="11"/>
        <v>0</v>
      </c>
      <c r="AD34" s="8">
        <f>IFERROR(AC34/AC444, "NA")</f>
        <v>0</v>
      </c>
    </row>
    <row r="35" spans="1:30" ht="16.5" customHeight="1" x14ac:dyDescent="0.45">
      <c r="A35" s="12" t="s">
        <v>35</v>
      </c>
      <c r="B35" s="7">
        <v>1245.26</v>
      </c>
      <c r="C35" s="8">
        <f>IFERROR(B35/B444, "NA")</f>
        <v>1.0826869723003034E-2</v>
      </c>
      <c r="D35" s="9"/>
      <c r="E35" s="7">
        <v>0</v>
      </c>
      <c r="F35" s="8">
        <f>IFERROR(E35/E444, "NA")</f>
        <v>0</v>
      </c>
      <c r="G35" s="9"/>
      <c r="H35" s="10">
        <f t="shared" si="8"/>
        <v>1245.26</v>
      </c>
      <c r="I35" s="8">
        <f>IFERROR(H35/H444, "NA")</f>
        <v>-6.6993728651888781E-2</v>
      </c>
      <c r="J35" s="9"/>
      <c r="K35" s="7">
        <v>0</v>
      </c>
      <c r="L35" s="8">
        <f>IFERROR(K35/K444, "NA")</f>
        <v>0</v>
      </c>
      <c r="M35" s="9"/>
      <c r="N35" s="10">
        <f t="shared" si="9"/>
        <v>1245.26</v>
      </c>
      <c r="O35" s="8">
        <f>IFERROR(N35/N444, "NA")</f>
        <v>0.69472122111511869</v>
      </c>
      <c r="P35" s="9"/>
      <c r="Q35" s="7">
        <v>6504.44</v>
      </c>
      <c r="R35" s="8">
        <f>IFERROR(Q35/Q444, "NA")</f>
        <v>1.170353068432432E-2</v>
      </c>
      <c r="S35" s="9"/>
      <c r="T35" s="7">
        <v>0</v>
      </c>
      <c r="U35" s="8">
        <f>IFERROR(T35/T444, "NA")</f>
        <v>0</v>
      </c>
      <c r="V35" s="9"/>
      <c r="W35" s="10">
        <f t="shared" si="10"/>
        <v>6504.44</v>
      </c>
      <c r="X35" s="8">
        <f>IFERROR(W35/W444, "NA")</f>
        <v>-0.51688134386415741</v>
      </c>
      <c r="Y35" s="9"/>
      <c r="Z35" s="7">
        <v>0</v>
      </c>
      <c r="AA35" s="8">
        <f>IFERROR(Z35/Z444, "NA")</f>
        <v>0</v>
      </c>
      <c r="AB35" s="9"/>
      <c r="AC35" s="10">
        <f t="shared" si="11"/>
        <v>6504.44</v>
      </c>
      <c r="AD35" s="8">
        <f>IFERROR(AC35/AC444, "NA")</f>
        <v>0.10260709127311898</v>
      </c>
    </row>
    <row r="36" spans="1:30" ht="16.5" customHeight="1" x14ac:dyDescent="0.45">
      <c r="A36" s="12" t="s">
        <v>36</v>
      </c>
      <c r="B36" s="7">
        <v>7494.27</v>
      </c>
      <c r="C36" s="8">
        <f>IFERROR(B36/B444, "NA")</f>
        <v>6.5158669642492298E-2</v>
      </c>
      <c r="D36" s="9"/>
      <c r="E36" s="7">
        <v>0</v>
      </c>
      <c r="F36" s="8">
        <f>IFERROR(E36/E444, "NA")</f>
        <v>0</v>
      </c>
      <c r="G36" s="9"/>
      <c r="H36" s="10">
        <f t="shared" si="8"/>
        <v>7494.27</v>
      </c>
      <c r="I36" s="8">
        <f>IFERROR(H36/H444, "NA")</f>
        <v>-0.40318414694440563</v>
      </c>
      <c r="J36" s="9"/>
      <c r="K36" s="7">
        <v>6195.01</v>
      </c>
      <c r="L36" s="8">
        <f>IFERROR(K36/K444, "NA")</f>
        <v>5.4715003739514961E-2</v>
      </c>
      <c r="M36" s="9"/>
      <c r="N36" s="10">
        <f t="shared" si="9"/>
        <v>1299.2600000000002</v>
      </c>
      <c r="O36" s="8">
        <f>IFERROR(N36/N444, "NA")</f>
        <v>0.72484741639981154</v>
      </c>
      <c r="P36" s="9"/>
      <c r="Q36" s="7">
        <v>52286.69</v>
      </c>
      <c r="R36" s="8">
        <f>IFERROR(Q36/Q444, "NA")</f>
        <v>9.4080179200169978E-2</v>
      </c>
      <c r="S36" s="9"/>
      <c r="T36" s="7">
        <v>0</v>
      </c>
      <c r="U36" s="8">
        <f>IFERROR(T36/T444, "NA")</f>
        <v>0</v>
      </c>
      <c r="V36" s="9"/>
      <c r="W36" s="10">
        <f t="shared" si="10"/>
        <v>52286.69</v>
      </c>
      <c r="X36" s="8">
        <f>IFERROR(W36/W444, "NA")</f>
        <v>-4.1550102073981154</v>
      </c>
      <c r="Y36" s="9"/>
      <c r="Z36" s="7">
        <v>32430.85</v>
      </c>
      <c r="AA36" s="8">
        <f>IFERROR(Z36/Z444, "NA")</f>
        <v>6.5866077322554617E-2</v>
      </c>
      <c r="AB36" s="9"/>
      <c r="AC36" s="10">
        <f t="shared" si="11"/>
        <v>19855.840000000004</v>
      </c>
      <c r="AD36" s="8">
        <f>IFERROR(AC36/AC444, "NA")</f>
        <v>0.31322450313700295</v>
      </c>
    </row>
    <row r="37" spans="1:30" ht="16.5" hidden="1" customHeight="1" x14ac:dyDescent="0.45">
      <c r="A37" s="12" t="s">
        <v>37</v>
      </c>
      <c r="B37" s="7">
        <v>0</v>
      </c>
      <c r="C37" s="8">
        <f>IFERROR(B37/B444, "NA")</f>
        <v>0</v>
      </c>
      <c r="D37" s="9"/>
      <c r="E37" s="7">
        <v>0</v>
      </c>
      <c r="F37" s="8">
        <f>IFERROR(E37/E444, "NA")</f>
        <v>0</v>
      </c>
      <c r="G37" s="9"/>
      <c r="H37" s="10">
        <f t="shared" si="8"/>
        <v>0</v>
      </c>
      <c r="I37" s="8">
        <f>IFERROR(H37/H444, "NA")</f>
        <v>0</v>
      </c>
      <c r="J37" s="9"/>
      <c r="K37" s="7">
        <v>0</v>
      </c>
      <c r="L37" s="8">
        <f>IFERROR(K37/K444, "NA")</f>
        <v>0</v>
      </c>
      <c r="M37" s="9"/>
      <c r="N37" s="10">
        <f t="shared" si="9"/>
        <v>0</v>
      </c>
      <c r="O37" s="8">
        <f>IFERROR(N37/N444, "NA")</f>
        <v>0</v>
      </c>
      <c r="P37" s="9"/>
      <c r="Q37" s="7">
        <v>0</v>
      </c>
      <c r="R37" s="8">
        <f>IFERROR(Q37/Q444, "NA")</f>
        <v>0</v>
      </c>
      <c r="S37" s="9"/>
      <c r="T37" s="7">
        <v>0</v>
      </c>
      <c r="U37" s="8">
        <f>IFERROR(T37/T444, "NA")</f>
        <v>0</v>
      </c>
      <c r="V37" s="9"/>
      <c r="W37" s="10">
        <f t="shared" si="10"/>
        <v>0</v>
      </c>
      <c r="X37" s="8">
        <f>IFERROR(W37/W444, "NA")</f>
        <v>0</v>
      </c>
      <c r="Y37" s="9"/>
      <c r="Z37" s="7">
        <v>0</v>
      </c>
      <c r="AA37" s="8">
        <f>IFERROR(Z37/Z444, "NA")</f>
        <v>0</v>
      </c>
      <c r="AB37" s="9"/>
      <c r="AC37" s="10">
        <f t="shared" si="11"/>
        <v>0</v>
      </c>
      <c r="AD37" s="8">
        <f>IFERROR(AC37/AC444, "NA")</f>
        <v>0</v>
      </c>
    </row>
    <row r="38" spans="1:30" ht="16.5" hidden="1" customHeight="1" x14ac:dyDescent="0.45">
      <c r="A38" s="12" t="s">
        <v>38</v>
      </c>
      <c r="B38" s="7">
        <v>0</v>
      </c>
      <c r="C38" s="8">
        <f>IFERROR(B38/B444, "NA")</f>
        <v>0</v>
      </c>
      <c r="D38" s="9"/>
      <c r="E38" s="7">
        <v>0</v>
      </c>
      <c r="F38" s="8">
        <f>IFERROR(E38/E444, "NA")</f>
        <v>0</v>
      </c>
      <c r="G38" s="9"/>
      <c r="H38" s="10">
        <f t="shared" si="8"/>
        <v>0</v>
      </c>
      <c r="I38" s="8">
        <f>IFERROR(H38/H444, "NA")</f>
        <v>0</v>
      </c>
      <c r="J38" s="9"/>
      <c r="K38" s="7">
        <v>0</v>
      </c>
      <c r="L38" s="8">
        <f>IFERROR(K38/K444, "NA")</f>
        <v>0</v>
      </c>
      <c r="M38" s="9"/>
      <c r="N38" s="10">
        <f t="shared" si="9"/>
        <v>0</v>
      </c>
      <c r="O38" s="8">
        <f>IFERROR(N38/N444, "NA")</f>
        <v>0</v>
      </c>
      <c r="P38" s="9"/>
      <c r="Q38" s="7">
        <v>0</v>
      </c>
      <c r="R38" s="8">
        <f>IFERROR(Q38/Q444, "NA")</f>
        <v>0</v>
      </c>
      <c r="S38" s="9"/>
      <c r="T38" s="7">
        <v>0</v>
      </c>
      <c r="U38" s="8">
        <f>IFERROR(T38/T444, "NA")</f>
        <v>0</v>
      </c>
      <c r="V38" s="9"/>
      <c r="W38" s="10">
        <f t="shared" si="10"/>
        <v>0</v>
      </c>
      <c r="X38" s="8">
        <f>IFERROR(W38/W444, "NA")</f>
        <v>0</v>
      </c>
      <c r="Y38" s="9"/>
      <c r="Z38" s="7">
        <v>0</v>
      </c>
      <c r="AA38" s="8">
        <f>IFERROR(Z38/Z444, "NA")</f>
        <v>0</v>
      </c>
      <c r="AB38" s="9"/>
      <c r="AC38" s="10">
        <f t="shared" si="11"/>
        <v>0</v>
      </c>
      <c r="AD38" s="8">
        <f>IFERROR(AC38/AC444, "NA")</f>
        <v>0</v>
      </c>
    </row>
    <row r="39" spans="1:30" ht="16.5" customHeight="1" x14ac:dyDescent="0.45">
      <c r="A39" s="12" t="s">
        <v>39</v>
      </c>
      <c r="B39" s="7">
        <v>865.65</v>
      </c>
      <c r="C39" s="8">
        <f>IFERROR(B39/B444, "NA")</f>
        <v>7.5263637920736041E-3</v>
      </c>
      <c r="D39" s="9"/>
      <c r="E39" s="7">
        <v>0</v>
      </c>
      <c r="F39" s="8">
        <f>IFERROR(E39/E444, "NA")</f>
        <v>0</v>
      </c>
      <c r="G39" s="9"/>
      <c r="H39" s="10">
        <f t="shared" si="8"/>
        <v>865.65</v>
      </c>
      <c r="I39" s="8">
        <f>IFERROR(H39/H444, "NA")</f>
        <v>-4.657109455656451E-2</v>
      </c>
      <c r="J39" s="9"/>
      <c r="K39" s="7">
        <v>785.05</v>
      </c>
      <c r="L39" s="8">
        <f>IFERROR(K39/K444, "NA")</f>
        <v>6.9336471911596942E-3</v>
      </c>
      <c r="M39" s="9"/>
      <c r="N39" s="10">
        <f t="shared" si="9"/>
        <v>80.600000000000023</v>
      </c>
      <c r="O39" s="8">
        <f>IFERROR(N39/N444, "NA")</f>
        <v>4.4966135924930199E-2</v>
      </c>
      <c r="P39" s="9"/>
      <c r="Q39" s="7">
        <v>4762.75</v>
      </c>
      <c r="R39" s="8">
        <f>IFERROR(Q39/Q444, "NA")</f>
        <v>8.5696832881486575E-3</v>
      </c>
      <c r="S39" s="9"/>
      <c r="T39" s="7">
        <v>0</v>
      </c>
      <c r="U39" s="8">
        <f>IFERROR(T39/T444, "NA")</f>
        <v>0</v>
      </c>
      <c r="V39" s="9"/>
      <c r="W39" s="10">
        <f t="shared" si="10"/>
        <v>4762.75</v>
      </c>
      <c r="X39" s="8">
        <f>IFERROR(W39/W444, "NA")</f>
        <v>-0.37847633623940197</v>
      </c>
      <c r="Y39" s="9"/>
      <c r="Z39" s="7">
        <v>4664.97</v>
      </c>
      <c r="AA39" s="8">
        <f>IFERROR(Z39/Z444, "NA")</f>
        <v>9.4744132431742508E-3</v>
      </c>
      <c r="AB39" s="9"/>
      <c r="AC39" s="10">
        <f t="shared" si="11"/>
        <v>97.779999999999745</v>
      </c>
      <c r="AD39" s="8">
        <f>IFERROR(AC39/AC444, "NA")</f>
        <v>1.54247273934198E-3</v>
      </c>
    </row>
    <row r="40" spans="1:30" ht="16.5" customHeight="1" x14ac:dyDescent="0.45">
      <c r="A40" s="13" t="s">
        <v>40</v>
      </c>
      <c r="B40" s="14">
        <f>IFERROR(B31+B32+B33+B34+B35+B36+B37+B38+B39, "NA")</f>
        <v>15914.37</v>
      </c>
      <c r="C40" s="15">
        <f>IFERROR(B40/B444, "NA")</f>
        <v>0.13836693599221672</v>
      </c>
      <c r="D40" s="2"/>
      <c r="E40" s="14">
        <f>IFERROR(E31+E32+E33+E34+E35+E36+E37+E38+E39, "NA")</f>
        <v>25518.25</v>
      </c>
      <c r="F40" s="15">
        <f>IFERROR(E40/E444, "NA")</f>
        <v>0.19099999019486105</v>
      </c>
      <c r="G40" s="2"/>
      <c r="H40" s="14">
        <f t="shared" si="8"/>
        <v>-9603.8799999999992</v>
      </c>
      <c r="I40" s="15">
        <f>IFERROR(H40/H444, "NA")</f>
        <v>0.51667903146756622</v>
      </c>
      <c r="J40" s="2"/>
      <c r="K40" s="14">
        <f>IFERROR(K31+K32+K33+K34+K35+K36+K37+K38+K39, "NA")</f>
        <v>12608.369999999999</v>
      </c>
      <c r="L40" s="15">
        <f>IFERROR(K40/K444, "NA")</f>
        <v>0.11135849848494001</v>
      </c>
      <c r="M40" s="2"/>
      <c r="N40" s="14">
        <f t="shared" si="9"/>
        <v>3306.0000000000018</v>
      </c>
      <c r="O40" s="15">
        <f>IFERROR(N40/N444, "NA")</f>
        <v>1.8443926224295197</v>
      </c>
      <c r="P40" s="2"/>
      <c r="Q40" s="14">
        <f>IFERROR(Q31+Q32+Q33+Q34+Q35+Q36+Q37+Q38+Q39, "NA")</f>
        <v>103677.87</v>
      </c>
      <c r="R40" s="15">
        <f>IFERROR(Q40/Q444, "NA")</f>
        <v>0.1865490546196733</v>
      </c>
      <c r="S40" s="2"/>
      <c r="T40" s="14">
        <f>IFERROR(T31+T32+T33+T34+T35+T36+T37+T38+T39, "NA")</f>
        <v>108555.1</v>
      </c>
      <c r="U40" s="15">
        <f>IFERROR(T40/T444, "NA")</f>
        <v>0.19099998954871825</v>
      </c>
      <c r="V40" s="2"/>
      <c r="W40" s="14">
        <f t="shared" si="10"/>
        <v>-4877.2300000000105</v>
      </c>
      <c r="X40" s="15">
        <f>IFERROR(W40/W444, "NA")</f>
        <v>0.3875735953801695</v>
      </c>
      <c r="Y40" s="2"/>
      <c r="Z40" s="14">
        <f>IFERROR(Z31+Z32+Z33+Z34+Z35+Z36+Z37+Z38+Z39, "NA")</f>
        <v>64718.45</v>
      </c>
      <c r="AA40" s="15">
        <f>IFERROR(Z40/Z444, "NA")</f>
        <v>0.13144121821956209</v>
      </c>
      <c r="AB40" s="2"/>
      <c r="AC40" s="14">
        <f t="shared" si="11"/>
        <v>38959.42</v>
      </c>
      <c r="AD40" s="15">
        <f>IFERROR(AC40/AC444, "NA")</f>
        <v>0.61458215678640704</v>
      </c>
    </row>
    <row r="41" spans="1:30" ht="16.5" customHeight="1" x14ac:dyDescent="0.45">
      <c r="A41" s="11" t="s">
        <v>41</v>
      </c>
      <c r="B41" s="2"/>
      <c r="C41" s="3"/>
      <c r="D41" s="4"/>
      <c r="E41" s="2"/>
      <c r="F41" s="3"/>
      <c r="G41" s="4"/>
      <c r="H41" s="2"/>
      <c r="I41" s="3"/>
      <c r="J41" s="4"/>
      <c r="K41" s="2"/>
      <c r="L41" s="3"/>
      <c r="M41" s="4"/>
      <c r="N41" s="2"/>
      <c r="O41" s="3"/>
      <c r="P41" s="4"/>
      <c r="Q41" s="2"/>
      <c r="R41" s="3"/>
      <c r="S41" s="4"/>
      <c r="T41" s="2"/>
      <c r="U41" s="3"/>
      <c r="V41" s="4"/>
      <c r="W41" s="2"/>
      <c r="X41" s="3"/>
      <c r="Y41" s="4"/>
      <c r="Z41" s="2"/>
      <c r="AA41" s="3"/>
      <c r="AB41" s="4"/>
      <c r="AC41" s="2"/>
      <c r="AD41" s="3"/>
    </row>
    <row r="42" spans="1:30" ht="16.5" hidden="1" customHeight="1" x14ac:dyDescent="0.45">
      <c r="A42" s="12" t="s">
        <v>41</v>
      </c>
      <c r="B42" s="7">
        <v>0</v>
      </c>
      <c r="C42" s="8">
        <f>IFERROR(B42/B444, "NA")</f>
        <v>0</v>
      </c>
      <c r="D42" s="9"/>
      <c r="E42" s="7">
        <v>0</v>
      </c>
      <c r="F42" s="8">
        <f>IFERROR(E42/E444, "NA")</f>
        <v>0</v>
      </c>
      <c r="G42" s="9"/>
      <c r="H42" s="10">
        <f>IFERROR(B42-E42, "NA")</f>
        <v>0</v>
      </c>
      <c r="I42" s="8">
        <f>IFERROR(H42/H444, "NA")</f>
        <v>0</v>
      </c>
      <c r="J42" s="9"/>
      <c r="K42" s="7">
        <v>0</v>
      </c>
      <c r="L42" s="8">
        <f>IFERROR(K42/K444, "NA")</f>
        <v>0</v>
      </c>
      <c r="M42" s="9"/>
      <c r="N42" s="10">
        <f>IFERROR(B42-K42, "NA")</f>
        <v>0</v>
      </c>
      <c r="O42" s="8">
        <f>IFERROR(N42/N444, "NA")</f>
        <v>0</v>
      </c>
      <c r="P42" s="9"/>
      <c r="Q42" s="7">
        <v>0</v>
      </c>
      <c r="R42" s="8">
        <f>IFERROR(Q42/Q444, "NA")</f>
        <v>0</v>
      </c>
      <c r="S42" s="9"/>
      <c r="T42" s="7">
        <v>0</v>
      </c>
      <c r="U42" s="8">
        <f>IFERROR(T42/T444, "NA")</f>
        <v>0</v>
      </c>
      <c r="V42" s="9"/>
      <c r="W42" s="10">
        <f>IFERROR(Q42-T42, "NA")</f>
        <v>0</v>
      </c>
      <c r="X42" s="8">
        <f>IFERROR(W42/W444, "NA")</f>
        <v>0</v>
      </c>
      <c r="Y42" s="9"/>
      <c r="Z42" s="7">
        <v>0</v>
      </c>
      <c r="AA42" s="8">
        <f>IFERROR(Z42/Z444, "NA")</f>
        <v>0</v>
      </c>
      <c r="AB42" s="9"/>
      <c r="AC42" s="10">
        <f>IFERROR(Q42-Z42, "NA")</f>
        <v>0</v>
      </c>
      <c r="AD42" s="8">
        <f>IFERROR(AC42/AC444, "NA")</f>
        <v>0</v>
      </c>
    </row>
    <row r="43" spans="1:30" ht="16.5" customHeight="1" x14ac:dyDescent="0.45">
      <c r="A43" s="12" t="s">
        <v>42</v>
      </c>
      <c r="B43" s="7">
        <v>4191.07</v>
      </c>
      <c r="C43" s="8">
        <f>IFERROR(B43/B444, "NA")</f>
        <v>3.643911222554834E-2</v>
      </c>
      <c r="D43" s="9"/>
      <c r="E43" s="7">
        <v>0</v>
      </c>
      <c r="F43" s="8">
        <f>IFERROR(E43/E444, "NA")</f>
        <v>0</v>
      </c>
      <c r="G43" s="9"/>
      <c r="H43" s="10">
        <f>IFERROR(B43-E43, "NA")</f>
        <v>4191.07</v>
      </c>
      <c r="I43" s="8">
        <f>IFERROR(H43/H444, "NA")</f>
        <v>-0.22547532751479329</v>
      </c>
      <c r="J43" s="9"/>
      <c r="K43" s="7">
        <v>0</v>
      </c>
      <c r="L43" s="8">
        <f>IFERROR(K43/K444, "NA")</f>
        <v>0</v>
      </c>
      <c r="M43" s="9"/>
      <c r="N43" s="10">
        <f>IFERROR(B43-K43, "NA")</f>
        <v>4191.07</v>
      </c>
      <c r="O43" s="8">
        <f>IFERROR(N43/N444, "NA")</f>
        <v>2.3381665420706841</v>
      </c>
      <c r="P43" s="9"/>
      <c r="Q43" s="7">
        <v>21455.26</v>
      </c>
      <c r="R43" s="8">
        <f>IFERROR(Q43/Q444, "NA")</f>
        <v>3.8604752100127947E-2</v>
      </c>
      <c r="S43" s="9"/>
      <c r="T43" s="7">
        <v>0</v>
      </c>
      <c r="U43" s="8">
        <f>IFERROR(T43/T444, "NA")</f>
        <v>0</v>
      </c>
      <c r="V43" s="9"/>
      <c r="W43" s="10">
        <f>IFERROR(Q43-T43, "NA")</f>
        <v>21455.26</v>
      </c>
      <c r="X43" s="8">
        <f>IFERROR(W43/W444, "NA")</f>
        <v>-1.7049620907802825</v>
      </c>
      <c r="Y43" s="9"/>
      <c r="Z43" s="7">
        <v>0</v>
      </c>
      <c r="AA43" s="8">
        <f>IFERROR(Z43/Z444, "NA")</f>
        <v>0</v>
      </c>
      <c r="AB43" s="9"/>
      <c r="AC43" s="10">
        <f>IFERROR(Q43-Z43, "NA")</f>
        <v>21455.26</v>
      </c>
      <c r="AD43" s="8">
        <f>IFERROR(AC43/AC444, "NA")</f>
        <v>0.33845524305066982</v>
      </c>
    </row>
    <row r="44" spans="1:30" ht="16.5" hidden="1" customHeight="1" x14ac:dyDescent="0.45">
      <c r="A44" s="12" t="s">
        <v>43</v>
      </c>
      <c r="B44" s="7">
        <v>0</v>
      </c>
      <c r="C44" s="8">
        <f>IFERROR(B44/B444, "NA")</f>
        <v>0</v>
      </c>
      <c r="D44" s="9"/>
      <c r="E44" s="7">
        <v>0</v>
      </c>
      <c r="F44" s="8">
        <f>IFERROR(E44/E444, "NA")</f>
        <v>0</v>
      </c>
      <c r="G44" s="9"/>
      <c r="H44" s="10">
        <f>IFERROR(B44-E44, "NA")</f>
        <v>0</v>
      </c>
      <c r="I44" s="8">
        <f>IFERROR(H44/H444, "NA")</f>
        <v>0</v>
      </c>
      <c r="J44" s="9"/>
      <c r="K44" s="7">
        <v>0</v>
      </c>
      <c r="L44" s="8">
        <f>IFERROR(K44/K444, "NA")</f>
        <v>0</v>
      </c>
      <c r="M44" s="9"/>
      <c r="N44" s="10">
        <f>IFERROR(B44-K44, "NA")</f>
        <v>0</v>
      </c>
      <c r="O44" s="8">
        <f>IFERROR(N44/N444, "NA")</f>
        <v>0</v>
      </c>
      <c r="P44" s="9"/>
      <c r="Q44" s="7">
        <v>0</v>
      </c>
      <c r="R44" s="8">
        <f>IFERROR(Q44/Q444, "NA")</f>
        <v>0</v>
      </c>
      <c r="S44" s="9"/>
      <c r="T44" s="7">
        <v>0</v>
      </c>
      <c r="U44" s="8">
        <f>IFERROR(T44/T444, "NA")</f>
        <v>0</v>
      </c>
      <c r="V44" s="9"/>
      <c r="W44" s="10">
        <f>IFERROR(Q44-T44, "NA")</f>
        <v>0</v>
      </c>
      <c r="X44" s="8">
        <f>IFERROR(W44/W444, "NA")</f>
        <v>0</v>
      </c>
      <c r="Y44" s="9"/>
      <c r="Z44" s="7">
        <v>0</v>
      </c>
      <c r="AA44" s="8">
        <f>IFERROR(Z44/Z444, "NA")</f>
        <v>0</v>
      </c>
      <c r="AB44" s="9"/>
      <c r="AC44" s="10">
        <f>IFERROR(Q44-Z44, "NA")</f>
        <v>0</v>
      </c>
      <c r="AD44" s="8">
        <f>IFERROR(AC44/AC444, "NA")</f>
        <v>0</v>
      </c>
    </row>
    <row r="45" spans="1:30" ht="16.5" customHeight="1" x14ac:dyDescent="0.45">
      <c r="A45" s="16" t="s">
        <v>44</v>
      </c>
      <c r="B45" s="2"/>
      <c r="C45" s="3"/>
      <c r="D45" s="4"/>
      <c r="E45" s="2"/>
      <c r="F45" s="3"/>
      <c r="G45" s="4"/>
      <c r="H45" s="2"/>
      <c r="I45" s="3"/>
      <c r="J45" s="4"/>
      <c r="K45" s="2"/>
      <c r="L45" s="3"/>
      <c r="M45" s="4"/>
      <c r="N45" s="2"/>
      <c r="O45" s="3"/>
      <c r="P45" s="4"/>
      <c r="Q45" s="2"/>
      <c r="R45" s="3"/>
      <c r="S45" s="4"/>
      <c r="T45" s="2"/>
      <c r="U45" s="3"/>
      <c r="V45" s="4"/>
      <c r="W45" s="2"/>
      <c r="X45" s="3"/>
      <c r="Y45" s="4"/>
      <c r="Z45" s="2"/>
      <c r="AA45" s="3"/>
      <c r="AB45" s="4"/>
      <c r="AC45" s="2"/>
      <c r="AD45" s="3"/>
    </row>
    <row r="46" spans="1:30" ht="16.5" customHeight="1" x14ac:dyDescent="0.45">
      <c r="A46" s="17" t="s">
        <v>44</v>
      </c>
      <c r="B46" s="7">
        <v>0</v>
      </c>
      <c r="C46" s="8">
        <f>IFERROR(B46/B444, "NA")</f>
        <v>0</v>
      </c>
      <c r="D46" s="9"/>
      <c r="E46" s="7">
        <v>26319.87</v>
      </c>
      <c r="F46" s="8">
        <f>IFERROR(E46/E444, "NA")</f>
        <v>0.19699998675183514</v>
      </c>
      <c r="G46" s="9"/>
      <c r="H46" s="10">
        <f t="shared" ref="H46:H62" si="12">IFERROR(B46-E46, "NA")</f>
        <v>-26319.87</v>
      </c>
      <c r="I46" s="8">
        <f>IFERROR(H46/H444, "NA")</f>
        <v>1.4159823883630631</v>
      </c>
      <c r="J46" s="9"/>
      <c r="K46" s="7">
        <v>0</v>
      </c>
      <c r="L46" s="8">
        <f>IFERROR(K46/K444, "NA")</f>
        <v>0</v>
      </c>
      <c r="M46" s="9"/>
      <c r="N46" s="10">
        <f t="shared" ref="N46:N62" si="13">IFERROR(B46-K46, "NA")</f>
        <v>0</v>
      </c>
      <c r="O46" s="8">
        <f>IFERROR(N46/N444, "NA")</f>
        <v>0</v>
      </c>
      <c r="P46" s="9"/>
      <c r="Q46" s="7">
        <v>0</v>
      </c>
      <c r="R46" s="8">
        <f>IFERROR(Q46/Q444, "NA")</f>
        <v>0</v>
      </c>
      <c r="S46" s="9"/>
      <c r="T46" s="7">
        <v>111965.22</v>
      </c>
      <c r="U46" s="8">
        <f>IFERROR(T46/T444, "NA")</f>
        <v>0.19700001059203978</v>
      </c>
      <c r="V46" s="9"/>
      <c r="W46" s="10">
        <f t="shared" ref="W46:W62" si="14">IFERROR(Q46-T46, "NA")</f>
        <v>-111965.22</v>
      </c>
      <c r="X46" s="8">
        <f>IFERROR(W46/W444, "NA")</f>
        <v>8.8974198208679045</v>
      </c>
      <c r="Y46" s="9"/>
      <c r="Z46" s="7">
        <v>0</v>
      </c>
      <c r="AA46" s="8">
        <f>IFERROR(Z46/Z444, "NA")</f>
        <v>0</v>
      </c>
      <c r="AB46" s="9"/>
      <c r="AC46" s="10">
        <f t="shared" ref="AC46:AC62" si="15">IFERROR(Q46-Z46, "NA")</f>
        <v>0</v>
      </c>
      <c r="AD46" s="8">
        <f>IFERROR(AC46/AC444, "NA")</f>
        <v>0</v>
      </c>
    </row>
    <row r="47" spans="1:30" ht="16.5" hidden="1" customHeight="1" x14ac:dyDescent="0.45">
      <c r="A47" s="17" t="s">
        <v>45</v>
      </c>
      <c r="B47" s="7">
        <v>0</v>
      </c>
      <c r="C47" s="8">
        <f>IFERROR(B47/B444, "NA")</f>
        <v>0</v>
      </c>
      <c r="D47" s="9"/>
      <c r="E47" s="7">
        <v>0</v>
      </c>
      <c r="F47" s="8">
        <f>IFERROR(E47/E444, "NA")</f>
        <v>0</v>
      </c>
      <c r="G47" s="9"/>
      <c r="H47" s="10">
        <f t="shared" si="12"/>
        <v>0</v>
      </c>
      <c r="I47" s="8">
        <f>IFERROR(H47/H444, "NA")</f>
        <v>0</v>
      </c>
      <c r="J47" s="9"/>
      <c r="K47" s="7">
        <v>0</v>
      </c>
      <c r="L47" s="8">
        <f>IFERROR(K47/K444, "NA")</f>
        <v>0</v>
      </c>
      <c r="M47" s="9"/>
      <c r="N47" s="10">
        <f t="shared" si="13"/>
        <v>0</v>
      </c>
      <c r="O47" s="8">
        <f>IFERROR(N47/N444, "NA")</f>
        <v>0</v>
      </c>
      <c r="P47" s="9"/>
      <c r="Q47" s="7">
        <v>0</v>
      </c>
      <c r="R47" s="8">
        <f>IFERROR(Q47/Q444, "NA")</f>
        <v>0</v>
      </c>
      <c r="S47" s="9"/>
      <c r="T47" s="7">
        <v>0</v>
      </c>
      <c r="U47" s="8">
        <f>IFERROR(T47/T444, "NA")</f>
        <v>0</v>
      </c>
      <c r="V47" s="9"/>
      <c r="W47" s="10">
        <f t="shared" si="14"/>
        <v>0</v>
      </c>
      <c r="X47" s="8">
        <f>IFERROR(W47/W444, "NA")</f>
        <v>0</v>
      </c>
      <c r="Y47" s="9"/>
      <c r="Z47" s="7">
        <v>0</v>
      </c>
      <c r="AA47" s="8">
        <f>IFERROR(Z47/Z444, "NA")</f>
        <v>0</v>
      </c>
      <c r="AB47" s="9"/>
      <c r="AC47" s="10">
        <f t="shared" si="15"/>
        <v>0</v>
      </c>
      <c r="AD47" s="8">
        <f>IFERROR(AC47/AC444, "NA")</f>
        <v>0</v>
      </c>
    </row>
    <row r="48" spans="1:30" ht="16.5" customHeight="1" x14ac:dyDescent="0.45">
      <c r="A48" s="17" t="s">
        <v>46</v>
      </c>
      <c r="B48" s="7">
        <v>24541.02</v>
      </c>
      <c r="C48" s="8">
        <f>IFERROR(B48/B444, "NA")</f>
        <v>0.21337104412701918</v>
      </c>
      <c r="D48" s="9"/>
      <c r="E48" s="7">
        <v>0</v>
      </c>
      <c r="F48" s="8">
        <f>IFERROR(E48/E444, "NA")</f>
        <v>0</v>
      </c>
      <c r="G48" s="9"/>
      <c r="H48" s="10">
        <f t="shared" si="12"/>
        <v>24541.02</v>
      </c>
      <c r="I48" s="8">
        <f>IFERROR(H48/H444, "NA")</f>
        <v>-1.3202820573378857</v>
      </c>
      <c r="J48" s="9"/>
      <c r="K48" s="7">
        <v>28986.29</v>
      </c>
      <c r="L48" s="8">
        <f>IFERROR(K48/K444, "NA")</f>
        <v>0.25601007355027111</v>
      </c>
      <c r="M48" s="9"/>
      <c r="N48" s="10">
        <f t="shared" si="13"/>
        <v>-4445.2700000000004</v>
      </c>
      <c r="O48" s="8">
        <f>IFERROR(N48/N444, "NA")</f>
        <v>-2.4799828169108493</v>
      </c>
      <c r="P48" s="9"/>
      <c r="Q48" s="7">
        <v>84795.8</v>
      </c>
      <c r="R48" s="8">
        <f>IFERROR(Q48/Q444, "NA")</f>
        <v>0.15257427960006215</v>
      </c>
      <c r="S48" s="9"/>
      <c r="T48" s="7">
        <v>0</v>
      </c>
      <c r="U48" s="8">
        <f>IFERROR(T48/T444, "NA")</f>
        <v>0</v>
      </c>
      <c r="V48" s="9"/>
      <c r="W48" s="10">
        <f t="shared" si="14"/>
        <v>84795.8</v>
      </c>
      <c r="X48" s="8">
        <f>IFERROR(W48/W444, "NA")</f>
        <v>-6.7383767177553056</v>
      </c>
      <c r="Y48" s="9"/>
      <c r="Z48" s="7">
        <v>90573.84</v>
      </c>
      <c r="AA48" s="8">
        <f>IFERROR(Z48/Z444, "NA")</f>
        <v>0.18395273478310592</v>
      </c>
      <c r="AB48" s="9"/>
      <c r="AC48" s="10">
        <f t="shared" si="15"/>
        <v>-5778.0399999999936</v>
      </c>
      <c r="AD48" s="8">
        <f>IFERROR(AC48/AC444, "NA")</f>
        <v>-9.1148181497520436E-2</v>
      </c>
    </row>
    <row r="49" spans="1:30" ht="16.5" customHeight="1" x14ac:dyDescent="0.45">
      <c r="A49" s="17" t="s">
        <v>47</v>
      </c>
      <c r="B49" s="7">
        <v>0</v>
      </c>
      <c r="C49" s="8">
        <f>IFERROR(B49/B444, "NA")</f>
        <v>0</v>
      </c>
      <c r="D49" s="9"/>
      <c r="E49" s="7">
        <v>0</v>
      </c>
      <c r="F49" s="8">
        <f>IFERROR(E49/E444, "NA")</f>
        <v>0</v>
      </c>
      <c r="G49" s="9"/>
      <c r="H49" s="10">
        <f t="shared" si="12"/>
        <v>0</v>
      </c>
      <c r="I49" s="8">
        <f>IFERROR(H49/H444, "NA")</f>
        <v>0</v>
      </c>
      <c r="J49" s="9"/>
      <c r="K49" s="7">
        <v>0</v>
      </c>
      <c r="L49" s="8">
        <f>IFERROR(K49/K444, "NA")</f>
        <v>0</v>
      </c>
      <c r="M49" s="9"/>
      <c r="N49" s="10">
        <f t="shared" si="13"/>
        <v>0</v>
      </c>
      <c r="O49" s="8">
        <f>IFERROR(N49/N444, "NA")</f>
        <v>0</v>
      </c>
      <c r="P49" s="9"/>
      <c r="Q49" s="7">
        <v>12.85</v>
      </c>
      <c r="R49" s="8">
        <f>IFERROR(Q49/Q444, "NA")</f>
        <v>2.3121186342493361E-5</v>
      </c>
      <c r="S49" s="9"/>
      <c r="T49" s="7">
        <v>0</v>
      </c>
      <c r="U49" s="8">
        <f>IFERROR(T49/T444, "NA")</f>
        <v>0</v>
      </c>
      <c r="V49" s="9"/>
      <c r="W49" s="10">
        <f t="shared" si="14"/>
        <v>12.85</v>
      </c>
      <c r="X49" s="8">
        <f>IFERROR(W49/W444, "NA")</f>
        <v>-1.0211371414994099E-3</v>
      </c>
      <c r="Y49" s="9"/>
      <c r="Z49" s="7">
        <v>0</v>
      </c>
      <c r="AA49" s="8">
        <f>IFERROR(Z49/Z444, "NA")</f>
        <v>0</v>
      </c>
      <c r="AB49" s="9"/>
      <c r="AC49" s="10">
        <f t="shared" si="15"/>
        <v>12.85</v>
      </c>
      <c r="AD49" s="8">
        <f>IFERROR(AC49/AC444, "NA")</f>
        <v>2.02707861531443E-4</v>
      </c>
    </row>
    <row r="50" spans="1:30" ht="16.5" hidden="1" customHeight="1" x14ac:dyDescent="0.45">
      <c r="A50" s="17" t="s">
        <v>48</v>
      </c>
      <c r="B50" s="7">
        <v>0</v>
      </c>
      <c r="C50" s="8">
        <f>IFERROR(B50/B444, "NA")</f>
        <v>0</v>
      </c>
      <c r="D50" s="9"/>
      <c r="E50" s="7">
        <v>0</v>
      </c>
      <c r="F50" s="8">
        <f>IFERROR(E50/E444, "NA")</f>
        <v>0</v>
      </c>
      <c r="G50" s="9"/>
      <c r="H50" s="10">
        <f t="shared" si="12"/>
        <v>0</v>
      </c>
      <c r="I50" s="8">
        <f>IFERROR(H50/H444, "NA")</f>
        <v>0</v>
      </c>
      <c r="J50" s="9"/>
      <c r="K50" s="7">
        <v>0</v>
      </c>
      <c r="L50" s="8">
        <f>IFERROR(K50/K444, "NA")</f>
        <v>0</v>
      </c>
      <c r="M50" s="9"/>
      <c r="N50" s="10">
        <f t="shared" si="13"/>
        <v>0</v>
      </c>
      <c r="O50" s="8">
        <f>IFERROR(N50/N444, "NA")</f>
        <v>0</v>
      </c>
      <c r="P50" s="9"/>
      <c r="Q50" s="7">
        <v>0</v>
      </c>
      <c r="R50" s="8">
        <f>IFERROR(Q50/Q444, "NA")</f>
        <v>0</v>
      </c>
      <c r="S50" s="9"/>
      <c r="T50" s="7">
        <v>0</v>
      </c>
      <c r="U50" s="8">
        <f>IFERROR(T50/T444, "NA")</f>
        <v>0</v>
      </c>
      <c r="V50" s="9"/>
      <c r="W50" s="10">
        <f t="shared" si="14"/>
        <v>0</v>
      </c>
      <c r="X50" s="8">
        <f>IFERROR(W50/W444, "NA")</f>
        <v>0</v>
      </c>
      <c r="Y50" s="9"/>
      <c r="Z50" s="7">
        <v>0</v>
      </c>
      <c r="AA50" s="8">
        <f>IFERROR(Z50/Z444, "NA")</f>
        <v>0</v>
      </c>
      <c r="AB50" s="9"/>
      <c r="AC50" s="10">
        <f t="shared" si="15"/>
        <v>0</v>
      </c>
      <c r="AD50" s="8">
        <f>IFERROR(AC50/AC444, "NA")</f>
        <v>0</v>
      </c>
    </row>
    <row r="51" spans="1:30" ht="16.5" hidden="1" customHeight="1" x14ac:dyDescent="0.45">
      <c r="A51" s="17" t="s">
        <v>49</v>
      </c>
      <c r="B51" s="7">
        <v>0</v>
      </c>
      <c r="C51" s="8">
        <f>IFERROR(B51/B444, "NA")</f>
        <v>0</v>
      </c>
      <c r="D51" s="9"/>
      <c r="E51" s="7">
        <v>0</v>
      </c>
      <c r="F51" s="8">
        <f>IFERROR(E51/E444, "NA")</f>
        <v>0</v>
      </c>
      <c r="G51" s="9"/>
      <c r="H51" s="10">
        <f t="shared" si="12"/>
        <v>0</v>
      </c>
      <c r="I51" s="8">
        <f>IFERROR(H51/H444, "NA")</f>
        <v>0</v>
      </c>
      <c r="J51" s="9"/>
      <c r="K51" s="7">
        <v>0</v>
      </c>
      <c r="L51" s="8">
        <f>IFERROR(K51/K444, "NA")</f>
        <v>0</v>
      </c>
      <c r="M51" s="9"/>
      <c r="N51" s="10">
        <f t="shared" si="13"/>
        <v>0</v>
      </c>
      <c r="O51" s="8">
        <f>IFERROR(N51/N444, "NA")</f>
        <v>0</v>
      </c>
      <c r="P51" s="9"/>
      <c r="Q51" s="7">
        <v>0</v>
      </c>
      <c r="R51" s="8">
        <f>IFERROR(Q51/Q444, "NA")</f>
        <v>0</v>
      </c>
      <c r="S51" s="9"/>
      <c r="T51" s="7">
        <v>0</v>
      </c>
      <c r="U51" s="8">
        <f>IFERROR(T51/T444, "NA")</f>
        <v>0</v>
      </c>
      <c r="V51" s="9"/>
      <c r="W51" s="10">
        <f t="shared" si="14"/>
        <v>0</v>
      </c>
      <c r="X51" s="8">
        <f>IFERROR(W51/W444, "NA")</f>
        <v>0</v>
      </c>
      <c r="Y51" s="9"/>
      <c r="Z51" s="7">
        <v>0</v>
      </c>
      <c r="AA51" s="8">
        <f>IFERROR(Z51/Z444, "NA")</f>
        <v>0</v>
      </c>
      <c r="AB51" s="9"/>
      <c r="AC51" s="10">
        <f t="shared" si="15"/>
        <v>0</v>
      </c>
      <c r="AD51" s="8">
        <f>IFERROR(AC51/AC444, "NA")</f>
        <v>0</v>
      </c>
    </row>
    <row r="52" spans="1:30" ht="16.5" hidden="1" customHeight="1" x14ac:dyDescent="0.45">
      <c r="A52" s="17" t="s">
        <v>50</v>
      </c>
      <c r="B52" s="7">
        <v>0</v>
      </c>
      <c r="C52" s="8">
        <f>IFERROR(B52/B444, "NA")</f>
        <v>0</v>
      </c>
      <c r="D52" s="9"/>
      <c r="E52" s="7">
        <v>0</v>
      </c>
      <c r="F52" s="8">
        <f>IFERROR(E52/E444, "NA")</f>
        <v>0</v>
      </c>
      <c r="G52" s="9"/>
      <c r="H52" s="10">
        <f t="shared" si="12"/>
        <v>0</v>
      </c>
      <c r="I52" s="8">
        <f>IFERROR(H52/H444, "NA")</f>
        <v>0</v>
      </c>
      <c r="J52" s="9"/>
      <c r="K52" s="7">
        <v>0</v>
      </c>
      <c r="L52" s="8">
        <f>IFERROR(K52/K444, "NA")</f>
        <v>0</v>
      </c>
      <c r="M52" s="9"/>
      <c r="N52" s="10">
        <f t="shared" si="13"/>
        <v>0</v>
      </c>
      <c r="O52" s="8">
        <f>IFERROR(N52/N444, "NA")</f>
        <v>0</v>
      </c>
      <c r="P52" s="9"/>
      <c r="Q52" s="7">
        <v>0</v>
      </c>
      <c r="R52" s="8">
        <f>IFERROR(Q52/Q444, "NA")</f>
        <v>0</v>
      </c>
      <c r="S52" s="9"/>
      <c r="T52" s="7">
        <v>0</v>
      </c>
      <c r="U52" s="8">
        <f>IFERROR(T52/T444, "NA")</f>
        <v>0</v>
      </c>
      <c r="V52" s="9"/>
      <c r="W52" s="10">
        <f t="shared" si="14"/>
        <v>0</v>
      </c>
      <c r="X52" s="8">
        <f>IFERROR(W52/W444, "NA")</f>
        <v>0</v>
      </c>
      <c r="Y52" s="9"/>
      <c r="Z52" s="7">
        <v>0</v>
      </c>
      <c r="AA52" s="8">
        <f>IFERROR(Z52/Z444, "NA")</f>
        <v>0</v>
      </c>
      <c r="AB52" s="9"/>
      <c r="AC52" s="10">
        <f t="shared" si="15"/>
        <v>0</v>
      </c>
      <c r="AD52" s="8">
        <f>IFERROR(AC52/AC444, "NA")</f>
        <v>0</v>
      </c>
    </row>
    <row r="53" spans="1:30" ht="16.5" hidden="1" customHeight="1" x14ac:dyDescent="0.45">
      <c r="A53" s="17" t="s">
        <v>51</v>
      </c>
      <c r="B53" s="7">
        <v>0</v>
      </c>
      <c r="C53" s="8">
        <f>IFERROR(B53/B444, "NA")</f>
        <v>0</v>
      </c>
      <c r="D53" s="9"/>
      <c r="E53" s="7">
        <v>0</v>
      </c>
      <c r="F53" s="8">
        <f>IFERROR(E53/E444, "NA")</f>
        <v>0</v>
      </c>
      <c r="G53" s="9"/>
      <c r="H53" s="10">
        <f t="shared" si="12"/>
        <v>0</v>
      </c>
      <c r="I53" s="8">
        <f>IFERROR(H53/H444, "NA")</f>
        <v>0</v>
      </c>
      <c r="J53" s="9"/>
      <c r="K53" s="7">
        <v>0</v>
      </c>
      <c r="L53" s="8">
        <f>IFERROR(K53/K444, "NA")</f>
        <v>0</v>
      </c>
      <c r="M53" s="9"/>
      <c r="N53" s="10">
        <f t="shared" si="13"/>
        <v>0</v>
      </c>
      <c r="O53" s="8">
        <f>IFERROR(N53/N444, "NA")</f>
        <v>0</v>
      </c>
      <c r="P53" s="9"/>
      <c r="Q53" s="7">
        <v>0</v>
      </c>
      <c r="R53" s="8">
        <f>IFERROR(Q53/Q444, "NA")</f>
        <v>0</v>
      </c>
      <c r="S53" s="9"/>
      <c r="T53" s="7">
        <v>0</v>
      </c>
      <c r="U53" s="8">
        <f>IFERROR(T53/T444, "NA")</f>
        <v>0</v>
      </c>
      <c r="V53" s="9"/>
      <c r="W53" s="10">
        <f t="shared" si="14"/>
        <v>0</v>
      </c>
      <c r="X53" s="8">
        <f>IFERROR(W53/W444, "NA")</f>
        <v>0</v>
      </c>
      <c r="Y53" s="9"/>
      <c r="Z53" s="7">
        <v>0</v>
      </c>
      <c r="AA53" s="8">
        <f>IFERROR(Z53/Z444, "NA")</f>
        <v>0</v>
      </c>
      <c r="AB53" s="9"/>
      <c r="AC53" s="10">
        <f t="shared" si="15"/>
        <v>0</v>
      </c>
      <c r="AD53" s="8">
        <f>IFERROR(AC53/AC444, "NA")</f>
        <v>0</v>
      </c>
    </row>
    <row r="54" spans="1:30" ht="16.5" customHeight="1" x14ac:dyDescent="0.45">
      <c r="A54" s="17" t="s">
        <v>52</v>
      </c>
      <c r="B54" s="7">
        <v>0</v>
      </c>
      <c r="C54" s="8">
        <f>IFERROR(B54/B444, "NA")</f>
        <v>0</v>
      </c>
      <c r="D54" s="9"/>
      <c r="E54" s="7">
        <v>0</v>
      </c>
      <c r="F54" s="8">
        <f>IFERROR(E54/E444, "NA")</f>
        <v>0</v>
      </c>
      <c r="G54" s="9"/>
      <c r="H54" s="10">
        <f t="shared" si="12"/>
        <v>0</v>
      </c>
      <c r="I54" s="8">
        <f>IFERROR(H54/H444, "NA")</f>
        <v>0</v>
      </c>
      <c r="J54" s="9"/>
      <c r="K54" s="7">
        <v>0</v>
      </c>
      <c r="L54" s="8">
        <f>IFERROR(K54/K444, "NA")</f>
        <v>0</v>
      </c>
      <c r="M54" s="9"/>
      <c r="N54" s="10">
        <f t="shared" si="13"/>
        <v>0</v>
      </c>
      <c r="O54" s="8">
        <f>IFERROR(N54/N444, "NA")</f>
        <v>0</v>
      </c>
      <c r="P54" s="9"/>
      <c r="Q54" s="7">
        <v>23.3</v>
      </c>
      <c r="R54" s="8">
        <f>IFERROR(Q54/Q444, "NA")</f>
        <v>4.1924018815571619E-5</v>
      </c>
      <c r="S54" s="9"/>
      <c r="T54" s="7">
        <v>0</v>
      </c>
      <c r="U54" s="8">
        <f>IFERROR(T54/T444, "NA")</f>
        <v>0</v>
      </c>
      <c r="V54" s="9"/>
      <c r="W54" s="10">
        <f t="shared" si="14"/>
        <v>23.3</v>
      </c>
      <c r="X54" s="8">
        <f>IFERROR(W54/W444, "NA")</f>
        <v>-1.8515560620183855E-3</v>
      </c>
      <c r="Y54" s="9"/>
      <c r="Z54" s="7">
        <v>0</v>
      </c>
      <c r="AA54" s="8">
        <f>IFERROR(Z54/Z444, "NA")</f>
        <v>0</v>
      </c>
      <c r="AB54" s="9"/>
      <c r="AC54" s="10">
        <f t="shared" si="15"/>
        <v>23.3</v>
      </c>
      <c r="AD54" s="8">
        <f>IFERROR(AC54/AC444, "NA")</f>
        <v>3.6755588900253867E-4</v>
      </c>
    </row>
    <row r="55" spans="1:30" ht="16.5" customHeight="1" x14ac:dyDescent="0.45">
      <c r="A55" s="17" t="s">
        <v>53</v>
      </c>
      <c r="B55" s="7">
        <v>10</v>
      </c>
      <c r="C55" s="8">
        <f>IFERROR(B55/B444, "NA")</f>
        <v>8.6944651904044404E-5</v>
      </c>
      <c r="D55" s="9"/>
      <c r="E55" s="7">
        <v>0</v>
      </c>
      <c r="F55" s="8">
        <f>IFERROR(E55/E444, "NA")</f>
        <v>0</v>
      </c>
      <c r="G55" s="9"/>
      <c r="H55" s="10">
        <f t="shared" si="12"/>
        <v>10</v>
      </c>
      <c r="I55" s="8">
        <f>IFERROR(H55/H444, "NA")</f>
        <v>-5.3798988686610649E-4</v>
      </c>
      <c r="J55" s="9"/>
      <c r="K55" s="7">
        <v>0</v>
      </c>
      <c r="L55" s="8">
        <f>IFERROR(K55/K444, "NA")</f>
        <v>0</v>
      </c>
      <c r="M55" s="9"/>
      <c r="N55" s="10">
        <f t="shared" si="13"/>
        <v>10</v>
      </c>
      <c r="O55" s="8">
        <f>IFERROR(N55/N444, "NA")</f>
        <v>5.5789250527208669E-3</v>
      </c>
      <c r="P55" s="9"/>
      <c r="Q55" s="7">
        <v>35.75</v>
      </c>
      <c r="R55" s="8">
        <f>IFERROR(Q55/Q444, "NA")</f>
        <v>6.4325479513162458E-5</v>
      </c>
      <c r="S55" s="9"/>
      <c r="T55" s="7">
        <v>0</v>
      </c>
      <c r="U55" s="8">
        <f>IFERROR(T55/T444, "NA")</f>
        <v>0</v>
      </c>
      <c r="V55" s="9"/>
      <c r="W55" s="10">
        <f t="shared" si="14"/>
        <v>35.75</v>
      </c>
      <c r="X55" s="8">
        <f>IFERROR(W55/W444, "NA")</f>
        <v>-2.8409068333543896E-3</v>
      </c>
      <c r="Y55" s="9"/>
      <c r="Z55" s="7">
        <v>0</v>
      </c>
      <c r="AA55" s="8">
        <f>IFERROR(Z55/Z444, "NA")</f>
        <v>0</v>
      </c>
      <c r="AB55" s="9"/>
      <c r="AC55" s="10">
        <f t="shared" si="15"/>
        <v>35.75</v>
      </c>
      <c r="AD55" s="8">
        <f>IFERROR(AC55/AC444, "NA")</f>
        <v>5.6395377819059048E-4</v>
      </c>
    </row>
    <row r="56" spans="1:30" ht="16.5" customHeight="1" x14ac:dyDescent="0.45">
      <c r="A56" s="17" t="s">
        <v>54</v>
      </c>
      <c r="B56" s="7">
        <v>16</v>
      </c>
      <c r="C56" s="8">
        <f>IFERROR(B56/B444, "NA")</f>
        <v>1.3911144304647104E-4</v>
      </c>
      <c r="D56" s="9"/>
      <c r="E56" s="7">
        <v>0</v>
      </c>
      <c r="F56" s="8">
        <f>IFERROR(E56/E444, "NA")</f>
        <v>0</v>
      </c>
      <c r="G56" s="9"/>
      <c r="H56" s="10">
        <f t="shared" si="12"/>
        <v>16</v>
      </c>
      <c r="I56" s="8">
        <f>IFERROR(H56/H444, "NA")</f>
        <v>-8.6078381898577042E-4</v>
      </c>
      <c r="J56" s="9"/>
      <c r="K56" s="7">
        <v>0</v>
      </c>
      <c r="L56" s="8">
        <f>IFERROR(K56/K444, "NA")</f>
        <v>0</v>
      </c>
      <c r="M56" s="9"/>
      <c r="N56" s="10">
        <f t="shared" si="13"/>
        <v>16</v>
      </c>
      <c r="O56" s="8">
        <f>IFERROR(N56/N444, "NA")</f>
        <v>8.9262800843533871E-3</v>
      </c>
      <c r="P56" s="9"/>
      <c r="Q56" s="7">
        <v>56.2</v>
      </c>
      <c r="R56" s="8">
        <f>IFERROR(Q56/Q444, "NA")</f>
        <v>1.0112145310880366E-4</v>
      </c>
      <c r="S56" s="9"/>
      <c r="T56" s="7">
        <v>0</v>
      </c>
      <c r="U56" s="8">
        <f>IFERROR(T56/T444, "NA")</f>
        <v>0</v>
      </c>
      <c r="V56" s="9"/>
      <c r="W56" s="10">
        <f t="shared" si="14"/>
        <v>56.2</v>
      </c>
      <c r="X56" s="8">
        <f>IFERROR(W56/W444, "NA")</f>
        <v>-4.4659850079585093E-3</v>
      </c>
      <c r="Y56" s="9"/>
      <c r="Z56" s="7">
        <v>0</v>
      </c>
      <c r="AA56" s="8">
        <f>IFERROR(Z56/Z444, "NA")</f>
        <v>0</v>
      </c>
      <c r="AB56" s="9"/>
      <c r="AC56" s="10">
        <f t="shared" si="15"/>
        <v>56.2</v>
      </c>
      <c r="AD56" s="8">
        <f>IFERROR(AC56/AC444, "NA")</f>
        <v>8.8655111424646674E-4</v>
      </c>
    </row>
    <row r="57" spans="1:30" ht="16.5" hidden="1" customHeight="1" x14ac:dyDescent="0.45">
      <c r="A57" s="17" t="s">
        <v>55</v>
      </c>
      <c r="B57" s="7">
        <v>0</v>
      </c>
      <c r="C57" s="8">
        <f>IFERROR(B57/B444, "NA")</f>
        <v>0</v>
      </c>
      <c r="D57" s="9"/>
      <c r="E57" s="7">
        <v>0</v>
      </c>
      <c r="F57" s="8">
        <f>IFERROR(E57/E444, "NA")</f>
        <v>0</v>
      </c>
      <c r="G57" s="9"/>
      <c r="H57" s="10">
        <f t="shared" si="12"/>
        <v>0</v>
      </c>
      <c r="I57" s="8">
        <f>IFERROR(H57/H444, "NA")</f>
        <v>0</v>
      </c>
      <c r="J57" s="9"/>
      <c r="K57" s="7">
        <v>0</v>
      </c>
      <c r="L57" s="8">
        <f>IFERROR(K57/K444, "NA")</f>
        <v>0</v>
      </c>
      <c r="M57" s="9"/>
      <c r="N57" s="10">
        <f t="shared" si="13"/>
        <v>0</v>
      </c>
      <c r="O57" s="8">
        <f>IFERROR(N57/N444, "NA")</f>
        <v>0</v>
      </c>
      <c r="P57" s="9"/>
      <c r="Q57" s="7">
        <v>0</v>
      </c>
      <c r="R57" s="8">
        <f>IFERROR(Q57/Q444, "NA")</f>
        <v>0</v>
      </c>
      <c r="S57" s="9"/>
      <c r="T57" s="7">
        <v>0</v>
      </c>
      <c r="U57" s="8">
        <f>IFERROR(T57/T444, "NA")</f>
        <v>0</v>
      </c>
      <c r="V57" s="9"/>
      <c r="W57" s="10">
        <f t="shared" si="14"/>
        <v>0</v>
      </c>
      <c r="X57" s="8">
        <f>IFERROR(W57/W444, "NA")</f>
        <v>0</v>
      </c>
      <c r="Y57" s="9"/>
      <c r="Z57" s="7">
        <v>0</v>
      </c>
      <c r="AA57" s="8">
        <f>IFERROR(Z57/Z444, "NA")</f>
        <v>0</v>
      </c>
      <c r="AB57" s="9"/>
      <c r="AC57" s="10">
        <f t="shared" si="15"/>
        <v>0</v>
      </c>
      <c r="AD57" s="8">
        <f>IFERROR(AC57/AC444, "NA")</f>
        <v>0</v>
      </c>
    </row>
    <row r="58" spans="1:30" ht="16.5" hidden="1" customHeight="1" x14ac:dyDescent="0.45">
      <c r="A58" s="17" t="s">
        <v>56</v>
      </c>
      <c r="B58" s="7">
        <v>0</v>
      </c>
      <c r="C58" s="8">
        <f>IFERROR(B58/B444, "NA")</f>
        <v>0</v>
      </c>
      <c r="D58" s="9"/>
      <c r="E58" s="7">
        <v>0</v>
      </c>
      <c r="F58" s="8">
        <f>IFERROR(E58/E444, "NA")</f>
        <v>0</v>
      </c>
      <c r="G58" s="9"/>
      <c r="H58" s="10">
        <f t="shared" si="12"/>
        <v>0</v>
      </c>
      <c r="I58" s="8">
        <f>IFERROR(H58/H444, "NA")</f>
        <v>0</v>
      </c>
      <c r="J58" s="9"/>
      <c r="K58" s="7">
        <v>0</v>
      </c>
      <c r="L58" s="8">
        <f>IFERROR(K58/K444, "NA")</f>
        <v>0</v>
      </c>
      <c r="M58" s="9"/>
      <c r="N58" s="10">
        <f t="shared" si="13"/>
        <v>0</v>
      </c>
      <c r="O58" s="8">
        <f>IFERROR(N58/N444, "NA")</f>
        <v>0</v>
      </c>
      <c r="P58" s="9"/>
      <c r="Q58" s="7">
        <v>0</v>
      </c>
      <c r="R58" s="8">
        <f>IFERROR(Q58/Q444, "NA")</f>
        <v>0</v>
      </c>
      <c r="S58" s="9"/>
      <c r="T58" s="7">
        <v>0</v>
      </c>
      <c r="U58" s="8">
        <f>IFERROR(T58/T444, "NA")</f>
        <v>0</v>
      </c>
      <c r="V58" s="9"/>
      <c r="W58" s="10">
        <f t="shared" si="14"/>
        <v>0</v>
      </c>
      <c r="X58" s="8">
        <f>IFERROR(W58/W444, "NA")</f>
        <v>0</v>
      </c>
      <c r="Y58" s="9"/>
      <c r="Z58" s="7">
        <v>0</v>
      </c>
      <c r="AA58" s="8">
        <f>IFERROR(Z58/Z444, "NA")</f>
        <v>0</v>
      </c>
      <c r="AB58" s="9"/>
      <c r="AC58" s="10">
        <f t="shared" si="15"/>
        <v>0</v>
      </c>
      <c r="AD58" s="8">
        <f>IFERROR(AC58/AC444, "NA")</f>
        <v>0</v>
      </c>
    </row>
    <row r="59" spans="1:30" ht="16.5" hidden="1" customHeight="1" x14ac:dyDescent="0.45">
      <c r="A59" s="17" t="s">
        <v>57</v>
      </c>
      <c r="B59" s="7">
        <v>0</v>
      </c>
      <c r="C59" s="8">
        <f>IFERROR(B59/B444, "NA")</f>
        <v>0</v>
      </c>
      <c r="D59" s="9"/>
      <c r="E59" s="7">
        <v>0</v>
      </c>
      <c r="F59" s="8">
        <f>IFERROR(E59/E444, "NA")</f>
        <v>0</v>
      </c>
      <c r="G59" s="9"/>
      <c r="H59" s="10">
        <f t="shared" si="12"/>
        <v>0</v>
      </c>
      <c r="I59" s="8">
        <f>IFERROR(H59/H444, "NA")</f>
        <v>0</v>
      </c>
      <c r="J59" s="9"/>
      <c r="K59" s="7">
        <v>0</v>
      </c>
      <c r="L59" s="8">
        <f>IFERROR(K59/K444, "NA")</f>
        <v>0</v>
      </c>
      <c r="M59" s="9"/>
      <c r="N59" s="10">
        <f t="shared" si="13"/>
        <v>0</v>
      </c>
      <c r="O59" s="8">
        <f>IFERROR(N59/N444, "NA")</f>
        <v>0</v>
      </c>
      <c r="P59" s="9"/>
      <c r="Q59" s="7">
        <v>0</v>
      </c>
      <c r="R59" s="8">
        <f>IFERROR(Q59/Q444, "NA")</f>
        <v>0</v>
      </c>
      <c r="S59" s="9"/>
      <c r="T59" s="7">
        <v>0</v>
      </c>
      <c r="U59" s="8">
        <f>IFERROR(T59/T444, "NA")</f>
        <v>0</v>
      </c>
      <c r="V59" s="9"/>
      <c r="W59" s="10">
        <f t="shared" si="14"/>
        <v>0</v>
      </c>
      <c r="X59" s="8">
        <f>IFERROR(W59/W444, "NA")</f>
        <v>0</v>
      </c>
      <c r="Y59" s="9"/>
      <c r="Z59" s="7">
        <v>0</v>
      </c>
      <c r="AA59" s="8">
        <f>IFERROR(Z59/Z444, "NA")</f>
        <v>0</v>
      </c>
      <c r="AB59" s="9"/>
      <c r="AC59" s="10">
        <f t="shared" si="15"/>
        <v>0</v>
      </c>
      <c r="AD59" s="8">
        <f>IFERROR(AC59/AC444, "NA")</f>
        <v>0</v>
      </c>
    </row>
    <row r="60" spans="1:30" ht="16.5" hidden="1" customHeight="1" x14ac:dyDescent="0.45">
      <c r="A60" s="17" t="s">
        <v>58</v>
      </c>
      <c r="B60" s="7">
        <v>0</v>
      </c>
      <c r="C60" s="8">
        <f>IFERROR(B60/B444, "NA")</f>
        <v>0</v>
      </c>
      <c r="D60" s="9"/>
      <c r="E60" s="7">
        <v>0</v>
      </c>
      <c r="F60" s="8">
        <f>IFERROR(E60/E444, "NA")</f>
        <v>0</v>
      </c>
      <c r="G60" s="9"/>
      <c r="H60" s="10">
        <f t="shared" si="12"/>
        <v>0</v>
      </c>
      <c r="I60" s="8">
        <f>IFERROR(H60/H444, "NA")</f>
        <v>0</v>
      </c>
      <c r="J60" s="9"/>
      <c r="K60" s="7">
        <v>0</v>
      </c>
      <c r="L60" s="8">
        <f>IFERROR(K60/K444, "NA")</f>
        <v>0</v>
      </c>
      <c r="M60" s="9"/>
      <c r="N60" s="10">
        <f t="shared" si="13"/>
        <v>0</v>
      </c>
      <c r="O60" s="8">
        <f>IFERROR(N60/N444, "NA")</f>
        <v>0</v>
      </c>
      <c r="P60" s="9"/>
      <c r="Q60" s="7">
        <v>0</v>
      </c>
      <c r="R60" s="8">
        <f>IFERROR(Q60/Q444, "NA")</f>
        <v>0</v>
      </c>
      <c r="S60" s="9"/>
      <c r="T60" s="7">
        <v>0</v>
      </c>
      <c r="U60" s="8">
        <f>IFERROR(T60/T444, "NA")</f>
        <v>0</v>
      </c>
      <c r="V60" s="9"/>
      <c r="W60" s="10">
        <f t="shared" si="14"/>
        <v>0</v>
      </c>
      <c r="X60" s="8">
        <f>IFERROR(W60/W444, "NA")</f>
        <v>0</v>
      </c>
      <c r="Y60" s="9"/>
      <c r="Z60" s="7">
        <v>0</v>
      </c>
      <c r="AA60" s="8">
        <f>IFERROR(Z60/Z444, "NA")</f>
        <v>0</v>
      </c>
      <c r="AB60" s="9"/>
      <c r="AC60" s="10">
        <f t="shared" si="15"/>
        <v>0</v>
      </c>
      <c r="AD60" s="8">
        <f>IFERROR(AC60/AC444, "NA")</f>
        <v>0</v>
      </c>
    </row>
    <row r="61" spans="1:30" ht="16.5" customHeight="1" x14ac:dyDescent="0.45">
      <c r="A61" s="18" t="s">
        <v>59</v>
      </c>
      <c r="B61" s="14">
        <f>IFERROR(B46+B47+B48+B49+B50+B51+B52+B53+B54+B55+B56+B57+B58+B59+B60, "NA")</f>
        <v>24567.02</v>
      </c>
      <c r="C61" s="15">
        <f>IFERROR(B61/B444, "NA")</f>
        <v>0.2135971002219697</v>
      </c>
      <c r="D61" s="2"/>
      <c r="E61" s="14">
        <f>IFERROR(E46+E47+E48+E49+E50+E51+E52+E53+E54+E55+E56+E57+E58+E59+E60, "NA")</f>
        <v>26319.87</v>
      </c>
      <c r="F61" s="15">
        <f>IFERROR(E61/E444, "NA")</f>
        <v>0.19699998675183514</v>
      </c>
      <c r="G61" s="2"/>
      <c r="H61" s="14">
        <f t="shared" si="12"/>
        <v>-1752.8499999999985</v>
      </c>
      <c r="I61" s="15">
        <f>IFERROR(H61/H444, "NA")</f>
        <v>9.4301557319325394E-2</v>
      </c>
      <c r="J61" s="2"/>
      <c r="K61" s="14">
        <f>IFERROR(K46+K47+K48+K49+K50+K51+K52+K53+K54+K55+K56+K57+K58+K59+K60, "NA")</f>
        <v>28986.29</v>
      </c>
      <c r="L61" s="15">
        <f>IFERROR(K61/K444, "NA")</f>
        <v>0.25601007355027111</v>
      </c>
      <c r="M61" s="2"/>
      <c r="N61" s="14">
        <f t="shared" si="13"/>
        <v>-4419.2700000000004</v>
      </c>
      <c r="O61" s="15">
        <f>IFERROR(N61/N444, "NA")</f>
        <v>-2.4654776117737747</v>
      </c>
      <c r="P61" s="2"/>
      <c r="Q61" s="14">
        <f>IFERROR(Q46+Q47+Q48+Q49+Q50+Q51+Q52+Q53+Q54+Q55+Q56+Q57+Q58+Q59+Q60, "NA")</f>
        <v>84923.900000000009</v>
      </c>
      <c r="R61" s="15">
        <f>IFERROR(Q61/Q444, "NA")</f>
        <v>0.15280477173784218</v>
      </c>
      <c r="S61" s="2"/>
      <c r="T61" s="14">
        <f>IFERROR(T46+T47+T48+T49+T50+T51+T52+T53+T54+T55+T56+T57+T58+T59+T60, "NA")</f>
        <v>111965.22</v>
      </c>
      <c r="U61" s="15">
        <f>IFERROR(T61/T444, "NA")</f>
        <v>0.19700001059203978</v>
      </c>
      <c r="V61" s="2"/>
      <c r="W61" s="14">
        <f t="shared" si="14"/>
        <v>-27041.319999999992</v>
      </c>
      <c r="X61" s="15">
        <f>IFERROR(W61/W444, "NA")</f>
        <v>2.1488635180677678</v>
      </c>
      <c r="Y61" s="2"/>
      <c r="Z61" s="14">
        <f>IFERROR(Z46+Z47+Z48+Z49+Z50+Z51+Z52+Z53+Z54+Z55+Z56+Z57+Z58+Z59+Z60, "NA")</f>
        <v>90573.84</v>
      </c>
      <c r="AA61" s="15">
        <f>IFERROR(Z61/Z444, "NA")</f>
        <v>0.18395273478310592</v>
      </c>
      <c r="AB61" s="2"/>
      <c r="AC61" s="14">
        <f t="shared" si="15"/>
        <v>-5649.9399999999878</v>
      </c>
      <c r="AD61" s="15">
        <f>IFERROR(AC61/AC444, "NA")</f>
        <v>-8.9127412854549309E-2</v>
      </c>
    </row>
    <row r="62" spans="1:30" ht="16.5" customHeight="1" x14ac:dyDescent="0.45">
      <c r="A62" s="13" t="s">
        <v>60</v>
      </c>
      <c r="B62" s="14">
        <f>IFERROR(B42+B43+B44+B46+B47+B48+B49+B50+B51+B52+B53+B54+B55+B56+B57+B58+B59+B60, "NA")</f>
        <v>28758.09</v>
      </c>
      <c r="C62" s="15">
        <f>IFERROR(B62/B444, "NA")</f>
        <v>0.25003621244751806</v>
      </c>
      <c r="D62" s="2"/>
      <c r="E62" s="14">
        <f>IFERROR(E42+E43+E44+E46+E47+E48+E49+E50+E51+E52+E53+E54+E55+E56+E57+E58+E59+E60, "NA")</f>
        <v>26319.87</v>
      </c>
      <c r="F62" s="15">
        <f>IFERROR(E62/E444, "NA")</f>
        <v>0.19699998675183514</v>
      </c>
      <c r="G62" s="2"/>
      <c r="H62" s="14">
        <f t="shared" si="12"/>
        <v>2438.2200000000012</v>
      </c>
      <c r="I62" s="15">
        <f>IFERROR(H62/H444, "NA")</f>
        <v>-0.13117377019546789</v>
      </c>
      <c r="J62" s="2"/>
      <c r="K62" s="14">
        <f>IFERROR(K42+K43+K44+K46+K47+K48+K49+K50+K51+K52+K53+K54+K55+K56+K57+K58+K59+K60, "NA")</f>
        <v>28986.29</v>
      </c>
      <c r="L62" s="15">
        <f>IFERROR(K62/K444, "NA")</f>
        <v>0.25601007355027111</v>
      </c>
      <c r="M62" s="2"/>
      <c r="N62" s="14">
        <f t="shared" si="13"/>
        <v>-228.20000000000073</v>
      </c>
      <c r="O62" s="15">
        <f>IFERROR(N62/N444, "NA")</f>
        <v>-0.12731106970309058</v>
      </c>
      <c r="P62" s="2"/>
      <c r="Q62" s="14">
        <f>IFERROR(Q42+Q43+Q44+Q46+Q47+Q48+Q49+Q50+Q51+Q52+Q53+Q54+Q55+Q56+Q57+Q58+Q59+Q60, "NA")</f>
        <v>106379.16</v>
      </c>
      <c r="R62" s="15">
        <f>IFERROR(Q62/Q444, "NA")</f>
        <v>0.19140952383797014</v>
      </c>
      <c r="S62" s="2"/>
      <c r="T62" s="14">
        <f>IFERROR(T42+T43+T44+T46+T47+T48+T49+T50+T51+T52+T53+T54+T55+T56+T57+T58+T59+T60, "NA")</f>
        <v>111965.22</v>
      </c>
      <c r="U62" s="15">
        <f>IFERROR(T62/T444, "NA")</f>
        <v>0.19700001059203978</v>
      </c>
      <c r="V62" s="2"/>
      <c r="W62" s="14">
        <f t="shared" si="14"/>
        <v>-5586.0599999999977</v>
      </c>
      <c r="X62" s="15">
        <f>IFERROR(W62/W444, "NA")</f>
        <v>0.44390142728748577</v>
      </c>
      <c r="Y62" s="2"/>
      <c r="Z62" s="14">
        <f>IFERROR(Z42+Z43+Z44+Z46+Z47+Z48+Z49+Z50+Z51+Z52+Z53+Z54+Z55+Z56+Z57+Z58+Z59+Z60, "NA")</f>
        <v>90573.84</v>
      </c>
      <c r="AA62" s="15">
        <f>IFERROR(Z62/Z444, "NA")</f>
        <v>0.18395273478310592</v>
      </c>
      <c r="AB62" s="2"/>
      <c r="AC62" s="14">
        <f t="shared" si="15"/>
        <v>15805.320000000007</v>
      </c>
      <c r="AD62" s="15">
        <f>IFERROR(AC62/AC444, "NA")</f>
        <v>0.24932783019612048</v>
      </c>
    </row>
    <row r="63" spans="1:30" ht="16.5" customHeight="1" x14ac:dyDescent="0.45">
      <c r="A63" s="11" t="s">
        <v>61</v>
      </c>
      <c r="B63" s="2"/>
      <c r="C63" s="3"/>
      <c r="D63" s="4"/>
      <c r="E63" s="2"/>
      <c r="F63" s="3"/>
      <c r="G63" s="4"/>
      <c r="H63" s="2"/>
      <c r="I63" s="3"/>
      <c r="J63" s="4"/>
      <c r="K63" s="2"/>
      <c r="L63" s="3"/>
      <c r="M63" s="4"/>
      <c r="N63" s="2"/>
      <c r="O63" s="3"/>
      <c r="P63" s="4"/>
      <c r="Q63" s="2"/>
      <c r="R63" s="3"/>
      <c r="S63" s="4"/>
      <c r="T63" s="2"/>
      <c r="U63" s="3"/>
      <c r="V63" s="4"/>
      <c r="W63" s="2"/>
      <c r="X63" s="3"/>
      <c r="Y63" s="4"/>
      <c r="Z63" s="2"/>
      <c r="AA63" s="3"/>
      <c r="AB63" s="4"/>
      <c r="AC63" s="2"/>
      <c r="AD63" s="3"/>
    </row>
    <row r="64" spans="1:30" ht="16.5" hidden="1" customHeight="1" x14ac:dyDescent="0.45">
      <c r="A64" s="12" t="s">
        <v>61</v>
      </c>
      <c r="B64" s="7">
        <v>0</v>
      </c>
      <c r="C64" s="8">
        <f>IFERROR(B64/B444, "NA")</f>
        <v>0</v>
      </c>
      <c r="D64" s="9"/>
      <c r="E64" s="7">
        <v>0</v>
      </c>
      <c r="F64" s="8">
        <f>IFERROR(E64/E444, "NA")</f>
        <v>0</v>
      </c>
      <c r="G64" s="9"/>
      <c r="H64" s="10">
        <f t="shared" ref="H64:H73" si="16">IFERROR(B64-E64, "NA")</f>
        <v>0</v>
      </c>
      <c r="I64" s="8">
        <f>IFERROR(H64/H444, "NA")</f>
        <v>0</v>
      </c>
      <c r="J64" s="9"/>
      <c r="K64" s="7">
        <v>0</v>
      </c>
      <c r="L64" s="8">
        <f>IFERROR(K64/K444, "NA")</f>
        <v>0</v>
      </c>
      <c r="M64" s="9"/>
      <c r="N64" s="10">
        <f t="shared" ref="N64:N73" si="17">IFERROR(B64-K64, "NA")</f>
        <v>0</v>
      </c>
      <c r="O64" s="8">
        <f>IFERROR(N64/N444, "NA")</f>
        <v>0</v>
      </c>
      <c r="P64" s="9"/>
      <c r="Q64" s="7">
        <v>0</v>
      </c>
      <c r="R64" s="8">
        <f>IFERROR(Q64/Q444, "NA")</f>
        <v>0</v>
      </c>
      <c r="S64" s="9"/>
      <c r="T64" s="7">
        <v>0</v>
      </c>
      <c r="U64" s="8">
        <f>IFERROR(T64/T444, "NA")</f>
        <v>0</v>
      </c>
      <c r="V64" s="9"/>
      <c r="W64" s="10">
        <f t="shared" ref="W64:W73" si="18">IFERROR(Q64-T64, "NA")</f>
        <v>0</v>
      </c>
      <c r="X64" s="8">
        <f>IFERROR(W64/W444, "NA")</f>
        <v>0</v>
      </c>
      <c r="Y64" s="9"/>
      <c r="Z64" s="7">
        <v>0</v>
      </c>
      <c r="AA64" s="8">
        <f>IFERROR(Z64/Z444, "NA")</f>
        <v>0</v>
      </c>
      <c r="AB64" s="9"/>
      <c r="AC64" s="10">
        <f t="shared" ref="AC64:AC73" si="19">IFERROR(Q64-Z64, "NA")</f>
        <v>0</v>
      </c>
      <c r="AD64" s="8">
        <f>IFERROR(AC64/AC444, "NA")</f>
        <v>0</v>
      </c>
    </row>
    <row r="65" spans="1:30" ht="16.5" customHeight="1" x14ac:dyDescent="0.45">
      <c r="A65" s="12" t="s">
        <v>62</v>
      </c>
      <c r="B65" s="7">
        <v>3139.03</v>
      </c>
      <c r="C65" s="8">
        <f>IFERROR(B65/B444, "NA")</f>
        <v>2.7292187066635252E-2</v>
      </c>
      <c r="D65" s="9"/>
      <c r="E65" s="7">
        <v>0</v>
      </c>
      <c r="F65" s="8">
        <f>IFERROR(E65/E444, "NA")</f>
        <v>0</v>
      </c>
      <c r="G65" s="9"/>
      <c r="H65" s="10">
        <f t="shared" si="16"/>
        <v>3139.03</v>
      </c>
      <c r="I65" s="8">
        <f>IFERROR(H65/H444, "NA")</f>
        <v>-0.16887663945693143</v>
      </c>
      <c r="J65" s="9"/>
      <c r="K65" s="7">
        <v>0</v>
      </c>
      <c r="L65" s="8">
        <f>IFERROR(K65/K444, "NA")</f>
        <v>0</v>
      </c>
      <c r="M65" s="9"/>
      <c r="N65" s="10">
        <f t="shared" si="17"/>
        <v>3139.03</v>
      </c>
      <c r="O65" s="8">
        <f>IFERROR(N65/N444, "NA")</f>
        <v>1.7512413108242384</v>
      </c>
      <c r="P65" s="9"/>
      <c r="Q65" s="7">
        <v>4332.5</v>
      </c>
      <c r="R65" s="8">
        <f>IFERROR(Q65/Q444, "NA")</f>
        <v>7.7955283913503882E-3</v>
      </c>
      <c r="S65" s="9"/>
      <c r="T65" s="7">
        <v>0</v>
      </c>
      <c r="U65" s="8">
        <f>IFERROR(T65/T444, "NA")</f>
        <v>0</v>
      </c>
      <c r="V65" s="9"/>
      <c r="W65" s="10">
        <f t="shared" si="18"/>
        <v>4332.5</v>
      </c>
      <c r="X65" s="8">
        <f>IFERROR(W65/W444, "NA")</f>
        <v>-0.3442861218323886</v>
      </c>
      <c r="Y65" s="9"/>
      <c r="Z65" s="7">
        <v>0</v>
      </c>
      <c r="AA65" s="8">
        <f>IFERROR(Z65/Z444, "NA")</f>
        <v>0</v>
      </c>
      <c r="AB65" s="9"/>
      <c r="AC65" s="10">
        <f t="shared" si="19"/>
        <v>4332.5</v>
      </c>
      <c r="AD65" s="8">
        <f>IFERROR(AC65/AC444, "NA")</f>
        <v>6.834488794435617E-2</v>
      </c>
    </row>
    <row r="66" spans="1:30" ht="16.5" customHeight="1" x14ac:dyDescent="0.45">
      <c r="A66" s="12" t="s">
        <v>63</v>
      </c>
      <c r="B66" s="7">
        <v>6237.82</v>
      </c>
      <c r="C66" s="8">
        <f>IFERROR(B66/B444, "NA")</f>
        <v>5.4234508854008628E-2</v>
      </c>
      <c r="D66" s="9"/>
      <c r="E66" s="7">
        <v>0</v>
      </c>
      <c r="F66" s="8">
        <f>IFERROR(E66/E444, "NA")</f>
        <v>0</v>
      </c>
      <c r="G66" s="9"/>
      <c r="H66" s="10">
        <f t="shared" si="16"/>
        <v>6237.82</v>
      </c>
      <c r="I66" s="8">
        <f>IFERROR(H66/H444, "NA")</f>
        <v>-0.33558840760911363</v>
      </c>
      <c r="J66" s="9"/>
      <c r="K66" s="7">
        <v>0</v>
      </c>
      <c r="L66" s="8">
        <f>IFERROR(K66/K444, "NA")</f>
        <v>0</v>
      </c>
      <c r="M66" s="9"/>
      <c r="N66" s="10">
        <f t="shared" si="17"/>
        <v>6237.82</v>
      </c>
      <c r="O66" s="8">
        <f>IFERROR(N66/N444, "NA")</f>
        <v>3.4800330272363276</v>
      </c>
      <c r="P66" s="9"/>
      <c r="Q66" s="7">
        <v>31284.9</v>
      </c>
      <c r="R66" s="8">
        <f>IFERROR(Q66/Q444, "NA")</f>
        <v>5.6291362070526894E-2</v>
      </c>
      <c r="S66" s="9"/>
      <c r="T66" s="7">
        <v>0</v>
      </c>
      <c r="U66" s="8">
        <f>IFERROR(T66/T444, "NA")</f>
        <v>0</v>
      </c>
      <c r="V66" s="9"/>
      <c r="W66" s="10">
        <f t="shared" si="18"/>
        <v>31284.9</v>
      </c>
      <c r="X66" s="8">
        <f>IFERROR(W66/W444, "NA")</f>
        <v>-2.4860835298128321</v>
      </c>
      <c r="Y66" s="9"/>
      <c r="Z66" s="7">
        <v>0</v>
      </c>
      <c r="AA66" s="8">
        <f>IFERROR(Z66/Z444, "NA")</f>
        <v>0</v>
      </c>
      <c r="AB66" s="9"/>
      <c r="AC66" s="10">
        <f t="shared" si="19"/>
        <v>31284.9</v>
      </c>
      <c r="AD66" s="8">
        <f>IFERROR(AC66/AC444, "NA")</f>
        <v>0.49351713441440009</v>
      </c>
    </row>
    <row r="67" spans="1:30" ht="16.5" hidden="1" customHeight="1" x14ac:dyDescent="0.45">
      <c r="A67" s="12" t="s">
        <v>64</v>
      </c>
      <c r="B67" s="7">
        <v>0</v>
      </c>
      <c r="C67" s="8">
        <f>IFERROR(B67/B444, "NA")</f>
        <v>0</v>
      </c>
      <c r="D67" s="9"/>
      <c r="E67" s="7">
        <v>0</v>
      </c>
      <c r="F67" s="8">
        <f>IFERROR(E67/E444, "NA")</f>
        <v>0</v>
      </c>
      <c r="G67" s="9"/>
      <c r="H67" s="10">
        <f t="shared" si="16"/>
        <v>0</v>
      </c>
      <c r="I67" s="8">
        <f>IFERROR(H67/H444, "NA")</f>
        <v>0</v>
      </c>
      <c r="J67" s="9"/>
      <c r="K67" s="7">
        <v>0</v>
      </c>
      <c r="L67" s="8">
        <f>IFERROR(K67/K444, "NA")</f>
        <v>0</v>
      </c>
      <c r="M67" s="9"/>
      <c r="N67" s="10">
        <f t="shared" si="17"/>
        <v>0</v>
      </c>
      <c r="O67" s="8">
        <f>IFERROR(N67/N444, "NA")</f>
        <v>0</v>
      </c>
      <c r="P67" s="9"/>
      <c r="Q67" s="7">
        <v>0</v>
      </c>
      <c r="R67" s="8">
        <f>IFERROR(Q67/Q444, "NA")</f>
        <v>0</v>
      </c>
      <c r="S67" s="9"/>
      <c r="T67" s="7">
        <v>0</v>
      </c>
      <c r="U67" s="8">
        <f>IFERROR(T67/T444, "NA")</f>
        <v>0</v>
      </c>
      <c r="V67" s="9"/>
      <c r="W67" s="10">
        <f t="shared" si="18"/>
        <v>0</v>
      </c>
      <c r="X67" s="8">
        <f>IFERROR(W67/W444, "NA")</f>
        <v>0</v>
      </c>
      <c r="Y67" s="9"/>
      <c r="Z67" s="7">
        <v>0</v>
      </c>
      <c r="AA67" s="8">
        <f>IFERROR(Z67/Z444, "NA")</f>
        <v>0</v>
      </c>
      <c r="AB67" s="9"/>
      <c r="AC67" s="10">
        <f t="shared" si="19"/>
        <v>0</v>
      </c>
      <c r="AD67" s="8">
        <f>IFERROR(AC67/AC444, "NA")</f>
        <v>0</v>
      </c>
    </row>
    <row r="68" spans="1:30" ht="16.5" customHeight="1" x14ac:dyDescent="0.45">
      <c r="A68" s="12" t="s">
        <v>65</v>
      </c>
      <c r="B68" s="7">
        <v>838.35</v>
      </c>
      <c r="C68" s="8">
        <f>IFERROR(B68/B444, "NA")</f>
        <v>7.2890048923755632E-3</v>
      </c>
      <c r="D68" s="9"/>
      <c r="E68" s="7">
        <v>0</v>
      </c>
      <c r="F68" s="8">
        <f>IFERROR(E68/E444, "NA")</f>
        <v>0</v>
      </c>
      <c r="G68" s="9"/>
      <c r="H68" s="10">
        <f t="shared" si="16"/>
        <v>838.35</v>
      </c>
      <c r="I68" s="8">
        <f>IFERROR(H68/H444, "NA")</f>
        <v>-4.5102382165420042E-2</v>
      </c>
      <c r="J68" s="9"/>
      <c r="K68" s="7">
        <v>0</v>
      </c>
      <c r="L68" s="8">
        <f>IFERROR(K68/K444, "NA")</f>
        <v>0</v>
      </c>
      <c r="M68" s="9"/>
      <c r="N68" s="10">
        <f t="shared" si="17"/>
        <v>838.35</v>
      </c>
      <c r="O68" s="8">
        <f>IFERROR(N68/N444, "NA")</f>
        <v>0.46770918179485393</v>
      </c>
      <c r="P68" s="9"/>
      <c r="Q68" s="7">
        <v>838.35</v>
      </c>
      <c r="R68" s="8">
        <f>IFERROR(Q68/Q444, "NA")</f>
        <v>1.5084549860100631E-3</v>
      </c>
      <c r="S68" s="9"/>
      <c r="T68" s="7">
        <v>0</v>
      </c>
      <c r="U68" s="8">
        <f>IFERROR(T68/T444, "NA")</f>
        <v>0</v>
      </c>
      <c r="V68" s="9"/>
      <c r="W68" s="10">
        <f t="shared" si="18"/>
        <v>838.35</v>
      </c>
      <c r="X68" s="8">
        <f>IFERROR(W68/W444, "NA")</f>
        <v>-6.6620258566228052E-2</v>
      </c>
      <c r="Y68" s="9"/>
      <c r="Z68" s="7">
        <v>0</v>
      </c>
      <c r="AA68" s="8">
        <f>IFERROR(Z68/Z444, "NA")</f>
        <v>0</v>
      </c>
      <c r="AB68" s="9"/>
      <c r="AC68" s="10">
        <f t="shared" si="19"/>
        <v>838.35</v>
      </c>
      <c r="AD68" s="8">
        <f>IFERROR(AC68/AC444, "NA")</f>
        <v>1.3224913285205078E-2</v>
      </c>
    </row>
    <row r="69" spans="1:30" ht="16.5" hidden="1" customHeight="1" x14ac:dyDescent="0.45">
      <c r="A69" s="12" t="s">
        <v>66</v>
      </c>
      <c r="B69" s="7">
        <v>0</v>
      </c>
      <c r="C69" s="8">
        <f>IFERROR(B69/B444, "NA")</f>
        <v>0</v>
      </c>
      <c r="D69" s="9"/>
      <c r="E69" s="7">
        <v>0</v>
      </c>
      <c r="F69" s="8">
        <f>IFERROR(E69/E444, "NA")</f>
        <v>0</v>
      </c>
      <c r="G69" s="9"/>
      <c r="H69" s="10">
        <f t="shared" si="16"/>
        <v>0</v>
      </c>
      <c r="I69" s="8">
        <f>IFERROR(H69/H444, "NA")</f>
        <v>0</v>
      </c>
      <c r="J69" s="9"/>
      <c r="K69" s="7">
        <v>0</v>
      </c>
      <c r="L69" s="8">
        <f>IFERROR(K69/K444, "NA")</f>
        <v>0</v>
      </c>
      <c r="M69" s="9"/>
      <c r="N69" s="10">
        <f t="shared" si="17"/>
        <v>0</v>
      </c>
      <c r="O69" s="8">
        <f>IFERROR(N69/N444, "NA")</f>
        <v>0</v>
      </c>
      <c r="P69" s="9"/>
      <c r="Q69" s="7">
        <v>0</v>
      </c>
      <c r="R69" s="8">
        <f>IFERROR(Q69/Q444, "NA")</f>
        <v>0</v>
      </c>
      <c r="S69" s="9"/>
      <c r="T69" s="7">
        <v>0</v>
      </c>
      <c r="U69" s="8">
        <f>IFERROR(T69/T444, "NA")</f>
        <v>0</v>
      </c>
      <c r="V69" s="9"/>
      <c r="W69" s="10">
        <f t="shared" si="18"/>
        <v>0</v>
      </c>
      <c r="X69" s="8">
        <f>IFERROR(W69/W444, "NA")</f>
        <v>0</v>
      </c>
      <c r="Y69" s="9"/>
      <c r="Z69" s="7">
        <v>0</v>
      </c>
      <c r="AA69" s="8">
        <f>IFERROR(Z69/Z444, "NA")</f>
        <v>0</v>
      </c>
      <c r="AB69" s="9"/>
      <c r="AC69" s="10">
        <f t="shared" si="19"/>
        <v>0</v>
      </c>
      <c r="AD69" s="8">
        <f>IFERROR(AC69/AC444, "NA")</f>
        <v>0</v>
      </c>
    </row>
    <row r="70" spans="1:30" ht="16.5" hidden="1" customHeight="1" x14ac:dyDescent="0.45">
      <c r="A70" s="12" t="s">
        <v>67</v>
      </c>
      <c r="B70" s="7">
        <v>0</v>
      </c>
      <c r="C70" s="8">
        <f>IFERROR(B70/B444, "NA")</f>
        <v>0</v>
      </c>
      <c r="D70" s="9"/>
      <c r="E70" s="7">
        <v>0</v>
      </c>
      <c r="F70" s="8">
        <f>IFERROR(E70/E444, "NA")</f>
        <v>0</v>
      </c>
      <c r="G70" s="9"/>
      <c r="H70" s="10">
        <f t="shared" si="16"/>
        <v>0</v>
      </c>
      <c r="I70" s="8">
        <f>IFERROR(H70/H444, "NA")</f>
        <v>0</v>
      </c>
      <c r="J70" s="9"/>
      <c r="K70" s="7">
        <v>0</v>
      </c>
      <c r="L70" s="8">
        <f>IFERROR(K70/K444, "NA")</f>
        <v>0</v>
      </c>
      <c r="M70" s="9"/>
      <c r="N70" s="10">
        <f t="shared" si="17"/>
        <v>0</v>
      </c>
      <c r="O70" s="8">
        <f>IFERROR(N70/N444, "NA")</f>
        <v>0</v>
      </c>
      <c r="P70" s="9"/>
      <c r="Q70" s="7">
        <v>0</v>
      </c>
      <c r="R70" s="8">
        <f>IFERROR(Q70/Q444, "NA")</f>
        <v>0</v>
      </c>
      <c r="S70" s="9"/>
      <c r="T70" s="7">
        <v>0</v>
      </c>
      <c r="U70" s="8">
        <f>IFERROR(T70/T444, "NA")</f>
        <v>0</v>
      </c>
      <c r="V70" s="9"/>
      <c r="W70" s="10">
        <f t="shared" si="18"/>
        <v>0</v>
      </c>
      <c r="X70" s="8">
        <f>IFERROR(W70/W444, "NA")</f>
        <v>0</v>
      </c>
      <c r="Y70" s="9"/>
      <c r="Z70" s="7">
        <v>0</v>
      </c>
      <c r="AA70" s="8">
        <f>IFERROR(Z70/Z444, "NA")</f>
        <v>0</v>
      </c>
      <c r="AB70" s="9"/>
      <c r="AC70" s="10">
        <f t="shared" si="19"/>
        <v>0</v>
      </c>
      <c r="AD70" s="8">
        <f>IFERROR(AC70/AC444, "NA")</f>
        <v>0</v>
      </c>
    </row>
    <row r="71" spans="1:30" ht="16.5" hidden="1" customHeight="1" x14ac:dyDescent="0.45">
      <c r="A71" s="12" t="s">
        <v>68</v>
      </c>
      <c r="B71" s="7">
        <v>0</v>
      </c>
      <c r="C71" s="8">
        <f>IFERROR(B71/B444, "NA")</f>
        <v>0</v>
      </c>
      <c r="D71" s="9"/>
      <c r="E71" s="7">
        <v>0</v>
      </c>
      <c r="F71" s="8">
        <f>IFERROR(E71/E444, "NA")</f>
        <v>0</v>
      </c>
      <c r="G71" s="9"/>
      <c r="H71" s="10">
        <f t="shared" si="16"/>
        <v>0</v>
      </c>
      <c r="I71" s="8">
        <f>IFERROR(H71/H444, "NA")</f>
        <v>0</v>
      </c>
      <c r="J71" s="9"/>
      <c r="K71" s="7">
        <v>0</v>
      </c>
      <c r="L71" s="8">
        <f>IFERROR(K71/K444, "NA")</f>
        <v>0</v>
      </c>
      <c r="M71" s="9"/>
      <c r="N71" s="10">
        <f t="shared" si="17"/>
        <v>0</v>
      </c>
      <c r="O71" s="8">
        <f>IFERROR(N71/N444, "NA")</f>
        <v>0</v>
      </c>
      <c r="P71" s="9"/>
      <c r="Q71" s="7">
        <v>0</v>
      </c>
      <c r="R71" s="8">
        <f>IFERROR(Q71/Q444, "NA")</f>
        <v>0</v>
      </c>
      <c r="S71" s="9"/>
      <c r="T71" s="7">
        <v>0</v>
      </c>
      <c r="U71" s="8">
        <f>IFERROR(T71/T444, "NA")</f>
        <v>0</v>
      </c>
      <c r="V71" s="9"/>
      <c r="W71" s="10">
        <f t="shared" si="18"/>
        <v>0</v>
      </c>
      <c r="X71" s="8">
        <f>IFERROR(W71/W444, "NA")</f>
        <v>0</v>
      </c>
      <c r="Y71" s="9"/>
      <c r="Z71" s="7">
        <v>0</v>
      </c>
      <c r="AA71" s="8">
        <f>IFERROR(Z71/Z444, "NA")</f>
        <v>0</v>
      </c>
      <c r="AB71" s="9"/>
      <c r="AC71" s="10">
        <f t="shared" si="19"/>
        <v>0</v>
      </c>
      <c r="AD71" s="8">
        <f>IFERROR(AC71/AC444, "NA")</f>
        <v>0</v>
      </c>
    </row>
    <row r="72" spans="1:30" ht="16.5" hidden="1" customHeight="1" x14ac:dyDescent="0.45">
      <c r="A72" s="12" t="s">
        <v>69</v>
      </c>
      <c r="B72" s="7">
        <v>0</v>
      </c>
      <c r="C72" s="8">
        <f>IFERROR(B72/B444, "NA")</f>
        <v>0</v>
      </c>
      <c r="D72" s="9"/>
      <c r="E72" s="7">
        <v>0</v>
      </c>
      <c r="F72" s="8">
        <f>IFERROR(E72/E444, "NA")</f>
        <v>0</v>
      </c>
      <c r="G72" s="9"/>
      <c r="H72" s="10">
        <f t="shared" si="16"/>
        <v>0</v>
      </c>
      <c r="I72" s="8">
        <f>IFERROR(H72/H444, "NA")</f>
        <v>0</v>
      </c>
      <c r="J72" s="9"/>
      <c r="K72" s="7">
        <v>0</v>
      </c>
      <c r="L72" s="8">
        <f>IFERROR(K72/K444, "NA")</f>
        <v>0</v>
      </c>
      <c r="M72" s="9"/>
      <c r="N72" s="10">
        <f t="shared" si="17"/>
        <v>0</v>
      </c>
      <c r="O72" s="8">
        <f>IFERROR(N72/N444, "NA")</f>
        <v>0</v>
      </c>
      <c r="P72" s="9"/>
      <c r="Q72" s="7">
        <v>0</v>
      </c>
      <c r="R72" s="8">
        <f>IFERROR(Q72/Q444, "NA")</f>
        <v>0</v>
      </c>
      <c r="S72" s="9"/>
      <c r="T72" s="7">
        <v>0</v>
      </c>
      <c r="U72" s="8">
        <f>IFERROR(T72/T444, "NA")</f>
        <v>0</v>
      </c>
      <c r="V72" s="9"/>
      <c r="W72" s="10">
        <f t="shared" si="18"/>
        <v>0</v>
      </c>
      <c r="X72" s="8">
        <f>IFERROR(W72/W444, "NA")</f>
        <v>0</v>
      </c>
      <c r="Y72" s="9"/>
      <c r="Z72" s="7">
        <v>0</v>
      </c>
      <c r="AA72" s="8">
        <f>IFERROR(Z72/Z444, "NA")</f>
        <v>0</v>
      </c>
      <c r="AB72" s="9"/>
      <c r="AC72" s="10">
        <f t="shared" si="19"/>
        <v>0</v>
      </c>
      <c r="AD72" s="8">
        <f>IFERROR(AC72/AC444, "NA")</f>
        <v>0</v>
      </c>
    </row>
    <row r="73" spans="1:30" ht="16.5" customHeight="1" x14ac:dyDescent="0.45">
      <c r="A73" s="13" t="s">
        <v>70</v>
      </c>
      <c r="B73" s="14">
        <f>IFERROR(B64+B65+B66+B67+B68+B69+B70+B71+B72, "NA")</f>
        <v>10215.200000000001</v>
      </c>
      <c r="C73" s="15">
        <f>IFERROR(B73/B444, "NA")</f>
        <v>8.8815700813019455E-2</v>
      </c>
      <c r="D73" s="2"/>
      <c r="E73" s="14">
        <f>IFERROR(E64+E65+E66+E67+E68+E69+E70+E71+E72, "NA")</f>
        <v>0</v>
      </c>
      <c r="F73" s="15">
        <f>IFERROR(E73/E444, "NA")</f>
        <v>0</v>
      </c>
      <c r="G73" s="2"/>
      <c r="H73" s="14">
        <f t="shared" si="16"/>
        <v>10215.200000000001</v>
      </c>
      <c r="I73" s="15">
        <f>IFERROR(H73/H444, "NA")</f>
        <v>-0.54956742923146518</v>
      </c>
      <c r="J73" s="2"/>
      <c r="K73" s="14">
        <f>IFERROR(K64+K65+K66+K67+K68+K69+K70+K71+K72, "NA")</f>
        <v>0</v>
      </c>
      <c r="L73" s="15">
        <f>IFERROR(K73/K444, "NA")</f>
        <v>0</v>
      </c>
      <c r="M73" s="2"/>
      <c r="N73" s="14">
        <f t="shared" si="17"/>
        <v>10215.200000000001</v>
      </c>
      <c r="O73" s="15">
        <f>IFERROR(N73/N444, "NA")</f>
        <v>5.6989835198554202</v>
      </c>
      <c r="P73" s="2"/>
      <c r="Q73" s="14">
        <f>IFERROR(Q64+Q65+Q66+Q67+Q68+Q69+Q70+Q71+Q72, "NA")</f>
        <v>36455.75</v>
      </c>
      <c r="R73" s="15">
        <f>IFERROR(Q73/Q444, "NA")</f>
        <v>6.5595345447887338E-2</v>
      </c>
      <c r="S73" s="2"/>
      <c r="T73" s="14">
        <f>IFERROR(T64+T65+T66+T67+T68+T69+T70+T71+T72, "NA")</f>
        <v>0</v>
      </c>
      <c r="U73" s="15">
        <f>IFERROR(T73/T444, "NA")</f>
        <v>0</v>
      </c>
      <c r="V73" s="2"/>
      <c r="W73" s="14">
        <f t="shared" si="18"/>
        <v>36455.75</v>
      </c>
      <c r="X73" s="15">
        <f>IFERROR(W73/W444, "NA")</f>
        <v>-2.8969899102114489</v>
      </c>
      <c r="Y73" s="2"/>
      <c r="Z73" s="14">
        <f>IFERROR(Z64+Z65+Z66+Z67+Z68+Z69+Z70+Z71+Z72, "NA")</f>
        <v>0</v>
      </c>
      <c r="AA73" s="15">
        <f>IFERROR(Z73/Z444, "NA")</f>
        <v>0</v>
      </c>
      <c r="AB73" s="2"/>
      <c r="AC73" s="14">
        <f t="shared" si="19"/>
        <v>36455.75</v>
      </c>
      <c r="AD73" s="15">
        <f>IFERROR(AC73/AC444, "NA")</f>
        <v>0.57508693564396129</v>
      </c>
    </row>
    <row r="74" spans="1:30" ht="16.5" customHeight="1" x14ac:dyDescent="0.45">
      <c r="A74" s="11" t="s">
        <v>71</v>
      </c>
      <c r="B74" s="2"/>
      <c r="C74" s="3"/>
      <c r="D74" s="4"/>
      <c r="E74" s="2"/>
      <c r="F74" s="3"/>
      <c r="G74" s="4"/>
      <c r="H74" s="2"/>
      <c r="I74" s="3"/>
      <c r="J74" s="4"/>
      <c r="K74" s="2"/>
      <c r="L74" s="3"/>
      <c r="M74" s="4"/>
      <c r="N74" s="2"/>
      <c r="O74" s="3"/>
      <c r="P74" s="4"/>
      <c r="Q74" s="2"/>
      <c r="R74" s="3"/>
      <c r="S74" s="4"/>
      <c r="T74" s="2"/>
      <c r="U74" s="3"/>
      <c r="V74" s="4"/>
      <c r="W74" s="2"/>
      <c r="X74" s="3"/>
      <c r="Y74" s="4"/>
      <c r="Z74" s="2"/>
      <c r="AA74" s="3"/>
      <c r="AB74" s="4"/>
      <c r="AC74" s="2"/>
      <c r="AD74" s="3"/>
    </row>
    <row r="75" spans="1:30" ht="16.5" customHeight="1" x14ac:dyDescent="0.45">
      <c r="A75" s="12" t="s">
        <v>71</v>
      </c>
      <c r="B75" s="7">
        <v>0</v>
      </c>
      <c r="C75" s="8">
        <f>IFERROR(B75/B444, "NA")</f>
        <v>0</v>
      </c>
      <c r="D75" s="9"/>
      <c r="E75" s="7">
        <v>2004.05</v>
      </c>
      <c r="F75" s="8">
        <f>IFERROR(E75/E444, "NA")</f>
        <v>1.4999991392435267E-2</v>
      </c>
      <c r="G75" s="9"/>
      <c r="H75" s="10">
        <f t="shared" ref="H75:H92" si="20">IFERROR(B75-E75, "NA")</f>
        <v>-2004.05</v>
      </c>
      <c r="I75" s="8">
        <f>IFERROR(H75/H444, "NA")</f>
        <v>0.10781586327740207</v>
      </c>
      <c r="J75" s="9"/>
      <c r="K75" s="7">
        <v>0</v>
      </c>
      <c r="L75" s="8">
        <f>IFERROR(K75/K444, "NA")</f>
        <v>0</v>
      </c>
      <c r="M75" s="9"/>
      <c r="N75" s="10">
        <f t="shared" ref="N75:N92" si="21">IFERROR(B75-K75, "NA")</f>
        <v>0</v>
      </c>
      <c r="O75" s="8">
        <f>IFERROR(N75/N444, "NA")</f>
        <v>0</v>
      </c>
      <c r="P75" s="9"/>
      <c r="Q75" s="7">
        <v>0</v>
      </c>
      <c r="R75" s="8">
        <f>IFERROR(Q75/Q444, "NA")</f>
        <v>0</v>
      </c>
      <c r="S75" s="9"/>
      <c r="T75" s="7">
        <v>8525.27</v>
      </c>
      <c r="U75" s="8">
        <f>IFERROR(T75/T444, "NA")</f>
        <v>1.4999999824052496E-2</v>
      </c>
      <c r="V75" s="9"/>
      <c r="W75" s="10">
        <f t="shared" ref="W75:W92" si="22">IFERROR(Q75-T75, "NA")</f>
        <v>-8525.27</v>
      </c>
      <c r="X75" s="8">
        <f>IFERROR(W75/W444, "NA")</f>
        <v>0.67746846990744558</v>
      </c>
      <c r="Y75" s="9"/>
      <c r="Z75" s="7">
        <v>0</v>
      </c>
      <c r="AA75" s="8">
        <f>IFERROR(Z75/Z444, "NA")</f>
        <v>0</v>
      </c>
      <c r="AB75" s="9"/>
      <c r="AC75" s="10">
        <f t="shared" ref="AC75:AC92" si="23">IFERROR(Q75-Z75, "NA")</f>
        <v>0</v>
      </c>
      <c r="AD75" s="8">
        <f>IFERROR(AC75/AC444, "NA")</f>
        <v>0</v>
      </c>
    </row>
    <row r="76" spans="1:30" ht="16.5" hidden="1" customHeight="1" x14ac:dyDescent="0.45">
      <c r="A76" s="12" t="s">
        <v>72</v>
      </c>
      <c r="B76" s="7">
        <v>0</v>
      </c>
      <c r="C76" s="8">
        <f>IFERROR(B76/B444, "NA")</f>
        <v>0</v>
      </c>
      <c r="D76" s="9"/>
      <c r="E76" s="7">
        <v>0</v>
      </c>
      <c r="F76" s="8">
        <f>IFERROR(E76/E444, "NA")</f>
        <v>0</v>
      </c>
      <c r="G76" s="9"/>
      <c r="H76" s="10">
        <f t="shared" si="20"/>
        <v>0</v>
      </c>
      <c r="I76" s="8">
        <f>IFERROR(H76/H444, "NA")</f>
        <v>0</v>
      </c>
      <c r="J76" s="9"/>
      <c r="K76" s="7">
        <v>0</v>
      </c>
      <c r="L76" s="8">
        <f>IFERROR(K76/K444, "NA")</f>
        <v>0</v>
      </c>
      <c r="M76" s="9"/>
      <c r="N76" s="10">
        <f t="shared" si="21"/>
        <v>0</v>
      </c>
      <c r="O76" s="8">
        <f>IFERROR(N76/N444, "NA")</f>
        <v>0</v>
      </c>
      <c r="P76" s="9"/>
      <c r="Q76" s="7">
        <v>0</v>
      </c>
      <c r="R76" s="8">
        <f>IFERROR(Q76/Q444, "NA")</f>
        <v>0</v>
      </c>
      <c r="S76" s="9"/>
      <c r="T76" s="7">
        <v>0</v>
      </c>
      <c r="U76" s="8">
        <f>IFERROR(T76/T444, "NA")</f>
        <v>0</v>
      </c>
      <c r="V76" s="9"/>
      <c r="W76" s="10">
        <f t="shared" si="22"/>
        <v>0</v>
      </c>
      <c r="X76" s="8">
        <f>IFERROR(W76/W444, "NA")</f>
        <v>0</v>
      </c>
      <c r="Y76" s="9"/>
      <c r="Z76" s="7">
        <v>0</v>
      </c>
      <c r="AA76" s="8">
        <f>IFERROR(Z76/Z444, "NA")</f>
        <v>0</v>
      </c>
      <c r="AB76" s="9"/>
      <c r="AC76" s="10">
        <f t="shared" si="23"/>
        <v>0</v>
      </c>
      <c r="AD76" s="8">
        <f>IFERROR(AC76/AC444, "NA")</f>
        <v>0</v>
      </c>
    </row>
    <row r="77" spans="1:30" ht="16.5" customHeight="1" x14ac:dyDescent="0.45">
      <c r="A77" s="12" t="s">
        <v>73</v>
      </c>
      <c r="B77" s="7">
        <v>350.84</v>
      </c>
      <c r="C77" s="8">
        <f>IFERROR(B77/B444, "NA")</f>
        <v>3.0503661674014938E-3</v>
      </c>
      <c r="D77" s="9"/>
      <c r="E77" s="7">
        <v>0</v>
      </c>
      <c r="F77" s="8">
        <f>IFERROR(E77/E444, "NA")</f>
        <v>0</v>
      </c>
      <c r="G77" s="9"/>
      <c r="H77" s="10">
        <f t="shared" si="20"/>
        <v>350.84</v>
      </c>
      <c r="I77" s="8">
        <f>IFERROR(H77/H444, "NA")</f>
        <v>-1.887483719081048E-2</v>
      </c>
      <c r="J77" s="9"/>
      <c r="K77" s="7">
        <v>59.8</v>
      </c>
      <c r="L77" s="8">
        <f>IFERROR(K77/K444, "NA")</f>
        <v>5.2816011977752976E-4</v>
      </c>
      <c r="M77" s="9"/>
      <c r="N77" s="10">
        <f t="shared" si="21"/>
        <v>291.03999999999996</v>
      </c>
      <c r="O77" s="8">
        <f>IFERROR(N77/N444, "NA")</f>
        <v>0.1623690347343881</v>
      </c>
      <c r="P77" s="9"/>
      <c r="Q77" s="7">
        <v>1777.04</v>
      </c>
      <c r="R77" s="8">
        <f>IFERROR(Q77/Q444, "NA")</f>
        <v>3.1974531500439224E-3</v>
      </c>
      <c r="S77" s="9"/>
      <c r="T77" s="7">
        <v>0</v>
      </c>
      <c r="U77" s="8">
        <f>IFERROR(T77/T444, "NA")</f>
        <v>0</v>
      </c>
      <c r="V77" s="9"/>
      <c r="W77" s="10">
        <f t="shared" si="22"/>
        <v>1777.04</v>
      </c>
      <c r="X77" s="8">
        <f>IFERROR(W77/W444, "NA")</f>
        <v>-0.14121412808794642</v>
      </c>
      <c r="Y77" s="9"/>
      <c r="Z77" s="7">
        <v>367.77</v>
      </c>
      <c r="AA77" s="8">
        <f>IFERROR(Z77/Z444, "NA")</f>
        <v>7.4692976770315649E-4</v>
      </c>
      <c r="AB77" s="9"/>
      <c r="AC77" s="10">
        <f t="shared" si="23"/>
        <v>1409.27</v>
      </c>
      <c r="AD77" s="8">
        <f>IFERROR(AC77/AC444, "NA")</f>
        <v>2.2231136810927365E-2</v>
      </c>
    </row>
    <row r="78" spans="1:30" ht="16.5" hidden="1" customHeight="1" x14ac:dyDescent="0.45">
      <c r="A78" s="12" t="s">
        <v>74</v>
      </c>
      <c r="B78" s="7">
        <v>0</v>
      </c>
      <c r="C78" s="8">
        <f>IFERROR(B78/B444, "NA")</f>
        <v>0</v>
      </c>
      <c r="D78" s="9"/>
      <c r="E78" s="7">
        <v>0</v>
      </c>
      <c r="F78" s="8">
        <f>IFERROR(E78/E444, "NA")</f>
        <v>0</v>
      </c>
      <c r="G78" s="9"/>
      <c r="H78" s="10">
        <f t="shared" si="20"/>
        <v>0</v>
      </c>
      <c r="I78" s="8">
        <f>IFERROR(H78/H444, "NA")</f>
        <v>0</v>
      </c>
      <c r="J78" s="9"/>
      <c r="K78" s="7">
        <v>0</v>
      </c>
      <c r="L78" s="8">
        <f>IFERROR(K78/K444, "NA")</f>
        <v>0</v>
      </c>
      <c r="M78" s="9"/>
      <c r="N78" s="10">
        <f t="shared" si="21"/>
        <v>0</v>
      </c>
      <c r="O78" s="8">
        <f>IFERROR(N78/N444, "NA")</f>
        <v>0</v>
      </c>
      <c r="P78" s="9"/>
      <c r="Q78" s="7">
        <v>0</v>
      </c>
      <c r="R78" s="8">
        <f>IFERROR(Q78/Q444, "NA")</f>
        <v>0</v>
      </c>
      <c r="S78" s="9"/>
      <c r="T78" s="7">
        <v>0</v>
      </c>
      <c r="U78" s="8">
        <f>IFERROR(T78/T444, "NA")</f>
        <v>0</v>
      </c>
      <c r="V78" s="9"/>
      <c r="W78" s="10">
        <f t="shared" si="22"/>
        <v>0</v>
      </c>
      <c r="X78" s="8">
        <f>IFERROR(W78/W444, "NA")</f>
        <v>0</v>
      </c>
      <c r="Y78" s="9"/>
      <c r="Z78" s="7">
        <v>0</v>
      </c>
      <c r="AA78" s="8">
        <f>IFERROR(Z78/Z444, "NA")</f>
        <v>0</v>
      </c>
      <c r="AB78" s="9"/>
      <c r="AC78" s="10">
        <f t="shared" si="23"/>
        <v>0</v>
      </c>
      <c r="AD78" s="8">
        <f>IFERROR(AC78/AC444, "NA")</f>
        <v>0</v>
      </c>
    </row>
    <row r="79" spans="1:30" ht="16.5" customHeight="1" x14ac:dyDescent="0.45">
      <c r="A79" s="12" t="s">
        <v>75</v>
      </c>
      <c r="B79" s="7">
        <v>0</v>
      </c>
      <c r="C79" s="8">
        <f>IFERROR(B79/B444, "NA")</f>
        <v>0</v>
      </c>
      <c r="D79" s="9"/>
      <c r="E79" s="7">
        <v>0</v>
      </c>
      <c r="F79" s="8">
        <f>IFERROR(E79/E444, "NA")</f>
        <v>0</v>
      </c>
      <c r="G79" s="9"/>
      <c r="H79" s="10">
        <f t="shared" si="20"/>
        <v>0</v>
      </c>
      <c r="I79" s="8">
        <f>IFERROR(H79/H444, "NA")</f>
        <v>0</v>
      </c>
      <c r="J79" s="9"/>
      <c r="K79" s="7">
        <v>17.940000000000001</v>
      </c>
      <c r="L79" s="8">
        <f>IFERROR(K79/K444, "NA")</f>
        <v>1.5844803593325894E-4</v>
      </c>
      <c r="M79" s="9"/>
      <c r="N79" s="10">
        <f t="shared" si="21"/>
        <v>-17.940000000000001</v>
      </c>
      <c r="O79" s="8">
        <f>IFERROR(N79/N444, "NA")</f>
        <v>-1.0008591544581237E-2</v>
      </c>
      <c r="P79" s="9"/>
      <c r="Q79" s="7">
        <v>0</v>
      </c>
      <c r="R79" s="8">
        <f>IFERROR(Q79/Q444, "NA")</f>
        <v>0</v>
      </c>
      <c r="S79" s="9"/>
      <c r="T79" s="7">
        <v>0</v>
      </c>
      <c r="U79" s="8">
        <f>IFERROR(T79/T444, "NA")</f>
        <v>0</v>
      </c>
      <c r="V79" s="9"/>
      <c r="W79" s="10">
        <f t="shared" si="22"/>
        <v>0</v>
      </c>
      <c r="X79" s="8">
        <f>IFERROR(W79/W444, "NA")</f>
        <v>0</v>
      </c>
      <c r="Y79" s="9"/>
      <c r="Z79" s="7">
        <v>41.86</v>
      </c>
      <c r="AA79" s="8">
        <f>IFERROR(Z79/Z444, "NA")</f>
        <v>8.5016396323936519E-5</v>
      </c>
      <c r="AB79" s="9"/>
      <c r="AC79" s="10">
        <f t="shared" si="23"/>
        <v>-41.86</v>
      </c>
      <c r="AD79" s="8">
        <f>IFERROR(AC79/AC444, "NA")</f>
        <v>-6.6033860573589136E-4</v>
      </c>
    </row>
    <row r="80" spans="1:30" ht="16.5" customHeight="1" x14ac:dyDescent="0.45">
      <c r="A80" s="12" t="s">
        <v>76</v>
      </c>
      <c r="B80" s="7">
        <v>2012.7</v>
      </c>
      <c r="C80" s="8">
        <f>IFERROR(B80/B444, "NA")</f>
        <v>1.7499350088727019E-2</v>
      </c>
      <c r="D80" s="9"/>
      <c r="E80" s="7">
        <v>0</v>
      </c>
      <c r="F80" s="8">
        <f>IFERROR(E80/E444, "NA")</f>
        <v>0</v>
      </c>
      <c r="G80" s="9"/>
      <c r="H80" s="10">
        <f t="shared" si="20"/>
        <v>2012.7</v>
      </c>
      <c r="I80" s="8">
        <f>IFERROR(H80/H444, "NA")</f>
        <v>-0.10828122452954125</v>
      </c>
      <c r="J80" s="9"/>
      <c r="K80" s="7">
        <v>1430</v>
      </c>
      <c r="L80" s="8">
        <f>IFERROR(K80/K444, "NA")</f>
        <v>1.2629915907723537E-2</v>
      </c>
      <c r="M80" s="9"/>
      <c r="N80" s="10">
        <f t="shared" si="21"/>
        <v>582.70000000000005</v>
      </c>
      <c r="O80" s="8">
        <f>IFERROR(N80/N444, "NA")</f>
        <v>0.32508396282204494</v>
      </c>
      <c r="P80" s="9"/>
      <c r="Q80" s="7">
        <v>6586.95</v>
      </c>
      <c r="R80" s="8">
        <f>IFERROR(Q80/Q444, "NA")</f>
        <v>1.1851992091726587E-2</v>
      </c>
      <c r="S80" s="9"/>
      <c r="T80" s="7">
        <v>0</v>
      </c>
      <c r="U80" s="8">
        <f>IFERROR(T80/T444, "NA")</f>
        <v>0</v>
      </c>
      <c r="V80" s="9"/>
      <c r="W80" s="10">
        <f t="shared" si="22"/>
        <v>6586.95</v>
      </c>
      <c r="X80" s="8">
        <f>IFERROR(W80/W444, "NA")</f>
        <v>-0.5234380773696139</v>
      </c>
      <c r="Y80" s="9"/>
      <c r="Z80" s="7">
        <v>5500</v>
      </c>
      <c r="AA80" s="8">
        <f>IFERROR(Z80/Z444, "NA")</f>
        <v>1.1170333965161271E-2</v>
      </c>
      <c r="AB80" s="9"/>
      <c r="AC80" s="10">
        <f t="shared" si="23"/>
        <v>1086.9499999999998</v>
      </c>
      <c r="AD80" s="8">
        <f>IFERROR(AC80/AC444, "NA")</f>
        <v>1.7146561096622718E-2</v>
      </c>
    </row>
    <row r="81" spans="1:30" ht="16.5" hidden="1" customHeight="1" x14ac:dyDescent="0.45">
      <c r="A81" s="12" t="s">
        <v>77</v>
      </c>
      <c r="B81" s="7">
        <v>0</v>
      </c>
      <c r="C81" s="8">
        <f>IFERROR(B81/B444, "NA")</f>
        <v>0</v>
      </c>
      <c r="D81" s="9"/>
      <c r="E81" s="7">
        <v>0</v>
      </c>
      <c r="F81" s="8">
        <f>IFERROR(E81/E444, "NA")</f>
        <v>0</v>
      </c>
      <c r="G81" s="9"/>
      <c r="H81" s="10">
        <f t="shared" si="20"/>
        <v>0</v>
      </c>
      <c r="I81" s="8">
        <f>IFERROR(H81/H444, "NA")</f>
        <v>0</v>
      </c>
      <c r="J81" s="9"/>
      <c r="K81" s="7">
        <v>0</v>
      </c>
      <c r="L81" s="8">
        <f>IFERROR(K81/K444, "NA")</f>
        <v>0</v>
      </c>
      <c r="M81" s="9"/>
      <c r="N81" s="10">
        <f t="shared" si="21"/>
        <v>0</v>
      </c>
      <c r="O81" s="8">
        <f>IFERROR(N81/N444, "NA")</f>
        <v>0</v>
      </c>
      <c r="P81" s="9"/>
      <c r="Q81" s="7">
        <v>0</v>
      </c>
      <c r="R81" s="8">
        <f>IFERROR(Q81/Q444, "NA")</f>
        <v>0</v>
      </c>
      <c r="S81" s="9"/>
      <c r="T81" s="7">
        <v>0</v>
      </c>
      <c r="U81" s="8">
        <f>IFERROR(T81/T444, "NA")</f>
        <v>0</v>
      </c>
      <c r="V81" s="9"/>
      <c r="W81" s="10">
        <f t="shared" si="22"/>
        <v>0</v>
      </c>
      <c r="X81" s="8">
        <f>IFERROR(W81/W444, "NA")</f>
        <v>0</v>
      </c>
      <c r="Y81" s="9"/>
      <c r="Z81" s="7">
        <v>0</v>
      </c>
      <c r="AA81" s="8">
        <f>IFERROR(Z81/Z444, "NA")</f>
        <v>0</v>
      </c>
      <c r="AB81" s="9"/>
      <c r="AC81" s="10">
        <f t="shared" si="23"/>
        <v>0</v>
      </c>
      <c r="AD81" s="8">
        <f>IFERROR(AC81/AC444, "NA")</f>
        <v>0</v>
      </c>
    </row>
    <row r="82" spans="1:30" ht="16.5" hidden="1" customHeight="1" x14ac:dyDescent="0.45">
      <c r="A82" s="12" t="s">
        <v>78</v>
      </c>
      <c r="B82" s="7">
        <v>0</v>
      </c>
      <c r="C82" s="8">
        <f>IFERROR(B82/B444, "NA")</f>
        <v>0</v>
      </c>
      <c r="D82" s="9"/>
      <c r="E82" s="7">
        <v>0</v>
      </c>
      <c r="F82" s="8">
        <f>IFERROR(E82/E444, "NA")</f>
        <v>0</v>
      </c>
      <c r="G82" s="9"/>
      <c r="H82" s="10">
        <f t="shared" si="20"/>
        <v>0</v>
      </c>
      <c r="I82" s="8">
        <f>IFERROR(H82/H444, "NA")</f>
        <v>0</v>
      </c>
      <c r="J82" s="9"/>
      <c r="K82" s="7">
        <v>0</v>
      </c>
      <c r="L82" s="8">
        <f>IFERROR(K82/K444, "NA")</f>
        <v>0</v>
      </c>
      <c r="M82" s="9"/>
      <c r="N82" s="10">
        <f t="shared" si="21"/>
        <v>0</v>
      </c>
      <c r="O82" s="8">
        <f>IFERROR(N82/N444, "NA")</f>
        <v>0</v>
      </c>
      <c r="P82" s="9"/>
      <c r="Q82" s="7">
        <v>0</v>
      </c>
      <c r="R82" s="8">
        <f>IFERROR(Q82/Q444, "NA")</f>
        <v>0</v>
      </c>
      <c r="S82" s="9"/>
      <c r="T82" s="7">
        <v>0</v>
      </c>
      <c r="U82" s="8">
        <f>IFERROR(T82/T444, "NA")</f>
        <v>0</v>
      </c>
      <c r="V82" s="9"/>
      <c r="W82" s="10">
        <f t="shared" si="22"/>
        <v>0</v>
      </c>
      <c r="X82" s="8">
        <f>IFERROR(W82/W444, "NA")</f>
        <v>0</v>
      </c>
      <c r="Y82" s="9"/>
      <c r="Z82" s="7">
        <v>0</v>
      </c>
      <c r="AA82" s="8">
        <f>IFERROR(Z82/Z444, "NA")</f>
        <v>0</v>
      </c>
      <c r="AB82" s="9"/>
      <c r="AC82" s="10">
        <f t="shared" si="23"/>
        <v>0</v>
      </c>
      <c r="AD82" s="8">
        <f>IFERROR(AC82/AC444, "NA")</f>
        <v>0</v>
      </c>
    </row>
    <row r="83" spans="1:30" ht="16.5" hidden="1" customHeight="1" x14ac:dyDescent="0.45">
      <c r="A83" s="12" t="s">
        <v>79</v>
      </c>
      <c r="B83" s="7">
        <v>0</v>
      </c>
      <c r="C83" s="8">
        <f>IFERROR(B83/B444, "NA")</f>
        <v>0</v>
      </c>
      <c r="D83" s="9"/>
      <c r="E83" s="7">
        <v>0</v>
      </c>
      <c r="F83" s="8">
        <f>IFERROR(E83/E444, "NA")</f>
        <v>0</v>
      </c>
      <c r="G83" s="9"/>
      <c r="H83" s="10">
        <f t="shared" si="20"/>
        <v>0</v>
      </c>
      <c r="I83" s="8">
        <f>IFERROR(H83/H444, "NA")</f>
        <v>0</v>
      </c>
      <c r="J83" s="9"/>
      <c r="K83" s="7">
        <v>0</v>
      </c>
      <c r="L83" s="8">
        <f>IFERROR(K83/K444, "NA")</f>
        <v>0</v>
      </c>
      <c r="M83" s="9"/>
      <c r="N83" s="10">
        <f t="shared" si="21"/>
        <v>0</v>
      </c>
      <c r="O83" s="8">
        <f>IFERROR(N83/N444, "NA")</f>
        <v>0</v>
      </c>
      <c r="P83" s="9"/>
      <c r="Q83" s="7">
        <v>0</v>
      </c>
      <c r="R83" s="8">
        <f>IFERROR(Q83/Q444, "NA")</f>
        <v>0</v>
      </c>
      <c r="S83" s="9"/>
      <c r="T83" s="7">
        <v>0</v>
      </c>
      <c r="U83" s="8">
        <f>IFERROR(T83/T444, "NA")</f>
        <v>0</v>
      </c>
      <c r="V83" s="9"/>
      <c r="W83" s="10">
        <f t="shared" si="22"/>
        <v>0</v>
      </c>
      <c r="X83" s="8">
        <f>IFERROR(W83/W444, "NA")</f>
        <v>0</v>
      </c>
      <c r="Y83" s="9"/>
      <c r="Z83" s="7">
        <v>0</v>
      </c>
      <c r="AA83" s="8">
        <f>IFERROR(Z83/Z444, "NA")</f>
        <v>0</v>
      </c>
      <c r="AB83" s="9"/>
      <c r="AC83" s="10">
        <f t="shared" si="23"/>
        <v>0</v>
      </c>
      <c r="AD83" s="8">
        <f>IFERROR(AC83/AC444, "NA")</f>
        <v>0</v>
      </c>
    </row>
    <row r="84" spans="1:30" ht="16.5" hidden="1" customHeight="1" x14ac:dyDescent="0.45">
      <c r="A84" s="12" t="s">
        <v>80</v>
      </c>
      <c r="B84" s="7">
        <v>0</v>
      </c>
      <c r="C84" s="8">
        <f>IFERROR(B84/B444, "NA")</f>
        <v>0</v>
      </c>
      <c r="D84" s="9"/>
      <c r="E84" s="7">
        <v>0</v>
      </c>
      <c r="F84" s="8">
        <f>IFERROR(E84/E444, "NA")</f>
        <v>0</v>
      </c>
      <c r="G84" s="9"/>
      <c r="H84" s="10">
        <f t="shared" si="20"/>
        <v>0</v>
      </c>
      <c r="I84" s="8">
        <f>IFERROR(H84/H444, "NA")</f>
        <v>0</v>
      </c>
      <c r="J84" s="9"/>
      <c r="K84" s="7">
        <v>0</v>
      </c>
      <c r="L84" s="8">
        <f>IFERROR(K84/K444, "NA")</f>
        <v>0</v>
      </c>
      <c r="M84" s="9"/>
      <c r="N84" s="10">
        <f t="shared" si="21"/>
        <v>0</v>
      </c>
      <c r="O84" s="8">
        <f>IFERROR(N84/N444, "NA")</f>
        <v>0</v>
      </c>
      <c r="P84" s="9"/>
      <c r="Q84" s="7">
        <v>0</v>
      </c>
      <c r="R84" s="8">
        <f>IFERROR(Q84/Q444, "NA")</f>
        <v>0</v>
      </c>
      <c r="S84" s="9"/>
      <c r="T84" s="7">
        <v>0</v>
      </c>
      <c r="U84" s="8">
        <f>IFERROR(T84/T444, "NA")</f>
        <v>0</v>
      </c>
      <c r="V84" s="9"/>
      <c r="W84" s="10">
        <f t="shared" si="22"/>
        <v>0</v>
      </c>
      <c r="X84" s="8">
        <f>IFERROR(W84/W444, "NA")</f>
        <v>0</v>
      </c>
      <c r="Y84" s="9"/>
      <c r="Z84" s="7">
        <v>0</v>
      </c>
      <c r="AA84" s="8">
        <f>IFERROR(Z84/Z444, "NA")</f>
        <v>0</v>
      </c>
      <c r="AB84" s="9"/>
      <c r="AC84" s="10">
        <f t="shared" si="23"/>
        <v>0</v>
      </c>
      <c r="AD84" s="8">
        <f>IFERROR(AC84/AC444, "NA")</f>
        <v>0</v>
      </c>
    </row>
    <row r="85" spans="1:30" ht="16.5" hidden="1" customHeight="1" x14ac:dyDescent="0.45">
      <c r="A85" s="12" t="s">
        <v>81</v>
      </c>
      <c r="B85" s="7">
        <v>0</v>
      </c>
      <c r="C85" s="8">
        <f>IFERROR(B85/B444, "NA")</f>
        <v>0</v>
      </c>
      <c r="D85" s="9"/>
      <c r="E85" s="7">
        <v>0</v>
      </c>
      <c r="F85" s="8">
        <f>IFERROR(E85/E444, "NA")</f>
        <v>0</v>
      </c>
      <c r="G85" s="9"/>
      <c r="H85" s="10">
        <f t="shared" si="20"/>
        <v>0</v>
      </c>
      <c r="I85" s="8">
        <f>IFERROR(H85/H444, "NA")</f>
        <v>0</v>
      </c>
      <c r="J85" s="9"/>
      <c r="K85" s="7">
        <v>0</v>
      </c>
      <c r="L85" s="8">
        <f>IFERROR(K85/K444, "NA")</f>
        <v>0</v>
      </c>
      <c r="M85" s="9"/>
      <c r="N85" s="10">
        <f t="shared" si="21"/>
        <v>0</v>
      </c>
      <c r="O85" s="8">
        <f>IFERROR(N85/N444, "NA")</f>
        <v>0</v>
      </c>
      <c r="P85" s="9"/>
      <c r="Q85" s="7">
        <v>0</v>
      </c>
      <c r="R85" s="8">
        <f>IFERROR(Q85/Q444, "NA")</f>
        <v>0</v>
      </c>
      <c r="S85" s="9"/>
      <c r="T85" s="7">
        <v>0</v>
      </c>
      <c r="U85" s="8">
        <f>IFERROR(T85/T444, "NA")</f>
        <v>0</v>
      </c>
      <c r="V85" s="9"/>
      <c r="W85" s="10">
        <f t="shared" si="22"/>
        <v>0</v>
      </c>
      <c r="X85" s="8">
        <f>IFERROR(W85/W444, "NA")</f>
        <v>0</v>
      </c>
      <c r="Y85" s="9"/>
      <c r="Z85" s="7">
        <v>0</v>
      </c>
      <c r="AA85" s="8">
        <f>IFERROR(Z85/Z444, "NA")</f>
        <v>0</v>
      </c>
      <c r="AB85" s="9"/>
      <c r="AC85" s="10">
        <f t="shared" si="23"/>
        <v>0</v>
      </c>
      <c r="AD85" s="8">
        <f>IFERROR(AC85/AC444, "NA")</f>
        <v>0</v>
      </c>
    </row>
    <row r="86" spans="1:30" ht="16.5" hidden="1" customHeight="1" x14ac:dyDescent="0.45">
      <c r="A86" s="12" t="s">
        <v>82</v>
      </c>
      <c r="B86" s="7">
        <v>0</v>
      </c>
      <c r="C86" s="8">
        <f>IFERROR(B86/B444, "NA")</f>
        <v>0</v>
      </c>
      <c r="D86" s="9"/>
      <c r="E86" s="7">
        <v>0</v>
      </c>
      <c r="F86" s="8">
        <f>IFERROR(E86/E444, "NA")</f>
        <v>0</v>
      </c>
      <c r="G86" s="9"/>
      <c r="H86" s="10">
        <f t="shared" si="20"/>
        <v>0</v>
      </c>
      <c r="I86" s="8">
        <f>IFERROR(H86/H444, "NA")</f>
        <v>0</v>
      </c>
      <c r="J86" s="9"/>
      <c r="K86" s="7">
        <v>0</v>
      </c>
      <c r="L86" s="8">
        <f>IFERROR(K86/K444, "NA")</f>
        <v>0</v>
      </c>
      <c r="M86" s="9"/>
      <c r="N86" s="10">
        <f t="shared" si="21"/>
        <v>0</v>
      </c>
      <c r="O86" s="8">
        <f>IFERROR(N86/N444, "NA")</f>
        <v>0</v>
      </c>
      <c r="P86" s="9"/>
      <c r="Q86" s="7">
        <v>0</v>
      </c>
      <c r="R86" s="8">
        <f>IFERROR(Q86/Q444, "NA")</f>
        <v>0</v>
      </c>
      <c r="S86" s="9"/>
      <c r="T86" s="7">
        <v>0</v>
      </c>
      <c r="U86" s="8">
        <f>IFERROR(T86/T444, "NA")</f>
        <v>0</v>
      </c>
      <c r="V86" s="9"/>
      <c r="W86" s="10">
        <f t="shared" si="22"/>
        <v>0</v>
      </c>
      <c r="X86" s="8">
        <f>IFERROR(W86/W444, "NA")</f>
        <v>0</v>
      </c>
      <c r="Y86" s="9"/>
      <c r="Z86" s="7">
        <v>0</v>
      </c>
      <c r="AA86" s="8">
        <f>IFERROR(Z86/Z444, "NA")</f>
        <v>0</v>
      </c>
      <c r="AB86" s="9"/>
      <c r="AC86" s="10">
        <f t="shared" si="23"/>
        <v>0</v>
      </c>
      <c r="AD86" s="8">
        <f>IFERROR(AC86/AC444, "NA")</f>
        <v>0</v>
      </c>
    </row>
    <row r="87" spans="1:30" ht="16.5" hidden="1" customHeight="1" x14ac:dyDescent="0.45">
      <c r="A87" s="12" t="s">
        <v>83</v>
      </c>
      <c r="B87" s="7">
        <v>0</v>
      </c>
      <c r="C87" s="8">
        <f>IFERROR(B87/B444, "NA")</f>
        <v>0</v>
      </c>
      <c r="D87" s="9"/>
      <c r="E87" s="7">
        <v>0</v>
      </c>
      <c r="F87" s="8">
        <f>IFERROR(E87/E444, "NA")</f>
        <v>0</v>
      </c>
      <c r="G87" s="9"/>
      <c r="H87" s="10">
        <f t="shared" si="20"/>
        <v>0</v>
      </c>
      <c r="I87" s="8">
        <f>IFERROR(H87/H444, "NA")</f>
        <v>0</v>
      </c>
      <c r="J87" s="9"/>
      <c r="K87" s="7">
        <v>0</v>
      </c>
      <c r="L87" s="8">
        <f>IFERROR(K87/K444, "NA")</f>
        <v>0</v>
      </c>
      <c r="M87" s="9"/>
      <c r="N87" s="10">
        <f t="shared" si="21"/>
        <v>0</v>
      </c>
      <c r="O87" s="8">
        <f>IFERROR(N87/N444, "NA")</f>
        <v>0</v>
      </c>
      <c r="P87" s="9"/>
      <c r="Q87" s="7">
        <v>0</v>
      </c>
      <c r="R87" s="8">
        <f>IFERROR(Q87/Q444, "NA")</f>
        <v>0</v>
      </c>
      <c r="S87" s="9"/>
      <c r="T87" s="7">
        <v>0</v>
      </c>
      <c r="U87" s="8">
        <f>IFERROR(T87/T444, "NA")</f>
        <v>0</v>
      </c>
      <c r="V87" s="9"/>
      <c r="W87" s="10">
        <f t="shared" si="22"/>
        <v>0</v>
      </c>
      <c r="X87" s="8">
        <f>IFERROR(W87/W444, "NA")</f>
        <v>0</v>
      </c>
      <c r="Y87" s="9"/>
      <c r="Z87" s="7">
        <v>0</v>
      </c>
      <c r="AA87" s="8">
        <f>IFERROR(Z87/Z444, "NA")</f>
        <v>0</v>
      </c>
      <c r="AB87" s="9"/>
      <c r="AC87" s="10">
        <f t="shared" si="23"/>
        <v>0</v>
      </c>
      <c r="AD87" s="8">
        <f>IFERROR(AC87/AC444, "NA")</f>
        <v>0</v>
      </c>
    </row>
    <row r="88" spans="1:30" ht="16.5" customHeight="1" x14ac:dyDescent="0.45">
      <c r="A88" s="13" t="s">
        <v>84</v>
      </c>
      <c r="B88" s="14">
        <f>IFERROR(B75+B76+B77+B78+B79+B80+B81+B82+B83+B84+B85+B86+B87, "NA")</f>
        <v>2363.54</v>
      </c>
      <c r="C88" s="15">
        <f>IFERROR(B88/B444, "NA")</f>
        <v>2.054971625612851E-2</v>
      </c>
      <c r="D88" s="2"/>
      <c r="E88" s="14">
        <f>IFERROR(E75+E76+E77+E78+E79+E80+E81+E82+E83+E84+E85+E86+E87, "NA")</f>
        <v>2004.05</v>
      </c>
      <c r="F88" s="15">
        <f>IFERROR(E88/E444, "NA")</f>
        <v>1.4999991392435267E-2</v>
      </c>
      <c r="G88" s="2"/>
      <c r="H88" s="14">
        <f t="shared" si="20"/>
        <v>359.49</v>
      </c>
      <c r="I88" s="15">
        <f>IFERROR(H88/H444, "NA")</f>
        <v>-1.9340198442949662E-2</v>
      </c>
      <c r="J88" s="2"/>
      <c r="K88" s="14">
        <f>IFERROR(K75+K76+K77+K78+K79+K80+K81+K82+K83+K84+K85+K86+K87, "NA")</f>
        <v>1507.74</v>
      </c>
      <c r="L88" s="15">
        <f>IFERROR(K88/K444, "NA")</f>
        <v>1.3316524063434327E-2</v>
      </c>
      <c r="M88" s="2"/>
      <c r="N88" s="14">
        <f t="shared" si="21"/>
        <v>855.8</v>
      </c>
      <c r="O88" s="15">
        <f>IFERROR(N88/N444, "NA")</f>
        <v>0.47744440601185179</v>
      </c>
      <c r="P88" s="2"/>
      <c r="Q88" s="14">
        <f>IFERROR(Q75+Q76+Q77+Q78+Q79+Q80+Q81+Q82+Q83+Q84+Q85+Q86+Q87, "NA")</f>
        <v>8363.99</v>
      </c>
      <c r="R88" s="15">
        <f>IFERROR(Q88/Q444, "NA")</f>
        <v>1.504944524177051E-2</v>
      </c>
      <c r="S88" s="2"/>
      <c r="T88" s="14">
        <f>IFERROR(T75+T76+T77+T78+T79+T80+T81+T82+T83+T84+T85+T86+T87, "NA")</f>
        <v>8525.27</v>
      </c>
      <c r="U88" s="15">
        <f>IFERROR(T88/T444, "NA")</f>
        <v>1.4999999824052496E-2</v>
      </c>
      <c r="V88" s="2"/>
      <c r="W88" s="14">
        <f t="shared" si="22"/>
        <v>-161.28000000000065</v>
      </c>
      <c r="X88" s="15">
        <f>IFERROR(W88/W444, "NA")</f>
        <v>1.2816264449885255E-2</v>
      </c>
      <c r="Y88" s="2"/>
      <c r="Z88" s="14">
        <f>IFERROR(Z75+Z76+Z77+Z78+Z79+Z80+Z81+Z82+Z83+Z84+Z85+Z86+Z87, "NA")</f>
        <v>5909.63</v>
      </c>
      <c r="AA88" s="15">
        <f>IFERROR(Z88/Z444, "NA")</f>
        <v>1.2002280129188365E-2</v>
      </c>
      <c r="AB88" s="2"/>
      <c r="AC88" s="14">
        <f t="shared" si="23"/>
        <v>2454.3599999999997</v>
      </c>
      <c r="AD88" s="15">
        <f>IFERROR(AC88/AC444, "NA")</f>
        <v>3.8717359301814191E-2</v>
      </c>
    </row>
    <row r="89" spans="1:30" ht="16.5" customHeight="1" x14ac:dyDescent="0.45">
      <c r="A89" s="6" t="s">
        <v>85</v>
      </c>
      <c r="B89" s="7">
        <v>0</v>
      </c>
      <c r="C89" s="8">
        <f>IFERROR(B89/B444, "NA")</f>
        <v>0</v>
      </c>
      <c r="D89" s="9"/>
      <c r="E89" s="7">
        <v>0</v>
      </c>
      <c r="F89" s="8">
        <f>IFERROR(E89/E444, "NA")</f>
        <v>0</v>
      </c>
      <c r="G89" s="9"/>
      <c r="H89" s="10">
        <f t="shared" si="20"/>
        <v>0</v>
      </c>
      <c r="I89" s="8">
        <f>IFERROR(H89/H444, "NA")</f>
        <v>0</v>
      </c>
      <c r="J89" s="9"/>
      <c r="K89" s="7">
        <v>1394.48</v>
      </c>
      <c r="L89" s="8">
        <f>IFERROR(K89/K444, "NA")</f>
        <v>1.2316199395106517E-2</v>
      </c>
      <c r="M89" s="9"/>
      <c r="N89" s="10">
        <f t="shared" si="21"/>
        <v>-1394.48</v>
      </c>
      <c r="O89" s="8">
        <f>IFERROR(N89/N444, "NA")</f>
        <v>-0.77796994075181947</v>
      </c>
      <c r="P89" s="9"/>
      <c r="Q89" s="7">
        <v>-15.94</v>
      </c>
      <c r="R89" s="8">
        <f>IFERROR(Q89/Q444, "NA")</f>
        <v>-2.8681066949365304E-5</v>
      </c>
      <c r="S89" s="9"/>
      <c r="T89" s="7">
        <v>0</v>
      </c>
      <c r="U89" s="8">
        <f>IFERROR(T89/T444, "NA")</f>
        <v>0</v>
      </c>
      <c r="V89" s="9"/>
      <c r="W89" s="10">
        <f t="shared" si="22"/>
        <v>-15.94</v>
      </c>
      <c r="X89" s="8">
        <f>IFERROR(W89/W444, "NA")</f>
        <v>1.2666868510117194E-3</v>
      </c>
      <c r="Y89" s="9"/>
      <c r="Z89" s="7">
        <v>6.09</v>
      </c>
      <c r="AA89" s="8">
        <f>IFERROR(Z89/Z444, "NA")</f>
        <v>1.2368606154151299E-5</v>
      </c>
      <c r="AB89" s="9"/>
      <c r="AC89" s="10">
        <f t="shared" si="23"/>
        <v>-22.03</v>
      </c>
      <c r="AD89" s="8">
        <f>IFERROR(AC89/AC444, "NA")</f>
        <v>-3.4752172681227155E-4</v>
      </c>
    </row>
    <row r="90" spans="1:30" ht="16.5" hidden="1" customHeight="1" x14ac:dyDescent="0.45">
      <c r="A90" s="6" t="s">
        <v>86</v>
      </c>
      <c r="B90" s="7">
        <v>0</v>
      </c>
      <c r="C90" s="8">
        <f>IFERROR(B90/B444, "NA")</f>
        <v>0</v>
      </c>
      <c r="D90" s="9"/>
      <c r="E90" s="7">
        <v>0</v>
      </c>
      <c r="F90" s="8">
        <f>IFERROR(E90/E444, "NA")</f>
        <v>0</v>
      </c>
      <c r="G90" s="9"/>
      <c r="H90" s="10">
        <f t="shared" si="20"/>
        <v>0</v>
      </c>
      <c r="I90" s="8">
        <f>IFERROR(H90/H444, "NA")</f>
        <v>0</v>
      </c>
      <c r="J90" s="9"/>
      <c r="K90" s="7">
        <v>0</v>
      </c>
      <c r="L90" s="8">
        <f>IFERROR(K90/K444, "NA")</f>
        <v>0</v>
      </c>
      <c r="M90" s="9"/>
      <c r="N90" s="10">
        <f t="shared" si="21"/>
        <v>0</v>
      </c>
      <c r="O90" s="8">
        <f>IFERROR(N90/N444, "NA")</f>
        <v>0</v>
      </c>
      <c r="P90" s="9"/>
      <c r="Q90" s="7">
        <v>0</v>
      </c>
      <c r="R90" s="8">
        <f>IFERROR(Q90/Q444, "NA")</f>
        <v>0</v>
      </c>
      <c r="S90" s="9"/>
      <c r="T90" s="7">
        <v>0</v>
      </c>
      <c r="U90" s="8">
        <f>IFERROR(T90/T444, "NA")</f>
        <v>0</v>
      </c>
      <c r="V90" s="9"/>
      <c r="W90" s="10">
        <f t="shared" si="22"/>
        <v>0</v>
      </c>
      <c r="X90" s="8">
        <f>IFERROR(W90/W444, "NA")</f>
        <v>0</v>
      </c>
      <c r="Y90" s="9"/>
      <c r="Z90" s="7">
        <v>0</v>
      </c>
      <c r="AA90" s="8">
        <f>IFERROR(Z90/Z444, "NA")</f>
        <v>0</v>
      </c>
      <c r="AB90" s="9"/>
      <c r="AC90" s="10">
        <f t="shared" si="23"/>
        <v>0</v>
      </c>
      <c r="AD90" s="8">
        <f>IFERROR(AC90/AC444, "NA")</f>
        <v>0</v>
      </c>
    </row>
    <row r="91" spans="1:30" ht="16.5" hidden="1" customHeight="1" x14ac:dyDescent="0.45">
      <c r="A91" s="6" t="s">
        <v>87</v>
      </c>
      <c r="B91" s="7">
        <v>0</v>
      </c>
      <c r="C91" s="8">
        <f>IFERROR(B91/B444, "NA")</f>
        <v>0</v>
      </c>
      <c r="D91" s="9"/>
      <c r="E91" s="7">
        <v>0</v>
      </c>
      <c r="F91" s="8">
        <f>IFERROR(E91/E444, "NA")</f>
        <v>0</v>
      </c>
      <c r="G91" s="9"/>
      <c r="H91" s="10">
        <f t="shared" si="20"/>
        <v>0</v>
      </c>
      <c r="I91" s="8">
        <f>IFERROR(H91/H444, "NA")</f>
        <v>0</v>
      </c>
      <c r="J91" s="9"/>
      <c r="K91" s="7">
        <v>0</v>
      </c>
      <c r="L91" s="8">
        <f>IFERROR(K91/K444, "NA")</f>
        <v>0</v>
      </c>
      <c r="M91" s="9"/>
      <c r="N91" s="10">
        <f t="shared" si="21"/>
        <v>0</v>
      </c>
      <c r="O91" s="8">
        <f>IFERROR(N91/N444, "NA")</f>
        <v>0</v>
      </c>
      <c r="P91" s="9"/>
      <c r="Q91" s="7">
        <v>0</v>
      </c>
      <c r="R91" s="8">
        <f>IFERROR(Q91/Q444, "NA")</f>
        <v>0</v>
      </c>
      <c r="S91" s="9"/>
      <c r="T91" s="7">
        <v>0</v>
      </c>
      <c r="U91" s="8">
        <f>IFERROR(T91/T444, "NA")</f>
        <v>0</v>
      </c>
      <c r="V91" s="9"/>
      <c r="W91" s="10">
        <f t="shared" si="22"/>
        <v>0</v>
      </c>
      <c r="X91" s="8">
        <f>IFERROR(W91/W444, "NA")</f>
        <v>0</v>
      </c>
      <c r="Y91" s="9"/>
      <c r="Z91" s="7">
        <v>0</v>
      </c>
      <c r="AA91" s="8">
        <f>IFERROR(Z91/Z444, "NA")</f>
        <v>0</v>
      </c>
      <c r="AB91" s="9"/>
      <c r="AC91" s="10">
        <f t="shared" si="23"/>
        <v>0</v>
      </c>
      <c r="AD91" s="8">
        <f>IFERROR(AC91/AC444, "NA")</f>
        <v>0</v>
      </c>
    </row>
    <row r="92" spans="1:30" ht="16.5" hidden="1" customHeight="1" x14ac:dyDescent="0.45">
      <c r="A92" s="6" t="s">
        <v>88</v>
      </c>
      <c r="B92" s="7">
        <v>0</v>
      </c>
      <c r="C92" s="8">
        <f>IFERROR(B92/B444, "NA")</f>
        <v>0</v>
      </c>
      <c r="D92" s="9"/>
      <c r="E92" s="7">
        <v>0</v>
      </c>
      <c r="F92" s="8">
        <f>IFERROR(E92/E444, "NA")</f>
        <v>0</v>
      </c>
      <c r="G92" s="9"/>
      <c r="H92" s="10">
        <f t="shared" si="20"/>
        <v>0</v>
      </c>
      <c r="I92" s="8">
        <f>IFERROR(H92/H444, "NA")</f>
        <v>0</v>
      </c>
      <c r="J92" s="9"/>
      <c r="K92" s="7">
        <v>0</v>
      </c>
      <c r="L92" s="8">
        <f>IFERROR(K92/K444, "NA")</f>
        <v>0</v>
      </c>
      <c r="M92" s="9"/>
      <c r="N92" s="10">
        <f t="shared" si="21"/>
        <v>0</v>
      </c>
      <c r="O92" s="8">
        <f>IFERROR(N92/N444, "NA")</f>
        <v>0</v>
      </c>
      <c r="P92" s="9"/>
      <c r="Q92" s="7">
        <v>0</v>
      </c>
      <c r="R92" s="8">
        <f>IFERROR(Q92/Q444, "NA")</f>
        <v>0</v>
      </c>
      <c r="S92" s="9"/>
      <c r="T92" s="7">
        <v>0</v>
      </c>
      <c r="U92" s="8">
        <f>IFERROR(T92/T444, "NA")</f>
        <v>0</v>
      </c>
      <c r="V92" s="9"/>
      <c r="W92" s="10">
        <f t="shared" si="22"/>
        <v>0</v>
      </c>
      <c r="X92" s="8">
        <f>IFERROR(W92/W444, "NA")</f>
        <v>0</v>
      </c>
      <c r="Y92" s="9"/>
      <c r="Z92" s="7">
        <v>0</v>
      </c>
      <c r="AA92" s="8">
        <f>IFERROR(Z92/Z444, "NA")</f>
        <v>0</v>
      </c>
      <c r="AB92" s="9"/>
      <c r="AC92" s="10">
        <f t="shared" si="23"/>
        <v>0</v>
      </c>
      <c r="AD92" s="8">
        <f>IFERROR(AC92/AC444, "NA")</f>
        <v>0</v>
      </c>
    </row>
    <row r="93" spans="1:30" ht="16.5" customHeight="1" x14ac:dyDescent="0.45">
      <c r="A93" s="11" t="s">
        <v>89</v>
      </c>
      <c r="B93" s="2"/>
      <c r="C93" s="3"/>
      <c r="D93" s="4"/>
      <c r="E93" s="2"/>
      <c r="F93" s="3"/>
      <c r="G93" s="4"/>
      <c r="H93" s="2"/>
      <c r="I93" s="3"/>
      <c r="J93" s="4"/>
      <c r="K93" s="2"/>
      <c r="L93" s="3"/>
      <c r="M93" s="4"/>
      <c r="N93" s="2"/>
      <c r="O93" s="3"/>
      <c r="P93" s="4"/>
      <c r="Q93" s="2"/>
      <c r="R93" s="3"/>
      <c r="S93" s="4"/>
      <c r="T93" s="2"/>
      <c r="U93" s="3"/>
      <c r="V93" s="4"/>
      <c r="W93" s="2"/>
      <c r="X93" s="3"/>
      <c r="Y93" s="4"/>
      <c r="Z93" s="2"/>
      <c r="AA93" s="3"/>
      <c r="AB93" s="4"/>
      <c r="AC93" s="2"/>
      <c r="AD93" s="3"/>
    </row>
    <row r="94" spans="1:30" ht="16.5" customHeight="1" x14ac:dyDescent="0.45">
      <c r="A94" s="12" t="s">
        <v>89</v>
      </c>
      <c r="B94" s="7">
        <v>0</v>
      </c>
      <c r="C94" s="8">
        <f>IFERROR(B94/B444, "NA")</f>
        <v>0</v>
      </c>
      <c r="D94" s="9"/>
      <c r="E94" s="7">
        <v>-5744.95</v>
      </c>
      <c r="F94" s="8">
        <f>IFERROR(E94/E444, "NA")</f>
        <v>-4.3000025223907085E-2</v>
      </c>
      <c r="G94" s="9"/>
      <c r="H94" s="10">
        <f t="shared" ref="H94:H124" si="24">IFERROR(B94-E94, "NA")</f>
        <v>5744.95</v>
      </c>
      <c r="I94" s="8">
        <f>IFERROR(H94/H444, "NA")</f>
        <v>-0.30907250005514386</v>
      </c>
      <c r="J94" s="9"/>
      <c r="K94" s="7">
        <v>0</v>
      </c>
      <c r="L94" s="8">
        <f>IFERROR(K94/K444, "NA")</f>
        <v>0</v>
      </c>
      <c r="M94" s="9"/>
      <c r="N94" s="10">
        <f t="shared" ref="N94:N124" si="25">IFERROR(B94-K94, "NA")</f>
        <v>0</v>
      </c>
      <c r="O94" s="8">
        <f>IFERROR(N94/N444, "NA")</f>
        <v>0</v>
      </c>
      <c r="P94" s="9"/>
      <c r="Q94" s="7">
        <v>0</v>
      </c>
      <c r="R94" s="8">
        <f>IFERROR(Q94/Q444, "NA")</f>
        <v>0</v>
      </c>
      <c r="S94" s="9"/>
      <c r="T94" s="7">
        <v>-24439.11</v>
      </c>
      <c r="U94" s="8">
        <f>IFERROR(T94/T444, "NA")</f>
        <v>-4.3000004187550615E-2</v>
      </c>
      <c r="V94" s="9"/>
      <c r="W94" s="10">
        <f t="shared" ref="W94:W124" si="26">IFERROR(Q94-T94, "NA")</f>
        <v>24439.11</v>
      </c>
      <c r="X94" s="8">
        <f>IFERROR(W94/W444, "NA")</f>
        <v>-1.9420764923104783</v>
      </c>
      <c r="Y94" s="9"/>
      <c r="Z94" s="7">
        <v>0</v>
      </c>
      <c r="AA94" s="8">
        <f>IFERROR(Z94/Z444, "NA")</f>
        <v>0</v>
      </c>
      <c r="AB94" s="9"/>
      <c r="AC94" s="10">
        <f t="shared" ref="AC94:AC124" si="27">IFERROR(Q94-Z94, "NA")</f>
        <v>0</v>
      </c>
      <c r="AD94" s="8">
        <f>IFERROR(AC94/AC444, "NA")</f>
        <v>0</v>
      </c>
    </row>
    <row r="95" spans="1:30" ht="16.5" hidden="1" customHeight="1" x14ac:dyDescent="0.45">
      <c r="A95" s="12" t="s">
        <v>90</v>
      </c>
      <c r="B95" s="7">
        <v>0</v>
      </c>
      <c r="C95" s="8">
        <f>IFERROR(B95/B444, "NA")</f>
        <v>0</v>
      </c>
      <c r="D95" s="9"/>
      <c r="E95" s="7">
        <v>0</v>
      </c>
      <c r="F95" s="8">
        <f>IFERROR(E95/E444, "NA")</f>
        <v>0</v>
      </c>
      <c r="G95" s="9"/>
      <c r="H95" s="10">
        <f t="shared" si="24"/>
        <v>0</v>
      </c>
      <c r="I95" s="8">
        <f>IFERROR(H95/H444, "NA")</f>
        <v>0</v>
      </c>
      <c r="J95" s="9"/>
      <c r="K95" s="7">
        <v>0</v>
      </c>
      <c r="L95" s="8">
        <f>IFERROR(K95/K444, "NA")</f>
        <v>0</v>
      </c>
      <c r="M95" s="9"/>
      <c r="N95" s="10">
        <f t="shared" si="25"/>
        <v>0</v>
      </c>
      <c r="O95" s="8">
        <f>IFERROR(N95/N444, "NA")</f>
        <v>0</v>
      </c>
      <c r="P95" s="9"/>
      <c r="Q95" s="7">
        <v>0</v>
      </c>
      <c r="R95" s="8">
        <f>IFERROR(Q95/Q444, "NA")</f>
        <v>0</v>
      </c>
      <c r="S95" s="9"/>
      <c r="T95" s="7">
        <v>0</v>
      </c>
      <c r="U95" s="8">
        <f>IFERROR(T95/T444, "NA")</f>
        <v>0</v>
      </c>
      <c r="V95" s="9"/>
      <c r="W95" s="10">
        <f t="shared" si="26"/>
        <v>0</v>
      </c>
      <c r="X95" s="8">
        <f>IFERROR(W95/W444, "NA")</f>
        <v>0</v>
      </c>
      <c r="Y95" s="9"/>
      <c r="Z95" s="7">
        <v>0</v>
      </c>
      <c r="AA95" s="8">
        <f>IFERROR(Z95/Z444, "NA")</f>
        <v>0</v>
      </c>
      <c r="AB95" s="9"/>
      <c r="AC95" s="10">
        <f t="shared" si="27"/>
        <v>0</v>
      </c>
      <c r="AD95" s="8">
        <f>IFERROR(AC95/AC444, "NA")</f>
        <v>0</v>
      </c>
    </row>
    <row r="96" spans="1:30" ht="16.5" customHeight="1" x14ac:dyDescent="0.45">
      <c r="A96" s="12" t="s">
        <v>91</v>
      </c>
      <c r="B96" s="7">
        <v>-315.89999999999998</v>
      </c>
      <c r="C96" s="8">
        <f>IFERROR(B96/B444, "NA")</f>
        <v>-2.7465815536487628E-3</v>
      </c>
      <c r="D96" s="9"/>
      <c r="E96" s="7">
        <v>0</v>
      </c>
      <c r="F96" s="8">
        <f>IFERROR(E96/E444, "NA")</f>
        <v>0</v>
      </c>
      <c r="G96" s="9"/>
      <c r="H96" s="10">
        <f t="shared" si="24"/>
        <v>-315.89999999999998</v>
      </c>
      <c r="I96" s="8">
        <f>IFERROR(H96/H444, "NA")</f>
        <v>1.6995100526100305E-2</v>
      </c>
      <c r="J96" s="9"/>
      <c r="K96" s="7">
        <v>-897.15</v>
      </c>
      <c r="L96" s="8">
        <f>IFERROR(K96/K444, "NA")</f>
        <v>-7.9237266130169036E-3</v>
      </c>
      <c r="M96" s="9"/>
      <c r="N96" s="10">
        <f t="shared" si="25"/>
        <v>581.25</v>
      </c>
      <c r="O96" s="8">
        <f>IFERROR(N96/N444, "NA")</f>
        <v>0.3242750186894004</v>
      </c>
      <c r="P96" s="9"/>
      <c r="Q96" s="7">
        <v>-6041.1</v>
      </c>
      <c r="R96" s="8">
        <f>IFERROR(Q96/Q444, "NA")</f>
        <v>-1.0869836483551491E-2</v>
      </c>
      <c r="S96" s="9"/>
      <c r="T96" s="7">
        <v>0</v>
      </c>
      <c r="U96" s="8">
        <f>IFERROR(T96/T444, "NA")</f>
        <v>0</v>
      </c>
      <c r="V96" s="9"/>
      <c r="W96" s="10">
        <f t="shared" si="26"/>
        <v>-6041.1</v>
      </c>
      <c r="X96" s="8">
        <f>IFERROR(W96/W444, "NA")</f>
        <v>0.48006160198537634</v>
      </c>
      <c r="Y96" s="9"/>
      <c r="Z96" s="7">
        <v>-6428.04</v>
      </c>
      <c r="AA96" s="8">
        <f>IFERROR(Z96/Z444, "NA")</f>
        <v>-1.305515518934823E-2</v>
      </c>
      <c r="AB96" s="9"/>
      <c r="AC96" s="10">
        <f t="shared" si="27"/>
        <v>386.9399999999996</v>
      </c>
      <c r="AD96" s="8">
        <f>IFERROR(AC96/AC444, "NA")</f>
        <v>6.1039517463794919E-3</v>
      </c>
    </row>
    <row r="97" spans="1:30" ht="16.5" hidden="1" customHeight="1" x14ac:dyDescent="0.45">
      <c r="A97" s="12" t="s">
        <v>92</v>
      </c>
      <c r="B97" s="7">
        <v>0</v>
      </c>
      <c r="C97" s="8">
        <f>IFERROR(B97/B444, "NA")</f>
        <v>0</v>
      </c>
      <c r="D97" s="9"/>
      <c r="E97" s="7">
        <v>0</v>
      </c>
      <c r="F97" s="8">
        <f>IFERROR(E97/E444, "NA")</f>
        <v>0</v>
      </c>
      <c r="G97" s="9"/>
      <c r="H97" s="10">
        <f t="shared" si="24"/>
        <v>0</v>
      </c>
      <c r="I97" s="8">
        <f>IFERROR(H97/H444, "NA")</f>
        <v>0</v>
      </c>
      <c r="J97" s="9"/>
      <c r="K97" s="7">
        <v>0</v>
      </c>
      <c r="L97" s="8">
        <f>IFERROR(K97/K444, "NA")</f>
        <v>0</v>
      </c>
      <c r="M97" s="9"/>
      <c r="N97" s="10">
        <f t="shared" si="25"/>
        <v>0</v>
      </c>
      <c r="O97" s="8">
        <f>IFERROR(N97/N444, "NA")</f>
        <v>0</v>
      </c>
      <c r="P97" s="9"/>
      <c r="Q97" s="7">
        <v>0</v>
      </c>
      <c r="R97" s="8">
        <f>IFERROR(Q97/Q444, "NA")</f>
        <v>0</v>
      </c>
      <c r="S97" s="9"/>
      <c r="T97" s="7">
        <v>0</v>
      </c>
      <c r="U97" s="8">
        <f>IFERROR(T97/T444, "NA")</f>
        <v>0</v>
      </c>
      <c r="V97" s="9"/>
      <c r="W97" s="10">
        <f t="shared" si="26"/>
        <v>0</v>
      </c>
      <c r="X97" s="8">
        <f>IFERROR(W97/W444, "NA")</f>
        <v>0</v>
      </c>
      <c r="Y97" s="9"/>
      <c r="Z97" s="7">
        <v>0</v>
      </c>
      <c r="AA97" s="8">
        <f>IFERROR(Z97/Z444, "NA")</f>
        <v>0</v>
      </c>
      <c r="AB97" s="9"/>
      <c r="AC97" s="10">
        <f t="shared" si="27"/>
        <v>0</v>
      </c>
      <c r="AD97" s="8">
        <f>IFERROR(AC97/AC444, "NA")</f>
        <v>0</v>
      </c>
    </row>
    <row r="98" spans="1:30" ht="16.5" customHeight="1" x14ac:dyDescent="0.45">
      <c r="A98" s="12" t="s">
        <v>93</v>
      </c>
      <c r="B98" s="7">
        <v>-2336.75</v>
      </c>
      <c r="C98" s="8">
        <f>IFERROR(B98/B444, "NA")</f>
        <v>-2.0316791533677575E-2</v>
      </c>
      <c r="D98" s="9"/>
      <c r="E98" s="7">
        <v>0</v>
      </c>
      <c r="F98" s="8">
        <f>IFERROR(E98/E444, "NA")</f>
        <v>0</v>
      </c>
      <c r="G98" s="9"/>
      <c r="H98" s="10">
        <f t="shared" si="24"/>
        <v>-2336.75</v>
      </c>
      <c r="I98" s="8">
        <f>IFERROR(H98/H444, "NA")</f>
        <v>0.12571478681343745</v>
      </c>
      <c r="J98" s="9"/>
      <c r="K98" s="7">
        <v>-2666.89</v>
      </c>
      <c r="L98" s="8">
        <f>IFERROR(K98/K444, "NA")</f>
        <v>-2.3554263241362814E-2</v>
      </c>
      <c r="M98" s="9"/>
      <c r="N98" s="10">
        <f t="shared" si="25"/>
        <v>330.13999999999987</v>
      </c>
      <c r="O98" s="8">
        <f>IFERROR(N98/N444, "NA")</f>
        <v>0.18418263169052665</v>
      </c>
      <c r="P98" s="9"/>
      <c r="Q98" s="7">
        <v>-12040.92</v>
      </c>
      <c r="R98" s="8">
        <f>IFERROR(Q98/Q444, "NA")</f>
        <v>-2.1665397280549042E-2</v>
      </c>
      <c r="S98" s="9"/>
      <c r="T98" s="7">
        <v>0</v>
      </c>
      <c r="U98" s="8">
        <f>IFERROR(T98/T444, "NA")</f>
        <v>0</v>
      </c>
      <c r="V98" s="9"/>
      <c r="W98" s="10">
        <f t="shared" si="26"/>
        <v>-12040.92</v>
      </c>
      <c r="X98" s="8">
        <f>IFERROR(W98/W444, "NA")</f>
        <v>0.95684285056988916</v>
      </c>
      <c r="Y98" s="9"/>
      <c r="Z98" s="7">
        <v>-12706.48</v>
      </c>
      <c r="AA98" s="8">
        <f>IFERROR(Z98/Z444, "NA")</f>
        <v>-2.5806477294844071E-2</v>
      </c>
      <c r="AB98" s="9"/>
      <c r="AC98" s="10">
        <f t="shared" si="27"/>
        <v>665.55999999999949</v>
      </c>
      <c r="AD98" s="8">
        <f>IFERROR(AC98/AC444, "NA")</f>
        <v>1.0499162982168646E-2</v>
      </c>
    </row>
    <row r="99" spans="1:30" ht="16.5" hidden="1" customHeight="1" x14ac:dyDescent="0.45">
      <c r="A99" s="12" t="s">
        <v>94</v>
      </c>
      <c r="B99" s="7">
        <v>0</v>
      </c>
      <c r="C99" s="8">
        <f>IFERROR(B99/B444, "NA")</f>
        <v>0</v>
      </c>
      <c r="D99" s="9"/>
      <c r="E99" s="7">
        <v>0</v>
      </c>
      <c r="F99" s="8">
        <f>IFERROR(E99/E444, "NA")</f>
        <v>0</v>
      </c>
      <c r="G99" s="9"/>
      <c r="H99" s="10">
        <f t="shared" si="24"/>
        <v>0</v>
      </c>
      <c r="I99" s="8">
        <f>IFERROR(H99/H444, "NA")</f>
        <v>0</v>
      </c>
      <c r="J99" s="9"/>
      <c r="K99" s="7">
        <v>0</v>
      </c>
      <c r="L99" s="8">
        <f>IFERROR(K99/K444, "NA")</f>
        <v>0</v>
      </c>
      <c r="M99" s="9"/>
      <c r="N99" s="10">
        <f t="shared" si="25"/>
        <v>0</v>
      </c>
      <c r="O99" s="8">
        <f>IFERROR(N99/N444, "NA")</f>
        <v>0</v>
      </c>
      <c r="P99" s="9"/>
      <c r="Q99" s="7">
        <v>0</v>
      </c>
      <c r="R99" s="8">
        <f>IFERROR(Q99/Q444, "NA")</f>
        <v>0</v>
      </c>
      <c r="S99" s="9"/>
      <c r="T99" s="7">
        <v>0</v>
      </c>
      <c r="U99" s="8">
        <f>IFERROR(T99/T444, "NA")</f>
        <v>0</v>
      </c>
      <c r="V99" s="9"/>
      <c r="W99" s="10">
        <f t="shared" si="26"/>
        <v>0</v>
      </c>
      <c r="X99" s="8">
        <f>IFERROR(W99/W444, "NA")</f>
        <v>0</v>
      </c>
      <c r="Y99" s="9"/>
      <c r="Z99" s="7">
        <v>0</v>
      </c>
      <c r="AA99" s="8">
        <f>IFERROR(Z99/Z444, "NA")</f>
        <v>0</v>
      </c>
      <c r="AB99" s="9"/>
      <c r="AC99" s="10">
        <f t="shared" si="27"/>
        <v>0</v>
      </c>
      <c r="AD99" s="8">
        <f>IFERROR(AC99/AC444, "NA")</f>
        <v>0</v>
      </c>
    </row>
    <row r="100" spans="1:30" ht="16.5" customHeight="1" x14ac:dyDescent="0.45">
      <c r="A100" s="12" t="s">
        <v>95</v>
      </c>
      <c r="B100" s="7">
        <v>-71.84</v>
      </c>
      <c r="C100" s="8">
        <f>IFERROR(B100/B444, "NA")</f>
        <v>-6.2461037927865508E-4</v>
      </c>
      <c r="D100" s="9"/>
      <c r="E100" s="7">
        <v>0</v>
      </c>
      <c r="F100" s="8">
        <f>IFERROR(E100/E444, "NA")</f>
        <v>0</v>
      </c>
      <c r="G100" s="9"/>
      <c r="H100" s="10">
        <f t="shared" si="24"/>
        <v>-71.84</v>
      </c>
      <c r="I100" s="8">
        <f>IFERROR(H100/H444, "NA")</f>
        <v>3.8649193472461091E-3</v>
      </c>
      <c r="J100" s="9"/>
      <c r="K100" s="7">
        <v>-83.08</v>
      </c>
      <c r="L100" s="8">
        <f>IFERROR(K100/K444, "NA")</f>
        <v>-7.337716179116584E-4</v>
      </c>
      <c r="M100" s="9"/>
      <c r="N100" s="10">
        <f t="shared" si="25"/>
        <v>11.239999999999995</v>
      </c>
      <c r="O100" s="8">
        <f>IFERROR(N100/N444, "NA")</f>
        <v>6.2707117592582517E-3</v>
      </c>
      <c r="P100" s="9"/>
      <c r="Q100" s="7">
        <v>-2886.06</v>
      </c>
      <c r="R100" s="8">
        <f>IFERROR(Q100/Q444, "NA")</f>
        <v>-5.1929284868183958E-3</v>
      </c>
      <c r="S100" s="9"/>
      <c r="T100" s="7">
        <v>0</v>
      </c>
      <c r="U100" s="8">
        <f>IFERROR(T100/T444, "NA")</f>
        <v>0</v>
      </c>
      <c r="V100" s="9"/>
      <c r="W100" s="10">
        <f t="shared" si="26"/>
        <v>-2886.06</v>
      </c>
      <c r="X100" s="8">
        <f>IFERROR(W100/W444, "NA")</f>
        <v>0.22934342868449706</v>
      </c>
      <c r="Y100" s="9"/>
      <c r="Z100" s="7">
        <v>-514.6</v>
      </c>
      <c r="AA100" s="8">
        <f>IFERROR(Z100/Z444, "NA")</f>
        <v>-1.0451370651767256E-3</v>
      </c>
      <c r="AB100" s="9"/>
      <c r="AC100" s="10">
        <f t="shared" si="27"/>
        <v>-2371.46</v>
      </c>
      <c r="AD100" s="8">
        <f>IFERROR(AC100/AC444, "NA")</f>
        <v>-3.7409617533646369E-2</v>
      </c>
    </row>
    <row r="101" spans="1:30" ht="16.5" hidden="1" customHeight="1" x14ac:dyDescent="0.45">
      <c r="A101" s="12" t="s">
        <v>96</v>
      </c>
      <c r="B101" s="7">
        <v>0</v>
      </c>
      <c r="C101" s="8">
        <f>IFERROR(B101/B444, "NA")</f>
        <v>0</v>
      </c>
      <c r="D101" s="9"/>
      <c r="E101" s="7">
        <v>0</v>
      </c>
      <c r="F101" s="8">
        <f>IFERROR(E101/E444, "NA")</f>
        <v>0</v>
      </c>
      <c r="G101" s="9"/>
      <c r="H101" s="10">
        <f t="shared" si="24"/>
        <v>0</v>
      </c>
      <c r="I101" s="8">
        <f>IFERROR(H101/H444, "NA")</f>
        <v>0</v>
      </c>
      <c r="J101" s="9"/>
      <c r="K101" s="7">
        <v>0</v>
      </c>
      <c r="L101" s="8">
        <f>IFERROR(K101/K444, "NA")</f>
        <v>0</v>
      </c>
      <c r="M101" s="9"/>
      <c r="N101" s="10">
        <f t="shared" si="25"/>
        <v>0</v>
      </c>
      <c r="O101" s="8">
        <f>IFERROR(N101/N444, "NA")</f>
        <v>0</v>
      </c>
      <c r="P101" s="9"/>
      <c r="Q101" s="7">
        <v>0</v>
      </c>
      <c r="R101" s="8">
        <f>IFERROR(Q101/Q444, "NA")</f>
        <v>0</v>
      </c>
      <c r="S101" s="9"/>
      <c r="T101" s="7">
        <v>0</v>
      </c>
      <c r="U101" s="8">
        <f>IFERROR(T101/T444, "NA")</f>
        <v>0</v>
      </c>
      <c r="V101" s="9"/>
      <c r="W101" s="10">
        <f t="shared" si="26"/>
        <v>0</v>
      </c>
      <c r="X101" s="8">
        <f>IFERROR(W101/W444, "NA")</f>
        <v>0</v>
      </c>
      <c r="Y101" s="9"/>
      <c r="Z101" s="7">
        <v>0</v>
      </c>
      <c r="AA101" s="8">
        <f>IFERROR(Z101/Z444, "NA")</f>
        <v>0</v>
      </c>
      <c r="AB101" s="9"/>
      <c r="AC101" s="10">
        <f t="shared" si="27"/>
        <v>0</v>
      </c>
      <c r="AD101" s="8">
        <f>IFERROR(AC101/AC444, "NA")</f>
        <v>0</v>
      </c>
    </row>
    <row r="102" spans="1:30" ht="16.5" customHeight="1" x14ac:dyDescent="0.45">
      <c r="A102" s="12" t="s">
        <v>97</v>
      </c>
      <c r="B102" s="7">
        <v>-728.32</v>
      </c>
      <c r="C102" s="8">
        <f>IFERROR(B102/B444, "NA")</f>
        <v>-6.3323528874753626E-3</v>
      </c>
      <c r="D102" s="9"/>
      <c r="E102" s="7">
        <v>0</v>
      </c>
      <c r="F102" s="8">
        <f>IFERROR(E102/E444, "NA")</f>
        <v>0</v>
      </c>
      <c r="G102" s="9"/>
      <c r="H102" s="10">
        <f t="shared" si="24"/>
        <v>-728.32</v>
      </c>
      <c r="I102" s="8">
        <f>IFERROR(H102/H444, "NA")</f>
        <v>3.9182879440232271E-2</v>
      </c>
      <c r="J102" s="9"/>
      <c r="K102" s="7">
        <v>-258.93</v>
      </c>
      <c r="L102" s="8">
        <f>IFERROR(K102/K444, "NA")</f>
        <v>-2.2868979902005981E-3</v>
      </c>
      <c r="M102" s="9"/>
      <c r="N102" s="10">
        <f t="shared" si="25"/>
        <v>-469.39000000000004</v>
      </c>
      <c r="O102" s="8">
        <f>IFERROR(N102/N444, "NA")</f>
        <v>-0.26186916304966479</v>
      </c>
      <c r="P102" s="9"/>
      <c r="Q102" s="7">
        <v>-1722.79</v>
      </c>
      <c r="R102" s="8">
        <f>IFERROR(Q102/Q444, "NA")</f>
        <v>-3.0998403594540186E-3</v>
      </c>
      <c r="S102" s="9"/>
      <c r="T102" s="7">
        <v>0</v>
      </c>
      <c r="U102" s="8">
        <f>IFERROR(T102/T444, "NA")</f>
        <v>0</v>
      </c>
      <c r="V102" s="9"/>
      <c r="W102" s="10">
        <f t="shared" si="26"/>
        <v>-1722.79</v>
      </c>
      <c r="X102" s="8">
        <f>IFERROR(W102/W444, "NA")</f>
        <v>0.13690310163453451</v>
      </c>
      <c r="Y102" s="9"/>
      <c r="Z102" s="7">
        <v>-1802.9</v>
      </c>
      <c r="AA102" s="8">
        <f>IFERROR(Z102/Z444, "NA")</f>
        <v>-3.6616354737798651E-3</v>
      </c>
      <c r="AB102" s="9"/>
      <c r="AC102" s="10">
        <f t="shared" si="27"/>
        <v>80.110000000000127</v>
      </c>
      <c r="AD102" s="8">
        <f>IFERROR(AC102/AC444, "NA")</f>
        <v>1.2637297110726789E-3</v>
      </c>
    </row>
    <row r="103" spans="1:30" ht="16.5" hidden="1" customHeight="1" x14ac:dyDescent="0.45">
      <c r="A103" s="12" t="s">
        <v>98</v>
      </c>
      <c r="B103" s="7">
        <v>0</v>
      </c>
      <c r="C103" s="8">
        <f>IFERROR(B103/B444, "NA")</f>
        <v>0</v>
      </c>
      <c r="D103" s="9"/>
      <c r="E103" s="7">
        <v>0</v>
      </c>
      <c r="F103" s="8">
        <f>IFERROR(E103/E444, "NA")</f>
        <v>0</v>
      </c>
      <c r="G103" s="9"/>
      <c r="H103" s="10">
        <f t="shared" si="24"/>
        <v>0</v>
      </c>
      <c r="I103" s="8">
        <f>IFERROR(H103/H444, "NA")</f>
        <v>0</v>
      </c>
      <c r="J103" s="9"/>
      <c r="K103" s="7">
        <v>0</v>
      </c>
      <c r="L103" s="8">
        <f>IFERROR(K103/K444, "NA")</f>
        <v>0</v>
      </c>
      <c r="M103" s="9"/>
      <c r="N103" s="10">
        <f t="shared" si="25"/>
        <v>0</v>
      </c>
      <c r="O103" s="8">
        <f>IFERROR(N103/N444, "NA")</f>
        <v>0</v>
      </c>
      <c r="P103" s="9"/>
      <c r="Q103" s="7">
        <v>0</v>
      </c>
      <c r="R103" s="8">
        <f>IFERROR(Q103/Q444, "NA")</f>
        <v>0</v>
      </c>
      <c r="S103" s="9"/>
      <c r="T103" s="7">
        <v>0</v>
      </c>
      <c r="U103" s="8">
        <f>IFERROR(T103/T444, "NA")</f>
        <v>0</v>
      </c>
      <c r="V103" s="9"/>
      <c r="W103" s="10">
        <f t="shared" si="26"/>
        <v>0</v>
      </c>
      <c r="X103" s="8">
        <f>IFERROR(W103/W444, "NA")</f>
        <v>0</v>
      </c>
      <c r="Y103" s="9"/>
      <c r="Z103" s="7">
        <v>0</v>
      </c>
      <c r="AA103" s="8">
        <f>IFERROR(Z103/Z444, "NA")</f>
        <v>0</v>
      </c>
      <c r="AB103" s="9"/>
      <c r="AC103" s="10">
        <f t="shared" si="27"/>
        <v>0</v>
      </c>
      <c r="AD103" s="8">
        <f>IFERROR(AC103/AC444, "NA")</f>
        <v>0</v>
      </c>
    </row>
    <row r="104" spans="1:30" ht="16.5" customHeight="1" x14ac:dyDescent="0.45">
      <c r="A104" s="12" t="s">
        <v>99</v>
      </c>
      <c r="B104" s="7">
        <v>-731.44</v>
      </c>
      <c r="C104" s="8">
        <f>IFERROR(B104/B444, "NA")</f>
        <v>-6.3594796188694248E-3</v>
      </c>
      <c r="D104" s="9"/>
      <c r="E104" s="7">
        <v>0</v>
      </c>
      <c r="F104" s="8">
        <f>IFERROR(E104/E444, "NA")</f>
        <v>0</v>
      </c>
      <c r="G104" s="9"/>
      <c r="H104" s="10">
        <f t="shared" si="24"/>
        <v>-731.44</v>
      </c>
      <c r="I104" s="8">
        <f>IFERROR(H104/H444, "NA")</f>
        <v>3.9350732284934499E-2</v>
      </c>
      <c r="J104" s="9"/>
      <c r="K104" s="7">
        <v>-858.96</v>
      </c>
      <c r="L104" s="8">
        <f>IFERROR(K104/K444, "NA")</f>
        <v>-7.5864283692994479E-3</v>
      </c>
      <c r="M104" s="9"/>
      <c r="N104" s="10">
        <f t="shared" si="25"/>
        <v>127.51999999999998</v>
      </c>
      <c r="O104" s="8">
        <f>IFERROR(N104/N444, "NA")</f>
        <v>7.1142452272296486E-2</v>
      </c>
      <c r="P104" s="9"/>
      <c r="Q104" s="7">
        <v>-3785.23</v>
      </c>
      <c r="R104" s="8">
        <f>IFERROR(Q104/Q444, "NA")</f>
        <v>-6.8108177571358872E-3</v>
      </c>
      <c r="S104" s="9"/>
      <c r="T104" s="7">
        <v>0</v>
      </c>
      <c r="U104" s="8">
        <f>IFERROR(T104/T444, "NA")</f>
        <v>0</v>
      </c>
      <c r="V104" s="9"/>
      <c r="W104" s="10">
        <f t="shared" si="26"/>
        <v>-3785.23</v>
      </c>
      <c r="X104" s="8">
        <f>IFERROR(W104/W444, "NA")</f>
        <v>0.30079680483407095</v>
      </c>
      <c r="Y104" s="9"/>
      <c r="Z104" s="7">
        <v>-5717.91</v>
      </c>
      <c r="AA104" s="8">
        <f>IFERROR(Z104/Z444, "NA")</f>
        <v>-1.1612902596860961E-2</v>
      </c>
      <c r="AB104" s="9"/>
      <c r="AC104" s="10">
        <f t="shared" si="27"/>
        <v>1932.6799999999998</v>
      </c>
      <c r="AD104" s="8">
        <f>IFERROR(AC104/AC444, "NA")</f>
        <v>3.0487893371563362E-2</v>
      </c>
    </row>
    <row r="105" spans="1:30" ht="16.5" hidden="1" customHeight="1" x14ac:dyDescent="0.45">
      <c r="A105" s="12" t="s">
        <v>100</v>
      </c>
      <c r="B105" s="7">
        <v>0</v>
      </c>
      <c r="C105" s="8">
        <f>IFERROR(B105/B444, "NA")</f>
        <v>0</v>
      </c>
      <c r="D105" s="9"/>
      <c r="E105" s="7">
        <v>0</v>
      </c>
      <c r="F105" s="8">
        <f>IFERROR(E105/E444, "NA")</f>
        <v>0</v>
      </c>
      <c r="G105" s="9"/>
      <c r="H105" s="10">
        <f t="shared" si="24"/>
        <v>0</v>
      </c>
      <c r="I105" s="8">
        <f>IFERROR(H105/H444, "NA")</f>
        <v>0</v>
      </c>
      <c r="J105" s="9"/>
      <c r="K105" s="7">
        <v>0</v>
      </c>
      <c r="L105" s="8">
        <f>IFERROR(K105/K444, "NA")</f>
        <v>0</v>
      </c>
      <c r="M105" s="9"/>
      <c r="N105" s="10">
        <f t="shared" si="25"/>
        <v>0</v>
      </c>
      <c r="O105" s="8">
        <f>IFERROR(N105/N444, "NA")</f>
        <v>0</v>
      </c>
      <c r="P105" s="9"/>
      <c r="Q105" s="7">
        <v>0</v>
      </c>
      <c r="R105" s="8">
        <f>IFERROR(Q105/Q444, "NA")</f>
        <v>0</v>
      </c>
      <c r="S105" s="9"/>
      <c r="T105" s="7">
        <v>0</v>
      </c>
      <c r="U105" s="8">
        <f>IFERROR(T105/T444, "NA")</f>
        <v>0</v>
      </c>
      <c r="V105" s="9"/>
      <c r="W105" s="10">
        <f t="shared" si="26"/>
        <v>0</v>
      </c>
      <c r="X105" s="8">
        <f>IFERROR(W105/W444, "NA")</f>
        <v>0</v>
      </c>
      <c r="Y105" s="9"/>
      <c r="Z105" s="7">
        <v>0</v>
      </c>
      <c r="AA105" s="8">
        <f>IFERROR(Z105/Z444, "NA")</f>
        <v>0</v>
      </c>
      <c r="AB105" s="9"/>
      <c r="AC105" s="10">
        <f t="shared" si="27"/>
        <v>0</v>
      </c>
      <c r="AD105" s="8">
        <f>IFERROR(AC105/AC444, "NA")</f>
        <v>0</v>
      </c>
    </row>
    <row r="106" spans="1:30" ht="16.5" customHeight="1" x14ac:dyDescent="0.45">
      <c r="A106" s="12" t="s">
        <v>101</v>
      </c>
      <c r="B106" s="7">
        <v>-5</v>
      </c>
      <c r="C106" s="8">
        <f>IFERROR(B106/B444, "NA")</f>
        <v>-4.3472325952022202E-5</v>
      </c>
      <c r="D106" s="9"/>
      <c r="E106" s="7">
        <v>0</v>
      </c>
      <c r="F106" s="8">
        <f>IFERROR(E106/E444, "NA")</f>
        <v>0</v>
      </c>
      <c r="G106" s="9"/>
      <c r="H106" s="10">
        <f t="shared" si="24"/>
        <v>-5</v>
      </c>
      <c r="I106" s="8">
        <f>IFERROR(H106/H444, "NA")</f>
        <v>2.6899494343305324E-4</v>
      </c>
      <c r="J106" s="9"/>
      <c r="K106" s="7">
        <v>-125.95</v>
      </c>
      <c r="L106" s="8">
        <f>IFERROR(K106/K444, "NA")</f>
        <v>-1.1124041318725732E-3</v>
      </c>
      <c r="M106" s="9"/>
      <c r="N106" s="10">
        <f t="shared" si="25"/>
        <v>120.95</v>
      </c>
      <c r="O106" s="8">
        <f>IFERROR(N106/N444, "NA")</f>
        <v>6.7477098512658887E-2</v>
      </c>
      <c r="P106" s="9"/>
      <c r="Q106" s="7">
        <v>-145.1</v>
      </c>
      <c r="R106" s="8">
        <f>IFERROR(Q106/Q444, "NA")</f>
        <v>-2.6108047768838805E-4</v>
      </c>
      <c r="S106" s="9"/>
      <c r="T106" s="7">
        <v>0</v>
      </c>
      <c r="U106" s="8">
        <f>IFERROR(T106/T444, "NA")</f>
        <v>0</v>
      </c>
      <c r="V106" s="9"/>
      <c r="W106" s="10">
        <f t="shared" si="26"/>
        <v>-145.1</v>
      </c>
      <c r="X106" s="8">
        <f>IFERROR(W106/W444, "NA")</f>
        <v>1.1530505776775439E-2</v>
      </c>
      <c r="Y106" s="9"/>
      <c r="Z106" s="7">
        <v>-2385.25</v>
      </c>
      <c r="AA106" s="8">
        <f>IFERROR(Z106/Z444, "NA")</f>
        <v>-4.8443707437092589E-3</v>
      </c>
      <c r="AB106" s="9"/>
      <c r="AC106" s="10">
        <f t="shared" si="27"/>
        <v>2240.15</v>
      </c>
      <c r="AD106" s="8">
        <f>IFERROR(AC106/AC444, "NA")</f>
        <v>3.5338211362619616E-2</v>
      </c>
    </row>
    <row r="107" spans="1:30" ht="16.5" hidden="1" customHeight="1" x14ac:dyDescent="0.45">
      <c r="A107" s="12" t="s">
        <v>102</v>
      </c>
      <c r="B107" s="7">
        <v>0</v>
      </c>
      <c r="C107" s="8">
        <f>IFERROR(B107/B444, "NA")</f>
        <v>0</v>
      </c>
      <c r="D107" s="9"/>
      <c r="E107" s="7">
        <v>0</v>
      </c>
      <c r="F107" s="8">
        <f>IFERROR(E107/E444, "NA")</f>
        <v>0</v>
      </c>
      <c r="G107" s="9"/>
      <c r="H107" s="10">
        <f t="shared" si="24"/>
        <v>0</v>
      </c>
      <c r="I107" s="8">
        <f>IFERROR(H107/H444, "NA")</f>
        <v>0</v>
      </c>
      <c r="J107" s="9"/>
      <c r="K107" s="7">
        <v>0</v>
      </c>
      <c r="L107" s="8">
        <f>IFERROR(K107/K444, "NA")</f>
        <v>0</v>
      </c>
      <c r="M107" s="9"/>
      <c r="N107" s="10">
        <f t="shared" si="25"/>
        <v>0</v>
      </c>
      <c r="O107" s="8">
        <f>IFERROR(N107/N444, "NA")</f>
        <v>0</v>
      </c>
      <c r="P107" s="9"/>
      <c r="Q107" s="7">
        <v>0</v>
      </c>
      <c r="R107" s="8">
        <f>IFERROR(Q107/Q444, "NA")</f>
        <v>0</v>
      </c>
      <c r="S107" s="9"/>
      <c r="T107" s="7">
        <v>0</v>
      </c>
      <c r="U107" s="8">
        <f>IFERROR(T107/T444, "NA")</f>
        <v>0</v>
      </c>
      <c r="V107" s="9"/>
      <c r="W107" s="10">
        <f t="shared" si="26"/>
        <v>0</v>
      </c>
      <c r="X107" s="8">
        <f>IFERROR(W107/W444, "NA")</f>
        <v>0</v>
      </c>
      <c r="Y107" s="9"/>
      <c r="Z107" s="7">
        <v>0</v>
      </c>
      <c r="AA107" s="8">
        <f>IFERROR(Z107/Z444, "NA")</f>
        <v>0</v>
      </c>
      <c r="AB107" s="9"/>
      <c r="AC107" s="10">
        <f t="shared" si="27"/>
        <v>0</v>
      </c>
      <c r="AD107" s="8">
        <f>IFERROR(AC107/AC444, "NA")</f>
        <v>0</v>
      </c>
    </row>
    <row r="108" spans="1:30" ht="16.5" customHeight="1" x14ac:dyDescent="0.45">
      <c r="A108" s="12" t="s">
        <v>103</v>
      </c>
      <c r="B108" s="7">
        <v>0</v>
      </c>
      <c r="C108" s="8">
        <f>IFERROR(B108/B444, "NA")</f>
        <v>0</v>
      </c>
      <c r="D108" s="9"/>
      <c r="E108" s="7">
        <v>0</v>
      </c>
      <c r="F108" s="8">
        <f>IFERROR(E108/E444, "NA")</f>
        <v>0</v>
      </c>
      <c r="G108" s="9"/>
      <c r="H108" s="10">
        <f t="shared" si="24"/>
        <v>0</v>
      </c>
      <c r="I108" s="8">
        <f>IFERROR(H108/H444, "NA")</f>
        <v>0</v>
      </c>
      <c r="J108" s="9"/>
      <c r="K108" s="7">
        <v>0</v>
      </c>
      <c r="L108" s="8">
        <f>IFERROR(K108/K444, "NA")</f>
        <v>0</v>
      </c>
      <c r="M108" s="9"/>
      <c r="N108" s="10">
        <f t="shared" si="25"/>
        <v>0</v>
      </c>
      <c r="O108" s="8">
        <f>IFERROR(N108/N444, "NA")</f>
        <v>0</v>
      </c>
      <c r="P108" s="9"/>
      <c r="Q108" s="7">
        <v>0</v>
      </c>
      <c r="R108" s="8">
        <f>IFERROR(Q108/Q444, "NA")</f>
        <v>0</v>
      </c>
      <c r="S108" s="9"/>
      <c r="T108" s="7">
        <v>0</v>
      </c>
      <c r="U108" s="8">
        <f>IFERROR(T108/T444, "NA")</f>
        <v>0</v>
      </c>
      <c r="V108" s="9"/>
      <c r="W108" s="10">
        <f t="shared" si="26"/>
        <v>0</v>
      </c>
      <c r="X108" s="8">
        <f>IFERROR(W108/W444, "NA")</f>
        <v>0</v>
      </c>
      <c r="Y108" s="9"/>
      <c r="Z108" s="7">
        <v>-5</v>
      </c>
      <c r="AA108" s="8">
        <f>IFERROR(Z108/Z444, "NA")</f>
        <v>-1.0154849059237521E-5</v>
      </c>
      <c r="AB108" s="9"/>
      <c r="AC108" s="10">
        <f t="shared" si="27"/>
        <v>5</v>
      </c>
      <c r="AD108" s="8">
        <f>IFERROR(AC108/AC444, "NA")</f>
        <v>7.8874654292390278E-5</v>
      </c>
    </row>
    <row r="109" spans="1:30" ht="16.5" hidden="1" customHeight="1" x14ac:dyDescent="0.45">
      <c r="A109" s="12" t="s">
        <v>104</v>
      </c>
      <c r="B109" s="7">
        <v>0</v>
      </c>
      <c r="C109" s="8">
        <f>IFERROR(B109/B444, "NA")</f>
        <v>0</v>
      </c>
      <c r="D109" s="9"/>
      <c r="E109" s="7">
        <v>0</v>
      </c>
      <c r="F109" s="8">
        <f>IFERROR(E109/E444, "NA")</f>
        <v>0</v>
      </c>
      <c r="G109" s="9"/>
      <c r="H109" s="10">
        <f t="shared" si="24"/>
        <v>0</v>
      </c>
      <c r="I109" s="8">
        <f>IFERROR(H109/H444, "NA")</f>
        <v>0</v>
      </c>
      <c r="J109" s="9"/>
      <c r="K109" s="7">
        <v>0</v>
      </c>
      <c r="L109" s="8">
        <f>IFERROR(K109/K444, "NA")</f>
        <v>0</v>
      </c>
      <c r="M109" s="9"/>
      <c r="N109" s="10">
        <f t="shared" si="25"/>
        <v>0</v>
      </c>
      <c r="O109" s="8">
        <f>IFERROR(N109/N444, "NA")</f>
        <v>0</v>
      </c>
      <c r="P109" s="9"/>
      <c r="Q109" s="7">
        <v>0</v>
      </c>
      <c r="R109" s="8">
        <f>IFERROR(Q109/Q444, "NA")</f>
        <v>0</v>
      </c>
      <c r="S109" s="9"/>
      <c r="T109" s="7">
        <v>0</v>
      </c>
      <c r="U109" s="8">
        <f>IFERROR(T109/T444, "NA")</f>
        <v>0</v>
      </c>
      <c r="V109" s="9"/>
      <c r="W109" s="10">
        <f t="shared" si="26"/>
        <v>0</v>
      </c>
      <c r="X109" s="8">
        <f>IFERROR(W109/W444, "NA")</f>
        <v>0</v>
      </c>
      <c r="Y109" s="9"/>
      <c r="Z109" s="7">
        <v>0</v>
      </c>
      <c r="AA109" s="8">
        <f>IFERROR(Z109/Z444, "NA")</f>
        <v>0</v>
      </c>
      <c r="AB109" s="9"/>
      <c r="AC109" s="10">
        <f t="shared" si="27"/>
        <v>0</v>
      </c>
      <c r="AD109" s="8">
        <f>IFERROR(AC109/AC444, "NA")</f>
        <v>0</v>
      </c>
    </row>
    <row r="110" spans="1:30" ht="16.5" hidden="1" customHeight="1" x14ac:dyDescent="0.45">
      <c r="A110" s="12" t="s">
        <v>105</v>
      </c>
      <c r="B110" s="7">
        <v>0</v>
      </c>
      <c r="C110" s="8">
        <f>IFERROR(B110/B444, "NA")</f>
        <v>0</v>
      </c>
      <c r="D110" s="9"/>
      <c r="E110" s="7">
        <v>0</v>
      </c>
      <c r="F110" s="8">
        <f>IFERROR(E110/E444, "NA")</f>
        <v>0</v>
      </c>
      <c r="G110" s="9"/>
      <c r="H110" s="10">
        <f t="shared" si="24"/>
        <v>0</v>
      </c>
      <c r="I110" s="8">
        <f>IFERROR(H110/H444, "NA")</f>
        <v>0</v>
      </c>
      <c r="J110" s="9"/>
      <c r="K110" s="7">
        <v>0</v>
      </c>
      <c r="L110" s="8">
        <f>IFERROR(K110/K444, "NA")</f>
        <v>0</v>
      </c>
      <c r="M110" s="9"/>
      <c r="N110" s="10">
        <f t="shared" si="25"/>
        <v>0</v>
      </c>
      <c r="O110" s="8">
        <f>IFERROR(N110/N444, "NA")</f>
        <v>0</v>
      </c>
      <c r="P110" s="9"/>
      <c r="Q110" s="7">
        <v>0</v>
      </c>
      <c r="R110" s="8">
        <f>IFERROR(Q110/Q444, "NA")</f>
        <v>0</v>
      </c>
      <c r="S110" s="9"/>
      <c r="T110" s="7">
        <v>0</v>
      </c>
      <c r="U110" s="8">
        <f>IFERROR(T110/T444, "NA")</f>
        <v>0</v>
      </c>
      <c r="V110" s="9"/>
      <c r="W110" s="10">
        <f t="shared" si="26"/>
        <v>0</v>
      </c>
      <c r="X110" s="8">
        <f>IFERROR(W110/W444, "NA")</f>
        <v>0</v>
      </c>
      <c r="Y110" s="9"/>
      <c r="Z110" s="7">
        <v>0</v>
      </c>
      <c r="AA110" s="8">
        <f>IFERROR(Z110/Z444, "NA")</f>
        <v>0</v>
      </c>
      <c r="AB110" s="9"/>
      <c r="AC110" s="10">
        <f t="shared" si="27"/>
        <v>0</v>
      </c>
      <c r="AD110" s="8">
        <f>IFERROR(AC110/AC444, "NA")</f>
        <v>0</v>
      </c>
    </row>
    <row r="111" spans="1:30" ht="16.5" hidden="1" customHeight="1" x14ac:dyDescent="0.45">
      <c r="A111" s="12" t="s">
        <v>106</v>
      </c>
      <c r="B111" s="7">
        <v>0</v>
      </c>
      <c r="C111" s="8">
        <f>IFERROR(B111/B444, "NA")</f>
        <v>0</v>
      </c>
      <c r="D111" s="9"/>
      <c r="E111" s="7">
        <v>0</v>
      </c>
      <c r="F111" s="8">
        <f>IFERROR(E111/E444, "NA")</f>
        <v>0</v>
      </c>
      <c r="G111" s="9"/>
      <c r="H111" s="10">
        <f t="shared" si="24"/>
        <v>0</v>
      </c>
      <c r="I111" s="8">
        <f>IFERROR(H111/H444, "NA")</f>
        <v>0</v>
      </c>
      <c r="J111" s="9"/>
      <c r="K111" s="7">
        <v>0</v>
      </c>
      <c r="L111" s="8">
        <f>IFERROR(K111/K444, "NA")</f>
        <v>0</v>
      </c>
      <c r="M111" s="9"/>
      <c r="N111" s="10">
        <f t="shared" si="25"/>
        <v>0</v>
      </c>
      <c r="O111" s="8">
        <f>IFERROR(N111/N444, "NA")</f>
        <v>0</v>
      </c>
      <c r="P111" s="9"/>
      <c r="Q111" s="7">
        <v>0</v>
      </c>
      <c r="R111" s="8">
        <f>IFERROR(Q111/Q444, "NA")</f>
        <v>0</v>
      </c>
      <c r="S111" s="9"/>
      <c r="T111" s="7">
        <v>0</v>
      </c>
      <c r="U111" s="8">
        <f>IFERROR(T111/T444, "NA")</f>
        <v>0</v>
      </c>
      <c r="V111" s="9"/>
      <c r="W111" s="10">
        <f t="shared" si="26"/>
        <v>0</v>
      </c>
      <c r="X111" s="8">
        <f>IFERROR(W111/W444, "NA")</f>
        <v>0</v>
      </c>
      <c r="Y111" s="9"/>
      <c r="Z111" s="7">
        <v>0</v>
      </c>
      <c r="AA111" s="8">
        <f>IFERROR(Z111/Z444, "NA")</f>
        <v>0</v>
      </c>
      <c r="AB111" s="9"/>
      <c r="AC111" s="10">
        <f t="shared" si="27"/>
        <v>0</v>
      </c>
      <c r="AD111" s="8">
        <f>IFERROR(AC111/AC444, "NA")</f>
        <v>0</v>
      </c>
    </row>
    <row r="112" spans="1:30" ht="16.5" hidden="1" customHeight="1" x14ac:dyDescent="0.45">
      <c r="A112" s="12" t="s">
        <v>107</v>
      </c>
      <c r="B112" s="7">
        <v>0</v>
      </c>
      <c r="C112" s="8">
        <f>IFERROR(B112/B444, "NA")</f>
        <v>0</v>
      </c>
      <c r="D112" s="9"/>
      <c r="E112" s="7">
        <v>0</v>
      </c>
      <c r="F112" s="8">
        <f>IFERROR(E112/E444, "NA")</f>
        <v>0</v>
      </c>
      <c r="G112" s="9"/>
      <c r="H112" s="10">
        <f t="shared" si="24"/>
        <v>0</v>
      </c>
      <c r="I112" s="8">
        <f>IFERROR(H112/H444, "NA")</f>
        <v>0</v>
      </c>
      <c r="J112" s="9"/>
      <c r="K112" s="7">
        <v>0</v>
      </c>
      <c r="L112" s="8">
        <f>IFERROR(K112/K444, "NA")</f>
        <v>0</v>
      </c>
      <c r="M112" s="9"/>
      <c r="N112" s="10">
        <f t="shared" si="25"/>
        <v>0</v>
      </c>
      <c r="O112" s="8">
        <f>IFERROR(N112/N444, "NA")</f>
        <v>0</v>
      </c>
      <c r="P112" s="9"/>
      <c r="Q112" s="7">
        <v>0</v>
      </c>
      <c r="R112" s="8">
        <f>IFERROR(Q112/Q444, "NA")</f>
        <v>0</v>
      </c>
      <c r="S112" s="9"/>
      <c r="T112" s="7">
        <v>0</v>
      </c>
      <c r="U112" s="8">
        <f>IFERROR(T112/T444, "NA")</f>
        <v>0</v>
      </c>
      <c r="V112" s="9"/>
      <c r="W112" s="10">
        <f t="shared" si="26"/>
        <v>0</v>
      </c>
      <c r="X112" s="8">
        <f>IFERROR(W112/W444, "NA")</f>
        <v>0</v>
      </c>
      <c r="Y112" s="9"/>
      <c r="Z112" s="7">
        <v>0</v>
      </c>
      <c r="AA112" s="8">
        <f>IFERROR(Z112/Z444, "NA")</f>
        <v>0</v>
      </c>
      <c r="AB112" s="9"/>
      <c r="AC112" s="10">
        <f t="shared" si="27"/>
        <v>0</v>
      </c>
      <c r="AD112" s="8">
        <f>IFERROR(AC112/AC444, "NA")</f>
        <v>0</v>
      </c>
    </row>
    <row r="113" spans="1:30" ht="16.5" hidden="1" customHeight="1" x14ac:dyDescent="0.45">
      <c r="A113" s="12" t="s">
        <v>108</v>
      </c>
      <c r="B113" s="7">
        <v>0</v>
      </c>
      <c r="C113" s="8">
        <f>IFERROR(B113/B444, "NA")</f>
        <v>0</v>
      </c>
      <c r="D113" s="9"/>
      <c r="E113" s="7">
        <v>0</v>
      </c>
      <c r="F113" s="8">
        <f>IFERROR(E113/E444, "NA")</f>
        <v>0</v>
      </c>
      <c r="G113" s="9"/>
      <c r="H113" s="10">
        <f t="shared" si="24"/>
        <v>0</v>
      </c>
      <c r="I113" s="8">
        <f>IFERROR(H113/H444, "NA")</f>
        <v>0</v>
      </c>
      <c r="J113" s="9"/>
      <c r="K113" s="7">
        <v>0</v>
      </c>
      <c r="L113" s="8">
        <f>IFERROR(K113/K444, "NA")</f>
        <v>0</v>
      </c>
      <c r="M113" s="9"/>
      <c r="N113" s="10">
        <f t="shared" si="25"/>
        <v>0</v>
      </c>
      <c r="O113" s="8">
        <f>IFERROR(N113/N444, "NA")</f>
        <v>0</v>
      </c>
      <c r="P113" s="9"/>
      <c r="Q113" s="7">
        <v>0</v>
      </c>
      <c r="R113" s="8">
        <f>IFERROR(Q113/Q444, "NA")</f>
        <v>0</v>
      </c>
      <c r="S113" s="9"/>
      <c r="T113" s="7">
        <v>0</v>
      </c>
      <c r="U113" s="8">
        <f>IFERROR(T113/T444, "NA")</f>
        <v>0</v>
      </c>
      <c r="V113" s="9"/>
      <c r="W113" s="10">
        <f t="shared" si="26"/>
        <v>0</v>
      </c>
      <c r="X113" s="8">
        <f>IFERROR(W113/W444, "NA")</f>
        <v>0</v>
      </c>
      <c r="Y113" s="9"/>
      <c r="Z113" s="7">
        <v>0</v>
      </c>
      <c r="AA113" s="8">
        <f>IFERROR(Z113/Z444, "NA")</f>
        <v>0</v>
      </c>
      <c r="AB113" s="9"/>
      <c r="AC113" s="10">
        <f t="shared" si="27"/>
        <v>0</v>
      </c>
      <c r="AD113" s="8">
        <f>IFERROR(AC113/AC444, "NA")</f>
        <v>0</v>
      </c>
    </row>
    <row r="114" spans="1:30" ht="16.5" hidden="1" customHeight="1" x14ac:dyDescent="0.45">
      <c r="A114" s="12" t="s">
        <v>109</v>
      </c>
      <c r="B114" s="7">
        <v>0</v>
      </c>
      <c r="C114" s="8">
        <f>IFERROR(B114/B444, "NA")</f>
        <v>0</v>
      </c>
      <c r="D114" s="9"/>
      <c r="E114" s="7">
        <v>0</v>
      </c>
      <c r="F114" s="8">
        <f>IFERROR(E114/E444, "NA")</f>
        <v>0</v>
      </c>
      <c r="G114" s="9"/>
      <c r="H114" s="10">
        <f t="shared" si="24"/>
        <v>0</v>
      </c>
      <c r="I114" s="8">
        <f>IFERROR(H114/H444, "NA")</f>
        <v>0</v>
      </c>
      <c r="J114" s="9"/>
      <c r="K114" s="7">
        <v>0</v>
      </c>
      <c r="L114" s="8">
        <f>IFERROR(K114/K444, "NA")</f>
        <v>0</v>
      </c>
      <c r="M114" s="9"/>
      <c r="N114" s="10">
        <f t="shared" si="25"/>
        <v>0</v>
      </c>
      <c r="O114" s="8">
        <f>IFERROR(N114/N444, "NA")</f>
        <v>0</v>
      </c>
      <c r="P114" s="9"/>
      <c r="Q114" s="7">
        <v>0</v>
      </c>
      <c r="R114" s="8">
        <f>IFERROR(Q114/Q444, "NA")</f>
        <v>0</v>
      </c>
      <c r="S114" s="9"/>
      <c r="T114" s="7">
        <v>0</v>
      </c>
      <c r="U114" s="8">
        <f>IFERROR(T114/T444, "NA")</f>
        <v>0</v>
      </c>
      <c r="V114" s="9"/>
      <c r="W114" s="10">
        <f t="shared" si="26"/>
        <v>0</v>
      </c>
      <c r="X114" s="8">
        <f>IFERROR(W114/W444, "NA")</f>
        <v>0</v>
      </c>
      <c r="Y114" s="9"/>
      <c r="Z114" s="7">
        <v>0</v>
      </c>
      <c r="AA114" s="8">
        <f>IFERROR(Z114/Z444, "NA")</f>
        <v>0</v>
      </c>
      <c r="AB114" s="9"/>
      <c r="AC114" s="10">
        <f t="shared" si="27"/>
        <v>0</v>
      </c>
      <c r="AD114" s="8">
        <f>IFERROR(AC114/AC444, "NA")</f>
        <v>0</v>
      </c>
    </row>
    <row r="115" spans="1:30" ht="16.5" hidden="1" customHeight="1" x14ac:dyDescent="0.45">
      <c r="A115" s="12" t="s">
        <v>110</v>
      </c>
      <c r="B115" s="7">
        <v>0</v>
      </c>
      <c r="C115" s="8">
        <f>IFERROR(B115/B444, "NA")</f>
        <v>0</v>
      </c>
      <c r="D115" s="9"/>
      <c r="E115" s="7">
        <v>0</v>
      </c>
      <c r="F115" s="8">
        <f>IFERROR(E115/E444, "NA")</f>
        <v>0</v>
      </c>
      <c r="G115" s="9"/>
      <c r="H115" s="10">
        <f t="shared" si="24"/>
        <v>0</v>
      </c>
      <c r="I115" s="8">
        <f>IFERROR(H115/H444, "NA")</f>
        <v>0</v>
      </c>
      <c r="J115" s="9"/>
      <c r="K115" s="7">
        <v>0</v>
      </c>
      <c r="L115" s="8">
        <f>IFERROR(K115/K444, "NA")</f>
        <v>0</v>
      </c>
      <c r="M115" s="9"/>
      <c r="N115" s="10">
        <f t="shared" si="25"/>
        <v>0</v>
      </c>
      <c r="O115" s="8">
        <f>IFERROR(N115/N444, "NA")</f>
        <v>0</v>
      </c>
      <c r="P115" s="9"/>
      <c r="Q115" s="7">
        <v>0</v>
      </c>
      <c r="R115" s="8">
        <f>IFERROR(Q115/Q444, "NA")</f>
        <v>0</v>
      </c>
      <c r="S115" s="9"/>
      <c r="T115" s="7">
        <v>0</v>
      </c>
      <c r="U115" s="8">
        <f>IFERROR(T115/T444, "NA")</f>
        <v>0</v>
      </c>
      <c r="V115" s="9"/>
      <c r="W115" s="10">
        <f t="shared" si="26"/>
        <v>0</v>
      </c>
      <c r="X115" s="8">
        <f>IFERROR(W115/W444, "NA")</f>
        <v>0</v>
      </c>
      <c r="Y115" s="9"/>
      <c r="Z115" s="7">
        <v>0</v>
      </c>
      <c r="AA115" s="8">
        <f>IFERROR(Z115/Z444, "NA")</f>
        <v>0</v>
      </c>
      <c r="AB115" s="9"/>
      <c r="AC115" s="10">
        <f t="shared" si="27"/>
        <v>0</v>
      </c>
      <c r="AD115" s="8">
        <f>IFERROR(AC115/AC444, "NA")</f>
        <v>0</v>
      </c>
    </row>
    <row r="116" spans="1:30" ht="16.5" hidden="1" customHeight="1" x14ac:dyDescent="0.45">
      <c r="A116" s="12" t="s">
        <v>111</v>
      </c>
      <c r="B116" s="7">
        <v>0</v>
      </c>
      <c r="C116" s="8">
        <f>IFERROR(B116/B444, "NA")</f>
        <v>0</v>
      </c>
      <c r="D116" s="9"/>
      <c r="E116" s="7">
        <v>0</v>
      </c>
      <c r="F116" s="8">
        <f>IFERROR(E116/E444, "NA")</f>
        <v>0</v>
      </c>
      <c r="G116" s="9"/>
      <c r="H116" s="10">
        <f t="shared" si="24"/>
        <v>0</v>
      </c>
      <c r="I116" s="8">
        <f>IFERROR(H116/H444, "NA")</f>
        <v>0</v>
      </c>
      <c r="J116" s="9"/>
      <c r="K116" s="7">
        <v>0</v>
      </c>
      <c r="L116" s="8">
        <f>IFERROR(K116/K444, "NA")</f>
        <v>0</v>
      </c>
      <c r="M116" s="9"/>
      <c r="N116" s="10">
        <f t="shared" si="25"/>
        <v>0</v>
      </c>
      <c r="O116" s="8">
        <f>IFERROR(N116/N444, "NA")</f>
        <v>0</v>
      </c>
      <c r="P116" s="9"/>
      <c r="Q116" s="7">
        <v>0</v>
      </c>
      <c r="R116" s="8">
        <f>IFERROR(Q116/Q444, "NA")</f>
        <v>0</v>
      </c>
      <c r="S116" s="9"/>
      <c r="T116" s="7">
        <v>0</v>
      </c>
      <c r="U116" s="8">
        <f>IFERROR(T116/T444, "NA")</f>
        <v>0</v>
      </c>
      <c r="V116" s="9"/>
      <c r="W116" s="10">
        <f t="shared" si="26"/>
        <v>0</v>
      </c>
      <c r="X116" s="8">
        <f>IFERROR(W116/W444, "NA")</f>
        <v>0</v>
      </c>
      <c r="Y116" s="9"/>
      <c r="Z116" s="7">
        <v>0</v>
      </c>
      <c r="AA116" s="8">
        <f>IFERROR(Z116/Z444, "NA")</f>
        <v>0</v>
      </c>
      <c r="AB116" s="9"/>
      <c r="AC116" s="10">
        <f t="shared" si="27"/>
        <v>0</v>
      </c>
      <c r="AD116" s="8">
        <f>IFERROR(AC116/AC444, "NA")</f>
        <v>0</v>
      </c>
    </row>
    <row r="117" spans="1:30" ht="16.5" hidden="1" customHeight="1" x14ac:dyDescent="0.45">
      <c r="A117" s="12" t="s">
        <v>112</v>
      </c>
      <c r="B117" s="7">
        <v>0</v>
      </c>
      <c r="C117" s="8">
        <f>IFERROR(B117/B444, "NA")</f>
        <v>0</v>
      </c>
      <c r="D117" s="9"/>
      <c r="E117" s="7">
        <v>0</v>
      </c>
      <c r="F117" s="8">
        <f>IFERROR(E117/E444, "NA")</f>
        <v>0</v>
      </c>
      <c r="G117" s="9"/>
      <c r="H117" s="10">
        <f t="shared" si="24"/>
        <v>0</v>
      </c>
      <c r="I117" s="8">
        <f>IFERROR(H117/H444, "NA")</f>
        <v>0</v>
      </c>
      <c r="J117" s="9"/>
      <c r="K117" s="7">
        <v>0</v>
      </c>
      <c r="L117" s="8">
        <f>IFERROR(K117/K444, "NA")</f>
        <v>0</v>
      </c>
      <c r="M117" s="9"/>
      <c r="N117" s="10">
        <f t="shared" si="25"/>
        <v>0</v>
      </c>
      <c r="O117" s="8">
        <f>IFERROR(N117/N444, "NA")</f>
        <v>0</v>
      </c>
      <c r="P117" s="9"/>
      <c r="Q117" s="7">
        <v>0</v>
      </c>
      <c r="R117" s="8">
        <f>IFERROR(Q117/Q444, "NA")</f>
        <v>0</v>
      </c>
      <c r="S117" s="9"/>
      <c r="T117" s="7">
        <v>0</v>
      </c>
      <c r="U117" s="8">
        <f>IFERROR(T117/T444, "NA")</f>
        <v>0</v>
      </c>
      <c r="V117" s="9"/>
      <c r="W117" s="10">
        <f t="shared" si="26"/>
        <v>0</v>
      </c>
      <c r="X117" s="8">
        <f>IFERROR(W117/W444, "NA")</f>
        <v>0</v>
      </c>
      <c r="Y117" s="9"/>
      <c r="Z117" s="7">
        <v>0</v>
      </c>
      <c r="AA117" s="8">
        <f>IFERROR(Z117/Z444, "NA")</f>
        <v>0</v>
      </c>
      <c r="AB117" s="9"/>
      <c r="AC117" s="10">
        <f t="shared" si="27"/>
        <v>0</v>
      </c>
      <c r="AD117" s="8">
        <f>IFERROR(AC117/AC444, "NA")</f>
        <v>0</v>
      </c>
    </row>
    <row r="118" spans="1:30" ht="16.5" customHeight="1" x14ac:dyDescent="0.45">
      <c r="A118" s="13" t="s">
        <v>113</v>
      </c>
      <c r="B118" s="14">
        <f>IFERROR(B94+B95+B96+B97+B98+B99+B100+B101+B102+B103+B104+B105+B106+B107+B108+B109+B110+B111+B112+B113+B114+B115+B116+B117, "NA")</f>
        <v>-4189.25</v>
      </c>
      <c r="C118" s="15">
        <f>IFERROR(B118/B444, "NA")</f>
        <v>-3.6423288298901804E-2</v>
      </c>
      <c r="D118" s="2"/>
      <c r="E118" s="14">
        <f>IFERROR(E94+E95+E96+E97+E98+E99+E100+E101+E102+E103+E104+E105+E106+E107+E108+E109+E110+E111+E112+E113+E114+E115+E116+E117, "NA")</f>
        <v>-5744.95</v>
      </c>
      <c r="F118" s="15">
        <f>IFERROR(E118/E444, "NA")</f>
        <v>-4.3000025223907085E-2</v>
      </c>
      <c r="G118" s="2"/>
      <c r="H118" s="14">
        <f t="shared" si="24"/>
        <v>1555.6999999999998</v>
      </c>
      <c r="I118" s="15">
        <f>IFERROR(H118/H444, "NA")</f>
        <v>-8.3695086699760182E-2</v>
      </c>
      <c r="J118" s="2"/>
      <c r="K118" s="14">
        <f>IFERROR(K94+K95+K96+K97+K98+K99+K100+K101+K102+K103+K104+K105+K106+K107+K108+K109+K110+K111+K112+K113+K114+K115+K116+K117, "NA")</f>
        <v>-4890.96</v>
      </c>
      <c r="L118" s="15">
        <f>IFERROR(K118/K444, "NA")</f>
        <v>-4.3197491963663993E-2</v>
      </c>
      <c r="M118" s="2"/>
      <c r="N118" s="14">
        <f t="shared" si="25"/>
        <v>701.71</v>
      </c>
      <c r="O118" s="15">
        <f>IFERROR(N118/N444, "NA")</f>
        <v>0.39147874987447601</v>
      </c>
      <c r="P118" s="2"/>
      <c r="Q118" s="14">
        <f>IFERROR(Q94+Q95+Q96+Q97+Q98+Q99+Q100+Q101+Q102+Q103+Q104+Q105+Q106+Q107+Q108+Q109+Q110+Q111+Q112+Q113+Q114+Q115+Q116+Q117, "NA")</f>
        <v>-26621.200000000001</v>
      </c>
      <c r="R118" s="15">
        <f>IFERROR(Q118/Q444, "NA")</f>
        <v>-4.789990084519722E-2</v>
      </c>
      <c r="S118" s="2"/>
      <c r="T118" s="14">
        <f>IFERROR(T94+T95+T96+T97+T98+T99+T100+T101+T102+T103+T104+T105+T106+T107+T108+T109+T110+T111+T112+T113+T114+T115+T116+T117, "NA")</f>
        <v>-24439.11</v>
      </c>
      <c r="U118" s="15">
        <f>IFERROR(T118/T444, "NA")</f>
        <v>-4.3000004187550615E-2</v>
      </c>
      <c r="V118" s="2"/>
      <c r="W118" s="14">
        <f t="shared" si="26"/>
        <v>-2182.09</v>
      </c>
      <c r="X118" s="15">
        <f>IFERROR(W118/W444, "NA")</f>
        <v>0.17340180117466519</v>
      </c>
      <c r="Y118" s="2"/>
      <c r="Z118" s="14">
        <f>IFERROR(Z94+Z95+Z96+Z97+Z98+Z99+Z100+Z101+Z102+Z103+Z104+Z105+Z106+Z107+Z108+Z109+Z110+Z111+Z112+Z113+Z114+Z115+Z116+Z117, "NA")</f>
        <v>-29560.18</v>
      </c>
      <c r="AA118" s="15">
        <f>IFERROR(Z118/Z444, "NA")</f>
        <v>-6.0035833212778354E-2</v>
      </c>
      <c r="AB118" s="2"/>
      <c r="AC118" s="14">
        <f t="shared" si="27"/>
        <v>2938.9799999999996</v>
      </c>
      <c r="AD118" s="15">
        <f>IFERROR(AC118/AC444, "NA")</f>
        <v>4.6362206294449822E-2</v>
      </c>
    </row>
    <row r="119" spans="1:30" ht="16.5" hidden="1" customHeight="1" x14ac:dyDescent="0.45">
      <c r="A119" s="6" t="s">
        <v>114</v>
      </c>
      <c r="B119" s="7">
        <v>0</v>
      </c>
      <c r="C119" s="8">
        <f>IFERROR(B119/B444, "NA")</f>
        <v>0</v>
      </c>
      <c r="D119" s="9"/>
      <c r="E119" s="7">
        <v>0</v>
      </c>
      <c r="F119" s="8">
        <f>IFERROR(E119/E444, "NA")</f>
        <v>0</v>
      </c>
      <c r="G119" s="9"/>
      <c r="H119" s="10">
        <f t="shared" si="24"/>
        <v>0</v>
      </c>
      <c r="I119" s="8">
        <f>IFERROR(H119/H444, "NA")</f>
        <v>0</v>
      </c>
      <c r="J119" s="9"/>
      <c r="K119" s="7">
        <v>0</v>
      </c>
      <c r="L119" s="8">
        <f>IFERROR(K119/K444, "NA")</f>
        <v>0</v>
      </c>
      <c r="M119" s="9"/>
      <c r="N119" s="10">
        <f t="shared" si="25"/>
        <v>0</v>
      </c>
      <c r="O119" s="8">
        <f>IFERROR(N119/N444, "NA")</f>
        <v>0</v>
      </c>
      <c r="P119" s="9"/>
      <c r="Q119" s="7">
        <v>0</v>
      </c>
      <c r="R119" s="8">
        <f>IFERROR(Q119/Q444, "NA")</f>
        <v>0</v>
      </c>
      <c r="S119" s="9"/>
      <c r="T119" s="7">
        <v>0</v>
      </c>
      <c r="U119" s="8">
        <f>IFERROR(T119/T444, "NA")</f>
        <v>0</v>
      </c>
      <c r="V119" s="9"/>
      <c r="W119" s="10">
        <f t="shared" si="26"/>
        <v>0</v>
      </c>
      <c r="X119" s="8">
        <f>IFERROR(W119/W444, "NA")</f>
        <v>0</v>
      </c>
      <c r="Y119" s="9"/>
      <c r="Z119" s="7">
        <v>0</v>
      </c>
      <c r="AA119" s="8">
        <f>IFERROR(Z119/Z444, "NA")</f>
        <v>0</v>
      </c>
      <c r="AB119" s="9"/>
      <c r="AC119" s="10">
        <f t="shared" si="27"/>
        <v>0</v>
      </c>
      <c r="AD119" s="8">
        <f>IFERROR(AC119/AC444, "NA")</f>
        <v>0</v>
      </c>
    </row>
    <row r="120" spans="1:30" ht="16.5" hidden="1" customHeight="1" x14ac:dyDescent="0.45">
      <c r="A120" s="6" t="s">
        <v>115</v>
      </c>
      <c r="B120" s="7">
        <v>0</v>
      </c>
      <c r="C120" s="8">
        <f>IFERROR(B120/B444, "NA")</f>
        <v>0</v>
      </c>
      <c r="D120" s="9"/>
      <c r="E120" s="7">
        <v>0</v>
      </c>
      <c r="F120" s="8">
        <f>IFERROR(E120/E444, "NA")</f>
        <v>0</v>
      </c>
      <c r="G120" s="9"/>
      <c r="H120" s="10">
        <f t="shared" si="24"/>
        <v>0</v>
      </c>
      <c r="I120" s="8">
        <f>IFERROR(H120/H444, "NA")</f>
        <v>0</v>
      </c>
      <c r="J120" s="9"/>
      <c r="K120" s="7">
        <v>0</v>
      </c>
      <c r="L120" s="8">
        <f>IFERROR(K120/K444, "NA")</f>
        <v>0</v>
      </c>
      <c r="M120" s="9"/>
      <c r="N120" s="10">
        <f t="shared" si="25"/>
        <v>0</v>
      </c>
      <c r="O120" s="8">
        <f>IFERROR(N120/N444, "NA")</f>
        <v>0</v>
      </c>
      <c r="P120" s="9"/>
      <c r="Q120" s="7">
        <v>0</v>
      </c>
      <c r="R120" s="8">
        <f>IFERROR(Q120/Q444, "NA")</f>
        <v>0</v>
      </c>
      <c r="S120" s="9"/>
      <c r="T120" s="7">
        <v>0</v>
      </c>
      <c r="U120" s="8">
        <f>IFERROR(T120/T444, "NA")</f>
        <v>0</v>
      </c>
      <c r="V120" s="9"/>
      <c r="W120" s="10">
        <f t="shared" si="26"/>
        <v>0</v>
      </c>
      <c r="X120" s="8">
        <f>IFERROR(W120/W444, "NA")</f>
        <v>0</v>
      </c>
      <c r="Y120" s="9"/>
      <c r="Z120" s="7">
        <v>0</v>
      </c>
      <c r="AA120" s="8">
        <f>IFERROR(Z120/Z444, "NA")</f>
        <v>0</v>
      </c>
      <c r="AB120" s="9"/>
      <c r="AC120" s="10">
        <f t="shared" si="27"/>
        <v>0</v>
      </c>
      <c r="AD120" s="8">
        <f>IFERROR(AC120/AC444, "NA")</f>
        <v>0</v>
      </c>
    </row>
    <row r="121" spans="1:30" ht="16.5" hidden="1" customHeight="1" x14ac:dyDescent="0.45">
      <c r="A121" s="6" t="s">
        <v>116</v>
      </c>
      <c r="B121" s="7">
        <v>0</v>
      </c>
      <c r="C121" s="8">
        <f>IFERROR(B121/B444, "NA")</f>
        <v>0</v>
      </c>
      <c r="D121" s="9"/>
      <c r="E121" s="7">
        <v>0</v>
      </c>
      <c r="F121" s="8">
        <f>IFERROR(E121/E444, "NA")</f>
        <v>0</v>
      </c>
      <c r="G121" s="9"/>
      <c r="H121" s="10">
        <f t="shared" si="24"/>
        <v>0</v>
      </c>
      <c r="I121" s="8">
        <f>IFERROR(H121/H444, "NA")</f>
        <v>0</v>
      </c>
      <c r="J121" s="9"/>
      <c r="K121" s="7">
        <v>0</v>
      </c>
      <c r="L121" s="8">
        <f>IFERROR(K121/K444, "NA")</f>
        <v>0</v>
      </c>
      <c r="M121" s="9"/>
      <c r="N121" s="10">
        <f t="shared" si="25"/>
        <v>0</v>
      </c>
      <c r="O121" s="8">
        <f>IFERROR(N121/N444, "NA")</f>
        <v>0</v>
      </c>
      <c r="P121" s="9"/>
      <c r="Q121" s="7">
        <v>0</v>
      </c>
      <c r="R121" s="8">
        <f>IFERROR(Q121/Q444, "NA")</f>
        <v>0</v>
      </c>
      <c r="S121" s="9"/>
      <c r="T121" s="7">
        <v>0</v>
      </c>
      <c r="U121" s="8">
        <f>IFERROR(T121/T444, "NA")</f>
        <v>0</v>
      </c>
      <c r="V121" s="9"/>
      <c r="W121" s="10">
        <f t="shared" si="26"/>
        <v>0</v>
      </c>
      <c r="X121" s="8">
        <f>IFERROR(W121/W444, "NA")</f>
        <v>0</v>
      </c>
      <c r="Y121" s="9"/>
      <c r="Z121" s="7">
        <v>0</v>
      </c>
      <c r="AA121" s="8">
        <f>IFERROR(Z121/Z444, "NA")</f>
        <v>0</v>
      </c>
      <c r="AB121" s="9"/>
      <c r="AC121" s="10">
        <f t="shared" si="27"/>
        <v>0</v>
      </c>
      <c r="AD121" s="8">
        <f>IFERROR(AC121/AC444, "NA")</f>
        <v>0</v>
      </c>
    </row>
    <row r="122" spans="1:30" ht="16.5" customHeight="1" x14ac:dyDescent="0.45">
      <c r="A122" s="19" t="s">
        <v>117</v>
      </c>
      <c r="B122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  <v>115015.7</v>
      </c>
      <c r="C122" s="15">
        <f>IFERROR(B122/B444, "NA")</f>
        <v>1</v>
      </c>
      <c r="D122" s="2"/>
      <c r="E122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  <v>133603.40999999997</v>
      </c>
      <c r="F122" s="15">
        <f>IFERROR(E122/E444, "NA")</f>
        <v>0.99999999999999978</v>
      </c>
      <c r="G122" s="2"/>
      <c r="H122" s="14">
        <f t="shared" si="24"/>
        <v>-18587.709999999977</v>
      </c>
      <c r="I122" s="15">
        <f>IFERROR(H122/H444, "NA")</f>
        <v>0.99999999999999845</v>
      </c>
      <c r="J122" s="2"/>
      <c r="K122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  <v>113223.24000000002</v>
      </c>
      <c r="L122" s="15">
        <f>IFERROR(K122/K444, "NA")</f>
        <v>1.0000000000000002</v>
      </c>
      <c r="M122" s="2"/>
      <c r="N122" s="14">
        <f t="shared" si="25"/>
        <v>1792.4599999999773</v>
      </c>
      <c r="O122" s="15">
        <f>IFERROR(N122/N444, "NA")</f>
        <v>0.9999999999999919</v>
      </c>
      <c r="P122" s="2"/>
      <c r="Q122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  <v>555767.33000000007</v>
      </c>
      <c r="R122" s="15">
        <f>IFERROR(Q122/Q444, "NA")</f>
        <v>1.0000000000000002</v>
      </c>
      <c r="S122" s="2"/>
      <c r="T122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  <v>568351.34</v>
      </c>
      <c r="U122" s="15">
        <f>IFERROR(T122/T444, "NA")</f>
        <v>1</v>
      </c>
      <c r="V122" s="2"/>
      <c r="W122" s="14">
        <f t="shared" si="26"/>
        <v>-12584.009999999893</v>
      </c>
      <c r="X122" s="15">
        <f>IFERROR(W122/W444, "NA")</f>
        <v>0.99999999999999079</v>
      </c>
      <c r="Y122" s="2"/>
      <c r="Z122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  <v>492375.61000000004</v>
      </c>
      <c r="AA122" s="15">
        <f>IFERROR(Z122/Z444, "NA")</f>
        <v>1.0000000000000002</v>
      </c>
      <c r="AB122" s="2"/>
      <c r="AC122" s="14">
        <f t="shared" si="27"/>
        <v>63391.72000000003</v>
      </c>
      <c r="AD122" s="15">
        <f>IFERROR(AC122/AC444, "NA")</f>
        <v>1.0000000000000009</v>
      </c>
    </row>
    <row r="123" spans="1:30" ht="16.5" hidden="1" customHeight="1" x14ac:dyDescent="0.45">
      <c r="A123" s="20" t="s">
        <v>118</v>
      </c>
      <c r="B123" s="7">
        <v>0</v>
      </c>
      <c r="C123" s="8">
        <f>IFERROR(B123/B444, "NA")</f>
        <v>0</v>
      </c>
      <c r="D123" s="9"/>
      <c r="E123" s="7">
        <v>0</v>
      </c>
      <c r="F123" s="8">
        <f>IFERROR(E123/E444, "NA")</f>
        <v>0</v>
      </c>
      <c r="G123" s="9"/>
      <c r="H123" s="10">
        <f t="shared" si="24"/>
        <v>0</v>
      </c>
      <c r="I123" s="8">
        <f>IFERROR(H123/H444, "NA")</f>
        <v>0</v>
      </c>
      <c r="J123" s="9"/>
      <c r="K123" s="7">
        <v>0</v>
      </c>
      <c r="L123" s="8">
        <f>IFERROR(K123/K444, "NA")</f>
        <v>0</v>
      </c>
      <c r="M123" s="9"/>
      <c r="N123" s="10">
        <f t="shared" si="25"/>
        <v>0</v>
      </c>
      <c r="O123" s="8">
        <f>IFERROR(N123/N444, "NA")</f>
        <v>0</v>
      </c>
      <c r="P123" s="9"/>
      <c r="Q123" s="7">
        <v>0</v>
      </c>
      <c r="R123" s="8">
        <f>IFERROR(Q123/Q444, "NA")</f>
        <v>0</v>
      </c>
      <c r="S123" s="9"/>
      <c r="T123" s="7">
        <v>0</v>
      </c>
      <c r="U123" s="8">
        <f>IFERROR(T123/T444, "NA")</f>
        <v>0</v>
      </c>
      <c r="V123" s="9"/>
      <c r="W123" s="10">
        <f t="shared" si="26"/>
        <v>0</v>
      </c>
      <c r="X123" s="8">
        <f>IFERROR(W123/W444, "NA")</f>
        <v>0</v>
      </c>
      <c r="Y123" s="9"/>
      <c r="Z123" s="7">
        <v>0</v>
      </c>
      <c r="AA123" s="8">
        <f>IFERROR(Z123/Z444, "NA")</f>
        <v>0</v>
      </c>
      <c r="AB123" s="9"/>
      <c r="AC123" s="10">
        <f t="shared" si="27"/>
        <v>0</v>
      </c>
      <c r="AD123" s="8">
        <f>IFERROR(AC123/AC444, "NA")</f>
        <v>0</v>
      </c>
    </row>
    <row r="124" spans="1:30" ht="16.5" customHeight="1" x14ac:dyDescent="0.45">
      <c r="A124" s="21" t="s">
        <v>117</v>
      </c>
      <c r="B124" s="14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  <v>115015.7</v>
      </c>
      <c r="C124" s="15">
        <f>IFERROR(B124/B444, "NA")</f>
        <v>1</v>
      </c>
      <c r="D124" s="2"/>
      <c r="E124" s="14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  <v>133603.40999999997</v>
      </c>
      <c r="F124" s="15">
        <f>IFERROR(E124/E444, "NA")</f>
        <v>0.99999999999999978</v>
      </c>
      <c r="G124" s="2"/>
      <c r="H124" s="14">
        <f t="shared" si="24"/>
        <v>-18587.709999999977</v>
      </c>
      <c r="I124" s="15">
        <f>IFERROR(H124/H444, "NA")</f>
        <v>0.99999999999999845</v>
      </c>
      <c r="J124" s="2"/>
      <c r="K124" s="14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  <v>113223.24000000002</v>
      </c>
      <c r="L124" s="15">
        <f>IFERROR(K124/K444, "NA")</f>
        <v>1.0000000000000002</v>
      </c>
      <c r="M124" s="2"/>
      <c r="N124" s="14">
        <f t="shared" si="25"/>
        <v>1792.4599999999773</v>
      </c>
      <c r="O124" s="15">
        <f>IFERROR(N124/N444, "NA")</f>
        <v>0.9999999999999919</v>
      </c>
      <c r="P124" s="2"/>
      <c r="Q124" s="14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  <v>555767.33000000007</v>
      </c>
      <c r="R124" s="15">
        <f>IFERROR(Q124/Q444, "NA")</f>
        <v>1.0000000000000002</v>
      </c>
      <c r="S124" s="2"/>
      <c r="T124" s="14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  <v>568351.34</v>
      </c>
      <c r="U124" s="15">
        <f>IFERROR(T124/T444, "NA")</f>
        <v>1</v>
      </c>
      <c r="V124" s="2"/>
      <c r="W124" s="14">
        <f t="shared" si="26"/>
        <v>-12584.009999999893</v>
      </c>
      <c r="X124" s="15">
        <f>IFERROR(W124/W444, "NA")</f>
        <v>0.99999999999999079</v>
      </c>
      <c r="Y124" s="2"/>
      <c r="Z124" s="14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  <v>492375.61000000004</v>
      </c>
      <c r="AA124" s="15">
        <f>IFERROR(Z124/Z444, "NA")</f>
        <v>1.0000000000000002</v>
      </c>
      <c r="AB124" s="2"/>
      <c r="AC124" s="14">
        <f t="shared" si="27"/>
        <v>63391.72000000003</v>
      </c>
      <c r="AD124" s="15">
        <f>IFERROR(AC124/AC444, "NA")</f>
        <v>1.0000000000000009</v>
      </c>
    </row>
    <row r="125" spans="1:30" ht="16.5" customHeight="1" x14ac:dyDescent="0.45">
      <c r="A125" s="1" t="s">
        <v>119</v>
      </c>
      <c r="B125" s="2"/>
      <c r="C125" s="3"/>
      <c r="D125" s="4"/>
      <c r="E125" s="2"/>
      <c r="F125" s="3"/>
      <c r="G125" s="4"/>
      <c r="H125" s="2"/>
      <c r="I125" s="3"/>
      <c r="J125" s="4"/>
      <c r="K125" s="2"/>
      <c r="L125" s="3"/>
      <c r="M125" s="4"/>
      <c r="N125" s="2"/>
      <c r="O125" s="3"/>
      <c r="P125" s="4"/>
      <c r="Q125" s="2"/>
      <c r="R125" s="3"/>
      <c r="S125" s="4"/>
      <c r="T125" s="2"/>
      <c r="U125" s="3"/>
      <c r="V125" s="4"/>
      <c r="W125" s="2"/>
      <c r="X125" s="3"/>
      <c r="Y125" s="4"/>
      <c r="Z125" s="2"/>
      <c r="AA125" s="3"/>
      <c r="AB125" s="4"/>
      <c r="AC125" s="2"/>
      <c r="AD125" s="3"/>
    </row>
    <row r="126" spans="1:30" ht="16.5" customHeight="1" x14ac:dyDescent="0.45">
      <c r="A126" s="5" t="s">
        <v>120</v>
      </c>
      <c r="B126" s="2"/>
      <c r="C126" s="3"/>
      <c r="D126" s="4"/>
      <c r="E126" s="2"/>
      <c r="F126" s="3"/>
      <c r="G126" s="4"/>
      <c r="H126" s="2"/>
      <c r="I126" s="3"/>
      <c r="J126" s="4"/>
      <c r="K126" s="2"/>
      <c r="L126" s="3"/>
      <c r="M126" s="4"/>
      <c r="N126" s="2"/>
      <c r="O126" s="3"/>
      <c r="P126" s="4"/>
      <c r="Q126" s="2"/>
      <c r="R126" s="3"/>
      <c r="S126" s="4"/>
      <c r="T126" s="2"/>
      <c r="U126" s="3"/>
      <c r="V126" s="4"/>
      <c r="W126" s="2"/>
      <c r="X126" s="3"/>
      <c r="Y126" s="4"/>
      <c r="Z126" s="2"/>
      <c r="AA126" s="3"/>
      <c r="AB126" s="4"/>
      <c r="AC126" s="2"/>
      <c r="AD126" s="3"/>
    </row>
    <row r="127" spans="1:30" ht="16.5" hidden="1" customHeight="1" x14ac:dyDescent="0.45">
      <c r="A127" s="6" t="s">
        <v>120</v>
      </c>
      <c r="B127" s="7">
        <v>0</v>
      </c>
      <c r="C127" s="8">
        <f>IFERROR(B127/B444, "NA")</f>
        <v>0</v>
      </c>
      <c r="D127" s="9"/>
      <c r="E127" s="7">
        <v>0</v>
      </c>
      <c r="F127" s="8">
        <f>IFERROR(E127/E444, "NA")</f>
        <v>0</v>
      </c>
      <c r="G127" s="9"/>
      <c r="H127" s="10">
        <f>IFERROR(-(B127-E127), "NA")</f>
        <v>0</v>
      </c>
      <c r="I127" s="8">
        <f>IFERROR(H127/H444, "NA")</f>
        <v>0</v>
      </c>
      <c r="J127" s="9"/>
      <c r="K127" s="7">
        <v>0</v>
      </c>
      <c r="L127" s="8">
        <f>IFERROR(K127/K444, "NA")</f>
        <v>0</v>
      </c>
      <c r="M127" s="9"/>
      <c r="N127" s="10">
        <f>IFERROR(-(B127-K127), "NA")</f>
        <v>0</v>
      </c>
      <c r="O127" s="8">
        <f>IFERROR(N127/N444, "NA")</f>
        <v>0</v>
      </c>
      <c r="P127" s="9"/>
      <c r="Q127" s="7">
        <v>0</v>
      </c>
      <c r="R127" s="8">
        <f>IFERROR(Q127/Q444, "NA")</f>
        <v>0</v>
      </c>
      <c r="S127" s="9"/>
      <c r="T127" s="7">
        <v>0</v>
      </c>
      <c r="U127" s="8">
        <f>IFERROR(T127/T444, "NA")</f>
        <v>0</v>
      </c>
      <c r="V127" s="9"/>
      <c r="W127" s="10">
        <f>IFERROR(-(Q127-T127), "NA")</f>
        <v>0</v>
      </c>
      <c r="X127" s="8">
        <f>IFERROR(W127/W444, "NA")</f>
        <v>0</v>
      </c>
      <c r="Y127" s="9"/>
      <c r="Z127" s="7">
        <v>0</v>
      </c>
      <c r="AA127" s="8">
        <f>IFERROR(Z127/Z444, "NA")</f>
        <v>0</v>
      </c>
      <c r="AB127" s="9"/>
      <c r="AC127" s="10">
        <f>IFERROR(-(Q127-Z127), "NA")</f>
        <v>0</v>
      </c>
      <c r="AD127" s="8">
        <f>IFERROR(AC127/AC444, "NA")</f>
        <v>0</v>
      </c>
    </row>
    <row r="128" spans="1:30" ht="16.5" customHeight="1" x14ac:dyDescent="0.45">
      <c r="A128" s="11" t="s">
        <v>121</v>
      </c>
      <c r="B128" s="2"/>
      <c r="C128" s="3"/>
      <c r="D128" s="4"/>
      <c r="E128" s="2"/>
      <c r="F128" s="3"/>
      <c r="G128" s="4"/>
      <c r="H128" s="2"/>
      <c r="I128" s="3"/>
      <c r="J128" s="4"/>
      <c r="K128" s="2"/>
      <c r="L128" s="3"/>
      <c r="M128" s="4"/>
      <c r="N128" s="2"/>
      <c r="O128" s="3"/>
      <c r="P128" s="4"/>
      <c r="Q128" s="2"/>
      <c r="R128" s="3"/>
      <c r="S128" s="4"/>
      <c r="T128" s="2"/>
      <c r="U128" s="3"/>
      <c r="V128" s="4"/>
      <c r="W128" s="2"/>
      <c r="X128" s="3"/>
      <c r="Y128" s="4"/>
      <c r="Z128" s="2"/>
      <c r="AA128" s="3"/>
      <c r="AB128" s="4"/>
      <c r="AC128" s="2"/>
      <c r="AD128" s="3"/>
    </row>
    <row r="129" spans="1:30" ht="16.5" customHeight="1" x14ac:dyDescent="0.45">
      <c r="A129" s="12" t="s">
        <v>121</v>
      </c>
      <c r="B129" s="7">
        <v>0</v>
      </c>
      <c r="C129" s="8">
        <f>IFERROR(B129/B444, "NA")</f>
        <v>0</v>
      </c>
      <c r="D129" s="9"/>
      <c r="E129" s="7">
        <v>30461.58</v>
      </c>
      <c r="F129" s="8">
        <f>IFERROR(E129/E444, "NA")</f>
        <v>0.22800001886179402</v>
      </c>
      <c r="G129" s="9"/>
      <c r="H129" s="10">
        <f t="shared" ref="H129:H141" si="28">IFERROR(-(B129-E129), "NA")</f>
        <v>30461.58</v>
      </c>
      <c r="I129" s="8">
        <f>IFERROR(H129/H444, "NA")</f>
        <v>-1.6388021977962854</v>
      </c>
      <c r="J129" s="9"/>
      <c r="K129" s="7">
        <v>0</v>
      </c>
      <c r="L129" s="8">
        <f>IFERROR(K129/K444, "NA")</f>
        <v>0</v>
      </c>
      <c r="M129" s="9"/>
      <c r="N129" s="10">
        <f t="shared" ref="N129:N141" si="29">IFERROR(-(B129-K129), "NA")</f>
        <v>0</v>
      </c>
      <c r="O129" s="8">
        <f>IFERROR(N129/N444, "NA")</f>
        <v>0</v>
      </c>
      <c r="P129" s="9"/>
      <c r="Q129" s="7">
        <v>0</v>
      </c>
      <c r="R129" s="8">
        <f>IFERROR(Q129/Q444, "NA")</f>
        <v>0</v>
      </c>
      <c r="S129" s="9"/>
      <c r="T129" s="7">
        <v>133955.60999999999</v>
      </c>
      <c r="U129" s="8">
        <f>IFERROR(T129/T444, "NA")</f>
        <v>0.23569155304533987</v>
      </c>
      <c r="V129" s="9"/>
      <c r="W129" s="10">
        <f t="shared" ref="W129:W141" si="30">IFERROR(-(Q129-T129), "NA")</f>
        <v>133955.60999999999</v>
      </c>
      <c r="X129" s="8">
        <f>IFERROR(W129/W444, "NA")</f>
        <v>-10.644906512312044</v>
      </c>
      <c r="Y129" s="9"/>
      <c r="Z129" s="7">
        <v>0</v>
      </c>
      <c r="AA129" s="8">
        <f>IFERROR(Z129/Z444, "NA")</f>
        <v>0</v>
      </c>
      <c r="AB129" s="9"/>
      <c r="AC129" s="10">
        <f t="shared" ref="AC129:AC141" si="31">IFERROR(-(Q129-Z129), "NA")</f>
        <v>0</v>
      </c>
      <c r="AD129" s="8">
        <f>IFERROR(AC129/AC444, "NA")</f>
        <v>0</v>
      </c>
    </row>
    <row r="130" spans="1:30" ht="16.5" customHeight="1" x14ac:dyDescent="0.45">
      <c r="A130" s="12" t="s">
        <v>122</v>
      </c>
      <c r="B130" s="7">
        <v>6521.75</v>
      </c>
      <c r="C130" s="8">
        <f>IFERROR(B130/B444, "NA")</f>
        <v>5.670312835552016E-2</v>
      </c>
      <c r="D130" s="9"/>
      <c r="E130" s="7">
        <v>0</v>
      </c>
      <c r="F130" s="8">
        <f>IFERROR(E130/E444, "NA")</f>
        <v>0</v>
      </c>
      <c r="G130" s="9"/>
      <c r="H130" s="10">
        <f t="shared" si="28"/>
        <v>-6521.75</v>
      </c>
      <c r="I130" s="8">
        <f>IFERROR(H130/H444, "NA")</f>
        <v>0.35086355446690298</v>
      </c>
      <c r="J130" s="9"/>
      <c r="K130" s="7">
        <v>7244.04</v>
      </c>
      <c r="L130" s="8">
        <f>IFERROR(K130/K444, "NA")</f>
        <v>6.3980151071458477E-2</v>
      </c>
      <c r="M130" s="9"/>
      <c r="N130" s="10">
        <f t="shared" si="29"/>
        <v>722.29</v>
      </c>
      <c r="O130" s="8">
        <f>IFERROR(N130/N444, "NA")</f>
        <v>0.40296017763297548</v>
      </c>
      <c r="P130" s="9"/>
      <c r="Q130" s="7">
        <v>33912.51</v>
      </c>
      <c r="R130" s="8">
        <f>IFERROR(Q130/Q444, "NA")</f>
        <v>6.1019257825032654E-2</v>
      </c>
      <c r="S130" s="9"/>
      <c r="T130" s="7">
        <v>0</v>
      </c>
      <c r="U130" s="8">
        <f>IFERROR(T130/T444, "NA")</f>
        <v>0</v>
      </c>
      <c r="V130" s="9"/>
      <c r="W130" s="10">
        <f t="shared" si="30"/>
        <v>-33912.51</v>
      </c>
      <c r="X130" s="8">
        <f>IFERROR(W130/W444, "NA")</f>
        <v>2.6948889900754986</v>
      </c>
      <c r="Y130" s="9"/>
      <c r="Z130" s="7">
        <v>33696.54</v>
      </c>
      <c r="AA130" s="8">
        <f>IFERROR(Z130/Z444, "NA")</f>
        <v>6.8436655503711891E-2</v>
      </c>
      <c r="AB130" s="9"/>
      <c r="AC130" s="10">
        <f t="shared" si="31"/>
        <v>-215.97000000000116</v>
      </c>
      <c r="AD130" s="8">
        <f>IFERROR(AC130/AC444, "NA")</f>
        <v>-3.4069118175055237E-3</v>
      </c>
    </row>
    <row r="131" spans="1:30" ht="16.5" customHeight="1" x14ac:dyDescent="0.45">
      <c r="A131" s="12" t="s">
        <v>123</v>
      </c>
      <c r="B131" s="7">
        <v>3812.14</v>
      </c>
      <c r="C131" s="8">
        <f>IFERROR(B131/B444, "NA")</f>
        <v>3.314451853094838E-2</v>
      </c>
      <c r="D131" s="9"/>
      <c r="E131" s="7">
        <v>0</v>
      </c>
      <c r="F131" s="8">
        <f>IFERROR(E131/E444, "NA")</f>
        <v>0</v>
      </c>
      <c r="G131" s="9"/>
      <c r="H131" s="10">
        <f t="shared" si="28"/>
        <v>-3812.14</v>
      </c>
      <c r="I131" s="8">
        <f>IFERROR(H131/H444, "NA")</f>
        <v>0.20508927673177593</v>
      </c>
      <c r="J131" s="9"/>
      <c r="K131" s="7">
        <v>3634.78</v>
      </c>
      <c r="L131" s="8">
        <f>IFERROR(K131/K444, "NA")</f>
        <v>3.2102773246905844E-2</v>
      </c>
      <c r="M131" s="9"/>
      <c r="N131" s="10">
        <f t="shared" si="29"/>
        <v>-177.35999999999967</v>
      </c>
      <c r="O131" s="8">
        <f>IFERROR(N131/N444, "NA")</f>
        <v>-9.8947814735057121E-2</v>
      </c>
      <c r="P131" s="9"/>
      <c r="Q131" s="7">
        <v>18426.060000000001</v>
      </c>
      <c r="R131" s="8">
        <f>IFERROR(Q131/Q444, "NA")</f>
        <v>3.3154269791281187E-2</v>
      </c>
      <c r="S131" s="9"/>
      <c r="T131" s="7">
        <v>0</v>
      </c>
      <c r="U131" s="8">
        <f>IFERROR(T131/T444, "NA")</f>
        <v>0</v>
      </c>
      <c r="V131" s="9"/>
      <c r="W131" s="10">
        <f t="shared" si="30"/>
        <v>-18426.060000000001</v>
      </c>
      <c r="X131" s="8">
        <f>IFERROR(W131/W444, "NA")</f>
        <v>1.4642439095328108</v>
      </c>
      <c r="Y131" s="9"/>
      <c r="Z131" s="7">
        <v>16564.009999999998</v>
      </c>
      <c r="AA131" s="8">
        <f>IFERROR(Z131/Z444, "NA")</f>
        <v>3.3641004273140172E-2</v>
      </c>
      <c r="AB131" s="9"/>
      <c r="AC131" s="10">
        <f t="shared" si="31"/>
        <v>-1862.0500000000029</v>
      </c>
      <c r="AD131" s="8">
        <f>IFERROR(AC131/AC444, "NA")</f>
        <v>-2.9373710005029106E-2</v>
      </c>
    </row>
    <row r="132" spans="1:30" ht="16.5" customHeight="1" x14ac:dyDescent="0.45">
      <c r="A132" s="12" t="s">
        <v>124</v>
      </c>
      <c r="B132" s="7">
        <v>6116.91</v>
      </c>
      <c r="C132" s="8">
        <f>IFERROR(B132/B444, "NA")</f>
        <v>5.3183261067836829E-2</v>
      </c>
      <c r="D132" s="9"/>
      <c r="E132" s="7">
        <v>0</v>
      </c>
      <c r="F132" s="8">
        <f>IFERROR(E132/E444, "NA")</f>
        <v>0</v>
      </c>
      <c r="G132" s="9"/>
      <c r="H132" s="10">
        <f t="shared" si="28"/>
        <v>-6116.91</v>
      </c>
      <c r="I132" s="8">
        <f>IFERROR(H132/H444, "NA")</f>
        <v>0.32908357188701554</v>
      </c>
      <c r="J132" s="9"/>
      <c r="K132" s="7">
        <v>3663.53</v>
      </c>
      <c r="L132" s="8">
        <f>IFERROR(K132/K444, "NA")</f>
        <v>3.2356696381414272E-2</v>
      </c>
      <c r="M132" s="9"/>
      <c r="N132" s="10">
        <f t="shared" si="29"/>
        <v>-2453.3799999999997</v>
      </c>
      <c r="O132" s="8">
        <f>IFERROR(N132/N444, "NA")</f>
        <v>-1.3687223145844318</v>
      </c>
      <c r="P132" s="9"/>
      <c r="Q132" s="7">
        <v>22857.73</v>
      </c>
      <c r="R132" s="8">
        <f>IFERROR(Q132/Q444, "NA")</f>
        <v>4.1128236163144032E-2</v>
      </c>
      <c r="S132" s="9"/>
      <c r="T132" s="7">
        <v>0</v>
      </c>
      <c r="U132" s="8">
        <f>IFERROR(T132/T444, "NA")</f>
        <v>0</v>
      </c>
      <c r="V132" s="9"/>
      <c r="W132" s="10">
        <f t="shared" si="30"/>
        <v>-22857.73</v>
      </c>
      <c r="X132" s="8">
        <f>IFERROR(W132/W444, "NA")</f>
        <v>1.8164106671879618</v>
      </c>
      <c r="Y132" s="9"/>
      <c r="Z132" s="7">
        <v>16335.89</v>
      </c>
      <c r="AA132" s="8">
        <f>IFERROR(Z132/Z444, "NA")</f>
        <v>3.317769943966152E-2</v>
      </c>
      <c r="AB132" s="9"/>
      <c r="AC132" s="10">
        <f t="shared" si="31"/>
        <v>-6521.84</v>
      </c>
      <c r="AD132" s="8">
        <f>IFERROR(AC132/AC444, "NA")</f>
        <v>-0.10288157507005652</v>
      </c>
    </row>
    <row r="133" spans="1:30" ht="16.5" customHeight="1" x14ac:dyDescent="0.45">
      <c r="A133" s="12" t="s">
        <v>125</v>
      </c>
      <c r="B133" s="7">
        <v>2967.32</v>
      </c>
      <c r="C133" s="8">
        <f>IFERROR(B133/B444, "NA")</f>
        <v>2.5799260448790905E-2</v>
      </c>
      <c r="D133" s="9"/>
      <c r="E133" s="7">
        <v>0</v>
      </c>
      <c r="F133" s="8">
        <f>IFERROR(E133/E444, "NA")</f>
        <v>0</v>
      </c>
      <c r="G133" s="9"/>
      <c r="H133" s="10">
        <f t="shared" si="28"/>
        <v>-2967.32</v>
      </c>
      <c r="I133" s="8">
        <f>IFERROR(H133/H444, "NA")</f>
        <v>0.15963881510955352</v>
      </c>
      <c r="J133" s="9"/>
      <c r="K133" s="7">
        <v>2508.58</v>
      </c>
      <c r="L133" s="8">
        <f>IFERROR(K133/K444, "NA")</f>
        <v>2.2156052061396581E-2</v>
      </c>
      <c r="M133" s="9"/>
      <c r="N133" s="10">
        <f t="shared" si="29"/>
        <v>-458.74000000000024</v>
      </c>
      <c r="O133" s="8">
        <f>IFERROR(N133/N444, "NA")</f>
        <v>-0.2559276078685172</v>
      </c>
      <c r="P133" s="9"/>
      <c r="Q133" s="7">
        <v>14235.56</v>
      </c>
      <c r="R133" s="8">
        <f>IFERROR(Q133/Q444, "NA")</f>
        <v>2.5614244003871189E-2</v>
      </c>
      <c r="S133" s="9"/>
      <c r="T133" s="7">
        <v>0</v>
      </c>
      <c r="U133" s="8">
        <f>IFERROR(T133/T444, "NA")</f>
        <v>0</v>
      </c>
      <c r="V133" s="9"/>
      <c r="W133" s="10">
        <f t="shared" si="30"/>
        <v>-14235.56</v>
      </c>
      <c r="X133" s="8">
        <f>IFERROR(W133/W444, "NA")</f>
        <v>1.1312419491084311</v>
      </c>
      <c r="Y133" s="9"/>
      <c r="Z133" s="7">
        <v>11518.87</v>
      </c>
      <c r="AA133" s="8">
        <f>IFERROR(Z133/Z444, "NA")</f>
        <v>2.3394477236595861E-2</v>
      </c>
      <c r="AB133" s="9"/>
      <c r="AC133" s="10">
        <f t="shared" si="31"/>
        <v>-2716.6899999999987</v>
      </c>
      <c r="AD133" s="8">
        <f>IFERROR(AC133/AC444, "NA")</f>
        <v>-4.2855596913918721E-2</v>
      </c>
    </row>
    <row r="134" spans="1:30" ht="16.5" customHeight="1" x14ac:dyDescent="0.45">
      <c r="A134" s="12" t="s">
        <v>126</v>
      </c>
      <c r="B134" s="7">
        <v>1061.1099999999999</v>
      </c>
      <c r="C134" s="8">
        <f>IFERROR(B134/B444, "NA")</f>
        <v>9.2257839581900546E-3</v>
      </c>
      <c r="D134" s="9"/>
      <c r="E134" s="7">
        <v>0</v>
      </c>
      <c r="F134" s="8">
        <f>IFERROR(E134/E444, "NA")</f>
        <v>0</v>
      </c>
      <c r="G134" s="9"/>
      <c r="H134" s="10">
        <f t="shared" si="28"/>
        <v>-1061.1099999999999</v>
      </c>
      <c r="I134" s="8">
        <f>IFERROR(H134/H444, "NA")</f>
        <v>5.7086644885249421E-2</v>
      </c>
      <c r="J134" s="9"/>
      <c r="K134" s="7">
        <v>1440.27</v>
      </c>
      <c r="L134" s="8">
        <f>IFERROR(K134/K444, "NA")</f>
        <v>1.2720621667424461E-2</v>
      </c>
      <c r="M134" s="9"/>
      <c r="N134" s="10">
        <f t="shared" si="29"/>
        <v>379.16000000000008</v>
      </c>
      <c r="O134" s="8">
        <f>IFERROR(N134/N444, "NA")</f>
        <v>0.21153052229896444</v>
      </c>
      <c r="P134" s="9"/>
      <c r="Q134" s="7">
        <v>5351.55</v>
      </c>
      <c r="R134" s="8">
        <f>IFERROR(Q134/Q444, "NA")</f>
        <v>9.6291194374451636E-3</v>
      </c>
      <c r="S134" s="9"/>
      <c r="T134" s="7">
        <v>0</v>
      </c>
      <c r="U134" s="8">
        <f>IFERROR(T134/T444, "NA")</f>
        <v>0</v>
      </c>
      <c r="V134" s="9"/>
      <c r="W134" s="10">
        <f t="shared" si="30"/>
        <v>-5351.55</v>
      </c>
      <c r="X134" s="8">
        <f>IFERROR(W134/W444, "NA")</f>
        <v>0.42526587311993524</v>
      </c>
      <c r="Y134" s="9"/>
      <c r="Z134" s="7">
        <v>6488.13</v>
      </c>
      <c r="AA134" s="8">
        <f>IFERROR(Z134/Z444, "NA")</f>
        <v>1.3177196165342147E-2</v>
      </c>
      <c r="AB134" s="9"/>
      <c r="AC134" s="10">
        <f t="shared" si="31"/>
        <v>1136.58</v>
      </c>
      <c r="AD134" s="8">
        <f>IFERROR(AC134/AC444, "NA")</f>
        <v>1.7929470915128986E-2</v>
      </c>
    </row>
    <row r="135" spans="1:30" ht="16.5" customHeight="1" x14ac:dyDescent="0.45">
      <c r="A135" s="12" t="s">
        <v>127</v>
      </c>
      <c r="B135" s="7">
        <v>881.03</v>
      </c>
      <c r="C135" s="8">
        <f>IFERROR(B135/B444, "NA")</f>
        <v>7.6600846667020245E-3</v>
      </c>
      <c r="D135" s="9"/>
      <c r="E135" s="7">
        <v>0</v>
      </c>
      <c r="F135" s="8">
        <f>IFERROR(E135/E444, "NA")</f>
        <v>0</v>
      </c>
      <c r="G135" s="9"/>
      <c r="H135" s="10">
        <f t="shared" si="28"/>
        <v>-881.03</v>
      </c>
      <c r="I135" s="8">
        <f>IFERROR(H135/H444, "NA")</f>
        <v>4.7398523002564578E-2</v>
      </c>
      <c r="J135" s="9"/>
      <c r="K135" s="7">
        <v>960.05</v>
      </c>
      <c r="L135" s="8">
        <f>IFERROR(K135/K444, "NA")</f>
        <v>8.4792662707762114E-3</v>
      </c>
      <c r="M135" s="9"/>
      <c r="N135" s="10">
        <f t="shared" si="29"/>
        <v>79.019999999999982</v>
      </c>
      <c r="O135" s="8">
        <f>IFERROR(N135/N444, "NA")</f>
        <v>4.4084665766600278E-2</v>
      </c>
      <c r="P135" s="9"/>
      <c r="Q135" s="7">
        <v>4478.3100000000004</v>
      </c>
      <c r="R135" s="8">
        <f>IFERROR(Q135/Q444, "NA")</f>
        <v>8.0578863820584788E-3</v>
      </c>
      <c r="S135" s="9"/>
      <c r="T135" s="7">
        <v>0</v>
      </c>
      <c r="U135" s="8">
        <f>IFERROR(T135/T444, "NA")</f>
        <v>0</v>
      </c>
      <c r="V135" s="9"/>
      <c r="W135" s="10">
        <f t="shared" si="30"/>
        <v>-4478.3100000000004</v>
      </c>
      <c r="X135" s="8">
        <f>IFERROR(W135/W444, "NA")</f>
        <v>0.35587304841620415</v>
      </c>
      <c r="Y135" s="9"/>
      <c r="Z135" s="7">
        <v>3960.42</v>
      </c>
      <c r="AA135" s="8">
        <f>IFERROR(Z135/Z444, "NA")</f>
        <v>8.0434934622370929E-3</v>
      </c>
      <c r="AB135" s="9"/>
      <c r="AC135" s="10">
        <f t="shared" si="31"/>
        <v>-517.89000000000033</v>
      </c>
      <c r="AD135" s="8">
        <f>IFERROR(AC135/AC444, "NA")</f>
        <v>-8.1696789422972052E-3</v>
      </c>
    </row>
    <row r="136" spans="1:30" ht="16.5" customHeight="1" x14ac:dyDescent="0.45">
      <c r="A136" s="12" t="s">
        <v>128</v>
      </c>
      <c r="B136" s="7">
        <v>796.56</v>
      </c>
      <c r="C136" s="8">
        <f>IFERROR(B136/B444, "NA")</f>
        <v>6.925663192068561E-3</v>
      </c>
      <c r="D136" s="9"/>
      <c r="E136" s="7">
        <v>0</v>
      </c>
      <c r="F136" s="8">
        <f>IFERROR(E136/E444, "NA")</f>
        <v>0</v>
      </c>
      <c r="G136" s="9"/>
      <c r="H136" s="10">
        <f t="shared" si="28"/>
        <v>-796.56</v>
      </c>
      <c r="I136" s="8">
        <f>IFERROR(H136/H444, "NA")</f>
        <v>4.2854122428206576E-2</v>
      </c>
      <c r="J136" s="9"/>
      <c r="K136" s="7">
        <v>1244.27</v>
      </c>
      <c r="L136" s="8">
        <f>IFERROR(K136/K444, "NA")</f>
        <v>1.0989528298253962E-2</v>
      </c>
      <c r="M136" s="9"/>
      <c r="N136" s="10">
        <f t="shared" si="29"/>
        <v>447.71000000000004</v>
      </c>
      <c r="O136" s="8">
        <f>IFERROR(N136/N444, "NA")</f>
        <v>0.24977405353536597</v>
      </c>
      <c r="P136" s="9"/>
      <c r="Q136" s="7">
        <v>5225.92</v>
      </c>
      <c r="R136" s="8">
        <f>IFERROR(Q136/Q444, "NA")</f>
        <v>9.4030716055224055E-3</v>
      </c>
      <c r="S136" s="9"/>
      <c r="T136" s="7">
        <v>0</v>
      </c>
      <c r="U136" s="8">
        <f>IFERROR(T136/T444, "NA")</f>
        <v>0</v>
      </c>
      <c r="V136" s="9"/>
      <c r="W136" s="10">
        <f t="shared" si="30"/>
        <v>-5225.92</v>
      </c>
      <c r="X136" s="8">
        <f>IFERROR(W136/W444, "NA")</f>
        <v>0.41528256891086357</v>
      </c>
      <c r="Y136" s="9"/>
      <c r="Z136" s="7">
        <v>4945.76</v>
      </c>
      <c r="AA136" s="8">
        <f>IFERROR(Z136/Z444, "NA")</f>
        <v>1.0044689256642913E-2</v>
      </c>
      <c r="AB136" s="9"/>
      <c r="AC136" s="10">
        <f t="shared" si="31"/>
        <v>-280.15999999999985</v>
      </c>
      <c r="AD136" s="8">
        <f>IFERROR(AC136/AC444, "NA")</f>
        <v>-4.4195046293112094E-3</v>
      </c>
    </row>
    <row r="137" spans="1:30" ht="16.5" customHeight="1" x14ac:dyDescent="0.45">
      <c r="A137" s="12" t="s">
        <v>129</v>
      </c>
      <c r="B137" s="7">
        <v>639.14</v>
      </c>
      <c r="C137" s="8">
        <f>IFERROR(B137/B444, "NA")</f>
        <v>5.5569804817950938E-3</v>
      </c>
      <c r="D137" s="9"/>
      <c r="E137" s="7">
        <v>0</v>
      </c>
      <c r="F137" s="8">
        <f>IFERROR(E137/E444, "NA")</f>
        <v>0</v>
      </c>
      <c r="G137" s="9"/>
      <c r="H137" s="10">
        <f t="shared" si="28"/>
        <v>-639.14</v>
      </c>
      <c r="I137" s="8">
        <f>IFERROR(H137/H444, "NA")</f>
        <v>3.4385085629160331E-2</v>
      </c>
      <c r="J137" s="9"/>
      <c r="K137" s="7">
        <v>587.51</v>
      </c>
      <c r="L137" s="8">
        <f>IFERROR(K137/K444, "NA")</f>
        <v>5.1889523740885702E-3</v>
      </c>
      <c r="M137" s="9"/>
      <c r="N137" s="10">
        <f t="shared" si="29"/>
        <v>-51.629999999999995</v>
      </c>
      <c r="O137" s="8">
        <f>IFERROR(N137/N444, "NA")</f>
        <v>-2.8803990047197834E-2</v>
      </c>
      <c r="P137" s="9"/>
      <c r="Q137" s="7">
        <v>2948.43</v>
      </c>
      <c r="R137" s="8">
        <f>IFERROR(Q137/Q444, "NA")</f>
        <v>5.3051517079998212E-3</v>
      </c>
      <c r="S137" s="9"/>
      <c r="T137" s="7">
        <v>0</v>
      </c>
      <c r="U137" s="8">
        <f>IFERROR(T137/T444, "NA")</f>
        <v>0</v>
      </c>
      <c r="V137" s="9"/>
      <c r="W137" s="10">
        <f t="shared" si="30"/>
        <v>-2948.43</v>
      </c>
      <c r="X137" s="8">
        <f>IFERROR(W137/W444, "NA")</f>
        <v>0.23429971845222608</v>
      </c>
      <c r="Y137" s="9"/>
      <c r="Z137" s="7">
        <v>2734.68</v>
      </c>
      <c r="AA137" s="8">
        <f>IFERROR(Z137/Z444, "NA")</f>
        <v>5.5540525250631322E-3</v>
      </c>
      <c r="AB137" s="9"/>
      <c r="AC137" s="10">
        <f t="shared" si="31"/>
        <v>-213.75</v>
      </c>
      <c r="AD137" s="8">
        <f>IFERROR(AC137/AC444, "NA")</f>
        <v>-3.3718914709996843E-3</v>
      </c>
    </row>
    <row r="138" spans="1:30" ht="16.5" customHeight="1" x14ac:dyDescent="0.45">
      <c r="A138" s="12" t="s">
        <v>130</v>
      </c>
      <c r="B138" s="7">
        <v>8955.2000000000007</v>
      </c>
      <c r="C138" s="8">
        <f>IFERROR(B138/B444, "NA")</f>
        <v>7.786067467310985E-2</v>
      </c>
      <c r="D138" s="9"/>
      <c r="E138" s="7">
        <v>0</v>
      </c>
      <c r="F138" s="8">
        <f>IFERROR(E138/E444, "NA")</f>
        <v>0</v>
      </c>
      <c r="G138" s="9"/>
      <c r="H138" s="10">
        <f t="shared" si="28"/>
        <v>-8955.2000000000007</v>
      </c>
      <c r="I138" s="8">
        <f>IFERROR(H138/H444, "NA")</f>
        <v>0.48178070348633573</v>
      </c>
      <c r="J138" s="9"/>
      <c r="K138" s="7">
        <v>5778.86</v>
      </c>
      <c r="L138" s="8">
        <f>IFERROR(K138/K444, "NA")</f>
        <v>5.1039521568186877E-2</v>
      </c>
      <c r="M138" s="9"/>
      <c r="N138" s="10">
        <f t="shared" si="29"/>
        <v>-3176.3400000000011</v>
      </c>
      <c r="O138" s="8">
        <f>IFERROR(N138/N444, "NA")</f>
        <v>-1.7720562801959405</v>
      </c>
      <c r="P138" s="9"/>
      <c r="Q138" s="7">
        <v>36295.370000000003</v>
      </c>
      <c r="R138" s="8">
        <f>IFERROR(Q138/Q444, "NA")</f>
        <v>6.5306771450563683E-2</v>
      </c>
      <c r="S138" s="9"/>
      <c r="T138" s="7">
        <v>0</v>
      </c>
      <c r="U138" s="8">
        <f>IFERROR(T138/T444, "NA")</f>
        <v>0</v>
      </c>
      <c r="V138" s="9"/>
      <c r="W138" s="10">
        <f t="shared" si="30"/>
        <v>-36295.370000000003</v>
      </c>
      <c r="X138" s="8">
        <f>IFERROR(W138/W444, "NA")</f>
        <v>2.8842451650944314</v>
      </c>
      <c r="Y138" s="9"/>
      <c r="Z138" s="7">
        <v>25775.96</v>
      </c>
      <c r="AA138" s="8">
        <f>IFERROR(Z138/Z444, "NA")</f>
        <v>5.235019663138879E-2</v>
      </c>
      <c r="AB138" s="9"/>
      <c r="AC138" s="10">
        <f t="shared" si="31"/>
        <v>-10519.410000000003</v>
      </c>
      <c r="AD138" s="8">
        <f>IFERROR(AC138/AC444, "NA")</f>
        <v>-0.1659429654219827</v>
      </c>
    </row>
    <row r="139" spans="1:30" ht="16.5" hidden="1" customHeight="1" x14ac:dyDescent="0.45">
      <c r="A139" s="12" t="s">
        <v>131</v>
      </c>
      <c r="B139" s="7">
        <v>0</v>
      </c>
      <c r="C139" s="8">
        <f>IFERROR(B139/B444, "NA")</f>
        <v>0</v>
      </c>
      <c r="D139" s="9"/>
      <c r="E139" s="7">
        <v>0</v>
      </c>
      <c r="F139" s="8">
        <f>IFERROR(E139/E444, "NA")</f>
        <v>0</v>
      </c>
      <c r="G139" s="9"/>
      <c r="H139" s="10">
        <f t="shared" si="28"/>
        <v>0</v>
      </c>
      <c r="I139" s="8">
        <f>IFERROR(H139/H444, "NA")</f>
        <v>0</v>
      </c>
      <c r="J139" s="9"/>
      <c r="K139" s="7">
        <v>0</v>
      </c>
      <c r="L139" s="8">
        <f>IFERROR(K139/K444, "NA")</f>
        <v>0</v>
      </c>
      <c r="M139" s="9"/>
      <c r="N139" s="10">
        <f t="shared" si="29"/>
        <v>0</v>
      </c>
      <c r="O139" s="8">
        <f>IFERROR(N139/N444, "NA")</f>
        <v>0</v>
      </c>
      <c r="P139" s="9"/>
      <c r="Q139" s="7">
        <v>0</v>
      </c>
      <c r="R139" s="8">
        <f>IFERROR(Q139/Q444, "NA")</f>
        <v>0</v>
      </c>
      <c r="S139" s="9"/>
      <c r="T139" s="7">
        <v>0</v>
      </c>
      <c r="U139" s="8">
        <f>IFERROR(T139/T444, "NA")</f>
        <v>0</v>
      </c>
      <c r="V139" s="9"/>
      <c r="W139" s="10">
        <f t="shared" si="30"/>
        <v>0</v>
      </c>
      <c r="X139" s="8">
        <f>IFERROR(W139/W444, "NA")</f>
        <v>0</v>
      </c>
      <c r="Y139" s="9"/>
      <c r="Z139" s="7">
        <v>0</v>
      </c>
      <c r="AA139" s="8">
        <f>IFERROR(Z139/Z444, "NA")</f>
        <v>0</v>
      </c>
      <c r="AB139" s="9"/>
      <c r="AC139" s="10">
        <f t="shared" si="31"/>
        <v>0</v>
      </c>
      <c r="AD139" s="8">
        <f>IFERROR(AC139/AC444, "NA")</f>
        <v>0</v>
      </c>
    </row>
    <row r="140" spans="1:30" ht="16.5" customHeight="1" x14ac:dyDescent="0.45">
      <c r="A140" s="12" t="s">
        <v>132</v>
      </c>
      <c r="B140" s="7">
        <v>0</v>
      </c>
      <c r="C140" s="8">
        <f>IFERROR(B140/B444, "NA")</f>
        <v>0</v>
      </c>
      <c r="D140" s="9"/>
      <c r="E140" s="7">
        <v>0</v>
      </c>
      <c r="F140" s="8">
        <f>IFERROR(E140/E444, "NA")</f>
        <v>0</v>
      </c>
      <c r="G140" s="9"/>
      <c r="H140" s="10">
        <f t="shared" si="28"/>
        <v>0</v>
      </c>
      <c r="I140" s="8">
        <f>IFERROR(H140/H444, "NA")</f>
        <v>0</v>
      </c>
      <c r="J140" s="9"/>
      <c r="K140" s="7">
        <v>36.020000000000003</v>
      </c>
      <c r="L140" s="8">
        <f>IFERROR(K140/K444, "NA")</f>
        <v>3.1813256713021112E-4</v>
      </c>
      <c r="M140" s="9"/>
      <c r="N140" s="10">
        <f t="shared" si="29"/>
        <v>36.020000000000003</v>
      </c>
      <c r="O140" s="8">
        <f>IFERROR(N140/N444, "NA")</f>
        <v>2.0095288039900565E-2</v>
      </c>
      <c r="P140" s="9"/>
      <c r="Q140" s="7">
        <v>0</v>
      </c>
      <c r="R140" s="8">
        <f>IFERROR(Q140/Q444, "NA")</f>
        <v>0</v>
      </c>
      <c r="S140" s="9"/>
      <c r="T140" s="7">
        <v>0</v>
      </c>
      <c r="U140" s="8">
        <f>IFERROR(T140/T444, "NA")</f>
        <v>0</v>
      </c>
      <c r="V140" s="9"/>
      <c r="W140" s="10">
        <f t="shared" si="30"/>
        <v>0</v>
      </c>
      <c r="X140" s="8">
        <f>IFERROR(W140/W444, "NA")</f>
        <v>0</v>
      </c>
      <c r="Y140" s="9"/>
      <c r="Z140" s="7">
        <v>88.02</v>
      </c>
      <c r="AA140" s="8">
        <f>IFERROR(Z140/Z444, "NA")</f>
        <v>1.787659628388173E-4</v>
      </c>
      <c r="AB140" s="9"/>
      <c r="AC140" s="10">
        <f t="shared" si="31"/>
        <v>88.02</v>
      </c>
      <c r="AD140" s="8">
        <f>IFERROR(AC140/AC444, "NA")</f>
        <v>1.3885094141632382E-3</v>
      </c>
    </row>
    <row r="141" spans="1:30" ht="16.5" customHeight="1" x14ac:dyDescent="0.45">
      <c r="A141" s="13" t="s">
        <v>133</v>
      </c>
      <c r="B141" s="14">
        <f>IFERROR(B129+B130+B131+B132+B133+B134+B135+B136+B137+B138+B139+B140, "NA")</f>
        <v>31751.16</v>
      </c>
      <c r="C141" s="15">
        <f>IFERROR(B141/B444, "NA")</f>
        <v>0.27605935537496185</v>
      </c>
      <c r="D141" s="2"/>
      <c r="E141" s="14">
        <f>IFERROR(E129+E130+E131+E132+E133+E134+E135+E136+E137+E138+E139+E140, "NA")</f>
        <v>30461.58</v>
      </c>
      <c r="F141" s="15">
        <f>IFERROR(E141/E444, "NA")</f>
        <v>0.22800001886179402</v>
      </c>
      <c r="G141" s="2"/>
      <c r="H141" s="14">
        <f t="shared" si="28"/>
        <v>-1289.5799999999981</v>
      </c>
      <c r="I141" s="15">
        <f>IFERROR(H141/H444, "NA")</f>
        <v>6.9378099830479267E-2</v>
      </c>
      <c r="J141" s="2"/>
      <c r="K141" s="14">
        <f>IFERROR(K129+K130+K131+K132+K133+K134+K135+K136+K137+K138+K139+K140, "NA")</f>
        <v>27097.91</v>
      </c>
      <c r="L141" s="15">
        <f>IFERROR(K141/K444, "NA")</f>
        <v>0.23933169550703548</v>
      </c>
      <c r="M141" s="2"/>
      <c r="N141" s="14">
        <f t="shared" si="29"/>
        <v>-4653.25</v>
      </c>
      <c r="O141" s="15">
        <f>IFERROR(N141/N444, "NA")</f>
        <v>-2.5960133001573373</v>
      </c>
      <c r="P141" s="2"/>
      <c r="Q141" s="14">
        <f>IFERROR(Q129+Q130+Q131+Q132+Q133+Q134+Q135+Q136+Q137+Q138+Q139+Q140, "NA")</f>
        <v>143731.44</v>
      </c>
      <c r="R141" s="15">
        <f>IFERROR(Q141/Q444, "NA")</f>
        <v>0.25861800836691862</v>
      </c>
      <c r="S141" s="2"/>
      <c r="T141" s="14">
        <f>IFERROR(T129+T130+T131+T132+T133+T134+T135+T136+T137+T138+T139+T140, "NA")</f>
        <v>133955.60999999999</v>
      </c>
      <c r="U141" s="15">
        <f>IFERROR(T141/T444, "NA")</f>
        <v>0.23569155304533987</v>
      </c>
      <c r="V141" s="2"/>
      <c r="W141" s="14">
        <f t="shared" si="30"/>
        <v>-9775.8300000000163</v>
      </c>
      <c r="X141" s="15">
        <f>IFERROR(W141/W444, "NA")</f>
        <v>0.77684537758631855</v>
      </c>
      <c r="Y141" s="2"/>
      <c r="Z141" s="14">
        <f>IFERROR(Z129+Z130+Z131+Z132+Z133+Z134+Z135+Z136+Z137+Z138+Z139+Z140, "NA")</f>
        <v>122108.27999999998</v>
      </c>
      <c r="AA141" s="15">
        <f>IFERROR(Z141/Z444, "NA")</f>
        <v>0.24799823045662231</v>
      </c>
      <c r="AB141" s="2"/>
      <c r="AC141" s="14">
        <f t="shared" si="31"/>
        <v>-21623.160000000018</v>
      </c>
      <c r="AD141" s="15">
        <f>IFERROR(AC141/AC444, "NA")</f>
        <v>-0.34110385394180859</v>
      </c>
    </row>
    <row r="142" spans="1:30" ht="16.5" customHeight="1" x14ac:dyDescent="0.45">
      <c r="A142" s="11" t="s">
        <v>134</v>
      </c>
      <c r="B142" s="2"/>
      <c r="C142" s="3"/>
      <c r="D142" s="4"/>
      <c r="E142" s="2"/>
      <c r="F142" s="3"/>
      <c r="G142" s="4"/>
      <c r="H142" s="2"/>
      <c r="I142" s="3"/>
      <c r="J142" s="4"/>
      <c r="K142" s="2"/>
      <c r="L142" s="3"/>
      <c r="M142" s="4"/>
      <c r="N142" s="2"/>
      <c r="O142" s="3"/>
      <c r="P142" s="4"/>
      <c r="Q142" s="2"/>
      <c r="R142" s="3"/>
      <c r="S142" s="4"/>
      <c r="T142" s="2"/>
      <c r="U142" s="3"/>
      <c r="V142" s="4"/>
      <c r="W142" s="2"/>
      <c r="X142" s="3"/>
      <c r="Y142" s="4"/>
      <c r="Z142" s="2"/>
      <c r="AA142" s="3"/>
      <c r="AB142" s="4"/>
      <c r="AC142" s="2"/>
      <c r="AD142" s="3"/>
    </row>
    <row r="143" spans="1:30" ht="16.5" hidden="1" customHeight="1" x14ac:dyDescent="0.45">
      <c r="A143" s="12" t="s">
        <v>134</v>
      </c>
      <c r="B143" s="7">
        <v>0</v>
      </c>
      <c r="C143" s="8">
        <f>IFERROR(B143/B444, "NA")</f>
        <v>0</v>
      </c>
      <c r="D143" s="9"/>
      <c r="E143" s="7">
        <v>0</v>
      </c>
      <c r="F143" s="8">
        <f>IFERROR(E143/E444, "NA")</f>
        <v>0</v>
      </c>
      <c r="G143" s="9"/>
      <c r="H143" s="10">
        <f t="shared" ref="H143:H149" si="32">IFERROR(-(B143-E143), "NA")</f>
        <v>0</v>
      </c>
      <c r="I143" s="8">
        <f>IFERROR(H143/H444, "NA")</f>
        <v>0</v>
      </c>
      <c r="J143" s="9"/>
      <c r="K143" s="7">
        <v>0</v>
      </c>
      <c r="L143" s="8">
        <f>IFERROR(K143/K444, "NA")</f>
        <v>0</v>
      </c>
      <c r="M143" s="9"/>
      <c r="N143" s="10">
        <f t="shared" ref="N143:N149" si="33">IFERROR(-(B143-K143), "NA")</f>
        <v>0</v>
      </c>
      <c r="O143" s="8">
        <f>IFERROR(N143/N444, "NA")</f>
        <v>0</v>
      </c>
      <c r="P143" s="9"/>
      <c r="Q143" s="7">
        <v>0</v>
      </c>
      <c r="R143" s="8">
        <f>IFERROR(Q143/Q444, "NA")</f>
        <v>0</v>
      </c>
      <c r="S143" s="9"/>
      <c r="T143" s="7">
        <v>0</v>
      </c>
      <c r="U143" s="8">
        <f>IFERROR(T143/T444, "NA")</f>
        <v>0</v>
      </c>
      <c r="V143" s="9"/>
      <c r="W143" s="10">
        <f t="shared" ref="W143:W149" si="34">IFERROR(-(Q143-T143), "NA")</f>
        <v>0</v>
      </c>
      <c r="X143" s="8">
        <f>IFERROR(W143/W444, "NA")</f>
        <v>0</v>
      </c>
      <c r="Y143" s="9"/>
      <c r="Z143" s="7">
        <v>0</v>
      </c>
      <c r="AA143" s="8">
        <f>IFERROR(Z143/Z444, "NA")</f>
        <v>0</v>
      </c>
      <c r="AB143" s="9"/>
      <c r="AC143" s="10">
        <f t="shared" ref="AC143:AC149" si="35">IFERROR(-(Q143-Z143), "NA")</f>
        <v>0</v>
      </c>
      <c r="AD143" s="8">
        <f>IFERROR(AC143/AC444, "NA")</f>
        <v>0</v>
      </c>
    </row>
    <row r="144" spans="1:30" ht="16.5" customHeight="1" x14ac:dyDescent="0.45">
      <c r="A144" s="12" t="s">
        <v>135</v>
      </c>
      <c r="B144" s="7">
        <v>1804.84</v>
      </c>
      <c r="C144" s="8">
        <f>IFERROR(B144/B444, "NA")</f>
        <v>1.569211855424955E-2</v>
      </c>
      <c r="D144" s="9"/>
      <c r="E144" s="7">
        <v>0</v>
      </c>
      <c r="F144" s="8">
        <f>IFERROR(E144/E444, "NA")</f>
        <v>0</v>
      </c>
      <c r="G144" s="9"/>
      <c r="H144" s="10">
        <f t="shared" si="32"/>
        <v>-1804.84</v>
      </c>
      <c r="I144" s="8">
        <f>IFERROR(H144/H444, "NA")</f>
        <v>9.7098566741142367E-2</v>
      </c>
      <c r="J144" s="9"/>
      <c r="K144" s="7">
        <v>1356.98</v>
      </c>
      <c r="L144" s="8">
        <f>IFERROR(K144/K444, "NA")</f>
        <v>1.1984995306617263E-2</v>
      </c>
      <c r="M144" s="9"/>
      <c r="N144" s="10">
        <f t="shared" si="33"/>
        <v>-447.8599999999999</v>
      </c>
      <c r="O144" s="8">
        <f>IFERROR(N144/N444, "NA")</f>
        <v>-0.24985773741115669</v>
      </c>
      <c r="P144" s="9"/>
      <c r="Q144" s="7">
        <v>7943.56</v>
      </c>
      <c r="R144" s="8">
        <f>IFERROR(Q144/Q444, "NA")</f>
        <v>1.4292959609554597E-2</v>
      </c>
      <c r="S144" s="9"/>
      <c r="T144" s="7">
        <v>0</v>
      </c>
      <c r="U144" s="8">
        <f>IFERROR(T144/T444, "NA")</f>
        <v>0</v>
      </c>
      <c r="V144" s="9"/>
      <c r="W144" s="10">
        <f t="shared" si="34"/>
        <v>-7943.56</v>
      </c>
      <c r="X144" s="8">
        <f>IFERROR(W144/W444, "NA")</f>
        <v>0.63124234643805865</v>
      </c>
      <c r="Y144" s="9"/>
      <c r="Z144" s="7">
        <v>5687.92</v>
      </c>
      <c r="AA144" s="8">
        <f>IFERROR(Z144/Z444, "NA")</f>
        <v>1.1551993812203655E-2</v>
      </c>
      <c r="AB144" s="9"/>
      <c r="AC144" s="10">
        <f t="shared" si="35"/>
        <v>-2255.6400000000003</v>
      </c>
      <c r="AD144" s="8">
        <f>IFERROR(AC144/AC444, "NA")</f>
        <v>-3.5582565041617442E-2</v>
      </c>
    </row>
    <row r="145" spans="1:30" ht="16.5" customHeight="1" x14ac:dyDescent="0.45">
      <c r="A145" s="12" t="s">
        <v>136</v>
      </c>
      <c r="B145" s="7">
        <v>71.73</v>
      </c>
      <c r="C145" s="8">
        <f>IFERROR(B145/B444, "NA")</f>
        <v>6.2365398810771062E-4</v>
      </c>
      <c r="D145" s="9"/>
      <c r="E145" s="7">
        <v>0</v>
      </c>
      <c r="F145" s="8">
        <f>IFERROR(E145/E444, "NA")</f>
        <v>0</v>
      </c>
      <c r="G145" s="9"/>
      <c r="H145" s="10">
        <f t="shared" si="32"/>
        <v>-71.73</v>
      </c>
      <c r="I145" s="8">
        <f>IFERROR(H145/H444, "NA")</f>
        <v>3.8590014584905822E-3</v>
      </c>
      <c r="J145" s="9"/>
      <c r="K145" s="7">
        <v>96.09</v>
      </c>
      <c r="L145" s="8">
        <f>IFERROR(K145/K444, "NA")</f>
        <v>8.4867735634486349E-4</v>
      </c>
      <c r="M145" s="9"/>
      <c r="N145" s="10">
        <f t="shared" si="33"/>
        <v>24.36</v>
      </c>
      <c r="O145" s="8">
        <f>IFERROR(N145/N444, "NA")</f>
        <v>1.3590261428428032E-2</v>
      </c>
      <c r="P145" s="9"/>
      <c r="Q145" s="7">
        <v>152.37</v>
      </c>
      <c r="R145" s="8">
        <f>IFERROR(Q145/Q444, "NA")</f>
        <v>2.7416149128449131E-4</v>
      </c>
      <c r="S145" s="9"/>
      <c r="T145" s="7">
        <v>0</v>
      </c>
      <c r="U145" s="8">
        <f>IFERROR(T145/T444, "NA")</f>
        <v>0</v>
      </c>
      <c r="V145" s="9"/>
      <c r="W145" s="10">
        <f t="shared" si="34"/>
        <v>-152.37</v>
      </c>
      <c r="X145" s="8">
        <f>IFERROR(W145/W444, "NA")</f>
        <v>1.2108223054495338E-2</v>
      </c>
      <c r="Y145" s="9"/>
      <c r="Z145" s="7">
        <v>388.68</v>
      </c>
      <c r="AA145" s="8">
        <f>IFERROR(Z145/Z444, "NA")</f>
        <v>7.8939734646888793E-4</v>
      </c>
      <c r="AB145" s="9"/>
      <c r="AC145" s="10">
        <f t="shared" si="35"/>
        <v>236.31</v>
      </c>
      <c r="AD145" s="8">
        <f>IFERROR(AC145/AC444, "NA")</f>
        <v>3.7277739111669489E-3</v>
      </c>
    </row>
    <row r="146" spans="1:30" ht="16.5" customHeight="1" x14ac:dyDescent="0.45">
      <c r="A146" s="12" t="s">
        <v>137</v>
      </c>
      <c r="B146" s="7">
        <v>127.38</v>
      </c>
      <c r="C146" s="8">
        <f>IFERROR(B146/B444, "NA")</f>
        <v>1.1075009759537176E-3</v>
      </c>
      <c r="D146" s="9"/>
      <c r="E146" s="7">
        <v>0</v>
      </c>
      <c r="F146" s="8">
        <f>IFERROR(E146/E444, "NA")</f>
        <v>0</v>
      </c>
      <c r="G146" s="9"/>
      <c r="H146" s="10">
        <f t="shared" si="32"/>
        <v>-127.38</v>
      </c>
      <c r="I146" s="8">
        <f>IFERROR(H146/H444, "NA")</f>
        <v>6.8529151789004641E-3</v>
      </c>
      <c r="J146" s="9"/>
      <c r="K146" s="7">
        <v>121</v>
      </c>
      <c r="L146" s="8">
        <f>IFERROR(K146/K444, "NA")</f>
        <v>1.0686851921919917E-3</v>
      </c>
      <c r="M146" s="9"/>
      <c r="N146" s="10">
        <f t="shared" si="33"/>
        <v>-6.3799999999999955</v>
      </c>
      <c r="O146" s="8">
        <f>IFERROR(N146/N444, "NA")</f>
        <v>-3.5593541836359105E-3</v>
      </c>
      <c r="P146" s="9"/>
      <c r="Q146" s="7">
        <v>635</v>
      </c>
      <c r="R146" s="8">
        <f>IFERROR(Q146/Q444, "NA")</f>
        <v>1.1425644612827459E-3</v>
      </c>
      <c r="S146" s="9"/>
      <c r="T146" s="7">
        <v>0</v>
      </c>
      <c r="U146" s="8">
        <f>IFERROR(T146/T444, "NA")</f>
        <v>0</v>
      </c>
      <c r="V146" s="9"/>
      <c r="W146" s="10">
        <f t="shared" si="34"/>
        <v>-635</v>
      </c>
      <c r="X146" s="8">
        <f>IFERROR(W146/W444, "NA")</f>
        <v>5.046086263440664E-2</v>
      </c>
      <c r="Y146" s="9"/>
      <c r="Z146" s="7">
        <v>1133.79</v>
      </c>
      <c r="AA146" s="8">
        <f>IFERROR(Z146/Z444, "NA")</f>
        <v>2.3026932629745815E-3</v>
      </c>
      <c r="AB146" s="9"/>
      <c r="AC146" s="10">
        <f t="shared" si="35"/>
        <v>498.78999999999996</v>
      </c>
      <c r="AD146" s="8">
        <f>IFERROR(AC146/AC444, "NA")</f>
        <v>7.8683777629002683E-3</v>
      </c>
    </row>
    <row r="147" spans="1:30" ht="16.5" customHeight="1" x14ac:dyDescent="0.45">
      <c r="A147" s="12" t="s">
        <v>138</v>
      </c>
      <c r="B147" s="7">
        <v>1.42</v>
      </c>
      <c r="C147" s="8">
        <f>IFERROR(B147/B444, "NA")</f>
        <v>1.2346140570374305E-5</v>
      </c>
      <c r="D147" s="9"/>
      <c r="E147" s="7">
        <v>0</v>
      </c>
      <c r="F147" s="8">
        <f>IFERROR(E147/E444, "NA")</f>
        <v>0</v>
      </c>
      <c r="G147" s="9"/>
      <c r="H147" s="10">
        <f t="shared" si="32"/>
        <v>-1.42</v>
      </c>
      <c r="I147" s="8">
        <f>IFERROR(H147/H444, "NA")</f>
        <v>7.6394563934987115E-5</v>
      </c>
      <c r="J147" s="9"/>
      <c r="K147" s="7">
        <v>23.83</v>
      </c>
      <c r="L147" s="8">
        <f>IFERROR(K147/K444, "NA")</f>
        <v>2.1046915809863766E-4</v>
      </c>
      <c r="M147" s="9"/>
      <c r="N147" s="10">
        <f t="shared" si="33"/>
        <v>22.409999999999997</v>
      </c>
      <c r="O147" s="8">
        <f>IFERROR(N147/N444, "NA")</f>
        <v>1.2502371043147461E-2</v>
      </c>
      <c r="P147" s="9"/>
      <c r="Q147" s="7">
        <v>62.46</v>
      </c>
      <c r="R147" s="8">
        <f>IFERROR(Q147/Q444, "NA")</f>
        <v>1.1238515945152805E-4</v>
      </c>
      <c r="S147" s="9"/>
      <c r="T147" s="7">
        <v>0</v>
      </c>
      <c r="U147" s="8">
        <f>IFERROR(T147/T444, "NA")</f>
        <v>0</v>
      </c>
      <c r="V147" s="9"/>
      <c r="W147" s="10">
        <f t="shared" si="34"/>
        <v>-62.46</v>
      </c>
      <c r="X147" s="8">
        <f>IFERROR(W147/W444, "NA")</f>
        <v>4.9634417010158095E-3</v>
      </c>
      <c r="Y147" s="9"/>
      <c r="Z147" s="7">
        <v>184.5</v>
      </c>
      <c r="AA147" s="8">
        <f>IFERROR(Z147/Z444, "NA")</f>
        <v>3.747139302858645E-4</v>
      </c>
      <c r="AB147" s="9"/>
      <c r="AC147" s="10">
        <f t="shared" si="35"/>
        <v>122.03999999999999</v>
      </c>
      <c r="AD147" s="8">
        <f>IFERROR(AC147/AC444, "NA")</f>
        <v>1.9251725619686617E-3</v>
      </c>
    </row>
    <row r="148" spans="1:30" ht="16.5" customHeight="1" x14ac:dyDescent="0.45">
      <c r="A148" s="13" t="s">
        <v>139</v>
      </c>
      <c r="B148" s="14">
        <f>IFERROR(B143+B144+B145+B146+B147, "NA")</f>
        <v>2005.37</v>
      </c>
      <c r="C148" s="15">
        <f>IFERROR(B148/B444, "NA")</f>
        <v>1.7435619658881352E-2</v>
      </c>
      <c r="D148" s="2"/>
      <c r="E148" s="14">
        <f>IFERROR(E143+E144+E145+E146+E147, "NA")</f>
        <v>0</v>
      </c>
      <c r="F148" s="15">
        <f>IFERROR(E148/E444, "NA")</f>
        <v>0</v>
      </c>
      <c r="G148" s="2"/>
      <c r="H148" s="14">
        <f t="shared" si="32"/>
        <v>-2005.37</v>
      </c>
      <c r="I148" s="15">
        <f>IFERROR(H148/H444, "NA")</f>
        <v>0.1078868779424684</v>
      </c>
      <c r="J148" s="2"/>
      <c r="K148" s="14">
        <f>IFERROR(K143+K144+K145+K146+K147, "NA")</f>
        <v>1597.8999999999999</v>
      </c>
      <c r="L148" s="15">
        <f>IFERROR(K148/K444, "NA")</f>
        <v>1.4112827013252754E-2</v>
      </c>
      <c r="M148" s="2"/>
      <c r="N148" s="14">
        <f t="shared" si="33"/>
        <v>-407.47</v>
      </c>
      <c r="O148" s="15">
        <f>IFERROR(N148/N444, "NA")</f>
        <v>-0.22732445912321719</v>
      </c>
      <c r="P148" s="2"/>
      <c r="Q148" s="14">
        <f>IFERROR(Q143+Q144+Q145+Q146+Q147, "NA")</f>
        <v>8793.39</v>
      </c>
      <c r="R148" s="15">
        <f>IFERROR(Q148/Q444, "NA")</f>
        <v>1.5822070721573361E-2</v>
      </c>
      <c r="S148" s="2"/>
      <c r="T148" s="14">
        <f>IFERROR(T143+T144+T145+T146+T147, "NA")</f>
        <v>0</v>
      </c>
      <c r="U148" s="15">
        <f>IFERROR(T148/T444, "NA")</f>
        <v>0</v>
      </c>
      <c r="V148" s="2"/>
      <c r="W148" s="14">
        <f t="shared" si="34"/>
        <v>-8793.39</v>
      </c>
      <c r="X148" s="15">
        <f>IFERROR(W148/W444, "NA")</f>
        <v>0.69877487382797632</v>
      </c>
      <c r="Y148" s="2"/>
      <c r="Z148" s="14">
        <f>IFERROR(Z143+Z144+Z145+Z146+Z147, "NA")</f>
        <v>7394.89</v>
      </c>
      <c r="AA148" s="15">
        <f>IFERROR(Z148/Z444, "NA")</f>
        <v>1.501879835193299E-2</v>
      </c>
      <c r="AB148" s="2"/>
      <c r="AC148" s="14">
        <f t="shared" si="35"/>
        <v>-1398.4999999999991</v>
      </c>
      <c r="AD148" s="15">
        <f>IFERROR(AC148/AC444, "NA")</f>
        <v>-2.2061240805581545E-2</v>
      </c>
    </row>
    <row r="149" spans="1:30" ht="16.5" customHeight="1" x14ac:dyDescent="0.45">
      <c r="A149" s="19" t="s">
        <v>140</v>
      </c>
      <c r="B149" s="14">
        <f>IFERROR(B127+B129+B130+B131+B132+B133+B134+B135+B136+B137+B138+B139+B140+B143+B144+B145+B146+B147, "NA")</f>
        <v>33756.53</v>
      </c>
      <c r="C149" s="15">
        <f>IFERROR(B149/B444, "NA")</f>
        <v>0.2934949750338432</v>
      </c>
      <c r="D149" s="2"/>
      <c r="E149" s="14">
        <f>IFERROR(E127+E129+E130+E131+E132+E133+E134+E135+E136+E137+E138+E139+E140+E143+E144+E145+E146+E147, "NA")</f>
        <v>30461.58</v>
      </c>
      <c r="F149" s="15">
        <f>IFERROR(E149/E444, "NA")</f>
        <v>0.22800001886179402</v>
      </c>
      <c r="G149" s="2"/>
      <c r="H149" s="14">
        <f t="shared" si="32"/>
        <v>-3294.9499999999971</v>
      </c>
      <c r="I149" s="15">
        <f>IFERROR(H149/H444, "NA")</f>
        <v>0.17726497777294761</v>
      </c>
      <c r="J149" s="2"/>
      <c r="K149" s="14">
        <f>IFERROR(K127+K129+K130+K131+K132+K133+K134+K135+K136+K137+K138+K139+K140+K143+K144+K145+K146+K147, "NA")</f>
        <v>28695.81</v>
      </c>
      <c r="L149" s="15">
        <f>IFERROR(K149/K444, "NA")</f>
        <v>0.25344452252028826</v>
      </c>
      <c r="M149" s="2"/>
      <c r="N149" s="14">
        <f t="shared" si="33"/>
        <v>-5060.7199999999975</v>
      </c>
      <c r="O149" s="15">
        <f>IFERROR(N149/N444, "NA")</f>
        <v>-2.8233377592805531</v>
      </c>
      <c r="P149" s="2"/>
      <c r="Q149" s="14">
        <f>IFERROR(Q127+Q129+Q130+Q131+Q132+Q133+Q134+Q135+Q136+Q137+Q138+Q139+Q140+Q143+Q144+Q145+Q146+Q147, "NA")</f>
        <v>152524.82999999999</v>
      </c>
      <c r="R149" s="15">
        <f>IFERROR(Q149/Q444, "NA")</f>
        <v>0.27444007908849194</v>
      </c>
      <c r="S149" s="2"/>
      <c r="T149" s="14">
        <f>IFERROR(T127+T129+T130+T131+T132+T133+T134+T135+T136+T137+T138+T139+T140+T143+T144+T145+T146+T147, "NA")</f>
        <v>133955.60999999999</v>
      </c>
      <c r="U149" s="15">
        <f>IFERROR(T149/T444, "NA")</f>
        <v>0.23569155304533987</v>
      </c>
      <c r="V149" s="2"/>
      <c r="W149" s="14">
        <f t="shared" si="34"/>
        <v>-18569.22</v>
      </c>
      <c r="X149" s="15">
        <f>IFERROR(W149/W444, "NA")</f>
        <v>1.4756202514142938</v>
      </c>
      <c r="Y149" s="2"/>
      <c r="Z149" s="14">
        <f>IFERROR(Z127+Z129+Z130+Z131+Z132+Z133+Z134+Z135+Z136+Z137+Z138+Z139+Z140+Z143+Z144+Z145+Z146+Z147, "NA")</f>
        <v>129503.16999999997</v>
      </c>
      <c r="AA149" s="15">
        <f>IFERROR(Z149/Z444, "NA")</f>
        <v>0.26301702880855526</v>
      </c>
      <c r="AB149" s="2"/>
      <c r="AC149" s="14">
        <f t="shared" si="35"/>
        <v>-23021.660000000018</v>
      </c>
      <c r="AD149" s="15">
        <f>IFERROR(AC149/AC444, "NA")</f>
        <v>-0.36316509474739017</v>
      </c>
    </row>
    <row r="150" spans="1:30" ht="16.5" customHeight="1" x14ac:dyDescent="0.45">
      <c r="A150" s="5" t="s">
        <v>141</v>
      </c>
      <c r="B150" s="2"/>
      <c r="C150" s="3"/>
      <c r="D150" s="4"/>
      <c r="E150" s="2"/>
      <c r="F150" s="3"/>
      <c r="G150" s="4"/>
      <c r="H150" s="2"/>
      <c r="I150" s="3"/>
      <c r="J150" s="4"/>
      <c r="K150" s="2"/>
      <c r="L150" s="3"/>
      <c r="M150" s="4"/>
      <c r="N150" s="2"/>
      <c r="O150" s="3"/>
      <c r="P150" s="4"/>
      <c r="Q150" s="2"/>
      <c r="R150" s="3"/>
      <c r="S150" s="4"/>
      <c r="T150" s="2"/>
      <c r="U150" s="3"/>
      <c r="V150" s="4"/>
      <c r="W150" s="2"/>
      <c r="X150" s="3"/>
      <c r="Y150" s="4"/>
      <c r="Z150" s="2"/>
      <c r="AA150" s="3"/>
      <c r="AB150" s="4"/>
      <c r="AC150" s="2"/>
      <c r="AD150" s="3"/>
    </row>
    <row r="151" spans="1:30" ht="16.5" hidden="1" customHeight="1" x14ac:dyDescent="0.45">
      <c r="A151" s="6" t="s">
        <v>141</v>
      </c>
      <c r="B151" s="7">
        <v>0</v>
      </c>
      <c r="C151" s="8">
        <f>IFERROR(B151/B444, "NA")</f>
        <v>0</v>
      </c>
      <c r="D151" s="9"/>
      <c r="E151" s="7">
        <v>0</v>
      </c>
      <c r="F151" s="8">
        <f>IFERROR(E151/E444, "NA")</f>
        <v>0</v>
      </c>
      <c r="G151" s="9"/>
      <c r="H151" s="10">
        <f>IFERROR(-(B151-E151), "NA")</f>
        <v>0</v>
      </c>
      <c r="I151" s="8">
        <f>IFERROR(H151/H444, "NA")</f>
        <v>0</v>
      </c>
      <c r="J151" s="9"/>
      <c r="K151" s="7">
        <v>0</v>
      </c>
      <c r="L151" s="8">
        <f>IFERROR(K151/K444, "NA")</f>
        <v>0</v>
      </c>
      <c r="M151" s="9"/>
      <c r="N151" s="10">
        <f>IFERROR(-(B151-K151), "NA")</f>
        <v>0</v>
      </c>
      <c r="O151" s="8">
        <f>IFERROR(N151/N444, "NA")</f>
        <v>0</v>
      </c>
      <c r="P151" s="9"/>
      <c r="Q151" s="7">
        <v>0</v>
      </c>
      <c r="R151" s="8">
        <f>IFERROR(Q151/Q444, "NA")</f>
        <v>0</v>
      </c>
      <c r="S151" s="9"/>
      <c r="T151" s="7">
        <v>0</v>
      </c>
      <c r="U151" s="8">
        <f>IFERROR(T151/T444, "NA")</f>
        <v>0</v>
      </c>
      <c r="V151" s="9"/>
      <c r="W151" s="10">
        <f>IFERROR(-(Q151-T151), "NA")</f>
        <v>0</v>
      </c>
      <c r="X151" s="8">
        <f>IFERROR(W151/W444, "NA")</f>
        <v>0</v>
      </c>
      <c r="Y151" s="9"/>
      <c r="Z151" s="7">
        <v>0</v>
      </c>
      <c r="AA151" s="8">
        <f>IFERROR(Z151/Z444, "NA")</f>
        <v>0</v>
      </c>
      <c r="AB151" s="9"/>
      <c r="AC151" s="10">
        <f>IFERROR(-(Q151-Z151), "NA")</f>
        <v>0</v>
      </c>
      <c r="AD151" s="8">
        <f>IFERROR(AC151/AC444, "NA")</f>
        <v>0</v>
      </c>
    </row>
    <row r="152" spans="1:30" ht="16.5" customHeight="1" x14ac:dyDescent="0.45">
      <c r="A152" s="11" t="s">
        <v>142</v>
      </c>
      <c r="B152" s="2"/>
      <c r="C152" s="3"/>
      <c r="D152" s="4"/>
      <c r="E152" s="2"/>
      <c r="F152" s="3"/>
      <c r="G152" s="4"/>
      <c r="H152" s="2"/>
      <c r="I152" s="3"/>
      <c r="J152" s="4"/>
      <c r="K152" s="2"/>
      <c r="L152" s="3"/>
      <c r="M152" s="4"/>
      <c r="N152" s="2"/>
      <c r="O152" s="3"/>
      <c r="P152" s="4"/>
      <c r="Q152" s="2"/>
      <c r="R152" s="3"/>
      <c r="S152" s="4"/>
      <c r="T152" s="2"/>
      <c r="U152" s="3"/>
      <c r="V152" s="4"/>
      <c r="W152" s="2"/>
      <c r="X152" s="3"/>
      <c r="Y152" s="4"/>
      <c r="Z152" s="2"/>
      <c r="AA152" s="3"/>
      <c r="AB152" s="4"/>
      <c r="AC152" s="2"/>
      <c r="AD152" s="3"/>
    </row>
    <row r="153" spans="1:30" ht="16.5" customHeight="1" x14ac:dyDescent="0.45">
      <c r="A153" s="12" t="s">
        <v>142</v>
      </c>
      <c r="B153" s="7">
        <v>0</v>
      </c>
      <c r="C153" s="8">
        <f>IFERROR(B153/B444, "NA")</f>
        <v>0</v>
      </c>
      <c r="D153" s="9"/>
      <c r="E153" s="7">
        <v>2271.2600000000002</v>
      </c>
      <c r="F153" s="8">
        <f>IFERROR(E153/E444, "NA")</f>
        <v>1.7000015194222964E-2</v>
      </c>
      <c r="G153" s="9"/>
      <c r="H153" s="10">
        <f t="shared" ref="H153:H158" si="36">IFERROR(-(B153-E153), "NA")</f>
        <v>2271.2600000000002</v>
      </c>
      <c r="I153" s="8">
        <f>IFERROR(H153/H444, "NA")</f>
        <v>-0.12219149104435131</v>
      </c>
      <c r="J153" s="9"/>
      <c r="K153" s="7">
        <v>0</v>
      </c>
      <c r="L153" s="8">
        <f>IFERROR(K153/K444, "NA")</f>
        <v>0</v>
      </c>
      <c r="M153" s="9"/>
      <c r="N153" s="10">
        <f t="shared" ref="N153:N158" si="37">IFERROR(-(B153-K153), "NA")</f>
        <v>0</v>
      </c>
      <c r="O153" s="8">
        <f>IFERROR(N153/N444, "NA")</f>
        <v>0</v>
      </c>
      <c r="P153" s="9"/>
      <c r="Q153" s="7">
        <v>0</v>
      </c>
      <c r="R153" s="8">
        <f>IFERROR(Q153/Q444, "NA")</f>
        <v>0</v>
      </c>
      <c r="S153" s="9"/>
      <c r="T153" s="7">
        <v>10190.870000000001</v>
      </c>
      <c r="U153" s="8">
        <f>IFERROR(T153/T444, "NA")</f>
        <v>1.7930581460404407E-2</v>
      </c>
      <c r="V153" s="9"/>
      <c r="W153" s="10">
        <f t="shared" ref="W153:W158" si="38">IFERROR(-(Q153-T153), "NA")</f>
        <v>10190.870000000001</v>
      </c>
      <c r="X153" s="8">
        <f>IFERROR(W153/W444, "NA")</f>
        <v>-0.80982691526786721</v>
      </c>
      <c r="Y153" s="9"/>
      <c r="Z153" s="7">
        <v>0</v>
      </c>
      <c r="AA153" s="8">
        <f>IFERROR(Z153/Z444, "NA")</f>
        <v>0</v>
      </c>
      <c r="AB153" s="9"/>
      <c r="AC153" s="10">
        <f t="shared" ref="AC153:AC158" si="39">IFERROR(-(Q153-Z153), "NA")</f>
        <v>0</v>
      </c>
      <c r="AD153" s="8">
        <f>IFERROR(AC153/AC444, "NA")</f>
        <v>0</v>
      </c>
    </row>
    <row r="154" spans="1:30" ht="16.5" customHeight="1" x14ac:dyDescent="0.45">
      <c r="A154" s="12" t="s">
        <v>143</v>
      </c>
      <c r="B154" s="7">
        <v>3553.7</v>
      </c>
      <c r="C154" s="8">
        <f>IFERROR(B154/B444, "NA")</f>
        <v>3.089752094714026E-2</v>
      </c>
      <c r="D154" s="9"/>
      <c r="E154" s="7">
        <v>0</v>
      </c>
      <c r="F154" s="8">
        <f>IFERROR(E154/E444, "NA")</f>
        <v>0</v>
      </c>
      <c r="G154" s="9"/>
      <c r="H154" s="10">
        <f t="shared" si="36"/>
        <v>-3553.7</v>
      </c>
      <c r="I154" s="8">
        <f>IFERROR(H154/H444, "NA")</f>
        <v>0.19118546609560827</v>
      </c>
      <c r="J154" s="9"/>
      <c r="K154" s="7">
        <v>3353.26</v>
      </c>
      <c r="L154" s="8">
        <f>IFERROR(K154/K444, "NA")</f>
        <v>2.9616357913799324E-2</v>
      </c>
      <c r="M154" s="9"/>
      <c r="N154" s="10">
        <f t="shared" si="37"/>
        <v>-200.4399999999996</v>
      </c>
      <c r="O154" s="8">
        <f>IFERROR(N154/N444, "NA")</f>
        <v>-0.11182397375673683</v>
      </c>
      <c r="P154" s="9"/>
      <c r="Q154" s="7">
        <v>18382.13</v>
      </c>
      <c r="R154" s="8">
        <f>IFERROR(Q154/Q444, "NA")</f>
        <v>3.3075225922329768E-2</v>
      </c>
      <c r="S154" s="9"/>
      <c r="T154" s="7">
        <v>0</v>
      </c>
      <c r="U154" s="8">
        <f>IFERROR(T154/T444, "NA")</f>
        <v>0</v>
      </c>
      <c r="V154" s="9"/>
      <c r="W154" s="10">
        <f t="shared" si="38"/>
        <v>-18382.13</v>
      </c>
      <c r="X154" s="8">
        <f>IFERROR(W154/W444, "NA")</f>
        <v>1.4607529714296148</v>
      </c>
      <c r="Y154" s="9"/>
      <c r="Z154" s="7">
        <v>16983.509999999998</v>
      </c>
      <c r="AA154" s="8">
        <f>IFERROR(Z154/Z444, "NA")</f>
        <v>3.4492996109210201E-2</v>
      </c>
      <c r="AB154" s="9"/>
      <c r="AC154" s="10">
        <f t="shared" si="39"/>
        <v>-1398.6200000000026</v>
      </c>
      <c r="AD154" s="8">
        <f>IFERROR(AC154/AC444, "NA")</f>
        <v>-2.2063133797284619E-2</v>
      </c>
    </row>
    <row r="155" spans="1:30" ht="16.5" customHeight="1" x14ac:dyDescent="0.45">
      <c r="A155" s="12" t="s">
        <v>144</v>
      </c>
      <c r="B155" s="7">
        <v>1308.74</v>
      </c>
      <c r="C155" s="8">
        <f>IFERROR(B155/B444, "NA")</f>
        <v>1.1378794373289907E-2</v>
      </c>
      <c r="D155" s="9"/>
      <c r="E155" s="7">
        <v>0</v>
      </c>
      <c r="F155" s="8">
        <f>IFERROR(E155/E444, "NA")</f>
        <v>0</v>
      </c>
      <c r="G155" s="9"/>
      <c r="H155" s="10">
        <f t="shared" si="36"/>
        <v>-1308.74</v>
      </c>
      <c r="I155" s="8">
        <f>IFERROR(H155/H444, "NA")</f>
        <v>7.0408888453714819E-2</v>
      </c>
      <c r="J155" s="9"/>
      <c r="K155" s="7">
        <v>1494.85</v>
      </c>
      <c r="L155" s="8">
        <f>IFERROR(K155/K444, "NA")</f>
        <v>1.3202678178084286E-2</v>
      </c>
      <c r="M155" s="9"/>
      <c r="N155" s="10">
        <f t="shared" si="37"/>
        <v>186.1099999999999</v>
      </c>
      <c r="O155" s="8">
        <f>IFERROR(N155/N444, "NA")</f>
        <v>0.103829374156188</v>
      </c>
      <c r="P155" s="9"/>
      <c r="Q155" s="7">
        <v>5691.18</v>
      </c>
      <c r="R155" s="8">
        <f>IFERROR(Q155/Q444, "NA")</f>
        <v>1.0240220489390769E-2</v>
      </c>
      <c r="S155" s="9"/>
      <c r="T155" s="7">
        <v>0</v>
      </c>
      <c r="U155" s="8">
        <f>IFERROR(T155/T444, "NA")</f>
        <v>0</v>
      </c>
      <c r="V155" s="9"/>
      <c r="W155" s="10">
        <f t="shared" si="38"/>
        <v>-5691.18</v>
      </c>
      <c r="X155" s="8">
        <f>IFERROR(W155/W444, "NA")</f>
        <v>0.45225488536642899</v>
      </c>
      <c r="Y155" s="9"/>
      <c r="Z155" s="7">
        <v>5995.78</v>
      </c>
      <c r="AA155" s="8">
        <f>IFERROR(Z155/Z444, "NA")</f>
        <v>1.2177248178479027E-2</v>
      </c>
      <c r="AB155" s="9"/>
      <c r="AC155" s="10">
        <f t="shared" si="39"/>
        <v>304.59999999999945</v>
      </c>
      <c r="AD155" s="8">
        <f>IFERROR(AC155/AC444, "NA")</f>
        <v>4.8050439394924068E-3</v>
      </c>
    </row>
    <row r="156" spans="1:30" ht="16.5" customHeight="1" x14ac:dyDescent="0.45">
      <c r="A156" s="12" t="s">
        <v>145</v>
      </c>
      <c r="B156" s="7">
        <v>0</v>
      </c>
      <c r="C156" s="8">
        <f>IFERROR(B156/B444, "NA")</f>
        <v>0</v>
      </c>
      <c r="D156" s="9"/>
      <c r="E156" s="7">
        <v>0</v>
      </c>
      <c r="F156" s="8">
        <f>IFERROR(E156/E444, "NA")</f>
        <v>0</v>
      </c>
      <c r="G156" s="9"/>
      <c r="H156" s="10">
        <f t="shared" si="36"/>
        <v>0</v>
      </c>
      <c r="I156" s="8">
        <f>IFERROR(H156/H444, "NA")</f>
        <v>0</v>
      </c>
      <c r="J156" s="9"/>
      <c r="K156" s="7">
        <v>-101.74</v>
      </c>
      <c r="L156" s="8">
        <f>IFERROR(K156/K444, "NA")</f>
        <v>-8.9857877234391097E-4</v>
      </c>
      <c r="M156" s="9"/>
      <c r="N156" s="10">
        <f t="shared" si="37"/>
        <v>-101.74</v>
      </c>
      <c r="O156" s="8">
        <f>IFERROR(N156/N444, "NA")</f>
        <v>-5.6759983486382101E-2</v>
      </c>
      <c r="P156" s="9"/>
      <c r="Q156" s="7">
        <v>0</v>
      </c>
      <c r="R156" s="8">
        <f>IFERROR(Q156/Q444, "NA")</f>
        <v>0</v>
      </c>
      <c r="S156" s="9"/>
      <c r="T156" s="7">
        <v>0</v>
      </c>
      <c r="U156" s="8">
        <f>IFERROR(T156/T444, "NA")</f>
        <v>0</v>
      </c>
      <c r="V156" s="9"/>
      <c r="W156" s="10">
        <f t="shared" si="38"/>
        <v>0</v>
      </c>
      <c r="X156" s="8">
        <f>IFERROR(W156/W444, "NA")</f>
        <v>0</v>
      </c>
      <c r="Y156" s="9"/>
      <c r="Z156" s="7">
        <v>-101.74</v>
      </c>
      <c r="AA156" s="8">
        <f>IFERROR(Z156/Z444, "NA")</f>
        <v>-2.0663086865736505E-4</v>
      </c>
      <c r="AB156" s="9"/>
      <c r="AC156" s="10">
        <f t="shared" si="39"/>
        <v>-101.74</v>
      </c>
      <c r="AD156" s="8">
        <f>IFERROR(AC156/AC444, "NA")</f>
        <v>-1.6049414655415573E-3</v>
      </c>
    </row>
    <row r="157" spans="1:30" ht="16.5" hidden="1" customHeight="1" x14ac:dyDescent="0.45">
      <c r="A157" s="12" t="s">
        <v>146</v>
      </c>
      <c r="B157" s="7">
        <v>0</v>
      </c>
      <c r="C157" s="8">
        <f>IFERROR(B157/B444, "NA")</f>
        <v>0</v>
      </c>
      <c r="D157" s="9"/>
      <c r="E157" s="7">
        <v>0</v>
      </c>
      <c r="F157" s="8">
        <f>IFERROR(E157/E444, "NA")</f>
        <v>0</v>
      </c>
      <c r="G157" s="9"/>
      <c r="H157" s="10">
        <f t="shared" si="36"/>
        <v>0</v>
      </c>
      <c r="I157" s="8">
        <f>IFERROR(H157/H444, "NA")</f>
        <v>0</v>
      </c>
      <c r="J157" s="9"/>
      <c r="K157" s="7">
        <v>0</v>
      </c>
      <c r="L157" s="8">
        <f>IFERROR(K157/K444, "NA")</f>
        <v>0</v>
      </c>
      <c r="M157" s="9"/>
      <c r="N157" s="10">
        <f t="shared" si="37"/>
        <v>0</v>
      </c>
      <c r="O157" s="8">
        <f>IFERROR(N157/N444, "NA")</f>
        <v>0</v>
      </c>
      <c r="P157" s="9"/>
      <c r="Q157" s="7">
        <v>0</v>
      </c>
      <c r="R157" s="8">
        <f>IFERROR(Q157/Q444, "NA")</f>
        <v>0</v>
      </c>
      <c r="S157" s="9"/>
      <c r="T157" s="7">
        <v>0</v>
      </c>
      <c r="U157" s="8">
        <f>IFERROR(T157/T444, "NA")</f>
        <v>0</v>
      </c>
      <c r="V157" s="9"/>
      <c r="W157" s="10">
        <f t="shared" si="38"/>
        <v>0</v>
      </c>
      <c r="X157" s="8">
        <f>IFERROR(W157/W444, "NA")</f>
        <v>0</v>
      </c>
      <c r="Y157" s="9"/>
      <c r="Z157" s="7">
        <v>0</v>
      </c>
      <c r="AA157" s="8">
        <f>IFERROR(Z157/Z444, "NA")</f>
        <v>0</v>
      </c>
      <c r="AB157" s="9"/>
      <c r="AC157" s="10">
        <f t="shared" si="39"/>
        <v>0</v>
      </c>
      <c r="AD157" s="8">
        <f>IFERROR(AC157/AC444, "NA")</f>
        <v>0</v>
      </c>
    </row>
    <row r="158" spans="1:30" ht="16.5" customHeight="1" x14ac:dyDescent="0.45">
      <c r="A158" s="13" t="s">
        <v>147</v>
      </c>
      <c r="B158" s="14">
        <f>IFERROR(B153+B154+B155+B156+B157, "NA")</f>
        <v>4862.4399999999996</v>
      </c>
      <c r="C158" s="15">
        <f>IFERROR(B158/B444, "NA")</f>
        <v>4.2276315320430163E-2</v>
      </c>
      <c r="D158" s="2"/>
      <c r="E158" s="14">
        <f>IFERROR(E153+E154+E155+E156+E157, "NA")</f>
        <v>2271.2600000000002</v>
      </c>
      <c r="F158" s="15">
        <f>IFERROR(E158/E444, "NA")</f>
        <v>1.7000015194222964E-2</v>
      </c>
      <c r="G158" s="2"/>
      <c r="H158" s="14">
        <f t="shared" si="36"/>
        <v>-2591.1799999999994</v>
      </c>
      <c r="I158" s="15">
        <f>IFERROR(H158/H444, "NA")</f>
        <v>0.13940286350497175</v>
      </c>
      <c r="J158" s="2"/>
      <c r="K158" s="14">
        <f>IFERROR(K153+K154+K155+K156+K157, "NA")</f>
        <v>4746.3700000000008</v>
      </c>
      <c r="L158" s="15">
        <f>IFERROR(K158/K444, "NA")</f>
        <v>4.1920457319539702E-2</v>
      </c>
      <c r="M158" s="2"/>
      <c r="N158" s="14">
        <f t="shared" si="37"/>
        <v>-116.0699999999988</v>
      </c>
      <c r="O158" s="15">
        <f>IFERROR(N158/N444, "NA")</f>
        <v>-6.475458308693044E-2</v>
      </c>
      <c r="P158" s="2"/>
      <c r="Q158" s="14">
        <f>IFERROR(Q153+Q154+Q155+Q156+Q157, "NA")</f>
        <v>24073.31</v>
      </c>
      <c r="R158" s="15">
        <f>IFERROR(Q158/Q444, "NA")</f>
        <v>4.3315446411720533E-2</v>
      </c>
      <c r="S158" s="2"/>
      <c r="T158" s="14">
        <f>IFERROR(T153+T154+T155+T156+T157, "NA")</f>
        <v>10190.870000000001</v>
      </c>
      <c r="U158" s="15">
        <f>IFERROR(T158/T444, "NA")</f>
        <v>1.7930581460404407E-2</v>
      </c>
      <c r="V158" s="2"/>
      <c r="W158" s="14">
        <f t="shared" si="38"/>
        <v>-13882.44</v>
      </c>
      <c r="X158" s="15">
        <f>IFERROR(W158/W444, "NA")</f>
        <v>1.1031809415281766</v>
      </c>
      <c r="Y158" s="2"/>
      <c r="Z158" s="14">
        <f>IFERROR(Z153+Z154+Z155+Z156+Z157, "NA")</f>
        <v>22877.549999999996</v>
      </c>
      <c r="AA158" s="15">
        <f>IFERROR(Z158/Z444, "NA")</f>
        <v>4.6463613419031859E-2</v>
      </c>
      <c r="AB158" s="2"/>
      <c r="AC158" s="14">
        <f t="shared" si="39"/>
        <v>-1195.7600000000057</v>
      </c>
      <c r="AD158" s="15">
        <f>IFERROR(AC158/AC444, "NA")</f>
        <v>-1.8863031323333806E-2</v>
      </c>
    </row>
    <row r="159" spans="1:30" ht="16.5" customHeight="1" x14ac:dyDescent="0.45">
      <c r="A159" s="11" t="s">
        <v>148</v>
      </c>
      <c r="B159" s="2"/>
      <c r="C159" s="3"/>
      <c r="D159" s="4"/>
      <c r="E159" s="2"/>
      <c r="F159" s="3"/>
      <c r="G159" s="4"/>
      <c r="H159" s="2"/>
      <c r="I159" s="3"/>
      <c r="J159" s="4"/>
      <c r="K159" s="2"/>
      <c r="L159" s="3"/>
      <c r="M159" s="4"/>
      <c r="N159" s="2"/>
      <c r="O159" s="3"/>
      <c r="P159" s="4"/>
      <c r="Q159" s="2"/>
      <c r="R159" s="3"/>
      <c r="S159" s="4"/>
      <c r="T159" s="2"/>
      <c r="U159" s="3"/>
      <c r="V159" s="4"/>
      <c r="W159" s="2"/>
      <c r="X159" s="3"/>
      <c r="Y159" s="4"/>
      <c r="Z159" s="2"/>
      <c r="AA159" s="3"/>
      <c r="AB159" s="4"/>
      <c r="AC159" s="2"/>
      <c r="AD159" s="3"/>
    </row>
    <row r="160" spans="1:30" ht="16.5" hidden="1" customHeight="1" x14ac:dyDescent="0.45">
      <c r="A160" s="12" t="s">
        <v>148</v>
      </c>
      <c r="B160" s="7">
        <v>0</v>
      </c>
      <c r="C160" s="8">
        <f>IFERROR(B160/B444, "NA")</f>
        <v>0</v>
      </c>
      <c r="D160" s="9"/>
      <c r="E160" s="7">
        <v>0</v>
      </c>
      <c r="F160" s="8">
        <f>IFERROR(E160/E444, "NA")</f>
        <v>0</v>
      </c>
      <c r="G160" s="9"/>
      <c r="H160" s="10">
        <f t="shared" ref="H160:H171" si="40">IFERROR(-(B160-E160), "NA")</f>
        <v>0</v>
      </c>
      <c r="I160" s="8">
        <f>IFERROR(H160/H444, "NA")</f>
        <v>0</v>
      </c>
      <c r="J160" s="9"/>
      <c r="K160" s="7">
        <v>0</v>
      </c>
      <c r="L160" s="8">
        <f>IFERROR(K160/K444, "NA")</f>
        <v>0</v>
      </c>
      <c r="M160" s="9"/>
      <c r="N160" s="10">
        <f t="shared" ref="N160:N171" si="41">IFERROR(-(B160-K160), "NA")</f>
        <v>0</v>
      </c>
      <c r="O160" s="8">
        <f>IFERROR(N160/N444, "NA")</f>
        <v>0</v>
      </c>
      <c r="P160" s="9"/>
      <c r="Q160" s="7">
        <v>0</v>
      </c>
      <c r="R160" s="8">
        <f>IFERROR(Q160/Q444, "NA")</f>
        <v>0</v>
      </c>
      <c r="S160" s="9"/>
      <c r="T160" s="7">
        <v>0</v>
      </c>
      <c r="U160" s="8">
        <f>IFERROR(T160/T444, "NA")</f>
        <v>0</v>
      </c>
      <c r="V160" s="9"/>
      <c r="W160" s="10">
        <f t="shared" ref="W160:W171" si="42">IFERROR(-(Q160-T160), "NA")</f>
        <v>0</v>
      </c>
      <c r="X160" s="8">
        <f>IFERROR(W160/W444, "NA")</f>
        <v>0</v>
      </c>
      <c r="Y160" s="9"/>
      <c r="Z160" s="7">
        <v>0</v>
      </c>
      <c r="AA160" s="8">
        <f>IFERROR(Z160/Z444, "NA")</f>
        <v>0</v>
      </c>
      <c r="AB160" s="9"/>
      <c r="AC160" s="10">
        <f t="shared" ref="AC160:AC171" si="43">IFERROR(-(Q160-Z160), "NA")</f>
        <v>0</v>
      </c>
      <c r="AD160" s="8">
        <f>IFERROR(AC160/AC444, "NA")</f>
        <v>0</v>
      </c>
    </row>
    <row r="161" spans="1:30" ht="16.5" customHeight="1" x14ac:dyDescent="0.45">
      <c r="A161" s="12" t="s">
        <v>149</v>
      </c>
      <c r="B161" s="7">
        <v>1070.1400000000001</v>
      </c>
      <c r="C161" s="8">
        <f>IFERROR(B161/B444, "NA")</f>
        <v>9.3042949788594096E-3</v>
      </c>
      <c r="D161" s="9"/>
      <c r="E161" s="7">
        <v>0</v>
      </c>
      <c r="F161" s="8">
        <f>IFERROR(E161/E444, "NA")</f>
        <v>0</v>
      </c>
      <c r="G161" s="9"/>
      <c r="H161" s="10">
        <f t="shared" si="40"/>
        <v>-1070.1400000000001</v>
      </c>
      <c r="I161" s="8">
        <f>IFERROR(H161/H444, "NA")</f>
        <v>5.7572449753089526E-2</v>
      </c>
      <c r="J161" s="9"/>
      <c r="K161" s="7">
        <v>281.17</v>
      </c>
      <c r="L161" s="8">
        <f>IFERROR(K161/K444, "NA")</f>
        <v>2.4833240949472916E-3</v>
      </c>
      <c r="M161" s="9"/>
      <c r="N161" s="10">
        <f t="shared" si="41"/>
        <v>-788.97</v>
      </c>
      <c r="O161" s="8">
        <f>IFERROR(N161/N444, "NA")</f>
        <v>-0.44016044988451825</v>
      </c>
      <c r="P161" s="9"/>
      <c r="Q161" s="7">
        <v>2592.35</v>
      </c>
      <c r="R161" s="8">
        <f>IFERROR(Q161/Q444, "NA")</f>
        <v>4.6644519389076001E-3</v>
      </c>
      <c r="S161" s="9"/>
      <c r="T161" s="7">
        <v>0</v>
      </c>
      <c r="U161" s="8">
        <f>IFERROR(T161/T444, "NA")</f>
        <v>0</v>
      </c>
      <c r="V161" s="9"/>
      <c r="W161" s="10">
        <f t="shared" si="42"/>
        <v>-2592.35</v>
      </c>
      <c r="X161" s="8">
        <f>IFERROR(W161/W444, "NA")</f>
        <v>0.20600349173276228</v>
      </c>
      <c r="Y161" s="9"/>
      <c r="Z161" s="7">
        <v>1784.89</v>
      </c>
      <c r="AA161" s="8">
        <f>IFERROR(Z161/Z444, "NA")</f>
        <v>3.6250577074684919E-3</v>
      </c>
      <c r="AB161" s="9"/>
      <c r="AC161" s="10">
        <f t="shared" si="43"/>
        <v>-807.45999999999981</v>
      </c>
      <c r="AD161" s="8">
        <f>IFERROR(AC161/AC444, "NA")</f>
        <v>-1.2737625670986687E-2</v>
      </c>
    </row>
    <row r="162" spans="1:30" ht="16.5" hidden="1" customHeight="1" x14ac:dyDescent="0.45">
      <c r="A162" s="12" t="s">
        <v>150</v>
      </c>
      <c r="B162" s="7">
        <v>0</v>
      </c>
      <c r="C162" s="8">
        <f>IFERROR(B162/B444, "NA")</f>
        <v>0</v>
      </c>
      <c r="D162" s="9"/>
      <c r="E162" s="7">
        <v>0</v>
      </c>
      <c r="F162" s="8">
        <f>IFERROR(E162/E444, "NA")</f>
        <v>0</v>
      </c>
      <c r="G162" s="9"/>
      <c r="H162" s="10">
        <f t="shared" si="40"/>
        <v>0</v>
      </c>
      <c r="I162" s="8">
        <f>IFERROR(H162/H444, "NA")</f>
        <v>0</v>
      </c>
      <c r="J162" s="9"/>
      <c r="K162" s="7">
        <v>0</v>
      </c>
      <c r="L162" s="8">
        <f>IFERROR(K162/K444, "NA")</f>
        <v>0</v>
      </c>
      <c r="M162" s="9"/>
      <c r="N162" s="10">
        <f t="shared" si="41"/>
        <v>0</v>
      </c>
      <c r="O162" s="8">
        <f>IFERROR(N162/N444, "NA")</f>
        <v>0</v>
      </c>
      <c r="P162" s="9"/>
      <c r="Q162" s="7">
        <v>0</v>
      </c>
      <c r="R162" s="8">
        <f>IFERROR(Q162/Q444, "NA")</f>
        <v>0</v>
      </c>
      <c r="S162" s="9"/>
      <c r="T162" s="7">
        <v>0</v>
      </c>
      <c r="U162" s="8">
        <f>IFERROR(T162/T444, "NA")</f>
        <v>0</v>
      </c>
      <c r="V162" s="9"/>
      <c r="W162" s="10">
        <f t="shared" si="42"/>
        <v>0</v>
      </c>
      <c r="X162" s="8">
        <f>IFERROR(W162/W444, "NA")</f>
        <v>0</v>
      </c>
      <c r="Y162" s="9"/>
      <c r="Z162" s="7">
        <v>0</v>
      </c>
      <c r="AA162" s="8">
        <f>IFERROR(Z162/Z444, "NA")</f>
        <v>0</v>
      </c>
      <c r="AB162" s="9"/>
      <c r="AC162" s="10">
        <f t="shared" si="43"/>
        <v>0</v>
      </c>
      <c r="AD162" s="8">
        <f>IFERROR(AC162/AC444, "NA")</f>
        <v>0</v>
      </c>
    </row>
    <row r="163" spans="1:30" ht="16.5" hidden="1" customHeight="1" x14ac:dyDescent="0.45">
      <c r="A163" s="12" t="s">
        <v>151</v>
      </c>
      <c r="B163" s="7">
        <v>0</v>
      </c>
      <c r="C163" s="8">
        <f>IFERROR(B163/B444, "NA")</f>
        <v>0</v>
      </c>
      <c r="D163" s="9"/>
      <c r="E163" s="7">
        <v>0</v>
      </c>
      <c r="F163" s="8">
        <f>IFERROR(E163/E444, "NA")</f>
        <v>0</v>
      </c>
      <c r="G163" s="9"/>
      <c r="H163" s="10">
        <f t="shared" si="40"/>
        <v>0</v>
      </c>
      <c r="I163" s="8">
        <f>IFERROR(H163/H444, "NA")</f>
        <v>0</v>
      </c>
      <c r="J163" s="9"/>
      <c r="K163" s="7">
        <v>0</v>
      </c>
      <c r="L163" s="8">
        <f>IFERROR(K163/K444, "NA")</f>
        <v>0</v>
      </c>
      <c r="M163" s="9"/>
      <c r="N163" s="10">
        <f t="shared" si="41"/>
        <v>0</v>
      </c>
      <c r="O163" s="8">
        <f>IFERROR(N163/N444, "NA")</f>
        <v>0</v>
      </c>
      <c r="P163" s="9"/>
      <c r="Q163" s="7">
        <v>0</v>
      </c>
      <c r="R163" s="8">
        <f>IFERROR(Q163/Q444, "NA")</f>
        <v>0</v>
      </c>
      <c r="S163" s="9"/>
      <c r="T163" s="7">
        <v>0</v>
      </c>
      <c r="U163" s="8">
        <f>IFERROR(T163/T444, "NA")</f>
        <v>0</v>
      </c>
      <c r="V163" s="9"/>
      <c r="W163" s="10">
        <f t="shared" si="42"/>
        <v>0</v>
      </c>
      <c r="X163" s="8">
        <f>IFERROR(W163/W444, "NA")</f>
        <v>0</v>
      </c>
      <c r="Y163" s="9"/>
      <c r="Z163" s="7">
        <v>0</v>
      </c>
      <c r="AA163" s="8">
        <f>IFERROR(Z163/Z444, "NA")</f>
        <v>0</v>
      </c>
      <c r="AB163" s="9"/>
      <c r="AC163" s="10">
        <f t="shared" si="43"/>
        <v>0</v>
      </c>
      <c r="AD163" s="8">
        <f>IFERROR(AC163/AC444, "NA")</f>
        <v>0</v>
      </c>
    </row>
    <row r="164" spans="1:30" ht="16.5" hidden="1" customHeight="1" x14ac:dyDescent="0.45">
      <c r="A164" s="12" t="s">
        <v>152</v>
      </c>
      <c r="B164" s="7">
        <v>0</v>
      </c>
      <c r="C164" s="8">
        <f>IFERROR(B164/B444, "NA")</f>
        <v>0</v>
      </c>
      <c r="D164" s="9"/>
      <c r="E164" s="7">
        <v>0</v>
      </c>
      <c r="F164" s="8">
        <f>IFERROR(E164/E444, "NA")</f>
        <v>0</v>
      </c>
      <c r="G164" s="9"/>
      <c r="H164" s="10">
        <f t="shared" si="40"/>
        <v>0</v>
      </c>
      <c r="I164" s="8">
        <f>IFERROR(H164/H444, "NA")</f>
        <v>0</v>
      </c>
      <c r="J164" s="9"/>
      <c r="K164" s="7">
        <v>0</v>
      </c>
      <c r="L164" s="8">
        <f>IFERROR(K164/K444, "NA")</f>
        <v>0</v>
      </c>
      <c r="M164" s="9"/>
      <c r="N164" s="10">
        <f t="shared" si="41"/>
        <v>0</v>
      </c>
      <c r="O164" s="8">
        <f>IFERROR(N164/N444, "NA")</f>
        <v>0</v>
      </c>
      <c r="P164" s="9"/>
      <c r="Q164" s="7">
        <v>0</v>
      </c>
      <c r="R164" s="8">
        <f>IFERROR(Q164/Q444, "NA")</f>
        <v>0</v>
      </c>
      <c r="S164" s="9"/>
      <c r="T164" s="7">
        <v>0</v>
      </c>
      <c r="U164" s="8">
        <f>IFERROR(T164/T444, "NA")</f>
        <v>0</v>
      </c>
      <c r="V164" s="9"/>
      <c r="W164" s="10">
        <f t="shared" si="42"/>
        <v>0</v>
      </c>
      <c r="X164" s="8">
        <f>IFERROR(W164/W444, "NA")</f>
        <v>0</v>
      </c>
      <c r="Y164" s="9"/>
      <c r="Z164" s="7">
        <v>0</v>
      </c>
      <c r="AA164" s="8">
        <f>IFERROR(Z164/Z444, "NA")</f>
        <v>0</v>
      </c>
      <c r="AB164" s="9"/>
      <c r="AC164" s="10">
        <f t="shared" si="43"/>
        <v>0</v>
      </c>
      <c r="AD164" s="8">
        <f>IFERROR(AC164/AC444, "NA")</f>
        <v>0</v>
      </c>
    </row>
    <row r="165" spans="1:30" ht="16.5" hidden="1" customHeight="1" x14ac:dyDescent="0.45">
      <c r="A165" s="12" t="s">
        <v>153</v>
      </c>
      <c r="B165" s="7">
        <v>0</v>
      </c>
      <c r="C165" s="8">
        <f>IFERROR(B165/B444, "NA")</f>
        <v>0</v>
      </c>
      <c r="D165" s="9"/>
      <c r="E165" s="7">
        <v>0</v>
      </c>
      <c r="F165" s="8">
        <f>IFERROR(E165/E444, "NA")</f>
        <v>0</v>
      </c>
      <c r="G165" s="9"/>
      <c r="H165" s="10">
        <f t="shared" si="40"/>
        <v>0</v>
      </c>
      <c r="I165" s="8">
        <f>IFERROR(H165/H444, "NA")</f>
        <v>0</v>
      </c>
      <c r="J165" s="9"/>
      <c r="K165" s="7">
        <v>0</v>
      </c>
      <c r="L165" s="8">
        <f>IFERROR(K165/K444, "NA")</f>
        <v>0</v>
      </c>
      <c r="M165" s="9"/>
      <c r="N165" s="10">
        <f t="shared" si="41"/>
        <v>0</v>
      </c>
      <c r="O165" s="8">
        <f>IFERROR(N165/N444, "NA")</f>
        <v>0</v>
      </c>
      <c r="P165" s="9"/>
      <c r="Q165" s="7">
        <v>0</v>
      </c>
      <c r="R165" s="8">
        <f>IFERROR(Q165/Q444, "NA")</f>
        <v>0</v>
      </c>
      <c r="S165" s="9"/>
      <c r="T165" s="7">
        <v>0</v>
      </c>
      <c r="U165" s="8">
        <f>IFERROR(T165/T444, "NA")</f>
        <v>0</v>
      </c>
      <c r="V165" s="9"/>
      <c r="W165" s="10">
        <f t="shared" si="42"/>
        <v>0</v>
      </c>
      <c r="X165" s="8">
        <f>IFERROR(W165/W444, "NA")</f>
        <v>0</v>
      </c>
      <c r="Y165" s="9"/>
      <c r="Z165" s="7">
        <v>0</v>
      </c>
      <c r="AA165" s="8">
        <f>IFERROR(Z165/Z444, "NA")</f>
        <v>0</v>
      </c>
      <c r="AB165" s="9"/>
      <c r="AC165" s="10">
        <f t="shared" si="43"/>
        <v>0</v>
      </c>
      <c r="AD165" s="8">
        <f>IFERROR(AC165/AC444, "NA")</f>
        <v>0</v>
      </c>
    </row>
    <row r="166" spans="1:30" ht="16.5" customHeight="1" x14ac:dyDescent="0.45">
      <c r="A166" s="13" t="s">
        <v>154</v>
      </c>
      <c r="B166" s="14">
        <f>IFERROR(B160+B161+B162+B163+B164+B165, "NA")</f>
        <v>1070.1400000000001</v>
      </c>
      <c r="C166" s="15">
        <f>IFERROR(B166/B444, "NA")</f>
        <v>9.3042949788594096E-3</v>
      </c>
      <c r="D166" s="2"/>
      <c r="E166" s="14">
        <f>IFERROR(E160+E161+E162+E163+E164+E165, "NA")</f>
        <v>0</v>
      </c>
      <c r="F166" s="15">
        <f>IFERROR(E166/E444, "NA")</f>
        <v>0</v>
      </c>
      <c r="G166" s="2"/>
      <c r="H166" s="14">
        <f t="shared" si="40"/>
        <v>-1070.1400000000001</v>
      </c>
      <c r="I166" s="15">
        <f>IFERROR(H166/H444, "NA")</f>
        <v>5.7572449753089526E-2</v>
      </c>
      <c r="J166" s="2"/>
      <c r="K166" s="14">
        <f>IFERROR(K160+K161+K162+K163+K164+K165, "NA")</f>
        <v>281.17</v>
      </c>
      <c r="L166" s="15">
        <f>IFERROR(K166/K444, "NA")</f>
        <v>2.4833240949472916E-3</v>
      </c>
      <c r="M166" s="2"/>
      <c r="N166" s="14">
        <f t="shared" si="41"/>
        <v>-788.97</v>
      </c>
      <c r="O166" s="15">
        <f>IFERROR(N166/N444, "NA")</f>
        <v>-0.44016044988451825</v>
      </c>
      <c r="P166" s="2"/>
      <c r="Q166" s="14">
        <f>IFERROR(Q160+Q161+Q162+Q163+Q164+Q165, "NA")</f>
        <v>2592.35</v>
      </c>
      <c r="R166" s="15">
        <f>IFERROR(Q166/Q444, "NA")</f>
        <v>4.6644519389076001E-3</v>
      </c>
      <c r="S166" s="2"/>
      <c r="T166" s="14">
        <f>IFERROR(T160+T161+T162+T163+T164+T165, "NA")</f>
        <v>0</v>
      </c>
      <c r="U166" s="15">
        <f>IFERROR(T166/T444, "NA")</f>
        <v>0</v>
      </c>
      <c r="V166" s="2"/>
      <c r="W166" s="14">
        <f t="shared" si="42"/>
        <v>-2592.35</v>
      </c>
      <c r="X166" s="15">
        <f>IFERROR(W166/W444, "NA")</f>
        <v>0.20600349173276228</v>
      </c>
      <c r="Y166" s="2"/>
      <c r="Z166" s="14">
        <f>IFERROR(Z160+Z161+Z162+Z163+Z164+Z165, "NA")</f>
        <v>1784.89</v>
      </c>
      <c r="AA166" s="15">
        <f>IFERROR(Z166/Z444, "NA")</f>
        <v>3.6250577074684919E-3</v>
      </c>
      <c r="AB166" s="2"/>
      <c r="AC166" s="14">
        <f t="shared" si="43"/>
        <v>-807.45999999999981</v>
      </c>
      <c r="AD166" s="15">
        <f>IFERROR(AC166/AC444, "NA")</f>
        <v>-1.2737625670986687E-2</v>
      </c>
    </row>
    <row r="167" spans="1:30" ht="16.5" customHeight="1" x14ac:dyDescent="0.45">
      <c r="A167" s="6" t="s">
        <v>155</v>
      </c>
      <c r="B167" s="7">
        <v>103.01</v>
      </c>
      <c r="C167" s="8">
        <f>IFERROR(B167/B444, "NA")</f>
        <v>8.9561685926356147E-4</v>
      </c>
      <c r="D167" s="9"/>
      <c r="E167" s="7">
        <v>0</v>
      </c>
      <c r="F167" s="8">
        <f>IFERROR(E167/E444, "NA")</f>
        <v>0</v>
      </c>
      <c r="G167" s="9"/>
      <c r="H167" s="10">
        <f t="shared" si="40"/>
        <v>-103.01</v>
      </c>
      <c r="I167" s="8">
        <f>IFERROR(H167/H444, "NA")</f>
        <v>5.5418338246077635E-3</v>
      </c>
      <c r="J167" s="9"/>
      <c r="K167" s="7">
        <v>138.35</v>
      </c>
      <c r="L167" s="8">
        <f>IFERROR(K167/K444, "NA")</f>
        <v>1.2219222837996863E-3</v>
      </c>
      <c r="M167" s="9"/>
      <c r="N167" s="10">
        <f t="shared" si="41"/>
        <v>35.339999999999989</v>
      </c>
      <c r="O167" s="8">
        <f>IFERROR(N167/N444, "NA")</f>
        <v>1.971592113631554E-2</v>
      </c>
      <c r="P167" s="9"/>
      <c r="Q167" s="7">
        <v>562.55999999999995</v>
      </c>
      <c r="R167" s="8">
        <f>IFERROR(Q167/Q444, "NA")</f>
        <v>1.0122221469908998E-3</v>
      </c>
      <c r="S167" s="9"/>
      <c r="T167" s="7">
        <v>0</v>
      </c>
      <c r="U167" s="8">
        <f>IFERROR(T167/T444, "NA")</f>
        <v>0</v>
      </c>
      <c r="V167" s="9"/>
      <c r="W167" s="10">
        <f t="shared" si="42"/>
        <v>-562.55999999999995</v>
      </c>
      <c r="X167" s="8">
        <f>IFERROR(W167/W444, "NA")</f>
        <v>4.4704350997813856E-2</v>
      </c>
      <c r="Y167" s="9"/>
      <c r="Z167" s="7">
        <v>693.18</v>
      </c>
      <c r="AA167" s="8">
        <f>IFERROR(Z167/Z444, "NA")</f>
        <v>1.4078276541764528E-3</v>
      </c>
      <c r="AB167" s="9"/>
      <c r="AC167" s="10">
        <f t="shared" si="43"/>
        <v>130.62</v>
      </c>
      <c r="AD167" s="8">
        <f>IFERROR(AC167/AC444, "NA")</f>
        <v>2.0605214687344033E-3</v>
      </c>
    </row>
    <row r="168" spans="1:30" ht="16.5" customHeight="1" x14ac:dyDescent="0.45">
      <c r="A168" s="6" t="s">
        <v>156</v>
      </c>
      <c r="B168" s="7">
        <v>35.799999999999997</v>
      </c>
      <c r="C168" s="8">
        <f>IFERROR(B168/B444, "NA")</f>
        <v>3.1126185381647896E-4</v>
      </c>
      <c r="D168" s="9"/>
      <c r="E168" s="7">
        <v>0</v>
      </c>
      <c r="F168" s="8">
        <f>IFERROR(E168/E444, "NA")</f>
        <v>0</v>
      </c>
      <c r="G168" s="9"/>
      <c r="H168" s="10">
        <f t="shared" si="40"/>
        <v>-35.799999999999997</v>
      </c>
      <c r="I168" s="8">
        <f>IFERROR(H168/H444, "NA")</f>
        <v>1.9260037949806611E-3</v>
      </c>
      <c r="J168" s="9"/>
      <c r="K168" s="7">
        <v>38.4</v>
      </c>
      <c r="L168" s="8">
        <f>IFERROR(K168/K444, "NA")</f>
        <v>3.3915298661299568E-4</v>
      </c>
      <c r="M168" s="9"/>
      <c r="N168" s="10">
        <f t="shared" si="41"/>
        <v>2.6000000000000014</v>
      </c>
      <c r="O168" s="8">
        <f>IFERROR(N168/N444, "NA")</f>
        <v>1.4505205137074263E-3</v>
      </c>
      <c r="P168" s="9"/>
      <c r="Q168" s="7">
        <v>197.8</v>
      </c>
      <c r="R168" s="8">
        <f>IFERROR(Q168/Q444, "NA")</f>
        <v>3.5590433140429473E-4</v>
      </c>
      <c r="S168" s="9"/>
      <c r="T168" s="7">
        <v>0</v>
      </c>
      <c r="U168" s="8">
        <f>IFERROR(T168/T444, "NA")</f>
        <v>0</v>
      </c>
      <c r="V168" s="9"/>
      <c r="W168" s="10">
        <f t="shared" si="42"/>
        <v>-197.8</v>
      </c>
      <c r="X168" s="8">
        <f>IFERROR(W168/W444, "NA")</f>
        <v>1.5718360045804149E-2</v>
      </c>
      <c r="Y168" s="9"/>
      <c r="Z168" s="7">
        <v>212.1</v>
      </c>
      <c r="AA168" s="8">
        <f>IFERROR(Z168/Z444, "NA")</f>
        <v>4.307686970928556E-4</v>
      </c>
      <c r="AB168" s="9"/>
      <c r="AC168" s="10">
        <f t="shared" si="43"/>
        <v>14.299999999999983</v>
      </c>
      <c r="AD168" s="8">
        <f>IFERROR(AC168/AC444, "NA")</f>
        <v>2.255815112762359E-4</v>
      </c>
    </row>
    <row r="169" spans="1:30" ht="16.5" customHeight="1" x14ac:dyDescent="0.45">
      <c r="A169" s="6" t="s">
        <v>157</v>
      </c>
      <c r="B169" s="7">
        <v>-1072.43</v>
      </c>
      <c r="C169" s="8">
        <f>IFERROR(B169/B444, "NA")</f>
        <v>-9.3242053041454349E-3</v>
      </c>
      <c r="D169" s="9"/>
      <c r="E169" s="7">
        <v>0</v>
      </c>
      <c r="F169" s="8">
        <f>IFERROR(E169/E444, "NA")</f>
        <v>0</v>
      </c>
      <c r="G169" s="9"/>
      <c r="H169" s="10">
        <f t="shared" si="40"/>
        <v>1072.43</v>
      </c>
      <c r="I169" s="8">
        <f>IFERROR(H169/H444, "NA")</f>
        <v>-5.7695649437181862E-2</v>
      </c>
      <c r="J169" s="9"/>
      <c r="K169" s="7">
        <v>-2575.42</v>
      </c>
      <c r="L169" s="8">
        <f>IFERROR(K169/K444, "NA")</f>
        <v>-2.2746390228719826E-2</v>
      </c>
      <c r="M169" s="9"/>
      <c r="N169" s="10">
        <f t="shared" si="41"/>
        <v>-1502.99</v>
      </c>
      <c r="O169" s="8">
        <f>IFERROR(N169/N444, "NA")</f>
        <v>-0.83850685649889356</v>
      </c>
      <c r="P169" s="9"/>
      <c r="Q169" s="7">
        <v>-12972.84</v>
      </c>
      <c r="R169" s="8">
        <f>IFERROR(Q169/Q444, "NA")</f>
        <v>-2.3342214088042924E-2</v>
      </c>
      <c r="S169" s="9"/>
      <c r="T169" s="7">
        <v>0</v>
      </c>
      <c r="U169" s="8">
        <f>IFERROR(T169/T444, "NA")</f>
        <v>0</v>
      </c>
      <c r="V169" s="9"/>
      <c r="W169" s="10">
        <f t="shared" si="42"/>
        <v>12972.84</v>
      </c>
      <c r="X169" s="8">
        <f>IFERROR(W169/W444, "NA")</f>
        <v>-1.030898735776592</v>
      </c>
      <c r="Y169" s="9"/>
      <c r="Z169" s="7">
        <v>-14256.07</v>
      </c>
      <c r="AA169" s="8">
        <f>IFERROR(Z169/Z444, "NA")</f>
        <v>-2.8953647805584848E-2</v>
      </c>
      <c r="AB169" s="9"/>
      <c r="AC169" s="10">
        <f t="shared" si="43"/>
        <v>-1283.2299999999996</v>
      </c>
      <c r="AD169" s="8">
        <f>IFERROR(AC169/AC444, "NA")</f>
        <v>-2.0242864525524786E-2</v>
      </c>
    </row>
    <row r="170" spans="1:30" ht="16.5" customHeight="1" x14ac:dyDescent="0.45">
      <c r="A170" s="19" t="s">
        <v>158</v>
      </c>
      <c r="B170" s="14">
        <f>IFERROR(B151+B153+B154+B155+B156+B157+B160+B161+B162+B163+B164+B165+B167+B168+B169, "NA")</f>
        <v>4998.96</v>
      </c>
      <c r="C170" s="15">
        <f>IFERROR(B170/B444, "NA")</f>
        <v>4.3463283708224186E-2</v>
      </c>
      <c r="D170" s="2"/>
      <c r="E170" s="14">
        <f>IFERROR(E151+E153+E154+E155+E156+E157+E160+E161+E162+E163+E164+E165+E167+E168+E169, "NA")</f>
        <v>2271.2600000000002</v>
      </c>
      <c r="F170" s="15">
        <f>IFERROR(E170/E444, "NA")</f>
        <v>1.7000015194222964E-2</v>
      </c>
      <c r="G170" s="2"/>
      <c r="H170" s="14">
        <f t="shared" si="40"/>
        <v>-2727.7</v>
      </c>
      <c r="I170" s="15">
        <f>IFERROR(H170/H444, "NA")</f>
        <v>0.14674750144046786</v>
      </c>
      <c r="J170" s="2"/>
      <c r="K170" s="14">
        <f>IFERROR(K151+K153+K154+K155+K156+K157+K160+K161+K162+K163+K164+K165+K167+K168+K169, "NA")</f>
        <v>2628.8700000000008</v>
      </c>
      <c r="L170" s="15">
        <f>IFERROR(K170/K444, "NA")</f>
        <v>2.3218466456179851E-2</v>
      </c>
      <c r="M170" s="2"/>
      <c r="N170" s="14">
        <f t="shared" si="41"/>
        <v>-2370.0899999999992</v>
      </c>
      <c r="O170" s="15">
        <f>IFERROR(N170/N444, "NA")</f>
        <v>-1.3222554478203197</v>
      </c>
      <c r="P170" s="2"/>
      <c r="Q170" s="14">
        <f>IFERROR(Q151+Q153+Q154+Q155+Q156+Q157+Q160+Q161+Q162+Q163+Q164+Q165+Q167+Q168+Q169, "NA")</f>
        <v>14453.18</v>
      </c>
      <c r="R170" s="15">
        <f>IFERROR(Q170/Q444, "NA")</f>
        <v>2.6005810740980406E-2</v>
      </c>
      <c r="S170" s="2"/>
      <c r="T170" s="14">
        <f>IFERROR(T151+T153+T154+T155+T156+T157+T160+T161+T162+T163+T164+T165+T167+T168+T169, "NA")</f>
        <v>10190.870000000001</v>
      </c>
      <c r="U170" s="15">
        <f>IFERROR(T170/T444, "NA")</f>
        <v>1.7930581460404407E-2</v>
      </c>
      <c r="V170" s="2"/>
      <c r="W170" s="14">
        <f t="shared" si="42"/>
        <v>-4262.3099999999995</v>
      </c>
      <c r="X170" s="15">
        <f>IFERROR(W170/W444, "NA")</f>
        <v>0.33870840852796497</v>
      </c>
      <c r="Y170" s="2"/>
      <c r="Z170" s="14">
        <f>IFERROR(Z151+Z153+Z154+Z155+Z156+Z157+Z160+Z161+Z162+Z163+Z164+Z165+Z167+Z168+Z169, "NA")</f>
        <v>11311.649999999994</v>
      </c>
      <c r="AA170" s="15">
        <f>IFERROR(Z170/Z444, "NA")</f>
        <v>2.2973619672184808E-2</v>
      </c>
      <c r="AB170" s="2"/>
      <c r="AC170" s="14">
        <f t="shared" si="43"/>
        <v>-3141.5300000000061</v>
      </c>
      <c r="AD170" s="15">
        <f>IFERROR(AC170/AC444, "NA")</f>
        <v>-4.9557418539834655E-2</v>
      </c>
    </row>
    <row r="171" spans="1:30" ht="16.5" customHeight="1" x14ac:dyDescent="0.45">
      <c r="A171" s="21" t="s">
        <v>159</v>
      </c>
      <c r="B171" s="14">
        <f>IFERROR(B127+B129+B130+B131+B132+B133+B134+B135+B136+B137+B138+B139+B140+B143+B144+B145+B146+B147+B151+B153+B154+B155+B156+B157+B160+B161+B162+B163+B164+B165+B167+B168+B169, "NA")</f>
        <v>38755.49</v>
      </c>
      <c r="C171" s="15">
        <f>IFERROR(B171/B444, "NA")</f>
        <v>0.33695825874206736</v>
      </c>
      <c r="D171" s="2"/>
      <c r="E171" s="14">
        <f>IFERROR(E127+E129+E130+E131+E132+E133+E134+E135+E136+E137+E138+E139+E140+E143+E144+E145+E146+E147+E151+E153+E154+E155+E156+E157+E160+E161+E162+E163+E164+E165+E167+E168+E169, "NA")</f>
        <v>32732.840000000004</v>
      </c>
      <c r="F171" s="15">
        <f>IFERROR(E171/E444, "NA")</f>
        <v>0.245000034056017</v>
      </c>
      <c r="G171" s="2"/>
      <c r="H171" s="14">
        <f t="shared" si="40"/>
        <v>-6022.6499999999942</v>
      </c>
      <c r="I171" s="15">
        <f>IFERROR(H171/H444, "NA")</f>
        <v>0.32401247921341531</v>
      </c>
      <c r="J171" s="2"/>
      <c r="K171" s="14">
        <f>IFERROR(K127+K129+K130+K131+K132+K133+K134+K135+K136+K137+K138+K139+K140+K143+K144+K145+K146+K147+K151+K153+K154+K155+K156+K157+K160+K161+K162+K163+K164+K165+K167+K168+K169, "NA")</f>
        <v>31324.68</v>
      </c>
      <c r="L171" s="15">
        <f>IFERROR(K171/K444, "NA")</f>
        <v>0.27666298897646807</v>
      </c>
      <c r="M171" s="2"/>
      <c r="N171" s="14">
        <f t="shared" si="41"/>
        <v>-7430.8099999999977</v>
      </c>
      <c r="O171" s="15">
        <f>IFERROR(N171/N444, "NA")</f>
        <v>-4.1455932071008732</v>
      </c>
      <c r="P171" s="2"/>
      <c r="Q171" s="14">
        <f>IFERROR(Q127+Q129+Q130+Q131+Q132+Q133+Q134+Q135+Q136+Q137+Q138+Q139+Q140+Q143+Q144+Q145+Q146+Q147+Q151+Q153+Q154+Q155+Q156+Q157+Q160+Q161+Q162+Q163+Q164+Q165+Q167+Q168+Q169, "NA")</f>
        <v>166978.00999999998</v>
      </c>
      <c r="R171" s="15">
        <f>IFERROR(Q171/Q444, "NA")</f>
        <v>0.30044588982947235</v>
      </c>
      <c r="S171" s="2"/>
      <c r="T171" s="14">
        <f>IFERROR(T127+T129+T130+T131+T132+T133+T134+T135+T136+T137+T138+T139+T140+T143+T144+T145+T146+T147+T151+T153+T154+T155+T156+T157+T160+T161+T162+T163+T164+T165+T167+T168+T169, "NA")</f>
        <v>144146.47999999998</v>
      </c>
      <c r="U171" s="15">
        <f>IFERROR(T171/T444, "NA")</f>
        <v>0.25362213450574428</v>
      </c>
      <c r="V171" s="2"/>
      <c r="W171" s="14">
        <f t="shared" si="42"/>
        <v>-22831.53</v>
      </c>
      <c r="X171" s="15">
        <f>IFERROR(W171/W444, "NA")</f>
        <v>1.8143286599422586</v>
      </c>
      <c r="Y171" s="2"/>
      <c r="Z171" s="14">
        <f>IFERROR(Z127+Z129+Z130+Z131+Z132+Z133+Z134+Z135+Z136+Z137+Z138+Z139+Z140+Z143+Z144+Z145+Z146+Z147+Z151+Z153+Z154+Z155+Z156+Z157+Z160+Z161+Z162+Z163+Z164+Z165+Z167+Z168+Z169, "NA")</f>
        <v>140814.81999999998</v>
      </c>
      <c r="AA171" s="15">
        <f>IFERROR(Z171/Z444, "NA")</f>
        <v>0.28599064848074013</v>
      </c>
      <c r="AB171" s="2"/>
      <c r="AC171" s="14">
        <f t="shared" si="43"/>
        <v>-26163.190000000002</v>
      </c>
      <c r="AD171" s="15">
        <f>IFERROR(AC171/AC444, "NA")</f>
        <v>-0.41272251328722448</v>
      </c>
    </row>
    <row r="172" spans="1:30" ht="16.5" customHeight="1" x14ac:dyDescent="0.45">
      <c r="A172" s="22" t="s">
        <v>160</v>
      </c>
      <c r="B172" s="23">
        <f>IFERROR(B124-B171, "NA")</f>
        <v>76260.209999999992</v>
      </c>
      <c r="C172" s="24">
        <f>IFERROR(B172/B444, "NA")</f>
        <v>0.66304174125793258</v>
      </c>
      <c r="D172" s="25"/>
      <c r="E172" s="23">
        <f>IFERROR(E124-E171, "NA")</f>
        <v>100870.56999999998</v>
      </c>
      <c r="F172" s="24">
        <f>IFERROR(E172/E444, "NA")</f>
        <v>0.75499996594398278</v>
      </c>
      <c r="G172" s="25"/>
      <c r="H172" s="23">
        <f>IFERROR(B172-E172, "NA")</f>
        <v>-24610.359999999986</v>
      </c>
      <c r="I172" s="24">
        <f>IFERROR(H172/H444, "NA")</f>
        <v>1.3240124792134145</v>
      </c>
      <c r="J172" s="25"/>
      <c r="K172" s="23">
        <f>IFERROR(K124-K171, "NA")</f>
        <v>81898.560000000027</v>
      </c>
      <c r="L172" s="24">
        <f>IFERROR(K172/K444, "NA")</f>
        <v>0.72333701102353209</v>
      </c>
      <c r="M172" s="25"/>
      <c r="N172" s="23">
        <f>IFERROR(B172-K172, "NA")</f>
        <v>-5638.3500000000349</v>
      </c>
      <c r="O172" s="24">
        <f>IFERROR(N172/N444, "NA")</f>
        <v>-3.1455932071008896</v>
      </c>
      <c r="P172" s="25"/>
      <c r="Q172" s="23">
        <f>IFERROR(Q124-Q171, "NA")</f>
        <v>388789.32000000007</v>
      </c>
      <c r="R172" s="24">
        <f>IFERROR(Q172/Q444, "NA")</f>
        <v>0.69955411017052782</v>
      </c>
      <c r="S172" s="25"/>
      <c r="T172" s="23">
        <f>IFERROR(T124-T171, "NA")</f>
        <v>424204.86</v>
      </c>
      <c r="U172" s="24">
        <f>IFERROR(T172/T444, "NA")</f>
        <v>0.74637786549425578</v>
      </c>
      <c r="V172" s="25"/>
      <c r="W172" s="23">
        <f>IFERROR(Q172-T172, "NA")</f>
        <v>-35415.539999999921</v>
      </c>
      <c r="X172" s="24">
        <f>IFERROR(W172/W444, "NA")</f>
        <v>2.8143286599422517</v>
      </c>
      <c r="Y172" s="25"/>
      <c r="Z172" s="23">
        <f>IFERROR(Z124-Z171, "NA")</f>
        <v>351560.79000000004</v>
      </c>
      <c r="AA172" s="24">
        <f>IFERROR(Z172/Z444, "NA")</f>
        <v>0.71400935151925993</v>
      </c>
      <c r="AB172" s="25"/>
      <c r="AC172" s="23">
        <f>IFERROR(Q172-Z172, "NA")</f>
        <v>37228.530000000028</v>
      </c>
      <c r="AD172" s="24">
        <f>IFERROR(AC172/AC444, "NA")</f>
        <v>0.58727748671277646</v>
      </c>
    </row>
    <row r="173" spans="1:30" ht="16.5" customHeight="1" x14ac:dyDescent="0.45">
      <c r="A173" s="1" t="s">
        <v>161</v>
      </c>
      <c r="B173" s="2"/>
      <c r="C173" s="3"/>
      <c r="D173" s="4"/>
      <c r="E173" s="2"/>
      <c r="F173" s="3"/>
      <c r="G173" s="4"/>
      <c r="H173" s="2"/>
      <c r="I173" s="3"/>
      <c r="J173" s="4"/>
      <c r="K173" s="2"/>
      <c r="L173" s="3"/>
      <c r="M173" s="4"/>
      <c r="N173" s="2"/>
      <c r="O173" s="3"/>
      <c r="P173" s="4"/>
      <c r="Q173" s="2"/>
      <c r="R173" s="3"/>
      <c r="S173" s="4"/>
      <c r="T173" s="2"/>
      <c r="U173" s="3"/>
      <c r="V173" s="4"/>
      <c r="W173" s="2"/>
      <c r="X173" s="3"/>
      <c r="Y173" s="4"/>
      <c r="Z173" s="2"/>
      <c r="AA173" s="3"/>
      <c r="AB173" s="4"/>
      <c r="AC173" s="2"/>
      <c r="AD173" s="3"/>
    </row>
    <row r="174" spans="1:30" ht="16.5" customHeight="1" x14ac:dyDescent="0.45">
      <c r="A174" s="5" t="s">
        <v>161</v>
      </c>
      <c r="B174" s="2"/>
      <c r="C174" s="3"/>
      <c r="D174" s="4"/>
      <c r="E174" s="2"/>
      <c r="F174" s="3"/>
      <c r="G174" s="4"/>
      <c r="H174" s="2"/>
      <c r="I174" s="3"/>
      <c r="J174" s="4"/>
      <c r="K174" s="2"/>
      <c r="L174" s="3"/>
      <c r="M174" s="4"/>
      <c r="N174" s="2"/>
      <c r="O174" s="3"/>
      <c r="P174" s="4"/>
      <c r="Q174" s="2"/>
      <c r="R174" s="3"/>
      <c r="S174" s="4"/>
      <c r="T174" s="2"/>
      <c r="U174" s="3"/>
      <c r="V174" s="4"/>
      <c r="W174" s="2"/>
      <c r="X174" s="3"/>
      <c r="Y174" s="4"/>
      <c r="Z174" s="2"/>
      <c r="AA174" s="3"/>
      <c r="AB174" s="4"/>
      <c r="AC174" s="2"/>
      <c r="AD174" s="3"/>
    </row>
    <row r="175" spans="1:30" ht="16.5" hidden="1" customHeight="1" x14ac:dyDescent="0.45">
      <c r="A175" s="6" t="s">
        <v>161</v>
      </c>
      <c r="B175" s="7">
        <v>0</v>
      </c>
      <c r="C175" s="8">
        <f>IFERROR(B175/B444, "NA")</f>
        <v>0</v>
      </c>
      <c r="D175" s="9"/>
      <c r="E175" s="7">
        <v>0</v>
      </c>
      <c r="F175" s="8">
        <f>IFERROR(E175/E444, "NA")</f>
        <v>0</v>
      </c>
      <c r="G175" s="9"/>
      <c r="H175" s="10">
        <f>IFERROR(-(B175-E175), "NA")</f>
        <v>0</v>
      </c>
      <c r="I175" s="8">
        <f>IFERROR(H175/H444, "NA")</f>
        <v>0</v>
      </c>
      <c r="J175" s="9"/>
      <c r="K175" s="7">
        <v>0</v>
      </c>
      <c r="L175" s="8">
        <f>IFERROR(K175/K444, "NA")</f>
        <v>0</v>
      </c>
      <c r="M175" s="9"/>
      <c r="N175" s="10">
        <f>IFERROR(-(B175-K175), "NA")</f>
        <v>0</v>
      </c>
      <c r="O175" s="8">
        <f>IFERROR(N175/N444, "NA")</f>
        <v>0</v>
      </c>
      <c r="P175" s="9"/>
      <c r="Q175" s="7">
        <v>0</v>
      </c>
      <c r="R175" s="8">
        <f>IFERROR(Q175/Q444, "NA")</f>
        <v>0</v>
      </c>
      <c r="S175" s="9"/>
      <c r="T175" s="7">
        <v>0</v>
      </c>
      <c r="U175" s="8">
        <f>IFERROR(T175/T444, "NA")</f>
        <v>0</v>
      </c>
      <c r="V175" s="9"/>
      <c r="W175" s="10">
        <f>IFERROR(-(Q175-T175), "NA")</f>
        <v>0</v>
      </c>
      <c r="X175" s="8">
        <f>IFERROR(W175/W444, "NA")</f>
        <v>0</v>
      </c>
      <c r="Y175" s="9"/>
      <c r="Z175" s="7">
        <v>0</v>
      </c>
      <c r="AA175" s="8">
        <f>IFERROR(Z175/Z444, "NA")</f>
        <v>0</v>
      </c>
      <c r="AB175" s="9"/>
      <c r="AC175" s="10">
        <f>IFERROR(-(Q175-Z175), "NA")</f>
        <v>0</v>
      </c>
      <c r="AD175" s="8">
        <f>IFERROR(AC175/AC444, "NA")</f>
        <v>0</v>
      </c>
    </row>
    <row r="176" spans="1:30" ht="16.5" customHeight="1" x14ac:dyDescent="0.45">
      <c r="A176" s="11" t="s">
        <v>162</v>
      </c>
      <c r="B176" s="2"/>
      <c r="C176" s="3"/>
      <c r="D176" s="4"/>
      <c r="E176" s="2"/>
      <c r="F176" s="3"/>
      <c r="G176" s="4"/>
      <c r="H176" s="2"/>
      <c r="I176" s="3"/>
      <c r="J176" s="4"/>
      <c r="K176" s="2"/>
      <c r="L176" s="3"/>
      <c r="M176" s="4"/>
      <c r="N176" s="2"/>
      <c r="O176" s="3"/>
      <c r="P176" s="4"/>
      <c r="Q176" s="2"/>
      <c r="R176" s="3"/>
      <c r="S176" s="4"/>
      <c r="T176" s="2"/>
      <c r="U176" s="3"/>
      <c r="V176" s="4"/>
      <c r="W176" s="2"/>
      <c r="X176" s="3"/>
      <c r="Y176" s="4"/>
      <c r="Z176" s="2"/>
      <c r="AA176" s="3"/>
      <c r="AB176" s="4"/>
      <c r="AC176" s="2"/>
      <c r="AD176" s="3"/>
    </row>
    <row r="177" spans="1:30" ht="16.5" hidden="1" customHeight="1" x14ac:dyDescent="0.45">
      <c r="A177" s="12" t="s">
        <v>162</v>
      </c>
      <c r="B177" s="7">
        <v>0</v>
      </c>
      <c r="C177" s="8">
        <f>IFERROR(B177/B444, "NA")</f>
        <v>0</v>
      </c>
      <c r="D177" s="9"/>
      <c r="E177" s="7">
        <v>0</v>
      </c>
      <c r="F177" s="8">
        <f>IFERROR(E177/E444, "NA")</f>
        <v>0</v>
      </c>
      <c r="G177" s="9"/>
      <c r="H177" s="10">
        <f t="shared" ref="H177:H184" si="44">IFERROR(-(B177-E177), "NA")</f>
        <v>0</v>
      </c>
      <c r="I177" s="8">
        <f>IFERROR(H177/H444, "NA")</f>
        <v>0</v>
      </c>
      <c r="J177" s="9"/>
      <c r="K177" s="7">
        <v>0</v>
      </c>
      <c r="L177" s="8">
        <f>IFERROR(K177/K444, "NA")</f>
        <v>0</v>
      </c>
      <c r="M177" s="9"/>
      <c r="N177" s="10">
        <f t="shared" ref="N177:N184" si="45">IFERROR(-(B177-K177), "NA")</f>
        <v>0</v>
      </c>
      <c r="O177" s="8">
        <f>IFERROR(N177/N444, "NA")</f>
        <v>0</v>
      </c>
      <c r="P177" s="9"/>
      <c r="Q177" s="7">
        <v>0</v>
      </c>
      <c r="R177" s="8">
        <f>IFERROR(Q177/Q444, "NA")</f>
        <v>0</v>
      </c>
      <c r="S177" s="9"/>
      <c r="T177" s="7">
        <v>0</v>
      </c>
      <c r="U177" s="8">
        <f>IFERROR(T177/T444, "NA")</f>
        <v>0</v>
      </c>
      <c r="V177" s="9"/>
      <c r="W177" s="10">
        <f t="shared" ref="W177:W184" si="46">IFERROR(-(Q177-T177), "NA")</f>
        <v>0</v>
      </c>
      <c r="X177" s="8">
        <f>IFERROR(W177/W444, "NA")</f>
        <v>0</v>
      </c>
      <c r="Y177" s="9"/>
      <c r="Z177" s="7">
        <v>0</v>
      </c>
      <c r="AA177" s="8">
        <f>IFERROR(Z177/Z444, "NA")</f>
        <v>0</v>
      </c>
      <c r="AB177" s="9"/>
      <c r="AC177" s="10">
        <f t="shared" ref="AC177:AC184" si="47">IFERROR(-(Q177-Z177), "NA")</f>
        <v>0</v>
      </c>
      <c r="AD177" s="8">
        <f>IFERROR(AC177/AC444, "NA")</f>
        <v>0</v>
      </c>
    </row>
    <row r="178" spans="1:30" ht="16.5" customHeight="1" x14ac:dyDescent="0.45">
      <c r="A178" s="12" t="s">
        <v>163</v>
      </c>
      <c r="B178" s="7">
        <v>5192.32</v>
      </c>
      <c r="C178" s="8">
        <f>IFERROR(B178/B444, "NA")</f>
        <v>4.5144445497440781E-2</v>
      </c>
      <c r="D178" s="9"/>
      <c r="E178" s="7">
        <v>5461.54</v>
      </c>
      <c r="F178" s="8">
        <f>IFERROR(E178/E444, "NA")</f>
        <v>4.0878747031980696E-2</v>
      </c>
      <c r="G178" s="9"/>
      <c r="H178" s="10">
        <f t="shared" si="44"/>
        <v>269.22000000000025</v>
      </c>
      <c r="I178" s="8">
        <f>IFERROR(H178/H444, "NA")</f>
        <v>-1.4483763734209332E-2</v>
      </c>
      <c r="J178" s="9"/>
      <c r="K178" s="7">
        <v>5192.32</v>
      </c>
      <c r="L178" s="8">
        <f>IFERROR(K178/K444, "NA")</f>
        <v>4.5859136339853897E-2</v>
      </c>
      <c r="M178" s="9"/>
      <c r="N178" s="10">
        <f t="shared" si="45"/>
        <v>0</v>
      </c>
      <c r="O178" s="8">
        <f>IFERROR(N178/N444, "NA")</f>
        <v>0</v>
      </c>
      <c r="P178" s="9"/>
      <c r="Q178" s="7">
        <v>27259.68</v>
      </c>
      <c r="R178" s="8">
        <f>IFERROR(Q178/Q444, "NA")</f>
        <v>4.904872691959062E-2</v>
      </c>
      <c r="S178" s="9"/>
      <c r="T178" s="7">
        <v>28673.08</v>
      </c>
      <c r="U178" s="8">
        <f>IFERROR(T178/T444, "NA")</f>
        <v>5.0449568747387846E-2</v>
      </c>
      <c r="V178" s="9"/>
      <c r="W178" s="10">
        <f t="shared" si="46"/>
        <v>1413.4000000000015</v>
      </c>
      <c r="X178" s="8">
        <f>IFERROR(W178/W444, "NA")</f>
        <v>-0.11231713897239437</v>
      </c>
      <c r="Y178" s="9"/>
      <c r="Z178" s="7">
        <v>27259.68</v>
      </c>
      <c r="AA178" s="8">
        <f>IFERROR(Z178/Z444, "NA")</f>
        <v>5.5363587160623166E-2</v>
      </c>
      <c r="AB178" s="9"/>
      <c r="AC178" s="10">
        <f t="shared" si="47"/>
        <v>0</v>
      </c>
      <c r="AD178" s="8">
        <f>IFERROR(AC178/AC444, "NA")</f>
        <v>0</v>
      </c>
    </row>
    <row r="179" spans="1:30" ht="16.5" hidden="1" customHeight="1" x14ac:dyDescent="0.45">
      <c r="A179" s="12" t="s">
        <v>164</v>
      </c>
      <c r="B179" s="7">
        <v>0</v>
      </c>
      <c r="C179" s="8">
        <f>IFERROR(B179/B444, "NA")</f>
        <v>0</v>
      </c>
      <c r="D179" s="9"/>
      <c r="E179" s="7">
        <v>0</v>
      </c>
      <c r="F179" s="8">
        <f>IFERROR(E179/E444, "NA")</f>
        <v>0</v>
      </c>
      <c r="G179" s="9"/>
      <c r="H179" s="10">
        <f t="shared" si="44"/>
        <v>0</v>
      </c>
      <c r="I179" s="8">
        <f>IFERROR(H179/H444, "NA")</f>
        <v>0</v>
      </c>
      <c r="J179" s="9"/>
      <c r="K179" s="7">
        <v>0</v>
      </c>
      <c r="L179" s="8">
        <f>IFERROR(K179/K444, "NA")</f>
        <v>0</v>
      </c>
      <c r="M179" s="9"/>
      <c r="N179" s="10">
        <f t="shared" si="45"/>
        <v>0</v>
      </c>
      <c r="O179" s="8">
        <f>IFERROR(N179/N444, "NA")</f>
        <v>0</v>
      </c>
      <c r="P179" s="9"/>
      <c r="Q179" s="7">
        <v>0</v>
      </c>
      <c r="R179" s="8">
        <f>IFERROR(Q179/Q444, "NA")</f>
        <v>0</v>
      </c>
      <c r="S179" s="9"/>
      <c r="T179" s="7">
        <v>0</v>
      </c>
      <c r="U179" s="8">
        <f>IFERROR(T179/T444, "NA")</f>
        <v>0</v>
      </c>
      <c r="V179" s="9"/>
      <c r="W179" s="10">
        <f t="shared" si="46"/>
        <v>0</v>
      </c>
      <c r="X179" s="8">
        <f>IFERROR(W179/W444, "NA")</f>
        <v>0</v>
      </c>
      <c r="Y179" s="9"/>
      <c r="Z179" s="7">
        <v>0</v>
      </c>
      <c r="AA179" s="8">
        <f>IFERROR(Z179/Z444, "NA")</f>
        <v>0</v>
      </c>
      <c r="AB179" s="9"/>
      <c r="AC179" s="10">
        <f t="shared" si="47"/>
        <v>0</v>
      </c>
      <c r="AD179" s="8">
        <f>IFERROR(AC179/AC444, "NA")</f>
        <v>0</v>
      </c>
    </row>
    <row r="180" spans="1:30" ht="16.5" customHeight="1" x14ac:dyDescent="0.45">
      <c r="A180" s="12" t="s">
        <v>165</v>
      </c>
      <c r="B180" s="7">
        <v>23415.52</v>
      </c>
      <c r="C180" s="8">
        <f>IFERROR(B180/B444, "NA")</f>
        <v>0.203585423555219</v>
      </c>
      <c r="D180" s="9"/>
      <c r="E180" s="7">
        <v>26453.48</v>
      </c>
      <c r="F180" s="8">
        <f>IFERROR(E180/E444, "NA")</f>
        <v>0.19800003607692349</v>
      </c>
      <c r="G180" s="9"/>
      <c r="H180" s="10">
        <f t="shared" si="44"/>
        <v>3037.9599999999991</v>
      </c>
      <c r="I180" s="8">
        <f>IFERROR(H180/H444, "NA")</f>
        <v>-0.16343917567037564</v>
      </c>
      <c r="J180" s="9"/>
      <c r="K180" s="7">
        <v>23633.34</v>
      </c>
      <c r="L180" s="8">
        <f>IFERROR(K180/K444, "NA")</f>
        <v>0.20873223553750977</v>
      </c>
      <c r="M180" s="9"/>
      <c r="N180" s="10">
        <f t="shared" si="45"/>
        <v>217.81999999999971</v>
      </c>
      <c r="O180" s="8">
        <f>IFERROR(N180/N444, "NA")</f>
        <v>0.12152014549836576</v>
      </c>
      <c r="P180" s="9"/>
      <c r="Q180" s="7">
        <v>113732.72</v>
      </c>
      <c r="R180" s="8">
        <f>IFERROR(Q180/Q444, "NA")</f>
        <v>0.2046408881212935</v>
      </c>
      <c r="S180" s="9"/>
      <c r="T180" s="7">
        <v>120646.99</v>
      </c>
      <c r="U180" s="8">
        <f>IFERROR(T180/T444, "NA")</f>
        <v>0.21227536826076632</v>
      </c>
      <c r="V180" s="9"/>
      <c r="W180" s="10">
        <f t="shared" si="46"/>
        <v>6914.2700000000041</v>
      </c>
      <c r="X180" s="8">
        <f>IFERROR(W180/W444, "NA")</f>
        <v>-0.54944886407432914</v>
      </c>
      <c r="Y180" s="9"/>
      <c r="Z180" s="7">
        <v>116792.7</v>
      </c>
      <c r="AA180" s="8">
        <f>IFERROR(Z180/Z444, "NA")</f>
        <v>0.23720244794416198</v>
      </c>
      <c r="AB180" s="9"/>
      <c r="AC180" s="10">
        <f t="shared" si="47"/>
        <v>3059.9799999999959</v>
      </c>
      <c r="AD180" s="8">
        <f>IFERROR(AC180/AC444, "NA")</f>
        <v>4.8270972928325613E-2</v>
      </c>
    </row>
    <row r="181" spans="1:30" ht="16.5" customHeight="1" x14ac:dyDescent="0.45">
      <c r="A181" s="12" t="s">
        <v>166</v>
      </c>
      <c r="B181" s="7">
        <v>369.36</v>
      </c>
      <c r="C181" s="8">
        <f>IFERROR(B181/B444, "NA")</f>
        <v>3.2113876627277841E-3</v>
      </c>
      <c r="D181" s="9"/>
      <c r="E181" s="7">
        <v>0</v>
      </c>
      <c r="F181" s="8">
        <f>IFERROR(E181/E444, "NA")</f>
        <v>0</v>
      </c>
      <c r="G181" s="9"/>
      <c r="H181" s="10">
        <f t="shared" si="44"/>
        <v>-369.36</v>
      </c>
      <c r="I181" s="8">
        <f>IFERROR(H181/H444, "NA")</f>
        <v>1.9871194461286511E-2</v>
      </c>
      <c r="J181" s="9"/>
      <c r="K181" s="7">
        <v>25.08</v>
      </c>
      <c r="L181" s="8">
        <f>IFERROR(K181/K444, "NA")</f>
        <v>2.2150929438161281E-4</v>
      </c>
      <c r="M181" s="9"/>
      <c r="N181" s="10">
        <f t="shared" si="45"/>
        <v>-344.28000000000003</v>
      </c>
      <c r="O181" s="8">
        <f>IFERROR(N181/N444, "NA")</f>
        <v>-0.19207123171507404</v>
      </c>
      <c r="P181" s="9"/>
      <c r="Q181" s="7">
        <v>469.97</v>
      </c>
      <c r="R181" s="8">
        <f>IFERROR(Q181/Q444, "NA")</f>
        <v>8.4562365333708993E-4</v>
      </c>
      <c r="S181" s="9"/>
      <c r="T181" s="7">
        <v>0</v>
      </c>
      <c r="U181" s="8">
        <f>IFERROR(T181/T444, "NA")</f>
        <v>0</v>
      </c>
      <c r="V181" s="9"/>
      <c r="W181" s="10">
        <f t="shared" si="46"/>
        <v>-469.97</v>
      </c>
      <c r="X181" s="8">
        <f>IFERROR(W181/W444, "NA")</f>
        <v>3.7346600964239515E-2</v>
      </c>
      <c r="Y181" s="9"/>
      <c r="Z181" s="7">
        <v>517.42999999999995</v>
      </c>
      <c r="AA181" s="8">
        <f>IFERROR(Z181/Z444, "NA")</f>
        <v>1.050884709744254E-3</v>
      </c>
      <c r="AB181" s="9"/>
      <c r="AC181" s="10">
        <f t="shared" si="47"/>
        <v>47.459999999999923</v>
      </c>
      <c r="AD181" s="8">
        <f>IFERROR(AC181/AC444, "NA")</f>
        <v>7.4867821854336723E-4</v>
      </c>
    </row>
    <row r="182" spans="1:30" ht="16.5" customHeight="1" x14ac:dyDescent="0.45">
      <c r="A182" s="13" t="s">
        <v>167</v>
      </c>
      <c r="B182" s="14">
        <f>IFERROR(B177+B178+B179+B180+B181, "NA")</f>
        <v>28977.200000000001</v>
      </c>
      <c r="C182" s="15">
        <f>IFERROR(B182/B444, "NA")</f>
        <v>0.25194125671538758</v>
      </c>
      <c r="D182" s="2"/>
      <c r="E182" s="14">
        <f>IFERROR(E177+E178+E179+E180+E181, "NA")</f>
        <v>31915.02</v>
      </c>
      <c r="F182" s="15">
        <f>IFERROR(E182/E444, "NA")</f>
        <v>0.23887878310890417</v>
      </c>
      <c r="G182" s="2"/>
      <c r="H182" s="14">
        <f t="shared" si="44"/>
        <v>2937.8199999999997</v>
      </c>
      <c r="I182" s="15">
        <f>IFERROR(H182/H444, "NA")</f>
        <v>-0.15805174494329849</v>
      </c>
      <c r="J182" s="2"/>
      <c r="K182" s="14">
        <f>IFERROR(K177+K178+K179+K180+K181, "NA")</f>
        <v>28850.74</v>
      </c>
      <c r="L182" s="15">
        <f>IFERROR(K182/K444, "NA")</f>
        <v>0.25481288117174533</v>
      </c>
      <c r="M182" s="2"/>
      <c r="N182" s="14">
        <f t="shared" si="45"/>
        <v>-126.45999999999913</v>
      </c>
      <c r="O182" s="15">
        <f>IFERROR(N182/N444, "NA")</f>
        <v>-7.0551086216707595E-2</v>
      </c>
      <c r="P182" s="2"/>
      <c r="Q182" s="14">
        <f>IFERROR(Q177+Q178+Q179+Q180+Q181, "NA")</f>
        <v>141462.37</v>
      </c>
      <c r="R182" s="15">
        <f>IFERROR(Q182/Q444, "NA")</f>
        <v>0.25453523869422123</v>
      </c>
      <c r="S182" s="2"/>
      <c r="T182" s="14">
        <f>IFERROR(T177+T178+T179+T180+T181, "NA")</f>
        <v>149320.07</v>
      </c>
      <c r="U182" s="15">
        <f>IFERROR(T182/T444, "NA")</f>
        <v>0.26272493700815419</v>
      </c>
      <c r="V182" s="2"/>
      <c r="W182" s="14">
        <f t="shared" si="46"/>
        <v>7857.7000000000116</v>
      </c>
      <c r="X182" s="15">
        <f>IFERROR(W182/W444, "NA")</f>
        <v>-0.62441940208248448</v>
      </c>
      <c r="Y182" s="2"/>
      <c r="Z182" s="14">
        <f>IFERROR(Z177+Z178+Z179+Z180+Z181, "NA")</f>
        <v>144569.81</v>
      </c>
      <c r="AA182" s="15">
        <f>IFERROR(Z182/Z444, "NA")</f>
        <v>0.29361691981452942</v>
      </c>
      <c r="AB182" s="2"/>
      <c r="AC182" s="14">
        <f t="shared" si="47"/>
        <v>3107.4400000000023</v>
      </c>
      <c r="AD182" s="15">
        <f>IFERROR(AC182/AC444, "NA")</f>
        <v>4.9019651146869084E-2</v>
      </c>
    </row>
    <row r="183" spans="1:30" ht="16.5" hidden="1" customHeight="1" x14ac:dyDescent="0.45">
      <c r="A183" s="6" t="s">
        <v>168</v>
      </c>
      <c r="B183" s="7">
        <v>0</v>
      </c>
      <c r="C183" s="8">
        <f>IFERROR(B183/B444, "NA")</f>
        <v>0</v>
      </c>
      <c r="D183" s="9"/>
      <c r="E183" s="7">
        <v>0</v>
      </c>
      <c r="F183" s="8">
        <f>IFERROR(E183/E444, "NA")</f>
        <v>0</v>
      </c>
      <c r="G183" s="9"/>
      <c r="H183" s="10">
        <f t="shared" si="44"/>
        <v>0</v>
      </c>
      <c r="I183" s="8">
        <f>IFERROR(H183/H444, "NA")</f>
        <v>0</v>
      </c>
      <c r="J183" s="9"/>
      <c r="K183" s="7">
        <v>0</v>
      </c>
      <c r="L183" s="8">
        <f>IFERROR(K183/K444, "NA")</f>
        <v>0</v>
      </c>
      <c r="M183" s="9"/>
      <c r="N183" s="10">
        <f t="shared" si="45"/>
        <v>0</v>
      </c>
      <c r="O183" s="8">
        <f>IFERROR(N183/N444, "NA")</f>
        <v>0</v>
      </c>
      <c r="P183" s="9"/>
      <c r="Q183" s="7">
        <v>0</v>
      </c>
      <c r="R183" s="8">
        <f>IFERROR(Q183/Q444, "NA")</f>
        <v>0</v>
      </c>
      <c r="S183" s="9"/>
      <c r="T183" s="7">
        <v>0</v>
      </c>
      <c r="U183" s="8">
        <f>IFERROR(T183/T444, "NA")</f>
        <v>0</v>
      </c>
      <c r="V183" s="9"/>
      <c r="W183" s="10">
        <f t="shared" si="46"/>
        <v>0</v>
      </c>
      <c r="X183" s="8">
        <f>IFERROR(W183/W444, "NA")</f>
        <v>0</v>
      </c>
      <c r="Y183" s="9"/>
      <c r="Z183" s="7">
        <v>0</v>
      </c>
      <c r="AA183" s="8">
        <f>IFERROR(Z183/Z444, "NA")</f>
        <v>0</v>
      </c>
      <c r="AB183" s="9"/>
      <c r="AC183" s="10">
        <f t="shared" si="47"/>
        <v>0</v>
      </c>
      <c r="AD183" s="8">
        <f>IFERROR(AC183/AC444, "NA")</f>
        <v>0</v>
      </c>
    </row>
    <row r="184" spans="1:30" ht="16.5" customHeight="1" x14ac:dyDescent="0.45">
      <c r="A184" s="6" t="s">
        <v>169</v>
      </c>
      <c r="B184" s="7">
        <v>500</v>
      </c>
      <c r="C184" s="8">
        <f>IFERROR(B184/B444, "NA")</f>
        <v>4.3472325952022203E-3</v>
      </c>
      <c r="D184" s="9"/>
      <c r="E184" s="7">
        <v>500</v>
      </c>
      <c r="F184" s="8">
        <f>IFERROR(E184/E444, "NA")</f>
        <v>3.7424194487251485E-3</v>
      </c>
      <c r="G184" s="9"/>
      <c r="H184" s="10">
        <f t="shared" si="44"/>
        <v>0</v>
      </c>
      <c r="I184" s="8">
        <f>IFERROR(H184/H444, "NA")</f>
        <v>0</v>
      </c>
      <c r="J184" s="9"/>
      <c r="K184" s="7">
        <v>300</v>
      </c>
      <c r="L184" s="8">
        <f>IFERROR(K184/K444, "NA")</f>
        <v>2.6496327079140289E-3</v>
      </c>
      <c r="M184" s="9"/>
      <c r="N184" s="10">
        <f t="shared" si="45"/>
        <v>-200</v>
      </c>
      <c r="O184" s="8">
        <f>IFERROR(N184/N444, "NA")</f>
        <v>-0.11157850105441734</v>
      </c>
      <c r="P184" s="9"/>
      <c r="Q184" s="7">
        <v>2500</v>
      </c>
      <c r="R184" s="8">
        <f>IFERROR(Q184/Q444, "NA")</f>
        <v>4.4982852806407314E-3</v>
      </c>
      <c r="S184" s="9"/>
      <c r="T184" s="7">
        <v>2500</v>
      </c>
      <c r="U184" s="8">
        <f>IFERROR(T184/T444, "NA")</f>
        <v>4.3986876146012077E-3</v>
      </c>
      <c r="V184" s="9"/>
      <c r="W184" s="10">
        <f t="shared" si="46"/>
        <v>0</v>
      </c>
      <c r="X184" s="8">
        <f>IFERROR(W184/W444, "NA")</f>
        <v>0</v>
      </c>
      <c r="Y184" s="9"/>
      <c r="Z184" s="7">
        <v>1100</v>
      </c>
      <c r="AA184" s="8">
        <f>IFERROR(Z184/Z444, "NA")</f>
        <v>2.2340667930322543E-3</v>
      </c>
      <c r="AB184" s="9"/>
      <c r="AC184" s="10">
        <f t="shared" si="47"/>
        <v>-1400</v>
      </c>
      <c r="AD184" s="8">
        <f>IFERROR(AC184/AC444, "NA")</f>
        <v>-2.2084903201869274E-2</v>
      </c>
    </row>
    <row r="185" spans="1:30" ht="16.5" customHeight="1" x14ac:dyDescent="0.45">
      <c r="A185" s="11" t="s">
        <v>170</v>
      </c>
      <c r="B185" s="2"/>
      <c r="C185" s="3"/>
      <c r="D185" s="4"/>
      <c r="E185" s="2"/>
      <c r="F185" s="3"/>
      <c r="G185" s="4"/>
      <c r="H185" s="2"/>
      <c r="I185" s="3"/>
      <c r="J185" s="4"/>
      <c r="K185" s="2"/>
      <c r="L185" s="3"/>
      <c r="M185" s="4"/>
      <c r="N185" s="2"/>
      <c r="O185" s="3"/>
      <c r="P185" s="4"/>
      <c r="Q185" s="2"/>
      <c r="R185" s="3"/>
      <c r="S185" s="4"/>
      <c r="T185" s="2"/>
      <c r="U185" s="3"/>
      <c r="V185" s="4"/>
      <c r="W185" s="2"/>
      <c r="X185" s="3"/>
      <c r="Y185" s="4"/>
      <c r="Z185" s="2"/>
      <c r="AA185" s="3"/>
      <c r="AB185" s="4"/>
      <c r="AC185" s="2"/>
      <c r="AD185" s="3"/>
    </row>
    <row r="186" spans="1:30" ht="16.5" customHeight="1" x14ac:dyDescent="0.45">
      <c r="A186" s="12" t="s">
        <v>170</v>
      </c>
      <c r="B186" s="7">
        <v>2626.36</v>
      </c>
      <c r="C186" s="8">
        <f>IFERROR(B186/B444, "NA")</f>
        <v>2.2834795597470609E-2</v>
      </c>
      <c r="D186" s="9"/>
      <c r="E186" s="7">
        <v>3228.7</v>
      </c>
      <c r="F186" s="8">
        <f>IFERROR(E186/E444, "NA")</f>
        <v>2.4166299348197771E-2</v>
      </c>
      <c r="G186" s="9"/>
      <c r="H186" s="10">
        <f t="shared" ref="H186:H197" si="48">IFERROR(-(B186-E186), "NA")</f>
        <v>602.33999999999969</v>
      </c>
      <c r="I186" s="8">
        <f>IFERROR(H186/H444, "NA")</f>
        <v>-3.2405282845493044E-2</v>
      </c>
      <c r="J186" s="9"/>
      <c r="K186" s="7">
        <v>2815.44</v>
      </c>
      <c r="L186" s="8">
        <f>IFERROR(K186/K444, "NA")</f>
        <v>2.4866273037231577E-2</v>
      </c>
      <c r="M186" s="9"/>
      <c r="N186" s="10">
        <f t="shared" ref="N186:N197" si="49">IFERROR(-(B186-K186), "NA")</f>
        <v>189.07999999999993</v>
      </c>
      <c r="O186" s="8">
        <f>IFERROR(N186/N444, "NA")</f>
        <v>0.10548631489684611</v>
      </c>
      <c r="P186" s="9"/>
      <c r="Q186" s="7">
        <v>13154.4</v>
      </c>
      <c r="R186" s="8">
        <f>IFERROR(Q186/Q444, "NA")</f>
        <v>2.3668897558264176E-2</v>
      </c>
      <c r="S186" s="9"/>
      <c r="T186" s="7">
        <v>17600.18</v>
      </c>
      <c r="U186" s="8">
        <f>IFERROR(T186/T444, "NA")</f>
        <v>3.0967077512300756E-2</v>
      </c>
      <c r="V186" s="9"/>
      <c r="W186" s="10">
        <f t="shared" ref="W186:W197" si="50">IFERROR(-(Q186-T186), "NA")</f>
        <v>4445.7800000000007</v>
      </c>
      <c r="X186" s="8">
        <f>IFERROR(W186/W444, "NA")</f>
        <v>-0.35328802186266517</v>
      </c>
      <c r="Y186" s="9"/>
      <c r="Z186" s="7">
        <v>15919.55</v>
      </c>
      <c r="AA186" s="8">
        <f>IFERROR(Z186/Z444, "NA")</f>
        <v>3.2332125468196929E-2</v>
      </c>
      <c r="AB186" s="9"/>
      <c r="AC186" s="10">
        <f t="shared" ref="AC186:AC197" si="51">IFERROR(-(Q186-Z186), "NA")</f>
        <v>2765.1499999999996</v>
      </c>
      <c r="AD186" s="8">
        <f>IFERROR(AC186/AC444, "NA")</f>
        <v>4.3620050063320585E-2</v>
      </c>
    </row>
    <row r="187" spans="1:30" ht="16.5" customHeight="1" x14ac:dyDescent="0.45">
      <c r="A187" s="12" t="s">
        <v>171</v>
      </c>
      <c r="B187" s="7">
        <v>0</v>
      </c>
      <c r="C187" s="8">
        <f>IFERROR(B187/B444, "NA")</f>
        <v>0</v>
      </c>
      <c r="D187" s="9"/>
      <c r="E187" s="7">
        <v>0</v>
      </c>
      <c r="F187" s="8">
        <f>IFERROR(E187/E444, "NA")</f>
        <v>0</v>
      </c>
      <c r="G187" s="9"/>
      <c r="H187" s="10">
        <f t="shared" si="48"/>
        <v>0</v>
      </c>
      <c r="I187" s="8">
        <f>IFERROR(H187/H444, "NA")</f>
        <v>0</v>
      </c>
      <c r="J187" s="9"/>
      <c r="K187" s="7">
        <v>0.01</v>
      </c>
      <c r="L187" s="8">
        <f>IFERROR(K187/K444, "NA")</f>
        <v>8.832109026380097E-8</v>
      </c>
      <c r="M187" s="9"/>
      <c r="N187" s="10">
        <f t="shared" si="49"/>
        <v>0.01</v>
      </c>
      <c r="O187" s="8">
        <f>IFERROR(N187/N444, "NA")</f>
        <v>5.5789250527208673E-6</v>
      </c>
      <c r="P187" s="9"/>
      <c r="Q187" s="7">
        <v>0</v>
      </c>
      <c r="R187" s="8">
        <f>IFERROR(Q187/Q444, "NA")</f>
        <v>0</v>
      </c>
      <c r="S187" s="9"/>
      <c r="T187" s="7">
        <v>0</v>
      </c>
      <c r="U187" s="8">
        <f>IFERROR(T187/T444, "NA")</f>
        <v>0</v>
      </c>
      <c r="V187" s="9"/>
      <c r="W187" s="10">
        <f t="shared" si="50"/>
        <v>0</v>
      </c>
      <c r="X187" s="8">
        <f>IFERROR(W187/W444, "NA")</f>
        <v>0</v>
      </c>
      <c r="Y187" s="9"/>
      <c r="Z187" s="7">
        <v>0.02</v>
      </c>
      <c r="AA187" s="8">
        <f>IFERROR(Z187/Z444, "NA")</f>
        <v>4.0619396236950084E-8</v>
      </c>
      <c r="AB187" s="9"/>
      <c r="AC187" s="10">
        <f t="shared" si="51"/>
        <v>0.02</v>
      </c>
      <c r="AD187" s="8">
        <f>IFERROR(AC187/AC444, "NA")</f>
        <v>3.1549861716956107E-7</v>
      </c>
    </row>
    <row r="188" spans="1:30" ht="16.5" hidden="1" customHeight="1" x14ac:dyDescent="0.45">
      <c r="A188" s="12" t="s">
        <v>172</v>
      </c>
      <c r="B188" s="7">
        <v>0</v>
      </c>
      <c r="C188" s="8">
        <f>IFERROR(B188/B444, "NA")</f>
        <v>0</v>
      </c>
      <c r="D188" s="9"/>
      <c r="E188" s="7">
        <v>0</v>
      </c>
      <c r="F188" s="8">
        <f>IFERROR(E188/E444, "NA")</f>
        <v>0</v>
      </c>
      <c r="G188" s="9"/>
      <c r="H188" s="10">
        <f t="shared" si="48"/>
        <v>0</v>
      </c>
      <c r="I188" s="8">
        <f>IFERROR(H188/H444, "NA")</f>
        <v>0</v>
      </c>
      <c r="J188" s="9"/>
      <c r="K188" s="7">
        <v>0</v>
      </c>
      <c r="L188" s="8">
        <f>IFERROR(K188/K444, "NA")</f>
        <v>0</v>
      </c>
      <c r="M188" s="9"/>
      <c r="N188" s="10">
        <f t="shared" si="49"/>
        <v>0</v>
      </c>
      <c r="O188" s="8">
        <f>IFERROR(N188/N444, "NA")</f>
        <v>0</v>
      </c>
      <c r="P188" s="9"/>
      <c r="Q188" s="7">
        <v>0</v>
      </c>
      <c r="R188" s="8">
        <f>IFERROR(Q188/Q444, "NA")</f>
        <v>0</v>
      </c>
      <c r="S188" s="9"/>
      <c r="T188" s="7">
        <v>0</v>
      </c>
      <c r="U188" s="8">
        <f>IFERROR(T188/T444, "NA")</f>
        <v>0</v>
      </c>
      <c r="V188" s="9"/>
      <c r="W188" s="10">
        <f t="shared" si="50"/>
        <v>0</v>
      </c>
      <c r="X188" s="8">
        <f>IFERROR(W188/W444, "NA")</f>
        <v>0</v>
      </c>
      <c r="Y188" s="9"/>
      <c r="Z188" s="7">
        <v>0</v>
      </c>
      <c r="AA188" s="8">
        <f>IFERROR(Z188/Z444, "NA")</f>
        <v>0</v>
      </c>
      <c r="AB188" s="9"/>
      <c r="AC188" s="10">
        <f t="shared" si="51"/>
        <v>0</v>
      </c>
      <c r="AD188" s="8">
        <f>IFERROR(AC188/AC444, "NA")</f>
        <v>0</v>
      </c>
    </row>
    <row r="189" spans="1:30" ht="16.5" hidden="1" customHeight="1" x14ac:dyDescent="0.45">
      <c r="A189" s="12" t="s">
        <v>173</v>
      </c>
      <c r="B189" s="7">
        <v>0</v>
      </c>
      <c r="C189" s="8">
        <f>IFERROR(B189/B444, "NA")</f>
        <v>0</v>
      </c>
      <c r="D189" s="9"/>
      <c r="E189" s="7">
        <v>0</v>
      </c>
      <c r="F189" s="8">
        <f>IFERROR(E189/E444, "NA")</f>
        <v>0</v>
      </c>
      <c r="G189" s="9"/>
      <c r="H189" s="10">
        <f t="shared" si="48"/>
        <v>0</v>
      </c>
      <c r="I189" s="8">
        <f>IFERROR(H189/H444, "NA")</f>
        <v>0</v>
      </c>
      <c r="J189" s="9"/>
      <c r="K189" s="7">
        <v>0</v>
      </c>
      <c r="L189" s="8">
        <f>IFERROR(K189/K444, "NA")</f>
        <v>0</v>
      </c>
      <c r="M189" s="9"/>
      <c r="N189" s="10">
        <f t="shared" si="49"/>
        <v>0</v>
      </c>
      <c r="O189" s="8">
        <f>IFERROR(N189/N444, "NA")</f>
        <v>0</v>
      </c>
      <c r="P189" s="9"/>
      <c r="Q189" s="7">
        <v>0</v>
      </c>
      <c r="R189" s="8">
        <f>IFERROR(Q189/Q444, "NA")</f>
        <v>0</v>
      </c>
      <c r="S189" s="9"/>
      <c r="T189" s="7">
        <v>0</v>
      </c>
      <c r="U189" s="8">
        <f>IFERROR(T189/T444, "NA")</f>
        <v>0</v>
      </c>
      <c r="V189" s="9"/>
      <c r="W189" s="10">
        <f t="shared" si="50"/>
        <v>0</v>
      </c>
      <c r="X189" s="8">
        <f>IFERROR(W189/W444, "NA")</f>
        <v>0</v>
      </c>
      <c r="Y189" s="9"/>
      <c r="Z189" s="7">
        <v>0</v>
      </c>
      <c r="AA189" s="8">
        <f>IFERROR(Z189/Z444, "NA")</f>
        <v>0</v>
      </c>
      <c r="AB189" s="9"/>
      <c r="AC189" s="10">
        <f t="shared" si="51"/>
        <v>0</v>
      </c>
      <c r="AD189" s="8">
        <f>IFERROR(AC189/AC444, "NA")</f>
        <v>0</v>
      </c>
    </row>
    <row r="190" spans="1:30" ht="16.5" hidden="1" customHeight="1" x14ac:dyDescent="0.45">
      <c r="A190" s="12" t="s">
        <v>174</v>
      </c>
      <c r="B190" s="7">
        <v>0</v>
      </c>
      <c r="C190" s="8">
        <f>IFERROR(B190/B444, "NA")</f>
        <v>0</v>
      </c>
      <c r="D190" s="9"/>
      <c r="E190" s="7">
        <v>0</v>
      </c>
      <c r="F190" s="8">
        <f>IFERROR(E190/E444, "NA")</f>
        <v>0</v>
      </c>
      <c r="G190" s="9"/>
      <c r="H190" s="10">
        <f t="shared" si="48"/>
        <v>0</v>
      </c>
      <c r="I190" s="8">
        <f>IFERROR(H190/H444, "NA")</f>
        <v>0</v>
      </c>
      <c r="J190" s="9"/>
      <c r="K190" s="7">
        <v>0</v>
      </c>
      <c r="L190" s="8">
        <f>IFERROR(K190/K444, "NA")</f>
        <v>0</v>
      </c>
      <c r="M190" s="9"/>
      <c r="N190" s="10">
        <f t="shared" si="49"/>
        <v>0</v>
      </c>
      <c r="O190" s="8">
        <f>IFERROR(N190/N444, "NA")</f>
        <v>0</v>
      </c>
      <c r="P190" s="9"/>
      <c r="Q190" s="7">
        <v>0</v>
      </c>
      <c r="R190" s="8">
        <f>IFERROR(Q190/Q444, "NA")</f>
        <v>0</v>
      </c>
      <c r="S190" s="9"/>
      <c r="T190" s="7">
        <v>0</v>
      </c>
      <c r="U190" s="8">
        <f>IFERROR(T190/T444, "NA")</f>
        <v>0</v>
      </c>
      <c r="V190" s="9"/>
      <c r="W190" s="10">
        <f t="shared" si="50"/>
        <v>0</v>
      </c>
      <c r="X190" s="8">
        <f>IFERROR(W190/W444, "NA")</f>
        <v>0</v>
      </c>
      <c r="Y190" s="9"/>
      <c r="Z190" s="7">
        <v>0</v>
      </c>
      <c r="AA190" s="8">
        <f>IFERROR(Z190/Z444, "NA")</f>
        <v>0</v>
      </c>
      <c r="AB190" s="9"/>
      <c r="AC190" s="10">
        <f t="shared" si="51"/>
        <v>0</v>
      </c>
      <c r="AD190" s="8">
        <f>IFERROR(AC190/AC444, "NA")</f>
        <v>0</v>
      </c>
    </row>
    <row r="191" spans="1:30" ht="16.5" hidden="1" customHeight="1" x14ac:dyDescent="0.45">
      <c r="A191" s="12" t="s">
        <v>175</v>
      </c>
      <c r="B191" s="7">
        <v>0</v>
      </c>
      <c r="C191" s="8">
        <f>IFERROR(B191/B444, "NA")</f>
        <v>0</v>
      </c>
      <c r="D191" s="9"/>
      <c r="E191" s="7">
        <v>0</v>
      </c>
      <c r="F191" s="8">
        <f>IFERROR(E191/E444, "NA")</f>
        <v>0</v>
      </c>
      <c r="G191" s="9"/>
      <c r="H191" s="10">
        <f t="shared" si="48"/>
        <v>0</v>
      </c>
      <c r="I191" s="8">
        <f>IFERROR(H191/H444, "NA")</f>
        <v>0</v>
      </c>
      <c r="J191" s="9"/>
      <c r="K191" s="7">
        <v>0</v>
      </c>
      <c r="L191" s="8">
        <f>IFERROR(K191/K444, "NA")</f>
        <v>0</v>
      </c>
      <c r="M191" s="9"/>
      <c r="N191" s="10">
        <f t="shared" si="49"/>
        <v>0</v>
      </c>
      <c r="O191" s="8">
        <f>IFERROR(N191/N444, "NA")</f>
        <v>0</v>
      </c>
      <c r="P191" s="9"/>
      <c r="Q191" s="7">
        <v>0</v>
      </c>
      <c r="R191" s="8">
        <f>IFERROR(Q191/Q444, "NA")</f>
        <v>0</v>
      </c>
      <c r="S191" s="9"/>
      <c r="T191" s="7">
        <v>0</v>
      </c>
      <c r="U191" s="8">
        <f>IFERROR(T191/T444, "NA")</f>
        <v>0</v>
      </c>
      <c r="V191" s="9"/>
      <c r="W191" s="10">
        <f t="shared" si="50"/>
        <v>0</v>
      </c>
      <c r="X191" s="8">
        <f>IFERROR(W191/W444, "NA")</f>
        <v>0</v>
      </c>
      <c r="Y191" s="9"/>
      <c r="Z191" s="7">
        <v>0</v>
      </c>
      <c r="AA191" s="8">
        <f>IFERROR(Z191/Z444, "NA")</f>
        <v>0</v>
      </c>
      <c r="AB191" s="9"/>
      <c r="AC191" s="10">
        <f t="shared" si="51"/>
        <v>0</v>
      </c>
      <c r="AD191" s="8">
        <f>IFERROR(AC191/AC444, "NA")</f>
        <v>0</v>
      </c>
    </row>
    <row r="192" spans="1:30" ht="16.5" hidden="1" customHeight="1" x14ac:dyDescent="0.45">
      <c r="A192" s="12" t="s">
        <v>176</v>
      </c>
      <c r="B192" s="7">
        <v>0</v>
      </c>
      <c r="C192" s="8">
        <f>IFERROR(B192/B444, "NA")</f>
        <v>0</v>
      </c>
      <c r="D192" s="9"/>
      <c r="E192" s="7">
        <v>0</v>
      </c>
      <c r="F192" s="8">
        <f>IFERROR(E192/E444, "NA")</f>
        <v>0</v>
      </c>
      <c r="G192" s="9"/>
      <c r="H192" s="10">
        <f t="shared" si="48"/>
        <v>0</v>
      </c>
      <c r="I192" s="8">
        <f>IFERROR(H192/H444, "NA")</f>
        <v>0</v>
      </c>
      <c r="J192" s="9"/>
      <c r="K192" s="7">
        <v>0</v>
      </c>
      <c r="L192" s="8">
        <f>IFERROR(K192/K444, "NA")</f>
        <v>0</v>
      </c>
      <c r="M192" s="9"/>
      <c r="N192" s="10">
        <f t="shared" si="49"/>
        <v>0</v>
      </c>
      <c r="O192" s="8">
        <f>IFERROR(N192/N444, "NA")</f>
        <v>0</v>
      </c>
      <c r="P192" s="9"/>
      <c r="Q192" s="7">
        <v>0</v>
      </c>
      <c r="R192" s="8">
        <f>IFERROR(Q192/Q444, "NA")</f>
        <v>0</v>
      </c>
      <c r="S192" s="9"/>
      <c r="T192" s="7">
        <v>0</v>
      </c>
      <c r="U192" s="8">
        <f>IFERROR(T192/T444, "NA")</f>
        <v>0</v>
      </c>
      <c r="V192" s="9"/>
      <c r="W192" s="10">
        <f t="shared" si="50"/>
        <v>0</v>
      </c>
      <c r="X192" s="8">
        <f>IFERROR(W192/W444, "NA")</f>
        <v>0</v>
      </c>
      <c r="Y192" s="9"/>
      <c r="Z192" s="7">
        <v>0</v>
      </c>
      <c r="AA192" s="8">
        <f>IFERROR(Z192/Z444, "NA")</f>
        <v>0</v>
      </c>
      <c r="AB192" s="9"/>
      <c r="AC192" s="10">
        <f t="shared" si="51"/>
        <v>0</v>
      </c>
      <c r="AD192" s="8">
        <f>IFERROR(AC192/AC444, "NA")</f>
        <v>0</v>
      </c>
    </row>
    <row r="193" spans="1:30" ht="16.5" customHeight="1" x14ac:dyDescent="0.45">
      <c r="A193" s="13" t="s">
        <v>177</v>
      </c>
      <c r="B193" s="14">
        <f>IFERROR(B186+B187+B188+B189+B190+B191+B192, "NA")</f>
        <v>2626.36</v>
      </c>
      <c r="C193" s="15">
        <f>IFERROR(B193/B444, "NA")</f>
        <v>2.2834795597470609E-2</v>
      </c>
      <c r="D193" s="2"/>
      <c r="E193" s="14">
        <f>IFERROR(E186+E187+E188+E189+E190+E191+E192, "NA")</f>
        <v>3228.7</v>
      </c>
      <c r="F193" s="15">
        <f>IFERROR(E193/E444, "NA")</f>
        <v>2.4166299348197771E-2</v>
      </c>
      <c r="G193" s="2"/>
      <c r="H193" s="14">
        <f t="shared" si="48"/>
        <v>602.33999999999969</v>
      </c>
      <c r="I193" s="15">
        <f>IFERROR(H193/H444, "NA")</f>
        <v>-3.2405282845493044E-2</v>
      </c>
      <c r="J193" s="2"/>
      <c r="K193" s="14">
        <f>IFERROR(K186+K187+K188+K189+K190+K191+K192, "NA")</f>
        <v>2815.4500000000003</v>
      </c>
      <c r="L193" s="15">
        <f>IFERROR(K193/K444, "NA")</f>
        <v>2.4866361358321844E-2</v>
      </c>
      <c r="M193" s="2"/>
      <c r="N193" s="14">
        <f t="shared" si="49"/>
        <v>189.09000000000015</v>
      </c>
      <c r="O193" s="15">
        <f>IFERROR(N193/N444, "NA")</f>
        <v>0.10549189382189895</v>
      </c>
      <c r="P193" s="2"/>
      <c r="Q193" s="14">
        <f>IFERROR(Q186+Q187+Q188+Q189+Q190+Q191+Q192, "NA")</f>
        <v>13154.4</v>
      </c>
      <c r="R193" s="15">
        <f>IFERROR(Q193/Q444, "NA")</f>
        <v>2.3668897558264176E-2</v>
      </c>
      <c r="S193" s="2"/>
      <c r="T193" s="14">
        <f>IFERROR(T186+T187+T188+T189+T190+T191+T192, "NA")</f>
        <v>17600.18</v>
      </c>
      <c r="U193" s="15">
        <f>IFERROR(T193/T444, "NA")</f>
        <v>3.0967077512300756E-2</v>
      </c>
      <c r="V193" s="2"/>
      <c r="W193" s="14">
        <f t="shared" si="50"/>
        <v>4445.7800000000007</v>
      </c>
      <c r="X193" s="15">
        <f>IFERROR(W193/W444, "NA")</f>
        <v>-0.35328802186266517</v>
      </c>
      <c r="Y193" s="2"/>
      <c r="Z193" s="14">
        <f>IFERROR(Z186+Z187+Z188+Z189+Z190+Z191+Z192, "NA")</f>
        <v>15919.57</v>
      </c>
      <c r="AA193" s="15">
        <f>IFERROR(Z193/Z444, "NA")</f>
        <v>3.2332166087593171E-2</v>
      </c>
      <c r="AB193" s="2"/>
      <c r="AC193" s="14">
        <f t="shared" si="51"/>
        <v>2765.17</v>
      </c>
      <c r="AD193" s="15">
        <f>IFERROR(AC193/AC444, "NA")</f>
        <v>4.3620365561937761E-2</v>
      </c>
    </row>
    <row r="194" spans="1:30" ht="16.5" customHeight="1" x14ac:dyDescent="0.45">
      <c r="A194" s="6" t="s">
        <v>178</v>
      </c>
      <c r="B194" s="7">
        <v>275.60000000000002</v>
      </c>
      <c r="C194" s="8">
        <f>IFERROR(B194/B444, "NA")</f>
        <v>2.396194606475464E-3</v>
      </c>
      <c r="D194" s="9"/>
      <c r="E194" s="7">
        <v>259.32</v>
      </c>
      <c r="F194" s="8">
        <f>IFERROR(E194/E444, "NA")</f>
        <v>1.940968422886811E-3</v>
      </c>
      <c r="G194" s="9"/>
      <c r="H194" s="10">
        <f t="shared" si="48"/>
        <v>-16.28000000000003</v>
      </c>
      <c r="I194" s="8">
        <f>IFERROR(H194/H444, "NA")</f>
        <v>8.75847535818023E-4</v>
      </c>
      <c r="J194" s="9"/>
      <c r="K194" s="7">
        <v>288.32</v>
      </c>
      <c r="L194" s="8">
        <f>IFERROR(K194/K444, "NA")</f>
        <v>2.5464736744859095E-3</v>
      </c>
      <c r="M194" s="9"/>
      <c r="N194" s="10">
        <f t="shared" si="49"/>
        <v>12.71999999999997</v>
      </c>
      <c r="O194" s="8">
        <f>IFERROR(N194/N444, "NA")</f>
        <v>7.0963926670609264E-3</v>
      </c>
      <c r="P194" s="9"/>
      <c r="Q194" s="7">
        <v>1447.56</v>
      </c>
      <c r="R194" s="8">
        <f>IFERROR(Q194/Q444, "NA")</f>
        <v>2.6046151363377191E-3</v>
      </c>
      <c r="S194" s="9"/>
      <c r="T194" s="7">
        <v>1214.57</v>
      </c>
      <c r="U194" s="8">
        <f>IFERROR(T194/T444, "NA")</f>
        <v>2.1370056064264754E-3</v>
      </c>
      <c r="V194" s="9"/>
      <c r="W194" s="10">
        <f t="shared" si="50"/>
        <v>-232.99</v>
      </c>
      <c r="X194" s="8">
        <f>IFERROR(W194/W444, "NA")</f>
        <v>1.8514765960929769E-2</v>
      </c>
      <c r="Y194" s="9"/>
      <c r="Z194" s="7">
        <v>1251.8599999999999</v>
      </c>
      <c r="AA194" s="8">
        <f>IFERROR(Z194/Z444, "NA")</f>
        <v>2.5424898686594163E-3</v>
      </c>
      <c r="AB194" s="9"/>
      <c r="AC194" s="10">
        <f t="shared" si="51"/>
        <v>-195.70000000000005</v>
      </c>
      <c r="AD194" s="8">
        <f>IFERROR(AC194/AC444, "NA")</f>
        <v>-3.087153969004156E-3</v>
      </c>
    </row>
    <row r="195" spans="1:30" ht="16.5" customHeight="1" x14ac:dyDescent="0.45">
      <c r="A195" s="6" t="s">
        <v>179</v>
      </c>
      <c r="B195" s="7">
        <v>871.14</v>
      </c>
      <c r="C195" s="8">
        <f>IFERROR(B195/B444, "NA")</f>
        <v>7.5740964059689241E-3</v>
      </c>
      <c r="D195" s="9"/>
      <c r="E195" s="7">
        <v>226.91</v>
      </c>
      <c r="F195" s="8">
        <f>IFERROR(E195/E444, "NA")</f>
        <v>1.6983847942204468E-3</v>
      </c>
      <c r="G195" s="9"/>
      <c r="H195" s="10">
        <f t="shared" si="48"/>
        <v>-644.23</v>
      </c>
      <c r="I195" s="8">
        <f>IFERROR(H195/H444, "NA")</f>
        <v>3.4658922481575177E-2</v>
      </c>
      <c r="J195" s="9"/>
      <c r="K195" s="7">
        <v>814.17</v>
      </c>
      <c r="L195" s="8">
        <f>IFERROR(K195/K444, "NA")</f>
        <v>7.1908382060078824E-3</v>
      </c>
      <c r="M195" s="9"/>
      <c r="N195" s="10">
        <f t="shared" si="49"/>
        <v>-56.970000000000027</v>
      </c>
      <c r="O195" s="8">
        <f>IFERROR(N195/N444, "NA")</f>
        <v>-3.1783136025350794E-2</v>
      </c>
      <c r="P195" s="9"/>
      <c r="Q195" s="7">
        <v>4399.43</v>
      </c>
      <c r="R195" s="8">
        <f>IFERROR(Q195/Q444, "NA")</f>
        <v>7.9159564848837027E-3</v>
      </c>
      <c r="S195" s="9"/>
      <c r="T195" s="7">
        <v>1062.74</v>
      </c>
      <c r="U195" s="8">
        <f>IFERROR(T195/T444, "NA")</f>
        <v>1.869864510216515E-3</v>
      </c>
      <c r="V195" s="9"/>
      <c r="W195" s="10">
        <f t="shared" si="50"/>
        <v>-3336.6900000000005</v>
      </c>
      <c r="X195" s="8">
        <f>IFERROR(W195/W444, "NA")</f>
        <v>0.26515315865133593</v>
      </c>
      <c r="Y195" s="9"/>
      <c r="Z195" s="7">
        <v>3866.41</v>
      </c>
      <c r="AA195" s="8">
        <f>IFERROR(Z195/Z444, "NA")</f>
        <v>7.8525619902253072E-3</v>
      </c>
      <c r="AB195" s="9"/>
      <c r="AC195" s="10">
        <f t="shared" si="51"/>
        <v>-533.02000000000044</v>
      </c>
      <c r="AD195" s="8">
        <f>IFERROR(AC195/AC444, "NA")</f>
        <v>-8.4083536461859801E-3</v>
      </c>
    </row>
    <row r="196" spans="1:30" ht="16.5" customHeight="1" x14ac:dyDescent="0.45">
      <c r="A196" s="19" t="s">
        <v>180</v>
      </c>
      <c r="B196" s="14">
        <f>IFERROR(B175+B177+B178+B179+B180+B181+B183+B184+B186+B187+B188+B189+B190+B191+B192+B194+B195, "NA")</f>
        <v>33250.300000000003</v>
      </c>
      <c r="C196" s="15">
        <f>IFERROR(B196/B444, "NA")</f>
        <v>0.28909357592050478</v>
      </c>
      <c r="D196" s="2"/>
      <c r="E196" s="14">
        <f>IFERROR(E175+E177+E178+E179+E180+E181+E183+E184+E186+E187+E188+E189+E190+E191+E192+E194+E195, "NA")</f>
        <v>36129.950000000004</v>
      </c>
      <c r="F196" s="15">
        <f>IFERROR(E196/E444, "NA")</f>
        <v>0.27042685512293441</v>
      </c>
      <c r="G196" s="2"/>
      <c r="H196" s="14">
        <f t="shared" si="48"/>
        <v>2879.6500000000015</v>
      </c>
      <c r="I196" s="15">
        <f>IFERROR(H196/H444, "NA")</f>
        <v>-0.15492225777139843</v>
      </c>
      <c r="J196" s="2"/>
      <c r="K196" s="14">
        <f>IFERROR(K175+K177+K178+K179+K180+K181+K183+K184+K186+K187+K188+K189+K190+K191+K192+K194+K195, "NA")</f>
        <v>33068.68</v>
      </c>
      <c r="L196" s="15">
        <f>IFERROR(K196/K444, "NA")</f>
        <v>0.29206618711847498</v>
      </c>
      <c r="M196" s="2"/>
      <c r="N196" s="14">
        <f t="shared" si="49"/>
        <v>-181.62000000000262</v>
      </c>
      <c r="O196" s="15">
        <f>IFERROR(N196/N444, "NA")</f>
        <v>-0.10132443680751785</v>
      </c>
      <c r="P196" s="2"/>
      <c r="Q196" s="14">
        <f>IFERROR(Q175+Q177+Q178+Q179+Q180+Q181+Q183+Q184+Q186+Q187+Q188+Q189+Q190+Q191+Q192+Q194+Q195, "NA")</f>
        <v>162963.75999999998</v>
      </c>
      <c r="R196" s="15">
        <f>IFERROR(Q196/Q444, "NA")</f>
        <v>0.29322299315434752</v>
      </c>
      <c r="S196" s="2"/>
      <c r="T196" s="14">
        <f>IFERROR(T175+T177+T178+T179+T180+T181+T183+T184+T186+T187+T188+T189+T190+T191+T192+T194+T195, "NA")</f>
        <v>171697.56</v>
      </c>
      <c r="U196" s="15">
        <f>IFERROR(T196/T444, "NA")</f>
        <v>0.30209757225169909</v>
      </c>
      <c r="V196" s="2"/>
      <c r="W196" s="14">
        <f t="shared" si="50"/>
        <v>8733.8000000000175</v>
      </c>
      <c r="X196" s="15">
        <f>IFERROR(W196/W444, "NA")</f>
        <v>-0.69403949933288445</v>
      </c>
      <c r="Y196" s="2"/>
      <c r="Z196" s="14">
        <f>IFERROR(Z175+Z177+Z178+Z179+Z180+Z181+Z183+Z184+Z186+Z187+Z188+Z189+Z190+Z191+Z192+Z194+Z195, "NA")</f>
        <v>166707.64999999997</v>
      </c>
      <c r="AA196" s="15">
        <f>IFERROR(Z196/Z444, "NA")</f>
        <v>0.33857820455403947</v>
      </c>
      <c r="AB196" s="2"/>
      <c r="AC196" s="14">
        <f t="shared" si="51"/>
        <v>3743.8899999999849</v>
      </c>
      <c r="AD196" s="15">
        <f>IFERROR(AC196/AC444, "NA")</f>
        <v>5.9059605891747163E-2</v>
      </c>
    </row>
    <row r="197" spans="1:30" ht="16.5" customHeight="1" x14ac:dyDescent="0.45">
      <c r="A197" s="21" t="s">
        <v>180</v>
      </c>
      <c r="B197" s="14">
        <f>IFERROR(B175+B177+B178+B179+B180+B181+B183+B184+B186+B187+B188+B189+B190+B191+B192+B194+B195, "NA")</f>
        <v>33250.300000000003</v>
      </c>
      <c r="C197" s="15">
        <f>IFERROR(B197/B444, "NA")</f>
        <v>0.28909357592050478</v>
      </c>
      <c r="D197" s="2"/>
      <c r="E197" s="14">
        <f>IFERROR(E175+E177+E178+E179+E180+E181+E183+E184+E186+E187+E188+E189+E190+E191+E192+E194+E195, "NA")</f>
        <v>36129.950000000004</v>
      </c>
      <c r="F197" s="15">
        <f>IFERROR(E197/E444, "NA")</f>
        <v>0.27042685512293441</v>
      </c>
      <c r="G197" s="2"/>
      <c r="H197" s="14">
        <f t="shared" si="48"/>
        <v>2879.6500000000015</v>
      </c>
      <c r="I197" s="15">
        <f>IFERROR(H197/H444, "NA")</f>
        <v>-0.15492225777139843</v>
      </c>
      <c r="J197" s="2"/>
      <c r="K197" s="14">
        <f>IFERROR(K175+K177+K178+K179+K180+K181+K183+K184+K186+K187+K188+K189+K190+K191+K192+K194+K195, "NA")</f>
        <v>33068.68</v>
      </c>
      <c r="L197" s="15">
        <f>IFERROR(K197/K444, "NA")</f>
        <v>0.29206618711847498</v>
      </c>
      <c r="M197" s="2"/>
      <c r="N197" s="14">
        <f t="shared" si="49"/>
        <v>-181.62000000000262</v>
      </c>
      <c r="O197" s="15">
        <f>IFERROR(N197/N444, "NA")</f>
        <v>-0.10132443680751785</v>
      </c>
      <c r="P197" s="2"/>
      <c r="Q197" s="14">
        <f>IFERROR(Q175+Q177+Q178+Q179+Q180+Q181+Q183+Q184+Q186+Q187+Q188+Q189+Q190+Q191+Q192+Q194+Q195, "NA")</f>
        <v>162963.75999999998</v>
      </c>
      <c r="R197" s="15">
        <f>IFERROR(Q197/Q444, "NA")</f>
        <v>0.29322299315434752</v>
      </c>
      <c r="S197" s="2"/>
      <c r="T197" s="14">
        <f>IFERROR(T175+T177+T178+T179+T180+T181+T183+T184+T186+T187+T188+T189+T190+T191+T192+T194+T195, "NA")</f>
        <v>171697.56</v>
      </c>
      <c r="U197" s="15">
        <f>IFERROR(T197/T444, "NA")</f>
        <v>0.30209757225169909</v>
      </c>
      <c r="V197" s="2"/>
      <c r="W197" s="14">
        <f t="shared" si="50"/>
        <v>8733.8000000000175</v>
      </c>
      <c r="X197" s="15">
        <f>IFERROR(W197/W444, "NA")</f>
        <v>-0.69403949933288445</v>
      </c>
      <c r="Y197" s="2"/>
      <c r="Z197" s="14">
        <f>IFERROR(Z175+Z177+Z178+Z179+Z180+Z181+Z183+Z184+Z186+Z187+Z188+Z189+Z190+Z191+Z192+Z194+Z195, "NA")</f>
        <v>166707.64999999997</v>
      </c>
      <c r="AA197" s="15">
        <f>IFERROR(Z197/Z444, "NA")</f>
        <v>0.33857820455403947</v>
      </c>
      <c r="AB197" s="2"/>
      <c r="AC197" s="14">
        <f t="shared" si="51"/>
        <v>3743.8899999999849</v>
      </c>
      <c r="AD197" s="15">
        <f>IFERROR(AC197/AC444, "NA")</f>
        <v>5.9059605891747163E-2</v>
      </c>
    </row>
    <row r="198" spans="1:30" ht="16.5" customHeight="1" x14ac:dyDescent="0.45">
      <c r="A198" s="22" t="s">
        <v>181</v>
      </c>
      <c r="B198" s="23">
        <f>IFERROR(B172-B197, "NA")</f>
        <v>43009.909999999989</v>
      </c>
      <c r="C198" s="24">
        <f>IFERROR(B198/B444, "NA")</f>
        <v>0.37394816533742775</v>
      </c>
      <c r="D198" s="25"/>
      <c r="E198" s="23">
        <f>IFERROR(E172-E197, "NA")</f>
        <v>64740.619999999974</v>
      </c>
      <c r="F198" s="24">
        <f>IFERROR(E198/E444, "NA")</f>
        <v>0.48457311082104843</v>
      </c>
      <c r="G198" s="25"/>
      <c r="H198" s="23">
        <f>IFERROR(B198-E198, "NA")</f>
        <v>-21730.709999999985</v>
      </c>
      <c r="I198" s="24">
        <f>IFERROR(H198/H444, "NA")</f>
        <v>1.169090221442016</v>
      </c>
      <c r="J198" s="25"/>
      <c r="K198" s="23">
        <f>IFERROR(K172-K197, "NA")</f>
        <v>48829.880000000026</v>
      </c>
      <c r="L198" s="24">
        <f>IFERROR(K198/K444, "NA")</f>
        <v>0.43127082390505717</v>
      </c>
      <c r="M198" s="25"/>
      <c r="N198" s="23">
        <f>IFERROR(B198-K198, "NA")</f>
        <v>-5819.9700000000375</v>
      </c>
      <c r="O198" s="24">
        <f>IFERROR(N198/N444, "NA")</f>
        <v>-3.2469176439084073</v>
      </c>
      <c r="P198" s="25"/>
      <c r="Q198" s="23">
        <f>IFERROR(Q172-Q197, "NA")</f>
        <v>225825.56000000008</v>
      </c>
      <c r="R198" s="24">
        <f>IFERROR(Q198/Q444, "NA")</f>
        <v>0.4063311170161803</v>
      </c>
      <c r="S198" s="25"/>
      <c r="T198" s="23">
        <f>IFERROR(T172-T197, "NA")</f>
        <v>252507.3</v>
      </c>
      <c r="U198" s="24">
        <f>IFERROR(T198/T444, "NA")</f>
        <v>0.44428029324255663</v>
      </c>
      <c r="V198" s="25"/>
      <c r="W198" s="23">
        <f>IFERROR(Q198-T198, "NA")</f>
        <v>-26681.739999999903</v>
      </c>
      <c r="X198" s="24">
        <f>IFERROR(W198/W444, "NA")</f>
        <v>2.1202891606093672</v>
      </c>
      <c r="Y198" s="25"/>
      <c r="Z198" s="23">
        <f>IFERROR(Z172-Z197, "NA")</f>
        <v>184853.14000000007</v>
      </c>
      <c r="AA198" s="24">
        <f>IFERROR(Z198/Z444, "NA")</f>
        <v>0.37543114696522045</v>
      </c>
      <c r="AB198" s="25"/>
      <c r="AC198" s="23">
        <f>IFERROR(Q198-Z198, "NA")</f>
        <v>40972.420000000013</v>
      </c>
      <c r="AD198" s="24">
        <f>IFERROR(AC198/AC444, "NA")</f>
        <v>0.64633709260452366</v>
      </c>
    </row>
    <row r="199" spans="1:30" ht="16.5" customHeight="1" x14ac:dyDescent="0.45">
      <c r="A199" s="1" t="s">
        <v>182</v>
      </c>
      <c r="B199" s="2"/>
      <c r="C199" s="3"/>
      <c r="D199" s="4"/>
      <c r="E199" s="2"/>
      <c r="F199" s="3"/>
      <c r="G199" s="4"/>
      <c r="H199" s="2"/>
      <c r="I199" s="3"/>
      <c r="J199" s="4"/>
      <c r="K199" s="2"/>
      <c r="L199" s="3"/>
      <c r="M199" s="4"/>
      <c r="N199" s="2"/>
      <c r="O199" s="3"/>
      <c r="P199" s="4"/>
      <c r="Q199" s="2"/>
      <c r="R199" s="3"/>
      <c r="S199" s="4"/>
      <c r="T199" s="2"/>
      <c r="U199" s="3"/>
      <c r="V199" s="4"/>
      <c r="W199" s="2"/>
      <c r="X199" s="3"/>
      <c r="Y199" s="4"/>
      <c r="Z199" s="2"/>
      <c r="AA199" s="3"/>
      <c r="AB199" s="4"/>
      <c r="AC199" s="2"/>
      <c r="AD199" s="3"/>
    </row>
    <row r="200" spans="1:30" ht="16.5" customHeight="1" x14ac:dyDescent="0.45">
      <c r="A200" s="5" t="s">
        <v>183</v>
      </c>
      <c r="B200" s="2"/>
      <c r="C200" s="3"/>
      <c r="D200" s="4"/>
      <c r="E200" s="2"/>
      <c r="F200" s="3"/>
      <c r="G200" s="4"/>
      <c r="H200" s="2"/>
      <c r="I200" s="3"/>
      <c r="J200" s="4"/>
      <c r="K200" s="2"/>
      <c r="L200" s="3"/>
      <c r="M200" s="4"/>
      <c r="N200" s="2"/>
      <c r="O200" s="3"/>
      <c r="P200" s="4"/>
      <c r="Q200" s="2"/>
      <c r="R200" s="3"/>
      <c r="S200" s="4"/>
      <c r="T200" s="2"/>
      <c r="U200" s="3"/>
      <c r="V200" s="4"/>
      <c r="W200" s="2"/>
      <c r="X200" s="3"/>
      <c r="Y200" s="4"/>
      <c r="Z200" s="2"/>
      <c r="AA200" s="3"/>
      <c r="AB200" s="4"/>
      <c r="AC200" s="2"/>
      <c r="AD200" s="3"/>
    </row>
    <row r="201" spans="1:30" ht="16.5" customHeight="1" x14ac:dyDescent="0.45">
      <c r="A201" s="6" t="s">
        <v>183</v>
      </c>
      <c r="B201" s="7">
        <v>0</v>
      </c>
      <c r="C201" s="8">
        <f>IFERROR(B201/B444, "NA")</f>
        <v>0</v>
      </c>
      <c r="D201" s="9"/>
      <c r="E201" s="7">
        <v>2672.07</v>
      </c>
      <c r="F201" s="8">
        <f>IFERROR(E201/E444, "NA")</f>
        <v>2.0000013472710017E-2</v>
      </c>
      <c r="G201" s="9"/>
      <c r="H201" s="10">
        <f t="shared" ref="H201:H209" si="52">IFERROR(-(B201-E201), "NA")</f>
        <v>2672.07</v>
      </c>
      <c r="I201" s="8">
        <f>IFERROR(H201/H444, "NA")</f>
        <v>-0.14375466369983173</v>
      </c>
      <c r="J201" s="9"/>
      <c r="K201" s="7">
        <v>0</v>
      </c>
      <c r="L201" s="8">
        <f>IFERROR(K201/K444, "NA")</f>
        <v>0</v>
      </c>
      <c r="M201" s="9"/>
      <c r="N201" s="10">
        <f t="shared" ref="N201:N209" si="53">IFERROR(-(B201-K201), "NA")</f>
        <v>0</v>
      </c>
      <c r="O201" s="8">
        <f>IFERROR(N201/N444, "NA")</f>
        <v>0</v>
      </c>
      <c r="P201" s="9"/>
      <c r="Q201" s="7">
        <v>0</v>
      </c>
      <c r="R201" s="8">
        <f>IFERROR(Q201/Q444, "NA")</f>
        <v>0</v>
      </c>
      <c r="S201" s="9"/>
      <c r="T201" s="7">
        <v>11367.03</v>
      </c>
      <c r="U201" s="8">
        <f>IFERROR(T201/T444, "NA")</f>
        <v>2.0000005630320148E-2</v>
      </c>
      <c r="V201" s="9"/>
      <c r="W201" s="10">
        <f t="shared" ref="W201:W209" si="54">IFERROR(-(Q201-T201), "NA")</f>
        <v>11367.03</v>
      </c>
      <c r="X201" s="8">
        <f>IFERROR(W201/W444, "NA")</f>
        <v>-0.90329155809634543</v>
      </c>
      <c r="Y201" s="9"/>
      <c r="Z201" s="7">
        <v>0</v>
      </c>
      <c r="AA201" s="8">
        <f>IFERROR(Z201/Z444, "NA")</f>
        <v>0</v>
      </c>
      <c r="AB201" s="9"/>
      <c r="AC201" s="10">
        <f t="shared" ref="AC201:AC209" si="55">IFERROR(-(Q201-Z201), "NA")</f>
        <v>0</v>
      </c>
      <c r="AD201" s="8">
        <f>IFERROR(AC201/AC444, "NA")</f>
        <v>0</v>
      </c>
    </row>
    <row r="202" spans="1:30" ht="16.5" customHeight="1" x14ac:dyDescent="0.45">
      <c r="A202" s="6" t="s">
        <v>184</v>
      </c>
      <c r="B202" s="7">
        <v>1267.95</v>
      </c>
      <c r="C202" s="8">
        <f>IFERROR(B202/B444, "NA")</f>
        <v>1.1024147138173311E-2</v>
      </c>
      <c r="D202" s="9"/>
      <c r="E202" s="7">
        <v>0</v>
      </c>
      <c r="F202" s="8">
        <f>IFERROR(E202/E444, "NA")</f>
        <v>0</v>
      </c>
      <c r="G202" s="9"/>
      <c r="H202" s="10">
        <f t="shared" si="52"/>
        <v>-1267.95</v>
      </c>
      <c r="I202" s="8">
        <f>IFERROR(H202/H444, "NA")</f>
        <v>6.8214427705187972E-2</v>
      </c>
      <c r="J202" s="9"/>
      <c r="K202" s="7">
        <v>772.64</v>
      </c>
      <c r="L202" s="8">
        <f>IFERROR(K202/K444, "NA")</f>
        <v>6.8240407181423173E-3</v>
      </c>
      <c r="M202" s="9"/>
      <c r="N202" s="10">
        <f t="shared" si="53"/>
        <v>-495.31000000000006</v>
      </c>
      <c r="O202" s="8">
        <f>IFERROR(N202/N444, "NA")</f>
        <v>-0.27632973678631728</v>
      </c>
      <c r="P202" s="9"/>
      <c r="Q202" s="7">
        <v>4929.67</v>
      </c>
      <c r="R202" s="8">
        <f>IFERROR(Q202/Q444, "NA")</f>
        <v>8.8700247997664794E-3</v>
      </c>
      <c r="S202" s="9"/>
      <c r="T202" s="7">
        <v>0</v>
      </c>
      <c r="U202" s="8">
        <f>IFERROR(T202/T444, "NA")</f>
        <v>0</v>
      </c>
      <c r="V202" s="9"/>
      <c r="W202" s="10">
        <f t="shared" si="54"/>
        <v>-4929.67</v>
      </c>
      <c r="X202" s="8">
        <f>IFERROR(W202/W444, "NA")</f>
        <v>0.39174078850859118</v>
      </c>
      <c r="Y202" s="9"/>
      <c r="Z202" s="7">
        <v>4030.97</v>
      </c>
      <c r="AA202" s="8">
        <f>IFERROR(Z202/Z444, "NA")</f>
        <v>8.1867783824629333E-3</v>
      </c>
      <c r="AB202" s="9"/>
      <c r="AC202" s="10">
        <f t="shared" si="55"/>
        <v>-898.70000000000027</v>
      </c>
      <c r="AD202" s="8">
        <f>IFERROR(AC202/AC444, "NA")</f>
        <v>-1.4176930362514231E-2</v>
      </c>
    </row>
    <row r="203" spans="1:30" ht="16.5" customHeight="1" x14ac:dyDescent="0.45">
      <c r="A203" s="6" t="s">
        <v>185</v>
      </c>
      <c r="B203" s="7">
        <v>633.49</v>
      </c>
      <c r="C203" s="8">
        <f>IFERROR(B203/B444, "NA")</f>
        <v>5.5078567534693089E-3</v>
      </c>
      <c r="D203" s="9"/>
      <c r="E203" s="7">
        <v>0</v>
      </c>
      <c r="F203" s="8">
        <f>IFERROR(E203/E444, "NA")</f>
        <v>0</v>
      </c>
      <c r="G203" s="9"/>
      <c r="H203" s="10">
        <f t="shared" si="52"/>
        <v>-633.49</v>
      </c>
      <c r="I203" s="8">
        <f>IFERROR(H203/H444, "NA")</f>
        <v>3.4081121343080979E-2</v>
      </c>
      <c r="J203" s="9"/>
      <c r="K203" s="7">
        <v>692.96</v>
      </c>
      <c r="L203" s="8">
        <f>IFERROR(K203/K444, "NA")</f>
        <v>6.1202982709203518E-3</v>
      </c>
      <c r="M203" s="9"/>
      <c r="N203" s="10">
        <f t="shared" si="53"/>
        <v>59.470000000000027</v>
      </c>
      <c r="O203" s="8">
        <f>IFERROR(N203/N444, "NA")</f>
        <v>3.3177867288531011E-2</v>
      </c>
      <c r="P203" s="9"/>
      <c r="Q203" s="7">
        <v>3738.37</v>
      </c>
      <c r="R203" s="8">
        <f>IFERROR(Q203/Q444, "NA")</f>
        <v>6.726501897835557E-3</v>
      </c>
      <c r="S203" s="9"/>
      <c r="T203" s="7">
        <v>0</v>
      </c>
      <c r="U203" s="8">
        <f>IFERROR(T203/T444, "NA")</f>
        <v>0</v>
      </c>
      <c r="V203" s="9"/>
      <c r="W203" s="10">
        <f t="shared" si="54"/>
        <v>-3738.37</v>
      </c>
      <c r="X203" s="8">
        <f>IFERROR(W203/W444, "NA")</f>
        <v>0.29707303156942794</v>
      </c>
      <c r="Y203" s="9"/>
      <c r="Z203" s="7">
        <v>3005.02</v>
      </c>
      <c r="AA203" s="8">
        <f>IFERROR(Z203/Z444, "NA")</f>
        <v>6.1031049039979865E-3</v>
      </c>
      <c r="AB203" s="9"/>
      <c r="AC203" s="10">
        <f t="shared" si="55"/>
        <v>-733.34999999999991</v>
      </c>
      <c r="AD203" s="8">
        <f>IFERROR(AC203/AC444, "NA")</f>
        <v>-1.156854554506488E-2</v>
      </c>
    </row>
    <row r="204" spans="1:30" ht="16.5" customHeight="1" x14ac:dyDescent="0.45">
      <c r="A204" s="6" t="s">
        <v>186</v>
      </c>
      <c r="B204" s="7">
        <v>20.350000000000001</v>
      </c>
      <c r="C204" s="8">
        <f>IFERROR(B204/B444, "NA")</f>
        <v>1.7693236662473039E-4</v>
      </c>
      <c r="D204" s="9"/>
      <c r="E204" s="7">
        <v>0</v>
      </c>
      <c r="F204" s="8">
        <f>IFERROR(E204/E444, "NA")</f>
        <v>0</v>
      </c>
      <c r="G204" s="9"/>
      <c r="H204" s="10">
        <f t="shared" si="52"/>
        <v>-20.350000000000001</v>
      </c>
      <c r="I204" s="8">
        <f>IFERROR(H204/H444, "NA")</f>
        <v>1.0948094197725268E-3</v>
      </c>
      <c r="J204" s="9"/>
      <c r="K204" s="7">
        <v>29.26</v>
      </c>
      <c r="L204" s="8">
        <f>IFERROR(K204/K444, "NA")</f>
        <v>2.5842751011188165E-4</v>
      </c>
      <c r="M204" s="9"/>
      <c r="N204" s="10">
        <f t="shared" si="53"/>
        <v>8.91</v>
      </c>
      <c r="O204" s="8">
        <f>IFERROR(N204/N444, "NA")</f>
        <v>4.9708222219742929E-3</v>
      </c>
      <c r="P204" s="9"/>
      <c r="Q204" s="7">
        <v>324.44</v>
      </c>
      <c r="R204" s="8">
        <f>IFERROR(Q204/Q444, "NA")</f>
        <v>5.8376947058043165E-4</v>
      </c>
      <c r="S204" s="9"/>
      <c r="T204" s="7">
        <v>0</v>
      </c>
      <c r="U204" s="8">
        <f>IFERROR(T204/T444, "NA")</f>
        <v>0</v>
      </c>
      <c r="V204" s="9"/>
      <c r="W204" s="10">
        <f t="shared" si="54"/>
        <v>-324.44</v>
      </c>
      <c r="X204" s="8">
        <f>IFERROR(W204/W444, "NA")</f>
        <v>2.5781924839538412E-2</v>
      </c>
      <c r="Y204" s="9"/>
      <c r="Z204" s="7">
        <v>372.25</v>
      </c>
      <c r="AA204" s="8">
        <f>IFERROR(Z204/Z444, "NA")</f>
        <v>7.5602851246023338E-4</v>
      </c>
      <c r="AB204" s="9"/>
      <c r="AC204" s="10">
        <f t="shared" si="55"/>
        <v>47.81</v>
      </c>
      <c r="AD204" s="8">
        <f>IFERROR(AC204/AC444, "NA")</f>
        <v>7.5419944434383581E-4</v>
      </c>
    </row>
    <row r="205" spans="1:30" ht="16.5" customHeight="1" x14ac:dyDescent="0.45">
      <c r="A205" s="6" t="s">
        <v>187</v>
      </c>
      <c r="B205" s="7">
        <v>364.24</v>
      </c>
      <c r="C205" s="8">
        <f>IFERROR(B205/B444, "NA")</f>
        <v>3.1668720009529134E-3</v>
      </c>
      <c r="D205" s="9"/>
      <c r="E205" s="7">
        <v>0</v>
      </c>
      <c r="F205" s="8">
        <f>IFERROR(E205/E444, "NA")</f>
        <v>0</v>
      </c>
      <c r="G205" s="9"/>
      <c r="H205" s="10">
        <f t="shared" si="52"/>
        <v>-364.24</v>
      </c>
      <c r="I205" s="8">
        <f>IFERROR(H205/H444, "NA")</f>
        <v>1.9595743639211065E-2</v>
      </c>
      <c r="J205" s="9"/>
      <c r="K205" s="7">
        <v>359.28</v>
      </c>
      <c r="L205" s="8">
        <f>IFERROR(K205/K444, "NA")</f>
        <v>3.1732001309978408E-3</v>
      </c>
      <c r="M205" s="9"/>
      <c r="N205" s="10">
        <f t="shared" si="53"/>
        <v>-4.9600000000000364</v>
      </c>
      <c r="O205" s="8">
        <f>IFERROR(N205/N444, "NA")</f>
        <v>-2.7671468261495705E-3</v>
      </c>
      <c r="P205" s="9"/>
      <c r="Q205" s="7">
        <v>1912.26</v>
      </c>
      <c r="R205" s="8">
        <f>IFERROR(Q205/Q444, "NA")</f>
        <v>3.4407564043032182E-3</v>
      </c>
      <c r="S205" s="9"/>
      <c r="T205" s="7">
        <v>0</v>
      </c>
      <c r="U205" s="8">
        <f>IFERROR(T205/T444, "NA")</f>
        <v>0</v>
      </c>
      <c r="V205" s="9"/>
      <c r="W205" s="10">
        <f t="shared" si="54"/>
        <v>-1912.26</v>
      </c>
      <c r="X205" s="8">
        <f>IFERROR(W205/W444, "NA")</f>
        <v>0.15195951052168574</v>
      </c>
      <c r="Y205" s="9"/>
      <c r="Z205" s="7">
        <v>2078.7600000000002</v>
      </c>
      <c r="AA205" s="8">
        <f>IFERROR(Z205/Z444, "NA")</f>
        <v>4.2218988060761182E-3</v>
      </c>
      <c r="AB205" s="9"/>
      <c r="AC205" s="10">
        <f t="shared" si="55"/>
        <v>166.50000000000023</v>
      </c>
      <c r="AD205" s="8">
        <f>IFERROR(AC205/AC444, "NA")</f>
        <v>2.6265259879365995E-3</v>
      </c>
    </row>
    <row r="206" spans="1:30" ht="16.5" customHeight="1" x14ac:dyDescent="0.45">
      <c r="A206" s="6" t="s">
        <v>188</v>
      </c>
      <c r="B206" s="7">
        <v>238.53</v>
      </c>
      <c r="C206" s="8">
        <f>IFERROR(B206/B444, "NA")</f>
        <v>2.0738907818671714E-3</v>
      </c>
      <c r="D206" s="9"/>
      <c r="E206" s="7">
        <v>0</v>
      </c>
      <c r="F206" s="8">
        <f>IFERROR(E206/E444, "NA")</f>
        <v>0</v>
      </c>
      <c r="G206" s="9"/>
      <c r="H206" s="10">
        <f t="shared" si="52"/>
        <v>-238.53</v>
      </c>
      <c r="I206" s="8">
        <f>IFERROR(H206/H444, "NA")</f>
        <v>1.2832672771417239E-2</v>
      </c>
      <c r="J206" s="9"/>
      <c r="K206" s="7">
        <v>0</v>
      </c>
      <c r="L206" s="8">
        <f>IFERROR(K206/K444, "NA")</f>
        <v>0</v>
      </c>
      <c r="M206" s="9"/>
      <c r="N206" s="10">
        <f t="shared" si="53"/>
        <v>-238.53</v>
      </c>
      <c r="O206" s="8">
        <f>IFERROR(N206/N444, "NA")</f>
        <v>-0.13307409928255085</v>
      </c>
      <c r="P206" s="9"/>
      <c r="Q206" s="7">
        <v>374.29</v>
      </c>
      <c r="R206" s="8">
        <f>IFERROR(Q206/Q444, "NA")</f>
        <v>6.7346527907640786E-4</v>
      </c>
      <c r="S206" s="9"/>
      <c r="T206" s="7">
        <v>0</v>
      </c>
      <c r="U206" s="8">
        <f>IFERROR(T206/T444, "NA")</f>
        <v>0</v>
      </c>
      <c r="V206" s="9"/>
      <c r="W206" s="10">
        <f t="shared" si="54"/>
        <v>-374.29</v>
      </c>
      <c r="X206" s="8">
        <f>IFERROR(W206/W444, "NA")</f>
        <v>2.9743301221152856E-2</v>
      </c>
      <c r="Y206" s="9"/>
      <c r="Z206" s="7">
        <v>218.64</v>
      </c>
      <c r="AA206" s="8">
        <f>IFERROR(Z206/Z444, "NA")</f>
        <v>4.4405123966233825E-4</v>
      </c>
      <c r="AB206" s="9"/>
      <c r="AC206" s="10">
        <f t="shared" si="55"/>
        <v>-155.65000000000003</v>
      </c>
      <c r="AD206" s="8">
        <f>IFERROR(AC206/AC444, "NA")</f>
        <v>-2.4553679881221097E-3</v>
      </c>
    </row>
    <row r="207" spans="1:30" ht="16.5" customHeight="1" x14ac:dyDescent="0.45">
      <c r="A207" s="6" t="s">
        <v>189</v>
      </c>
      <c r="B207" s="7">
        <v>488.7</v>
      </c>
      <c r="C207" s="8">
        <f>IFERROR(B207/B444, "NA")</f>
        <v>4.2489851385506504E-3</v>
      </c>
      <c r="D207" s="9"/>
      <c r="E207" s="7">
        <v>0</v>
      </c>
      <c r="F207" s="8">
        <f>IFERROR(E207/E444, "NA")</f>
        <v>0</v>
      </c>
      <c r="G207" s="9"/>
      <c r="H207" s="10">
        <f t="shared" si="52"/>
        <v>-488.7</v>
      </c>
      <c r="I207" s="8">
        <f>IFERROR(H207/H444, "NA")</f>
        <v>2.6291565771146625E-2</v>
      </c>
      <c r="J207" s="9"/>
      <c r="K207" s="7">
        <v>0</v>
      </c>
      <c r="L207" s="8">
        <f>IFERROR(K207/K444, "NA")</f>
        <v>0</v>
      </c>
      <c r="M207" s="9"/>
      <c r="N207" s="10">
        <f t="shared" si="53"/>
        <v>-488.7</v>
      </c>
      <c r="O207" s="8">
        <f>IFERROR(N207/N444, "NA")</f>
        <v>-0.27264206732646878</v>
      </c>
      <c r="P207" s="9"/>
      <c r="Q207" s="7">
        <v>588.29999999999995</v>
      </c>
      <c r="R207" s="8">
        <f>IFERROR(Q207/Q444, "NA")</f>
        <v>1.0585364922403768E-3</v>
      </c>
      <c r="S207" s="9"/>
      <c r="T207" s="7">
        <v>0</v>
      </c>
      <c r="U207" s="8">
        <f>IFERROR(T207/T444, "NA")</f>
        <v>0</v>
      </c>
      <c r="V207" s="9"/>
      <c r="W207" s="10">
        <f t="shared" si="54"/>
        <v>-588.29999999999995</v>
      </c>
      <c r="X207" s="8">
        <f>IFERROR(W207/W444, "NA")</f>
        <v>4.6749803917829014E-2</v>
      </c>
      <c r="Y207" s="9"/>
      <c r="Z207" s="7">
        <v>308.33999999999997</v>
      </c>
      <c r="AA207" s="8">
        <f>IFERROR(Z207/Z444, "NA")</f>
        <v>6.2622923178505931E-4</v>
      </c>
      <c r="AB207" s="9"/>
      <c r="AC207" s="10">
        <f t="shared" si="55"/>
        <v>-279.95999999999998</v>
      </c>
      <c r="AD207" s="8">
        <f>IFERROR(AC207/AC444, "NA")</f>
        <v>-4.4163496431395156E-3</v>
      </c>
    </row>
    <row r="208" spans="1:30" ht="16.5" customHeight="1" x14ac:dyDescent="0.45">
      <c r="A208" s="6" t="s">
        <v>190</v>
      </c>
      <c r="B208" s="7">
        <v>95.42</v>
      </c>
      <c r="C208" s="8">
        <f>IFERROR(B208/B444, "NA")</f>
        <v>8.2962586846839178E-4</v>
      </c>
      <c r="D208" s="9"/>
      <c r="E208" s="7">
        <v>0</v>
      </c>
      <c r="F208" s="8">
        <f>IFERROR(E208/E444, "NA")</f>
        <v>0</v>
      </c>
      <c r="G208" s="9"/>
      <c r="H208" s="10">
        <f t="shared" si="52"/>
        <v>-95.42</v>
      </c>
      <c r="I208" s="8">
        <f>IFERROR(H208/H444, "NA")</f>
        <v>5.1334995004763883E-3</v>
      </c>
      <c r="J208" s="9"/>
      <c r="K208" s="7">
        <v>66.83</v>
      </c>
      <c r="L208" s="8">
        <f>IFERROR(K208/K444, "NA")</f>
        <v>5.9024984623298185E-4</v>
      </c>
      <c r="M208" s="9"/>
      <c r="N208" s="10">
        <f t="shared" si="53"/>
        <v>-28.590000000000003</v>
      </c>
      <c r="O208" s="8">
        <f>IFERROR(N208/N444, "NA")</f>
        <v>-1.5950146725728961E-2</v>
      </c>
      <c r="P208" s="9"/>
      <c r="Q208" s="7">
        <v>874.05</v>
      </c>
      <c r="R208" s="8">
        <f>IFERROR(Q208/Q444, "NA")</f>
        <v>1.5726904998176125E-3</v>
      </c>
      <c r="S208" s="9"/>
      <c r="T208" s="7">
        <v>0</v>
      </c>
      <c r="U208" s="8">
        <f>IFERROR(T208/T444, "NA")</f>
        <v>0</v>
      </c>
      <c r="V208" s="9"/>
      <c r="W208" s="10">
        <f t="shared" si="54"/>
        <v>-874.05</v>
      </c>
      <c r="X208" s="8">
        <f>IFERROR(W208/W444, "NA")</f>
        <v>6.9457192103311999E-2</v>
      </c>
      <c r="Y208" s="9"/>
      <c r="Z208" s="7">
        <v>329.48</v>
      </c>
      <c r="AA208" s="8">
        <f>IFERROR(Z208/Z444, "NA")</f>
        <v>6.6916393360751569E-4</v>
      </c>
      <c r="AB208" s="9"/>
      <c r="AC208" s="10">
        <f t="shared" si="55"/>
        <v>-544.56999999999994</v>
      </c>
      <c r="AD208" s="8">
        <f>IFERROR(AC208/AC444, "NA")</f>
        <v>-8.5905540976013925E-3</v>
      </c>
    </row>
    <row r="209" spans="1:30" ht="16.5" customHeight="1" x14ac:dyDescent="0.45">
      <c r="A209" s="19" t="s">
        <v>191</v>
      </c>
      <c r="B209" s="14">
        <f>IFERROR(B201+B202+B203+B204+B205+B206+B207+B208, "NA")</f>
        <v>3108.68</v>
      </c>
      <c r="C209" s="15">
        <f>IFERROR(B209/B444, "NA")</f>
        <v>2.7028310048106474E-2</v>
      </c>
      <c r="D209" s="2"/>
      <c r="E209" s="14">
        <f>IFERROR(E201+E202+E203+E204+E205+E206+E207+E208, "NA")</f>
        <v>2672.07</v>
      </c>
      <c r="F209" s="15">
        <f>IFERROR(E209/E444, "NA")</f>
        <v>2.0000013472710017E-2</v>
      </c>
      <c r="G209" s="2"/>
      <c r="H209" s="14">
        <f t="shared" si="52"/>
        <v>-436.60999999999967</v>
      </c>
      <c r="I209" s="15">
        <f>IFERROR(H209/H444, "NA")</f>
        <v>2.3489176450461058E-2</v>
      </c>
      <c r="J209" s="2"/>
      <c r="K209" s="14">
        <f>IFERROR(K201+K202+K203+K204+K205+K206+K207+K208, "NA")</f>
        <v>1920.9699999999998</v>
      </c>
      <c r="L209" s="15">
        <f>IFERROR(K209/K444, "NA")</f>
        <v>1.6966216476405373E-2</v>
      </c>
      <c r="M209" s="2"/>
      <c r="N209" s="14">
        <f t="shared" si="53"/>
        <v>-1187.71</v>
      </c>
      <c r="O209" s="15">
        <f>IFERROR(N209/N444, "NA")</f>
        <v>-0.66261450743671013</v>
      </c>
      <c r="P209" s="2"/>
      <c r="Q209" s="14">
        <f>IFERROR(Q201+Q202+Q203+Q204+Q205+Q206+Q207+Q208, "NA")</f>
        <v>12741.380000000001</v>
      </c>
      <c r="R209" s="15">
        <f>IFERROR(Q209/Q444, "NA")</f>
        <v>2.2925744843620085E-2</v>
      </c>
      <c r="S209" s="2"/>
      <c r="T209" s="14">
        <f>IFERROR(T201+T202+T203+T204+T205+T206+T207+T208, "NA")</f>
        <v>11367.03</v>
      </c>
      <c r="U209" s="15">
        <f>IFERROR(T209/T444, "NA")</f>
        <v>2.0000005630320148E-2</v>
      </c>
      <c r="V209" s="2"/>
      <c r="W209" s="14">
        <f t="shared" si="54"/>
        <v>-1374.3500000000004</v>
      </c>
      <c r="X209" s="15">
        <f>IFERROR(W209/W444, "NA")</f>
        <v>0.10921399458519179</v>
      </c>
      <c r="Y209" s="2"/>
      <c r="Z209" s="14">
        <f>IFERROR(Z201+Z202+Z203+Z204+Z205+Z206+Z207+Z208, "NA")</f>
        <v>10343.459999999999</v>
      </c>
      <c r="AA209" s="15">
        <f>IFERROR(Z209/Z444, "NA")</f>
        <v>2.1007255010052184E-2</v>
      </c>
      <c r="AB209" s="2"/>
      <c r="AC209" s="14">
        <f t="shared" si="55"/>
        <v>-2397.9200000000019</v>
      </c>
      <c r="AD209" s="15">
        <f>IFERROR(AC209/AC444, "NA")</f>
        <v>-3.7827022204161724E-2</v>
      </c>
    </row>
    <row r="210" spans="1:30" ht="16.5" customHeight="1" x14ac:dyDescent="0.45">
      <c r="A210" s="5" t="s">
        <v>192</v>
      </c>
      <c r="B210" s="2"/>
      <c r="C210" s="3"/>
      <c r="D210" s="4"/>
      <c r="E210" s="2"/>
      <c r="F210" s="3"/>
      <c r="G210" s="4"/>
      <c r="H210" s="2"/>
      <c r="I210" s="3"/>
      <c r="J210" s="4"/>
      <c r="K210" s="2"/>
      <c r="L210" s="3"/>
      <c r="M210" s="4"/>
      <c r="N210" s="2"/>
      <c r="O210" s="3"/>
      <c r="P210" s="4"/>
      <c r="Q210" s="2"/>
      <c r="R210" s="3"/>
      <c r="S210" s="4"/>
      <c r="T210" s="2"/>
      <c r="U210" s="3"/>
      <c r="V210" s="4"/>
      <c r="W210" s="2"/>
      <c r="X210" s="3"/>
      <c r="Y210" s="4"/>
      <c r="Z210" s="2"/>
      <c r="AA210" s="3"/>
      <c r="AB210" s="4"/>
      <c r="AC210" s="2"/>
      <c r="AD210" s="3"/>
    </row>
    <row r="211" spans="1:30" ht="16.5" hidden="1" customHeight="1" x14ac:dyDescent="0.45">
      <c r="A211" s="6" t="s">
        <v>192</v>
      </c>
      <c r="B211" s="7">
        <v>0</v>
      </c>
      <c r="C211" s="8">
        <f>IFERROR(B211/B444, "NA")</f>
        <v>0</v>
      </c>
      <c r="D211" s="9"/>
      <c r="E211" s="7">
        <v>0</v>
      </c>
      <c r="F211" s="8">
        <f>IFERROR(E211/E444, "NA")</f>
        <v>0</v>
      </c>
      <c r="G211" s="9"/>
      <c r="H211" s="10">
        <f>IFERROR(-(B211-E211), "NA")</f>
        <v>0</v>
      </c>
      <c r="I211" s="8">
        <f>IFERROR(H211/H444, "NA")</f>
        <v>0</v>
      </c>
      <c r="J211" s="9"/>
      <c r="K211" s="7">
        <v>0</v>
      </c>
      <c r="L211" s="8">
        <f>IFERROR(K211/K444, "NA")</f>
        <v>0</v>
      </c>
      <c r="M211" s="9"/>
      <c r="N211" s="10">
        <f>IFERROR(-(B211-K211), "NA")</f>
        <v>0</v>
      </c>
      <c r="O211" s="8">
        <f>IFERROR(N211/N444, "NA")</f>
        <v>0</v>
      </c>
      <c r="P211" s="9"/>
      <c r="Q211" s="7">
        <v>0</v>
      </c>
      <c r="R211" s="8">
        <f>IFERROR(Q211/Q444, "NA")</f>
        <v>0</v>
      </c>
      <c r="S211" s="9"/>
      <c r="T211" s="7">
        <v>0</v>
      </c>
      <c r="U211" s="8">
        <f>IFERROR(T211/T444, "NA")</f>
        <v>0</v>
      </c>
      <c r="V211" s="9"/>
      <c r="W211" s="10">
        <f>IFERROR(-(Q211-T211), "NA")</f>
        <v>0</v>
      </c>
      <c r="X211" s="8">
        <f>IFERROR(W211/W444, "NA")</f>
        <v>0</v>
      </c>
      <c r="Y211" s="9"/>
      <c r="Z211" s="7">
        <v>0</v>
      </c>
      <c r="AA211" s="8">
        <f>IFERROR(Z211/Z444, "NA")</f>
        <v>0</v>
      </c>
      <c r="AB211" s="9"/>
      <c r="AC211" s="10">
        <f>IFERROR(-(Q211-Z211), "NA")</f>
        <v>0</v>
      </c>
      <c r="AD211" s="8">
        <f>IFERROR(AC211/AC444, "NA")</f>
        <v>0</v>
      </c>
    </row>
    <row r="212" spans="1:30" ht="16.5" customHeight="1" x14ac:dyDescent="0.45">
      <c r="A212" s="11" t="s">
        <v>193</v>
      </c>
      <c r="B212" s="2"/>
      <c r="C212" s="3"/>
      <c r="D212" s="4"/>
      <c r="E212" s="2"/>
      <c r="F212" s="3"/>
      <c r="G212" s="4"/>
      <c r="H212" s="2"/>
      <c r="I212" s="3"/>
      <c r="J212" s="4"/>
      <c r="K212" s="2"/>
      <c r="L212" s="3"/>
      <c r="M212" s="4"/>
      <c r="N212" s="2"/>
      <c r="O212" s="3"/>
      <c r="P212" s="4"/>
      <c r="Q212" s="2"/>
      <c r="R212" s="3"/>
      <c r="S212" s="4"/>
      <c r="T212" s="2"/>
      <c r="U212" s="3"/>
      <c r="V212" s="4"/>
      <c r="W212" s="2"/>
      <c r="X212" s="3"/>
      <c r="Y212" s="4"/>
      <c r="Z212" s="2"/>
      <c r="AA212" s="3"/>
      <c r="AB212" s="4"/>
      <c r="AC212" s="2"/>
      <c r="AD212" s="3"/>
    </row>
    <row r="213" spans="1:30" ht="16.5" customHeight="1" x14ac:dyDescent="0.45">
      <c r="A213" s="12" t="s">
        <v>193</v>
      </c>
      <c r="B213" s="7">
        <v>0</v>
      </c>
      <c r="C213" s="8">
        <f>IFERROR(B213/B444, "NA")</f>
        <v>0</v>
      </c>
      <c r="D213" s="9"/>
      <c r="E213" s="7">
        <v>3431.47</v>
      </c>
      <c r="F213" s="8">
        <f>IFERROR(E213/E444, "NA")</f>
        <v>2.5684000131433769E-2</v>
      </c>
      <c r="G213" s="9"/>
      <c r="H213" s="10">
        <f t="shared" ref="H213:H227" si="56">IFERROR(-(B213-E213), "NA")</f>
        <v>3431.47</v>
      </c>
      <c r="I213" s="8">
        <f>IFERROR(H213/H444, "NA")</f>
        <v>-0.18460961570844384</v>
      </c>
      <c r="J213" s="9"/>
      <c r="K213" s="7">
        <v>0</v>
      </c>
      <c r="L213" s="8">
        <f>IFERROR(K213/K444, "NA")</f>
        <v>0</v>
      </c>
      <c r="M213" s="9"/>
      <c r="N213" s="10">
        <f t="shared" ref="N213:N227" si="57">IFERROR(-(B213-K213), "NA")</f>
        <v>0</v>
      </c>
      <c r="O213" s="8">
        <f>IFERROR(N213/N444, "NA")</f>
        <v>0</v>
      </c>
      <c r="P213" s="9"/>
      <c r="Q213" s="7">
        <v>0</v>
      </c>
      <c r="R213" s="8">
        <f>IFERROR(Q213/Q444, "NA")</f>
        <v>0</v>
      </c>
      <c r="S213" s="9"/>
      <c r="T213" s="7">
        <v>14922.5</v>
      </c>
      <c r="U213" s="8">
        <f>IFERROR(T213/T444, "NA")</f>
        <v>2.625576637155461E-2</v>
      </c>
      <c r="V213" s="9"/>
      <c r="W213" s="10">
        <f t="shared" ref="W213:W227" si="58">IFERROR(-(Q213-T213), "NA")</f>
        <v>14922.5</v>
      </c>
      <c r="X213" s="8">
        <f>IFERROR(W213/W444, "NA")</f>
        <v>-1.1858302719085561</v>
      </c>
      <c r="Y213" s="9"/>
      <c r="Z213" s="7">
        <v>0</v>
      </c>
      <c r="AA213" s="8">
        <f>IFERROR(Z213/Z444, "NA")</f>
        <v>0</v>
      </c>
      <c r="AB213" s="9"/>
      <c r="AC213" s="10">
        <f t="shared" ref="AC213:AC227" si="59">IFERROR(-(Q213-Z213), "NA")</f>
        <v>0</v>
      </c>
      <c r="AD213" s="8">
        <f>IFERROR(AC213/AC444, "NA")</f>
        <v>0</v>
      </c>
    </row>
    <row r="214" spans="1:30" ht="16.5" customHeight="1" x14ac:dyDescent="0.45">
      <c r="A214" s="12" t="s">
        <v>194</v>
      </c>
      <c r="B214" s="7">
        <v>612.08000000000004</v>
      </c>
      <c r="C214" s="8">
        <f>IFERROR(B214/B444, "NA")</f>
        <v>5.3217082537427504E-3</v>
      </c>
      <c r="D214" s="9"/>
      <c r="E214" s="7">
        <v>0</v>
      </c>
      <c r="F214" s="8">
        <f>IFERROR(E214/E444, "NA")</f>
        <v>0</v>
      </c>
      <c r="G214" s="9"/>
      <c r="H214" s="10">
        <f t="shared" si="56"/>
        <v>-612.08000000000004</v>
      </c>
      <c r="I214" s="8">
        <f>IFERROR(H214/H444, "NA")</f>
        <v>3.2929284995300651E-2</v>
      </c>
      <c r="J214" s="9"/>
      <c r="K214" s="7">
        <v>475</v>
      </c>
      <c r="L214" s="8">
        <f>IFERROR(K214/K444, "NA")</f>
        <v>4.1952517875305457E-3</v>
      </c>
      <c r="M214" s="9"/>
      <c r="N214" s="10">
        <f t="shared" si="57"/>
        <v>-137.08000000000004</v>
      </c>
      <c r="O214" s="8">
        <f>IFERROR(N214/N444, "NA")</f>
        <v>-7.6475904622697669E-2</v>
      </c>
      <c r="P214" s="9"/>
      <c r="Q214" s="7">
        <v>10451.23</v>
      </c>
      <c r="R214" s="8">
        <f>IFERROR(Q214/Q444, "NA")</f>
        <v>1.8805045629436332E-2</v>
      </c>
      <c r="S214" s="9"/>
      <c r="T214" s="7">
        <v>0</v>
      </c>
      <c r="U214" s="8">
        <f>IFERROR(T214/T444, "NA")</f>
        <v>0</v>
      </c>
      <c r="V214" s="9"/>
      <c r="W214" s="10">
        <f t="shared" si="58"/>
        <v>-10451.23</v>
      </c>
      <c r="X214" s="8">
        <f>IFERROR(W214/W444, "NA")</f>
        <v>0.83051666360722787</v>
      </c>
      <c r="Y214" s="9"/>
      <c r="Z214" s="7">
        <v>2245</v>
      </c>
      <c r="AA214" s="8">
        <f>IFERROR(Z214/Z444, "NA")</f>
        <v>4.5595272275976463E-3</v>
      </c>
      <c r="AB214" s="9"/>
      <c r="AC214" s="10">
        <f t="shared" si="59"/>
        <v>-8206.23</v>
      </c>
      <c r="AD214" s="8">
        <f>IFERROR(AC214/AC444, "NA")</f>
        <v>-0.12945271085876836</v>
      </c>
    </row>
    <row r="215" spans="1:30" ht="16.5" hidden="1" customHeight="1" x14ac:dyDescent="0.45">
      <c r="A215" s="12" t="s">
        <v>195</v>
      </c>
      <c r="B215" s="7">
        <v>0</v>
      </c>
      <c r="C215" s="8">
        <f>IFERROR(B215/B444, "NA")</f>
        <v>0</v>
      </c>
      <c r="D215" s="9"/>
      <c r="E215" s="7">
        <v>0</v>
      </c>
      <c r="F215" s="8">
        <f>IFERROR(E215/E444, "NA")</f>
        <v>0</v>
      </c>
      <c r="G215" s="9"/>
      <c r="H215" s="10">
        <f t="shared" si="56"/>
        <v>0</v>
      </c>
      <c r="I215" s="8">
        <f>IFERROR(H215/H444, "NA")</f>
        <v>0</v>
      </c>
      <c r="J215" s="9"/>
      <c r="K215" s="7">
        <v>0</v>
      </c>
      <c r="L215" s="8">
        <f>IFERROR(K215/K444, "NA")</f>
        <v>0</v>
      </c>
      <c r="M215" s="9"/>
      <c r="N215" s="10">
        <f t="shared" si="57"/>
        <v>0</v>
      </c>
      <c r="O215" s="8">
        <f>IFERROR(N215/N444, "NA")</f>
        <v>0</v>
      </c>
      <c r="P215" s="9"/>
      <c r="Q215" s="7">
        <v>0</v>
      </c>
      <c r="R215" s="8">
        <f>IFERROR(Q215/Q444, "NA")</f>
        <v>0</v>
      </c>
      <c r="S215" s="9"/>
      <c r="T215" s="7">
        <v>0</v>
      </c>
      <c r="U215" s="8">
        <f>IFERROR(T215/T444, "NA")</f>
        <v>0</v>
      </c>
      <c r="V215" s="9"/>
      <c r="W215" s="10">
        <f t="shared" si="58"/>
        <v>0</v>
      </c>
      <c r="X215" s="8">
        <f>IFERROR(W215/W444, "NA")</f>
        <v>0</v>
      </c>
      <c r="Y215" s="9"/>
      <c r="Z215" s="7">
        <v>0</v>
      </c>
      <c r="AA215" s="8">
        <f>IFERROR(Z215/Z444, "NA")</f>
        <v>0</v>
      </c>
      <c r="AB215" s="9"/>
      <c r="AC215" s="10">
        <f t="shared" si="59"/>
        <v>0</v>
      </c>
      <c r="AD215" s="8">
        <f>IFERROR(AC215/AC444, "NA")</f>
        <v>0</v>
      </c>
    </row>
    <row r="216" spans="1:30" ht="16.5" customHeight="1" x14ac:dyDescent="0.45">
      <c r="A216" s="12" t="s">
        <v>196</v>
      </c>
      <c r="B216" s="7">
        <v>0</v>
      </c>
      <c r="C216" s="8">
        <f>IFERROR(B216/B444, "NA")</f>
        <v>0</v>
      </c>
      <c r="D216" s="9"/>
      <c r="E216" s="7">
        <v>0</v>
      </c>
      <c r="F216" s="8">
        <f>IFERROR(E216/E444, "NA")</f>
        <v>0</v>
      </c>
      <c r="G216" s="9"/>
      <c r="H216" s="10">
        <f t="shared" si="56"/>
        <v>0</v>
      </c>
      <c r="I216" s="8">
        <f>IFERROR(H216/H444, "NA")</f>
        <v>0</v>
      </c>
      <c r="J216" s="9"/>
      <c r="K216" s="7">
        <v>0</v>
      </c>
      <c r="L216" s="8">
        <f>IFERROR(K216/K444, "NA")</f>
        <v>0</v>
      </c>
      <c r="M216" s="9"/>
      <c r="N216" s="10">
        <f t="shared" si="57"/>
        <v>0</v>
      </c>
      <c r="O216" s="8">
        <f>IFERROR(N216/N444, "NA")</f>
        <v>0</v>
      </c>
      <c r="P216" s="9"/>
      <c r="Q216" s="7">
        <v>2.1</v>
      </c>
      <c r="R216" s="8">
        <f>IFERROR(Q216/Q444, "NA")</f>
        <v>3.778559635738215E-6</v>
      </c>
      <c r="S216" s="9"/>
      <c r="T216" s="7">
        <v>0</v>
      </c>
      <c r="U216" s="8">
        <f>IFERROR(T216/T444, "NA")</f>
        <v>0</v>
      </c>
      <c r="V216" s="9"/>
      <c r="W216" s="10">
        <f t="shared" si="58"/>
        <v>-2.1</v>
      </c>
      <c r="X216" s="8">
        <f>IFERROR(W216/W444, "NA")</f>
        <v>1.6687844335788025E-4</v>
      </c>
      <c r="Y216" s="9"/>
      <c r="Z216" s="7">
        <v>0</v>
      </c>
      <c r="AA216" s="8">
        <f>IFERROR(Z216/Z444, "NA")</f>
        <v>0</v>
      </c>
      <c r="AB216" s="9"/>
      <c r="AC216" s="10">
        <f t="shared" si="59"/>
        <v>-2.1</v>
      </c>
      <c r="AD216" s="8">
        <f>IFERROR(AC216/AC444, "NA")</f>
        <v>-3.3127354802803914E-5</v>
      </c>
    </row>
    <row r="217" spans="1:30" ht="16.5" customHeight="1" x14ac:dyDescent="0.45">
      <c r="A217" s="12" t="s">
        <v>197</v>
      </c>
      <c r="B217" s="7">
        <v>1668.43</v>
      </c>
      <c r="C217" s="8">
        <f>IFERROR(B217/B444, "NA")</f>
        <v>1.4506106557626481E-2</v>
      </c>
      <c r="D217" s="9"/>
      <c r="E217" s="7">
        <v>0</v>
      </c>
      <c r="F217" s="8">
        <f>IFERROR(E217/E444, "NA")</f>
        <v>0</v>
      </c>
      <c r="G217" s="9"/>
      <c r="H217" s="10">
        <f t="shared" si="56"/>
        <v>-1668.43</v>
      </c>
      <c r="I217" s="8">
        <f>IFERROR(H217/H444, "NA")</f>
        <v>8.9759846694401818E-2</v>
      </c>
      <c r="J217" s="9"/>
      <c r="K217" s="7">
        <v>188</v>
      </c>
      <c r="L217" s="8">
        <f>IFERROR(K217/K444, "NA")</f>
        <v>1.6604364969594581E-3</v>
      </c>
      <c r="M217" s="9"/>
      <c r="N217" s="10">
        <f t="shared" si="57"/>
        <v>-1480.43</v>
      </c>
      <c r="O217" s="8">
        <f>IFERROR(N217/N444, "NA")</f>
        <v>-0.8259208015799554</v>
      </c>
      <c r="P217" s="9"/>
      <c r="Q217" s="7">
        <v>10853.32</v>
      </c>
      <c r="R217" s="8">
        <f>IFERROR(Q217/Q444, "NA")</f>
        <v>1.9528531840833467E-2</v>
      </c>
      <c r="S217" s="9"/>
      <c r="T217" s="7">
        <v>0</v>
      </c>
      <c r="U217" s="8">
        <f>IFERROR(T217/T444, "NA")</f>
        <v>0</v>
      </c>
      <c r="V217" s="9"/>
      <c r="W217" s="10">
        <f t="shared" si="58"/>
        <v>-10853.32</v>
      </c>
      <c r="X217" s="8">
        <f>IFERROR(W217/W444, "NA")</f>
        <v>0.86246911755473743</v>
      </c>
      <c r="Y217" s="9"/>
      <c r="Z217" s="7">
        <v>1077.3399999999999</v>
      </c>
      <c r="AA217" s="8">
        <f>IFERROR(Z217/Z444, "NA")</f>
        <v>2.1880450170957896E-3</v>
      </c>
      <c r="AB217" s="9"/>
      <c r="AC217" s="10">
        <f t="shared" si="59"/>
        <v>-9775.98</v>
      </c>
      <c r="AD217" s="8">
        <f>IFERROR(AC217/AC444, "NA")</f>
        <v>-0.15421540857386429</v>
      </c>
    </row>
    <row r="218" spans="1:30" ht="16.5" customHeight="1" x14ac:dyDescent="0.45">
      <c r="A218" s="13" t="s">
        <v>198</v>
      </c>
      <c r="B218" s="14">
        <f>IFERROR(B213+B214+B215+B216+B217, "NA")</f>
        <v>2280.5100000000002</v>
      </c>
      <c r="C218" s="15">
        <f>IFERROR(B218/B444, "NA")</f>
        <v>1.9827814811369231E-2</v>
      </c>
      <c r="D218" s="2"/>
      <c r="E218" s="14">
        <f>IFERROR(E213+E214+E215+E216+E217, "NA")</f>
        <v>3431.47</v>
      </c>
      <c r="F218" s="15">
        <f>IFERROR(E218/E444, "NA")</f>
        <v>2.5684000131433769E-2</v>
      </c>
      <c r="G218" s="2"/>
      <c r="H218" s="14">
        <f t="shared" si="56"/>
        <v>1150.9599999999996</v>
      </c>
      <c r="I218" s="15">
        <f>IFERROR(H218/H444, "NA")</f>
        <v>-6.1920484018741374E-2</v>
      </c>
      <c r="J218" s="2"/>
      <c r="K218" s="14">
        <f>IFERROR(K213+K214+K215+K216+K217, "NA")</f>
        <v>663</v>
      </c>
      <c r="L218" s="15">
        <f>IFERROR(K218/K444, "NA")</f>
        <v>5.855688284490004E-3</v>
      </c>
      <c r="M218" s="2"/>
      <c r="N218" s="14">
        <f t="shared" si="57"/>
        <v>-1617.5100000000002</v>
      </c>
      <c r="O218" s="15">
        <f>IFERROR(N218/N444, "NA")</f>
        <v>-0.90239670620265311</v>
      </c>
      <c r="P218" s="2"/>
      <c r="Q218" s="14">
        <f>IFERROR(Q213+Q214+Q215+Q216+Q217, "NA")</f>
        <v>21306.65</v>
      </c>
      <c r="R218" s="15">
        <f>IFERROR(Q218/Q444, "NA")</f>
        <v>3.8337356029905539E-2</v>
      </c>
      <c r="S218" s="2"/>
      <c r="T218" s="14">
        <f>IFERROR(T213+T214+T215+T216+T217, "NA")</f>
        <v>14922.5</v>
      </c>
      <c r="U218" s="15">
        <f>IFERROR(T218/T444, "NA")</f>
        <v>2.625576637155461E-2</v>
      </c>
      <c r="V218" s="2"/>
      <c r="W218" s="14">
        <f t="shared" si="58"/>
        <v>-6384.1500000000015</v>
      </c>
      <c r="X218" s="15">
        <f>IFERROR(W218/W444, "NA")</f>
        <v>0.5073223876967673</v>
      </c>
      <c r="Y218" s="2"/>
      <c r="Z218" s="14">
        <f>IFERROR(Z213+Z214+Z215+Z216+Z217, "NA")</f>
        <v>3322.34</v>
      </c>
      <c r="AA218" s="15">
        <f>IFERROR(Z218/Z444, "NA")</f>
        <v>6.7475722446934368E-3</v>
      </c>
      <c r="AB218" s="2"/>
      <c r="AC218" s="14">
        <f t="shared" si="59"/>
        <v>-17984.310000000001</v>
      </c>
      <c r="AD218" s="15">
        <f>IFERROR(AC218/AC444, "NA")</f>
        <v>-0.28370124678743547</v>
      </c>
    </row>
    <row r="219" spans="1:30" ht="16.5" hidden="1" customHeight="1" x14ac:dyDescent="0.45">
      <c r="A219" s="6" t="s">
        <v>199</v>
      </c>
      <c r="B219" s="7">
        <v>0</v>
      </c>
      <c r="C219" s="8">
        <f>IFERROR(B219/B444, "NA")</f>
        <v>0</v>
      </c>
      <c r="D219" s="9"/>
      <c r="E219" s="7">
        <v>0</v>
      </c>
      <c r="F219" s="8">
        <f>IFERROR(E219/E444, "NA")</f>
        <v>0</v>
      </c>
      <c r="G219" s="9"/>
      <c r="H219" s="10">
        <f t="shared" si="56"/>
        <v>0</v>
      </c>
      <c r="I219" s="8">
        <f>IFERROR(H219/H444, "NA")</f>
        <v>0</v>
      </c>
      <c r="J219" s="9"/>
      <c r="K219" s="7">
        <v>0</v>
      </c>
      <c r="L219" s="8">
        <f>IFERROR(K219/K444, "NA")</f>
        <v>0</v>
      </c>
      <c r="M219" s="9"/>
      <c r="N219" s="10">
        <f t="shared" si="57"/>
        <v>0</v>
      </c>
      <c r="O219" s="8">
        <f>IFERROR(N219/N444, "NA")</f>
        <v>0</v>
      </c>
      <c r="P219" s="9"/>
      <c r="Q219" s="7">
        <v>0</v>
      </c>
      <c r="R219" s="8">
        <f>IFERROR(Q219/Q444, "NA")</f>
        <v>0</v>
      </c>
      <c r="S219" s="9"/>
      <c r="T219" s="7">
        <v>0</v>
      </c>
      <c r="U219" s="8">
        <f>IFERROR(T219/T444, "NA")</f>
        <v>0</v>
      </c>
      <c r="V219" s="9"/>
      <c r="W219" s="10">
        <f t="shared" si="58"/>
        <v>0</v>
      </c>
      <c r="X219" s="8">
        <f>IFERROR(W219/W444, "NA")</f>
        <v>0</v>
      </c>
      <c r="Y219" s="9"/>
      <c r="Z219" s="7">
        <v>0</v>
      </c>
      <c r="AA219" s="8">
        <f>IFERROR(Z219/Z444, "NA")</f>
        <v>0</v>
      </c>
      <c r="AB219" s="9"/>
      <c r="AC219" s="10">
        <f t="shared" si="59"/>
        <v>0</v>
      </c>
      <c r="AD219" s="8">
        <f>IFERROR(AC219/AC444, "NA")</f>
        <v>0</v>
      </c>
    </row>
    <row r="220" spans="1:30" ht="16.5" hidden="1" customHeight="1" x14ac:dyDescent="0.45">
      <c r="A220" s="6" t="s">
        <v>200</v>
      </c>
      <c r="B220" s="7">
        <v>0</v>
      </c>
      <c r="C220" s="8">
        <f>IFERROR(B220/B444, "NA")</f>
        <v>0</v>
      </c>
      <c r="D220" s="9"/>
      <c r="E220" s="7">
        <v>0</v>
      </c>
      <c r="F220" s="8">
        <f>IFERROR(E220/E444, "NA")</f>
        <v>0</v>
      </c>
      <c r="G220" s="9"/>
      <c r="H220" s="10">
        <f t="shared" si="56"/>
        <v>0</v>
      </c>
      <c r="I220" s="8">
        <f>IFERROR(H220/H444, "NA")</f>
        <v>0</v>
      </c>
      <c r="J220" s="9"/>
      <c r="K220" s="7">
        <v>0</v>
      </c>
      <c r="L220" s="8">
        <f>IFERROR(K220/K444, "NA")</f>
        <v>0</v>
      </c>
      <c r="M220" s="9"/>
      <c r="N220" s="10">
        <f t="shared" si="57"/>
        <v>0</v>
      </c>
      <c r="O220" s="8">
        <f>IFERROR(N220/N444, "NA")</f>
        <v>0</v>
      </c>
      <c r="P220" s="9"/>
      <c r="Q220" s="7">
        <v>0</v>
      </c>
      <c r="R220" s="8">
        <f>IFERROR(Q220/Q444, "NA")</f>
        <v>0</v>
      </c>
      <c r="S220" s="9"/>
      <c r="T220" s="7">
        <v>0</v>
      </c>
      <c r="U220" s="8">
        <f>IFERROR(T220/T444, "NA")</f>
        <v>0</v>
      </c>
      <c r="V220" s="9"/>
      <c r="W220" s="10">
        <f t="shared" si="58"/>
        <v>0</v>
      </c>
      <c r="X220" s="8">
        <f>IFERROR(W220/W444, "NA")</f>
        <v>0</v>
      </c>
      <c r="Y220" s="9"/>
      <c r="Z220" s="7">
        <v>0</v>
      </c>
      <c r="AA220" s="8">
        <f>IFERROR(Z220/Z444, "NA")</f>
        <v>0</v>
      </c>
      <c r="AB220" s="9"/>
      <c r="AC220" s="10">
        <f t="shared" si="59"/>
        <v>0</v>
      </c>
      <c r="AD220" s="8">
        <f>IFERROR(AC220/AC444, "NA")</f>
        <v>0</v>
      </c>
    </row>
    <row r="221" spans="1:30" ht="16.5" hidden="1" customHeight="1" x14ac:dyDescent="0.45">
      <c r="A221" s="6" t="s">
        <v>201</v>
      </c>
      <c r="B221" s="7">
        <v>0</v>
      </c>
      <c r="C221" s="8">
        <f>IFERROR(B221/B444, "NA")</f>
        <v>0</v>
      </c>
      <c r="D221" s="9"/>
      <c r="E221" s="7">
        <v>0</v>
      </c>
      <c r="F221" s="8">
        <f>IFERROR(E221/E444, "NA")</f>
        <v>0</v>
      </c>
      <c r="G221" s="9"/>
      <c r="H221" s="10">
        <f t="shared" si="56"/>
        <v>0</v>
      </c>
      <c r="I221" s="8">
        <f>IFERROR(H221/H444, "NA")</f>
        <v>0</v>
      </c>
      <c r="J221" s="9"/>
      <c r="K221" s="7">
        <v>0</v>
      </c>
      <c r="L221" s="8">
        <f>IFERROR(K221/K444, "NA")</f>
        <v>0</v>
      </c>
      <c r="M221" s="9"/>
      <c r="N221" s="10">
        <f t="shared" si="57"/>
        <v>0</v>
      </c>
      <c r="O221" s="8">
        <f>IFERROR(N221/N444, "NA")</f>
        <v>0</v>
      </c>
      <c r="P221" s="9"/>
      <c r="Q221" s="7">
        <v>0</v>
      </c>
      <c r="R221" s="8">
        <f>IFERROR(Q221/Q444, "NA")</f>
        <v>0</v>
      </c>
      <c r="S221" s="9"/>
      <c r="T221" s="7">
        <v>0</v>
      </c>
      <c r="U221" s="8">
        <f>IFERROR(T221/T444, "NA")</f>
        <v>0</v>
      </c>
      <c r="V221" s="9"/>
      <c r="W221" s="10">
        <f t="shared" si="58"/>
        <v>0</v>
      </c>
      <c r="X221" s="8">
        <f>IFERROR(W221/W444, "NA")</f>
        <v>0</v>
      </c>
      <c r="Y221" s="9"/>
      <c r="Z221" s="7">
        <v>0</v>
      </c>
      <c r="AA221" s="8">
        <f>IFERROR(Z221/Z444, "NA")</f>
        <v>0</v>
      </c>
      <c r="AB221" s="9"/>
      <c r="AC221" s="10">
        <f t="shared" si="59"/>
        <v>0</v>
      </c>
      <c r="AD221" s="8">
        <f>IFERROR(AC221/AC444, "NA")</f>
        <v>0</v>
      </c>
    </row>
    <row r="222" spans="1:30" ht="16.5" customHeight="1" x14ac:dyDescent="0.45">
      <c r="A222" s="6" t="s">
        <v>202</v>
      </c>
      <c r="B222" s="7">
        <v>0</v>
      </c>
      <c r="C222" s="8">
        <f>IFERROR(B222/B444, "NA")</f>
        <v>0</v>
      </c>
      <c r="D222" s="9"/>
      <c r="E222" s="7">
        <v>0</v>
      </c>
      <c r="F222" s="8">
        <f>IFERROR(E222/E444, "NA")</f>
        <v>0</v>
      </c>
      <c r="G222" s="9"/>
      <c r="H222" s="10">
        <f t="shared" si="56"/>
        <v>0</v>
      </c>
      <c r="I222" s="8">
        <f>IFERROR(H222/H444, "NA")</f>
        <v>0</v>
      </c>
      <c r="J222" s="9"/>
      <c r="K222" s="7">
        <v>0</v>
      </c>
      <c r="L222" s="8">
        <f>IFERROR(K222/K444, "NA")</f>
        <v>0</v>
      </c>
      <c r="M222" s="9"/>
      <c r="N222" s="10">
        <f t="shared" si="57"/>
        <v>0</v>
      </c>
      <c r="O222" s="8">
        <f>IFERROR(N222/N444, "NA")</f>
        <v>0</v>
      </c>
      <c r="P222" s="9"/>
      <c r="Q222" s="7">
        <v>509.06</v>
      </c>
      <c r="R222" s="8">
        <f>IFERROR(Q222/Q444, "NA")</f>
        <v>9.1595884198518841E-4</v>
      </c>
      <c r="S222" s="9"/>
      <c r="T222" s="7">
        <v>0</v>
      </c>
      <c r="U222" s="8">
        <f>IFERROR(T222/T444, "NA")</f>
        <v>0</v>
      </c>
      <c r="V222" s="9"/>
      <c r="W222" s="10">
        <f t="shared" si="58"/>
        <v>-509.06</v>
      </c>
      <c r="X222" s="8">
        <f>IFERROR(W222/W444, "NA")</f>
        <v>4.0452923988458338E-2</v>
      </c>
      <c r="Y222" s="9"/>
      <c r="Z222" s="7">
        <v>0</v>
      </c>
      <c r="AA222" s="8">
        <f>IFERROR(Z222/Z444, "NA")</f>
        <v>0</v>
      </c>
      <c r="AB222" s="9"/>
      <c r="AC222" s="10">
        <f t="shared" si="59"/>
        <v>-509.06</v>
      </c>
      <c r="AD222" s="8">
        <f>IFERROR(AC222/AC444, "NA")</f>
        <v>-8.030386302816838E-3</v>
      </c>
    </row>
    <row r="223" spans="1:30" ht="16.5" hidden="1" customHeight="1" x14ac:dyDescent="0.45">
      <c r="A223" s="6" t="s">
        <v>203</v>
      </c>
      <c r="B223" s="7">
        <v>0</v>
      </c>
      <c r="C223" s="8">
        <f>IFERROR(B223/B444, "NA")</f>
        <v>0</v>
      </c>
      <c r="D223" s="9"/>
      <c r="E223" s="7">
        <v>0</v>
      </c>
      <c r="F223" s="8">
        <f>IFERROR(E223/E444, "NA")</f>
        <v>0</v>
      </c>
      <c r="G223" s="9"/>
      <c r="H223" s="10">
        <f t="shared" si="56"/>
        <v>0</v>
      </c>
      <c r="I223" s="8">
        <f>IFERROR(H223/H444, "NA")</f>
        <v>0</v>
      </c>
      <c r="J223" s="9"/>
      <c r="K223" s="7">
        <v>0</v>
      </c>
      <c r="L223" s="8">
        <f>IFERROR(K223/K444, "NA")</f>
        <v>0</v>
      </c>
      <c r="M223" s="9"/>
      <c r="N223" s="10">
        <f t="shared" si="57"/>
        <v>0</v>
      </c>
      <c r="O223" s="8">
        <f>IFERROR(N223/N444, "NA")</f>
        <v>0</v>
      </c>
      <c r="P223" s="9"/>
      <c r="Q223" s="7">
        <v>0</v>
      </c>
      <c r="R223" s="8">
        <f>IFERROR(Q223/Q444, "NA")</f>
        <v>0</v>
      </c>
      <c r="S223" s="9"/>
      <c r="T223" s="7">
        <v>0</v>
      </c>
      <c r="U223" s="8">
        <f>IFERROR(T223/T444, "NA")</f>
        <v>0</v>
      </c>
      <c r="V223" s="9"/>
      <c r="W223" s="10">
        <f t="shared" si="58"/>
        <v>0</v>
      </c>
      <c r="X223" s="8">
        <f>IFERROR(W223/W444, "NA")</f>
        <v>0</v>
      </c>
      <c r="Y223" s="9"/>
      <c r="Z223" s="7">
        <v>0</v>
      </c>
      <c r="AA223" s="8">
        <f>IFERROR(Z223/Z444, "NA")</f>
        <v>0</v>
      </c>
      <c r="AB223" s="9"/>
      <c r="AC223" s="10">
        <f t="shared" si="59"/>
        <v>0</v>
      </c>
      <c r="AD223" s="8">
        <f>IFERROR(AC223/AC444, "NA")</f>
        <v>0</v>
      </c>
    </row>
    <row r="224" spans="1:30" ht="16.5" hidden="1" customHeight="1" x14ac:dyDescent="0.45">
      <c r="A224" s="6" t="s">
        <v>204</v>
      </c>
      <c r="B224" s="7">
        <v>0</v>
      </c>
      <c r="C224" s="8">
        <f>IFERROR(B224/B444, "NA")</f>
        <v>0</v>
      </c>
      <c r="D224" s="9"/>
      <c r="E224" s="7">
        <v>0</v>
      </c>
      <c r="F224" s="8">
        <f>IFERROR(E224/E444, "NA")</f>
        <v>0</v>
      </c>
      <c r="G224" s="9"/>
      <c r="H224" s="10">
        <f t="shared" si="56"/>
        <v>0</v>
      </c>
      <c r="I224" s="8">
        <f>IFERROR(H224/H444, "NA")</f>
        <v>0</v>
      </c>
      <c r="J224" s="9"/>
      <c r="K224" s="7">
        <v>0</v>
      </c>
      <c r="L224" s="8">
        <f>IFERROR(K224/K444, "NA")</f>
        <v>0</v>
      </c>
      <c r="M224" s="9"/>
      <c r="N224" s="10">
        <f t="shared" si="57"/>
        <v>0</v>
      </c>
      <c r="O224" s="8">
        <f>IFERROR(N224/N444, "NA")</f>
        <v>0</v>
      </c>
      <c r="P224" s="9"/>
      <c r="Q224" s="7">
        <v>0</v>
      </c>
      <c r="R224" s="8">
        <f>IFERROR(Q224/Q444, "NA")</f>
        <v>0</v>
      </c>
      <c r="S224" s="9"/>
      <c r="T224" s="7">
        <v>0</v>
      </c>
      <c r="U224" s="8">
        <f>IFERROR(T224/T444, "NA")</f>
        <v>0</v>
      </c>
      <c r="V224" s="9"/>
      <c r="W224" s="10">
        <f t="shared" si="58"/>
        <v>0</v>
      </c>
      <c r="X224" s="8">
        <f>IFERROR(W224/W444, "NA")</f>
        <v>0</v>
      </c>
      <c r="Y224" s="9"/>
      <c r="Z224" s="7">
        <v>0</v>
      </c>
      <c r="AA224" s="8">
        <f>IFERROR(Z224/Z444, "NA")</f>
        <v>0</v>
      </c>
      <c r="AB224" s="9"/>
      <c r="AC224" s="10">
        <f t="shared" si="59"/>
        <v>0</v>
      </c>
      <c r="AD224" s="8">
        <f>IFERROR(AC224/AC444, "NA")</f>
        <v>0</v>
      </c>
    </row>
    <row r="225" spans="1:30" ht="16.5" hidden="1" customHeight="1" x14ac:dyDescent="0.45">
      <c r="A225" s="6" t="s">
        <v>205</v>
      </c>
      <c r="B225" s="7">
        <v>0</v>
      </c>
      <c r="C225" s="8">
        <f>IFERROR(B225/B444, "NA")</f>
        <v>0</v>
      </c>
      <c r="D225" s="9"/>
      <c r="E225" s="7">
        <v>0</v>
      </c>
      <c r="F225" s="8">
        <f>IFERROR(E225/E444, "NA")</f>
        <v>0</v>
      </c>
      <c r="G225" s="9"/>
      <c r="H225" s="10">
        <f t="shared" si="56"/>
        <v>0</v>
      </c>
      <c r="I225" s="8">
        <f>IFERROR(H225/H444, "NA")</f>
        <v>0</v>
      </c>
      <c r="J225" s="9"/>
      <c r="K225" s="7">
        <v>0</v>
      </c>
      <c r="L225" s="8">
        <f>IFERROR(K225/K444, "NA")</f>
        <v>0</v>
      </c>
      <c r="M225" s="9"/>
      <c r="N225" s="10">
        <f t="shared" si="57"/>
        <v>0</v>
      </c>
      <c r="O225" s="8">
        <f>IFERROR(N225/N444, "NA")</f>
        <v>0</v>
      </c>
      <c r="P225" s="9"/>
      <c r="Q225" s="7">
        <v>0</v>
      </c>
      <c r="R225" s="8">
        <f>IFERROR(Q225/Q444, "NA")</f>
        <v>0</v>
      </c>
      <c r="S225" s="9"/>
      <c r="T225" s="7">
        <v>0</v>
      </c>
      <c r="U225" s="8">
        <f>IFERROR(T225/T444, "NA")</f>
        <v>0</v>
      </c>
      <c r="V225" s="9"/>
      <c r="W225" s="10">
        <f t="shared" si="58"/>
        <v>0</v>
      </c>
      <c r="X225" s="8">
        <f>IFERROR(W225/W444, "NA")</f>
        <v>0</v>
      </c>
      <c r="Y225" s="9"/>
      <c r="Z225" s="7">
        <v>0</v>
      </c>
      <c r="AA225" s="8">
        <f>IFERROR(Z225/Z444, "NA")</f>
        <v>0</v>
      </c>
      <c r="AB225" s="9"/>
      <c r="AC225" s="10">
        <f t="shared" si="59"/>
        <v>0</v>
      </c>
      <c r="AD225" s="8">
        <f>IFERROR(AC225/AC444, "NA")</f>
        <v>0</v>
      </c>
    </row>
    <row r="226" spans="1:30" ht="16.5" customHeight="1" x14ac:dyDescent="0.45">
      <c r="A226" s="6" t="s">
        <v>206</v>
      </c>
      <c r="B226" s="7">
        <v>0</v>
      </c>
      <c r="C226" s="8">
        <f>IFERROR(B226/B444, "NA")</f>
        <v>0</v>
      </c>
      <c r="D226" s="9"/>
      <c r="E226" s="7">
        <v>133.6</v>
      </c>
      <c r="F226" s="8">
        <f>IFERROR(E226/E444, "NA")</f>
        <v>9.9997447669935972E-4</v>
      </c>
      <c r="G226" s="9"/>
      <c r="H226" s="10">
        <f t="shared" si="56"/>
        <v>133.6</v>
      </c>
      <c r="I226" s="8">
        <f>IFERROR(H226/H444, "NA")</f>
        <v>-7.1875448885311824E-3</v>
      </c>
      <c r="J226" s="9"/>
      <c r="K226" s="7">
        <v>0</v>
      </c>
      <c r="L226" s="8">
        <f>IFERROR(K226/K444, "NA")</f>
        <v>0</v>
      </c>
      <c r="M226" s="9"/>
      <c r="N226" s="10">
        <f t="shared" si="57"/>
        <v>0</v>
      </c>
      <c r="O226" s="8">
        <f>IFERROR(N226/N444, "NA")</f>
        <v>0</v>
      </c>
      <c r="P226" s="9"/>
      <c r="Q226" s="7">
        <v>0</v>
      </c>
      <c r="R226" s="8">
        <f>IFERROR(Q226/Q444, "NA")</f>
        <v>0</v>
      </c>
      <c r="S226" s="9"/>
      <c r="T226" s="7">
        <v>568.36</v>
      </c>
      <c r="U226" s="8">
        <f>IFERROR(T226/T444, "NA")</f>
        <v>1.0000152370538971E-3</v>
      </c>
      <c r="V226" s="9"/>
      <c r="W226" s="10">
        <f t="shared" si="58"/>
        <v>568.36</v>
      </c>
      <c r="X226" s="8">
        <f>IFERROR(W226/W444, "NA")</f>
        <v>-4.5165253365183247E-2</v>
      </c>
      <c r="Y226" s="9"/>
      <c r="Z226" s="7">
        <v>0</v>
      </c>
      <c r="AA226" s="8">
        <f>IFERROR(Z226/Z444, "NA")</f>
        <v>0</v>
      </c>
      <c r="AB226" s="9"/>
      <c r="AC226" s="10">
        <f t="shared" si="59"/>
        <v>0</v>
      </c>
      <c r="AD226" s="8">
        <f>IFERROR(AC226/AC444, "NA")</f>
        <v>0</v>
      </c>
    </row>
    <row r="227" spans="1:30" ht="16.5" customHeight="1" x14ac:dyDescent="0.45">
      <c r="A227" s="19" t="s">
        <v>207</v>
      </c>
      <c r="B227" s="14">
        <f>IFERROR(B211+B213+B214+B215+B216+B217+B219+B220+B221+B222+B223+B224+B225+B226, "NA")</f>
        <v>2280.5100000000002</v>
      </c>
      <c r="C227" s="15">
        <f>IFERROR(B227/B444, "NA")</f>
        <v>1.9827814811369231E-2</v>
      </c>
      <c r="D227" s="2"/>
      <c r="E227" s="14">
        <f>IFERROR(E211+E213+E214+E215+E216+E217+E219+E220+E221+E222+E223+E224+E225+E226, "NA")</f>
        <v>3565.0699999999997</v>
      </c>
      <c r="F227" s="15">
        <f>IFERROR(E227/E444, "NA")</f>
        <v>2.6683974608133126E-2</v>
      </c>
      <c r="G227" s="2"/>
      <c r="H227" s="14">
        <f t="shared" si="56"/>
        <v>1284.5599999999995</v>
      </c>
      <c r="I227" s="15">
        <f>IFERROR(H227/H444, "NA")</f>
        <v>-6.9108028907272551E-2</v>
      </c>
      <c r="J227" s="2"/>
      <c r="K227" s="14">
        <f>IFERROR(K211+K213+K214+K215+K216+K217+K219+K220+K221+K222+K223+K224+K225+K226, "NA")</f>
        <v>663</v>
      </c>
      <c r="L227" s="15">
        <f>IFERROR(K227/K444, "NA")</f>
        <v>5.855688284490004E-3</v>
      </c>
      <c r="M227" s="2"/>
      <c r="N227" s="14">
        <f t="shared" si="57"/>
        <v>-1617.5100000000002</v>
      </c>
      <c r="O227" s="15">
        <f>IFERROR(N227/N444, "NA")</f>
        <v>-0.90239670620265311</v>
      </c>
      <c r="P227" s="2"/>
      <c r="Q227" s="14">
        <f>IFERROR(Q211+Q213+Q214+Q215+Q216+Q217+Q219+Q220+Q221+Q222+Q223+Q224+Q225+Q226, "NA")</f>
        <v>21815.710000000003</v>
      </c>
      <c r="R227" s="15">
        <f>IFERROR(Q227/Q444, "NA")</f>
        <v>3.9253314871890731E-2</v>
      </c>
      <c r="S227" s="2"/>
      <c r="T227" s="14">
        <f>IFERROR(T211+T213+T214+T215+T216+T217+T219+T220+T221+T222+T223+T224+T225+T226, "NA")</f>
        <v>15490.86</v>
      </c>
      <c r="U227" s="15">
        <f>IFERROR(T227/T444, "NA")</f>
        <v>2.7255781608608507E-2</v>
      </c>
      <c r="V227" s="2"/>
      <c r="W227" s="14">
        <f t="shared" si="58"/>
        <v>-6324.8500000000022</v>
      </c>
      <c r="X227" s="15">
        <f>IFERROR(W227/W444, "NA")</f>
        <v>0.50261005832004246</v>
      </c>
      <c r="Y227" s="2"/>
      <c r="Z227" s="14">
        <f>IFERROR(Z211+Z213+Z214+Z215+Z216+Z217+Z219+Z220+Z221+Z222+Z223+Z224+Z225+Z226, "NA")</f>
        <v>3322.34</v>
      </c>
      <c r="AA227" s="15">
        <f>IFERROR(Z227/Z444, "NA")</f>
        <v>6.7475722446934368E-3</v>
      </c>
      <c r="AB227" s="2"/>
      <c r="AC227" s="14">
        <f t="shared" si="59"/>
        <v>-18493.370000000003</v>
      </c>
      <c r="AD227" s="15">
        <f>IFERROR(AC227/AC444, "NA")</f>
        <v>-0.29173163309025235</v>
      </c>
    </row>
    <row r="228" spans="1:30" ht="16.5" customHeight="1" x14ac:dyDescent="0.45">
      <c r="A228" s="5" t="s">
        <v>208</v>
      </c>
      <c r="B228" s="2"/>
      <c r="C228" s="3"/>
      <c r="D228" s="4"/>
      <c r="E228" s="2"/>
      <c r="F228" s="3"/>
      <c r="G228" s="4"/>
      <c r="H228" s="2"/>
      <c r="I228" s="3"/>
      <c r="J228" s="4"/>
      <c r="K228" s="2"/>
      <c r="L228" s="3"/>
      <c r="M228" s="4"/>
      <c r="N228" s="2"/>
      <c r="O228" s="3"/>
      <c r="P228" s="4"/>
      <c r="Q228" s="2"/>
      <c r="R228" s="3"/>
      <c r="S228" s="4"/>
      <c r="T228" s="2"/>
      <c r="U228" s="3"/>
      <c r="V228" s="4"/>
      <c r="W228" s="2"/>
      <c r="X228" s="3"/>
      <c r="Y228" s="4"/>
      <c r="Z228" s="2"/>
      <c r="AA228" s="3"/>
      <c r="AB228" s="4"/>
      <c r="AC228" s="2"/>
      <c r="AD228" s="3"/>
    </row>
    <row r="229" spans="1:30" ht="16.5" customHeight="1" x14ac:dyDescent="0.45">
      <c r="A229" s="6" t="s">
        <v>208</v>
      </c>
      <c r="B229" s="7">
        <v>0</v>
      </c>
      <c r="C229" s="8">
        <f>IFERROR(B229/B444, "NA")</f>
        <v>0</v>
      </c>
      <c r="D229" s="9"/>
      <c r="E229" s="7">
        <v>1966.64</v>
      </c>
      <c r="F229" s="8">
        <f>IFERROR(E229/E444, "NA")</f>
        <v>1.4719983569281652E-2</v>
      </c>
      <c r="G229" s="9"/>
      <c r="H229" s="10">
        <f t="shared" ref="H229:H236" si="60">IFERROR(-(B229-E229), "NA")</f>
        <v>1966.64</v>
      </c>
      <c r="I229" s="8">
        <f>IFERROR(H229/H444, "NA")</f>
        <v>-0.10580324311063598</v>
      </c>
      <c r="J229" s="9"/>
      <c r="K229" s="7">
        <v>0</v>
      </c>
      <c r="L229" s="8">
        <f>IFERROR(K229/K444, "NA")</f>
        <v>0</v>
      </c>
      <c r="M229" s="9"/>
      <c r="N229" s="10">
        <f t="shared" ref="N229:N236" si="61">IFERROR(-(B229-K229), "NA")</f>
        <v>0</v>
      </c>
      <c r="O229" s="8">
        <f>IFERROR(N229/N444, "NA")</f>
        <v>0</v>
      </c>
      <c r="P229" s="9"/>
      <c r="Q229" s="7">
        <v>0</v>
      </c>
      <c r="R229" s="8">
        <f>IFERROR(Q229/Q444, "NA")</f>
        <v>0</v>
      </c>
      <c r="S229" s="9"/>
      <c r="T229" s="7">
        <v>8366.14</v>
      </c>
      <c r="U229" s="8">
        <f>IFERROR(T229/T444, "NA")</f>
        <v>1.4720014560007899E-2</v>
      </c>
      <c r="V229" s="9"/>
      <c r="W229" s="10">
        <f t="shared" ref="W229:W236" si="62">IFERROR(-(Q229-T229), "NA")</f>
        <v>8366.14</v>
      </c>
      <c r="X229" s="8">
        <f>IFERROR(W229/W444, "NA")</f>
        <v>-0.66482305719718859</v>
      </c>
      <c r="Y229" s="9"/>
      <c r="Z229" s="7">
        <v>0</v>
      </c>
      <c r="AA229" s="8">
        <f>IFERROR(Z229/Z444, "NA")</f>
        <v>0</v>
      </c>
      <c r="AB229" s="9"/>
      <c r="AC229" s="10">
        <f t="shared" ref="AC229:AC236" si="63">IFERROR(-(Q229-Z229), "NA")</f>
        <v>0</v>
      </c>
      <c r="AD229" s="8">
        <f>IFERROR(AC229/AC444, "NA")</f>
        <v>0</v>
      </c>
    </row>
    <row r="230" spans="1:30" ht="16.5" customHeight="1" x14ac:dyDescent="0.45">
      <c r="A230" s="6" t="s">
        <v>209</v>
      </c>
      <c r="B230" s="7">
        <v>0</v>
      </c>
      <c r="C230" s="8">
        <f>IFERROR(B230/B444, "NA")</f>
        <v>0</v>
      </c>
      <c r="D230" s="9"/>
      <c r="E230" s="7">
        <v>0</v>
      </c>
      <c r="F230" s="8">
        <f>IFERROR(E230/E444, "NA")</f>
        <v>0</v>
      </c>
      <c r="G230" s="9"/>
      <c r="H230" s="10">
        <f t="shared" si="60"/>
        <v>0</v>
      </c>
      <c r="I230" s="8">
        <f>IFERROR(H230/H444, "NA")</f>
        <v>0</v>
      </c>
      <c r="J230" s="9"/>
      <c r="K230" s="7">
        <v>0</v>
      </c>
      <c r="L230" s="8">
        <f>IFERROR(K230/K444, "NA")</f>
        <v>0</v>
      </c>
      <c r="M230" s="9"/>
      <c r="N230" s="10">
        <f t="shared" si="61"/>
        <v>0</v>
      </c>
      <c r="O230" s="8">
        <f>IFERROR(N230/N444, "NA")</f>
        <v>0</v>
      </c>
      <c r="P230" s="9"/>
      <c r="Q230" s="7">
        <v>0</v>
      </c>
      <c r="R230" s="8">
        <f>IFERROR(Q230/Q444, "NA")</f>
        <v>0</v>
      </c>
      <c r="S230" s="9"/>
      <c r="T230" s="7">
        <v>0</v>
      </c>
      <c r="U230" s="8">
        <f>IFERROR(T230/T444, "NA")</f>
        <v>0</v>
      </c>
      <c r="V230" s="9"/>
      <c r="W230" s="10">
        <f t="shared" si="62"/>
        <v>0</v>
      </c>
      <c r="X230" s="8">
        <f>IFERROR(W230/W444, "NA")</f>
        <v>0</v>
      </c>
      <c r="Y230" s="9"/>
      <c r="Z230" s="7">
        <v>-257.66000000000003</v>
      </c>
      <c r="AA230" s="8">
        <f>IFERROR(Z230/Z444, "NA")</f>
        <v>-5.2329968172062794E-4</v>
      </c>
      <c r="AB230" s="9"/>
      <c r="AC230" s="10">
        <f t="shared" si="63"/>
        <v>-257.66000000000003</v>
      </c>
      <c r="AD230" s="8">
        <f>IFERROR(AC230/AC444, "NA")</f>
        <v>-4.0645686849954555E-3</v>
      </c>
    </row>
    <row r="231" spans="1:30" ht="16.5" customHeight="1" x14ac:dyDescent="0.45">
      <c r="A231" s="6" t="s">
        <v>210</v>
      </c>
      <c r="B231" s="7">
        <v>203</v>
      </c>
      <c r="C231" s="8">
        <f>IFERROR(B231/B444, "NA")</f>
        <v>1.7649764336521016E-3</v>
      </c>
      <c r="D231" s="9"/>
      <c r="E231" s="7">
        <v>0</v>
      </c>
      <c r="F231" s="8">
        <f>IFERROR(E231/E444, "NA")</f>
        <v>0</v>
      </c>
      <c r="G231" s="9"/>
      <c r="H231" s="10">
        <f t="shared" si="60"/>
        <v>-203</v>
      </c>
      <c r="I231" s="8">
        <f>IFERROR(H231/H444, "NA")</f>
        <v>1.0921194703381962E-2</v>
      </c>
      <c r="J231" s="9"/>
      <c r="K231" s="7">
        <v>255.31</v>
      </c>
      <c r="L231" s="8">
        <f>IFERROR(K231/K444, "NA")</f>
        <v>2.2549257555251022E-3</v>
      </c>
      <c r="M231" s="9"/>
      <c r="N231" s="10">
        <f t="shared" si="61"/>
        <v>52.31</v>
      </c>
      <c r="O231" s="8">
        <f>IFERROR(N231/N444, "NA")</f>
        <v>2.9183356950782856E-2</v>
      </c>
      <c r="P231" s="9"/>
      <c r="Q231" s="7">
        <v>973.05</v>
      </c>
      <c r="R231" s="8">
        <f>IFERROR(Q231/Q444, "NA")</f>
        <v>1.7508225969309855E-3</v>
      </c>
      <c r="S231" s="9"/>
      <c r="T231" s="7">
        <v>0</v>
      </c>
      <c r="U231" s="8">
        <f>IFERROR(T231/T444, "NA")</f>
        <v>0</v>
      </c>
      <c r="V231" s="9"/>
      <c r="W231" s="10">
        <f t="shared" si="62"/>
        <v>-973.05</v>
      </c>
      <c r="X231" s="8">
        <f>IFERROR(W231/W444, "NA")</f>
        <v>7.7324318718754934E-2</v>
      </c>
      <c r="Y231" s="9"/>
      <c r="Z231" s="7">
        <v>1076.08</v>
      </c>
      <c r="AA231" s="8">
        <f>IFERROR(Z231/Z444, "NA")</f>
        <v>2.185485995132862E-3</v>
      </c>
      <c r="AB231" s="9"/>
      <c r="AC231" s="10">
        <f t="shared" si="63"/>
        <v>103.02999999999997</v>
      </c>
      <c r="AD231" s="8">
        <f>IFERROR(AC231/AC444, "NA")</f>
        <v>1.6252911263489934E-3</v>
      </c>
    </row>
    <row r="232" spans="1:30" ht="16.5" hidden="1" customHeight="1" x14ac:dyDescent="0.45">
      <c r="A232" s="6" t="s">
        <v>211</v>
      </c>
      <c r="B232" s="7">
        <v>0</v>
      </c>
      <c r="C232" s="8">
        <f>IFERROR(B232/B444, "NA")</f>
        <v>0</v>
      </c>
      <c r="D232" s="9"/>
      <c r="E232" s="7">
        <v>0</v>
      </c>
      <c r="F232" s="8">
        <f>IFERROR(E232/E444, "NA")</f>
        <v>0</v>
      </c>
      <c r="G232" s="9"/>
      <c r="H232" s="10">
        <f t="shared" si="60"/>
        <v>0</v>
      </c>
      <c r="I232" s="8">
        <f>IFERROR(H232/H444, "NA")</f>
        <v>0</v>
      </c>
      <c r="J232" s="9"/>
      <c r="K232" s="7">
        <v>0</v>
      </c>
      <c r="L232" s="8">
        <f>IFERROR(K232/K444, "NA")</f>
        <v>0</v>
      </c>
      <c r="M232" s="9"/>
      <c r="N232" s="10">
        <f t="shared" si="61"/>
        <v>0</v>
      </c>
      <c r="O232" s="8">
        <f>IFERROR(N232/N444, "NA")</f>
        <v>0</v>
      </c>
      <c r="P232" s="9"/>
      <c r="Q232" s="7">
        <v>0</v>
      </c>
      <c r="R232" s="8">
        <f>IFERROR(Q232/Q444, "NA")</f>
        <v>0</v>
      </c>
      <c r="S232" s="9"/>
      <c r="T232" s="7">
        <v>0</v>
      </c>
      <c r="U232" s="8">
        <f>IFERROR(T232/T444, "NA")</f>
        <v>0</v>
      </c>
      <c r="V232" s="9"/>
      <c r="W232" s="10">
        <f t="shared" si="62"/>
        <v>0</v>
      </c>
      <c r="X232" s="8">
        <f>IFERROR(W232/W444, "NA")</f>
        <v>0</v>
      </c>
      <c r="Y232" s="9"/>
      <c r="Z232" s="7">
        <v>0</v>
      </c>
      <c r="AA232" s="8">
        <f>IFERROR(Z232/Z444, "NA")</f>
        <v>0</v>
      </c>
      <c r="AB232" s="9"/>
      <c r="AC232" s="10">
        <f t="shared" si="63"/>
        <v>0</v>
      </c>
      <c r="AD232" s="8">
        <f>IFERROR(AC232/AC444, "NA")</f>
        <v>0</v>
      </c>
    </row>
    <row r="233" spans="1:30" ht="16.5" hidden="1" customHeight="1" x14ac:dyDescent="0.45">
      <c r="A233" s="6" t="s">
        <v>212</v>
      </c>
      <c r="B233" s="7">
        <v>0</v>
      </c>
      <c r="C233" s="8">
        <f>IFERROR(B233/B444, "NA")</f>
        <v>0</v>
      </c>
      <c r="D233" s="9"/>
      <c r="E233" s="7">
        <v>0</v>
      </c>
      <c r="F233" s="8">
        <f>IFERROR(E233/E444, "NA")</f>
        <v>0</v>
      </c>
      <c r="G233" s="9"/>
      <c r="H233" s="10">
        <f t="shared" si="60"/>
        <v>0</v>
      </c>
      <c r="I233" s="8">
        <f>IFERROR(H233/H444, "NA")</f>
        <v>0</v>
      </c>
      <c r="J233" s="9"/>
      <c r="K233" s="7">
        <v>0</v>
      </c>
      <c r="L233" s="8">
        <f>IFERROR(K233/K444, "NA")</f>
        <v>0</v>
      </c>
      <c r="M233" s="9"/>
      <c r="N233" s="10">
        <f t="shared" si="61"/>
        <v>0</v>
      </c>
      <c r="O233" s="8">
        <f>IFERROR(N233/N444, "NA")</f>
        <v>0</v>
      </c>
      <c r="P233" s="9"/>
      <c r="Q233" s="7">
        <v>0</v>
      </c>
      <c r="R233" s="8">
        <f>IFERROR(Q233/Q444, "NA")</f>
        <v>0</v>
      </c>
      <c r="S233" s="9"/>
      <c r="T233" s="7">
        <v>0</v>
      </c>
      <c r="U233" s="8">
        <f>IFERROR(T233/T444, "NA")</f>
        <v>0</v>
      </c>
      <c r="V233" s="9"/>
      <c r="W233" s="10">
        <f t="shared" si="62"/>
        <v>0</v>
      </c>
      <c r="X233" s="8">
        <f>IFERROR(W233/W444, "NA")</f>
        <v>0</v>
      </c>
      <c r="Y233" s="9"/>
      <c r="Z233" s="7">
        <v>0</v>
      </c>
      <c r="AA233" s="8">
        <f>IFERROR(Z233/Z444, "NA")</f>
        <v>0</v>
      </c>
      <c r="AB233" s="9"/>
      <c r="AC233" s="10">
        <f t="shared" si="63"/>
        <v>0</v>
      </c>
      <c r="AD233" s="8">
        <f>IFERROR(AC233/AC444, "NA")</f>
        <v>0</v>
      </c>
    </row>
    <row r="234" spans="1:30" ht="16.5" customHeight="1" x14ac:dyDescent="0.45">
      <c r="A234" s="6" t="s">
        <v>213</v>
      </c>
      <c r="B234" s="7">
        <v>1785.56</v>
      </c>
      <c r="C234" s="8">
        <f>IFERROR(B234/B444, "NA")</f>
        <v>1.5524489265378553E-2</v>
      </c>
      <c r="D234" s="9"/>
      <c r="E234" s="7">
        <v>0</v>
      </c>
      <c r="F234" s="8">
        <f>IFERROR(E234/E444, "NA")</f>
        <v>0</v>
      </c>
      <c r="G234" s="9"/>
      <c r="H234" s="10">
        <f t="shared" si="60"/>
        <v>-1785.56</v>
      </c>
      <c r="I234" s="8">
        <f>IFERROR(H234/H444, "NA")</f>
        <v>9.6061322239264516E-2</v>
      </c>
      <c r="J234" s="9"/>
      <c r="K234" s="7">
        <v>1985.71</v>
      </c>
      <c r="L234" s="8">
        <f>IFERROR(K234/K444, "NA")</f>
        <v>1.7538007214773221E-2</v>
      </c>
      <c r="M234" s="9"/>
      <c r="N234" s="10">
        <f t="shared" si="61"/>
        <v>200.15000000000009</v>
      </c>
      <c r="O234" s="8">
        <f>IFERROR(N234/N444, "NA")</f>
        <v>0.1116621849302082</v>
      </c>
      <c r="P234" s="9"/>
      <c r="Q234" s="7">
        <v>7586.57</v>
      </c>
      <c r="R234" s="8">
        <f>IFERROR(Q234/Q444, "NA")</f>
        <v>1.3650622464620222E-2</v>
      </c>
      <c r="S234" s="9"/>
      <c r="T234" s="7">
        <v>0</v>
      </c>
      <c r="U234" s="8">
        <f>IFERROR(T234/T444, "NA")</f>
        <v>0</v>
      </c>
      <c r="V234" s="9"/>
      <c r="W234" s="10">
        <f t="shared" si="62"/>
        <v>-7586.57</v>
      </c>
      <c r="X234" s="8">
        <f>IFERROR(W234/W444, "NA")</f>
        <v>0.60287380572647309</v>
      </c>
      <c r="Y234" s="9"/>
      <c r="Z234" s="7">
        <v>6139.28</v>
      </c>
      <c r="AA234" s="8">
        <f>IFERROR(Z234/Z444, "NA")</f>
        <v>1.2468692346479144E-2</v>
      </c>
      <c r="AB234" s="9"/>
      <c r="AC234" s="10">
        <f t="shared" si="63"/>
        <v>-1447.29</v>
      </c>
      <c r="AD234" s="8">
        <f>IFERROR(AC234/AC444, "NA")</f>
        <v>-2.2830899682166703E-2</v>
      </c>
    </row>
    <row r="235" spans="1:30" ht="16.5" hidden="1" customHeight="1" x14ac:dyDescent="0.45">
      <c r="A235" s="6" t="s">
        <v>214</v>
      </c>
      <c r="B235" s="7">
        <v>0</v>
      </c>
      <c r="C235" s="8">
        <f>IFERROR(B235/B444, "NA")</f>
        <v>0</v>
      </c>
      <c r="D235" s="9"/>
      <c r="E235" s="7">
        <v>0</v>
      </c>
      <c r="F235" s="8">
        <f>IFERROR(E235/E444, "NA")</f>
        <v>0</v>
      </c>
      <c r="G235" s="9"/>
      <c r="H235" s="10">
        <f t="shared" si="60"/>
        <v>0</v>
      </c>
      <c r="I235" s="8">
        <f>IFERROR(H235/H444, "NA")</f>
        <v>0</v>
      </c>
      <c r="J235" s="9"/>
      <c r="K235" s="7">
        <v>0</v>
      </c>
      <c r="L235" s="8">
        <f>IFERROR(K235/K444, "NA")</f>
        <v>0</v>
      </c>
      <c r="M235" s="9"/>
      <c r="N235" s="10">
        <f t="shared" si="61"/>
        <v>0</v>
      </c>
      <c r="O235" s="8">
        <f>IFERROR(N235/N444, "NA")</f>
        <v>0</v>
      </c>
      <c r="P235" s="9"/>
      <c r="Q235" s="7">
        <v>0</v>
      </c>
      <c r="R235" s="8">
        <f>IFERROR(Q235/Q444, "NA")</f>
        <v>0</v>
      </c>
      <c r="S235" s="9"/>
      <c r="T235" s="7">
        <v>0</v>
      </c>
      <c r="U235" s="8">
        <f>IFERROR(T235/T444, "NA")</f>
        <v>0</v>
      </c>
      <c r="V235" s="9"/>
      <c r="W235" s="10">
        <f t="shared" si="62"/>
        <v>0</v>
      </c>
      <c r="X235" s="8">
        <f>IFERROR(W235/W444, "NA")</f>
        <v>0</v>
      </c>
      <c r="Y235" s="9"/>
      <c r="Z235" s="7">
        <v>0</v>
      </c>
      <c r="AA235" s="8">
        <f>IFERROR(Z235/Z444, "NA")</f>
        <v>0</v>
      </c>
      <c r="AB235" s="9"/>
      <c r="AC235" s="10">
        <f t="shared" si="63"/>
        <v>0</v>
      </c>
      <c r="AD235" s="8">
        <f>IFERROR(AC235/AC444, "NA")</f>
        <v>0</v>
      </c>
    </row>
    <row r="236" spans="1:30" ht="16.5" customHeight="1" x14ac:dyDescent="0.45">
      <c r="A236" s="19" t="s">
        <v>215</v>
      </c>
      <c r="B236" s="14">
        <f>IFERROR(B229+B230+B231+B232+B233+B234+B235, "NA")</f>
        <v>1988.56</v>
      </c>
      <c r="C236" s="15">
        <f>IFERROR(B236/B444, "NA")</f>
        <v>1.7289465699030653E-2</v>
      </c>
      <c r="D236" s="2"/>
      <c r="E236" s="14">
        <f>IFERROR(E229+E230+E231+E232+E233+E234+E235, "NA")</f>
        <v>1966.64</v>
      </c>
      <c r="F236" s="15">
        <f>IFERROR(E236/E444, "NA")</f>
        <v>1.4719983569281652E-2</v>
      </c>
      <c r="G236" s="2"/>
      <c r="H236" s="14">
        <f t="shared" si="60"/>
        <v>-21.919999999999845</v>
      </c>
      <c r="I236" s="15">
        <f>IFERROR(H236/H444, "NA")</f>
        <v>1.1792738320104972E-3</v>
      </c>
      <c r="J236" s="2"/>
      <c r="K236" s="14">
        <f>IFERROR(K229+K230+K231+K232+K233+K234+K235, "NA")</f>
        <v>2241.02</v>
      </c>
      <c r="L236" s="15">
        <f>IFERROR(K236/K444, "NA")</f>
        <v>1.9792932970298324E-2</v>
      </c>
      <c r="M236" s="2"/>
      <c r="N236" s="14">
        <f t="shared" si="61"/>
        <v>252.46000000000004</v>
      </c>
      <c r="O236" s="15">
        <f>IFERROR(N236/N444, "NA")</f>
        <v>0.14084554188099102</v>
      </c>
      <c r="P236" s="2"/>
      <c r="Q236" s="14">
        <f>IFERROR(Q229+Q230+Q231+Q232+Q233+Q234+Q235, "NA")</f>
        <v>8559.619999999999</v>
      </c>
      <c r="R236" s="15">
        <f>IFERROR(Q236/Q444, "NA")</f>
        <v>1.5401445061551207E-2</v>
      </c>
      <c r="S236" s="2"/>
      <c r="T236" s="14">
        <f>IFERROR(T229+T230+T231+T232+T233+T234+T235, "NA")</f>
        <v>8366.14</v>
      </c>
      <c r="U236" s="15">
        <f>IFERROR(T236/T444, "NA")</f>
        <v>1.4720014560007899E-2</v>
      </c>
      <c r="V236" s="2"/>
      <c r="W236" s="14">
        <f t="shared" si="62"/>
        <v>-193.47999999999956</v>
      </c>
      <c r="X236" s="15">
        <f>IFERROR(W236/W444, "NA")</f>
        <v>1.5375067248039331E-2</v>
      </c>
      <c r="Y236" s="2"/>
      <c r="Z236" s="14">
        <f>IFERROR(Z229+Z230+Z231+Z232+Z233+Z234+Z235, "NA")</f>
        <v>6957.7</v>
      </c>
      <c r="AA236" s="15">
        <f>IFERROR(Z236/Z444, "NA")</f>
        <v>1.4130878659891379E-2</v>
      </c>
      <c r="AB236" s="2"/>
      <c r="AC236" s="14">
        <f t="shared" si="63"/>
        <v>-1601.9199999999992</v>
      </c>
      <c r="AD236" s="15">
        <f>IFERROR(AC236/AC444, "NA")</f>
        <v>-2.5270177240813152E-2</v>
      </c>
    </row>
    <row r="237" spans="1:30" ht="16.5" customHeight="1" x14ac:dyDescent="0.45">
      <c r="A237" s="5" t="s">
        <v>216</v>
      </c>
      <c r="B237" s="2"/>
      <c r="C237" s="3"/>
      <c r="D237" s="4"/>
      <c r="E237" s="2"/>
      <c r="F237" s="3"/>
      <c r="G237" s="4"/>
      <c r="H237" s="2"/>
      <c r="I237" s="3"/>
      <c r="J237" s="4"/>
      <c r="K237" s="2"/>
      <c r="L237" s="3"/>
      <c r="M237" s="4"/>
      <c r="N237" s="2"/>
      <c r="O237" s="3"/>
      <c r="P237" s="4"/>
      <c r="Q237" s="2"/>
      <c r="R237" s="3"/>
      <c r="S237" s="4"/>
      <c r="T237" s="2"/>
      <c r="U237" s="3"/>
      <c r="V237" s="4"/>
      <c r="W237" s="2"/>
      <c r="X237" s="3"/>
      <c r="Y237" s="4"/>
      <c r="Z237" s="2"/>
      <c r="AA237" s="3"/>
      <c r="AB237" s="4"/>
      <c r="AC237" s="2"/>
      <c r="AD237" s="3"/>
    </row>
    <row r="238" spans="1:30" ht="16.5" hidden="1" customHeight="1" x14ac:dyDescent="0.45">
      <c r="A238" s="6" t="s">
        <v>216</v>
      </c>
      <c r="B238" s="7">
        <v>0</v>
      </c>
      <c r="C238" s="8">
        <f>IFERROR(B238/B444, "NA")</f>
        <v>0</v>
      </c>
      <c r="D238" s="9"/>
      <c r="E238" s="7">
        <v>0</v>
      </c>
      <c r="F238" s="8">
        <f>IFERROR(E238/E444, "NA")</f>
        <v>0</v>
      </c>
      <c r="G238" s="9"/>
      <c r="H238" s="10">
        <f>IFERROR(-(B238-E238), "NA")</f>
        <v>0</v>
      </c>
      <c r="I238" s="8">
        <f>IFERROR(H238/H444, "NA")</f>
        <v>0</v>
      </c>
      <c r="J238" s="9"/>
      <c r="K238" s="7">
        <v>0</v>
      </c>
      <c r="L238" s="8">
        <f>IFERROR(K238/K444, "NA")</f>
        <v>0</v>
      </c>
      <c r="M238" s="9"/>
      <c r="N238" s="10">
        <f>IFERROR(-(B238-K238), "NA")</f>
        <v>0</v>
      </c>
      <c r="O238" s="8">
        <f>IFERROR(N238/N444, "NA")</f>
        <v>0</v>
      </c>
      <c r="P238" s="9"/>
      <c r="Q238" s="7">
        <v>0</v>
      </c>
      <c r="R238" s="8">
        <f>IFERROR(Q238/Q444, "NA")</f>
        <v>0</v>
      </c>
      <c r="S238" s="9"/>
      <c r="T238" s="7">
        <v>0</v>
      </c>
      <c r="U238" s="8">
        <f>IFERROR(T238/T444, "NA")</f>
        <v>0</v>
      </c>
      <c r="V238" s="9"/>
      <c r="W238" s="10">
        <f>IFERROR(-(Q238-T238), "NA")</f>
        <v>0</v>
      </c>
      <c r="X238" s="8">
        <f>IFERROR(W238/W444, "NA")</f>
        <v>0</v>
      </c>
      <c r="Y238" s="9"/>
      <c r="Z238" s="7">
        <v>0</v>
      </c>
      <c r="AA238" s="8">
        <f>IFERROR(Z238/Z444, "NA")</f>
        <v>0</v>
      </c>
      <c r="AB238" s="9"/>
      <c r="AC238" s="10">
        <f>IFERROR(-(Q238-Z238), "NA")</f>
        <v>0</v>
      </c>
      <c r="AD238" s="8">
        <f>IFERROR(AC238/AC444, "NA")</f>
        <v>0</v>
      </c>
    </row>
    <row r="239" spans="1:30" ht="16.5" customHeight="1" x14ac:dyDescent="0.45">
      <c r="A239" s="11" t="s">
        <v>217</v>
      </c>
      <c r="B239" s="2"/>
      <c r="C239" s="3"/>
      <c r="D239" s="4"/>
      <c r="E239" s="2"/>
      <c r="F239" s="3"/>
      <c r="G239" s="4"/>
      <c r="H239" s="2"/>
      <c r="I239" s="3"/>
      <c r="J239" s="4"/>
      <c r="K239" s="2"/>
      <c r="L239" s="3"/>
      <c r="M239" s="4"/>
      <c r="N239" s="2"/>
      <c r="O239" s="3"/>
      <c r="P239" s="4"/>
      <c r="Q239" s="2"/>
      <c r="R239" s="3"/>
      <c r="S239" s="4"/>
      <c r="T239" s="2"/>
      <c r="U239" s="3"/>
      <c r="V239" s="4"/>
      <c r="W239" s="2"/>
      <c r="X239" s="3"/>
      <c r="Y239" s="4"/>
      <c r="Z239" s="2"/>
      <c r="AA239" s="3"/>
      <c r="AB239" s="4"/>
      <c r="AC239" s="2"/>
      <c r="AD239" s="3"/>
    </row>
    <row r="240" spans="1:30" ht="16.5" customHeight="1" x14ac:dyDescent="0.45">
      <c r="A240" s="12" t="s">
        <v>217</v>
      </c>
      <c r="B240" s="7">
        <v>0</v>
      </c>
      <c r="C240" s="8">
        <f>IFERROR(B240/B444, "NA")</f>
        <v>0</v>
      </c>
      <c r="D240" s="9"/>
      <c r="E240" s="7">
        <v>6884.32</v>
      </c>
      <c r="F240" s="8">
        <f>IFERROR(E240/E444, "NA")</f>
        <v>5.1528026118495024E-2</v>
      </c>
      <c r="G240" s="9"/>
      <c r="H240" s="10">
        <f t="shared" ref="H240:H263" si="64">IFERROR(-(B240-E240), "NA")</f>
        <v>6884.32</v>
      </c>
      <c r="I240" s="8">
        <f>IFERROR(H240/H444, "NA")</f>
        <v>-0.37036945379500741</v>
      </c>
      <c r="J240" s="9"/>
      <c r="K240" s="7">
        <v>0</v>
      </c>
      <c r="L240" s="8">
        <f>IFERROR(K240/K444, "NA")</f>
        <v>0</v>
      </c>
      <c r="M240" s="9"/>
      <c r="N240" s="10">
        <f t="shared" ref="N240:N263" si="65">IFERROR(-(B240-K240), "NA")</f>
        <v>0</v>
      </c>
      <c r="O240" s="8">
        <f>IFERROR(N240/N444, "NA")</f>
        <v>0</v>
      </c>
      <c r="P240" s="9"/>
      <c r="Q240" s="7">
        <v>0</v>
      </c>
      <c r="R240" s="8">
        <f>IFERROR(Q240/Q444, "NA")</f>
        <v>0</v>
      </c>
      <c r="S240" s="9"/>
      <c r="T240" s="7">
        <v>29905.08</v>
      </c>
      <c r="U240" s="8">
        <f>IFERROR(T240/T444, "NA")</f>
        <v>5.2617242003863321E-2</v>
      </c>
      <c r="V240" s="9"/>
      <c r="W240" s="10">
        <f t="shared" ref="W240:W263" si="66">IFERROR(-(Q240-T240), "NA")</f>
        <v>29905.08</v>
      </c>
      <c r="X240" s="8">
        <f>IFERROR(W240/W444, "NA")</f>
        <v>-2.3764348566156559</v>
      </c>
      <c r="Y240" s="9"/>
      <c r="Z240" s="7">
        <v>0</v>
      </c>
      <c r="AA240" s="8">
        <f>IFERROR(Z240/Z444, "NA")</f>
        <v>0</v>
      </c>
      <c r="AB240" s="9"/>
      <c r="AC240" s="10">
        <f t="shared" ref="AC240:AC263" si="67">IFERROR(-(Q240-Z240), "NA")</f>
        <v>0</v>
      </c>
      <c r="AD240" s="8">
        <f>IFERROR(AC240/AC444, "NA")</f>
        <v>0</v>
      </c>
    </row>
    <row r="241" spans="1:30" ht="16.5" hidden="1" customHeight="1" x14ac:dyDescent="0.45">
      <c r="A241" s="12" t="s">
        <v>218</v>
      </c>
      <c r="B241" s="7">
        <v>0</v>
      </c>
      <c r="C241" s="8">
        <f>IFERROR(B241/B444, "NA")</f>
        <v>0</v>
      </c>
      <c r="D241" s="9"/>
      <c r="E241" s="7">
        <v>0</v>
      </c>
      <c r="F241" s="8">
        <f>IFERROR(E241/E444, "NA")</f>
        <v>0</v>
      </c>
      <c r="G241" s="9"/>
      <c r="H241" s="10">
        <f t="shared" si="64"/>
        <v>0</v>
      </c>
      <c r="I241" s="8">
        <f>IFERROR(H241/H444, "NA")</f>
        <v>0</v>
      </c>
      <c r="J241" s="9"/>
      <c r="K241" s="7">
        <v>0</v>
      </c>
      <c r="L241" s="8">
        <f>IFERROR(K241/K444, "NA")</f>
        <v>0</v>
      </c>
      <c r="M241" s="9"/>
      <c r="N241" s="10">
        <f t="shared" si="65"/>
        <v>0</v>
      </c>
      <c r="O241" s="8">
        <f>IFERROR(N241/N444, "NA")</f>
        <v>0</v>
      </c>
      <c r="P241" s="9"/>
      <c r="Q241" s="7">
        <v>0</v>
      </c>
      <c r="R241" s="8">
        <f>IFERROR(Q241/Q444, "NA")</f>
        <v>0</v>
      </c>
      <c r="S241" s="9"/>
      <c r="T241" s="7">
        <v>0</v>
      </c>
      <c r="U241" s="8">
        <f>IFERROR(T241/T444, "NA")</f>
        <v>0</v>
      </c>
      <c r="V241" s="9"/>
      <c r="W241" s="10">
        <f t="shared" si="66"/>
        <v>0</v>
      </c>
      <c r="X241" s="8">
        <f>IFERROR(W241/W444, "NA")</f>
        <v>0</v>
      </c>
      <c r="Y241" s="9"/>
      <c r="Z241" s="7">
        <v>0</v>
      </c>
      <c r="AA241" s="8">
        <f>IFERROR(Z241/Z444, "NA")</f>
        <v>0</v>
      </c>
      <c r="AB241" s="9"/>
      <c r="AC241" s="10">
        <f t="shared" si="67"/>
        <v>0</v>
      </c>
      <c r="AD241" s="8">
        <f>IFERROR(AC241/AC444, "NA")</f>
        <v>0</v>
      </c>
    </row>
    <row r="242" spans="1:30" ht="16.5" customHeight="1" x14ac:dyDescent="0.45">
      <c r="A242" s="12" t="s">
        <v>219</v>
      </c>
      <c r="B242" s="7">
        <v>991.41</v>
      </c>
      <c r="C242" s="8">
        <f>IFERROR(B242/B444, "NA")</f>
        <v>8.619779734418867E-3</v>
      </c>
      <c r="D242" s="9"/>
      <c r="E242" s="7">
        <v>0</v>
      </c>
      <c r="F242" s="8">
        <f>IFERROR(E242/E444, "NA")</f>
        <v>0</v>
      </c>
      <c r="G242" s="9"/>
      <c r="H242" s="10">
        <f t="shared" si="64"/>
        <v>-991.41</v>
      </c>
      <c r="I242" s="8">
        <f>IFERROR(H242/H444, "NA")</f>
        <v>5.3336855373792666E-2</v>
      </c>
      <c r="J242" s="9"/>
      <c r="K242" s="7">
        <v>888.63</v>
      </c>
      <c r="L242" s="8">
        <f>IFERROR(K242/K444, "NA")</f>
        <v>7.848477044112144E-3</v>
      </c>
      <c r="M242" s="9"/>
      <c r="N242" s="10">
        <f t="shared" si="65"/>
        <v>-102.77999999999997</v>
      </c>
      <c r="O242" s="8">
        <f>IFERROR(N242/N444, "NA")</f>
        <v>-5.7340191691865057E-2</v>
      </c>
      <c r="P242" s="9"/>
      <c r="Q242" s="7">
        <v>5454.05</v>
      </c>
      <c r="R242" s="8">
        <f>IFERROR(Q242/Q444, "NA")</f>
        <v>9.8135491339514328E-3</v>
      </c>
      <c r="S242" s="9"/>
      <c r="T242" s="7">
        <v>0</v>
      </c>
      <c r="U242" s="8">
        <f>IFERROR(T242/T444, "NA")</f>
        <v>0</v>
      </c>
      <c r="V242" s="9"/>
      <c r="W242" s="10">
        <f t="shared" si="66"/>
        <v>-5454.05</v>
      </c>
      <c r="X242" s="8">
        <f>IFERROR(W242/W444, "NA")</f>
        <v>0.43341113047430796</v>
      </c>
      <c r="Y242" s="9"/>
      <c r="Z242" s="7">
        <v>4401.0200000000004</v>
      </c>
      <c r="AA242" s="8">
        <f>IFERROR(Z242/Z444, "NA")</f>
        <v>8.9383387613371033E-3</v>
      </c>
      <c r="AB242" s="9"/>
      <c r="AC242" s="10">
        <f t="shared" si="67"/>
        <v>-1053.0299999999997</v>
      </c>
      <c r="AD242" s="8">
        <f>IFERROR(AC242/AC444, "NA")</f>
        <v>-1.6611475441903143E-2</v>
      </c>
    </row>
    <row r="243" spans="1:30" ht="16.5" customHeight="1" x14ac:dyDescent="0.45">
      <c r="A243" s="12" t="s">
        <v>220</v>
      </c>
      <c r="B243" s="7">
        <v>4139</v>
      </c>
      <c r="C243" s="8">
        <f>IFERROR(B243/B444, "NA")</f>
        <v>3.5986391423083977E-2</v>
      </c>
      <c r="D243" s="9"/>
      <c r="E243" s="7">
        <v>0</v>
      </c>
      <c r="F243" s="8">
        <f>IFERROR(E243/E444, "NA")</f>
        <v>0</v>
      </c>
      <c r="G243" s="9"/>
      <c r="H243" s="10">
        <f t="shared" si="64"/>
        <v>-4139</v>
      </c>
      <c r="I243" s="8">
        <f>IFERROR(H243/H444, "NA")</f>
        <v>0.2226740141738815</v>
      </c>
      <c r="J243" s="9"/>
      <c r="K243" s="7">
        <v>4400.29</v>
      </c>
      <c r="L243" s="8">
        <f>IFERROR(K243/K444, "NA")</f>
        <v>3.8863841027690076E-2</v>
      </c>
      <c r="M243" s="9"/>
      <c r="N243" s="10">
        <f t="shared" si="65"/>
        <v>261.28999999999996</v>
      </c>
      <c r="O243" s="8">
        <f>IFERROR(N243/N444, "NA")</f>
        <v>0.14577173270254351</v>
      </c>
      <c r="P243" s="9"/>
      <c r="Q243" s="7">
        <v>15359.09</v>
      </c>
      <c r="R243" s="8">
        <f>IFERROR(Q243/Q444, "NA")</f>
        <v>2.7635827388414504E-2</v>
      </c>
      <c r="S243" s="9"/>
      <c r="T243" s="7">
        <v>0</v>
      </c>
      <c r="U243" s="8">
        <f>IFERROR(T243/T444, "NA")</f>
        <v>0</v>
      </c>
      <c r="V243" s="9"/>
      <c r="W243" s="10">
        <f t="shared" si="66"/>
        <v>-15359.09</v>
      </c>
      <c r="X243" s="8">
        <f>IFERROR(W243/W444, "NA")</f>
        <v>1.2205243002826593</v>
      </c>
      <c r="Y243" s="9"/>
      <c r="Z243" s="7">
        <v>14609.73</v>
      </c>
      <c r="AA243" s="8">
        <f>IFERROR(Z243/Z444, "NA")</f>
        <v>2.9671920589242836E-2</v>
      </c>
      <c r="AB243" s="9"/>
      <c r="AC243" s="10">
        <f t="shared" si="67"/>
        <v>-749.36000000000058</v>
      </c>
      <c r="AD243" s="8">
        <f>IFERROR(AC243/AC444, "NA")</f>
        <v>-1.1821102188109124E-2</v>
      </c>
    </row>
    <row r="244" spans="1:30" ht="16.5" customHeight="1" x14ac:dyDescent="0.45">
      <c r="A244" s="12" t="s">
        <v>221</v>
      </c>
      <c r="B244" s="7">
        <v>593.79</v>
      </c>
      <c r="C244" s="8">
        <f>IFERROR(B244/B444, "NA")</f>
        <v>5.1626864854102525E-3</v>
      </c>
      <c r="D244" s="9"/>
      <c r="E244" s="7">
        <v>0</v>
      </c>
      <c r="F244" s="8">
        <f>IFERROR(E244/E444, "NA")</f>
        <v>0</v>
      </c>
      <c r="G244" s="9"/>
      <c r="H244" s="10">
        <f t="shared" si="64"/>
        <v>-593.79</v>
      </c>
      <c r="I244" s="8">
        <f>IFERROR(H244/H444, "NA")</f>
        <v>3.1945301492222536E-2</v>
      </c>
      <c r="J244" s="9"/>
      <c r="K244" s="7">
        <v>0</v>
      </c>
      <c r="L244" s="8">
        <f>IFERROR(K244/K444, "NA")</f>
        <v>0</v>
      </c>
      <c r="M244" s="9"/>
      <c r="N244" s="10">
        <f t="shared" si="65"/>
        <v>-593.79</v>
      </c>
      <c r="O244" s="8">
        <f>IFERROR(N244/N444, "NA")</f>
        <v>-0.33127099070551236</v>
      </c>
      <c r="P244" s="9"/>
      <c r="Q244" s="7">
        <v>891.37</v>
      </c>
      <c r="R244" s="8">
        <f>IFERROR(Q244/Q444, "NA")</f>
        <v>1.6038546202418917E-3</v>
      </c>
      <c r="S244" s="9"/>
      <c r="T244" s="7">
        <v>0</v>
      </c>
      <c r="U244" s="8">
        <f>IFERROR(T244/T444, "NA")</f>
        <v>0</v>
      </c>
      <c r="V244" s="9"/>
      <c r="W244" s="10">
        <f t="shared" si="66"/>
        <v>-891.37</v>
      </c>
      <c r="X244" s="8">
        <f>IFERROR(W244/W444, "NA")</f>
        <v>7.0833541931387481E-2</v>
      </c>
      <c r="Y244" s="9"/>
      <c r="Z244" s="7">
        <v>0</v>
      </c>
      <c r="AA244" s="8">
        <f>IFERROR(Z244/Z444, "NA")</f>
        <v>0</v>
      </c>
      <c r="AB244" s="9"/>
      <c r="AC244" s="10">
        <f t="shared" si="67"/>
        <v>-891.37</v>
      </c>
      <c r="AD244" s="8">
        <f>IFERROR(AC244/AC444, "NA")</f>
        <v>-1.4061300119321583E-2</v>
      </c>
    </row>
    <row r="245" spans="1:30" ht="16.5" hidden="1" customHeight="1" x14ac:dyDescent="0.45">
      <c r="A245" s="12" t="s">
        <v>222</v>
      </c>
      <c r="B245" s="7">
        <v>0</v>
      </c>
      <c r="C245" s="8">
        <f>IFERROR(B245/B444, "NA")</f>
        <v>0</v>
      </c>
      <c r="D245" s="9"/>
      <c r="E245" s="7">
        <v>0</v>
      </c>
      <c r="F245" s="8">
        <f>IFERROR(E245/E444, "NA")</f>
        <v>0</v>
      </c>
      <c r="G245" s="9"/>
      <c r="H245" s="10">
        <f t="shared" si="64"/>
        <v>0</v>
      </c>
      <c r="I245" s="8">
        <f>IFERROR(H245/H444, "NA")</f>
        <v>0</v>
      </c>
      <c r="J245" s="9"/>
      <c r="K245" s="7">
        <v>0</v>
      </c>
      <c r="L245" s="8">
        <f>IFERROR(K245/K444, "NA")</f>
        <v>0</v>
      </c>
      <c r="M245" s="9"/>
      <c r="N245" s="10">
        <f t="shared" si="65"/>
        <v>0</v>
      </c>
      <c r="O245" s="8">
        <f>IFERROR(N245/N444, "NA")</f>
        <v>0</v>
      </c>
      <c r="P245" s="9"/>
      <c r="Q245" s="7">
        <v>0</v>
      </c>
      <c r="R245" s="8">
        <f>IFERROR(Q245/Q444, "NA")</f>
        <v>0</v>
      </c>
      <c r="S245" s="9"/>
      <c r="T245" s="7">
        <v>0</v>
      </c>
      <c r="U245" s="8">
        <f>IFERROR(T245/T444, "NA")</f>
        <v>0</v>
      </c>
      <c r="V245" s="9"/>
      <c r="W245" s="10">
        <f t="shared" si="66"/>
        <v>0</v>
      </c>
      <c r="X245" s="8">
        <f>IFERROR(W245/W444, "NA")</f>
        <v>0</v>
      </c>
      <c r="Y245" s="9"/>
      <c r="Z245" s="7">
        <v>0</v>
      </c>
      <c r="AA245" s="8">
        <f>IFERROR(Z245/Z444, "NA")</f>
        <v>0</v>
      </c>
      <c r="AB245" s="9"/>
      <c r="AC245" s="10">
        <f t="shared" si="67"/>
        <v>0</v>
      </c>
      <c r="AD245" s="8">
        <f>IFERROR(AC245/AC444, "NA")</f>
        <v>0</v>
      </c>
    </row>
    <row r="246" spans="1:30" ht="16.5" customHeight="1" x14ac:dyDescent="0.45">
      <c r="A246" s="12" t="s">
        <v>223</v>
      </c>
      <c r="B246" s="7">
        <v>357.53</v>
      </c>
      <c r="C246" s="8">
        <f>IFERROR(B246/B444, "NA")</f>
        <v>3.1085321395252995E-3</v>
      </c>
      <c r="D246" s="9"/>
      <c r="E246" s="7">
        <v>0</v>
      </c>
      <c r="F246" s="8">
        <f>IFERROR(E246/E444, "NA")</f>
        <v>0</v>
      </c>
      <c r="G246" s="9"/>
      <c r="H246" s="10">
        <f t="shared" si="64"/>
        <v>-357.53</v>
      </c>
      <c r="I246" s="8">
        <f>IFERROR(H246/H444, "NA")</f>
        <v>1.9234752425123906E-2</v>
      </c>
      <c r="J246" s="9"/>
      <c r="K246" s="7">
        <v>0</v>
      </c>
      <c r="L246" s="8">
        <f>IFERROR(K246/K444, "NA")</f>
        <v>0</v>
      </c>
      <c r="M246" s="9"/>
      <c r="N246" s="10">
        <f t="shared" si="65"/>
        <v>-357.53</v>
      </c>
      <c r="O246" s="8">
        <f>IFERROR(N246/N444, "NA")</f>
        <v>-0.19946330740992915</v>
      </c>
      <c r="P246" s="9"/>
      <c r="Q246" s="7">
        <v>1879.16</v>
      </c>
      <c r="R246" s="8">
        <f>IFERROR(Q246/Q444, "NA")</f>
        <v>3.381199107187535E-3</v>
      </c>
      <c r="S246" s="9"/>
      <c r="T246" s="7">
        <v>0</v>
      </c>
      <c r="U246" s="8">
        <f>IFERROR(T246/T444, "NA")</f>
        <v>0</v>
      </c>
      <c r="V246" s="9"/>
      <c r="W246" s="10">
        <f t="shared" si="66"/>
        <v>-1879.16</v>
      </c>
      <c r="X246" s="8">
        <f>IFERROR(W246/W444, "NA")</f>
        <v>0.14932918839066392</v>
      </c>
      <c r="Y246" s="9"/>
      <c r="Z246" s="7">
        <v>0</v>
      </c>
      <c r="AA246" s="8">
        <f>IFERROR(Z246/Z444, "NA")</f>
        <v>0</v>
      </c>
      <c r="AB246" s="9"/>
      <c r="AC246" s="10">
        <f t="shared" si="67"/>
        <v>-1879.16</v>
      </c>
      <c r="AD246" s="8">
        <f>IFERROR(AC246/AC444, "NA")</f>
        <v>-2.9643619072017621E-2</v>
      </c>
    </row>
    <row r="247" spans="1:30" ht="16.5" hidden="1" customHeight="1" x14ac:dyDescent="0.45">
      <c r="A247" s="12" t="s">
        <v>224</v>
      </c>
      <c r="B247" s="7">
        <v>0</v>
      </c>
      <c r="C247" s="8">
        <f>IFERROR(B247/B444, "NA")</f>
        <v>0</v>
      </c>
      <c r="D247" s="9"/>
      <c r="E247" s="7">
        <v>0</v>
      </c>
      <c r="F247" s="8">
        <f>IFERROR(E247/E444, "NA")</f>
        <v>0</v>
      </c>
      <c r="G247" s="9"/>
      <c r="H247" s="10">
        <f t="shared" si="64"/>
        <v>0</v>
      </c>
      <c r="I247" s="8">
        <f>IFERROR(H247/H444, "NA")</f>
        <v>0</v>
      </c>
      <c r="J247" s="9"/>
      <c r="K247" s="7">
        <v>0</v>
      </c>
      <c r="L247" s="8">
        <f>IFERROR(K247/K444, "NA")</f>
        <v>0</v>
      </c>
      <c r="M247" s="9"/>
      <c r="N247" s="10">
        <f t="shared" si="65"/>
        <v>0</v>
      </c>
      <c r="O247" s="8">
        <f>IFERROR(N247/N444, "NA")</f>
        <v>0</v>
      </c>
      <c r="P247" s="9"/>
      <c r="Q247" s="7">
        <v>0</v>
      </c>
      <c r="R247" s="8">
        <f>IFERROR(Q247/Q444, "NA")</f>
        <v>0</v>
      </c>
      <c r="S247" s="9"/>
      <c r="T247" s="7">
        <v>0</v>
      </c>
      <c r="U247" s="8">
        <f>IFERROR(T247/T444, "NA")</f>
        <v>0</v>
      </c>
      <c r="V247" s="9"/>
      <c r="W247" s="10">
        <f t="shared" si="66"/>
        <v>0</v>
      </c>
      <c r="X247" s="8">
        <f>IFERROR(W247/W444, "NA")</f>
        <v>0</v>
      </c>
      <c r="Y247" s="9"/>
      <c r="Z247" s="7">
        <v>0</v>
      </c>
      <c r="AA247" s="8">
        <f>IFERROR(Z247/Z444, "NA")</f>
        <v>0</v>
      </c>
      <c r="AB247" s="9"/>
      <c r="AC247" s="10">
        <f t="shared" si="67"/>
        <v>0</v>
      </c>
      <c r="AD247" s="8">
        <f>IFERROR(AC247/AC444, "NA")</f>
        <v>0</v>
      </c>
    </row>
    <row r="248" spans="1:30" ht="16.5" customHeight="1" x14ac:dyDescent="0.45">
      <c r="A248" s="12" t="s">
        <v>225</v>
      </c>
      <c r="B248" s="7">
        <v>268.5</v>
      </c>
      <c r="C248" s="8">
        <f>IFERROR(B248/B444, "NA")</f>
        <v>2.3344639036235923E-3</v>
      </c>
      <c r="D248" s="9"/>
      <c r="E248" s="7">
        <v>0</v>
      </c>
      <c r="F248" s="8">
        <f>IFERROR(E248/E444, "NA")</f>
        <v>0</v>
      </c>
      <c r="G248" s="9"/>
      <c r="H248" s="10">
        <f t="shared" si="64"/>
        <v>-268.5</v>
      </c>
      <c r="I248" s="8">
        <f>IFERROR(H248/H444, "NA")</f>
        <v>1.444502846235496E-2</v>
      </c>
      <c r="J248" s="9"/>
      <c r="K248" s="7">
        <v>280.3</v>
      </c>
      <c r="L248" s="8">
        <f>IFERROR(K248/K444, "NA")</f>
        <v>2.4756401600943409E-3</v>
      </c>
      <c r="M248" s="9"/>
      <c r="N248" s="10">
        <f t="shared" si="65"/>
        <v>11.800000000000011</v>
      </c>
      <c r="O248" s="8">
        <f>IFERROR(N248/N444, "NA")</f>
        <v>6.5831315622106295E-3</v>
      </c>
      <c r="P248" s="9"/>
      <c r="Q248" s="7">
        <v>1356.75</v>
      </c>
      <c r="R248" s="8">
        <f>IFERROR(Q248/Q444, "NA")</f>
        <v>2.4412194218037253E-3</v>
      </c>
      <c r="S248" s="9"/>
      <c r="T248" s="7">
        <v>0</v>
      </c>
      <c r="U248" s="8">
        <f>IFERROR(T248/T444, "NA")</f>
        <v>0</v>
      </c>
      <c r="V248" s="9"/>
      <c r="W248" s="10">
        <f t="shared" si="66"/>
        <v>-1356.75</v>
      </c>
      <c r="X248" s="8">
        <f>IFERROR(W248/W444, "NA")</f>
        <v>0.10781539429800191</v>
      </c>
      <c r="Y248" s="9"/>
      <c r="Z248" s="7">
        <v>1198.47</v>
      </c>
      <c r="AA248" s="8">
        <f>IFERROR(Z248/Z444, "NA")</f>
        <v>2.4340563904048781E-3</v>
      </c>
      <c r="AB248" s="9"/>
      <c r="AC248" s="10">
        <f t="shared" si="67"/>
        <v>-158.27999999999997</v>
      </c>
      <c r="AD248" s="8">
        <f>IFERROR(AC248/AC444, "NA")</f>
        <v>-2.4968560562799061E-3</v>
      </c>
    </row>
    <row r="249" spans="1:30" ht="16.5" customHeight="1" x14ac:dyDescent="0.45">
      <c r="A249" s="12" t="s">
        <v>226</v>
      </c>
      <c r="B249" s="7">
        <v>971.56</v>
      </c>
      <c r="C249" s="8">
        <f>IFERROR(B249/B444, "NA")</f>
        <v>8.4471946003893371E-3</v>
      </c>
      <c r="D249" s="9"/>
      <c r="E249" s="7">
        <v>0</v>
      </c>
      <c r="F249" s="8">
        <f>IFERROR(E249/E444, "NA")</f>
        <v>0</v>
      </c>
      <c r="G249" s="9"/>
      <c r="H249" s="10">
        <f t="shared" si="64"/>
        <v>-971.56</v>
      </c>
      <c r="I249" s="8">
        <f>IFERROR(H249/H444, "NA")</f>
        <v>5.2268945448363441E-2</v>
      </c>
      <c r="J249" s="9"/>
      <c r="K249" s="7">
        <v>1059.97</v>
      </c>
      <c r="L249" s="8">
        <f>IFERROR(K249/K444, "NA")</f>
        <v>9.3617706046921108E-3</v>
      </c>
      <c r="M249" s="9"/>
      <c r="N249" s="10">
        <f t="shared" si="65"/>
        <v>88.410000000000082</v>
      </c>
      <c r="O249" s="8">
        <f>IFERROR(N249/N444, "NA")</f>
        <v>4.9323276391105231E-2</v>
      </c>
      <c r="P249" s="9"/>
      <c r="Q249" s="7">
        <v>6917.28</v>
      </c>
      <c r="R249" s="8">
        <f>IFERROR(Q249/Q444, "NA")</f>
        <v>1.2446359522428207E-2</v>
      </c>
      <c r="S249" s="9"/>
      <c r="T249" s="7">
        <v>0</v>
      </c>
      <c r="U249" s="8">
        <f>IFERROR(T249/T444, "NA")</f>
        <v>0</v>
      </c>
      <c r="V249" s="9"/>
      <c r="W249" s="10">
        <f t="shared" si="66"/>
        <v>-6917.28</v>
      </c>
      <c r="X249" s="8">
        <f>IFERROR(W249/W444, "NA")</f>
        <v>0.54968805650980845</v>
      </c>
      <c r="Y249" s="9"/>
      <c r="Z249" s="7">
        <v>5399.51</v>
      </c>
      <c r="AA249" s="8">
        <f>IFERROR(Z249/Z444, "NA")</f>
        <v>1.0966241808768717E-2</v>
      </c>
      <c r="AB249" s="9"/>
      <c r="AC249" s="10">
        <f t="shared" si="67"/>
        <v>-1517.7699999999995</v>
      </c>
      <c r="AD249" s="8">
        <f>IFERROR(AC249/AC444, "NA")</f>
        <v>-2.3942716809072229E-2</v>
      </c>
    </row>
    <row r="250" spans="1:30" ht="16.5" hidden="1" customHeight="1" x14ac:dyDescent="0.45">
      <c r="A250" s="12" t="s">
        <v>227</v>
      </c>
      <c r="B250" s="7">
        <v>0</v>
      </c>
      <c r="C250" s="8">
        <f>IFERROR(B250/B444, "NA")</f>
        <v>0</v>
      </c>
      <c r="D250" s="9"/>
      <c r="E250" s="7">
        <v>0</v>
      </c>
      <c r="F250" s="8">
        <f>IFERROR(E250/E444, "NA")</f>
        <v>0</v>
      </c>
      <c r="G250" s="9"/>
      <c r="H250" s="10">
        <f t="shared" si="64"/>
        <v>0</v>
      </c>
      <c r="I250" s="8">
        <f>IFERROR(H250/H444, "NA")</f>
        <v>0</v>
      </c>
      <c r="J250" s="9"/>
      <c r="K250" s="7">
        <v>0</v>
      </c>
      <c r="L250" s="8">
        <f>IFERROR(K250/K444, "NA")</f>
        <v>0</v>
      </c>
      <c r="M250" s="9"/>
      <c r="N250" s="10">
        <f t="shared" si="65"/>
        <v>0</v>
      </c>
      <c r="O250" s="8">
        <f>IFERROR(N250/N444, "NA")</f>
        <v>0</v>
      </c>
      <c r="P250" s="9"/>
      <c r="Q250" s="7">
        <v>0</v>
      </c>
      <c r="R250" s="8">
        <f>IFERROR(Q250/Q444, "NA")</f>
        <v>0</v>
      </c>
      <c r="S250" s="9"/>
      <c r="T250" s="7">
        <v>0</v>
      </c>
      <c r="U250" s="8">
        <f>IFERROR(T250/T444, "NA")</f>
        <v>0</v>
      </c>
      <c r="V250" s="9"/>
      <c r="W250" s="10">
        <f t="shared" si="66"/>
        <v>0</v>
      </c>
      <c r="X250" s="8">
        <f>IFERROR(W250/W444, "NA")</f>
        <v>0</v>
      </c>
      <c r="Y250" s="9"/>
      <c r="Z250" s="7">
        <v>0</v>
      </c>
      <c r="AA250" s="8">
        <f>IFERROR(Z250/Z444, "NA")</f>
        <v>0</v>
      </c>
      <c r="AB250" s="9"/>
      <c r="AC250" s="10">
        <f t="shared" si="67"/>
        <v>0</v>
      </c>
      <c r="AD250" s="8">
        <f>IFERROR(AC250/AC444, "NA")</f>
        <v>0</v>
      </c>
    </row>
    <row r="251" spans="1:30" ht="16.5" hidden="1" customHeight="1" x14ac:dyDescent="0.45">
      <c r="A251" s="12" t="s">
        <v>228</v>
      </c>
      <c r="B251" s="7">
        <v>0</v>
      </c>
      <c r="C251" s="8">
        <f>IFERROR(B251/B444, "NA")</f>
        <v>0</v>
      </c>
      <c r="D251" s="9"/>
      <c r="E251" s="7">
        <v>0</v>
      </c>
      <c r="F251" s="8">
        <f>IFERROR(E251/E444, "NA")</f>
        <v>0</v>
      </c>
      <c r="G251" s="9"/>
      <c r="H251" s="10">
        <f t="shared" si="64"/>
        <v>0</v>
      </c>
      <c r="I251" s="8">
        <f>IFERROR(H251/H444, "NA")</f>
        <v>0</v>
      </c>
      <c r="J251" s="9"/>
      <c r="K251" s="7">
        <v>0</v>
      </c>
      <c r="L251" s="8">
        <f>IFERROR(K251/K444, "NA")</f>
        <v>0</v>
      </c>
      <c r="M251" s="9"/>
      <c r="N251" s="10">
        <f t="shared" si="65"/>
        <v>0</v>
      </c>
      <c r="O251" s="8">
        <f>IFERROR(N251/N444, "NA")</f>
        <v>0</v>
      </c>
      <c r="P251" s="9"/>
      <c r="Q251" s="7">
        <v>0</v>
      </c>
      <c r="R251" s="8">
        <f>IFERROR(Q251/Q444, "NA")</f>
        <v>0</v>
      </c>
      <c r="S251" s="9"/>
      <c r="T251" s="7">
        <v>0</v>
      </c>
      <c r="U251" s="8">
        <f>IFERROR(T251/T444, "NA")</f>
        <v>0</v>
      </c>
      <c r="V251" s="9"/>
      <c r="W251" s="10">
        <f t="shared" si="66"/>
        <v>0</v>
      </c>
      <c r="X251" s="8">
        <f>IFERROR(W251/W444, "NA")</f>
        <v>0</v>
      </c>
      <c r="Y251" s="9"/>
      <c r="Z251" s="7">
        <v>0</v>
      </c>
      <c r="AA251" s="8">
        <f>IFERROR(Z251/Z444, "NA")</f>
        <v>0</v>
      </c>
      <c r="AB251" s="9"/>
      <c r="AC251" s="10">
        <f t="shared" si="67"/>
        <v>0</v>
      </c>
      <c r="AD251" s="8">
        <f>IFERROR(AC251/AC444, "NA")</f>
        <v>0</v>
      </c>
    </row>
    <row r="252" spans="1:30" ht="16.5" hidden="1" customHeight="1" x14ac:dyDescent="0.45">
      <c r="A252" s="12" t="s">
        <v>229</v>
      </c>
      <c r="B252" s="7">
        <v>0</v>
      </c>
      <c r="C252" s="8">
        <f>IFERROR(B252/B444, "NA")</f>
        <v>0</v>
      </c>
      <c r="D252" s="9"/>
      <c r="E252" s="7">
        <v>0</v>
      </c>
      <c r="F252" s="8">
        <f>IFERROR(E252/E444, "NA")</f>
        <v>0</v>
      </c>
      <c r="G252" s="9"/>
      <c r="H252" s="10">
        <f t="shared" si="64"/>
        <v>0</v>
      </c>
      <c r="I252" s="8">
        <f>IFERROR(H252/H444, "NA")</f>
        <v>0</v>
      </c>
      <c r="J252" s="9"/>
      <c r="K252" s="7">
        <v>0</v>
      </c>
      <c r="L252" s="8">
        <f>IFERROR(K252/K444, "NA")</f>
        <v>0</v>
      </c>
      <c r="M252" s="9"/>
      <c r="N252" s="10">
        <f t="shared" si="65"/>
        <v>0</v>
      </c>
      <c r="O252" s="8">
        <f>IFERROR(N252/N444, "NA")</f>
        <v>0</v>
      </c>
      <c r="P252" s="9"/>
      <c r="Q252" s="7">
        <v>0</v>
      </c>
      <c r="R252" s="8">
        <f>IFERROR(Q252/Q444, "NA")</f>
        <v>0</v>
      </c>
      <c r="S252" s="9"/>
      <c r="T252" s="7">
        <v>0</v>
      </c>
      <c r="U252" s="8">
        <f>IFERROR(T252/T444, "NA")</f>
        <v>0</v>
      </c>
      <c r="V252" s="9"/>
      <c r="W252" s="10">
        <f t="shared" si="66"/>
        <v>0</v>
      </c>
      <c r="X252" s="8">
        <f>IFERROR(W252/W444, "NA")</f>
        <v>0</v>
      </c>
      <c r="Y252" s="9"/>
      <c r="Z252" s="7">
        <v>0</v>
      </c>
      <c r="AA252" s="8">
        <f>IFERROR(Z252/Z444, "NA")</f>
        <v>0</v>
      </c>
      <c r="AB252" s="9"/>
      <c r="AC252" s="10">
        <f t="shared" si="67"/>
        <v>0</v>
      </c>
      <c r="AD252" s="8">
        <f>IFERROR(AC252/AC444, "NA")</f>
        <v>0</v>
      </c>
    </row>
    <row r="253" spans="1:30" ht="16.5" hidden="1" customHeight="1" x14ac:dyDescent="0.45">
      <c r="A253" s="12" t="s">
        <v>230</v>
      </c>
      <c r="B253" s="7">
        <v>0</v>
      </c>
      <c r="C253" s="8">
        <f>IFERROR(B253/B444, "NA")</f>
        <v>0</v>
      </c>
      <c r="D253" s="9"/>
      <c r="E253" s="7">
        <v>0</v>
      </c>
      <c r="F253" s="8">
        <f>IFERROR(E253/E444, "NA")</f>
        <v>0</v>
      </c>
      <c r="G253" s="9"/>
      <c r="H253" s="10">
        <f t="shared" si="64"/>
        <v>0</v>
      </c>
      <c r="I253" s="8">
        <f>IFERROR(H253/H444, "NA")</f>
        <v>0</v>
      </c>
      <c r="J253" s="9"/>
      <c r="K253" s="7">
        <v>0</v>
      </c>
      <c r="L253" s="8">
        <f>IFERROR(K253/K444, "NA")</f>
        <v>0</v>
      </c>
      <c r="M253" s="9"/>
      <c r="N253" s="10">
        <f t="shared" si="65"/>
        <v>0</v>
      </c>
      <c r="O253" s="8">
        <f>IFERROR(N253/N444, "NA")</f>
        <v>0</v>
      </c>
      <c r="P253" s="9"/>
      <c r="Q253" s="7">
        <v>0</v>
      </c>
      <c r="R253" s="8">
        <f>IFERROR(Q253/Q444, "NA")</f>
        <v>0</v>
      </c>
      <c r="S253" s="9"/>
      <c r="T253" s="7">
        <v>0</v>
      </c>
      <c r="U253" s="8">
        <f>IFERROR(T253/T444, "NA")</f>
        <v>0</v>
      </c>
      <c r="V253" s="9"/>
      <c r="W253" s="10">
        <f t="shared" si="66"/>
        <v>0</v>
      </c>
      <c r="X253" s="8">
        <f>IFERROR(W253/W444, "NA")</f>
        <v>0</v>
      </c>
      <c r="Y253" s="9"/>
      <c r="Z253" s="7">
        <v>0</v>
      </c>
      <c r="AA253" s="8">
        <f>IFERROR(Z253/Z444, "NA")</f>
        <v>0</v>
      </c>
      <c r="AB253" s="9"/>
      <c r="AC253" s="10">
        <f t="shared" si="67"/>
        <v>0</v>
      </c>
      <c r="AD253" s="8">
        <f>IFERROR(AC253/AC444, "NA")</f>
        <v>0</v>
      </c>
    </row>
    <row r="254" spans="1:30" ht="16.5" customHeight="1" x14ac:dyDescent="0.45">
      <c r="A254" s="12" t="s">
        <v>231</v>
      </c>
      <c r="B254" s="7">
        <v>1245.26</v>
      </c>
      <c r="C254" s="8">
        <f>IFERROR(B254/B444, "NA")</f>
        <v>1.0826869723003034E-2</v>
      </c>
      <c r="D254" s="9"/>
      <c r="E254" s="7">
        <v>0</v>
      </c>
      <c r="F254" s="8">
        <f>IFERROR(E254/E444, "NA")</f>
        <v>0</v>
      </c>
      <c r="G254" s="9"/>
      <c r="H254" s="10">
        <f t="shared" si="64"/>
        <v>-1245.26</v>
      </c>
      <c r="I254" s="8">
        <f>IFERROR(H254/H444, "NA")</f>
        <v>6.6993728651888781E-2</v>
      </c>
      <c r="J254" s="9"/>
      <c r="K254" s="7">
        <v>0</v>
      </c>
      <c r="L254" s="8">
        <f>IFERROR(K254/K444, "NA")</f>
        <v>0</v>
      </c>
      <c r="M254" s="9"/>
      <c r="N254" s="10">
        <f t="shared" si="65"/>
        <v>-1245.26</v>
      </c>
      <c r="O254" s="8">
        <f>IFERROR(N254/N444, "NA")</f>
        <v>-0.69472122111511869</v>
      </c>
      <c r="P254" s="9"/>
      <c r="Q254" s="7">
        <v>4164.7</v>
      </c>
      <c r="R254" s="8">
        <f>IFERROR(Q254/Q444, "NA")</f>
        <v>7.4936034833137819E-3</v>
      </c>
      <c r="S254" s="9"/>
      <c r="T254" s="7">
        <v>0</v>
      </c>
      <c r="U254" s="8">
        <f>IFERROR(T254/T444, "NA")</f>
        <v>0</v>
      </c>
      <c r="V254" s="9"/>
      <c r="W254" s="10">
        <f t="shared" si="66"/>
        <v>-4164.7</v>
      </c>
      <c r="X254" s="8">
        <f>IFERROR(W254/W444, "NA")</f>
        <v>0.33095173954883988</v>
      </c>
      <c r="Y254" s="9"/>
      <c r="Z254" s="7">
        <v>0</v>
      </c>
      <c r="AA254" s="8">
        <f>IFERROR(Z254/Z444, "NA")</f>
        <v>0</v>
      </c>
      <c r="AB254" s="9"/>
      <c r="AC254" s="10">
        <f t="shared" si="67"/>
        <v>-4164.7</v>
      </c>
      <c r="AD254" s="8">
        <f>IFERROR(AC254/AC444, "NA")</f>
        <v>-6.5697854546303544E-2</v>
      </c>
    </row>
    <row r="255" spans="1:30" ht="16.5" hidden="1" customHeight="1" x14ac:dyDescent="0.45">
      <c r="A255" s="12" t="s">
        <v>232</v>
      </c>
      <c r="B255" s="7">
        <v>0</v>
      </c>
      <c r="C255" s="8">
        <f>IFERROR(B255/B444, "NA")</f>
        <v>0</v>
      </c>
      <c r="D255" s="9"/>
      <c r="E255" s="7">
        <v>0</v>
      </c>
      <c r="F255" s="8">
        <f>IFERROR(E255/E444, "NA")</f>
        <v>0</v>
      </c>
      <c r="G255" s="9"/>
      <c r="H255" s="10">
        <f t="shared" si="64"/>
        <v>0</v>
      </c>
      <c r="I255" s="8">
        <f>IFERROR(H255/H444, "NA")</f>
        <v>0</v>
      </c>
      <c r="J255" s="9"/>
      <c r="K255" s="7">
        <v>0</v>
      </c>
      <c r="L255" s="8">
        <f>IFERROR(K255/K444, "NA")</f>
        <v>0</v>
      </c>
      <c r="M255" s="9"/>
      <c r="N255" s="10">
        <f t="shared" si="65"/>
        <v>0</v>
      </c>
      <c r="O255" s="8">
        <f>IFERROR(N255/N444, "NA")</f>
        <v>0</v>
      </c>
      <c r="P255" s="9"/>
      <c r="Q255" s="7">
        <v>0</v>
      </c>
      <c r="R255" s="8">
        <f>IFERROR(Q255/Q444, "NA")</f>
        <v>0</v>
      </c>
      <c r="S255" s="9"/>
      <c r="T255" s="7">
        <v>0</v>
      </c>
      <c r="U255" s="8">
        <f>IFERROR(T255/T444, "NA")</f>
        <v>0</v>
      </c>
      <c r="V255" s="9"/>
      <c r="W255" s="10">
        <f t="shared" si="66"/>
        <v>0</v>
      </c>
      <c r="X255" s="8">
        <f>IFERROR(W255/W444, "NA")</f>
        <v>0</v>
      </c>
      <c r="Y255" s="9"/>
      <c r="Z255" s="7">
        <v>0</v>
      </c>
      <c r="AA255" s="8">
        <f>IFERROR(Z255/Z444, "NA")</f>
        <v>0</v>
      </c>
      <c r="AB255" s="9"/>
      <c r="AC255" s="10">
        <f t="shared" si="67"/>
        <v>0</v>
      </c>
      <c r="AD255" s="8">
        <f>IFERROR(AC255/AC444, "NA")</f>
        <v>0</v>
      </c>
    </row>
    <row r="256" spans="1:30" ht="16.5" hidden="1" customHeight="1" x14ac:dyDescent="0.45">
      <c r="A256" s="12" t="s">
        <v>233</v>
      </c>
      <c r="B256" s="7">
        <v>0</v>
      </c>
      <c r="C256" s="8">
        <f>IFERROR(B256/B444, "NA")</f>
        <v>0</v>
      </c>
      <c r="D256" s="9"/>
      <c r="E256" s="7">
        <v>0</v>
      </c>
      <c r="F256" s="8">
        <f>IFERROR(E256/E444, "NA")</f>
        <v>0</v>
      </c>
      <c r="G256" s="9"/>
      <c r="H256" s="10">
        <f t="shared" si="64"/>
        <v>0</v>
      </c>
      <c r="I256" s="8">
        <f>IFERROR(H256/H444, "NA")</f>
        <v>0</v>
      </c>
      <c r="J256" s="9"/>
      <c r="K256" s="7">
        <v>0</v>
      </c>
      <c r="L256" s="8">
        <f>IFERROR(K256/K444, "NA")</f>
        <v>0</v>
      </c>
      <c r="M256" s="9"/>
      <c r="N256" s="10">
        <f t="shared" si="65"/>
        <v>0</v>
      </c>
      <c r="O256" s="8">
        <f>IFERROR(N256/N444, "NA")</f>
        <v>0</v>
      </c>
      <c r="P256" s="9"/>
      <c r="Q256" s="7">
        <v>0</v>
      </c>
      <c r="R256" s="8">
        <f>IFERROR(Q256/Q444, "NA")</f>
        <v>0</v>
      </c>
      <c r="S256" s="9"/>
      <c r="T256" s="7">
        <v>0</v>
      </c>
      <c r="U256" s="8">
        <f>IFERROR(T256/T444, "NA")</f>
        <v>0</v>
      </c>
      <c r="V256" s="9"/>
      <c r="W256" s="10">
        <f t="shared" si="66"/>
        <v>0</v>
      </c>
      <c r="X256" s="8">
        <f>IFERROR(W256/W444, "NA")</f>
        <v>0</v>
      </c>
      <c r="Y256" s="9"/>
      <c r="Z256" s="7">
        <v>0</v>
      </c>
      <c r="AA256" s="8">
        <f>IFERROR(Z256/Z444, "NA")</f>
        <v>0</v>
      </c>
      <c r="AB256" s="9"/>
      <c r="AC256" s="10">
        <f t="shared" si="67"/>
        <v>0</v>
      </c>
      <c r="AD256" s="8">
        <f>IFERROR(AC256/AC444, "NA")</f>
        <v>0</v>
      </c>
    </row>
    <row r="257" spans="1:30" ht="16.5" hidden="1" customHeight="1" x14ac:dyDescent="0.45">
      <c r="A257" s="12" t="s">
        <v>234</v>
      </c>
      <c r="B257" s="7">
        <v>0</v>
      </c>
      <c r="C257" s="8">
        <f>IFERROR(B257/B444, "NA")</f>
        <v>0</v>
      </c>
      <c r="D257" s="9"/>
      <c r="E257" s="7">
        <v>0</v>
      </c>
      <c r="F257" s="8">
        <f>IFERROR(E257/E444, "NA")</f>
        <v>0</v>
      </c>
      <c r="G257" s="9"/>
      <c r="H257" s="10">
        <f t="shared" si="64"/>
        <v>0</v>
      </c>
      <c r="I257" s="8">
        <f>IFERROR(H257/H444, "NA")</f>
        <v>0</v>
      </c>
      <c r="J257" s="9"/>
      <c r="K257" s="7">
        <v>0</v>
      </c>
      <c r="L257" s="8">
        <f>IFERROR(K257/K444, "NA")</f>
        <v>0</v>
      </c>
      <c r="M257" s="9"/>
      <c r="N257" s="10">
        <f t="shared" si="65"/>
        <v>0</v>
      </c>
      <c r="O257" s="8">
        <f>IFERROR(N257/N444, "NA")</f>
        <v>0</v>
      </c>
      <c r="P257" s="9"/>
      <c r="Q257" s="7">
        <v>0</v>
      </c>
      <c r="R257" s="8">
        <f>IFERROR(Q257/Q444, "NA")</f>
        <v>0</v>
      </c>
      <c r="S257" s="9"/>
      <c r="T257" s="7">
        <v>0</v>
      </c>
      <c r="U257" s="8">
        <f>IFERROR(T257/T444, "NA")</f>
        <v>0</v>
      </c>
      <c r="V257" s="9"/>
      <c r="W257" s="10">
        <f t="shared" si="66"/>
        <v>0</v>
      </c>
      <c r="X257" s="8">
        <f>IFERROR(W257/W444, "NA")</f>
        <v>0</v>
      </c>
      <c r="Y257" s="9"/>
      <c r="Z257" s="7">
        <v>0</v>
      </c>
      <c r="AA257" s="8">
        <f>IFERROR(Z257/Z444, "NA")</f>
        <v>0</v>
      </c>
      <c r="AB257" s="9"/>
      <c r="AC257" s="10">
        <f t="shared" si="67"/>
        <v>0</v>
      </c>
      <c r="AD257" s="8">
        <f>IFERROR(AC257/AC444, "NA")</f>
        <v>0</v>
      </c>
    </row>
    <row r="258" spans="1:30" ht="16.5" customHeight="1" x14ac:dyDescent="0.45">
      <c r="A258" s="12" t="s">
        <v>235</v>
      </c>
      <c r="B258" s="7">
        <v>125.75</v>
      </c>
      <c r="C258" s="8">
        <f>IFERROR(B258/B444, "NA")</f>
        <v>1.0933289976933584E-3</v>
      </c>
      <c r="D258" s="9"/>
      <c r="E258" s="7">
        <v>0</v>
      </c>
      <c r="F258" s="8">
        <f>IFERROR(E258/E444, "NA")</f>
        <v>0</v>
      </c>
      <c r="G258" s="9"/>
      <c r="H258" s="10">
        <f t="shared" si="64"/>
        <v>-125.75</v>
      </c>
      <c r="I258" s="8">
        <f>IFERROR(H258/H444, "NA")</f>
        <v>6.7652228273412897E-3</v>
      </c>
      <c r="J258" s="9"/>
      <c r="K258" s="7">
        <v>0</v>
      </c>
      <c r="L258" s="8">
        <f>IFERROR(K258/K444, "NA")</f>
        <v>0</v>
      </c>
      <c r="M258" s="9"/>
      <c r="N258" s="10">
        <f t="shared" si="65"/>
        <v>-125.75</v>
      </c>
      <c r="O258" s="8">
        <f>IFERROR(N258/N444, "NA")</f>
        <v>-7.0154982537964899E-2</v>
      </c>
      <c r="P258" s="9"/>
      <c r="Q258" s="7">
        <v>125.75</v>
      </c>
      <c r="R258" s="8">
        <f>IFERROR(Q258/Q444, "NA")</f>
        <v>2.262637496162288E-4</v>
      </c>
      <c r="S258" s="9"/>
      <c r="T258" s="7">
        <v>0</v>
      </c>
      <c r="U258" s="8">
        <f>IFERROR(T258/T444, "NA")</f>
        <v>0</v>
      </c>
      <c r="V258" s="9"/>
      <c r="W258" s="10">
        <f t="shared" si="66"/>
        <v>-125.75</v>
      </c>
      <c r="X258" s="8">
        <f>IFERROR(W258/W444, "NA")</f>
        <v>9.9928401201206853E-3</v>
      </c>
      <c r="Y258" s="9"/>
      <c r="Z258" s="7">
        <v>0</v>
      </c>
      <c r="AA258" s="8">
        <f>IFERROR(Z258/Z444, "NA")</f>
        <v>0</v>
      </c>
      <c r="AB258" s="9"/>
      <c r="AC258" s="10">
        <f t="shared" si="67"/>
        <v>-125.75</v>
      </c>
      <c r="AD258" s="8">
        <f>IFERROR(AC258/AC444, "NA")</f>
        <v>-1.9836975554536154E-3</v>
      </c>
    </row>
    <row r="259" spans="1:30" ht="16.5" hidden="1" customHeight="1" x14ac:dyDescent="0.45">
      <c r="A259" s="12" t="s">
        <v>236</v>
      </c>
      <c r="B259" s="7">
        <v>0</v>
      </c>
      <c r="C259" s="8">
        <f>IFERROR(B259/B444, "NA")</f>
        <v>0</v>
      </c>
      <c r="D259" s="9"/>
      <c r="E259" s="7">
        <v>0</v>
      </c>
      <c r="F259" s="8">
        <f>IFERROR(E259/E444, "NA")</f>
        <v>0</v>
      </c>
      <c r="G259" s="9"/>
      <c r="H259" s="10">
        <f t="shared" si="64"/>
        <v>0</v>
      </c>
      <c r="I259" s="8">
        <f>IFERROR(H259/H444, "NA")</f>
        <v>0</v>
      </c>
      <c r="J259" s="9"/>
      <c r="K259" s="7">
        <v>0</v>
      </c>
      <c r="L259" s="8">
        <f>IFERROR(K259/K444, "NA")</f>
        <v>0</v>
      </c>
      <c r="M259" s="9"/>
      <c r="N259" s="10">
        <f t="shared" si="65"/>
        <v>0</v>
      </c>
      <c r="O259" s="8">
        <f>IFERROR(N259/N444, "NA")</f>
        <v>0</v>
      </c>
      <c r="P259" s="9"/>
      <c r="Q259" s="7">
        <v>0</v>
      </c>
      <c r="R259" s="8">
        <f>IFERROR(Q259/Q444, "NA")</f>
        <v>0</v>
      </c>
      <c r="S259" s="9"/>
      <c r="T259" s="7">
        <v>0</v>
      </c>
      <c r="U259" s="8">
        <f>IFERROR(T259/T444, "NA")</f>
        <v>0</v>
      </c>
      <c r="V259" s="9"/>
      <c r="W259" s="10">
        <f t="shared" si="66"/>
        <v>0</v>
      </c>
      <c r="X259" s="8">
        <f>IFERROR(W259/W444, "NA")</f>
        <v>0</v>
      </c>
      <c r="Y259" s="9"/>
      <c r="Z259" s="7">
        <v>0</v>
      </c>
      <c r="AA259" s="8">
        <f>IFERROR(Z259/Z444, "NA")</f>
        <v>0</v>
      </c>
      <c r="AB259" s="9"/>
      <c r="AC259" s="10">
        <f t="shared" si="67"/>
        <v>0</v>
      </c>
      <c r="AD259" s="8">
        <f>IFERROR(AC259/AC444, "NA")</f>
        <v>0</v>
      </c>
    </row>
    <row r="260" spans="1:30" ht="16.5" hidden="1" customHeight="1" x14ac:dyDescent="0.45">
      <c r="A260" s="12" t="s">
        <v>237</v>
      </c>
      <c r="B260" s="7">
        <v>0</v>
      </c>
      <c r="C260" s="8">
        <f>IFERROR(B260/B444, "NA")</f>
        <v>0</v>
      </c>
      <c r="D260" s="9"/>
      <c r="E260" s="7">
        <v>0</v>
      </c>
      <c r="F260" s="8">
        <f>IFERROR(E260/E444, "NA")</f>
        <v>0</v>
      </c>
      <c r="G260" s="9"/>
      <c r="H260" s="10">
        <f t="shared" si="64"/>
        <v>0</v>
      </c>
      <c r="I260" s="8">
        <f>IFERROR(H260/H444, "NA")</f>
        <v>0</v>
      </c>
      <c r="J260" s="9"/>
      <c r="K260" s="7">
        <v>0</v>
      </c>
      <c r="L260" s="8">
        <f>IFERROR(K260/K444, "NA")</f>
        <v>0</v>
      </c>
      <c r="M260" s="9"/>
      <c r="N260" s="10">
        <f t="shared" si="65"/>
        <v>0</v>
      </c>
      <c r="O260" s="8">
        <f>IFERROR(N260/N444, "NA")</f>
        <v>0</v>
      </c>
      <c r="P260" s="9"/>
      <c r="Q260" s="7">
        <v>0</v>
      </c>
      <c r="R260" s="8">
        <f>IFERROR(Q260/Q444, "NA")</f>
        <v>0</v>
      </c>
      <c r="S260" s="9"/>
      <c r="T260" s="7">
        <v>0</v>
      </c>
      <c r="U260" s="8">
        <f>IFERROR(T260/T444, "NA")</f>
        <v>0</v>
      </c>
      <c r="V260" s="9"/>
      <c r="W260" s="10">
        <f t="shared" si="66"/>
        <v>0</v>
      </c>
      <c r="X260" s="8">
        <f>IFERROR(W260/W444, "NA")</f>
        <v>0</v>
      </c>
      <c r="Y260" s="9"/>
      <c r="Z260" s="7">
        <v>0</v>
      </c>
      <c r="AA260" s="8">
        <f>IFERROR(Z260/Z444, "NA")</f>
        <v>0</v>
      </c>
      <c r="AB260" s="9"/>
      <c r="AC260" s="10">
        <f t="shared" si="67"/>
        <v>0</v>
      </c>
      <c r="AD260" s="8">
        <f>IFERROR(AC260/AC444, "NA")</f>
        <v>0</v>
      </c>
    </row>
    <row r="261" spans="1:30" ht="16.5" hidden="1" customHeight="1" x14ac:dyDescent="0.45">
      <c r="A261" s="12" t="s">
        <v>238</v>
      </c>
      <c r="B261" s="7">
        <v>0</v>
      </c>
      <c r="C261" s="8">
        <f>IFERROR(B261/B444, "NA")</f>
        <v>0</v>
      </c>
      <c r="D261" s="9"/>
      <c r="E261" s="7">
        <v>0</v>
      </c>
      <c r="F261" s="8">
        <f>IFERROR(E261/E444, "NA")</f>
        <v>0</v>
      </c>
      <c r="G261" s="9"/>
      <c r="H261" s="10">
        <f t="shared" si="64"/>
        <v>0</v>
      </c>
      <c r="I261" s="8">
        <f>IFERROR(H261/H444, "NA")</f>
        <v>0</v>
      </c>
      <c r="J261" s="9"/>
      <c r="K261" s="7">
        <v>0</v>
      </c>
      <c r="L261" s="8">
        <f>IFERROR(K261/K444, "NA")</f>
        <v>0</v>
      </c>
      <c r="M261" s="9"/>
      <c r="N261" s="10">
        <f t="shared" si="65"/>
        <v>0</v>
      </c>
      <c r="O261" s="8">
        <f>IFERROR(N261/N444, "NA")</f>
        <v>0</v>
      </c>
      <c r="P261" s="9"/>
      <c r="Q261" s="7">
        <v>0</v>
      </c>
      <c r="R261" s="8">
        <f>IFERROR(Q261/Q444, "NA")</f>
        <v>0</v>
      </c>
      <c r="S261" s="9"/>
      <c r="T261" s="7">
        <v>0</v>
      </c>
      <c r="U261" s="8">
        <f>IFERROR(T261/T444, "NA")</f>
        <v>0</v>
      </c>
      <c r="V261" s="9"/>
      <c r="W261" s="10">
        <f t="shared" si="66"/>
        <v>0</v>
      </c>
      <c r="X261" s="8">
        <f>IFERROR(W261/W444, "NA")</f>
        <v>0</v>
      </c>
      <c r="Y261" s="9"/>
      <c r="Z261" s="7">
        <v>0</v>
      </c>
      <c r="AA261" s="8">
        <f>IFERROR(Z261/Z444, "NA")</f>
        <v>0</v>
      </c>
      <c r="AB261" s="9"/>
      <c r="AC261" s="10">
        <f t="shared" si="67"/>
        <v>0</v>
      </c>
      <c r="AD261" s="8">
        <f>IFERROR(AC261/AC444, "NA")</f>
        <v>0</v>
      </c>
    </row>
    <row r="262" spans="1:30" ht="16.5" customHeight="1" x14ac:dyDescent="0.45">
      <c r="A262" s="13" t="s">
        <v>239</v>
      </c>
      <c r="B262" s="14">
        <f>IFERROR(B240+B241+B242+B243+B244+B245+B246+B247+B248+B249+B250+B251+B252+B253+B254+B255+B256+B257+B258+B259+B260+B261, "NA")</f>
        <v>8692.7999999999993</v>
      </c>
      <c r="C262" s="15">
        <f>IFERROR(B262/B444, "NA")</f>
        <v>7.5579247007147715E-2</v>
      </c>
      <c r="D262" s="2"/>
      <c r="E262" s="14">
        <f>IFERROR(E240+E241+E242+E243+E244+E245+E246+E247+E248+E249+E250+E251+E252+E253+E254+E255+E256+E257+E258+E259+E260+E261, "NA")</f>
        <v>6884.32</v>
      </c>
      <c r="F262" s="15">
        <f>IFERROR(E262/E444, "NA")</f>
        <v>5.1528026118495024E-2</v>
      </c>
      <c r="G262" s="2"/>
      <c r="H262" s="14">
        <f t="shared" si="64"/>
        <v>-1808.4799999999996</v>
      </c>
      <c r="I262" s="15">
        <f>IFERROR(H262/H444, "NA")</f>
        <v>9.7294395059961611E-2</v>
      </c>
      <c r="J262" s="2"/>
      <c r="K262" s="14">
        <f>IFERROR(K240+K241+K242+K243+K244+K245+K246+K247+K248+K249+K250+K251+K252+K253+K254+K255+K256+K257+K258+K259+K260+K261, "NA")</f>
        <v>6629.1900000000005</v>
      </c>
      <c r="L262" s="15">
        <f>IFERROR(K262/K444, "NA")</f>
        <v>5.8549728836588676E-2</v>
      </c>
      <c r="M262" s="2"/>
      <c r="N262" s="14">
        <f t="shared" si="65"/>
        <v>-2063.6099999999988</v>
      </c>
      <c r="O262" s="15">
        <f>IFERROR(N262/N444, "NA")</f>
        <v>-1.1512725528045302</v>
      </c>
      <c r="P262" s="2"/>
      <c r="Q262" s="14">
        <f>IFERROR(Q240+Q241+Q242+Q243+Q244+Q245+Q246+Q247+Q248+Q249+Q250+Q251+Q252+Q253+Q254+Q255+Q256+Q257+Q258+Q259+Q260+Q261, "NA")</f>
        <v>36148.149999999994</v>
      </c>
      <c r="R262" s="15">
        <f>IFERROR(Q262/Q444, "NA")</f>
        <v>6.5041876426957301E-2</v>
      </c>
      <c r="S262" s="2"/>
      <c r="T262" s="14">
        <f>IFERROR(T240+T241+T242+T243+T244+T245+T246+T247+T248+T249+T250+T251+T252+T253+T254+T255+T256+T257+T258+T259+T260+T261, "NA")</f>
        <v>29905.08</v>
      </c>
      <c r="U262" s="15">
        <f>IFERROR(T262/T444, "NA")</f>
        <v>5.2617242003863321E-2</v>
      </c>
      <c r="V262" s="2"/>
      <c r="W262" s="14">
        <f t="shared" si="66"/>
        <v>-6243.0699999999924</v>
      </c>
      <c r="X262" s="15">
        <f>IFERROR(W262/W444, "NA")</f>
        <v>0.49611133494013337</v>
      </c>
      <c r="Y262" s="2"/>
      <c r="Z262" s="14">
        <f>IFERROR(Z240+Z241+Z242+Z243+Z244+Z245+Z246+Z247+Z248+Z249+Z250+Z251+Z252+Z253+Z254+Z255+Z256+Z257+Z258+Z259+Z260+Z261, "NA")</f>
        <v>25608.730000000003</v>
      </c>
      <c r="AA262" s="15">
        <f>IFERROR(Z262/Z444, "NA")</f>
        <v>5.201055754975354E-2</v>
      </c>
      <c r="AB262" s="2"/>
      <c r="AC262" s="14">
        <f t="shared" si="67"/>
        <v>-10539.419999999991</v>
      </c>
      <c r="AD262" s="15">
        <f>IFERROR(AC262/AC444, "NA")</f>
        <v>-0.16625862178846063</v>
      </c>
    </row>
    <row r="263" spans="1:30" ht="16.5" customHeight="1" x14ac:dyDescent="0.45">
      <c r="A263" s="19" t="s">
        <v>240</v>
      </c>
      <c r="B263" s="14">
        <f>IFERROR(B238+B240+B241+B242+B243+B244+B245+B246+B247+B248+B249+B250+B251+B252+B253+B254+B255+B256+B257+B258+B259+B260+B261, "NA")</f>
        <v>8692.7999999999993</v>
      </c>
      <c r="C263" s="15">
        <f>IFERROR(B263/B444, "NA")</f>
        <v>7.5579247007147715E-2</v>
      </c>
      <c r="D263" s="2"/>
      <c r="E263" s="14">
        <f>IFERROR(E238+E240+E241+E242+E243+E244+E245+E246+E247+E248+E249+E250+E251+E252+E253+E254+E255+E256+E257+E258+E259+E260+E261, "NA")</f>
        <v>6884.32</v>
      </c>
      <c r="F263" s="15">
        <f>IFERROR(E263/E444, "NA")</f>
        <v>5.1528026118495024E-2</v>
      </c>
      <c r="G263" s="2"/>
      <c r="H263" s="14">
        <f t="shared" si="64"/>
        <v>-1808.4799999999996</v>
      </c>
      <c r="I263" s="15">
        <f>IFERROR(H263/H444, "NA")</f>
        <v>9.7294395059961611E-2</v>
      </c>
      <c r="J263" s="2"/>
      <c r="K263" s="14">
        <f>IFERROR(K238+K240+K241+K242+K243+K244+K245+K246+K247+K248+K249+K250+K251+K252+K253+K254+K255+K256+K257+K258+K259+K260+K261, "NA")</f>
        <v>6629.1900000000005</v>
      </c>
      <c r="L263" s="15">
        <f>IFERROR(K263/K444, "NA")</f>
        <v>5.8549728836588676E-2</v>
      </c>
      <c r="M263" s="2"/>
      <c r="N263" s="14">
        <f t="shared" si="65"/>
        <v>-2063.6099999999988</v>
      </c>
      <c r="O263" s="15">
        <f>IFERROR(N263/N444, "NA")</f>
        <v>-1.1512725528045302</v>
      </c>
      <c r="P263" s="2"/>
      <c r="Q263" s="14">
        <f>IFERROR(Q238+Q240+Q241+Q242+Q243+Q244+Q245+Q246+Q247+Q248+Q249+Q250+Q251+Q252+Q253+Q254+Q255+Q256+Q257+Q258+Q259+Q260+Q261, "NA")</f>
        <v>36148.149999999994</v>
      </c>
      <c r="R263" s="15">
        <f>IFERROR(Q263/Q444, "NA")</f>
        <v>6.5041876426957301E-2</v>
      </c>
      <c r="S263" s="2"/>
      <c r="T263" s="14">
        <f>IFERROR(T238+T240+T241+T242+T243+T244+T245+T246+T247+T248+T249+T250+T251+T252+T253+T254+T255+T256+T257+T258+T259+T260+T261, "NA")</f>
        <v>29905.08</v>
      </c>
      <c r="U263" s="15">
        <f>IFERROR(T263/T444, "NA")</f>
        <v>5.2617242003863321E-2</v>
      </c>
      <c r="V263" s="2"/>
      <c r="W263" s="14">
        <f t="shared" si="66"/>
        <v>-6243.0699999999924</v>
      </c>
      <c r="X263" s="15">
        <f>IFERROR(W263/W444, "NA")</f>
        <v>0.49611133494013337</v>
      </c>
      <c r="Y263" s="2"/>
      <c r="Z263" s="14">
        <f>IFERROR(Z238+Z240+Z241+Z242+Z243+Z244+Z245+Z246+Z247+Z248+Z249+Z250+Z251+Z252+Z253+Z254+Z255+Z256+Z257+Z258+Z259+Z260+Z261, "NA")</f>
        <v>25608.730000000003</v>
      </c>
      <c r="AA263" s="15">
        <f>IFERROR(Z263/Z444, "NA")</f>
        <v>5.201055754975354E-2</v>
      </c>
      <c r="AB263" s="2"/>
      <c r="AC263" s="14">
        <f t="shared" si="67"/>
        <v>-10539.419999999991</v>
      </c>
      <c r="AD263" s="15">
        <f>IFERROR(AC263/AC444, "NA")</f>
        <v>-0.16625862178846063</v>
      </c>
    </row>
    <row r="264" spans="1:30" ht="16.5" customHeight="1" x14ac:dyDescent="0.45">
      <c r="A264" s="5" t="s">
        <v>241</v>
      </c>
      <c r="B264" s="2"/>
      <c r="C264" s="3"/>
      <c r="D264" s="4"/>
      <c r="E264" s="2"/>
      <c r="F264" s="3"/>
      <c r="G264" s="4"/>
      <c r="H264" s="2"/>
      <c r="I264" s="3"/>
      <c r="J264" s="4"/>
      <c r="K264" s="2"/>
      <c r="L264" s="3"/>
      <c r="M264" s="4"/>
      <c r="N264" s="2"/>
      <c r="O264" s="3"/>
      <c r="P264" s="4"/>
      <c r="Q264" s="2"/>
      <c r="R264" s="3"/>
      <c r="S264" s="4"/>
      <c r="T264" s="2"/>
      <c r="U264" s="3"/>
      <c r="V264" s="4"/>
      <c r="W264" s="2"/>
      <c r="X264" s="3"/>
      <c r="Y264" s="4"/>
      <c r="Z264" s="2"/>
      <c r="AA264" s="3"/>
      <c r="AB264" s="4"/>
      <c r="AC264" s="2"/>
      <c r="AD264" s="3"/>
    </row>
    <row r="265" spans="1:30" ht="16.5" customHeight="1" x14ac:dyDescent="0.45">
      <c r="A265" s="6" t="s">
        <v>241</v>
      </c>
      <c r="B265" s="7">
        <v>3150.68</v>
      </c>
      <c r="C265" s="8">
        <f>IFERROR(B265/B444, "NA")</f>
        <v>2.739347758610346E-2</v>
      </c>
      <c r="D265" s="9"/>
      <c r="E265" s="7">
        <v>3740.9</v>
      </c>
      <c r="F265" s="8">
        <f>IFERROR(E265/E444, "NA")</f>
        <v>2.8000033831471816E-2</v>
      </c>
      <c r="G265" s="9"/>
      <c r="H265" s="10">
        <f>IFERROR(-(B265-E265), "NA")</f>
        <v>590.22000000000025</v>
      </c>
      <c r="I265" s="8">
        <f>IFERROR(H265/H444, "NA")</f>
        <v>-3.1753239102611353E-2</v>
      </c>
      <c r="J265" s="9"/>
      <c r="K265" s="7">
        <v>3410.96</v>
      </c>
      <c r="L265" s="8">
        <f>IFERROR(K265/K444, "NA")</f>
        <v>3.0125970604621452E-2</v>
      </c>
      <c r="M265" s="9"/>
      <c r="N265" s="10">
        <f>IFERROR(-(B265-K265), "NA")</f>
        <v>260.2800000000002</v>
      </c>
      <c r="O265" s="8">
        <f>IFERROR(N265/N444, "NA")</f>
        <v>0.14520826127221884</v>
      </c>
      <c r="P265" s="9"/>
      <c r="Q265" s="7">
        <v>14602.66</v>
      </c>
      <c r="R265" s="8">
        <f>IFERROR(Q265/Q444, "NA")</f>
        <v>2.6274772214480473E-2</v>
      </c>
      <c r="S265" s="9"/>
      <c r="T265" s="7">
        <v>16090.14</v>
      </c>
      <c r="U265" s="8">
        <f>IFERROR(T265/T444, "NA")</f>
        <v>2.8310199814079791E-2</v>
      </c>
      <c r="V265" s="9"/>
      <c r="W265" s="10">
        <f>IFERROR(-(Q265-T265), "NA")</f>
        <v>1487.4799999999996</v>
      </c>
      <c r="X265" s="8">
        <f>IFERROR(W265/W444, "NA")</f>
        <v>-0.11820397472665696</v>
      </c>
      <c r="Y265" s="9"/>
      <c r="Z265" s="7">
        <v>14559.49</v>
      </c>
      <c r="AA265" s="8">
        <f>IFERROR(Z265/Z444, "NA")</f>
        <v>2.9569884665895618E-2</v>
      </c>
      <c r="AB265" s="9"/>
      <c r="AC265" s="10">
        <f>IFERROR(-(Q265-Z265), "NA")</f>
        <v>-43.170000000000073</v>
      </c>
      <c r="AD265" s="8">
        <f>IFERROR(AC265/AC444, "NA")</f>
        <v>-6.8100376516049878E-4</v>
      </c>
    </row>
    <row r="266" spans="1:30" ht="16.5" customHeight="1" x14ac:dyDescent="0.45">
      <c r="A266" s="6" t="s">
        <v>242</v>
      </c>
      <c r="B266" s="7">
        <v>0</v>
      </c>
      <c r="C266" s="8">
        <f>IFERROR(B266/B444, "NA")</f>
        <v>0</v>
      </c>
      <c r="D266" s="9"/>
      <c r="E266" s="7">
        <v>0</v>
      </c>
      <c r="F266" s="8">
        <f>IFERROR(E266/E444, "NA")</f>
        <v>0</v>
      </c>
      <c r="G266" s="9"/>
      <c r="H266" s="10">
        <f>IFERROR(-(B266-E266), "NA")</f>
        <v>0</v>
      </c>
      <c r="I266" s="8">
        <f>IFERROR(H266/H444, "NA")</f>
        <v>0</v>
      </c>
      <c r="J266" s="9"/>
      <c r="K266" s="7">
        <v>0</v>
      </c>
      <c r="L266" s="8">
        <f>IFERROR(K266/K444, "NA")</f>
        <v>0</v>
      </c>
      <c r="M266" s="9"/>
      <c r="N266" s="10">
        <f>IFERROR(-(B266-K266), "NA")</f>
        <v>0</v>
      </c>
      <c r="O266" s="8">
        <f>IFERROR(N266/N444, "NA")</f>
        <v>0</v>
      </c>
      <c r="P266" s="9"/>
      <c r="Q266" s="7">
        <v>74.099999999999994</v>
      </c>
      <c r="R266" s="8">
        <f>IFERROR(Q266/Q444, "NA")</f>
        <v>1.3332917571819128E-4</v>
      </c>
      <c r="S266" s="9"/>
      <c r="T266" s="7">
        <v>0</v>
      </c>
      <c r="U266" s="8">
        <f>IFERROR(T266/T444, "NA")</f>
        <v>0</v>
      </c>
      <c r="V266" s="9"/>
      <c r="W266" s="10">
        <f>IFERROR(-(Q266-T266), "NA")</f>
        <v>-74.099999999999994</v>
      </c>
      <c r="X266" s="8">
        <f>IFERROR(W266/W444, "NA")</f>
        <v>5.8884250727709161E-3</v>
      </c>
      <c r="Y266" s="9"/>
      <c r="Z266" s="7">
        <v>-49.23</v>
      </c>
      <c r="AA266" s="8">
        <f>IFERROR(Z266/Z444, "NA")</f>
        <v>-9.9984643837252619E-5</v>
      </c>
      <c r="AB266" s="9"/>
      <c r="AC266" s="10">
        <f>IFERROR(-(Q266-Z266), "NA")</f>
        <v>-123.32999999999998</v>
      </c>
      <c r="AD266" s="8">
        <f>IFERROR(AC266/AC444, "NA")</f>
        <v>-1.9455222227760982E-3</v>
      </c>
    </row>
    <row r="267" spans="1:30" ht="16.5" customHeight="1" x14ac:dyDescent="0.45">
      <c r="A267" s="19" t="s">
        <v>243</v>
      </c>
      <c r="B267" s="14">
        <f>IFERROR(B265+B266, "NA")</f>
        <v>3150.68</v>
      </c>
      <c r="C267" s="15">
        <f>IFERROR(B267/B444, "NA")</f>
        <v>2.739347758610346E-2</v>
      </c>
      <c r="D267" s="2"/>
      <c r="E267" s="14">
        <f>IFERROR(E265+E266, "NA")</f>
        <v>3740.9</v>
      </c>
      <c r="F267" s="15">
        <f>IFERROR(E267/E444, "NA")</f>
        <v>2.8000033831471816E-2</v>
      </c>
      <c r="G267" s="2"/>
      <c r="H267" s="14">
        <f>IFERROR(-(B267-E267), "NA")</f>
        <v>590.22000000000025</v>
      </c>
      <c r="I267" s="15">
        <f>IFERROR(H267/H444, "NA")</f>
        <v>-3.1753239102611353E-2</v>
      </c>
      <c r="J267" s="2"/>
      <c r="K267" s="14">
        <f>IFERROR(K265+K266, "NA")</f>
        <v>3410.96</v>
      </c>
      <c r="L267" s="15">
        <f>IFERROR(K267/K444, "NA")</f>
        <v>3.0125970604621452E-2</v>
      </c>
      <c r="M267" s="2"/>
      <c r="N267" s="14">
        <f>IFERROR(-(B267-K267), "NA")</f>
        <v>260.2800000000002</v>
      </c>
      <c r="O267" s="15">
        <f>IFERROR(N267/N444, "NA")</f>
        <v>0.14520826127221884</v>
      </c>
      <c r="P267" s="2"/>
      <c r="Q267" s="14">
        <f>IFERROR(Q265+Q266, "NA")</f>
        <v>14676.76</v>
      </c>
      <c r="R267" s="15">
        <f>IFERROR(Q267/Q444, "NA")</f>
        <v>2.6408101390198668E-2</v>
      </c>
      <c r="S267" s="2"/>
      <c r="T267" s="14">
        <f>IFERROR(T265+T266, "NA")</f>
        <v>16090.14</v>
      </c>
      <c r="U267" s="15">
        <f>IFERROR(T267/T444, "NA")</f>
        <v>2.8310199814079791E-2</v>
      </c>
      <c r="V267" s="2"/>
      <c r="W267" s="14">
        <f>IFERROR(-(Q267-T267), "NA")</f>
        <v>1413.3799999999992</v>
      </c>
      <c r="X267" s="15">
        <f>IFERROR(W267/W444, "NA")</f>
        <v>-0.11231554965388602</v>
      </c>
      <c r="Y267" s="2"/>
      <c r="Z267" s="14">
        <f>IFERROR(Z265+Z266, "NA")</f>
        <v>14510.26</v>
      </c>
      <c r="AA267" s="15">
        <f>IFERROR(Z267/Z444, "NA")</f>
        <v>2.9469900022058366E-2</v>
      </c>
      <c r="AB267" s="2"/>
      <c r="AC267" s="14">
        <f>IFERROR(-(Q267-Z267), "NA")</f>
        <v>-166.5</v>
      </c>
      <c r="AD267" s="15">
        <f>IFERROR(AC267/AC444, "NA")</f>
        <v>-2.626525987936596E-3</v>
      </c>
    </row>
    <row r="268" spans="1:30" ht="16.5" customHeight="1" x14ac:dyDescent="0.45">
      <c r="A268" s="5" t="s">
        <v>244</v>
      </c>
      <c r="B268" s="2"/>
      <c r="C268" s="3"/>
      <c r="D268" s="4"/>
      <c r="E268" s="2"/>
      <c r="F268" s="3"/>
      <c r="G268" s="4"/>
      <c r="H268" s="2"/>
      <c r="I268" s="3"/>
      <c r="J268" s="4"/>
      <c r="K268" s="2"/>
      <c r="L268" s="3"/>
      <c r="M268" s="4"/>
      <c r="N268" s="2"/>
      <c r="O268" s="3"/>
      <c r="P268" s="4"/>
      <c r="Q268" s="2"/>
      <c r="R268" s="3"/>
      <c r="S268" s="4"/>
      <c r="T268" s="2"/>
      <c r="U268" s="3"/>
      <c r="V268" s="4"/>
      <c r="W268" s="2"/>
      <c r="X268" s="3"/>
      <c r="Y268" s="4"/>
      <c r="Z268" s="2"/>
      <c r="AA268" s="3"/>
      <c r="AB268" s="4"/>
      <c r="AC268" s="2"/>
      <c r="AD268" s="3"/>
    </row>
    <row r="269" spans="1:30" ht="16.5" hidden="1" customHeight="1" x14ac:dyDescent="0.45">
      <c r="A269" s="6" t="s">
        <v>244</v>
      </c>
      <c r="B269" s="7">
        <v>0</v>
      </c>
      <c r="C269" s="8">
        <f>IFERROR(B269/B444, "NA")</f>
        <v>0</v>
      </c>
      <c r="D269" s="9"/>
      <c r="E269" s="7">
        <v>0</v>
      </c>
      <c r="F269" s="8">
        <f>IFERROR(E269/E444, "NA")</f>
        <v>0</v>
      </c>
      <c r="G269" s="9"/>
      <c r="H269" s="10">
        <f>IFERROR(-(B269-E269), "NA")</f>
        <v>0</v>
      </c>
      <c r="I269" s="8">
        <f>IFERROR(H269/H444, "NA")</f>
        <v>0</v>
      </c>
      <c r="J269" s="9"/>
      <c r="K269" s="7">
        <v>0</v>
      </c>
      <c r="L269" s="8">
        <f>IFERROR(K269/K444, "NA")</f>
        <v>0</v>
      </c>
      <c r="M269" s="9"/>
      <c r="N269" s="10">
        <f>IFERROR(-(B269-K269), "NA")</f>
        <v>0</v>
      </c>
      <c r="O269" s="8">
        <f>IFERROR(N269/N444, "NA")</f>
        <v>0</v>
      </c>
      <c r="P269" s="9"/>
      <c r="Q269" s="7">
        <v>0</v>
      </c>
      <c r="R269" s="8">
        <f>IFERROR(Q269/Q444, "NA")</f>
        <v>0</v>
      </c>
      <c r="S269" s="9"/>
      <c r="T269" s="7">
        <v>0</v>
      </c>
      <c r="U269" s="8">
        <f>IFERROR(T269/T444, "NA")</f>
        <v>0</v>
      </c>
      <c r="V269" s="9"/>
      <c r="W269" s="10">
        <f>IFERROR(-(Q269-T269), "NA")</f>
        <v>0</v>
      </c>
      <c r="X269" s="8">
        <f>IFERROR(W269/W444, "NA")</f>
        <v>0</v>
      </c>
      <c r="Y269" s="9"/>
      <c r="Z269" s="7">
        <v>0</v>
      </c>
      <c r="AA269" s="8">
        <f>IFERROR(Z269/Z444, "NA")</f>
        <v>0</v>
      </c>
      <c r="AB269" s="9"/>
      <c r="AC269" s="10">
        <f>IFERROR(-(Q269-Z269), "NA")</f>
        <v>0</v>
      </c>
      <c r="AD269" s="8">
        <f>IFERROR(AC269/AC444, "NA")</f>
        <v>0</v>
      </c>
    </row>
    <row r="270" spans="1:30" ht="16.5" customHeight="1" x14ac:dyDescent="0.45">
      <c r="A270" s="6" t="s">
        <v>245</v>
      </c>
      <c r="B270" s="7">
        <v>89.79</v>
      </c>
      <c r="C270" s="8">
        <f>IFERROR(B270/B444, "NA")</f>
        <v>7.8067602944641482E-4</v>
      </c>
      <c r="D270" s="9"/>
      <c r="E270" s="7">
        <v>194.49</v>
      </c>
      <c r="F270" s="8">
        <f>IFERROR(E270/E444, "NA")</f>
        <v>1.4557263171651083E-3</v>
      </c>
      <c r="G270" s="9"/>
      <c r="H270" s="10">
        <f>IFERROR(-(B270-E270), "NA")</f>
        <v>104.7</v>
      </c>
      <c r="I270" s="8">
        <f>IFERROR(H270/H444, "NA")</f>
        <v>-5.6327541154881349E-3</v>
      </c>
      <c r="J270" s="9"/>
      <c r="K270" s="7">
        <v>182.86</v>
      </c>
      <c r="L270" s="8">
        <f>IFERROR(K270/K444, "NA")</f>
        <v>1.6150394565638646E-3</v>
      </c>
      <c r="M270" s="9"/>
      <c r="N270" s="10">
        <f>IFERROR(-(B270-K270), "NA")</f>
        <v>93.070000000000007</v>
      </c>
      <c r="O270" s="8">
        <f>IFERROR(N270/N444, "NA")</f>
        <v>5.1923055465673114E-2</v>
      </c>
      <c r="P270" s="9"/>
      <c r="Q270" s="7">
        <v>707.76</v>
      </c>
      <c r="R270" s="8">
        <f>IFERROR(Q270/Q444, "NA")</f>
        <v>1.2734825560905137E-3</v>
      </c>
      <c r="S270" s="9"/>
      <c r="T270" s="7">
        <v>1085.26</v>
      </c>
      <c r="U270" s="8">
        <f>IFERROR(T270/T444, "NA")</f>
        <v>1.9094878882488428E-3</v>
      </c>
      <c r="V270" s="9"/>
      <c r="W270" s="10">
        <f>IFERROR(-(Q270-T270), "NA")</f>
        <v>377.5</v>
      </c>
      <c r="X270" s="8">
        <f>IFERROR(W270/W444, "NA")</f>
        <v>-2.9998386841714186E-2</v>
      </c>
      <c r="Y270" s="9"/>
      <c r="Z270" s="7">
        <v>962.18</v>
      </c>
      <c r="AA270" s="8">
        <f>IFERROR(Z270/Z444, "NA")</f>
        <v>1.9541585335634314E-3</v>
      </c>
      <c r="AB270" s="9"/>
      <c r="AC270" s="10">
        <f>IFERROR(-(Q270-Z270), "NA")</f>
        <v>254.41999999999996</v>
      </c>
      <c r="AD270" s="8">
        <f>IFERROR(AC270/AC444, "NA")</f>
        <v>4.0134579090139863E-3</v>
      </c>
    </row>
    <row r="271" spans="1:30" ht="16.5" customHeight="1" x14ac:dyDescent="0.45">
      <c r="A271" s="6" t="s">
        <v>246</v>
      </c>
      <c r="B271" s="7">
        <v>1183.75</v>
      </c>
      <c r="C271" s="8">
        <f>IFERROR(B271/B444, "NA")</f>
        <v>1.0292073169141257E-2</v>
      </c>
      <c r="D271" s="9"/>
      <c r="E271" s="7">
        <v>935.22</v>
      </c>
      <c r="F271" s="8">
        <f>IFERROR(E271/E444, "NA")</f>
        <v>6.9999710336734666E-3</v>
      </c>
      <c r="G271" s="9"/>
      <c r="H271" s="10">
        <f>IFERROR(-(B271-E271), "NA")</f>
        <v>-248.52999999999997</v>
      </c>
      <c r="I271" s="8">
        <f>IFERROR(H271/H444, "NA")</f>
        <v>1.3370662658283343E-2</v>
      </c>
      <c r="J271" s="9"/>
      <c r="K271" s="7">
        <v>804.25</v>
      </c>
      <c r="L271" s="8">
        <f>IFERROR(K271/K444, "NA")</f>
        <v>7.1032236844661926E-3</v>
      </c>
      <c r="M271" s="9"/>
      <c r="N271" s="10">
        <f>IFERROR(-(B271-K271), "NA")</f>
        <v>-379.5</v>
      </c>
      <c r="O271" s="8">
        <f>IFERROR(N271/N444, "NA")</f>
        <v>-0.2117202057507569</v>
      </c>
      <c r="P271" s="9"/>
      <c r="Q271" s="7">
        <v>5107.53</v>
      </c>
      <c r="R271" s="8">
        <f>IFERROR(Q271/Q444, "NA")</f>
        <v>9.1900508077723819E-3</v>
      </c>
      <c r="S271" s="9"/>
      <c r="T271" s="7">
        <v>3978.46</v>
      </c>
      <c r="U271" s="8">
        <f>IFERROR(T271/T444, "NA")</f>
        <v>7.0000010908745289E-3</v>
      </c>
      <c r="V271" s="9"/>
      <c r="W271" s="10">
        <f>IFERROR(-(Q271-T271), "NA")</f>
        <v>-1129.0699999999997</v>
      </c>
      <c r="X271" s="8">
        <f>IFERROR(W271/W444, "NA")</f>
        <v>8.9722592400991327E-2</v>
      </c>
      <c r="Y271" s="9"/>
      <c r="Z271" s="7">
        <v>4565.37</v>
      </c>
      <c r="AA271" s="8">
        <f>IFERROR(Z271/Z444, "NA")</f>
        <v>9.2721286499142398E-3</v>
      </c>
      <c r="AB271" s="9"/>
      <c r="AC271" s="10">
        <f>IFERROR(-(Q271-Z271), "NA")</f>
        <v>-542.15999999999985</v>
      </c>
      <c r="AD271" s="8">
        <f>IFERROR(AC271/AC444, "NA")</f>
        <v>-8.5525365142324599E-3</v>
      </c>
    </row>
    <row r="272" spans="1:30" ht="16.5" hidden="1" customHeight="1" x14ac:dyDescent="0.45">
      <c r="A272" s="6" t="s">
        <v>247</v>
      </c>
      <c r="B272" s="7">
        <v>0</v>
      </c>
      <c r="C272" s="8">
        <f>IFERROR(B272/B444, "NA")</f>
        <v>0</v>
      </c>
      <c r="D272" s="9"/>
      <c r="E272" s="7">
        <v>0</v>
      </c>
      <c r="F272" s="8">
        <f>IFERROR(E272/E444, "NA")</f>
        <v>0</v>
      </c>
      <c r="G272" s="9"/>
      <c r="H272" s="10">
        <f>IFERROR(-(B272-E272), "NA")</f>
        <v>0</v>
      </c>
      <c r="I272" s="8">
        <f>IFERROR(H272/H444, "NA")</f>
        <v>0</v>
      </c>
      <c r="J272" s="9"/>
      <c r="K272" s="7">
        <v>0</v>
      </c>
      <c r="L272" s="8">
        <f>IFERROR(K272/K444, "NA")</f>
        <v>0</v>
      </c>
      <c r="M272" s="9"/>
      <c r="N272" s="10">
        <f>IFERROR(-(B272-K272), "NA")</f>
        <v>0</v>
      </c>
      <c r="O272" s="8">
        <f>IFERROR(N272/N444, "NA")</f>
        <v>0</v>
      </c>
      <c r="P272" s="9"/>
      <c r="Q272" s="7">
        <v>0</v>
      </c>
      <c r="R272" s="8">
        <f>IFERROR(Q272/Q444, "NA")</f>
        <v>0</v>
      </c>
      <c r="S272" s="9"/>
      <c r="T272" s="7">
        <v>0</v>
      </c>
      <c r="U272" s="8">
        <f>IFERROR(T272/T444, "NA")</f>
        <v>0</v>
      </c>
      <c r="V272" s="9"/>
      <c r="W272" s="10">
        <f>IFERROR(-(Q272-T272), "NA")</f>
        <v>0</v>
      </c>
      <c r="X272" s="8">
        <f>IFERROR(W272/W444, "NA")</f>
        <v>0</v>
      </c>
      <c r="Y272" s="9"/>
      <c r="Z272" s="7">
        <v>0</v>
      </c>
      <c r="AA272" s="8">
        <f>IFERROR(Z272/Z444, "NA")</f>
        <v>0</v>
      </c>
      <c r="AB272" s="9"/>
      <c r="AC272" s="10">
        <f>IFERROR(-(Q272-Z272), "NA")</f>
        <v>0</v>
      </c>
      <c r="AD272" s="8">
        <f>IFERROR(AC272/AC444, "NA")</f>
        <v>0</v>
      </c>
    </row>
    <row r="273" spans="1:30" ht="16.5" customHeight="1" x14ac:dyDescent="0.45">
      <c r="A273" s="19" t="s">
        <v>248</v>
      </c>
      <c r="B273" s="14">
        <f>IFERROR(B269+B270+B271+B272, "NA")</f>
        <v>1273.54</v>
      </c>
      <c r="C273" s="15">
        <f>IFERROR(B273/B444, "NA")</f>
        <v>1.107274919858767E-2</v>
      </c>
      <c r="D273" s="2"/>
      <c r="E273" s="14">
        <f>IFERROR(E269+E270+E271+E272, "NA")</f>
        <v>1129.71</v>
      </c>
      <c r="F273" s="15">
        <f>IFERROR(E273/E444, "NA")</f>
        <v>8.4556973508385751E-3</v>
      </c>
      <c r="G273" s="2"/>
      <c r="H273" s="14">
        <f>IFERROR(-(B273-E273), "NA")</f>
        <v>-143.82999999999993</v>
      </c>
      <c r="I273" s="15">
        <f>IFERROR(H273/H444, "NA")</f>
        <v>7.7379085427952063E-3</v>
      </c>
      <c r="J273" s="2"/>
      <c r="K273" s="14">
        <f>IFERROR(K269+K270+K271+K272, "NA")</f>
        <v>987.11</v>
      </c>
      <c r="L273" s="15">
        <f>IFERROR(K273/K444, "NA")</f>
        <v>8.7182631410300561E-3</v>
      </c>
      <c r="M273" s="2"/>
      <c r="N273" s="14">
        <f>IFERROR(-(B273-K273), "NA")</f>
        <v>-286.42999999999995</v>
      </c>
      <c r="O273" s="15">
        <f>IFERROR(N273/N444, "NA")</f>
        <v>-0.15979715028508376</v>
      </c>
      <c r="P273" s="2"/>
      <c r="Q273" s="14">
        <f>IFERROR(Q269+Q270+Q271+Q272, "NA")</f>
        <v>5815.29</v>
      </c>
      <c r="R273" s="15">
        <f>IFERROR(Q273/Q444, "NA")</f>
        <v>1.0463533363862897E-2</v>
      </c>
      <c r="S273" s="2"/>
      <c r="T273" s="14">
        <f>IFERROR(T269+T270+T271+T272, "NA")</f>
        <v>5063.72</v>
      </c>
      <c r="U273" s="15">
        <f>IFERROR(T273/T444, "NA")</f>
        <v>8.9094889791233728E-3</v>
      </c>
      <c r="V273" s="2"/>
      <c r="W273" s="14">
        <f>IFERROR(-(Q273-T273), "NA")</f>
        <v>-751.56999999999971</v>
      </c>
      <c r="X273" s="15">
        <f>IFERROR(W273/W444, "NA")</f>
        <v>5.9724205559277141E-2</v>
      </c>
      <c r="Y273" s="2"/>
      <c r="Z273" s="14">
        <f>IFERROR(Z269+Z270+Z271+Z272, "NA")</f>
        <v>5527.55</v>
      </c>
      <c r="AA273" s="15">
        <f>IFERROR(Z273/Z444, "NA")</f>
        <v>1.1226287183477672E-2</v>
      </c>
      <c r="AB273" s="2"/>
      <c r="AC273" s="14">
        <f>IFERROR(-(Q273-Z273), "NA")</f>
        <v>-287.73999999999978</v>
      </c>
      <c r="AD273" s="15">
        <f>IFERROR(AC273/AC444, "NA")</f>
        <v>-4.5390786052184719E-3</v>
      </c>
    </row>
    <row r="274" spans="1:30" ht="16.5" customHeight="1" x14ac:dyDescent="0.45">
      <c r="A274" s="5" t="s">
        <v>249</v>
      </c>
      <c r="B274" s="2"/>
      <c r="C274" s="3"/>
      <c r="D274" s="4"/>
      <c r="E274" s="2"/>
      <c r="F274" s="3"/>
      <c r="G274" s="4"/>
      <c r="H274" s="2"/>
      <c r="I274" s="3"/>
      <c r="J274" s="4"/>
      <c r="K274" s="2"/>
      <c r="L274" s="3"/>
      <c r="M274" s="4"/>
      <c r="N274" s="2"/>
      <c r="O274" s="3"/>
      <c r="P274" s="4"/>
      <c r="Q274" s="2"/>
      <c r="R274" s="3"/>
      <c r="S274" s="4"/>
      <c r="T274" s="2"/>
      <c r="U274" s="3"/>
      <c r="V274" s="4"/>
      <c r="W274" s="2"/>
      <c r="X274" s="3"/>
      <c r="Y274" s="4"/>
      <c r="Z274" s="2"/>
      <c r="AA274" s="3"/>
      <c r="AB274" s="4"/>
      <c r="AC274" s="2"/>
      <c r="AD274" s="3"/>
    </row>
    <row r="275" spans="1:30" ht="16.5" hidden="1" customHeight="1" x14ac:dyDescent="0.45">
      <c r="A275" s="6" t="s">
        <v>249</v>
      </c>
      <c r="B275" s="7">
        <v>0</v>
      </c>
      <c r="C275" s="8">
        <f>IFERROR(B275/B444, "NA")</f>
        <v>0</v>
      </c>
      <c r="D275" s="9"/>
      <c r="E275" s="7">
        <v>0</v>
      </c>
      <c r="F275" s="8">
        <f>IFERROR(E275/E444, "NA")</f>
        <v>0</v>
      </c>
      <c r="G275" s="9"/>
      <c r="H275" s="10">
        <f t="shared" ref="H275:H284" si="68">IFERROR(-(B275-E275), "NA")</f>
        <v>0</v>
      </c>
      <c r="I275" s="8">
        <f>IFERROR(H275/H444, "NA")</f>
        <v>0</v>
      </c>
      <c r="J275" s="9"/>
      <c r="K275" s="7">
        <v>0</v>
      </c>
      <c r="L275" s="8">
        <f>IFERROR(K275/K444, "NA")</f>
        <v>0</v>
      </c>
      <c r="M275" s="9"/>
      <c r="N275" s="10">
        <f t="shared" ref="N275:N284" si="69">IFERROR(-(B275-K275), "NA")</f>
        <v>0</v>
      </c>
      <c r="O275" s="8">
        <f>IFERROR(N275/N444, "NA")</f>
        <v>0</v>
      </c>
      <c r="P275" s="9"/>
      <c r="Q275" s="7">
        <v>0</v>
      </c>
      <c r="R275" s="8">
        <f>IFERROR(Q275/Q444, "NA")</f>
        <v>0</v>
      </c>
      <c r="S275" s="9"/>
      <c r="T275" s="7">
        <v>0</v>
      </c>
      <c r="U275" s="8">
        <f>IFERROR(T275/T444, "NA")</f>
        <v>0</v>
      </c>
      <c r="V275" s="9"/>
      <c r="W275" s="10">
        <f t="shared" ref="W275:W284" si="70">IFERROR(-(Q275-T275), "NA")</f>
        <v>0</v>
      </c>
      <c r="X275" s="8">
        <f>IFERROR(W275/W444, "NA")</f>
        <v>0</v>
      </c>
      <c r="Y275" s="9"/>
      <c r="Z275" s="7">
        <v>0</v>
      </c>
      <c r="AA275" s="8">
        <f>IFERROR(Z275/Z444, "NA")</f>
        <v>0</v>
      </c>
      <c r="AB275" s="9"/>
      <c r="AC275" s="10">
        <f t="shared" ref="AC275:AC284" si="71">IFERROR(-(Q275-Z275), "NA")</f>
        <v>0</v>
      </c>
      <c r="AD275" s="8">
        <f>IFERROR(AC275/AC444, "NA")</f>
        <v>0</v>
      </c>
    </row>
    <row r="276" spans="1:30" ht="16.5" hidden="1" customHeight="1" x14ac:dyDescent="0.45">
      <c r="A276" s="6" t="s">
        <v>250</v>
      </c>
      <c r="B276" s="7">
        <v>0</v>
      </c>
      <c r="C276" s="8">
        <f>IFERROR(B276/B444, "NA")</f>
        <v>0</v>
      </c>
      <c r="D276" s="9"/>
      <c r="E276" s="7">
        <v>0</v>
      </c>
      <c r="F276" s="8">
        <f>IFERROR(E276/E444, "NA")</f>
        <v>0</v>
      </c>
      <c r="G276" s="9"/>
      <c r="H276" s="10">
        <f t="shared" si="68"/>
        <v>0</v>
      </c>
      <c r="I276" s="8">
        <f>IFERROR(H276/H444, "NA")</f>
        <v>0</v>
      </c>
      <c r="J276" s="9"/>
      <c r="K276" s="7">
        <v>0</v>
      </c>
      <c r="L276" s="8">
        <f>IFERROR(K276/K444, "NA")</f>
        <v>0</v>
      </c>
      <c r="M276" s="9"/>
      <c r="N276" s="10">
        <f t="shared" si="69"/>
        <v>0</v>
      </c>
      <c r="O276" s="8">
        <f>IFERROR(N276/N444, "NA")</f>
        <v>0</v>
      </c>
      <c r="P276" s="9"/>
      <c r="Q276" s="7">
        <v>0</v>
      </c>
      <c r="R276" s="8">
        <f>IFERROR(Q276/Q444, "NA")</f>
        <v>0</v>
      </c>
      <c r="S276" s="9"/>
      <c r="T276" s="7">
        <v>0</v>
      </c>
      <c r="U276" s="8">
        <f>IFERROR(T276/T444, "NA")</f>
        <v>0</v>
      </c>
      <c r="V276" s="9"/>
      <c r="W276" s="10">
        <f t="shared" si="70"/>
        <v>0</v>
      </c>
      <c r="X276" s="8">
        <f>IFERROR(W276/W444, "NA")</f>
        <v>0</v>
      </c>
      <c r="Y276" s="9"/>
      <c r="Z276" s="7">
        <v>0</v>
      </c>
      <c r="AA276" s="8">
        <f>IFERROR(Z276/Z444, "NA")</f>
        <v>0</v>
      </c>
      <c r="AB276" s="9"/>
      <c r="AC276" s="10">
        <f t="shared" si="71"/>
        <v>0</v>
      </c>
      <c r="AD276" s="8">
        <f>IFERROR(AC276/AC444, "NA")</f>
        <v>0</v>
      </c>
    </row>
    <row r="277" spans="1:30" ht="16.5" hidden="1" customHeight="1" x14ac:dyDescent="0.45">
      <c r="A277" s="6" t="s">
        <v>251</v>
      </c>
      <c r="B277" s="7">
        <v>0</v>
      </c>
      <c r="C277" s="8">
        <f>IFERROR(B277/B444, "NA")</f>
        <v>0</v>
      </c>
      <c r="D277" s="9"/>
      <c r="E277" s="7">
        <v>0</v>
      </c>
      <c r="F277" s="8">
        <f>IFERROR(E277/E444, "NA")</f>
        <v>0</v>
      </c>
      <c r="G277" s="9"/>
      <c r="H277" s="10">
        <f t="shared" si="68"/>
        <v>0</v>
      </c>
      <c r="I277" s="8">
        <f>IFERROR(H277/H444, "NA")</f>
        <v>0</v>
      </c>
      <c r="J277" s="9"/>
      <c r="K277" s="7">
        <v>0</v>
      </c>
      <c r="L277" s="8">
        <f>IFERROR(K277/K444, "NA")</f>
        <v>0</v>
      </c>
      <c r="M277" s="9"/>
      <c r="N277" s="10">
        <f t="shared" si="69"/>
        <v>0</v>
      </c>
      <c r="O277" s="8">
        <f>IFERROR(N277/N444, "NA")</f>
        <v>0</v>
      </c>
      <c r="P277" s="9"/>
      <c r="Q277" s="7">
        <v>0</v>
      </c>
      <c r="R277" s="8">
        <f>IFERROR(Q277/Q444, "NA")</f>
        <v>0</v>
      </c>
      <c r="S277" s="9"/>
      <c r="T277" s="7">
        <v>0</v>
      </c>
      <c r="U277" s="8">
        <f>IFERROR(T277/T444, "NA")</f>
        <v>0</v>
      </c>
      <c r="V277" s="9"/>
      <c r="W277" s="10">
        <f t="shared" si="70"/>
        <v>0</v>
      </c>
      <c r="X277" s="8">
        <f>IFERROR(W277/W444, "NA")</f>
        <v>0</v>
      </c>
      <c r="Y277" s="9"/>
      <c r="Z277" s="7">
        <v>0</v>
      </c>
      <c r="AA277" s="8">
        <f>IFERROR(Z277/Z444, "NA")</f>
        <v>0</v>
      </c>
      <c r="AB277" s="9"/>
      <c r="AC277" s="10">
        <f t="shared" si="71"/>
        <v>0</v>
      </c>
      <c r="AD277" s="8">
        <f>IFERROR(AC277/AC444, "NA")</f>
        <v>0</v>
      </c>
    </row>
    <row r="278" spans="1:30" ht="16.5" hidden="1" customHeight="1" x14ac:dyDescent="0.45">
      <c r="A278" s="6" t="s">
        <v>252</v>
      </c>
      <c r="B278" s="7">
        <v>0</v>
      </c>
      <c r="C278" s="8">
        <f>IFERROR(B278/B444, "NA")</f>
        <v>0</v>
      </c>
      <c r="D278" s="9"/>
      <c r="E278" s="7">
        <v>0</v>
      </c>
      <c r="F278" s="8">
        <f>IFERROR(E278/E444, "NA")</f>
        <v>0</v>
      </c>
      <c r="G278" s="9"/>
      <c r="H278" s="10">
        <f t="shared" si="68"/>
        <v>0</v>
      </c>
      <c r="I278" s="8">
        <f>IFERROR(H278/H444, "NA")</f>
        <v>0</v>
      </c>
      <c r="J278" s="9"/>
      <c r="K278" s="7">
        <v>0</v>
      </c>
      <c r="L278" s="8">
        <f>IFERROR(K278/K444, "NA")</f>
        <v>0</v>
      </c>
      <c r="M278" s="9"/>
      <c r="N278" s="10">
        <f t="shared" si="69"/>
        <v>0</v>
      </c>
      <c r="O278" s="8">
        <f>IFERROR(N278/N444, "NA")</f>
        <v>0</v>
      </c>
      <c r="P278" s="9"/>
      <c r="Q278" s="7">
        <v>0</v>
      </c>
      <c r="R278" s="8">
        <f>IFERROR(Q278/Q444, "NA")</f>
        <v>0</v>
      </c>
      <c r="S278" s="9"/>
      <c r="T278" s="7">
        <v>0</v>
      </c>
      <c r="U278" s="8">
        <f>IFERROR(T278/T444, "NA")</f>
        <v>0</v>
      </c>
      <c r="V278" s="9"/>
      <c r="W278" s="10">
        <f t="shared" si="70"/>
        <v>0</v>
      </c>
      <c r="X278" s="8">
        <f>IFERROR(W278/W444, "NA")</f>
        <v>0</v>
      </c>
      <c r="Y278" s="9"/>
      <c r="Z278" s="7">
        <v>0</v>
      </c>
      <c r="AA278" s="8">
        <f>IFERROR(Z278/Z444, "NA")</f>
        <v>0</v>
      </c>
      <c r="AB278" s="9"/>
      <c r="AC278" s="10">
        <f t="shared" si="71"/>
        <v>0</v>
      </c>
      <c r="AD278" s="8">
        <f>IFERROR(AC278/AC444, "NA")</f>
        <v>0</v>
      </c>
    </row>
    <row r="279" spans="1:30" ht="16.5" hidden="1" customHeight="1" x14ac:dyDescent="0.45">
      <c r="A279" s="6" t="s">
        <v>253</v>
      </c>
      <c r="B279" s="7">
        <v>0</v>
      </c>
      <c r="C279" s="8">
        <f>IFERROR(B279/B444, "NA")</f>
        <v>0</v>
      </c>
      <c r="D279" s="9"/>
      <c r="E279" s="7">
        <v>0</v>
      </c>
      <c r="F279" s="8">
        <f>IFERROR(E279/E444, "NA")</f>
        <v>0</v>
      </c>
      <c r="G279" s="9"/>
      <c r="H279" s="10">
        <f t="shared" si="68"/>
        <v>0</v>
      </c>
      <c r="I279" s="8">
        <f>IFERROR(H279/H444, "NA")</f>
        <v>0</v>
      </c>
      <c r="J279" s="9"/>
      <c r="K279" s="7">
        <v>0</v>
      </c>
      <c r="L279" s="8">
        <f>IFERROR(K279/K444, "NA")</f>
        <v>0</v>
      </c>
      <c r="M279" s="9"/>
      <c r="N279" s="10">
        <f t="shared" si="69"/>
        <v>0</v>
      </c>
      <c r="O279" s="8">
        <f>IFERROR(N279/N444, "NA")</f>
        <v>0</v>
      </c>
      <c r="P279" s="9"/>
      <c r="Q279" s="7">
        <v>0</v>
      </c>
      <c r="R279" s="8">
        <f>IFERROR(Q279/Q444, "NA")</f>
        <v>0</v>
      </c>
      <c r="S279" s="9"/>
      <c r="T279" s="7">
        <v>0</v>
      </c>
      <c r="U279" s="8">
        <f>IFERROR(T279/T444, "NA")</f>
        <v>0</v>
      </c>
      <c r="V279" s="9"/>
      <c r="W279" s="10">
        <f t="shared" si="70"/>
        <v>0</v>
      </c>
      <c r="X279" s="8">
        <f>IFERROR(W279/W444, "NA")</f>
        <v>0</v>
      </c>
      <c r="Y279" s="9"/>
      <c r="Z279" s="7">
        <v>0</v>
      </c>
      <c r="AA279" s="8">
        <f>IFERROR(Z279/Z444, "NA")</f>
        <v>0</v>
      </c>
      <c r="AB279" s="9"/>
      <c r="AC279" s="10">
        <f t="shared" si="71"/>
        <v>0</v>
      </c>
      <c r="AD279" s="8">
        <f>IFERROR(AC279/AC444, "NA")</f>
        <v>0</v>
      </c>
    </row>
    <row r="280" spans="1:30" ht="16.5" hidden="1" customHeight="1" x14ac:dyDescent="0.45">
      <c r="A280" s="6" t="s">
        <v>254</v>
      </c>
      <c r="B280" s="7">
        <v>0</v>
      </c>
      <c r="C280" s="8">
        <f>IFERROR(B280/B444, "NA")</f>
        <v>0</v>
      </c>
      <c r="D280" s="9"/>
      <c r="E280" s="7">
        <v>0</v>
      </c>
      <c r="F280" s="8">
        <f>IFERROR(E280/E444, "NA")</f>
        <v>0</v>
      </c>
      <c r="G280" s="9"/>
      <c r="H280" s="10">
        <f t="shared" si="68"/>
        <v>0</v>
      </c>
      <c r="I280" s="8">
        <f>IFERROR(H280/H444, "NA")</f>
        <v>0</v>
      </c>
      <c r="J280" s="9"/>
      <c r="K280" s="7">
        <v>0</v>
      </c>
      <c r="L280" s="8">
        <f>IFERROR(K280/K444, "NA")</f>
        <v>0</v>
      </c>
      <c r="M280" s="9"/>
      <c r="N280" s="10">
        <f t="shared" si="69"/>
        <v>0</v>
      </c>
      <c r="O280" s="8">
        <f>IFERROR(N280/N444, "NA")</f>
        <v>0</v>
      </c>
      <c r="P280" s="9"/>
      <c r="Q280" s="7">
        <v>0</v>
      </c>
      <c r="R280" s="8">
        <f>IFERROR(Q280/Q444, "NA")</f>
        <v>0</v>
      </c>
      <c r="S280" s="9"/>
      <c r="T280" s="7">
        <v>0</v>
      </c>
      <c r="U280" s="8">
        <f>IFERROR(T280/T444, "NA")</f>
        <v>0</v>
      </c>
      <c r="V280" s="9"/>
      <c r="W280" s="10">
        <f t="shared" si="70"/>
        <v>0</v>
      </c>
      <c r="X280" s="8">
        <f>IFERROR(W280/W444, "NA")</f>
        <v>0</v>
      </c>
      <c r="Y280" s="9"/>
      <c r="Z280" s="7">
        <v>0</v>
      </c>
      <c r="AA280" s="8">
        <f>IFERROR(Z280/Z444, "NA")</f>
        <v>0</v>
      </c>
      <c r="AB280" s="9"/>
      <c r="AC280" s="10">
        <f t="shared" si="71"/>
        <v>0</v>
      </c>
      <c r="AD280" s="8">
        <f>IFERROR(AC280/AC444, "NA")</f>
        <v>0</v>
      </c>
    </row>
    <row r="281" spans="1:30" ht="16.5" hidden="1" customHeight="1" x14ac:dyDescent="0.45">
      <c r="A281" s="6" t="s">
        <v>255</v>
      </c>
      <c r="B281" s="7">
        <v>0</v>
      </c>
      <c r="C281" s="8">
        <f>IFERROR(B281/B444, "NA")</f>
        <v>0</v>
      </c>
      <c r="D281" s="9"/>
      <c r="E281" s="7">
        <v>0</v>
      </c>
      <c r="F281" s="8">
        <f>IFERROR(E281/E444, "NA")</f>
        <v>0</v>
      </c>
      <c r="G281" s="9"/>
      <c r="H281" s="10">
        <f t="shared" si="68"/>
        <v>0</v>
      </c>
      <c r="I281" s="8">
        <f>IFERROR(H281/H444, "NA")</f>
        <v>0</v>
      </c>
      <c r="J281" s="9"/>
      <c r="K281" s="7">
        <v>0</v>
      </c>
      <c r="L281" s="8">
        <f>IFERROR(K281/K444, "NA")</f>
        <v>0</v>
      </c>
      <c r="M281" s="9"/>
      <c r="N281" s="10">
        <f t="shared" si="69"/>
        <v>0</v>
      </c>
      <c r="O281" s="8">
        <f>IFERROR(N281/N444, "NA")</f>
        <v>0</v>
      </c>
      <c r="P281" s="9"/>
      <c r="Q281" s="7">
        <v>0</v>
      </c>
      <c r="R281" s="8">
        <f>IFERROR(Q281/Q444, "NA")</f>
        <v>0</v>
      </c>
      <c r="S281" s="9"/>
      <c r="T281" s="7">
        <v>0</v>
      </c>
      <c r="U281" s="8">
        <f>IFERROR(T281/T444, "NA")</f>
        <v>0</v>
      </c>
      <c r="V281" s="9"/>
      <c r="W281" s="10">
        <f t="shared" si="70"/>
        <v>0</v>
      </c>
      <c r="X281" s="8">
        <f>IFERROR(W281/W444, "NA")</f>
        <v>0</v>
      </c>
      <c r="Y281" s="9"/>
      <c r="Z281" s="7">
        <v>0</v>
      </c>
      <c r="AA281" s="8">
        <f>IFERROR(Z281/Z444, "NA")</f>
        <v>0</v>
      </c>
      <c r="AB281" s="9"/>
      <c r="AC281" s="10">
        <f t="shared" si="71"/>
        <v>0</v>
      </c>
      <c r="AD281" s="8">
        <f>IFERROR(AC281/AC444, "NA")</f>
        <v>0</v>
      </c>
    </row>
    <row r="282" spans="1:30" ht="16.5" hidden="1" customHeight="1" x14ac:dyDescent="0.45">
      <c r="A282" s="6" t="s">
        <v>256</v>
      </c>
      <c r="B282" s="7">
        <v>0</v>
      </c>
      <c r="C282" s="8">
        <f>IFERROR(B282/B444, "NA")</f>
        <v>0</v>
      </c>
      <c r="D282" s="9"/>
      <c r="E282" s="7">
        <v>0</v>
      </c>
      <c r="F282" s="8">
        <f>IFERROR(E282/E444, "NA")</f>
        <v>0</v>
      </c>
      <c r="G282" s="9"/>
      <c r="H282" s="10">
        <f t="shared" si="68"/>
        <v>0</v>
      </c>
      <c r="I282" s="8">
        <f>IFERROR(H282/H444, "NA")</f>
        <v>0</v>
      </c>
      <c r="J282" s="9"/>
      <c r="K282" s="7">
        <v>0</v>
      </c>
      <c r="L282" s="8">
        <f>IFERROR(K282/K444, "NA")</f>
        <v>0</v>
      </c>
      <c r="M282" s="9"/>
      <c r="N282" s="10">
        <f t="shared" si="69"/>
        <v>0</v>
      </c>
      <c r="O282" s="8">
        <f>IFERROR(N282/N444, "NA")</f>
        <v>0</v>
      </c>
      <c r="P282" s="9"/>
      <c r="Q282" s="7">
        <v>0</v>
      </c>
      <c r="R282" s="8">
        <f>IFERROR(Q282/Q444, "NA")</f>
        <v>0</v>
      </c>
      <c r="S282" s="9"/>
      <c r="T282" s="7">
        <v>0</v>
      </c>
      <c r="U282" s="8">
        <f>IFERROR(T282/T444, "NA")</f>
        <v>0</v>
      </c>
      <c r="V282" s="9"/>
      <c r="W282" s="10">
        <f t="shared" si="70"/>
        <v>0</v>
      </c>
      <c r="X282" s="8">
        <f>IFERROR(W282/W444, "NA")</f>
        <v>0</v>
      </c>
      <c r="Y282" s="9"/>
      <c r="Z282" s="7">
        <v>0</v>
      </c>
      <c r="AA282" s="8">
        <f>IFERROR(Z282/Z444, "NA")</f>
        <v>0</v>
      </c>
      <c r="AB282" s="9"/>
      <c r="AC282" s="10">
        <f t="shared" si="71"/>
        <v>0</v>
      </c>
      <c r="AD282" s="8">
        <f>IFERROR(AC282/AC444, "NA")</f>
        <v>0</v>
      </c>
    </row>
    <row r="283" spans="1:30" ht="16.5" hidden="1" customHeight="1" x14ac:dyDescent="0.45">
      <c r="A283" s="6" t="s">
        <v>257</v>
      </c>
      <c r="B283" s="7">
        <v>0</v>
      </c>
      <c r="C283" s="8">
        <f>IFERROR(B283/B444, "NA")</f>
        <v>0</v>
      </c>
      <c r="D283" s="9"/>
      <c r="E283" s="7">
        <v>0</v>
      </c>
      <c r="F283" s="8">
        <f>IFERROR(E283/E444, "NA")</f>
        <v>0</v>
      </c>
      <c r="G283" s="9"/>
      <c r="H283" s="10">
        <f t="shared" si="68"/>
        <v>0</v>
      </c>
      <c r="I283" s="8">
        <f>IFERROR(H283/H444, "NA")</f>
        <v>0</v>
      </c>
      <c r="J283" s="9"/>
      <c r="K283" s="7">
        <v>0</v>
      </c>
      <c r="L283" s="8">
        <f>IFERROR(K283/K444, "NA")</f>
        <v>0</v>
      </c>
      <c r="M283" s="9"/>
      <c r="N283" s="10">
        <f t="shared" si="69"/>
        <v>0</v>
      </c>
      <c r="O283" s="8">
        <f>IFERROR(N283/N444, "NA")</f>
        <v>0</v>
      </c>
      <c r="P283" s="9"/>
      <c r="Q283" s="7">
        <v>0</v>
      </c>
      <c r="R283" s="8">
        <f>IFERROR(Q283/Q444, "NA")</f>
        <v>0</v>
      </c>
      <c r="S283" s="9"/>
      <c r="T283" s="7">
        <v>0</v>
      </c>
      <c r="U283" s="8">
        <f>IFERROR(T283/T444, "NA")</f>
        <v>0</v>
      </c>
      <c r="V283" s="9"/>
      <c r="W283" s="10">
        <f t="shared" si="70"/>
        <v>0</v>
      </c>
      <c r="X283" s="8">
        <f>IFERROR(W283/W444, "NA")</f>
        <v>0</v>
      </c>
      <c r="Y283" s="9"/>
      <c r="Z283" s="7">
        <v>0</v>
      </c>
      <c r="AA283" s="8">
        <f>IFERROR(Z283/Z444, "NA")</f>
        <v>0</v>
      </c>
      <c r="AB283" s="9"/>
      <c r="AC283" s="10">
        <f t="shared" si="71"/>
        <v>0</v>
      </c>
      <c r="AD283" s="8">
        <f>IFERROR(AC283/AC444, "NA")</f>
        <v>0</v>
      </c>
    </row>
    <row r="284" spans="1:30" ht="16.5" customHeight="1" x14ac:dyDescent="0.45">
      <c r="A284" s="19" t="s">
        <v>258</v>
      </c>
      <c r="B284" s="14">
        <f>IFERROR(B275+B276+B277+B278+B279+B280+B281+B282+B283, "NA")</f>
        <v>0</v>
      </c>
      <c r="C284" s="15">
        <f>IFERROR(B284/B444, "NA")</f>
        <v>0</v>
      </c>
      <c r="D284" s="2"/>
      <c r="E284" s="14">
        <f>IFERROR(E275+E276+E277+E278+E279+E280+E281+E282+E283, "NA")</f>
        <v>0</v>
      </c>
      <c r="F284" s="15">
        <f>IFERROR(E284/E444, "NA")</f>
        <v>0</v>
      </c>
      <c r="G284" s="2"/>
      <c r="H284" s="14">
        <f t="shared" si="68"/>
        <v>0</v>
      </c>
      <c r="I284" s="15">
        <f>IFERROR(H284/H444, "NA")</f>
        <v>0</v>
      </c>
      <c r="J284" s="2"/>
      <c r="K284" s="14">
        <f>IFERROR(K275+K276+K277+K278+K279+K280+K281+K282+K283, "NA")</f>
        <v>0</v>
      </c>
      <c r="L284" s="15">
        <f>IFERROR(K284/K444, "NA")</f>
        <v>0</v>
      </c>
      <c r="M284" s="2"/>
      <c r="N284" s="14">
        <f t="shared" si="69"/>
        <v>0</v>
      </c>
      <c r="O284" s="15">
        <f>IFERROR(N284/N444, "NA")</f>
        <v>0</v>
      </c>
      <c r="P284" s="2"/>
      <c r="Q284" s="14">
        <f>IFERROR(Q275+Q276+Q277+Q278+Q279+Q280+Q281+Q282+Q283, "NA")</f>
        <v>0</v>
      </c>
      <c r="R284" s="15">
        <f>IFERROR(Q284/Q444, "NA")</f>
        <v>0</v>
      </c>
      <c r="S284" s="2"/>
      <c r="T284" s="14">
        <f>IFERROR(T275+T276+T277+T278+T279+T280+T281+T282+T283, "NA")</f>
        <v>0</v>
      </c>
      <c r="U284" s="15">
        <f>IFERROR(T284/T444, "NA")</f>
        <v>0</v>
      </c>
      <c r="V284" s="2"/>
      <c r="W284" s="14">
        <f t="shared" si="70"/>
        <v>0</v>
      </c>
      <c r="X284" s="15">
        <f>IFERROR(W284/W444, "NA")</f>
        <v>0</v>
      </c>
      <c r="Y284" s="2"/>
      <c r="Z284" s="14">
        <f>IFERROR(Z275+Z276+Z277+Z278+Z279+Z280+Z281+Z282+Z283, "NA")</f>
        <v>0</v>
      </c>
      <c r="AA284" s="15">
        <f>IFERROR(Z284/Z444, "NA")</f>
        <v>0</v>
      </c>
      <c r="AB284" s="2"/>
      <c r="AC284" s="14">
        <f t="shared" si="71"/>
        <v>0</v>
      </c>
      <c r="AD284" s="15">
        <f>IFERROR(AC284/AC444, "NA")</f>
        <v>0</v>
      </c>
    </row>
    <row r="285" spans="1:30" ht="16.5" customHeight="1" x14ac:dyDescent="0.45">
      <c r="A285" s="5" t="s">
        <v>259</v>
      </c>
      <c r="B285" s="2"/>
      <c r="C285" s="3"/>
      <c r="D285" s="4"/>
      <c r="E285" s="2"/>
      <c r="F285" s="3"/>
      <c r="G285" s="4"/>
      <c r="H285" s="2"/>
      <c r="I285" s="3"/>
      <c r="J285" s="4"/>
      <c r="K285" s="2"/>
      <c r="L285" s="3"/>
      <c r="M285" s="4"/>
      <c r="N285" s="2"/>
      <c r="O285" s="3"/>
      <c r="P285" s="4"/>
      <c r="Q285" s="2"/>
      <c r="R285" s="3"/>
      <c r="S285" s="4"/>
      <c r="T285" s="2"/>
      <c r="U285" s="3"/>
      <c r="V285" s="4"/>
      <c r="W285" s="2"/>
      <c r="X285" s="3"/>
      <c r="Y285" s="4"/>
      <c r="Z285" s="2"/>
      <c r="AA285" s="3"/>
      <c r="AB285" s="4"/>
      <c r="AC285" s="2"/>
      <c r="AD285" s="3"/>
    </row>
    <row r="286" spans="1:30" ht="16.5" hidden="1" customHeight="1" x14ac:dyDescent="0.45">
      <c r="A286" s="6" t="s">
        <v>259</v>
      </c>
      <c r="B286" s="7">
        <v>0</v>
      </c>
      <c r="C286" s="8">
        <f>IFERROR(B286/B444, "NA")</f>
        <v>0</v>
      </c>
      <c r="D286" s="9"/>
      <c r="E286" s="7">
        <v>0</v>
      </c>
      <c r="F286" s="8">
        <f>IFERROR(E286/E444, "NA")</f>
        <v>0</v>
      </c>
      <c r="G286" s="9"/>
      <c r="H286" s="10">
        <f t="shared" ref="H286:H295" si="72">IFERROR(-(B286-E286), "NA")</f>
        <v>0</v>
      </c>
      <c r="I286" s="8">
        <f>IFERROR(H286/H444, "NA")</f>
        <v>0</v>
      </c>
      <c r="J286" s="9"/>
      <c r="K286" s="7">
        <v>0</v>
      </c>
      <c r="L286" s="8">
        <f>IFERROR(K286/K444, "NA")</f>
        <v>0</v>
      </c>
      <c r="M286" s="9"/>
      <c r="N286" s="10">
        <f t="shared" ref="N286:N295" si="73">IFERROR(-(B286-K286), "NA")</f>
        <v>0</v>
      </c>
      <c r="O286" s="8">
        <f>IFERROR(N286/N444, "NA")</f>
        <v>0</v>
      </c>
      <c r="P286" s="9"/>
      <c r="Q286" s="7">
        <v>0</v>
      </c>
      <c r="R286" s="8">
        <f>IFERROR(Q286/Q444, "NA")</f>
        <v>0</v>
      </c>
      <c r="S286" s="9"/>
      <c r="T286" s="7">
        <v>0</v>
      </c>
      <c r="U286" s="8">
        <f>IFERROR(T286/T444, "NA")</f>
        <v>0</v>
      </c>
      <c r="V286" s="9"/>
      <c r="W286" s="10">
        <f t="shared" ref="W286:W295" si="74">IFERROR(-(Q286-T286), "NA")</f>
        <v>0</v>
      </c>
      <c r="X286" s="8">
        <f>IFERROR(W286/W444, "NA")</f>
        <v>0</v>
      </c>
      <c r="Y286" s="9"/>
      <c r="Z286" s="7">
        <v>0</v>
      </c>
      <c r="AA286" s="8">
        <f>IFERROR(Z286/Z444, "NA")</f>
        <v>0</v>
      </c>
      <c r="AB286" s="9"/>
      <c r="AC286" s="10">
        <f t="shared" ref="AC286:AC295" si="75">IFERROR(-(Q286-Z286), "NA")</f>
        <v>0</v>
      </c>
      <c r="AD286" s="8">
        <f>IFERROR(AC286/AC444, "NA")</f>
        <v>0</v>
      </c>
    </row>
    <row r="287" spans="1:30" ht="16.5" customHeight="1" x14ac:dyDescent="0.45">
      <c r="A287" s="6" t="s">
        <v>260</v>
      </c>
      <c r="B287" s="7">
        <v>0</v>
      </c>
      <c r="C287" s="8">
        <f>IFERROR(B287/B444, "NA")</f>
        <v>0</v>
      </c>
      <c r="D287" s="9"/>
      <c r="E287" s="7">
        <v>357</v>
      </c>
      <c r="F287" s="8">
        <f>IFERROR(E287/E444, "NA")</f>
        <v>2.6720874863897558E-3</v>
      </c>
      <c r="G287" s="9"/>
      <c r="H287" s="10">
        <f t="shared" si="72"/>
        <v>357</v>
      </c>
      <c r="I287" s="8">
        <f>IFERROR(H287/H444, "NA")</f>
        <v>-1.9206238961120004E-2</v>
      </c>
      <c r="J287" s="9"/>
      <c r="K287" s="7">
        <v>0</v>
      </c>
      <c r="L287" s="8">
        <f>IFERROR(K287/K444, "NA")</f>
        <v>0</v>
      </c>
      <c r="M287" s="9"/>
      <c r="N287" s="10">
        <f t="shared" si="73"/>
        <v>0</v>
      </c>
      <c r="O287" s="8">
        <f>IFERROR(N287/N444, "NA")</f>
        <v>0</v>
      </c>
      <c r="P287" s="9"/>
      <c r="Q287" s="7">
        <v>0</v>
      </c>
      <c r="R287" s="8">
        <f>IFERROR(Q287/Q444, "NA")</f>
        <v>0</v>
      </c>
      <c r="S287" s="9"/>
      <c r="T287" s="7">
        <v>1785</v>
      </c>
      <c r="U287" s="8">
        <f>IFERROR(T287/T444, "NA")</f>
        <v>3.1406629568252625E-3</v>
      </c>
      <c r="V287" s="9"/>
      <c r="W287" s="10">
        <f t="shared" si="74"/>
        <v>1785</v>
      </c>
      <c r="X287" s="8">
        <f>IFERROR(W287/W444, "NA")</f>
        <v>-0.14184667685419819</v>
      </c>
      <c r="Y287" s="9"/>
      <c r="Z287" s="7">
        <v>0</v>
      </c>
      <c r="AA287" s="8">
        <f>IFERROR(Z287/Z444, "NA")</f>
        <v>0</v>
      </c>
      <c r="AB287" s="9"/>
      <c r="AC287" s="10">
        <f t="shared" si="75"/>
        <v>0</v>
      </c>
      <c r="AD287" s="8">
        <f>IFERROR(AC287/AC444, "NA")</f>
        <v>0</v>
      </c>
    </row>
    <row r="288" spans="1:30" ht="16.5" customHeight="1" x14ac:dyDescent="0.45">
      <c r="A288" s="6" t="s">
        <v>261</v>
      </c>
      <c r="B288" s="7">
        <v>158.33000000000001</v>
      </c>
      <c r="C288" s="8">
        <f>IFERROR(B288/B444, "NA")</f>
        <v>1.3765946735967351E-3</v>
      </c>
      <c r="D288" s="9"/>
      <c r="E288" s="7">
        <v>0</v>
      </c>
      <c r="F288" s="8">
        <f>IFERROR(E288/E444, "NA")</f>
        <v>0</v>
      </c>
      <c r="G288" s="9"/>
      <c r="H288" s="10">
        <f t="shared" si="72"/>
        <v>-158.33000000000001</v>
      </c>
      <c r="I288" s="8">
        <f>IFERROR(H288/H444, "NA")</f>
        <v>8.5179938787510647E-3</v>
      </c>
      <c r="J288" s="9"/>
      <c r="K288" s="7">
        <v>158.33000000000001</v>
      </c>
      <c r="L288" s="8">
        <f>IFERROR(K288/K444, "NA")</f>
        <v>1.3983878221467607E-3</v>
      </c>
      <c r="M288" s="9"/>
      <c r="N288" s="10">
        <f t="shared" si="73"/>
        <v>0</v>
      </c>
      <c r="O288" s="8">
        <f>IFERROR(N288/N444, "NA")</f>
        <v>0</v>
      </c>
      <c r="P288" s="9"/>
      <c r="Q288" s="7">
        <v>791.67</v>
      </c>
      <c r="R288" s="8">
        <f>IFERROR(Q288/Q444, "NA")</f>
        <v>1.4244630032499391E-3</v>
      </c>
      <c r="S288" s="9"/>
      <c r="T288" s="7">
        <v>0</v>
      </c>
      <c r="U288" s="8">
        <f>IFERROR(T288/T444, "NA")</f>
        <v>0</v>
      </c>
      <c r="V288" s="9"/>
      <c r="W288" s="10">
        <f t="shared" si="74"/>
        <v>-791.67</v>
      </c>
      <c r="X288" s="8">
        <f>IFERROR(W288/W444, "NA")</f>
        <v>6.2910789168158593E-2</v>
      </c>
      <c r="Y288" s="9"/>
      <c r="Z288" s="7">
        <v>791.67</v>
      </c>
      <c r="AA288" s="8">
        <f>IFERROR(Z288/Z444, "NA")</f>
        <v>1.6078578709453133E-3</v>
      </c>
      <c r="AB288" s="9"/>
      <c r="AC288" s="10">
        <f t="shared" si="75"/>
        <v>0</v>
      </c>
      <c r="AD288" s="8">
        <f>IFERROR(AC288/AC444, "NA")</f>
        <v>0</v>
      </c>
    </row>
    <row r="289" spans="1:30" ht="16.5" customHeight="1" x14ac:dyDescent="0.45">
      <c r="A289" s="6" t="s">
        <v>262</v>
      </c>
      <c r="B289" s="7">
        <v>216.02</v>
      </c>
      <c r="C289" s="8">
        <f>IFERROR(B289/B444, "NA")</f>
        <v>1.8781783704311674E-3</v>
      </c>
      <c r="D289" s="9"/>
      <c r="E289" s="7">
        <v>0</v>
      </c>
      <c r="F289" s="8">
        <f>IFERROR(E289/E444, "NA")</f>
        <v>0</v>
      </c>
      <c r="G289" s="9"/>
      <c r="H289" s="10">
        <f t="shared" si="72"/>
        <v>-216.02</v>
      </c>
      <c r="I289" s="8">
        <f>IFERROR(H289/H444, "NA")</f>
        <v>1.1621657536081633E-2</v>
      </c>
      <c r="J289" s="9"/>
      <c r="K289" s="7">
        <v>198.68</v>
      </c>
      <c r="L289" s="8">
        <f>IFERROR(K289/K444, "NA")</f>
        <v>1.7547634213611976E-3</v>
      </c>
      <c r="M289" s="9"/>
      <c r="N289" s="10">
        <f t="shared" si="73"/>
        <v>-17.340000000000003</v>
      </c>
      <c r="O289" s="8">
        <f>IFERROR(N289/N444, "NA")</f>
        <v>-9.6738560414179851E-3</v>
      </c>
      <c r="P289" s="9"/>
      <c r="Q289" s="7">
        <v>1044.44</v>
      </c>
      <c r="R289" s="8">
        <f>IFERROR(Q289/Q444, "NA")</f>
        <v>1.8792756314049625E-3</v>
      </c>
      <c r="S289" s="9"/>
      <c r="T289" s="7">
        <v>0</v>
      </c>
      <c r="U289" s="8">
        <f>IFERROR(T289/T444, "NA")</f>
        <v>0</v>
      </c>
      <c r="V289" s="9"/>
      <c r="W289" s="10">
        <f t="shared" si="74"/>
        <v>-1044.44</v>
      </c>
      <c r="X289" s="8">
        <f>IFERROR(W289/W444, "NA")</f>
        <v>8.2997391133668788E-2</v>
      </c>
      <c r="Y289" s="9"/>
      <c r="Z289" s="7">
        <v>993.4</v>
      </c>
      <c r="AA289" s="8">
        <f>IFERROR(Z289/Z444, "NA")</f>
        <v>2.0175654110893104E-3</v>
      </c>
      <c r="AB289" s="9"/>
      <c r="AC289" s="10">
        <f t="shared" si="75"/>
        <v>-51.040000000000077</v>
      </c>
      <c r="AD289" s="8">
        <f>IFERROR(AC289/AC444, "NA")</f>
        <v>-8.0515247101672113E-4</v>
      </c>
    </row>
    <row r="290" spans="1:30" ht="16.5" customHeight="1" x14ac:dyDescent="0.45">
      <c r="A290" s="6" t="s">
        <v>263</v>
      </c>
      <c r="B290" s="7">
        <v>209.13</v>
      </c>
      <c r="C290" s="8">
        <f>IFERROR(B290/B444, "NA")</f>
        <v>1.8182735052692806E-3</v>
      </c>
      <c r="D290" s="9"/>
      <c r="E290" s="7">
        <v>0</v>
      </c>
      <c r="F290" s="8">
        <f>IFERROR(E290/E444, "NA")</f>
        <v>0</v>
      </c>
      <c r="G290" s="9"/>
      <c r="H290" s="10">
        <f t="shared" si="72"/>
        <v>-209.13</v>
      </c>
      <c r="I290" s="8">
        <f>IFERROR(H290/H444, "NA")</f>
        <v>1.1250982504030884E-2</v>
      </c>
      <c r="J290" s="9"/>
      <c r="K290" s="7">
        <v>1038.1199999999999</v>
      </c>
      <c r="L290" s="8">
        <f>IFERROR(K290/K444, "NA")</f>
        <v>9.1687890224657047E-3</v>
      </c>
      <c r="M290" s="9"/>
      <c r="N290" s="10">
        <f t="shared" si="73"/>
        <v>828.9899999999999</v>
      </c>
      <c r="O290" s="8">
        <f>IFERROR(N290/N444, "NA")</f>
        <v>0.46248730794550713</v>
      </c>
      <c r="P290" s="9"/>
      <c r="Q290" s="7">
        <v>209.13</v>
      </c>
      <c r="R290" s="8">
        <f>IFERROR(Q290/Q444, "NA")</f>
        <v>3.7629056029615847E-4</v>
      </c>
      <c r="S290" s="9"/>
      <c r="T290" s="7">
        <v>0</v>
      </c>
      <c r="U290" s="8">
        <f>IFERROR(T290/T444, "NA")</f>
        <v>0</v>
      </c>
      <c r="V290" s="9"/>
      <c r="W290" s="10">
        <f t="shared" si="74"/>
        <v>-209.13</v>
      </c>
      <c r="X290" s="8">
        <f>IFERROR(W290/W444, "NA")</f>
        <v>1.6618708980682614E-2</v>
      </c>
      <c r="Y290" s="9"/>
      <c r="Z290" s="7">
        <v>1545.52</v>
      </c>
      <c r="AA290" s="8">
        <f>IFERROR(Z290/Z444, "NA")</f>
        <v>3.1389044636065543E-3</v>
      </c>
      <c r="AB290" s="9"/>
      <c r="AC290" s="10">
        <f t="shared" si="75"/>
        <v>1336.3899999999999</v>
      </c>
      <c r="AD290" s="8">
        <f>IFERROR(AC290/AC444, "NA")</f>
        <v>2.1081459849961483E-2</v>
      </c>
    </row>
    <row r="291" spans="1:30" ht="16.5" customHeight="1" x14ac:dyDescent="0.45">
      <c r="A291" s="6" t="s">
        <v>264</v>
      </c>
      <c r="B291" s="7">
        <v>336</v>
      </c>
      <c r="C291" s="8">
        <f>IFERROR(B291/B444, "NA")</f>
        <v>2.9213403039758919E-3</v>
      </c>
      <c r="D291" s="9"/>
      <c r="E291" s="7">
        <v>1336.03</v>
      </c>
      <c r="F291" s="8">
        <f>IFERROR(E291/E444, "NA")</f>
        <v>9.9999693121605206E-3</v>
      </c>
      <c r="G291" s="9"/>
      <c r="H291" s="10">
        <f t="shared" si="72"/>
        <v>1000.03</v>
      </c>
      <c r="I291" s="8">
        <f>IFERROR(H291/H444, "NA")</f>
        <v>-5.3800602656271249E-2</v>
      </c>
      <c r="J291" s="9"/>
      <c r="K291" s="7">
        <v>0</v>
      </c>
      <c r="L291" s="8">
        <f>IFERROR(K291/K444, "NA")</f>
        <v>0</v>
      </c>
      <c r="M291" s="9"/>
      <c r="N291" s="10">
        <f t="shared" si="73"/>
        <v>-336</v>
      </c>
      <c r="O291" s="8">
        <f>IFERROR(N291/N444, "NA")</f>
        <v>-0.18745188177142114</v>
      </c>
      <c r="P291" s="9"/>
      <c r="Q291" s="7">
        <v>1017.31</v>
      </c>
      <c r="R291" s="8">
        <f>IFERROR(Q291/Q444, "NA")</f>
        <v>1.8304602395394489E-3</v>
      </c>
      <c r="S291" s="9"/>
      <c r="T291" s="7">
        <v>5683.51</v>
      </c>
      <c r="U291" s="8">
        <f>IFERROR(T291/T444, "NA")</f>
        <v>9.9999940177848447E-3</v>
      </c>
      <c r="V291" s="9"/>
      <c r="W291" s="10">
        <f t="shared" si="74"/>
        <v>4666.2000000000007</v>
      </c>
      <c r="X291" s="8">
        <f>IFERROR(W291/W444, "NA")</f>
        <v>-0.37080390114120992</v>
      </c>
      <c r="Y291" s="9"/>
      <c r="Z291" s="7">
        <v>913.93</v>
      </c>
      <c r="AA291" s="8">
        <f>IFERROR(Z291/Z444, "NA")</f>
        <v>1.8561642401417893E-3</v>
      </c>
      <c r="AB291" s="9"/>
      <c r="AC291" s="10">
        <f t="shared" si="75"/>
        <v>-103.38</v>
      </c>
      <c r="AD291" s="8">
        <f>IFERROR(AC291/AC444, "NA")</f>
        <v>-1.6308123521494612E-3</v>
      </c>
    </row>
    <row r="292" spans="1:30" ht="16.5" hidden="1" customHeight="1" x14ac:dyDescent="0.45">
      <c r="A292" s="6" t="s">
        <v>265</v>
      </c>
      <c r="B292" s="7">
        <v>0</v>
      </c>
      <c r="C292" s="8">
        <f>IFERROR(B292/B444, "NA")</f>
        <v>0</v>
      </c>
      <c r="D292" s="9"/>
      <c r="E292" s="7">
        <v>0</v>
      </c>
      <c r="F292" s="8">
        <f>IFERROR(E292/E444, "NA")</f>
        <v>0</v>
      </c>
      <c r="G292" s="9"/>
      <c r="H292" s="10">
        <f t="shared" si="72"/>
        <v>0</v>
      </c>
      <c r="I292" s="8">
        <f>IFERROR(H292/H444, "NA")</f>
        <v>0</v>
      </c>
      <c r="J292" s="9"/>
      <c r="K292" s="7">
        <v>0</v>
      </c>
      <c r="L292" s="8">
        <f>IFERROR(K292/K444, "NA")</f>
        <v>0</v>
      </c>
      <c r="M292" s="9"/>
      <c r="N292" s="10">
        <f t="shared" si="73"/>
        <v>0</v>
      </c>
      <c r="O292" s="8">
        <f>IFERROR(N292/N444, "NA")</f>
        <v>0</v>
      </c>
      <c r="P292" s="9"/>
      <c r="Q292" s="7">
        <v>0</v>
      </c>
      <c r="R292" s="8">
        <f>IFERROR(Q292/Q444, "NA")</f>
        <v>0</v>
      </c>
      <c r="S292" s="9"/>
      <c r="T292" s="7">
        <v>0</v>
      </c>
      <c r="U292" s="8">
        <f>IFERROR(T292/T444, "NA")</f>
        <v>0</v>
      </c>
      <c r="V292" s="9"/>
      <c r="W292" s="10">
        <f t="shared" si="74"/>
        <v>0</v>
      </c>
      <c r="X292" s="8">
        <f>IFERROR(W292/W444, "NA")</f>
        <v>0</v>
      </c>
      <c r="Y292" s="9"/>
      <c r="Z292" s="7">
        <v>0</v>
      </c>
      <c r="AA292" s="8">
        <f>IFERROR(Z292/Z444, "NA")</f>
        <v>0</v>
      </c>
      <c r="AB292" s="9"/>
      <c r="AC292" s="10">
        <f t="shared" si="75"/>
        <v>0</v>
      </c>
      <c r="AD292" s="8">
        <f>IFERROR(AC292/AC444, "NA")</f>
        <v>0</v>
      </c>
    </row>
    <row r="293" spans="1:30" ht="16.5" hidden="1" customHeight="1" x14ac:dyDescent="0.45">
      <c r="A293" s="6" t="s">
        <v>266</v>
      </c>
      <c r="B293" s="7">
        <v>0</v>
      </c>
      <c r="C293" s="8">
        <f>IFERROR(B293/B444, "NA")</f>
        <v>0</v>
      </c>
      <c r="D293" s="9"/>
      <c r="E293" s="7">
        <v>0</v>
      </c>
      <c r="F293" s="8">
        <f>IFERROR(E293/E444, "NA")</f>
        <v>0</v>
      </c>
      <c r="G293" s="9"/>
      <c r="H293" s="10">
        <f t="shared" si="72"/>
        <v>0</v>
      </c>
      <c r="I293" s="8">
        <f>IFERROR(H293/H444, "NA")</f>
        <v>0</v>
      </c>
      <c r="J293" s="9"/>
      <c r="K293" s="7">
        <v>0</v>
      </c>
      <c r="L293" s="8">
        <f>IFERROR(K293/K444, "NA")</f>
        <v>0</v>
      </c>
      <c r="M293" s="9"/>
      <c r="N293" s="10">
        <f t="shared" si="73"/>
        <v>0</v>
      </c>
      <c r="O293" s="8">
        <f>IFERROR(N293/N444, "NA")</f>
        <v>0</v>
      </c>
      <c r="P293" s="9"/>
      <c r="Q293" s="7">
        <v>0</v>
      </c>
      <c r="R293" s="8">
        <f>IFERROR(Q293/Q444, "NA")</f>
        <v>0</v>
      </c>
      <c r="S293" s="9"/>
      <c r="T293" s="7">
        <v>0</v>
      </c>
      <c r="U293" s="8">
        <f>IFERROR(T293/T444, "NA")</f>
        <v>0</v>
      </c>
      <c r="V293" s="9"/>
      <c r="W293" s="10">
        <f t="shared" si="74"/>
        <v>0</v>
      </c>
      <c r="X293" s="8">
        <f>IFERROR(W293/W444, "NA")</f>
        <v>0</v>
      </c>
      <c r="Y293" s="9"/>
      <c r="Z293" s="7">
        <v>0</v>
      </c>
      <c r="AA293" s="8">
        <f>IFERROR(Z293/Z444, "NA")</f>
        <v>0</v>
      </c>
      <c r="AB293" s="9"/>
      <c r="AC293" s="10">
        <f t="shared" si="75"/>
        <v>0</v>
      </c>
      <c r="AD293" s="8">
        <f>IFERROR(AC293/AC444, "NA")</f>
        <v>0</v>
      </c>
    </row>
    <row r="294" spans="1:30" ht="16.5" customHeight="1" x14ac:dyDescent="0.45">
      <c r="A294" s="6" t="s">
        <v>267</v>
      </c>
      <c r="B294" s="7">
        <v>430.73</v>
      </c>
      <c r="C294" s="8">
        <f>IFERROR(B294/B444, "NA")</f>
        <v>3.744966991462905E-3</v>
      </c>
      <c r="D294" s="9"/>
      <c r="E294" s="7">
        <v>0</v>
      </c>
      <c r="F294" s="8">
        <f>IFERROR(E294/E444, "NA")</f>
        <v>0</v>
      </c>
      <c r="G294" s="9"/>
      <c r="H294" s="10">
        <f t="shared" si="72"/>
        <v>-430.73</v>
      </c>
      <c r="I294" s="8">
        <f>IFERROR(H294/H444, "NA")</f>
        <v>2.3172838396983808E-2</v>
      </c>
      <c r="J294" s="9"/>
      <c r="K294" s="7">
        <v>124.25</v>
      </c>
      <c r="L294" s="8">
        <f>IFERROR(K294/K444, "NA")</f>
        <v>1.097389546527727E-3</v>
      </c>
      <c r="M294" s="9"/>
      <c r="N294" s="10">
        <f t="shared" si="73"/>
        <v>-306.48</v>
      </c>
      <c r="O294" s="8">
        <f>IFERROR(N294/N444, "NA")</f>
        <v>-0.17098289501578914</v>
      </c>
      <c r="P294" s="9"/>
      <c r="Q294" s="7">
        <v>1929.69</v>
      </c>
      <c r="R294" s="8">
        <f>IFERROR(Q294/Q444, "NA")</f>
        <v>3.4721184492798457E-3</v>
      </c>
      <c r="S294" s="9"/>
      <c r="T294" s="7">
        <v>0</v>
      </c>
      <c r="U294" s="8">
        <f>IFERROR(T294/T444, "NA")</f>
        <v>0</v>
      </c>
      <c r="V294" s="9"/>
      <c r="W294" s="10">
        <f t="shared" si="74"/>
        <v>-1929.69</v>
      </c>
      <c r="X294" s="8">
        <f>IFERROR(W294/W444, "NA")</f>
        <v>0.15334460160155616</v>
      </c>
      <c r="Y294" s="9"/>
      <c r="Z294" s="7">
        <v>621.25</v>
      </c>
      <c r="AA294" s="8">
        <f>IFERROR(Z294/Z444, "NA")</f>
        <v>1.261739995610262E-3</v>
      </c>
      <c r="AB294" s="9"/>
      <c r="AC294" s="10">
        <f t="shared" si="75"/>
        <v>-1308.44</v>
      </c>
      <c r="AD294" s="8">
        <f>IFERROR(AC294/AC444, "NA")</f>
        <v>-2.0640550532467026E-2</v>
      </c>
    </row>
    <row r="295" spans="1:30" ht="16.5" customHeight="1" x14ac:dyDescent="0.45">
      <c r="A295" s="19" t="s">
        <v>268</v>
      </c>
      <c r="B295" s="14">
        <f>IFERROR(B286+B287+B288+B289+B290+B291+B292+B293+B294, "NA")</f>
        <v>1350.21</v>
      </c>
      <c r="C295" s="15">
        <f>IFERROR(B295/B444, "NA")</f>
        <v>1.173935384473598E-2</v>
      </c>
      <c r="D295" s="2"/>
      <c r="E295" s="14">
        <f>IFERROR(E286+E287+E288+E289+E290+E291+E292+E293+E294, "NA")</f>
        <v>1693.03</v>
      </c>
      <c r="F295" s="15">
        <f>IFERROR(E295/E444, "NA")</f>
        <v>1.2672056798550276E-2</v>
      </c>
      <c r="G295" s="2"/>
      <c r="H295" s="14">
        <f t="shared" si="72"/>
        <v>342.81999999999994</v>
      </c>
      <c r="I295" s="15">
        <f>IFERROR(H295/H444, "NA")</f>
        <v>-1.844336930154386E-2</v>
      </c>
      <c r="J295" s="2"/>
      <c r="K295" s="14">
        <f>IFERROR(K286+K287+K288+K289+K290+K291+K292+K293+K294, "NA")</f>
        <v>1519.3799999999999</v>
      </c>
      <c r="L295" s="15">
        <f>IFERROR(K295/K444, "NA")</f>
        <v>1.341932981250139E-2</v>
      </c>
      <c r="M295" s="2"/>
      <c r="N295" s="14">
        <f t="shared" si="73"/>
        <v>169.16999999999985</v>
      </c>
      <c r="O295" s="15">
        <f>IFERROR(N295/N444, "NA")</f>
        <v>9.4378675116878821E-2</v>
      </c>
      <c r="P295" s="2"/>
      <c r="Q295" s="14">
        <f>IFERROR(Q286+Q287+Q288+Q289+Q290+Q291+Q292+Q293+Q294, "NA")</f>
        <v>4992.24</v>
      </c>
      <c r="R295" s="15">
        <f>IFERROR(Q295/Q444, "NA")</f>
        <v>8.9826078837703539E-3</v>
      </c>
      <c r="S295" s="2"/>
      <c r="T295" s="14">
        <f>IFERROR(T286+T287+T288+T289+T290+T291+T292+T293+T294, "NA")</f>
        <v>7468.51</v>
      </c>
      <c r="U295" s="15">
        <f>IFERROR(T295/T444, "NA")</f>
        <v>1.3140656974610108E-2</v>
      </c>
      <c r="V295" s="2"/>
      <c r="W295" s="14">
        <f t="shared" si="74"/>
        <v>2476.2700000000004</v>
      </c>
      <c r="X295" s="15">
        <f>IFERROR(W295/W444, "NA")</f>
        <v>-0.19677908711134198</v>
      </c>
      <c r="Y295" s="2"/>
      <c r="Z295" s="14">
        <f>IFERROR(Z286+Z287+Z288+Z289+Z290+Z291+Z292+Z293+Z294, "NA")</f>
        <v>4865.7700000000004</v>
      </c>
      <c r="AA295" s="15">
        <f>IFERROR(Z295/Z444, "NA")</f>
        <v>9.8822319813932306E-3</v>
      </c>
      <c r="AB295" s="2"/>
      <c r="AC295" s="14">
        <f t="shared" si="75"/>
        <v>-126.46999999999935</v>
      </c>
      <c r="AD295" s="15">
        <f>IFERROR(AC295/AC444, "NA")</f>
        <v>-1.9950555056717093E-3</v>
      </c>
    </row>
    <row r="296" spans="1:30" ht="16.5" customHeight="1" x14ac:dyDescent="0.45">
      <c r="A296" s="5" t="s">
        <v>269</v>
      </c>
      <c r="B296" s="2"/>
      <c r="C296" s="3"/>
      <c r="D296" s="4"/>
      <c r="E296" s="2"/>
      <c r="F296" s="3"/>
      <c r="G296" s="4"/>
      <c r="H296" s="2"/>
      <c r="I296" s="3"/>
      <c r="J296" s="4"/>
      <c r="K296" s="2"/>
      <c r="L296" s="3"/>
      <c r="M296" s="4"/>
      <c r="N296" s="2"/>
      <c r="O296" s="3"/>
      <c r="P296" s="4"/>
      <c r="Q296" s="2"/>
      <c r="R296" s="3"/>
      <c r="S296" s="4"/>
      <c r="T296" s="2"/>
      <c r="U296" s="3"/>
      <c r="V296" s="4"/>
      <c r="W296" s="2"/>
      <c r="X296" s="3"/>
      <c r="Y296" s="4"/>
      <c r="Z296" s="2"/>
      <c r="AA296" s="3"/>
      <c r="AB296" s="4"/>
      <c r="AC296" s="2"/>
      <c r="AD296" s="3"/>
    </row>
    <row r="297" spans="1:30" ht="16.5" customHeight="1" x14ac:dyDescent="0.45">
      <c r="A297" s="6" t="s">
        <v>269</v>
      </c>
      <c r="B297" s="7">
        <v>0</v>
      </c>
      <c r="C297" s="8">
        <f>IFERROR(B297/B444, "NA")</f>
        <v>0</v>
      </c>
      <c r="D297" s="9"/>
      <c r="E297" s="7">
        <v>1736.84</v>
      </c>
      <c r="F297" s="8">
        <f>IFERROR(E297/E444, "NA")</f>
        <v>1.2999967590647574E-2</v>
      </c>
      <c r="G297" s="9"/>
      <c r="H297" s="10">
        <f t="shared" ref="H297:H325" si="76">IFERROR(-(B297-E297), "NA")</f>
        <v>1736.84</v>
      </c>
      <c r="I297" s="8">
        <f>IFERROR(H297/H444, "NA")</f>
        <v>-9.3440235510452843E-2</v>
      </c>
      <c r="J297" s="9"/>
      <c r="K297" s="7">
        <v>0</v>
      </c>
      <c r="L297" s="8">
        <f>IFERROR(K297/K444, "NA")</f>
        <v>0</v>
      </c>
      <c r="M297" s="9"/>
      <c r="N297" s="10">
        <f t="shared" ref="N297:N325" si="77">IFERROR(-(B297-K297), "NA")</f>
        <v>0</v>
      </c>
      <c r="O297" s="8">
        <f>IFERROR(N297/N444, "NA")</f>
        <v>0</v>
      </c>
      <c r="P297" s="9"/>
      <c r="Q297" s="7">
        <v>0</v>
      </c>
      <c r="R297" s="8">
        <f>IFERROR(Q297/Q444, "NA")</f>
        <v>0</v>
      </c>
      <c r="S297" s="9"/>
      <c r="T297" s="7">
        <v>7388.57</v>
      </c>
      <c r="U297" s="8">
        <f>IFERROR(T297/T444, "NA")</f>
        <v>1.3000004539445619E-2</v>
      </c>
      <c r="V297" s="9"/>
      <c r="W297" s="10">
        <f t="shared" ref="W297:W325" si="78">IFERROR(-(Q297-T297), "NA")</f>
        <v>7388.57</v>
      </c>
      <c r="X297" s="8">
        <f>IFERROR(W297/W444, "NA")</f>
        <v>-0.58713955249558725</v>
      </c>
      <c r="Y297" s="9"/>
      <c r="Z297" s="7">
        <v>0</v>
      </c>
      <c r="AA297" s="8">
        <f>IFERROR(Z297/Z444, "NA")</f>
        <v>0</v>
      </c>
      <c r="AB297" s="9"/>
      <c r="AC297" s="10">
        <f t="shared" ref="AC297:AC325" si="79">IFERROR(-(Q297-Z297), "NA")</f>
        <v>0</v>
      </c>
      <c r="AD297" s="8">
        <f>IFERROR(AC297/AC444, "NA")</f>
        <v>0</v>
      </c>
    </row>
    <row r="298" spans="1:30" ht="16.5" hidden="1" customHeight="1" x14ac:dyDescent="0.45">
      <c r="A298" s="6" t="s">
        <v>270</v>
      </c>
      <c r="B298" s="7">
        <v>0</v>
      </c>
      <c r="C298" s="8">
        <f>IFERROR(B298/B444, "NA")</f>
        <v>0</v>
      </c>
      <c r="D298" s="9"/>
      <c r="E298" s="7">
        <v>0</v>
      </c>
      <c r="F298" s="8">
        <f>IFERROR(E298/E444, "NA")</f>
        <v>0</v>
      </c>
      <c r="G298" s="9"/>
      <c r="H298" s="10">
        <f t="shared" si="76"/>
        <v>0</v>
      </c>
      <c r="I298" s="8">
        <f>IFERROR(H298/H444, "NA")</f>
        <v>0</v>
      </c>
      <c r="J298" s="9"/>
      <c r="K298" s="7">
        <v>0</v>
      </c>
      <c r="L298" s="8">
        <f>IFERROR(K298/K444, "NA")</f>
        <v>0</v>
      </c>
      <c r="M298" s="9"/>
      <c r="N298" s="10">
        <f t="shared" si="77"/>
        <v>0</v>
      </c>
      <c r="O298" s="8">
        <f>IFERROR(N298/N444, "NA")</f>
        <v>0</v>
      </c>
      <c r="P298" s="9"/>
      <c r="Q298" s="7">
        <v>0</v>
      </c>
      <c r="R298" s="8">
        <f>IFERROR(Q298/Q444, "NA")</f>
        <v>0</v>
      </c>
      <c r="S298" s="9"/>
      <c r="T298" s="7">
        <v>0</v>
      </c>
      <c r="U298" s="8">
        <f>IFERROR(T298/T444, "NA")</f>
        <v>0</v>
      </c>
      <c r="V298" s="9"/>
      <c r="W298" s="10">
        <f t="shared" si="78"/>
        <v>0</v>
      </c>
      <c r="X298" s="8">
        <f>IFERROR(W298/W444, "NA")</f>
        <v>0</v>
      </c>
      <c r="Y298" s="9"/>
      <c r="Z298" s="7">
        <v>0</v>
      </c>
      <c r="AA298" s="8">
        <f>IFERROR(Z298/Z444, "NA")</f>
        <v>0</v>
      </c>
      <c r="AB298" s="9"/>
      <c r="AC298" s="10">
        <f t="shared" si="79"/>
        <v>0</v>
      </c>
      <c r="AD298" s="8">
        <f>IFERROR(AC298/AC444, "NA")</f>
        <v>0</v>
      </c>
    </row>
    <row r="299" spans="1:30" ht="16.5" customHeight="1" x14ac:dyDescent="0.45">
      <c r="A299" s="6" t="s">
        <v>271</v>
      </c>
      <c r="B299" s="7">
        <v>271.89</v>
      </c>
      <c r="C299" s="8">
        <f>IFERROR(B299/B444, "NA")</f>
        <v>2.3639381406190632E-3</v>
      </c>
      <c r="D299" s="9"/>
      <c r="E299" s="7">
        <v>0</v>
      </c>
      <c r="F299" s="8">
        <f>IFERROR(E299/E444, "NA")</f>
        <v>0</v>
      </c>
      <c r="G299" s="9"/>
      <c r="H299" s="10">
        <f t="shared" si="76"/>
        <v>-271.89</v>
      </c>
      <c r="I299" s="8">
        <f>IFERROR(H299/H444, "NA")</f>
        <v>1.4627407034002568E-2</v>
      </c>
      <c r="J299" s="9"/>
      <c r="K299" s="7">
        <v>183.75</v>
      </c>
      <c r="L299" s="8">
        <f>IFERROR(K299/K444, "NA")</f>
        <v>1.6229000335973426E-3</v>
      </c>
      <c r="M299" s="9"/>
      <c r="N299" s="10">
        <f t="shared" si="77"/>
        <v>-88.139999999999986</v>
      </c>
      <c r="O299" s="8">
        <f>IFERROR(N299/N444, "NA")</f>
        <v>-4.9172645414681714E-2</v>
      </c>
      <c r="P299" s="9"/>
      <c r="Q299" s="7">
        <v>2137.12</v>
      </c>
      <c r="R299" s="8">
        <f>IFERROR(Q299/Q444, "NA")</f>
        <v>3.8453501755851679E-3</v>
      </c>
      <c r="S299" s="9"/>
      <c r="T299" s="7">
        <v>0</v>
      </c>
      <c r="U299" s="8">
        <f>IFERROR(T299/T444, "NA")</f>
        <v>0</v>
      </c>
      <c r="V299" s="9"/>
      <c r="W299" s="10">
        <f t="shared" si="78"/>
        <v>-2137.12</v>
      </c>
      <c r="X299" s="8">
        <f>IFERROR(W299/W444, "NA")</f>
        <v>0.16982821850904428</v>
      </c>
      <c r="Y299" s="9"/>
      <c r="Z299" s="7">
        <v>918.75</v>
      </c>
      <c r="AA299" s="8">
        <f>IFERROR(Z299/Z444, "NA")</f>
        <v>1.8659535146348944E-3</v>
      </c>
      <c r="AB299" s="9"/>
      <c r="AC299" s="10">
        <f t="shared" si="79"/>
        <v>-1218.3699999999999</v>
      </c>
      <c r="AD299" s="8">
        <f>IFERROR(AC299/AC444, "NA")</f>
        <v>-1.9219702510043905E-2</v>
      </c>
    </row>
    <row r="300" spans="1:30" ht="16.5" hidden="1" customHeight="1" x14ac:dyDescent="0.45">
      <c r="A300" s="6" t="s">
        <v>272</v>
      </c>
      <c r="B300" s="7">
        <v>0</v>
      </c>
      <c r="C300" s="8">
        <f>IFERROR(B300/B444, "NA")</f>
        <v>0</v>
      </c>
      <c r="D300" s="9"/>
      <c r="E300" s="7">
        <v>0</v>
      </c>
      <c r="F300" s="8">
        <f>IFERROR(E300/E444, "NA")</f>
        <v>0</v>
      </c>
      <c r="G300" s="9"/>
      <c r="H300" s="10">
        <f t="shared" si="76"/>
        <v>0</v>
      </c>
      <c r="I300" s="8">
        <f>IFERROR(H300/H444, "NA")</f>
        <v>0</v>
      </c>
      <c r="J300" s="9"/>
      <c r="K300" s="7">
        <v>0</v>
      </c>
      <c r="L300" s="8">
        <f>IFERROR(K300/K444, "NA")</f>
        <v>0</v>
      </c>
      <c r="M300" s="9"/>
      <c r="N300" s="10">
        <f t="shared" si="77"/>
        <v>0</v>
      </c>
      <c r="O300" s="8">
        <f>IFERROR(N300/N444, "NA")</f>
        <v>0</v>
      </c>
      <c r="P300" s="9"/>
      <c r="Q300" s="7">
        <v>0</v>
      </c>
      <c r="R300" s="8">
        <f>IFERROR(Q300/Q444, "NA")</f>
        <v>0</v>
      </c>
      <c r="S300" s="9"/>
      <c r="T300" s="7">
        <v>0</v>
      </c>
      <c r="U300" s="8">
        <f>IFERROR(T300/T444, "NA")</f>
        <v>0</v>
      </c>
      <c r="V300" s="9"/>
      <c r="W300" s="10">
        <f t="shared" si="78"/>
        <v>0</v>
      </c>
      <c r="X300" s="8">
        <f>IFERROR(W300/W444, "NA")</f>
        <v>0</v>
      </c>
      <c r="Y300" s="9"/>
      <c r="Z300" s="7">
        <v>0</v>
      </c>
      <c r="AA300" s="8">
        <f>IFERROR(Z300/Z444, "NA")</f>
        <v>0</v>
      </c>
      <c r="AB300" s="9"/>
      <c r="AC300" s="10">
        <f t="shared" si="79"/>
        <v>0</v>
      </c>
      <c r="AD300" s="8">
        <f>IFERROR(AC300/AC444, "NA")</f>
        <v>0</v>
      </c>
    </row>
    <row r="301" spans="1:30" ht="16.5" hidden="1" customHeight="1" x14ac:dyDescent="0.45">
      <c r="A301" s="6" t="s">
        <v>273</v>
      </c>
      <c r="B301" s="7">
        <v>0</v>
      </c>
      <c r="C301" s="8">
        <f>IFERROR(B301/B444, "NA")</f>
        <v>0</v>
      </c>
      <c r="D301" s="9"/>
      <c r="E301" s="7">
        <v>0</v>
      </c>
      <c r="F301" s="8">
        <f>IFERROR(E301/E444, "NA")</f>
        <v>0</v>
      </c>
      <c r="G301" s="9"/>
      <c r="H301" s="10">
        <f t="shared" si="76"/>
        <v>0</v>
      </c>
      <c r="I301" s="8">
        <f>IFERROR(H301/H444, "NA")</f>
        <v>0</v>
      </c>
      <c r="J301" s="9"/>
      <c r="K301" s="7">
        <v>0</v>
      </c>
      <c r="L301" s="8">
        <f>IFERROR(K301/K444, "NA")</f>
        <v>0</v>
      </c>
      <c r="M301" s="9"/>
      <c r="N301" s="10">
        <f t="shared" si="77"/>
        <v>0</v>
      </c>
      <c r="O301" s="8">
        <f>IFERROR(N301/N444, "NA")</f>
        <v>0</v>
      </c>
      <c r="P301" s="9"/>
      <c r="Q301" s="7">
        <v>0</v>
      </c>
      <c r="R301" s="8">
        <f>IFERROR(Q301/Q444, "NA")</f>
        <v>0</v>
      </c>
      <c r="S301" s="9"/>
      <c r="T301" s="7">
        <v>0</v>
      </c>
      <c r="U301" s="8">
        <f>IFERROR(T301/T444, "NA")</f>
        <v>0</v>
      </c>
      <c r="V301" s="9"/>
      <c r="W301" s="10">
        <f t="shared" si="78"/>
        <v>0</v>
      </c>
      <c r="X301" s="8">
        <f>IFERROR(W301/W444, "NA")</f>
        <v>0</v>
      </c>
      <c r="Y301" s="9"/>
      <c r="Z301" s="7">
        <v>0</v>
      </c>
      <c r="AA301" s="8">
        <f>IFERROR(Z301/Z444, "NA")</f>
        <v>0</v>
      </c>
      <c r="AB301" s="9"/>
      <c r="AC301" s="10">
        <f t="shared" si="79"/>
        <v>0</v>
      </c>
      <c r="AD301" s="8">
        <f>IFERROR(AC301/AC444, "NA")</f>
        <v>0</v>
      </c>
    </row>
    <row r="302" spans="1:30" ht="16.5" hidden="1" customHeight="1" x14ac:dyDescent="0.45">
      <c r="A302" s="6" t="s">
        <v>274</v>
      </c>
      <c r="B302" s="7">
        <v>0</v>
      </c>
      <c r="C302" s="8">
        <f>IFERROR(B302/B444, "NA")</f>
        <v>0</v>
      </c>
      <c r="D302" s="9"/>
      <c r="E302" s="7">
        <v>0</v>
      </c>
      <c r="F302" s="8">
        <f>IFERROR(E302/E444, "NA")</f>
        <v>0</v>
      </c>
      <c r="G302" s="9"/>
      <c r="H302" s="10">
        <f t="shared" si="76"/>
        <v>0</v>
      </c>
      <c r="I302" s="8">
        <f>IFERROR(H302/H444, "NA")</f>
        <v>0</v>
      </c>
      <c r="J302" s="9"/>
      <c r="K302" s="7">
        <v>0</v>
      </c>
      <c r="L302" s="8">
        <f>IFERROR(K302/K444, "NA")</f>
        <v>0</v>
      </c>
      <c r="M302" s="9"/>
      <c r="N302" s="10">
        <f t="shared" si="77"/>
        <v>0</v>
      </c>
      <c r="O302" s="8">
        <f>IFERROR(N302/N444, "NA")</f>
        <v>0</v>
      </c>
      <c r="P302" s="9"/>
      <c r="Q302" s="7">
        <v>0</v>
      </c>
      <c r="R302" s="8">
        <f>IFERROR(Q302/Q444, "NA")</f>
        <v>0</v>
      </c>
      <c r="S302" s="9"/>
      <c r="T302" s="7">
        <v>0</v>
      </c>
      <c r="U302" s="8">
        <f>IFERROR(T302/T444, "NA")</f>
        <v>0</v>
      </c>
      <c r="V302" s="9"/>
      <c r="W302" s="10">
        <f t="shared" si="78"/>
        <v>0</v>
      </c>
      <c r="X302" s="8">
        <f>IFERROR(W302/W444, "NA")</f>
        <v>0</v>
      </c>
      <c r="Y302" s="9"/>
      <c r="Z302" s="7">
        <v>0</v>
      </c>
      <c r="AA302" s="8">
        <f>IFERROR(Z302/Z444, "NA")</f>
        <v>0</v>
      </c>
      <c r="AB302" s="9"/>
      <c r="AC302" s="10">
        <f t="shared" si="79"/>
        <v>0</v>
      </c>
      <c r="AD302" s="8">
        <f>IFERROR(AC302/AC444, "NA")</f>
        <v>0</v>
      </c>
    </row>
    <row r="303" spans="1:30" ht="16.5" hidden="1" customHeight="1" x14ac:dyDescent="0.45">
      <c r="A303" s="6" t="s">
        <v>275</v>
      </c>
      <c r="B303" s="7">
        <v>0</v>
      </c>
      <c r="C303" s="8">
        <f>IFERROR(B303/B444, "NA")</f>
        <v>0</v>
      </c>
      <c r="D303" s="9"/>
      <c r="E303" s="7">
        <v>0</v>
      </c>
      <c r="F303" s="8">
        <f>IFERROR(E303/E444, "NA")</f>
        <v>0</v>
      </c>
      <c r="G303" s="9"/>
      <c r="H303" s="10">
        <f t="shared" si="76"/>
        <v>0</v>
      </c>
      <c r="I303" s="8">
        <f>IFERROR(H303/H444, "NA")</f>
        <v>0</v>
      </c>
      <c r="J303" s="9"/>
      <c r="K303" s="7">
        <v>0</v>
      </c>
      <c r="L303" s="8">
        <f>IFERROR(K303/K444, "NA")</f>
        <v>0</v>
      </c>
      <c r="M303" s="9"/>
      <c r="N303" s="10">
        <f t="shared" si="77"/>
        <v>0</v>
      </c>
      <c r="O303" s="8">
        <f>IFERROR(N303/N444, "NA")</f>
        <v>0</v>
      </c>
      <c r="P303" s="9"/>
      <c r="Q303" s="7">
        <v>0</v>
      </c>
      <c r="R303" s="8">
        <f>IFERROR(Q303/Q444, "NA")</f>
        <v>0</v>
      </c>
      <c r="S303" s="9"/>
      <c r="T303" s="7">
        <v>0</v>
      </c>
      <c r="U303" s="8">
        <f>IFERROR(T303/T444, "NA")</f>
        <v>0</v>
      </c>
      <c r="V303" s="9"/>
      <c r="W303" s="10">
        <f t="shared" si="78"/>
        <v>0</v>
      </c>
      <c r="X303" s="8">
        <f>IFERROR(W303/W444, "NA")</f>
        <v>0</v>
      </c>
      <c r="Y303" s="9"/>
      <c r="Z303" s="7">
        <v>0</v>
      </c>
      <c r="AA303" s="8">
        <f>IFERROR(Z303/Z444, "NA")</f>
        <v>0</v>
      </c>
      <c r="AB303" s="9"/>
      <c r="AC303" s="10">
        <f t="shared" si="79"/>
        <v>0</v>
      </c>
      <c r="AD303" s="8">
        <f>IFERROR(AC303/AC444, "NA")</f>
        <v>0</v>
      </c>
    </row>
    <row r="304" spans="1:30" ht="16.5" customHeight="1" x14ac:dyDescent="0.45">
      <c r="A304" s="6" t="s">
        <v>276</v>
      </c>
      <c r="B304" s="7">
        <v>0</v>
      </c>
      <c r="C304" s="8">
        <f>IFERROR(B304/B444, "NA")</f>
        <v>0</v>
      </c>
      <c r="D304" s="9"/>
      <c r="E304" s="7">
        <v>0</v>
      </c>
      <c r="F304" s="8">
        <f>IFERROR(E304/E444, "NA")</f>
        <v>0</v>
      </c>
      <c r="G304" s="9"/>
      <c r="H304" s="10">
        <f t="shared" si="76"/>
        <v>0</v>
      </c>
      <c r="I304" s="8">
        <f>IFERROR(H304/H444, "NA")</f>
        <v>0</v>
      </c>
      <c r="J304" s="9"/>
      <c r="K304" s="7">
        <v>0</v>
      </c>
      <c r="L304" s="8">
        <f>IFERROR(K304/K444, "NA")</f>
        <v>0</v>
      </c>
      <c r="M304" s="9"/>
      <c r="N304" s="10">
        <f t="shared" si="77"/>
        <v>0</v>
      </c>
      <c r="O304" s="8">
        <f>IFERROR(N304/N444, "NA")</f>
        <v>0</v>
      </c>
      <c r="P304" s="9"/>
      <c r="Q304" s="7">
        <v>0</v>
      </c>
      <c r="R304" s="8">
        <f>IFERROR(Q304/Q444, "NA")</f>
        <v>0</v>
      </c>
      <c r="S304" s="9"/>
      <c r="T304" s="7">
        <v>0</v>
      </c>
      <c r="U304" s="8">
        <f>IFERROR(T304/T444, "NA")</f>
        <v>0</v>
      </c>
      <c r="V304" s="9"/>
      <c r="W304" s="10">
        <f t="shared" si="78"/>
        <v>0</v>
      </c>
      <c r="X304" s="8">
        <f>IFERROR(W304/W444, "NA")</f>
        <v>0</v>
      </c>
      <c r="Y304" s="9"/>
      <c r="Z304" s="7">
        <v>107.65</v>
      </c>
      <c r="AA304" s="8">
        <f>IFERROR(Z304/Z444, "NA")</f>
        <v>2.1863390024538383E-4</v>
      </c>
      <c r="AB304" s="9"/>
      <c r="AC304" s="10">
        <f t="shared" si="79"/>
        <v>107.65</v>
      </c>
      <c r="AD304" s="8">
        <f>IFERROR(AC304/AC444, "NA")</f>
        <v>1.6981713069151626E-3</v>
      </c>
    </row>
    <row r="305" spans="1:30" ht="16.5" hidden="1" customHeight="1" x14ac:dyDescent="0.45">
      <c r="A305" s="6" t="s">
        <v>277</v>
      </c>
      <c r="B305" s="7">
        <v>0</v>
      </c>
      <c r="C305" s="8">
        <f>IFERROR(B305/B444, "NA")</f>
        <v>0</v>
      </c>
      <c r="D305" s="9"/>
      <c r="E305" s="7">
        <v>0</v>
      </c>
      <c r="F305" s="8">
        <f>IFERROR(E305/E444, "NA")</f>
        <v>0</v>
      </c>
      <c r="G305" s="9"/>
      <c r="H305" s="10">
        <f t="shared" si="76"/>
        <v>0</v>
      </c>
      <c r="I305" s="8">
        <f>IFERROR(H305/H444, "NA")</f>
        <v>0</v>
      </c>
      <c r="J305" s="9"/>
      <c r="K305" s="7">
        <v>0</v>
      </c>
      <c r="L305" s="8">
        <f>IFERROR(K305/K444, "NA")</f>
        <v>0</v>
      </c>
      <c r="M305" s="9"/>
      <c r="N305" s="10">
        <f t="shared" si="77"/>
        <v>0</v>
      </c>
      <c r="O305" s="8">
        <f>IFERROR(N305/N444, "NA")</f>
        <v>0</v>
      </c>
      <c r="P305" s="9"/>
      <c r="Q305" s="7">
        <v>0</v>
      </c>
      <c r="R305" s="8">
        <f>IFERROR(Q305/Q444, "NA")</f>
        <v>0</v>
      </c>
      <c r="S305" s="9"/>
      <c r="T305" s="7">
        <v>0</v>
      </c>
      <c r="U305" s="8">
        <f>IFERROR(T305/T444, "NA")</f>
        <v>0</v>
      </c>
      <c r="V305" s="9"/>
      <c r="W305" s="10">
        <f t="shared" si="78"/>
        <v>0</v>
      </c>
      <c r="X305" s="8">
        <f>IFERROR(W305/W444, "NA")</f>
        <v>0</v>
      </c>
      <c r="Y305" s="9"/>
      <c r="Z305" s="7">
        <v>0</v>
      </c>
      <c r="AA305" s="8">
        <f>IFERROR(Z305/Z444, "NA")</f>
        <v>0</v>
      </c>
      <c r="AB305" s="9"/>
      <c r="AC305" s="10">
        <f t="shared" si="79"/>
        <v>0</v>
      </c>
      <c r="AD305" s="8">
        <f>IFERROR(AC305/AC444, "NA")</f>
        <v>0</v>
      </c>
    </row>
    <row r="306" spans="1:30" ht="16.5" hidden="1" customHeight="1" x14ac:dyDescent="0.45">
      <c r="A306" s="6" t="s">
        <v>278</v>
      </c>
      <c r="B306" s="7">
        <v>0</v>
      </c>
      <c r="C306" s="8">
        <f>IFERROR(B306/B444, "NA")</f>
        <v>0</v>
      </c>
      <c r="D306" s="9"/>
      <c r="E306" s="7">
        <v>0</v>
      </c>
      <c r="F306" s="8">
        <f>IFERROR(E306/E444, "NA")</f>
        <v>0</v>
      </c>
      <c r="G306" s="9"/>
      <c r="H306" s="10">
        <f t="shared" si="76"/>
        <v>0</v>
      </c>
      <c r="I306" s="8">
        <f>IFERROR(H306/H444, "NA")</f>
        <v>0</v>
      </c>
      <c r="J306" s="9"/>
      <c r="K306" s="7">
        <v>0</v>
      </c>
      <c r="L306" s="8">
        <f>IFERROR(K306/K444, "NA")</f>
        <v>0</v>
      </c>
      <c r="M306" s="9"/>
      <c r="N306" s="10">
        <f t="shared" si="77"/>
        <v>0</v>
      </c>
      <c r="O306" s="8">
        <f>IFERROR(N306/N444, "NA")</f>
        <v>0</v>
      </c>
      <c r="P306" s="9"/>
      <c r="Q306" s="7">
        <v>0</v>
      </c>
      <c r="R306" s="8">
        <f>IFERROR(Q306/Q444, "NA")</f>
        <v>0</v>
      </c>
      <c r="S306" s="9"/>
      <c r="T306" s="7">
        <v>0</v>
      </c>
      <c r="U306" s="8">
        <f>IFERROR(T306/T444, "NA")</f>
        <v>0</v>
      </c>
      <c r="V306" s="9"/>
      <c r="W306" s="10">
        <f t="shared" si="78"/>
        <v>0</v>
      </c>
      <c r="X306" s="8">
        <f>IFERROR(W306/W444, "NA")</f>
        <v>0</v>
      </c>
      <c r="Y306" s="9"/>
      <c r="Z306" s="7">
        <v>0</v>
      </c>
      <c r="AA306" s="8">
        <f>IFERROR(Z306/Z444, "NA")</f>
        <v>0</v>
      </c>
      <c r="AB306" s="9"/>
      <c r="AC306" s="10">
        <f t="shared" si="79"/>
        <v>0</v>
      </c>
      <c r="AD306" s="8">
        <f>IFERROR(AC306/AC444, "NA")</f>
        <v>0</v>
      </c>
    </row>
    <row r="307" spans="1:30" ht="16.5" hidden="1" customHeight="1" x14ac:dyDescent="0.45">
      <c r="A307" s="6" t="s">
        <v>279</v>
      </c>
      <c r="B307" s="7">
        <v>0</v>
      </c>
      <c r="C307" s="8">
        <f>IFERROR(B307/B444, "NA")</f>
        <v>0</v>
      </c>
      <c r="D307" s="9"/>
      <c r="E307" s="7">
        <v>0</v>
      </c>
      <c r="F307" s="8">
        <f>IFERROR(E307/E444, "NA")</f>
        <v>0</v>
      </c>
      <c r="G307" s="9"/>
      <c r="H307" s="10">
        <f t="shared" si="76"/>
        <v>0</v>
      </c>
      <c r="I307" s="8">
        <f>IFERROR(H307/H444, "NA")</f>
        <v>0</v>
      </c>
      <c r="J307" s="9"/>
      <c r="K307" s="7">
        <v>0</v>
      </c>
      <c r="L307" s="8">
        <f>IFERROR(K307/K444, "NA")</f>
        <v>0</v>
      </c>
      <c r="M307" s="9"/>
      <c r="N307" s="10">
        <f t="shared" si="77"/>
        <v>0</v>
      </c>
      <c r="O307" s="8">
        <f>IFERROR(N307/N444, "NA")</f>
        <v>0</v>
      </c>
      <c r="P307" s="9"/>
      <c r="Q307" s="7">
        <v>0</v>
      </c>
      <c r="R307" s="8">
        <f>IFERROR(Q307/Q444, "NA")</f>
        <v>0</v>
      </c>
      <c r="S307" s="9"/>
      <c r="T307" s="7">
        <v>0</v>
      </c>
      <c r="U307" s="8">
        <f>IFERROR(T307/T444, "NA")</f>
        <v>0</v>
      </c>
      <c r="V307" s="9"/>
      <c r="W307" s="10">
        <f t="shared" si="78"/>
        <v>0</v>
      </c>
      <c r="X307" s="8">
        <f>IFERROR(W307/W444, "NA")</f>
        <v>0</v>
      </c>
      <c r="Y307" s="9"/>
      <c r="Z307" s="7">
        <v>0</v>
      </c>
      <c r="AA307" s="8">
        <f>IFERROR(Z307/Z444, "NA")</f>
        <v>0</v>
      </c>
      <c r="AB307" s="9"/>
      <c r="AC307" s="10">
        <f t="shared" si="79"/>
        <v>0</v>
      </c>
      <c r="AD307" s="8">
        <f>IFERROR(AC307/AC444, "NA")</f>
        <v>0</v>
      </c>
    </row>
    <row r="308" spans="1:30" ht="16.5" hidden="1" customHeight="1" x14ac:dyDescent="0.45">
      <c r="A308" s="6" t="s">
        <v>280</v>
      </c>
      <c r="B308" s="7">
        <v>0</v>
      </c>
      <c r="C308" s="8">
        <f>IFERROR(B308/B444, "NA")</f>
        <v>0</v>
      </c>
      <c r="D308" s="9"/>
      <c r="E308" s="7">
        <v>0</v>
      </c>
      <c r="F308" s="8">
        <f>IFERROR(E308/E444, "NA")</f>
        <v>0</v>
      </c>
      <c r="G308" s="9"/>
      <c r="H308" s="10">
        <f t="shared" si="76"/>
        <v>0</v>
      </c>
      <c r="I308" s="8">
        <f>IFERROR(H308/H444, "NA")</f>
        <v>0</v>
      </c>
      <c r="J308" s="9"/>
      <c r="K308" s="7">
        <v>0</v>
      </c>
      <c r="L308" s="8">
        <f>IFERROR(K308/K444, "NA")</f>
        <v>0</v>
      </c>
      <c r="M308" s="9"/>
      <c r="N308" s="10">
        <f t="shared" si="77"/>
        <v>0</v>
      </c>
      <c r="O308" s="8">
        <f>IFERROR(N308/N444, "NA")</f>
        <v>0</v>
      </c>
      <c r="P308" s="9"/>
      <c r="Q308" s="7">
        <v>0</v>
      </c>
      <c r="R308" s="8">
        <f>IFERROR(Q308/Q444, "NA")</f>
        <v>0</v>
      </c>
      <c r="S308" s="9"/>
      <c r="T308" s="7">
        <v>0</v>
      </c>
      <c r="U308" s="8">
        <f>IFERROR(T308/T444, "NA")</f>
        <v>0</v>
      </c>
      <c r="V308" s="9"/>
      <c r="W308" s="10">
        <f t="shared" si="78"/>
        <v>0</v>
      </c>
      <c r="X308" s="8">
        <f>IFERROR(W308/W444, "NA")</f>
        <v>0</v>
      </c>
      <c r="Y308" s="9"/>
      <c r="Z308" s="7">
        <v>0</v>
      </c>
      <c r="AA308" s="8">
        <f>IFERROR(Z308/Z444, "NA")</f>
        <v>0</v>
      </c>
      <c r="AB308" s="9"/>
      <c r="AC308" s="10">
        <f t="shared" si="79"/>
        <v>0</v>
      </c>
      <c r="AD308" s="8">
        <f>IFERROR(AC308/AC444, "NA")</f>
        <v>0</v>
      </c>
    </row>
    <row r="309" spans="1:30" ht="16.5" hidden="1" customHeight="1" x14ac:dyDescent="0.45">
      <c r="A309" s="6" t="s">
        <v>281</v>
      </c>
      <c r="B309" s="7">
        <v>0</v>
      </c>
      <c r="C309" s="8">
        <f>IFERROR(B309/B444, "NA")</f>
        <v>0</v>
      </c>
      <c r="D309" s="9"/>
      <c r="E309" s="7">
        <v>0</v>
      </c>
      <c r="F309" s="8">
        <f>IFERROR(E309/E444, "NA")</f>
        <v>0</v>
      </c>
      <c r="G309" s="9"/>
      <c r="H309" s="10">
        <f t="shared" si="76"/>
        <v>0</v>
      </c>
      <c r="I309" s="8">
        <f>IFERROR(H309/H444, "NA")</f>
        <v>0</v>
      </c>
      <c r="J309" s="9"/>
      <c r="K309" s="7">
        <v>0</v>
      </c>
      <c r="L309" s="8">
        <f>IFERROR(K309/K444, "NA")</f>
        <v>0</v>
      </c>
      <c r="M309" s="9"/>
      <c r="N309" s="10">
        <f t="shared" si="77"/>
        <v>0</v>
      </c>
      <c r="O309" s="8">
        <f>IFERROR(N309/N444, "NA")</f>
        <v>0</v>
      </c>
      <c r="P309" s="9"/>
      <c r="Q309" s="7">
        <v>0</v>
      </c>
      <c r="R309" s="8">
        <f>IFERROR(Q309/Q444, "NA")</f>
        <v>0</v>
      </c>
      <c r="S309" s="9"/>
      <c r="T309" s="7">
        <v>0</v>
      </c>
      <c r="U309" s="8">
        <f>IFERROR(T309/T444, "NA")</f>
        <v>0</v>
      </c>
      <c r="V309" s="9"/>
      <c r="W309" s="10">
        <f t="shared" si="78"/>
        <v>0</v>
      </c>
      <c r="X309" s="8">
        <f>IFERROR(W309/W444, "NA")</f>
        <v>0</v>
      </c>
      <c r="Y309" s="9"/>
      <c r="Z309" s="7">
        <v>0</v>
      </c>
      <c r="AA309" s="8">
        <f>IFERROR(Z309/Z444, "NA")</f>
        <v>0</v>
      </c>
      <c r="AB309" s="9"/>
      <c r="AC309" s="10">
        <f t="shared" si="79"/>
        <v>0</v>
      </c>
      <c r="AD309" s="8">
        <f>IFERROR(AC309/AC444, "NA")</f>
        <v>0</v>
      </c>
    </row>
    <row r="310" spans="1:30" ht="16.5" customHeight="1" x14ac:dyDescent="0.45">
      <c r="A310" s="6" t="s">
        <v>282</v>
      </c>
      <c r="B310" s="7">
        <v>0</v>
      </c>
      <c r="C310" s="8">
        <f>IFERROR(B310/B444, "NA")</f>
        <v>0</v>
      </c>
      <c r="D310" s="9"/>
      <c r="E310" s="7">
        <v>0</v>
      </c>
      <c r="F310" s="8">
        <f>IFERROR(E310/E444, "NA")</f>
        <v>0</v>
      </c>
      <c r="G310" s="9"/>
      <c r="H310" s="10">
        <f t="shared" si="76"/>
        <v>0</v>
      </c>
      <c r="I310" s="8">
        <f>IFERROR(H310/H444, "NA")</f>
        <v>0</v>
      </c>
      <c r="J310" s="9"/>
      <c r="K310" s="7">
        <v>0</v>
      </c>
      <c r="L310" s="8">
        <f>IFERROR(K310/K444, "NA")</f>
        <v>0</v>
      </c>
      <c r="M310" s="9"/>
      <c r="N310" s="10">
        <f t="shared" si="77"/>
        <v>0</v>
      </c>
      <c r="O310" s="8">
        <f>IFERROR(N310/N444, "NA")</f>
        <v>0</v>
      </c>
      <c r="P310" s="9"/>
      <c r="Q310" s="7">
        <v>15.9</v>
      </c>
      <c r="R310" s="8">
        <f>IFERROR(Q310/Q444, "NA")</f>
        <v>2.8609094384875055E-5</v>
      </c>
      <c r="S310" s="9"/>
      <c r="T310" s="7">
        <v>0</v>
      </c>
      <c r="U310" s="8">
        <f>IFERROR(T310/T444, "NA")</f>
        <v>0</v>
      </c>
      <c r="V310" s="9"/>
      <c r="W310" s="10">
        <f t="shared" si="78"/>
        <v>-15.9</v>
      </c>
      <c r="X310" s="8">
        <f>IFERROR(W310/W444, "NA")</f>
        <v>1.2635082139953789E-3</v>
      </c>
      <c r="Y310" s="9"/>
      <c r="Z310" s="7">
        <v>66.22</v>
      </c>
      <c r="AA310" s="8">
        <f>IFERROR(Z310/Z444, "NA")</f>
        <v>1.3449082094054172E-4</v>
      </c>
      <c r="AB310" s="9"/>
      <c r="AC310" s="10">
        <f t="shared" si="79"/>
        <v>50.32</v>
      </c>
      <c r="AD310" s="8">
        <f>IFERROR(AC310/AC444, "NA")</f>
        <v>7.9379452079861572E-4</v>
      </c>
    </row>
    <row r="311" spans="1:30" ht="16.5" customHeight="1" x14ac:dyDescent="0.45">
      <c r="A311" s="6" t="s">
        <v>283</v>
      </c>
      <c r="B311" s="7">
        <v>0</v>
      </c>
      <c r="C311" s="8">
        <f>IFERROR(B311/B444, "NA")</f>
        <v>0</v>
      </c>
      <c r="D311" s="9"/>
      <c r="E311" s="7">
        <v>0</v>
      </c>
      <c r="F311" s="8">
        <f>IFERROR(E311/E444, "NA")</f>
        <v>0</v>
      </c>
      <c r="G311" s="9"/>
      <c r="H311" s="10">
        <f t="shared" si="76"/>
        <v>0</v>
      </c>
      <c r="I311" s="8">
        <f>IFERROR(H311/H444, "NA")</f>
        <v>0</v>
      </c>
      <c r="J311" s="9"/>
      <c r="K311" s="7">
        <v>0</v>
      </c>
      <c r="L311" s="8">
        <f>IFERROR(K311/K444, "NA")</f>
        <v>0</v>
      </c>
      <c r="M311" s="9"/>
      <c r="N311" s="10">
        <f t="shared" si="77"/>
        <v>0</v>
      </c>
      <c r="O311" s="8">
        <f>IFERROR(N311/N444, "NA")</f>
        <v>0</v>
      </c>
      <c r="P311" s="9"/>
      <c r="Q311" s="7">
        <v>26.7</v>
      </c>
      <c r="R311" s="8">
        <f>IFERROR(Q311/Q444, "NA")</f>
        <v>4.8041686797243015E-5</v>
      </c>
      <c r="S311" s="9"/>
      <c r="T311" s="7">
        <v>0</v>
      </c>
      <c r="U311" s="8">
        <f>IFERROR(T311/T444, "NA")</f>
        <v>0</v>
      </c>
      <c r="V311" s="9"/>
      <c r="W311" s="10">
        <f t="shared" si="78"/>
        <v>-26.7</v>
      </c>
      <c r="X311" s="8">
        <f>IFERROR(W311/W444, "NA")</f>
        <v>2.1217402084073344E-3</v>
      </c>
      <c r="Y311" s="9"/>
      <c r="Z311" s="7">
        <v>0</v>
      </c>
      <c r="AA311" s="8">
        <f>IFERROR(Z311/Z444, "NA")</f>
        <v>0</v>
      </c>
      <c r="AB311" s="9"/>
      <c r="AC311" s="10">
        <f t="shared" si="79"/>
        <v>-26.7</v>
      </c>
      <c r="AD311" s="8">
        <f>IFERROR(AC311/AC444, "NA")</f>
        <v>-4.2119065392136405E-4</v>
      </c>
    </row>
    <row r="312" spans="1:30" ht="16.5" customHeight="1" x14ac:dyDescent="0.45">
      <c r="A312" s="6" t="s">
        <v>284</v>
      </c>
      <c r="B312" s="7">
        <v>380.12</v>
      </c>
      <c r="C312" s="8">
        <f>IFERROR(B312/B444, "NA")</f>
        <v>3.304940108176536E-3</v>
      </c>
      <c r="D312" s="9"/>
      <c r="E312" s="7">
        <v>0</v>
      </c>
      <c r="F312" s="8">
        <f>IFERROR(E312/E444, "NA")</f>
        <v>0</v>
      </c>
      <c r="G312" s="9"/>
      <c r="H312" s="10">
        <f t="shared" si="76"/>
        <v>-380.12</v>
      </c>
      <c r="I312" s="8">
        <f>IFERROR(H312/H444, "NA")</f>
        <v>2.0450071579554439E-2</v>
      </c>
      <c r="J312" s="9"/>
      <c r="K312" s="7">
        <v>0</v>
      </c>
      <c r="L312" s="8">
        <f>IFERROR(K312/K444, "NA")</f>
        <v>0</v>
      </c>
      <c r="M312" s="9"/>
      <c r="N312" s="10">
        <f t="shared" si="77"/>
        <v>-380.12</v>
      </c>
      <c r="O312" s="8">
        <f>IFERROR(N312/N444, "NA")</f>
        <v>-0.2120660991040256</v>
      </c>
      <c r="P312" s="9"/>
      <c r="Q312" s="7">
        <v>1931.61</v>
      </c>
      <c r="R312" s="8">
        <f>IFERROR(Q312/Q444, "NA")</f>
        <v>3.4755731323753772E-3</v>
      </c>
      <c r="S312" s="9"/>
      <c r="T312" s="7">
        <v>0</v>
      </c>
      <c r="U312" s="8">
        <f>IFERROR(T312/T444, "NA")</f>
        <v>0</v>
      </c>
      <c r="V312" s="9"/>
      <c r="W312" s="10">
        <f t="shared" si="78"/>
        <v>-1931.61</v>
      </c>
      <c r="X312" s="8">
        <f>IFERROR(W312/W444, "NA")</f>
        <v>0.15349717617834049</v>
      </c>
      <c r="Y312" s="9"/>
      <c r="Z312" s="7">
        <v>0</v>
      </c>
      <c r="AA312" s="8">
        <f>IFERROR(Z312/Z444, "NA")</f>
        <v>0</v>
      </c>
      <c r="AB312" s="9"/>
      <c r="AC312" s="10">
        <f t="shared" si="79"/>
        <v>-1931.61</v>
      </c>
      <c r="AD312" s="8">
        <f>IFERROR(AC312/AC444, "NA")</f>
        <v>-3.0471014195544793E-2</v>
      </c>
    </row>
    <row r="313" spans="1:30" ht="16.5" customHeight="1" x14ac:dyDescent="0.45">
      <c r="A313" s="6" t="s">
        <v>285</v>
      </c>
      <c r="B313" s="7">
        <v>19</v>
      </c>
      <c r="C313" s="8">
        <f>IFERROR(B313/B444, "NA")</f>
        <v>1.6519483861768437E-4</v>
      </c>
      <c r="D313" s="9"/>
      <c r="E313" s="7">
        <v>0</v>
      </c>
      <c r="F313" s="8">
        <f>IFERROR(E313/E444, "NA")</f>
        <v>0</v>
      </c>
      <c r="G313" s="9"/>
      <c r="H313" s="10">
        <f t="shared" si="76"/>
        <v>-19</v>
      </c>
      <c r="I313" s="8">
        <f>IFERROR(H313/H444, "NA")</f>
        <v>1.0221807850456024E-3</v>
      </c>
      <c r="J313" s="9"/>
      <c r="K313" s="7">
        <v>0</v>
      </c>
      <c r="L313" s="8">
        <f>IFERROR(K313/K444, "NA")</f>
        <v>0</v>
      </c>
      <c r="M313" s="9"/>
      <c r="N313" s="10">
        <f t="shared" si="77"/>
        <v>-19</v>
      </c>
      <c r="O313" s="8">
        <f>IFERROR(N313/N444, "NA")</f>
        <v>-1.0599957600169647E-2</v>
      </c>
      <c r="P313" s="9"/>
      <c r="Q313" s="7">
        <v>33</v>
      </c>
      <c r="R313" s="8">
        <f>IFERROR(Q313/Q444, "NA")</f>
        <v>5.9377365704457661E-5</v>
      </c>
      <c r="S313" s="9"/>
      <c r="T313" s="7">
        <v>0</v>
      </c>
      <c r="U313" s="8">
        <f>IFERROR(T313/T444, "NA")</f>
        <v>0</v>
      </c>
      <c r="V313" s="9"/>
      <c r="W313" s="10">
        <f t="shared" si="78"/>
        <v>-33</v>
      </c>
      <c r="X313" s="8">
        <f>IFERROR(W313/W444, "NA")</f>
        <v>2.6223755384809752E-3</v>
      </c>
      <c r="Y313" s="9"/>
      <c r="Z313" s="7">
        <v>0</v>
      </c>
      <c r="AA313" s="8">
        <f>IFERROR(Z313/Z444, "NA")</f>
        <v>0</v>
      </c>
      <c r="AB313" s="9"/>
      <c r="AC313" s="10">
        <f t="shared" si="79"/>
        <v>-33</v>
      </c>
      <c r="AD313" s="8">
        <f>IFERROR(AC313/AC444, "NA")</f>
        <v>-5.2057271832977583E-4</v>
      </c>
    </row>
    <row r="314" spans="1:30" ht="16.5" hidden="1" customHeight="1" x14ac:dyDescent="0.45">
      <c r="A314" s="6" t="s">
        <v>286</v>
      </c>
      <c r="B314" s="7">
        <v>0</v>
      </c>
      <c r="C314" s="8">
        <f>IFERROR(B314/B444, "NA")</f>
        <v>0</v>
      </c>
      <c r="D314" s="9"/>
      <c r="E314" s="7">
        <v>0</v>
      </c>
      <c r="F314" s="8">
        <f>IFERROR(E314/E444, "NA")</f>
        <v>0</v>
      </c>
      <c r="G314" s="9"/>
      <c r="H314" s="10">
        <f t="shared" si="76"/>
        <v>0</v>
      </c>
      <c r="I314" s="8">
        <f>IFERROR(H314/H444, "NA")</f>
        <v>0</v>
      </c>
      <c r="J314" s="9"/>
      <c r="K314" s="7">
        <v>0</v>
      </c>
      <c r="L314" s="8">
        <f>IFERROR(K314/K444, "NA")</f>
        <v>0</v>
      </c>
      <c r="M314" s="9"/>
      <c r="N314" s="10">
        <f t="shared" si="77"/>
        <v>0</v>
      </c>
      <c r="O314" s="8">
        <f>IFERROR(N314/N444, "NA")</f>
        <v>0</v>
      </c>
      <c r="P314" s="9"/>
      <c r="Q314" s="7">
        <v>0</v>
      </c>
      <c r="R314" s="8">
        <f>IFERROR(Q314/Q444, "NA")</f>
        <v>0</v>
      </c>
      <c r="S314" s="9"/>
      <c r="T314" s="7">
        <v>0</v>
      </c>
      <c r="U314" s="8">
        <f>IFERROR(T314/T444, "NA")</f>
        <v>0</v>
      </c>
      <c r="V314" s="9"/>
      <c r="W314" s="10">
        <f t="shared" si="78"/>
        <v>0</v>
      </c>
      <c r="X314" s="8">
        <f>IFERROR(W314/W444, "NA")</f>
        <v>0</v>
      </c>
      <c r="Y314" s="9"/>
      <c r="Z314" s="7">
        <v>0</v>
      </c>
      <c r="AA314" s="8">
        <f>IFERROR(Z314/Z444, "NA")</f>
        <v>0</v>
      </c>
      <c r="AB314" s="9"/>
      <c r="AC314" s="10">
        <f t="shared" si="79"/>
        <v>0</v>
      </c>
      <c r="AD314" s="8">
        <f>IFERROR(AC314/AC444, "NA")</f>
        <v>0</v>
      </c>
    </row>
    <row r="315" spans="1:30" ht="16.5" customHeight="1" x14ac:dyDescent="0.45">
      <c r="A315" s="6" t="s">
        <v>287</v>
      </c>
      <c r="B315" s="7">
        <v>533.34</v>
      </c>
      <c r="C315" s="8">
        <f>IFERROR(B315/B444, "NA")</f>
        <v>4.6371060646503044E-3</v>
      </c>
      <c r="D315" s="9"/>
      <c r="E315" s="7">
        <v>0</v>
      </c>
      <c r="F315" s="8">
        <f>IFERROR(E315/E444, "NA")</f>
        <v>0</v>
      </c>
      <c r="G315" s="9"/>
      <c r="H315" s="10">
        <f t="shared" si="76"/>
        <v>-533.34</v>
      </c>
      <c r="I315" s="8">
        <f>IFERROR(H315/H444, "NA")</f>
        <v>2.8693152626116925E-2</v>
      </c>
      <c r="J315" s="9"/>
      <c r="K315" s="7">
        <v>300</v>
      </c>
      <c r="L315" s="8">
        <f>IFERROR(K315/K444, "NA")</f>
        <v>2.6496327079140289E-3</v>
      </c>
      <c r="M315" s="9"/>
      <c r="N315" s="10">
        <f t="shared" si="77"/>
        <v>-233.34000000000003</v>
      </c>
      <c r="O315" s="8">
        <f>IFERROR(N315/N444, "NA")</f>
        <v>-0.13017863718018874</v>
      </c>
      <c r="P315" s="9"/>
      <c r="Q315" s="7">
        <v>1066.68</v>
      </c>
      <c r="R315" s="8">
        <f>IFERROR(Q315/Q444, "NA")</f>
        <v>1.9192923772615425E-3</v>
      </c>
      <c r="S315" s="9"/>
      <c r="T315" s="7">
        <v>0</v>
      </c>
      <c r="U315" s="8">
        <f>IFERROR(T315/T444, "NA")</f>
        <v>0</v>
      </c>
      <c r="V315" s="9"/>
      <c r="W315" s="10">
        <f t="shared" si="78"/>
        <v>-1066.68</v>
      </c>
      <c r="X315" s="8">
        <f>IFERROR(W315/W444, "NA")</f>
        <v>8.4764713314754145E-2</v>
      </c>
      <c r="Y315" s="9"/>
      <c r="Z315" s="7">
        <v>300</v>
      </c>
      <c r="AA315" s="8">
        <f>IFERROR(Z315/Z444, "NA")</f>
        <v>6.0929094355425119E-4</v>
      </c>
      <c r="AB315" s="9"/>
      <c r="AC315" s="10">
        <f t="shared" si="79"/>
        <v>-766.68000000000006</v>
      </c>
      <c r="AD315" s="8">
        <f>IFERROR(AC315/AC444, "NA")</f>
        <v>-1.2094323990577955E-2</v>
      </c>
    </row>
    <row r="316" spans="1:30" ht="16.5" hidden="1" customHeight="1" x14ac:dyDescent="0.45">
      <c r="A316" s="6" t="s">
        <v>288</v>
      </c>
      <c r="B316" s="7">
        <v>0</v>
      </c>
      <c r="C316" s="8">
        <f>IFERROR(B316/B444, "NA")</f>
        <v>0</v>
      </c>
      <c r="D316" s="9"/>
      <c r="E316" s="7">
        <v>0</v>
      </c>
      <c r="F316" s="8">
        <f>IFERROR(E316/E444, "NA")</f>
        <v>0</v>
      </c>
      <c r="G316" s="9"/>
      <c r="H316" s="10">
        <f t="shared" si="76"/>
        <v>0</v>
      </c>
      <c r="I316" s="8">
        <f>IFERROR(H316/H444, "NA")</f>
        <v>0</v>
      </c>
      <c r="J316" s="9"/>
      <c r="K316" s="7">
        <v>0</v>
      </c>
      <c r="L316" s="8">
        <f>IFERROR(K316/K444, "NA")</f>
        <v>0</v>
      </c>
      <c r="M316" s="9"/>
      <c r="N316" s="10">
        <f t="shared" si="77"/>
        <v>0</v>
      </c>
      <c r="O316" s="8">
        <f>IFERROR(N316/N444, "NA")</f>
        <v>0</v>
      </c>
      <c r="P316" s="9"/>
      <c r="Q316" s="7">
        <v>0</v>
      </c>
      <c r="R316" s="8">
        <f>IFERROR(Q316/Q444, "NA")</f>
        <v>0</v>
      </c>
      <c r="S316" s="9"/>
      <c r="T316" s="7">
        <v>0</v>
      </c>
      <c r="U316" s="8">
        <f>IFERROR(T316/T444, "NA")</f>
        <v>0</v>
      </c>
      <c r="V316" s="9"/>
      <c r="W316" s="10">
        <f t="shared" si="78"/>
        <v>0</v>
      </c>
      <c r="X316" s="8">
        <f>IFERROR(W316/W444, "NA")</f>
        <v>0</v>
      </c>
      <c r="Y316" s="9"/>
      <c r="Z316" s="7">
        <v>0</v>
      </c>
      <c r="AA316" s="8">
        <f>IFERROR(Z316/Z444, "NA")</f>
        <v>0</v>
      </c>
      <c r="AB316" s="9"/>
      <c r="AC316" s="10">
        <f t="shared" si="79"/>
        <v>0</v>
      </c>
      <c r="AD316" s="8">
        <f>IFERROR(AC316/AC444, "NA")</f>
        <v>0</v>
      </c>
    </row>
    <row r="317" spans="1:30" ht="16.5" hidden="1" customHeight="1" x14ac:dyDescent="0.45">
      <c r="A317" s="6" t="s">
        <v>289</v>
      </c>
      <c r="B317" s="7">
        <v>0</v>
      </c>
      <c r="C317" s="8">
        <f>IFERROR(B317/B444, "NA")</f>
        <v>0</v>
      </c>
      <c r="D317" s="9"/>
      <c r="E317" s="7">
        <v>0</v>
      </c>
      <c r="F317" s="8">
        <f>IFERROR(E317/E444, "NA")</f>
        <v>0</v>
      </c>
      <c r="G317" s="9"/>
      <c r="H317" s="10">
        <f t="shared" si="76"/>
        <v>0</v>
      </c>
      <c r="I317" s="8">
        <f>IFERROR(H317/H444, "NA")</f>
        <v>0</v>
      </c>
      <c r="J317" s="9"/>
      <c r="K317" s="7">
        <v>0</v>
      </c>
      <c r="L317" s="8">
        <f>IFERROR(K317/K444, "NA")</f>
        <v>0</v>
      </c>
      <c r="M317" s="9"/>
      <c r="N317" s="10">
        <f t="shared" si="77"/>
        <v>0</v>
      </c>
      <c r="O317" s="8">
        <f>IFERROR(N317/N444, "NA")</f>
        <v>0</v>
      </c>
      <c r="P317" s="9"/>
      <c r="Q317" s="7">
        <v>0</v>
      </c>
      <c r="R317" s="8">
        <f>IFERROR(Q317/Q444, "NA")</f>
        <v>0</v>
      </c>
      <c r="S317" s="9"/>
      <c r="T317" s="7">
        <v>0</v>
      </c>
      <c r="U317" s="8">
        <f>IFERROR(T317/T444, "NA")</f>
        <v>0</v>
      </c>
      <c r="V317" s="9"/>
      <c r="W317" s="10">
        <f t="shared" si="78"/>
        <v>0</v>
      </c>
      <c r="X317" s="8">
        <f>IFERROR(W317/W444, "NA")</f>
        <v>0</v>
      </c>
      <c r="Y317" s="9"/>
      <c r="Z317" s="7">
        <v>0</v>
      </c>
      <c r="AA317" s="8">
        <f>IFERROR(Z317/Z444, "NA")</f>
        <v>0</v>
      </c>
      <c r="AB317" s="9"/>
      <c r="AC317" s="10">
        <f t="shared" si="79"/>
        <v>0</v>
      </c>
      <c r="AD317" s="8">
        <f>IFERROR(AC317/AC444, "NA")</f>
        <v>0</v>
      </c>
    </row>
    <row r="318" spans="1:30" ht="16.5" customHeight="1" x14ac:dyDescent="0.45">
      <c r="A318" s="6" t="s">
        <v>290</v>
      </c>
      <c r="B318" s="7">
        <v>0</v>
      </c>
      <c r="C318" s="8">
        <f>IFERROR(B318/B444, "NA")</f>
        <v>0</v>
      </c>
      <c r="D318" s="9"/>
      <c r="E318" s="7">
        <v>469</v>
      </c>
      <c r="F318" s="8">
        <f>IFERROR(E318/E444, "NA")</f>
        <v>3.5103894429041891E-3</v>
      </c>
      <c r="G318" s="9"/>
      <c r="H318" s="10">
        <f t="shared" si="76"/>
        <v>469</v>
      </c>
      <c r="I318" s="8">
        <f>IFERROR(H318/H444, "NA")</f>
        <v>-2.5231725694020397E-2</v>
      </c>
      <c r="J318" s="9"/>
      <c r="K318" s="7">
        <v>0</v>
      </c>
      <c r="L318" s="8">
        <f>IFERROR(K318/K444, "NA")</f>
        <v>0</v>
      </c>
      <c r="M318" s="9"/>
      <c r="N318" s="10">
        <f t="shared" si="77"/>
        <v>0</v>
      </c>
      <c r="O318" s="8">
        <f>IFERROR(N318/N444, "NA")</f>
        <v>0</v>
      </c>
      <c r="P318" s="9"/>
      <c r="Q318" s="7">
        <v>0</v>
      </c>
      <c r="R318" s="8">
        <f>IFERROR(Q318/Q444, "NA")</f>
        <v>0</v>
      </c>
      <c r="S318" s="9"/>
      <c r="T318" s="7">
        <v>2345</v>
      </c>
      <c r="U318" s="8">
        <f>IFERROR(T318/T444, "NA")</f>
        <v>4.1259689824959334E-3</v>
      </c>
      <c r="V318" s="9"/>
      <c r="W318" s="10">
        <f t="shared" si="78"/>
        <v>2345</v>
      </c>
      <c r="X318" s="8">
        <f>IFERROR(W318/W444, "NA")</f>
        <v>-0.18634759508296625</v>
      </c>
      <c r="Y318" s="9"/>
      <c r="Z318" s="7">
        <v>0</v>
      </c>
      <c r="AA318" s="8">
        <f>IFERROR(Z318/Z444, "NA")</f>
        <v>0</v>
      </c>
      <c r="AB318" s="9"/>
      <c r="AC318" s="10">
        <f t="shared" si="79"/>
        <v>0</v>
      </c>
      <c r="AD318" s="8">
        <f>IFERROR(AC318/AC444, "NA")</f>
        <v>0</v>
      </c>
    </row>
    <row r="319" spans="1:30" ht="16.5" customHeight="1" x14ac:dyDescent="0.45">
      <c r="A319" s="6" t="s">
        <v>291</v>
      </c>
      <c r="B319" s="7">
        <v>306.64</v>
      </c>
      <c r="C319" s="8">
        <f>IFERROR(B319/B444, "NA")</f>
        <v>2.6660708059856176E-3</v>
      </c>
      <c r="D319" s="9"/>
      <c r="E319" s="7">
        <v>232</v>
      </c>
      <c r="F319" s="8">
        <f>IFERROR(E319/E444, "NA")</f>
        <v>1.7364826242084689E-3</v>
      </c>
      <c r="G319" s="9"/>
      <c r="H319" s="10">
        <f t="shared" si="76"/>
        <v>-74.639999999999986</v>
      </c>
      <c r="I319" s="8">
        <f>IFERROR(H319/H444, "NA")</f>
        <v>4.0155565155686182E-3</v>
      </c>
      <c r="J319" s="9"/>
      <c r="K319" s="7">
        <v>231.41</v>
      </c>
      <c r="L319" s="8">
        <f>IFERROR(K319/K444, "NA")</f>
        <v>2.0438383497946178E-3</v>
      </c>
      <c r="M319" s="9"/>
      <c r="N319" s="10">
        <f t="shared" si="77"/>
        <v>-75.22999999999999</v>
      </c>
      <c r="O319" s="8">
        <f>IFERROR(N319/N444, "NA")</f>
        <v>-4.1970253171619079E-2</v>
      </c>
      <c r="P319" s="9"/>
      <c r="Q319" s="7">
        <v>1401.72</v>
      </c>
      <c r="R319" s="8">
        <f>IFERROR(Q319/Q444, "NA")</f>
        <v>2.5221345774318906E-3</v>
      </c>
      <c r="S319" s="9"/>
      <c r="T319" s="7">
        <v>1160</v>
      </c>
      <c r="U319" s="8">
        <f>IFERROR(T319/T444, "NA")</f>
        <v>2.0409910531749603E-3</v>
      </c>
      <c r="V319" s="9"/>
      <c r="W319" s="10">
        <f t="shared" si="78"/>
        <v>-241.72000000000003</v>
      </c>
      <c r="X319" s="8">
        <f>IFERROR(W319/W444, "NA")</f>
        <v>1.9208503489746103E-2</v>
      </c>
      <c r="Y319" s="9"/>
      <c r="Z319" s="7">
        <v>1127.05</v>
      </c>
      <c r="AA319" s="8">
        <f>IFERROR(Z319/Z444, "NA")</f>
        <v>2.2890045264427296E-3</v>
      </c>
      <c r="AB319" s="9"/>
      <c r="AC319" s="10">
        <f t="shared" si="79"/>
        <v>-274.67000000000007</v>
      </c>
      <c r="AD319" s="8">
        <f>IFERROR(AC319/AC444, "NA")</f>
        <v>-4.3329002588981683E-3</v>
      </c>
    </row>
    <row r="320" spans="1:30" ht="16.5" customHeight="1" x14ac:dyDescent="0.45">
      <c r="A320" s="6" t="s">
        <v>292</v>
      </c>
      <c r="B320" s="7">
        <v>1163.71</v>
      </c>
      <c r="C320" s="8">
        <f>IFERROR(B320/B444, "NA")</f>
        <v>1.0117836086725552E-2</v>
      </c>
      <c r="D320" s="9"/>
      <c r="E320" s="7">
        <v>905</v>
      </c>
      <c r="F320" s="8">
        <f>IFERROR(E320/E444, "NA")</f>
        <v>6.7737792021925185E-3</v>
      </c>
      <c r="G320" s="9"/>
      <c r="H320" s="10">
        <f t="shared" si="76"/>
        <v>-258.71000000000004</v>
      </c>
      <c r="I320" s="8">
        <f>IFERROR(H320/H444, "NA")</f>
        <v>1.3918336363113043E-2</v>
      </c>
      <c r="J320" s="9"/>
      <c r="K320" s="7">
        <v>929.4</v>
      </c>
      <c r="L320" s="8">
        <f>IFERROR(K320/K444, "NA")</f>
        <v>8.2085621291176619E-3</v>
      </c>
      <c r="M320" s="9"/>
      <c r="N320" s="10">
        <f t="shared" si="77"/>
        <v>-234.31000000000006</v>
      </c>
      <c r="O320" s="8">
        <f>IFERROR(N320/N444, "NA")</f>
        <v>-0.13071979291030267</v>
      </c>
      <c r="P320" s="9"/>
      <c r="Q320" s="7">
        <v>5711.56</v>
      </c>
      <c r="R320" s="8">
        <f>IFERROR(Q320/Q444, "NA")</f>
        <v>1.0276890510998551E-2</v>
      </c>
      <c r="S320" s="9"/>
      <c r="T320" s="7">
        <v>4525</v>
      </c>
      <c r="U320" s="8">
        <f>IFERROR(T320/T444, "NA")</f>
        <v>7.961624582428186E-3</v>
      </c>
      <c r="V320" s="9"/>
      <c r="W320" s="10">
        <f t="shared" si="78"/>
        <v>-1186.5600000000004</v>
      </c>
      <c r="X320" s="8">
        <f>IFERROR(W320/W444, "NA")</f>
        <v>9.4291088452726879E-2</v>
      </c>
      <c r="Y320" s="9"/>
      <c r="Z320" s="7">
        <v>4695.32</v>
      </c>
      <c r="AA320" s="8">
        <f>IFERROR(Z320/Z444, "NA")</f>
        <v>9.5360531769638213E-3</v>
      </c>
      <c r="AB320" s="9"/>
      <c r="AC320" s="10">
        <f t="shared" si="79"/>
        <v>-1016.2400000000007</v>
      </c>
      <c r="AD320" s="8">
        <f>IFERROR(AC320/AC444, "NA")</f>
        <v>-1.6031115735619748E-2</v>
      </c>
    </row>
    <row r="321" spans="1:30" ht="16.5" customHeight="1" x14ac:dyDescent="0.45">
      <c r="A321" s="6" t="s">
        <v>293</v>
      </c>
      <c r="B321" s="7">
        <v>1072.43</v>
      </c>
      <c r="C321" s="8">
        <f>IFERROR(B321/B444, "NA")</f>
        <v>9.3242053041454349E-3</v>
      </c>
      <c r="D321" s="9"/>
      <c r="E321" s="7">
        <v>0</v>
      </c>
      <c r="F321" s="8">
        <f>IFERROR(E321/E444, "NA")</f>
        <v>0</v>
      </c>
      <c r="G321" s="9"/>
      <c r="H321" s="10">
        <f t="shared" si="76"/>
        <v>-1072.43</v>
      </c>
      <c r="I321" s="8">
        <f>IFERROR(H321/H444, "NA")</f>
        <v>5.7695649437181862E-2</v>
      </c>
      <c r="J321" s="9"/>
      <c r="K321" s="7">
        <v>2575.42</v>
      </c>
      <c r="L321" s="8">
        <f>IFERROR(K321/K444, "NA")</f>
        <v>2.2746390228719826E-2</v>
      </c>
      <c r="M321" s="9"/>
      <c r="N321" s="10">
        <f t="shared" si="77"/>
        <v>1502.99</v>
      </c>
      <c r="O321" s="8">
        <f>IFERROR(N321/N444, "NA")</f>
        <v>0.83850685649889356</v>
      </c>
      <c r="P321" s="9"/>
      <c r="Q321" s="7">
        <v>12972.84</v>
      </c>
      <c r="R321" s="8">
        <f>IFERROR(Q321/Q444, "NA")</f>
        <v>2.3342214088042924E-2</v>
      </c>
      <c r="S321" s="9"/>
      <c r="T321" s="7">
        <v>0</v>
      </c>
      <c r="U321" s="8">
        <f>IFERROR(T321/T444, "NA")</f>
        <v>0</v>
      </c>
      <c r="V321" s="9"/>
      <c r="W321" s="10">
        <f t="shared" si="78"/>
        <v>-12972.84</v>
      </c>
      <c r="X321" s="8">
        <f>IFERROR(W321/W444, "NA")</f>
        <v>1.030898735776592</v>
      </c>
      <c r="Y321" s="9"/>
      <c r="Z321" s="7">
        <v>14256.07</v>
      </c>
      <c r="AA321" s="8">
        <f>IFERROR(Z321/Z444, "NA")</f>
        <v>2.8953647805584848E-2</v>
      </c>
      <c r="AB321" s="9"/>
      <c r="AC321" s="10">
        <f t="shared" si="79"/>
        <v>1283.2299999999996</v>
      </c>
      <c r="AD321" s="8">
        <f>IFERROR(AC321/AC444, "NA")</f>
        <v>2.0242864525524786E-2</v>
      </c>
    </row>
    <row r="322" spans="1:30" ht="16.5" customHeight="1" x14ac:dyDescent="0.45">
      <c r="A322" s="6" t="s">
        <v>294</v>
      </c>
      <c r="B322" s="7">
        <v>420.42</v>
      </c>
      <c r="C322" s="8">
        <f>IFERROR(B322/B444, "NA")</f>
        <v>3.6553270553498353E-3</v>
      </c>
      <c r="D322" s="9"/>
      <c r="E322" s="7">
        <v>0</v>
      </c>
      <c r="F322" s="8">
        <f>IFERROR(E322/E444, "NA")</f>
        <v>0</v>
      </c>
      <c r="G322" s="9"/>
      <c r="H322" s="10">
        <f t="shared" si="76"/>
        <v>-420.42</v>
      </c>
      <c r="I322" s="8">
        <f>IFERROR(H322/H444, "NA")</f>
        <v>2.2618170823624852E-2</v>
      </c>
      <c r="J322" s="9"/>
      <c r="K322" s="7">
        <v>269.2</v>
      </c>
      <c r="L322" s="8">
        <f>IFERROR(K322/K444, "NA")</f>
        <v>2.3776037499015218E-3</v>
      </c>
      <c r="M322" s="9"/>
      <c r="N322" s="10">
        <f t="shared" si="77"/>
        <v>-151.22000000000003</v>
      </c>
      <c r="O322" s="8">
        <f>IFERROR(N322/N444, "NA")</f>
        <v>-8.4364504647244973E-2</v>
      </c>
      <c r="P322" s="9"/>
      <c r="Q322" s="7">
        <v>1997.3</v>
      </c>
      <c r="R322" s="8">
        <f>IFERROR(Q322/Q444, "NA")</f>
        <v>3.5937700764094934E-3</v>
      </c>
      <c r="S322" s="9"/>
      <c r="T322" s="7">
        <v>0</v>
      </c>
      <c r="U322" s="8">
        <f>IFERROR(T322/T444, "NA")</f>
        <v>0</v>
      </c>
      <c r="V322" s="9"/>
      <c r="W322" s="10">
        <f t="shared" si="78"/>
        <v>-1997.3</v>
      </c>
      <c r="X322" s="8">
        <f>IFERROR(W322/W444, "NA")</f>
        <v>0.15871729281842581</v>
      </c>
      <c r="Y322" s="9"/>
      <c r="Z322" s="7">
        <v>1793.79</v>
      </c>
      <c r="AA322" s="8">
        <f>IFERROR(Z322/Z444, "NA")</f>
        <v>3.6431333387939341E-3</v>
      </c>
      <c r="AB322" s="9"/>
      <c r="AC322" s="10">
        <f t="shared" si="79"/>
        <v>-203.51</v>
      </c>
      <c r="AD322" s="8">
        <f>IFERROR(AC322/AC444, "NA")</f>
        <v>-3.2103561790088686E-3</v>
      </c>
    </row>
    <row r="323" spans="1:30" ht="16.5" hidden="1" customHeight="1" x14ac:dyDescent="0.45">
      <c r="A323" s="6" t="s">
        <v>295</v>
      </c>
      <c r="B323" s="7">
        <v>0</v>
      </c>
      <c r="C323" s="8">
        <f>IFERROR(B323/B444, "NA")</f>
        <v>0</v>
      </c>
      <c r="D323" s="9"/>
      <c r="E323" s="7">
        <v>0</v>
      </c>
      <c r="F323" s="8">
        <f>IFERROR(E323/E444, "NA")</f>
        <v>0</v>
      </c>
      <c r="G323" s="9"/>
      <c r="H323" s="10">
        <f t="shared" si="76"/>
        <v>0</v>
      </c>
      <c r="I323" s="8">
        <f>IFERROR(H323/H444, "NA")</f>
        <v>0</v>
      </c>
      <c r="J323" s="9"/>
      <c r="K323" s="7">
        <v>0</v>
      </c>
      <c r="L323" s="8">
        <f>IFERROR(K323/K444, "NA")</f>
        <v>0</v>
      </c>
      <c r="M323" s="9"/>
      <c r="N323" s="10">
        <f t="shared" si="77"/>
        <v>0</v>
      </c>
      <c r="O323" s="8">
        <f>IFERROR(N323/N444, "NA")</f>
        <v>0</v>
      </c>
      <c r="P323" s="9"/>
      <c r="Q323" s="7">
        <v>0</v>
      </c>
      <c r="R323" s="8">
        <f>IFERROR(Q323/Q444, "NA")</f>
        <v>0</v>
      </c>
      <c r="S323" s="9"/>
      <c r="T323" s="7">
        <v>0</v>
      </c>
      <c r="U323" s="8">
        <f>IFERROR(T323/T444, "NA")</f>
        <v>0</v>
      </c>
      <c r="V323" s="9"/>
      <c r="W323" s="10">
        <f t="shared" si="78"/>
        <v>0</v>
      </c>
      <c r="X323" s="8">
        <f>IFERROR(W323/W444, "NA")</f>
        <v>0</v>
      </c>
      <c r="Y323" s="9"/>
      <c r="Z323" s="7">
        <v>0</v>
      </c>
      <c r="AA323" s="8">
        <f>IFERROR(Z323/Z444, "NA")</f>
        <v>0</v>
      </c>
      <c r="AB323" s="9"/>
      <c r="AC323" s="10">
        <f t="shared" si="79"/>
        <v>0</v>
      </c>
      <c r="AD323" s="8">
        <f>IFERROR(AC323/AC444, "NA")</f>
        <v>0</v>
      </c>
    </row>
    <row r="324" spans="1:30" ht="16.5" customHeight="1" x14ac:dyDescent="0.45">
      <c r="A324" s="19" t="s">
        <v>296</v>
      </c>
      <c r="B324" s="14">
        <f>IFERROR(B297+B298+B299+B300+B301+B302+B303+B304+B305+B306+B307+B308+B309+B310+B311+B312+B313+B314+B315+B316+B317+B318+B319+B320+B321+B322+B323, "NA")</f>
        <v>4167.55</v>
      </c>
      <c r="C324" s="15">
        <f>IFERROR(B324/B444, "NA")</f>
        <v>3.623461840427003E-2</v>
      </c>
      <c r="D324" s="2"/>
      <c r="E324" s="14">
        <f>IFERROR(E297+E298+E299+E300+E301+E302+E303+E304+E305+E306+E307+E308+E309+E310+E311+E312+E313+E314+E315+E316+E317+E318+E319+E320+E321+E322+E323, "NA")</f>
        <v>3342.84</v>
      </c>
      <c r="F324" s="15">
        <f>IFERROR(E324/E444, "NA")</f>
        <v>2.5020618859952753E-2</v>
      </c>
      <c r="G324" s="2"/>
      <c r="H324" s="14">
        <f t="shared" si="76"/>
        <v>-824.71</v>
      </c>
      <c r="I324" s="15">
        <f>IFERROR(H324/H444, "NA")</f>
        <v>4.4368563959734673E-2</v>
      </c>
      <c r="J324" s="2"/>
      <c r="K324" s="14">
        <f>IFERROR(K297+K298+K299+K300+K301+K302+K303+K304+K305+K306+K307+K308+K309+K310+K311+K312+K313+K314+K315+K316+K317+K318+K319+K320+K321+K322+K323, "NA")</f>
        <v>4489.1799999999994</v>
      </c>
      <c r="L324" s="15">
        <f>IFERROR(K324/K444, "NA")</f>
        <v>3.9648927199044996E-2</v>
      </c>
      <c r="M324" s="2"/>
      <c r="N324" s="14">
        <f t="shared" si="77"/>
        <v>321.6299999999992</v>
      </c>
      <c r="O324" s="15">
        <f>IFERROR(N324/N444, "NA")</f>
        <v>0.17943496647066079</v>
      </c>
      <c r="P324" s="2"/>
      <c r="Q324" s="14">
        <f>IFERROR(Q297+Q298+Q299+Q300+Q301+Q302+Q303+Q304+Q305+Q306+Q307+Q308+Q309+Q310+Q311+Q312+Q313+Q314+Q315+Q316+Q317+Q318+Q319+Q320+Q321+Q322+Q323, "NA")</f>
        <v>27294.43</v>
      </c>
      <c r="R324" s="15">
        <f>IFERROR(Q324/Q444, "NA")</f>
        <v>4.9111253084991521E-2</v>
      </c>
      <c r="S324" s="2"/>
      <c r="T324" s="14">
        <f>IFERROR(T297+T298+T299+T300+T301+T302+T303+T304+T305+T306+T307+T308+T309+T310+T311+T312+T313+T314+T315+T316+T317+T318+T319+T320+T321+T322+T323, "NA")</f>
        <v>15418.57</v>
      </c>
      <c r="U324" s="15">
        <f>IFERROR(T324/T444, "NA")</f>
        <v>2.7128589157544698E-2</v>
      </c>
      <c r="V324" s="2"/>
      <c r="W324" s="14">
        <f t="shared" si="78"/>
        <v>-11875.86</v>
      </c>
      <c r="X324" s="15">
        <f>IFERROR(W324/W444, "NA")</f>
        <v>0.9437262049219598</v>
      </c>
      <c r="Y324" s="2"/>
      <c r="Z324" s="14">
        <f>IFERROR(Z297+Z298+Z299+Z300+Z301+Z302+Z303+Z304+Z305+Z306+Z307+Z308+Z309+Z310+Z311+Z312+Z313+Z314+Z315+Z316+Z317+Z318+Z319+Z320+Z321+Z322+Z323, "NA")</f>
        <v>23264.85</v>
      </c>
      <c r="AA324" s="15">
        <f>IFERROR(Z324/Z444, "NA")</f>
        <v>4.7250208027160401E-2</v>
      </c>
      <c r="AB324" s="2"/>
      <c r="AC324" s="14">
        <f t="shared" si="79"/>
        <v>-4029.5800000000017</v>
      </c>
      <c r="AD324" s="15">
        <f>IFERROR(AC324/AC444, "NA")</f>
        <v>-6.3566345888706022E-2</v>
      </c>
    </row>
    <row r="325" spans="1:30" ht="16.5" customHeight="1" x14ac:dyDescent="0.45">
      <c r="A325" s="21" t="s">
        <v>297</v>
      </c>
      <c r="B325" s="14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265+B266+B269+B270+B271+B272+B275+B276+B277+B278+B279+B280+B281+B282+B283+B286+B287+B288+B289+B290+B291+B292+B293+B294+B297+B298+B299+B300+B301+B302+B303+B304+B305+B306+B307+B308+B309+B310+B311+B312+B313+B314+B315+B316+B317+B318+B319+B320+B321+B322+B323, "NA")</f>
        <v>26012.53</v>
      </c>
      <c r="C325" s="15">
        <f>IFERROR(B325/B444, "NA")</f>
        <v>0.22616503659935122</v>
      </c>
      <c r="D325" s="2"/>
      <c r="E325" s="14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265+E266+E269+E270+E271+E272+E275+E276+E277+E278+E279+E280+E281+E282+E283+E286+E287+E288+E289+E290+E291+E292+E293+E294+E297+E298+E299+E300+E301+E302+E303+E304+E305+E306+E307+E308+E309+E310+E311+E312+E313+E314+E315+E316+E317+E318+E319+E320+E321+E322+E323, "NA")</f>
        <v>24994.58</v>
      </c>
      <c r="F325" s="15">
        <f>IFERROR(E325/E444, "NA")</f>
        <v>0.18708040460943326</v>
      </c>
      <c r="G325" s="2"/>
      <c r="H325" s="14">
        <f t="shared" si="76"/>
        <v>-1017.9499999999971</v>
      </c>
      <c r="I325" s="15">
        <f>IFERROR(H325/H444, "NA")</f>
        <v>5.4764680533535157E-2</v>
      </c>
      <c r="J325" s="2"/>
      <c r="K325" s="14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265+K266+K269+K270+K271+K272+K275+K276+K277+K278+K279+K280+K281+K282+K283+K286+K287+K288+K289+K290+K291+K292+K293+K294+K297+K298+K299+K300+K301+K302+K303+K304+K305+K306+K307+K308+K309+K310+K311+K312+K313+K314+K315+K316+K317+K318+K319+K320+K321+K322+K323, "NA")</f>
        <v>21860.81</v>
      </c>
      <c r="L325" s="15">
        <f>IFERROR(K325/K444, "NA")</f>
        <v>0.19307705732498029</v>
      </c>
      <c r="M325" s="2"/>
      <c r="N325" s="14">
        <f t="shared" si="77"/>
        <v>-4151.7199999999975</v>
      </c>
      <c r="O325" s="15">
        <f>IFERROR(N325/N444, "NA")</f>
        <v>-2.3162134719882266</v>
      </c>
      <c r="P325" s="2"/>
      <c r="Q325" s="14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265+Q266+Q269+Q270+Q271+Q272+Q275+Q276+Q277+Q278+Q279+Q280+Q281+Q282+Q283+Q286+Q287+Q288+Q289+Q290+Q291+Q292+Q293+Q294+Q297+Q298+Q299+Q300+Q301+Q302+Q303+Q304+Q305+Q306+Q307+Q308+Q309+Q310+Q311+Q312+Q313+Q314+Q315+Q316+Q317+Q318+Q319+Q320+Q321+Q322+Q323, "NA")</f>
        <v>132043.57999999999</v>
      </c>
      <c r="R325" s="15">
        <f>IFERROR(Q325/Q444, "NA")</f>
        <v>0.23758787692684274</v>
      </c>
      <c r="S325" s="2"/>
      <c r="T325" s="14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265+T266+T269+T270+T271+T272+T275+T276+T277+T278+T279+T280+T281+T282+T283+T286+T287+T288+T289+T290+T291+T292+T293+T294+T297+T298+T299+T300+T301+T302+T303+T304+T305+T306+T307+T308+T309+T310+T311+T312+T313+T314+T315+T316+T317+T318+T319+T320+T321+T322+T323, "NA")</f>
        <v>109170.04999999999</v>
      </c>
      <c r="U325" s="15">
        <f>IFERROR(T325/T444, "NA")</f>
        <v>0.19208197872815783</v>
      </c>
      <c r="V325" s="2"/>
      <c r="W325" s="14">
        <f t="shared" si="78"/>
        <v>-22873.53</v>
      </c>
      <c r="X325" s="15">
        <f>IFERROR(W325/W444, "NA")</f>
        <v>1.8176662288094163</v>
      </c>
      <c r="Y325" s="2"/>
      <c r="Z325" s="14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265+Z266+Z269+Z270+Z271+Z272+Z275+Z276+Z277+Z278+Z279+Z280+Z281+Z282+Z283+Z286+Z287+Z288+Z289+Z290+Z291+Z292+Z293+Z294+Z297+Z298+Z299+Z300+Z301+Z302+Z303+Z304+Z305+Z306+Z307+Z308+Z309+Z310+Z311+Z312+Z313+Z314+Z315+Z316+Z317+Z318+Z319+Z320+Z321+Z322+Z323, "NA")</f>
        <v>94400.659999999989</v>
      </c>
      <c r="AA325" s="15">
        <f>IFERROR(Z325/Z444, "NA")</f>
        <v>0.19172489067848017</v>
      </c>
      <c r="AB325" s="2"/>
      <c r="AC325" s="14">
        <f t="shared" si="79"/>
        <v>-37642.92</v>
      </c>
      <c r="AD325" s="15">
        <f>IFERROR(AC325/AC444, "NA")</f>
        <v>-0.59381446031122065</v>
      </c>
    </row>
    <row r="326" spans="1:30" ht="16.5" customHeight="1" x14ac:dyDescent="0.45">
      <c r="A326" s="1" t="s">
        <v>298</v>
      </c>
      <c r="B326" s="2"/>
      <c r="C326" s="3"/>
      <c r="D326" s="4"/>
      <c r="E326" s="2"/>
      <c r="F326" s="3"/>
      <c r="G326" s="4"/>
      <c r="H326" s="2"/>
      <c r="I326" s="3"/>
      <c r="J326" s="4"/>
      <c r="K326" s="2"/>
      <c r="L326" s="3"/>
      <c r="M326" s="4"/>
      <c r="N326" s="2"/>
      <c r="O326" s="3"/>
      <c r="P326" s="4"/>
      <c r="Q326" s="2"/>
      <c r="R326" s="3"/>
      <c r="S326" s="4"/>
      <c r="T326" s="2"/>
      <c r="U326" s="3"/>
      <c r="V326" s="4"/>
      <c r="W326" s="2"/>
      <c r="X326" s="3"/>
      <c r="Y326" s="4"/>
      <c r="Z326" s="2"/>
      <c r="AA326" s="3"/>
      <c r="AB326" s="4"/>
      <c r="AC326" s="2"/>
      <c r="AD326" s="3"/>
    </row>
    <row r="327" spans="1:30" ht="16.5" customHeight="1" x14ac:dyDescent="0.45">
      <c r="A327" s="5" t="s">
        <v>299</v>
      </c>
      <c r="B327" s="2"/>
      <c r="C327" s="3"/>
      <c r="D327" s="4"/>
      <c r="E327" s="2"/>
      <c r="F327" s="3"/>
      <c r="G327" s="4"/>
      <c r="H327" s="2"/>
      <c r="I327" s="3"/>
      <c r="J327" s="4"/>
      <c r="K327" s="2"/>
      <c r="L327" s="3"/>
      <c r="M327" s="4"/>
      <c r="N327" s="2"/>
      <c r="O327" s="3"/>
      <c r="P327" s="4"/>
      <c r="Q327" s="2"/>
      <c r="R327" s="3"/>
      <c r="S327" s="4"/>
      <c r="T327" s="2"/>
      <c r="U327" s="3"/>
      <c r="V327" s="4"/>
      <c r="W327" s="2"/>
      <c r="X327" s="3"/>
      <c r="Y327" s="4"/>
      <c r="Z327" s="2"/>
      <c r="AA327" s="3"/>
      <c r="AB327" s="4"/>
      <c r="AC327" s="2"/>
      <c r="AD327" s="3"/>
    </row>
    <row r="328" spans="1:30" ht="16.5" hidden="1" customHeight="1" x14ac:dyDescent="0.45">
      <c r="A328" s="6" t="s">
        <v>299</v>
      </c>
      <c r="B328" s="7">
        <v>0</v>
      </c>
      <c r="C328" s="8">
        <f>IFERROR(B328/B444, "NA")</f>
        <v>0</v>
      </c>
      <c r="D328" s="9"/>
      <c r="E328" s="7">
        <v>0</v>
      </c>
      <c r="F328" s="8">
        <f>IFERROR(E328/E444, "NA")</f>
        <v>0</v>
      </c>
      <c r="G328" s="9"/>
      <c r="H328" s="10">
        <f t="shared" ref="H328:H335" si="80">IFERROR(-(B328-E328), "NA")</f>
        <v>0</v>
      </c>
      <c r="I328" s="8">
        <f>IFERROR(H328/H444, "NA")</f>
        <v>0</v>
      </c>
      <c r="J328" s="9"/>
      <c r="K328" s="7">
        <v>0</v>
      </c>
      <c r="L328" s="8">
        <f>IFERROR(K328/K444, "NA")</f>
        <v>0</v>
      </c>
      <c r="M328" s="9"/>
      <c r="N328" s="10">
        <f t="shared" ref="N328:N335" si="81">IFERROR(-(B328-K328), "NA")</f>
        <v>0</v>
      </c>
      <c r="O328" s="8">
        <f>IFERROR(N328/N444, "NA")</f>
        <v>0</v>
      </c>
      <c r="P328" s="9"/>
      <c r="Q328" s="7">
        <v>0</v>
      </c>
      <c r="R328" s="8">
        <f>IFERROR(Q328/Q444, "NA")</f>
        <v>0</v>
      </c>
      <c r="S328" s="9"/>
      <c r="T328" s="7">
        <v>0</v>
      </c>
      <c r="U328" s="8">
        <f>IFERROR(T328/T444, "NA")</f>
        <v>0</v>
      </c>
      <c r="V328" s="9"/>
      <c r="W328" s="10">
        <f t="shared" ref="W328:W335" si="82">IFERROR(-(Q328-T328), "NA")</f>
        <v>0</v>
      </c>
      <c r="X328" s="8">
        <f>IFERROR(W328/W444, "NA")</f>
        <v>0</v>
      </c>
      <c r="Y328" s="9"/>
      <c r="Z328" s="7">
        <v>0</v>
      </c>
      <c r="AA328" s="8">
        <f>IFERROR(Z328/Z444, "NA")</f>
        <v>0</v>
      </c>
      <c r="AB328" s="9"/>
      <c r="AC328" s="10">
        <f t="shared" ref="AC328:AC335" si="83">IFERROR(-(Q328-Z328), "NA")</f>
        <v>0</v>
      </c>
      <c r="AD328" s="8">
        <f>IFERROR(AC328/AC444, "NA")</f>
        <v>0</v>
      </c>
    </row>
    <row r="329" spans="1:30" ht="16.5" customHeight="1" x14ac:dyDescent="0.45">
      <c r="A329" s="6" t="s">
        <v>300</v>
      </c>
      <c r="B329" s="7">
        <v>19569.79</v>
      </c>
      <c r="C329" s="8">
        <f>IFERROR(B329/B444, "NA")</f>
        <v>0.17014885793852494</v>
      </c>
      <c r="D329" s="9"/>
      <c r="E329" s="7">
        <v>18062</v>
      </c>
      <c r="F329" s="8">
        <f>IFERROR(E329/E444, "NA")</f>
        <v>0.13519116016574725</v>
      </c>
      <c r="G329" s="9"/>
      <c r="H329" s="10">
        <f t="shared" si="80"/>
        <v>-1507.7900000000009</v>
      </c>
      <c r="I329" s="8">
        <f>IFERROR(H329/H444, "NA")</f>
        <v>8.111757715178472E-2</v>
      </c>
      <c r="J329" s="9"/>
      <c r="K329" s="7">
        <v>19092.48</v>
      </c>
      <c r="L329" s="8">
        <f>IFERROR(K329/K444, "NA")</f>
        <v>0.16862686494398146</v>
      </c>
      <c r="M329" s="9"/>
      <c r="N329" s="10">
        <f t="shared" si="81"/>
        <v>-477.31000000000131</v>
      </c>
      <c r="O329" s="8">
        <f>IFERROR(N329/N444, "NA")</f>
        <v>-0.26628767169142042</v>
      </c>
      <c r="P329" s="9"/>
      <c r="Q329" s="7">
        <v>97848.95</v>
      </c>
      <c r="R329" s="8">
        <f>IFERROR(Q329/Q444, "NA")</f>
        <v>0.17606099660446037</v>
      </c>
      <c r="S329" s="9"/>
      <c r="T329" s="7">
        <v>94831</v>
      </c>
      <c r="U329" s="8">
        <f>IFERROR(T329/T444, "NA")</f>
        <v>0.16685277807209886</v>
      </c>
      <c r="V329" s="9"/>
      <c r="W329" s="10">
        <f t="shared" si="82"/>
        <v>-3017.9499999999971</v>
      </c>
      <c r="X329" s="8">
        <f>IFERROR(W329/W444, "NA")</f>
        <v>0.2398241895866258</v>
      </c>
      <c r="Y329" s="9"/>
      <c r="Z329" s="7">
        <v>95462.399999999994</v>
      </c>
      <c r="AA329" s="8">
        <f>IFERROR(Z329/Z444, "NA")</f>
        <v>0.19388125256651115</v>
      </c>
      <c r="AB329" s="9"/>
      <c r="AC329" s="10">
        <f t="shared" si="83"/>
        <v>-2386.5500000000029</v>
      </c>
      <c r="AD329" s="8">
        <f>IFERROR(AC329/AC444, "NA")</f>
        <v>-3.7647661240300848E-2</v>
      </c>
    </row>
    <row r="330" spans="1:30" ht="16.5" customHeight="1" x14ac:dyDescent="0.45">
      <c r="A330" s="6" t="s">
        <v>301</v>
      </c>
      <c r="B330" s="7">
        <v>980.22</v>
      </c>
      <c r="C330" s="8">
        <f>IFERROR(B330/B444, "NA")</f>
        <v>8.5224886689382415E-3</v>
      </c>
      <c r="D330" s="9"/>
      <c r="E330" s="7">
        <v>659</v>
      </c>
      <c r="F330" s="8">
        <f>IFERROR(E330/E444, "NA")</f>
        <v>4.9325088334197459E-3</v>
      </c>
      <c r="G330" s="9"/>
      <c r="H330" s="10">
        <f t="shared" si="80"/>
        <v>-321.22000000000003</v>
      </c>
      <c r="I330" s="8">
        <f>IFERROR(H330/H444, "NA")</f>
        <v>1.7281311145913074E-2</v>
      </c>
      <c r="J330" s="9"/>
      <c r="K330" s="7">
        <v>658.51</v>
      </c>
      <c r="L330" s="8">
        <f>IFERROR(K330/K444, "NA")</f>
        <v>5.8160321149615573E-3</v>
      </c>
      <c r="M330" s="9"/>
      <c r="N330" s="10">
        <f t="shared" si="81"/>
        <v>-321.71000000000004</v>
      </c>
      <c r="O330" s="8">
        <f>IFERROR(N330/N444, "NA")</f>
        <v>-0.17947959787108303</v>
      </c>
      <c r="P330" s="9"/>
      <c r="Q330" s="7">
        <v>3614.26</v>
      </c>
      <c r="R330" s="8">
        <f>IFERROR(Q330/Q444, "NA")</f>
        <v>6.5031890233634287E-3</v>
      </c>
      <c r="S330" s="9"/>
      <c r="T330" s="7">
        <v>3295</v>
      </c>
      <c r="U330" s="8">
        <f>IFERROR(T330/T444, "NA")</f>
        <v>5.7974702760443921E-3</v>
      </c>
      <c r="V330" s="9"/>
      <c r="W330" s="10">
        <f t="shared" si="82"/>
        <v>-319.26000000000022</v>
      </c>
      <c r="X330" s="8">
        <f>IFERROR(W330/W444, "NA")</f>
        <v>2.5370291345922325E-2</v>
      </c>
      <c r="Y330" s="9"/>
      <c r="Z330" s="7">
        <v>3344.29</v>
      </c>
      <c r="AA330" s="8">
        <f>IFERROR(Z330/Z444, "NA")</f>
        <v>6.7921520320634891E-3</v>
      </c>
      <c r="AB330" s="9"/>
      <c r="AC330" s="10">
        <f t="shared" si="83"/>
        <v>-269.97000000000025</v>
      </c>
      <c r="AD330" s="8">
        <f>IFERROR(AC330/AC444, "NA")</f>
        <v>-4.2587580838633239E-3</v>
      </c>
    </row>
    <row r="331" spans="1:30" ht="16.5" hidden="1" customHeight="1" x14ac:dyDescent="0.45">
      <c r="A331" s="6" t="s">
        <v>302</v>
      </c>
      <c r="B331" s="7">
        <v>0</v>
      </c>
      <c r="C331" s="8">
        <f>IFERROR(B331/B444, "NA")</f>
        <v>0</v>
      </c>
      <c r="D331" s="9"/>
      <c r="E331" s="7">
        <v>0</v>
      </c>
      <c r="F331" s="8">
        <f>IFERROR(E331/E444, "NA")</f>
        <v>0</v>
      </c>
      <c r="G331" s="9"/>
      <c r="H331" s="10">
        <f t="shared" si="80"/>
        <v>0</v>
      </c>
      <c r="I331" s="8">
        <f>IFERROR(H331/H444, "NA")</f>
        <v>0</v>
      </c>
      <c r="J331" s="9"/>
      <c r="K331" s="7">
        <v>0</v>
      </c>
      <c r="L331" s="8">
        <f>IFERROR(K331/K444, "NA")</f>
        <v>0</v>
      </c>
      <c r="M331" s="9"/>
      <c r="N331" s="10">
        <f t="shared" si="81"/>
        <v>0</v>
      </c>
      <c r="O331" s="8">
        <f>IFERROR(N331/N444, "NA")</f>
        <v>0</v>
      </c>
      <c r="P331" s="9"/>
      <c r="Q331" s="7">
        <v>0</v>
      </c>
      <c r="R331" s="8">
        <f>IFERROR(Q331/Q444, "NA")</f>
        <v>0</v>
      </c>
      <c r="S331" s="9"/>
      <c r="T331" s="7">
        <v>0</v>
      </c>
      <c r="U331" s="8">
        <f>IFERROR(T331/T444, "NA")</f>
        <v>0</v>
      </c>
      <c r="V331" s="9"/>
      <c r="W331" s="10">
        <f t="shared" si="82"/>
        <v>0</v>
      </c>
      <c r="X331" s="8">
        <f>IFERROR(W331/W444, "NA")</f>
        <v>0</v>
      </c>
      <c r="Y331" s="9"/>
      <c r="Z331" s="7">
        <v>0</v>
      </c>
      <c r="AA331" s="8">
        <f>IFERROR(Z331/Z444, "NA")</f>
        <v>0</v>
      </c>
      <c r="AB331" s="9"/>
      <c r="AC331" s="10">
        <f t="shared" si="83"/>
        <v>0</v>
      </c>
      <c r="AD331" s="8">
        <f>IFERROR(AC331/AC444, "NA")</f>
        <v>0</v>
      </c>
    </row>
    <row r="332" spans="1:30" ht="16.5" hidden="1" customHeight="1" x14ac:dyDescent="0.45">
      <c r="A332" s="6" t="s">
        <v>303</v>
      </c>
      <c r="B332" s="7">
        <v>0</v>
      </c>
      <c r="C332" s="8">
        <f>IFERROR(B332/B444, "NA")</f>
        <v>0</v>
      </c>
      <c r="D332" s="9"/>
      <c r="E332" s="7">
        <v>0</v>
      </c>
      <c r="F332" s="8">
        <f>IFERROR(E332/E444, "NA")</f>
        <v>0</v>
      </c>
      <c r="G332" s="9"/>
      <c r="H332" s="10">
        <f t="shared" si="80"/>
        <v>0</v>
      </c>
      <c r="I332" s="8">
        <f>IFERROR(H332/H444, "NA")</f>
        <v>0</v>
      </c>
      <c r="J332" s="9"/>
      <c r="K332" s="7">
        <v>0</v>
      </c>
      <c r="L332" s="8">
        <f>IFERROR(K332/K444, "NA")</f>
        <v>0</v>
      </c>
      <c r="M332" s="9"/>
      <c r="N332" s="10">
        <f t="shared" si="81"/>
        <v>0</v>
      </c>
      <c r="O332" s="8">
        <f>IFERROR(N332/N444, "NA")</f>
        <v>0</v>
      </c>
      <c r="P332" s="9"/>
      <c r="Q332" s="7">
        <v>0</v>
      </c>
      <c r="R332" s="8">
        <f>IFERROR(Q332/Q444, "NA")</f>
        <v>0</v>
      </c>
      <c r="S332" s="9"/>
      <c r="T332" s="7">
        <v>0</v>
      </c>
      <c r="U332" s="8">
        <f>IFERROR(T332/T444, "NA")</f>
        <v>0</v>
      </c>
      <c r="V332" s="9"/>
      <c r="W332" s="10">
        <f t="shared" si="82"/>
        <v>0</v>
      </c>
      <c r="X332" s="8">
        <f>IFERROR(W332/W444, "NA")</f>
        <v>0</v>
      </c>
      <c r="Y332" s="9"/>
      <c r="Z332" s="7">
        <v>0</v>
      </c>
      <c r="AA332" s="8">
        <f>IFERROR(Z332/Z444, "NA")</f>
        <v>0</v>
      </c>
      <c r="AB332" s="9"/>
      <c r="AC332" s="10">
        <f t="shared" si="83"/>
        <v>0</v>
      </c>
      <c r="AD332" s="8">
        <f>IFERROR(AC332/AC444, "NA")</f>
        <v>0</v>
      </c>
    </row>
    <row r="333" spans="1:30" ht="16.5" customHeight="1" x14ac:dyDescent="0.45">
      <c r="A333" s="6" t="s">
        <v>304</v>
      </c>
      <c r="B333" s="7">
        <v>855.93</v>
      </c>
      <c r="C333" s="8">
        <f>IFERROR(B333/B444, "NA")</f>
        <v>7.4418535904228721E-3</v>
      </c>
      <c r="D333" s="9"/>
      <c r="E333" s="7">
        <v>761</v>
      </c>
      <c r="F333" s="8">
        <f>IFERROR(E333/E444, "NA")</f>
        <v>5.6959624009596758E-3</v>
      </c>
      <c r="G333" s="9"/>
      <c r="H333" s="10">
        <f t="shared" si="80"/>
        <v>-94.92999999999995</v>
      </c>
      <c r="I333" s="8">
        <f>IFERROR(H333/H444, "NA")</f>
        <v>5.1071379960199465E-3</v>
      </c>
      <c r="J333" s="9"/>
      <c r="K333" s="7">
        <v>760.64</v>
      </c>
      <c r="L333" s="8">
        <f>IFERROR(K333/K444, "NA")</f>
        <v>6.7180554098257564E-3</v>
      </c>
      <c r="M333" s="9"/>
      <c r="N333" s="10">
        <f t="shared" si="81"/>
        <v>-95.289999999999964</v>
      </c>
      <c r="O333" s="8">
        <f>IFERROR(N333/N444, "NA")</f>
        <v>-5.316157682737712E-2</v>
      </c>
      <c r="P333" s="9"/>
      <c r="Q333" s="7">
        <v>4184.3599999999997</v>
      </c>
      <c r="R333" s="8">
        <f>IFERROR(Q333/Q444, "NA")</f>
        <v>7.52897799876074E-3</v>
      </c>
      <c r="S333" s="9"/>
      <c r="T333" s="7">
        <v>3805</v>
      </c>
      <c r="U333" s="8">
        <f>IFERROR(T333/T444, "NA")</f>
        <v>6.6948025494230389E-3</v>
      </c>
      <c r="V333" s="9"/>
      <c r="W333" s="10">
        <f t="shared" si="82"/>
        <v>-379.35999999999967</v>
      </c>
      <c r="X333" s="8">
        <f>IFERROR(W333/W444, "NA")</f>
        <v>3.0146193462973994E-2</v>
      </c>
      <c r="Y333" s="9"/>
      <c r="Z333" s="7">
        <v>5531.91</v>
      </c>
      <c r="AA333" s="8">
        <f>IFERROR(Z333/Z444, "NA")</f>
        <v>1.1235142211857325E-2</v>
      </c>
      <c r="AB333" s="9"/>
      <c r="AC333" s="10">
        <f t="shared" si="83"/>
        <v>1347.5500000000002</v>
      </c>
      <c r="AD333" s="8">
        <f>IFERROR(AC333/AC444, "NA")</f>
        <v>2.1257508078342105E-2</v>
      </c>
    </row>
    <row r="334" spans="1:30" ht="16.5" customHeight="1" x14ac:dyDescent="0.45">
      <c r="A334" s="6" t="s">
        <v>305</v>
      </c>
      <c r="B334" s="7">
        <v>-1506.87</v>
      </c>
      <c r="C334" s="8">
        <f>IFERROR(B334/B444, "NA")</f>
        <v>-1.3101428761464739E-2</v>
      </c>
      <c r="D334" s="9"/>
      <c r="E334" s="7">
        <v>0</v>
      </c>
      <c r="F334" s="8">
        <f>IFERROR(E334/E444, "NA")</f>
        <v>0</v>
      </c>
      <c r="G334" s="9"/>
      <c r="H334" s="10">
        <f t="shared" si="80"/>
        <v>1506.87</v>
      </c>
      <c r="I334" s="8">
        <f>IFERROR(H334/H444, "NA")</f>
        <v>-8.1068082082192988E-2</v>
      </c>
      <c r="J334" s="9"/>
      <c r="K334" s="7">
        <v>-1470.12</v>
      </c>
      <c r="L334" s="8">
        <f>IFERROR(K334/K444, "NA")</f>
        <v>-1.2984260121861905E-2</v>
      </c>
      <c r="M334" s="9"/>
      <c r="N334" s="10">
        <f t="shared" si="81"/>
        <v>36.75</v>
      </c>
      <c r="O334" s="8">
        <f>IFERROR(N334/N444, "NA")</f>
        <v>2.0502549568749185E-2</v>
      </c>
      <c r="P334" s="9"/>
      <c r="Q334" s="7">
        <v>-3013.74</v>
      </c>
      <c r="R334" s="8">
        <f>IFERROR(Q334/Q444, "NA")</f>
        <v>-5.4226649126712795E-3</v>
      </c>
      <c r="S334" s="9"/>
      <c r="T334" s="7">
        <v>0</v>
      </c>
      <c r="U334" s="8">
        <f>IFERROR(T334/T444, "NA")</f>
        <v>0</v>
      </c>
      <c r="V334" s="9"/>
      <c r="W334" s="10">
        <f t="shared" si="82"/>
        <v>3013.74</v>
      </c>
      <c r="X334" s="8">
        <f>IFERROR(W334/W444, "NA")</f>
        <v>-0.23948963804065615</v>
      </c>
      <c r="Y334" s="9"/>
      <c r="Z334" s="7">
        <v>-2940.24</v>
      </c>
      <c r="AA334" s="8">
        <f>IFERROR(Z334/Z444, "NA")</f>
        <v>-5.9715386795865045E-3</v>
      </c>
      <c r="AB334" s="9"/>
      <c r="AC334" s="10">
        <f t="shared" si="83"/>
        <v>73.5</v>
      </c>
      <c r="AD334" s="8">
        <f>IFERROR(AC334/AC444, "NA")</f>
        <v>1.1594574180981371E-3</v>
      </c>
    </row>
    <row r="335" spans="1:30" ht="16.5" hidden="1" customHeight="1" x14ac:dyDescent="0.45">
      <c r="A335" s="6" t="s">
        <v>306</v>
      </c>
      <c r="B335" s="7">
        <v>0</v>
      </c>
      <c r="C335" s="8">
        <f>IFERROR(B335/B444, "NA")</f>
        <v>0</v>
      </c>
      <c r="D335" s="9"/>
      <c r="E335" s="7">
        <v>0</v>
      </c>
      <c r="F335" s="8">
        <f>IFERROR(E335/E444, "NA")</f>
        <v>0</v>
      </c>
      <c r="G335" s="9"/>
      <c r="H335" s="10">
        <f t="shared" si="80"/>
        <v>0</v>
      </c>
      <c r="I335" s="8">
        <f>IFERROR(H335/H444, "NA")</f>
        <v>0</v>
      </c>
      <c r="J335" s="9"/>
      <c r="K335" s="7">
        <v>0</v>
      </c>
      <c r="L335" s="8">
        <f>IFERROR(K335/K444, "NA")</f>
        <v>0</v>
      </c>
      <c r="M335" s="9"/>
      <c r="N335" s="10">
        <f t="shared" si="81"/>
        <v>0</v>
      </c>
      <c r="O335" s="8">
        <f>IFERROR(N335/N444, "NA")</f>
        <v>0</v>
      </c>
      <c r="P335" s="9"/>
      <c r="Q335" s="7">
        <v>0</v>
      </c>
      <c r="R335" s="8">
        <f>IFERROR(Q335/Q444, "NA")</f>
        <v>0</v>
      </c>
      <c r="S335" s="9"/>
      <c r="T335" s="7">
        <v>0</v>
      </c>
      <c r="U335" s="8">
        <f>IFERROR(T335/T444, "NA")</f>
        <v>0</v>
      </c>
      <c r="V335" s="9"/>
      <c r="W335" s="10">
        <f t="shared" si="82"/>
        <v>0</v>
      </c>
      <c r="X335" s="8">
        <f>IFERROR(W335/W444, "NA")</f>
        <v>0</v>
      </c>
      <c r="Y335" s="9"/>
      <c r="Z335" s="7">
        <v>0</v>
      </c>
      <c r="AA335" s="8">
        <f>IFERROR(Z335/Z444, "NA")</f>
        <v>0</v>
      </c>
      <c r="AB335" s="9"/>
      <c r="AC335" s="10">
        <f t="shared" si="83"/>
        <v>0</v>
      </c>
      <c r="AD335" s="8">
        <f>IFERROR(AC335/AC444, "NA")</f>
        <v>0</v>
      </c>
    </row>
    <row r="336" spans="1:30" ht="16.5" customHeight="1" x14ac:dyDescent="0.45">
      <c r="A336" s="11" t="s">
        <v>307</v>
      </c>
      <c r="B336" s="2"/>
      <c r="C336" s="3"/>
      <c r="D336" s="4"/>
      <c r="E336" s="2"/>
      <c r="F336" s="3"/>
      <c r="G336" s="4"/>
      <c r="H336" s="2"/>
      <c r="I336" s="3"/>
      <c r="J336" s="4"/>
      <c r="K336" s="2"/>
      <c r="L336" s="3"/>
      <c r="M336" s="4"/>
      <c r="N336" s="2"/>
      <c r="O336" s="3"/>
      <c r="P336" s="4"/>
      <c r="Q336" s="2"/>
      <c r="R336" s="3"/>
      <c r="S336" s="4"/>
      <c r="T336" s="2"/>
      <c r="U336" s="3"/>
      <c r="V336" s="4"/>
      <c r="W336" s="2"/>
      <c r="X336" s="3"/>
      <c r="Y336" s="4"/>
      <c r="Z336" s="2"/>
      <c r="AA336" s="3"/>
      <c r="AB336" s="4"/>
      <c r="AC336" s="2"/>
      <c r="AD336" s="3"/>
    </row>
    <row r="337" spans="1:30" ht="16.5" customHeight="1" x14ac:dyDescent="0.45">
      <c r="A337" s="12" t="s">
        <v>307</v>
      </c>
      <c r="B337" s="7">
        <v>0</v>
      </c>
      <c r="C337" s="8">
        <f>IFERROR(B337/B444, "NA")</f>
        <v>0</v>
      </c>
      <c r="D337" s="9"/>
      <c r="E337" s="7">
        <v>4715.7700000000004</v>
      </c>
      <c r="F337" s="8">
        <f>IFERROR(E337/E444, "NA")</f>
        <v>3.5296778727429187E-2</v>
      </c>
      <c r="G337" s="9"/>
      <c r="H337" s="10">
        <f t="shared" ref="H337:H344" si="84">IFERROR(-(B337-E337), "NA")</f>
        <v>4715.7700000000004</v>
      </c>
      <c r="I337" s="8">
        <f>IFERROR(H337/H444, "NA")</f>
        <v>-0.25370365687865792</v>
      </c>
      <c r="J337" s="9"/>
      <c r="K337" s="7">
        <v>0</v>
      </c>
      <c r="L337" s="8">
        <f>IFERROR(K337/K444, "NA")</f>
        <v>0</v>
      </c>
      <c r="M337" s="9"/>
      <c r="N337" s="10">
        <f t="shared" ref="N337:N344" si="85">IFERROR(-(B337-K337), "NA")</f>
        <v>0</v>
      </c>
      <c r="O337" s="8">
        <f>IFERROR(N337/N444, "NA")</f>
        <v>0</v>
      </c>
      <c r="P337" s="9"/>
      <c r="Q337" s="7">
        <v>0</v>
      </c>
      <c r="R337" s="8">
        <f>IFERROR(Q337/Q444, "NA")</f>
        <v>0</v>
      </c>
      <c r="S337" s="9"/>
      <c r="T337" s="7">
        <v>25423.21</v>
      </c>
      <c r="U337" s="8">
        <f>IFERROR(T337/T444, "NA")</f>
        <v>4.473150358016223E-2</v>
      </c>
      <c r="V337" s="9"/>
      <c r="W337" s="10">
        <f t="shared" ref="W337:W344" si="86">IFERROR(-(Q337-T337), "NA")</f>
        <v>25423.21</v>
      </c>
      <c r="X337" s="8">
        <f>IFERROR(W337/W444, "NA")</f>
        <v>-2.0202789095049973</v>
      </c>
      <c r="Y337" s="9"/>
      <c r="Z337" s="7">
        <v>0</v>
      </c>
      <c r="AA337" s="8">
        <f>IFERROR(Z337/Z444, "NA")</f>
        <v>0</v>
      </c>
      <c r="AB337" s="9"/>
      <c r="AC337" s="10">
        <f t="shared" ref="AC337:AC344" si="87">IFERROR(-(Q337-Z337), "NA")</f>
        <v>0</v>
      </c>
      <c r="AD337" s="8">
        <f>IFERROR(AC337/AC444, "NA")</f>
        <v>0</v>
      </c>
    </row>
    <row r="338" spans="1:30" ht="16.5" customHeight="1" x14ac:dyDescent="0.45">
      <c r="A338" s="12" t="s">
        <v>308</v>
      </c>
      <c r="B338" s="7">
        <v>2110.5</v>
      </c>
      <c r="C338" s="8">
        <f>IFERROR(B338/B444, "NA")</f>
        <v>1.8349668784348572E-2</v>
      </c>
      <c r="D338" s="9"/>
      <c r="E338" s="7">
        <v>0</v>
      </c>
      <c r="F338" s="8">
        <f>IFERROR(E338/E444, "NA")</f>
        <v>0</v>
      </c>
      <c r="G338" s="9"/>
      <c r="H338" s="10">
        <f t="shared" si="84"/>
        <v>-2110.5</v>
      </c>
      <c r="I338" s="8">
        <f>IFERROR(H338/H444, "NA")</f>
        <v>0.11354276562309178</v>
      </c>
      <c r="J338" s="9"/>
      <c r="K338" s="7">
        <v>2301.96</v>
      </c>
      <c r="L338" s="8">
        <f>IFERROR(K338/K444, "NA")</f>
        <v>2.0331161694365926E-2</v>
      </c>
      <c r="M338" s="9"/>
      <c r="N338" s="10">
        <f t="shared" si="85"/>
        <v>191.46000000000004</v>
      </c>
      <c r="O338" s="8">
        <f>IFERROR(N338/N444, "NA")</f>
        <v>0.10681409905939374</v>
      </c>
      <c r="P338" s="9"/>
      <c r="Q338" s="7">
        <v>9562.92</v>
      </c>
      <c r="R338" s="8">
        <f>IFERROR(Q338/Q444, "NA")</f>
        <v>1.7206696910377947E-2</v>
      </c>
      <c r="S338" s="9"/>
      <c r="T338" s="7">
        <v>0</v>
      </c>
      <c r="U338" s="8">
        <f>IFERROR(T338/T444, "NA")</f>
        <v>0</v>
      </c>
      <c r="V338" s="9"/>
      <c r="W338" s="10">
        <f t="shared" si="86"/>
        <v>-9562.92</v>
      </c>
      <c r="X338" s="8">
        <f>IFERROR(W338/W444, "NA")</f>
        <v>0.75992628740759049</v>
      </c>
      <c r="Y338" s="9"/>
      <c r="Z338" s="7">
        <v>8898.5300000000007</v>
      </c>
      <c r="AA338" s="8">
        <f>IFERROR(Z338/Z444, "NA")</f>
        <v>1.8072645799819372E-2</v>
      </c>
      <c r="AB338" s="9"/>
      <c r="AC338" s="10">
        <f t="shared" si="87"/>
        <v>-664.38999999999942</v>
      </c>
      <c r="AD338" s="8">
        <f>IFERROR(AC338/AC444, "NA")</f>
        <v>-1.0480706313064225E-2</v>
      </c>
    </row>
    <row r="339" spans="1:30" ht="16.5" customHeight="1" x14ac:dyDescent="0.45">
      <c r="A339" s="12" t="s">
        <v>309</v>
      </c>
      <c r="B339" s="7">
        <v>699.76</v>
      </c>
      <c r="C339" s="8">
        <f>IFERROR(B339/B444, "NA")</f>
        <v>6.0840389616374111E-3</v>
      </c>
      <c r="D339" s="9"/>
      <c r="E339" s="7">
        <v>0</v>
      </c>
      <c r="F339" s="8">
        <f>IFERROR(E339/E444, "NA")</f>
        <v>0</v>
      </c>
      <c r="G339" s="9"/>
      <c r="H339" s="10">
        <f t="shared" si="84"/>
        <v>-699.76</v>
      </c>
      <c r="I339" s="8">
        <f>IFERROR(H339/H444, "NA")</f>
        <v>3.7646380323342665E-2</v>
      </c>
      <c r="J339" s="9"/>
      <c r="K339" s="7">
        <v>684.53</v>
      </c>
      <c r="L339" s="8">
        <f>IFERROR(K339/K444, "NA")</f>
        <v>6.0458435918279672E-3</v>
      </c>
      <c r="M339" s="9"/>
      <c r="N339" s="10">
        <f t="shared" si="85"/>
        <v>-15.230000000000018</v>
      </c>
      <c r="O339" s="8">
        <f>IFERROR(N339/N444, "NA")</f>
        <v>-8.4967028552938913E-3</v>
      </c>
      <c r="P339" s="9"/>
      <c r="Q339" s="7">
        <v>5387.93</v>
      </c>
      <c r="R339" s="8">
        <f>IFERROR(Q339/Q444, "NA")</f>
        <v>9.6945784848490469E-3</v>
      </c>
      <c r="S339" s="9"/>
      <c r="T339" s="7">
        <v>0</v>
      </c>
      <c r="U339" s="8">
        <f>IFERROR(T339/T444, "NA")</f>
        <v>0</v>
      </c>
      <c r="V339" s="9"/>
      <c r="W339" s="10">
        <f t="shared" si="86"/>
        <v>-5387.93</v>
      </c>
      <c r="X339" s="8">
        <f>IFERROR(W339/W444, "NA")</f>
        <v>0.42815684348629701</v>
      </c>
      <c r="Y339" s="9"/>
      <c r="Z339" s="7">
        <v>5362.94</v>
      </c>
      <c r="AA339" s="8">
        <f>IFERROR(Z339/Z444, "NA")</f>
        <v>1.0891969242749452E-2</v>
      </c>
      <c r="AB339" s="9"/>
      <c r="AC339" s="10">
        <f t="shared" si="87"/>
        <v>-24.990000000000691</v>
      </c>
      <c r="AD339" s="8">
        <f>IFERROR(AC339/AC444, "NA")</f>
        <v>-3.9421552215337745E-4</v>
      </c>
    </row>
    <row r="340" spans="1:30" ht="16.5" customHeight="1" x14ac:dyDescent="0.45">
      <c r="A340" s="12" t="s">
        <v>310</v>
      </c>
      <c r="B340" s="7">
        <v>780.33</v>
      </c>
      <c r="C340" s="8">
        <f>IFERROR(B340/B444, "NA")</f>
        <v>6.7845520220282977E-3</v>
      </c>
      <c r="D340" s="9"/>
      <c r="E340" s="7">
        <v>0</v>
      </c>
      <c r="F340" s="8">
        <f>IFERROR(E340/E444, "NA")</f>
        <v>0</v>
      </c>
      <c r="G340" s="9"/>
      <c r="H340" s="10">
        <f t="shared" si="84"/>
        <v>-780.33</v>
      </c>
      <c r="I340" s="8">
        <f>IFERROR(H340/H444, "NA")</f>
        <v>4.1980964841822892E-2</v>
      </c>
      <c r="J340" s="9"/>
      <c r="K340" s="7">
        <v>779.31</v>
      </c>
      <c r="L340" s="8">
        <f>IFERROR(K340/K444, "NA")</f>
        <v>6.8829508853482727E-3</v>
      </c>
      <c r="M340" s="9"/>
      <c r="N340" s="10">
        <f t="shared" si="85"/>
        <v>-1.0200000000000955</v>
      </c>
      <c r="O340" s="8">
        <f>IFERROR(N340/N444, "NA")</f>
        <v>-5.6905035537758173E-4</v>
      </c>
      <c r="P340" s="9"/>
      <c r="Q340" s="7">
        <v>4399.88</v>
      </c>
      <c r="R340" s="8">
        <f>IFERROR(Q340/Q444, "NA")</f>
        <v>7.9167661762342169E-3</v>
      </c>
      <c r="S340" s="9"/>
      <c r="T340" s="7">
        <v>0</v>
      </c>
      <c r="U340" s="8">
        <f>IFERROR(T340/T444, "NA")</f>
        <v>0</v>
      </c>
      <c r="V340" s="9"/>
      <c r="W340" s="10">
        <f t="shared" si="86"/>
        <v>-4399.88</v>
      </c>
      <c r="X340" s="8">
        <f>IFERROR(W340/W444, "NA")</f>
        <v>0.34964053588641436</v>
      </c>
      <c r="Y340" s="9"/>
      <c r="Z340" s="7">
        <v>4211.5600000000004</v>
      </c>
      <c r="AA340" s="8">
        <f>IFERROR(Z340/Z444, "NA")</f>
        <v>8.5535512207844753E-3</v>
      </c>
      <c r="AB340" s="9"/>
      <c r="AC340" s="10">
        <f t="shared" si="87"/>
        <v>-188.31999999999971</v>
      </c>
      <c r="AD340" s="8">
        <f>IFERROR(AC340/AC444, "NA")</f>
        <v>-2.9707349792685825E-3</v>
      </c>
    </row>
    <row r="341" spans="1:30" ht="16.5" customHeight="1" x14ac:dyDescent="0.45">
      <c r="A341" s="12" t="s">
        <v>311</v>
      </c>
      <c r="B341" s="7">
        <v>1031.99</v>
      </c>
      <c r="C341" s="8">
        <f>IFERROR(B341/B444, "NA")</f>
        <v>8.9726011318454792E-3</v>
      </c>
      <c r="D341" s="9"/>
      <c r="E341" s="7">
        <v>0</v>
      </c>
      <c r="F341" s="8">
        <f>IFERROR(E341/E444, "NA")</f>
        <v>0</v>
      </c>
      <c r="G341" s="9"/>
      <c r="H341" s="10">
        <f t="shared" si="84"/>
        <v>-1031.99</v>
      </c>
      <c r="I341" s="8">
        <f>IFERROR(H341/H444, "NA")</f>
        <v>5.5520018334695324E-2</v>
      </c>
      <c r="J341" s="9"/>
      <c r="K341" s="7">
        <v>957.58</v>
      </c>
      <c r="L341" s="8">
        <f>IFERROR(K341/K444, "NA")</f>
        <v>8.4574509614810528E-3</v>
      </c>
      <c r="M341" s="9"/>
      <c r="N341" s="10">
        <f t="shared" si="85"/>
        <v>-74.409999999999968</v>
      </c>
      <c r="O341" s="8">
        <f>IFERROR(N341/N444, "NA")</f>
        <v>-4.1512781317295952E-2</v>
      </c>
      <c r="P341" s="9"/>
      <c r="Q341" s="7">
        <v>5122.2700000000004</v>
      </c>
      <c r="R341" s="8">
        <f>IFERROR(Q341/Q444, "NA")</f>
        <v>9.216572697787041E-3</v>
      </c>
      <c r="S341" s="9"/>
      <c r="T341" s="7">
        <v>0</v>
      </c>
      <c r="U341" s="8">
        <f>IFERROR(T341/T444, "NA")</f>
        <v>0</v>
      </c>
      <c r="V341" s="9"/>
      <c r="W341" s="10">
        <f t="shared" si="86"/>
        <v>-5122.2700000000004</v>
      </c>
      <c r="X341" s="8">
        <f>IFERROR(W341/W444, "NA")</f>
        <v>0.40704592574227105</v>
      </c>
      <c r="Y341" s="9"/>
      <c r="Z341" s="7">
        <v>4787.8999999999996</v>
      </c>
      <c r="AA341" s="8">
        <f>IFERROR(Z341/Z444, "NA")</f>
        <v>9.7240803621446645E-3</v>
      </c>
      <c r="AB341" s="9"/>
      <c r="AC341" s="10">
        <f t="shared" si="87"/>
        <v>-334.3700000000008</v>
      </c>
      <c r="AD341" s="8">
        <f>IFERROR(AC341/AC444, "NA")</f>
        <v>-5.2746636311493201E-3</v>
      </c>
    </row>
    <row r="342" spans="1:30" ht="16.5" customHeight="1" x14ac:dyDescent="0.45">
      <c r="A342" s="13" t="s">
        <v>312</v>
      </c>
      <c r="B342" s="14">
        <f>IFERROR(B337+B338+B339+B340+B341, "NA")</f>
        <v>4622.58</v>
      </c>
      <c r="C342" s="15">
        <f>IFERROR(B342/B444, "NA")</f>
        <v>4.0190860899859758E-2</v>
      </c>
      <c r="D342" s="2"/>
      <c r="E342" s="14">
        <f>IFERROR(E337+E338+E339+E340+E341, "NA")</f>
        <v>4715.7700000000004</v>
      </c>
      <c r="F342" s="15">
        <f>IFERROR(E342/E444, "NA")</f>
        <v>3.5296778727429187E-2</v>
      </c>
      <c r="G342" s="2"/>
      <c r="H342" s="14">
        <f t="shared" si="84"/>
        <v>93.190000000000509</v>
      </c>
      <c r="I342" s="15">
        <f>IFERROR(H342/H444, "NA")</f>
        <v>-5.0135277557052738E-3</v>
      </c>
      <c r="J342" s="2"/>
      <c r="K342" s="14">
        <f>IFERROR(K337+K338+K339+K340+K341, "NA")</f>
        <v>4723.38</v>
      </c>
      <c r="L342" s="15">
        <f>IFERROR(K342/K444, "NA")</f>
        <v>4.1717407133023222E-2</v>
      </c>
      <c r="M342" s="2"/>
      <c r="N342" s="14">
        <f t="shared" si="85"/>
        <v>100.80000000000018</v>
      </c>
      <c r="O342" s="15">
        <f>IFERROR(N342/N444, "NA")</f>
        <v>5.6235564531426439E-2</v>
      </c>
      <c r="P342" s="2"/>
      <c r="Q342" s="14">
        <f>IFERROR(Q337+Q338+Q339+Q340+Q341, "NA")</f>
        <v>24473</v>
      </c>
      <c r="R342" s="15">
        <f>IFERROR(Q342/Q444, "NA")</f>
        <v>4.4034614269248248E-2</v>
      </c>
      <c r="S342" s="2"/>
      <c r="T342" s="14">
        <f>IFERROR(T337+T338+T339+T340+T341, "NA")</f>
        <v>25423.21</v>
      </c>
      <c r="U342" s="15">
        <f>IFERROR(T342/T444, "NA")</f>
        <v>4.473150358016223E-2</v>
      </c>
      <c r="V342" s="2"/>
      <c r="W342" s="14">
        <f t="shared" si="86"/>
        <v>950.20999999999913</v>
      </c>
      <c r="X342" s="15">
        <f>IFERROR(W342/W444, "NA")</f>
        <v>-7.5509316982424399E-2</v>
      </c>
      <c r="Y342" s="2"/>
      <c r="Z342" s="14">
        <f>IFERROR(Z337+Z338+Z339+Z340+Z341, "NA")</f>
        <v>23260.93</v>
      </c>
      <c r="AA342" s="15">
        <f>IFERROR(Z342/Z444, "NA")</f>
        <v>4.7242246625497961E-2</v>
      </c>
      <c r="AB342" s="2"/>
      <c r="AC342" s="14">
        <f t="shared" si="87"/>
        <v>-1212.0699999999997</v>
      </c>
      <c r="AD342" s="15">
        <f>IFERROR(AC342/AC444, "NA")</f>
        <v>-1.912032044563549E-2</v>
      </c>
    </row>
    <row r="343" spans="1:30" ht="16.5" customHeight="1" x14ac:dyDescent="0.45">
      <c r="A343" s="19" t="s">
        <v>313</v>
      </c>
      <c r="B343" s="14">
        <f>IFERROR(B328+B329+B330+B331+B332+B333+B334+B335+B337+B338+B339+B340+B341, "NA")</f>
        <v>24521.650000000005</v>
      </c>
      <c r="C343" s="15">
        <f>IFERROR(B343/B444, "NA")</f>
        <v>0.21320263233628109</v>
      </c>
      <c r="D343" s="2"/>
      <c r="E343" s="14">
        <f>IFERROR(E328+E329+E330+E331+E332+E333+E334+E335+E337+E338+E339+E340+E341, "NA")</f>
        <v>24197.77</v>
      </c>
      <c r="F343" s="15">
        <f>IFERROR(E343/E444, "NA")</f>
        <v>0.18111641012755589</v>
      </c>
      <c r="G343" s="2"/>
      <c r="H343" s="14">
        <f t="shared" si="84"/>
        <v>-323.88000000000466</v>
      </c>
      <c r="I343" s="15">
        <f>IFERROR(H343/H444, "NA")</f>
        <v>1.7424416455819706E-2</v>
      </c>
      <c r="J343" s="2"/>
      <c r="K343" s="14">
        <f>IFERROR(K328+K329+K330+K331+K332+K333+K334+K335+K337+K338+K339+K340+K341, "NA")</f>
        <v>23764.89</v>
      </c>
      <c r="L343" s="15">
        <f>IFERROR(K343/K444, "NA")</f>
        <v>0.20989409947993007</v>
      </c>
      <c r="M343" s="2"/>
      <c r="N343" s="14">
        <f t="shared" si="85"/>
        <v>-756.76000000000568</v>
      </c>
      <c r="O343" s="15">
        <f>IFERROR(N343/N444, "NA")</f>
        <v>-0.42219073228970749</v>
      </c>
      <c r="P343" s="2"/>
      <c r="Q343" s="14">
        <f>IFERROR(Q328+Q329+Q330+Q331+Q332+Q333+Q334+Q335+Q337+Q338+Q339+Q340+Q341, "NA")</f>
        <v>127106.83</v>
      </c>
      <c r="R343" s="15">
        <f>IFERROR(Q343/Q444, "NA")</f>
        <v>0.22870511298316151</v>
      </c>
      <c r="S343" s="2"/>
      <c r="T343" s="14">
        <f>IFERROR(T328+T329+T330+T331+T332+T333+T334+T335+T337+T338+T339+T340+T341, "NA")</f>
        <v>127354.20999999999</v>
      </c>
      <c r="U343" s="15">
        <f>IFERROR(T343/T444, "NA")</f>
        <v>0.22407655447772851</v>
      </c>
      <c r="V343" s="2"/>
      <c r="W343" s="14">
        <f t="shared" si="86"/>
        <v>247.3799999999901</v>
      </c>
      <c r="X343" s="15">
        <f>IFERROR(W343/W444, "NA")</f>
        <v>-1.9658280627557506E-2</v>
      </c>
      <c r="Y343" s="2"/>
      <c r="Z343" s="14">
        <f>IFERROR(Z328+Z329+Z330+Z331+Z332+Z333+Z334+Z335+Z337+Z338+Z339+Z340+Z341, "NA")</f>
        <v>124659.28999999998</v>
      </c>
      <c r="AA343" s="15">
        <f>IFERROR(Z343/Z444, "NA")</f>
        <v>0.2531792547563434</v>
      </c>
      <c r="AB343" s="2"/>
      <c r="AC343" s="14">
        <f t="shared" si="87"/>
        <v>-2447.5400000000227</v>
      </c>
      <c r="AD343" s="15">
        <f>IFERROR(AC343/AC444, "NA")</f>
        <v>-3.8609774273359737E-2</v>
      </c>
    </row>
    <row r="344" spans="1:30" ht="16.5" customHeight="1" x14ac:dyDescent="0.45">
      <c r="A344" s="21" t="s">
        <v>314</v>
      </c>
      <c r="B344" s="14">
        <f>IFERROR(B328+B329+B330+B331+B332+B333+B334+B335+B337+B338+B339+B340+B341, "NA")</f>
        <v>24521.650000000005</v>
      </c>
      <c r="C344" s="15">
        <f>IFERROR(B344/B444, "NA")</f>
        <v>0.21320263233628109</v>
      </c>
      <c r="D344" s="2"/>
      <c r="E344" s="14">
        <f>IFERROR(E328+E329+E330+E331+E332+E333+E334+E335+E337+E338+E339+E340+E341, "NA")</f>
        <v>24197.77</v>
      </c>
      <c r="F344" s="15">
        <f>IFERROR(E344/E444, "NA")</f>
        <v>0.18111641012755589</v>
      </c>
      <c r="G344" s="2"/>
      <c r="H344" s="14">
        <f t="shared" si="84"/>
        <v>-323.88000000000466</v>
      </c>
      <c r="I344" s="15">
        <f>IFERROR(H344/H444, "NA")</f>
        <v>1.7424416455819706E-2</v>
      </c>
      <c r="J344" s="2"/>
      <c r="K344" s="14">
        <f>IFERROR(K328+K329+K330+K331+K332+K333+K334+K335+K337+K338+K339+K340+K341, "NA")</f>
        <v>23764.89</v>
      </c>
      <c r="L344" s="15">
        <f>IFERROR(K344/K444, "NA")</f>
        <v>0.20989409947993007</v>
      </c>
      <c r="M344" s="2"/>
      <c r="N344" s="14">
        <f t="shared" si="85"/>
        <v>-756.76000000000568</v>
      </c>
      <c r="O344" s="15">
        <f>IFERROR(N344/N444, "NA")</f>
        <v>-0.42219073228970749</v>
      </c>
      <c r="P344" s="2"/>
      <c r="Q344" s="14">
        <f>IFERROR(Q328+Q329+Q330+Q331+Q332+Q333+Q334+Q335+Q337+Q338+Q339+Q340+Q341, "NA")</f>
        <v>127106.83</v>
      </c>
      <c r="R344" s="15">
        <f>IFERROR(Q344/Q444, "NA")</f>
        <v>0.22870511298316151</v>
      </c>
      <c r="S344" s="2"/>
      <c r="T344" s="14">
        <f>IFERROR(T328+T329+T330+T331+T332+T333+T334+T335+T337+T338+T339+T340+T341, "NA")</f>
        <v>127354.20999999999</v>
      </c>
      <c r="U344" s="15">
        <f>IFERROR(T344/T444, "NA")</f>
        <v>0.22407655447772851</v>
      </c>
      <c r="V344" s="2"/>
      <c r="W344" s="14">
        <f t="shared" si="86"/>
        <v>247.3799999999901</v>
      </c>
      <c r="X344" s="15">
        <f>IFERROR(W344/W444, "NA")</f>
        <v>-1.9658280627557506E-2</v>
      </c>
      <c r="Y344" s="2"/>
      <c r="Z344" s="14">
        <f>IFERROR(Z328+Z329+Z330+Z331+Z332+Z333+Z334+Z335+Z337+Z338+Z339+Z340+Z341, "NA")</f>
        <v>124659.28999999998</v>
      </c>
      <c r="AA344" s="15">
        <f>IFERROR(Z344/Z444, "NA")</f>
        <v>0.2531792547563434</v>
      </c>
      <c r="AB344" s="2"/>
      <c r="AC344" s="14">
        <f t="shared" si="87"/>
        <v>-2447.5400000000227</v>
      </c>
      <c r="AD344" s="15">
        <f>IFERROR(AC344/AC444, "NA")</f>
        <v>-3.8609774273359737E-2</v>
      </c>
    </row>
    <row r="345" spans="1:30" ht="16.5" customHeight="1" x14ac:dyDescent="0.45">
      <c r="A345" s="22" t="s">
        <v>315</v>
      </c>
      <c r="B345" s="23">
        <f>IFERROR(B198-B325-B344, "NA")</f>
        <v>-7524.270000000015</v>
      </c>
      <c r="C345" s="24">
        <f>IFERROR(B345/B444, "NA")</f>
        <v>-6.5419503598204545E-2</v>
      </c>
      <c r="D345" s="25"/>
      <c r="E345" s="23">
        <f>IFERROR(E198-E325-E344, "NA")</f>
        <v>15548.269999999971</v>
      </c>
      <c r="F345" s="24">
        <f>IFERROR(E345/E444, "NA")</f>
        <v>0.11637629608405932</v>
      </c>
      <c r="G345" s="25"/>
      <c r="H345" s="23">
        <f>IFERROR(B345-E345, "NA")</f>
        <v>-23072.539999999986</v>
      </c>
      <c r="I345" s="24">
        <f>IFERROR(H345/H444, "NA")</f>
        <v>1.2412793184313711</v>
      </c>
      <c r="J345" s="25"/>
      <c r="K345" s="23">
        <f>IFERROR(K198-K325-K344, "NA")</f>
        <v>3204.1800000000258</v>
      </c>
      <c r="L345" s="24">
        <f>IFERROR(K345/K444, "NA")</f>
        <v>2.8299667100146805E-2</v>
      </c>
      <c r="M345" s="25"/>
      <c r="N345" s="23">
        <f>IFERROR(B345-K345, "NA")</f>
        <v>-10728.450000000041</v>
      </c>
      <c r="O345" s="24">
        <f>IFERROR(N345/N444, "NA")</f>
        <v>-5.9853218481863415</v>
      </c>
      <c r="P345" s="25"/>
      <c r="Q345" s="23">
        <f>IFERROR(Q198-Q325-Q344, "NA")</f>
        <v>-33324.849999999904</v>
      </c>
      <c r="R345" s="24">
        <f>IFERROR(Q345/Q444, "NA")</f>
        <v>-5.9961872893823945E-2</v>
      </c>
      <c r="S345" s="25"/>
      <c r="T345" s="23">
        <f>IFERROR(T198-T325-T344, "NA")</f>
        <v>15983.040000000008</v>
      </c>
      <c r="U345" s="24">
        <f>IFERROR(T345/T444, "NA")</f>
        <v>2.8121760036670291E-2</v>
      </c>
      <c r="V345" s="25"/>
      <c r="W345" s="23">
        <f>IFERROR(Q345-T345, "NA")</f>
        <v>-49307.889999999912</v>
      </c>
      <c r="X345" s="24">
        <f>IFERROR(W345/W444, "NA")</f>
        <v>3.9182971087912262</v>
      </c>
      <c r="Y345" s="25"/>
      <c r="Z345" s="23">
        <f>IFERROR(Z198-Z325-Z344, "NA")</f>
        <v>-34206.809999999896</v>
      </c>
      <c r="AA345" s="24">
        <f>IFERROR(Z345/Z444, "NA")</f>
        <v>-6.9472998469603114E-2</v>
      </c>
      <c r="AB345" s="25"/>
      <c r="AC345" s="23">
        <f>IFERROR(Q345-Z345, "NA")</f>
        <v>881.95999999999185</v>
      </c>
      <c r="AD345" s="24">
        <f>IFERROR(AC345/AC444, "NA")</f>
        <v>1.3912858019943176E-2</v>
      </c>
    </row>
    <row r="346" spans="1:30" ht="16.5" customHeight="1" x14ac:dyDescent="0.45">
      <c r="A346" s="1" t="s">
        <v>316</v>
      </c>
      <c r="B346" s="2"/>
      <c r="C346" s="3"/>
      <c r="D346" s="4"/>
      <c r="E346" s="2"/>
      <c r="F346" s="3"/>
      <c r="G346" s="4"/>
      <c r="H346" s="2"/>
      <c r="I346" s="3"/>
      <c r="J346" s="4"/>
      <c r="K346" s="2"/>
      <c r="L346" s="3"/>
      <c r="M346" s="4"/>
      <c r="N346" s="2"/>
      <c r="O346" s="3"/>
      <c r="P346" s="4"/>
      <c r="Q346" s="2"/>
      <c r="R346" s="3"/>
      <c r="S346" s="4"/>
      <c r="T346" s="2"/>
      <c r="U346" s="3"/>
      <c r="V346" s="4"/>
      <c r="W346" s="2"/>
      <c r="X346" s="3"/>
      <c r="Y346" s="4"/>
      <c r="Z346" s="2"/>
      <c r="AA346" s="3"/>
      <c r="AB346" s="4"/>
      <c r="AC346" s="2"/>
      <c r="AD346" s="3"/>
    </row>
    <row r="347" spans="1:30" ht="16.5" hidden="1" customHeight="1" x14ac:dyDescent="0.45">
      <c r="A347" s="20" t="s">
        <v>317</v>
      </c>
      <c r="B347" s="7">
        <v>0</v>
      </c>
      <c r="C347" s="8">
        <f>IFERROR(B347/B444, "NA")</f>
        <v>0</v>
      </c>
      <c r="D347" s="9"/>
      <c r="E347" s="7">
        <v>0</v>
      </c>
      <c r="F347" s="8">
        <f>IFERROR(E347/E444, "NA")</f>
        <v>0</v>
      </c>
      <c r="G347" s="9"/>
      <c r="H347" s="10">
        <f>IFERROR(-(B347-E347), "NA")</f>
        <v>0</v>
      </c>
      <c r="I347" s="8">
        <f>IFERROR(H347/H444, "NA")</f>
        <v>0</v>
      </c>
      <c r="J347" s="9"/>
      <c r="K347" s="7">
        <v>0</v>
      </c>
      <c r="L347" s="8">
        <f>IFERROR(K347/K444, "NA")</f>
        <v>0</v>
      </c>
      <c r="M347" s="9"/>
      <c r="N347" s="10">
        <f>IFERROR(-(B347-K347), "NA")</f>
        <v>0</v>
      </c>
      <c r="O347" s="8">
        <f>IFERROR(N347/N444, "NA")</f>
        <v>0</v>
      </c>
      <c r="P347" s="9"/>
      <c r="Q347" s="7">
        <v>0</v>
      </c>
      <c r="R347" s="8">
        <f>IFERROR(Q347/Q444, "NA")</f>
        <v>0</v>
      </c>
      <c r="S347" s="9"/>
      <c r="T347" s="7">
        <v>0</v>
      </c>
      <c r="U347" s="8">
        <f>IFERROR(T347/T444, "NA")</f>
        <v>0</v>
      </c>
      <c r="V347" s="9"/>
      <c r="W347" s="10">
        <f>IFERROR(-(Q347-T347), "NA")</f>
        <v>0</v>
      </c>
      <c r="X347" s="8">
        <f>IFERROR(W347/W444, "NA")</f>
        <v>0</v>
      </c>
      <c r="Y347" s="9"/>
      <c r="Z347" s="7">
        <v>0</v>
      </c>
      <c r="AA347" s="8">
        <f>IFERROR(Z347/Z444, "NA")</f>
        <v>0</v>
      </c>
      <c r="AB347" s="9"/>
      <c r="AC347" s="10">
        <f>IFERROR(-(Q347-Z347), "NA")</f>
        <v>0</v>
      </c>
      <c r="AD347" s="8">
        <f>IFERROR(AC347/AC444, "NA")</f>
        <v>0</v>
      </c>
    </row>
    <row r="348" spans="1:30" ht="16.5" customHeight="1" x14ac:dyDescent="0.45">
      <c r="A348" s="5" t="s">
        <v>318</v>
      </c>
      <c r="B348" s="2"/>
      <c r="C348" s="3"/>
      <c r="D348" s="4"/>
      <c r="E348" s="2"/>
      <c r="F348" s="3"/>
      <c r="G348" s="4"/>
      <c r="H348" s="2"/>
      <c r="I348" s="3"/>
      <c r="J348" s="4"/>
      <c r="K348" s="2"/>
      <c r="L348" s="3"/>
      <c r="M348" s="4"/>
      <c r="N348" s="2"/>
      <c r="O348" s="3"/>
      <c r="P348" s="4"/>
      <c r="Q348" s="2"/>
      <c r="R348" s="3"/>
      <c r="S348" s="4"/>
      <c r="T348" s="2"/>
      <c r="U348" s="3"/>
      <c r="V348" s="4"/>
      <c r="W348" s="2"/>
      <c r="X348" s="3"/>
      <c r="Y348" s="4"/>
      <c r="Z348" s="2"/>
      <c r="AA348" s="3"/>
      <c r="AB348" s="4"/>
      <c r="AC348" s="2"/>
      <c r="AD348" s="3"/>
    </row>
    <row r="349" spans="1:30" ht="16.5" hidden="1" customHeight="1" x14ac:dyDescent="0.45">
      <c r="A349" s="6" t="s">
        <v>318</v>
      </c>
      <c r="B349" s="7">
        <v>0</v>
      </c>
      <c r="C349" s="8">
        <f>IFERROR(B349/B444, "NA")</f>
        <v>0</v>
      </c>
      <c r="D349" s="9"/>
      <c r="E349" s="7">
        <v>0</v>
      </c>
      <c r="F349" s="8">
        <f>IFERROR(E349/E444, "NA")</f>
        <v>0</v>
      </c>
      <c r="G349" s="9"/>
      <c r="H349" s="10">
        <f t="shared" ref="H349:H358" si="88">IFERROR(-(B349-E349), "NA")</f>
        <v>0</v>
      </c>
      <c r="I349" s="8">
        <f>IFERROR(H349/H444, "NA")</f>
        <v>0</v>
      </c>
      <c r="J349" s="9"/>
      <c r="K349" s="7">
        <v>0</v>
      </c>
      <c r="L349" s="8">
        <f>IFERROR(K349/K444, "NA")</f>
        <v>0</v>
      </c>
      <c r="M349" s="9"/>
      <c r="N349" s="10">
        <f t="shared" ref="N349:N358" si="89">IFERROR(-(B349-K349), "NA")</f>
        <v>0</v>
      </c>
      <c r="O349" s="8">
        <f>IFERROR(N349/N444, "NA")</f>
        <v>0</v>
      </c>
      <c r="P349" s="9"/>
      <c r="Q349" s="7">
        <v>0</v>
      </c>
      <c r="R349" s="8">
        <f>IFERROR(Q349/Q444, "NA")</f>
        <v>0</v>
      </c>
      <c r="S349" s="9"/>
      <c r="T349" s="7">
        <v>0</v>
      </c>
      <c r="U349" s="8">
        <f>IFERROR(T349/T444, "NA")</f>
        <v>0</v>
      </c>
      <c r="V349" s="9"/>
      <c r="W349" s="10">
        <f t="shared" ref="W349:W358" si="90">IFERROR(-(Q349-T349), "NA")</f>
        <v>0</v>
      </c>
      <c r="X349" s="8">
        <f>IFERROR(W349/W444, "NA")</f>
        <v>0</v>
      </c>
      <c r="Y349" s="9"/>
      <c r="Z349" s="7">
        <v>0</v>
      </c>
      <c r="AA349" s="8">
        <f>IFERROR(Z349/Z444, "NA")</f>
        <v>0</v>
      </c>
      <c r="AB349" s="9"/>
      <c r="AC349" s="10">
        <f t="shared" ref="AC349:AC358" si="91">IFERROR(-(Q349-Z349), "NA")</f>
        <v>0</v>
      </c>
      <c r="AD349" s="8">
        <f>IFERROR(AC349/AC444, "NA")</f>
        <v>0</v>
      </c>
    </row>
    <row r="350" spans="1:30" ht="16.5" hidden="1" customHeight="1" x14ac:dyDescent="0.45">
      <c r="A350" s="6" t="s">
        <v>319</v>
      </c>
      <c r="B350" s="7">
        <v>0</v>
      </c>
      <c r="C350" s="8">
        <f>IFERROR(B350/B444, "NA")</f>
        <v>0</v>
      </c>
      <c r="D350" s="9"/>
      <c r="E350" s="7">
        <v>0</v>
      </c>
      <c r="F350" s="8">
        <f>IFERROR(E350/E444, "NA")</f>
        <v>0</v>
      </c>
      <c r="G350" s="9"/>
      <c r="H350" s="10">
        <f t="shared" si="88"/>
        <v>0</v>
      </c>
      <c r="I350" s="8">
        <f>IFERROR(H350/H444, "NA")</f>
        <v>0</v>
      </c>
      <c r="J350" s="9"/>
      <c r="K350" s="7">
        <v>0</v>
      </c>
      <c r="L350" s="8">
        <f>IFERROR(K350/K444, "NA")</f>
        <v>0</v>
      </c>
      <c r="M350" s="9"/>
      <c r="N350" s="10">
        <f t="shared" si="89"/>
        <v>0</v>
      </c>
      <c r="O350" s="8">
        <f>IFERROR(N350/N444, "NA")</f>
        <v>0</v>
      </c>
      <c r="P350" s="9"/>
      <c r="Q350" s="7">
        <v>0</v>
      </c>
      <c r="R350" s="8">
        <f>IFERROR(Q350/Q444, "NA")</f>
        <v>0</v>
      </c>
      <c r="S350" s="9"/>
      <c r="T350" s="7">
        <v>0</v>
      </c>
      <c r="U350" s="8">
        <f>IFERROR(T350/T444, "NA")</f>
        <v>0</v>
      </c>
      <c r="V350" s="9"/>
      <c r="W350" s="10">
        <f t="shared" si="90"/>
        <v>0</v>
      </c>
      <c r="X350" s="8">
        <f>IFERROR(W350/W444, "NA")</f>
        <v>0</v>
      </c>
      <c r="Y350" s="9"/>
      <c r="Z350" s="7">
        <v>0</v>
      </c>
      <c r="AA350" s="8">
        <f>IFERROR(Z350/Z444, "NA")</f>
        <v>0</v>
      </c>
      <c r="AB350" s="9"/>
      <c r="AC350" s="10">
        <f t="shared" si="91"/>
        <v>0</v>
      </c>
      <c r="AD350" s="8">
        <f>IFERROR(AC350/AC444, "NA")</f>
        <v>0</v>
      </c>
    </row>
    <row r="351" spans="1:30" ht="16.5" hidden="1" customHeight="1" x14ac:dyDescent="0.45">
      <c r="A351" s="6" t="s">
        <v>320</v>
      </c>
      <c r="B351" s="7">
        <v>0</v>
      </c>
      <c r="C351" s="8">
        <f>IFERROR(B351/B444, "NA")</f>
        <v>0</v>
      </c>
      <c r="D351" s="9"/>
      <c r="E351" s="7">
        <v>0</v>
      </c>
      <c r="F351" s="8">
        <f>IFERROR(E351/E444, "NA")</f>
        <v>0</v>
      </c>
      <c r="G351" s="9"/>
      <c r="H351" s="10">
        <f t="shared" si="88"/>
        <v>0</v>
      </c>
      <c r="I351" s="8">
        <f>IFERROR(H351/H444, "NA")</f>
        <v>0</v>
      </c>
      <c r="J351" s="9"/>
      <c r="K351" s="7">
        <v>0</v>
      </c>
      <c r="L351" s="8">
        <f>IFERROR(K351/K444, "NA")</f>
        <v>0</v>
      </c>
      <c r="M351" s="9"/>
      <c r="N351" s="10">
        <f t="shared" si="89"/>
        <v>0</v>
      </c>
      <c r="O351" s="8">
        <f>IFERROR(N351/N444, "NA")</f>
        <v>0</v>
      </c>
      <c r="P351" s="9"/>
      <c r="Q351" s="7">
        <v>0</v>
      </c>
      <c r="R351" s="8">
        <f>IFERROR(Q351/Q444, "NA")</f>
        <v>0</v>
      </c>
      <c r="S351" s="9"/>
      <c r="T351" s="7">
        <v>0</v>
      </c>
      <c r="U351" s="8">
        <f>IFERROR(T351/T444, "NA")</f>
        <v>0</v>
      </c>
      <c r="V351" s="9"/>
      <c r="W351" s="10">
        <f t="shared" si="90"/>
        <v>0</v>
      </c>
      <c r="X351" s="8">
        <f>IFERROR(W351/W444, "NA")</f>
        <v>0</v>
      </c>
      <c r="Y351" s="9"/>
      <c r="Z351" s="7">
        <v>0</v>
      </c>
      <c r="AA351" s="8">
        <f>IFERROR(Z351/Z444, "NA")</f>
        <v>0</v>
      </c>
      <c r="AB351" s="9"/>
      <c r="AC351" s="10">
        <f t="shared" si="91"/>
        <v>0</v>
      </c>
      <c r="AD351" s="8">
        <f>IFERROR(AC351/AC444, "NA")</f>
        <v>0</v>
      </c>
    </row>
    <row r="352" spans="1:30" ht="16.5" hidden="1" customHeight="1" x14ac:dyDescent="0.45">
      <c r="A352" s="6" t="s">
        <v>321</v>
      </c>
      <c r="B352" s="7">
        <v>0</v>
      </c>
      <c r="C352" s="8">
        <f>IFERROR(B352/B444, "NA")</f>
        <v>0</v>
      </c>
      <c r="D352" s="9"/>
      <c r="E352" s="7">
        <v>0</v>
      </c>
      <c r="F352" s="8">
        <f>IFERROR(E352/E444, "NA")</f>
        <v>0</v>
      </c>
      <c r="G352" s="9"/>
      <c r="H352" s="10">
        <f t="shared" si="88"/>
        <v>0</v>
      </c>
      <c r="I352" s="8">
        <f>IFERROR(H352/H444, "NA")</f>
        <v>0</v>
      </c>
      <c r="J352" s="9"/>
      <c r="K352" s="7">
        <v>0</v>
      </c>
      <c r="L352" s="8">
        <f>IFERROR(K352/K444, "NA")</f>
        <v>0</v>
      </c>
      <c r="M352" s="9"/>
      <c r="N352" s="10">
        <f t="shared" si="89"/>
        <v>0</v>
      </c>
      <c r="O352" s="8">
        <f>IFERROR(N352/N444, "NA")</f>
        <v>0</v>
      </c>
      <c r="P352" s="9"/>
      <c r="Q352" s="7">
        <v>0</v>
      </c>
      <c r="R352" s="8">
        <f>IFERROR(Q352/Q444, "NA")</f>
        <v>0</v>
      </c>
      <c r="S352" s="9"/>
      <c r="T352" s="7">
        <v>0</v>
      </c>
      <c r="U352" s="8">
        <f>IFERROR(T352/T444, "NA")</f>
        <v>0</v>
      </c>
      <c r="V352" s="9"/>
      <c r="W352" s="10">
        <f t="shared" si="90"/>
        <v>0</v>
      </c>
      <c r="X352" s="8">
        <f>IFERROR(W352/W444, "NA")</f>
        <v>0</v>
      </c>
      <c r="Y352" s="9"/>
      <c r="Z352" s="7">
        <v>0</v>
      </c>
      <c r="AA352" s="8">
        <f>IFERROR(Z352/Z444, "NA")</f>
        <v>0</v>
      </c>
      <c r="AB352" s="9"/>
      <c r="AC352" s="10">
        <f t="shared" si="91"/>
        <v>0</v>
      </c>
      <c r="AD352" s="8">
        <f>IFERROR(AC352/AC444, "NA")</f>
        <v>0</v>
      </c>
    </row>
    <row r="353" spans="1:30" ht="16.5" hidden="1" customHeight="1" x14ac:dyDescent="0.45">
      <c r="A353" s="6" t="s">
        <v>322</v>
      </c>
      <c r="B353" s="7">
        <v>0</v>
      </c>
      <c r="C353" s="8">
        <f>IFERROR(B353/B444, "NA")</f>
        <v>0</v>
      </c>
      <c r="D353" s="9"/>
      <c r="E353" s="7">
        <v>0</v>
      </c>
      <c r="F353" s="8">
        <f>IFERROR(E353/E444, "NA")</f>
        <v>0</v>
      </c>
      <c r="G353" s="9"/>
      <c r="H353" s="10">
        <f t="shared" si="88"/>
        <v>0</v>
      </c>
      <c r="I353" s="8">
        <f>IFERROR(H353/H444, "NA")</f>
        <v>0</v>
      </c>
      <c r="J353" s="9"/>
      <c r="K353" s="7">
        <v>0</v>
      </c>
      <c r="L353" s="8">
        <f>IFERROR(K353/K444, "NA")</f>
        <v>0</v>
      </c>
      <c r="M353" s="9"/>
      <c r="N353" s="10">
        <f t="shared" si="89"/>
        <v>0</v>
      </c>
      <c r="O353" s="8">
        <f>IFERROR(N353/N444, "NA")</f>
        <v>0</v>
      </c>
      <c r="P353" s="9"/>
      <c r="Q353" s="7">
        <v>0</v>
      </c>
      <c r="R353" s="8">
        <f>IFERROR(Q353/Q444, "NA")</f>
        <v>0</v>
      </c>
      <c r="S353" s="9"/>
      <c r="T353" s="7">
        <v>0</v>
      </c>
      <c r="U353" s="8">
        <f>IFERROR(T353/T444, "NA")</f>
        <v>0</v>
      </c>
      <c r="V353" s="9"/>
      <c r="W353" s="10">
        <f t="shared" si="90"/>
        <v>0</v>
      </c>
      <c r="X353" s="8">
        <f>IFERROR(W353/W444, "NA")</f>
        <v>0</v>
      </c>
      <c r="Y353" s="9"/>
      <c r="Z353" s="7">
        <v>0</v>
      </c>
      <c r="AA353" s="8">
        <f>IFERROR(Z353/Z444, "NA")</f>
        <v>0</v>
      </c>
      <c r="AB353" s="9"/>
      <c r="AC353" s="10">
        <f t="shared" si="91"/>
        <v>0</v>
      </c>
      <c r="AD353" s="8">
        <f>IFERROR(AC353/AC444, "NA")</f>
        <v>0</v>
      </c>
    </row>
    <row r="354" spans="1:30" ht="16.5" hidden="1" customHeight="1" x14ac:dyDescent="0.45">
      <c r="A354" s="6" t="s">
        <v>323</v>
      </c>
      <c r="B354" s="7">
        <v>0</v>
      </c>
      <c r="C354" s="8">
        <f>IFERROR(B354/B444, "NA")</f>
        <v>0</v>
      </c>
      <c r="D354" s="9"/>
      <c r="E354" s="7">
        <v>0</v>
      </c>
      <c r="F354" s="8">
        <f>IFERROR(E354/E444, "NA")</f>
        <v>0</v>
      </c>
      <c r="G354" s="9"/>
      <c r="H354" s="10">
        <f t="shared" si="88"/>
        <v>0</v>
      </c>
      <c r="I354" s="8">
        <f>IFERROR(H354/H444, "NA")</f>
        <v>0</v>
      </c>
      <c r="J354" s="9"/>
      <c r="K354" s="7">
        <v>0</v>
      </c>
      <c r="L354" s="8">
        <f>IFERROR(K354/K444, "NA")</f>
        <v>0</v>
      </c>
      <c r="M354" s="9"/>
      <c r="N354" s="10">
        <f t="shared" si="89"/>
        <v>0</v>
      </c>
      <c r="O354" s="8">
        <f>IFERROR(N354/N444, "NA")</f>
        <v>0</v>
      </c>
      <c r="P354" s="9"/>
      <c r="Q354" s="7">
        <v>0</v>
      </c>
      <c r="R354" s="8">
        <f>IFERROR(Q354/Q444, "NA")</f>
        <v>0</v>
      </c>
      <c r="S354" s="9"/>
      <c r="T354" s="7">
        <v>0</v>
      </c>
      <c r="U354" s="8">
        <f>IFERROR(T354/T444, "NA")</f>
        <v>0</v>
      </c>
      <c r="V354" s="9"/>
      <c r="W354" s="10">
        <f t="shared" si="90"/>
        <v>0</v>
      </c>
      <c r="X354" s="8">
        <f>IFERROR(W354/W444, "NA")</f>
        <v>0</v>
      </c>
      <c r="Y354" s="9"/>
      <c r="Z354" s="7">
        <v>0</v>
      </c>
      <c r="AA354" s="8">
        <f>IFERROR(Z354/Z444, "NA")</f>
        <v>0</v>
      </c>
      <c r="AB354" s="9"/>
      <c r="AC354" s="10">
        <f t="shared" si="91"/>
        <v>0</v>
      </c>
      <c r="AD354" s="8">
        <f>IFERROR(AC354/AC444, "NA")</f>
        <v>0</v>
      </c>
    </row>
    <row r="355" spans="1:30" ht="16.5" hidden="1" customHeight="1" x14ac:dyDescent="0.45">
      <c r="A355" s="6" t="s">
        <v>324</v>
      </c>
      <c r="B355" s="7">
        <v>0</v>
      </c>
      <c r="C355" s="8">
        <f>IFERROR(B355/B444, "NA")</f>
        <v>0</v>
      </c>
      <c r="D355" s="9"/>
      <c r="E355" s="7">
        <v>0</v>
      </c>
      <c r="F355" s="8">
        <f>IFERROR(E355/E444, "NA")</f>
        <v>0</v>
      </c>
      <c r="G355" s="9"/>
      <c r="H355" s="10">
        <f t="shared" si="88"/>
        <v>0</v>
      </c>
      <c r="I355" s="8">
        <f>IFERROR(H355/H444, "NA")</f>
        <v>0</v>
      </c>
      <c r="J355" s="9"/>
      <c r="K355" s="7">
        <v>0</v>
      </c>
      <c r="L355" s="8">
        <f>IFERROR(K355/K444, "NA")</f>
        <v>0</v>
      </c>
      <c r="M355" s="9"/>
      <c r="N355" s="10">
        <f t="shared" si="89"/>
        <v>0</v>
      </c>
      <c r="O355" s="8">
        <f>IFERROR(N355/N444, "NA")</f>
        <v>0</v>
      </c>
      <c r="P355" s="9"/>
      <c r="Q355" s="7">
        <v>0</v>
      </c>
      <c r="R355" s="8">
        <f>IFERROR(Q355/Q444, "NA")</f>
        <v>0</v>
      </c>
      <c r="S355" s="9"/>
      <c r="T355" s="7">
        <v>0</v>
      </c>
      <c r="U355" s="8">
        <f>IFERROR(T355/T444, "NA")</f>
        <v>0</v>
      </c>
      <c r="V355" s="9"/>
      <c r="W355" s="10">
        <f t="shared" si="90"/>
        <v>0</v>
      </c>
      <c r="X355" s="8">
        <f>IFERROR(W355/W444, "NA")</f>
        <v>0</v>
      </c>
      <c r="Y355" s="9"/>
      <c r="Z355" s="7">
        <v>0</v>
      </c>
      <c r="AA355" s="8">
        <f>IFERROR(Z355/Z444, "NA")</f>
        <v>0</v>
      </c>
      <c r="AB355" s="9"/>
      <c r="AC355" s="10">
        <f t="shared" si="91"/>
        <v>0</v>
      </c>
      <c r="AD355" s="8">
        <f>IFERROR(AC355/AC444, "NA")</f>
        <v>0</v>
      </c>
    </row>
    <row r="356" spans="1:30" ht="16.5" hidden="1" customHeight="1" x14ac:dyDescent="0.45">
      <c r="A356" s="6" t="s">
        <v>325</v>
      </c>
      <c r="B356" s="7">
        <v>0</v>
      </c>
      <c r="C356" s="8">
        <f>IFERROR(B356/B444, "NA")</f>
        <v>0</v>
      </c>
      <c r="D356" s="9"/>
      <c r="E356" s="7">
        <v>0</v>
      </c>
      <c r="F356" s="8">
        <f>IFERROR(E356/E444, "NA")</f>
        <v>0</v>
      </c>
      <c r="G356" s="9"/>
      <c r="H356" s="10">
        <f t="shared" si="88"/>
        <v>0</v>
      </c>
      <c r="I356" s="8">
        <f>IFERROR(H356/H444, "NA")</f>
        <v>0</v>
      </c>
      <c r="J356" s="9"/>
      <c r="K356" s="7">
        <v>0</v>
      </c>
      <c r="L356" s="8">
        <f>IFERROR(K356/K444, "NA")</f>
        <v>0</v>
      </c>
      <c r="M356" s="9"/>
      <c r="N356" s="10">
        <f t="shared" si="89"/>
        <v>0</v>
      </c>
      <c r="O356" s="8">
        <f>IFERROR(N356/N444, "NA")</f>
        <v>0</v>
      </c>
      <c r="P356" s="9"/>
      <c r="Q356" s="7">
        <v>0</v>
      </c>
      <c r="R356" s="8">
        <f>IFERROR(Q356/Q444, "NA")</f>
        <v>0</v>
      </c>
      <c r="S356" s="9"/>
      <c r="T356" s="7">
        <v>0</v>
      </c>
      <c r="U356" s="8">
        <f>IFERROR(T356/T444, "NA")</f>
        <v>0</v>
      </c>
      <c r="V356" s="9"/>
      <c r="W356" s="10">
        <f t="shared" si="90"/>
        <v>0</v>
      </c>
      <c r="X356" s="8">
        <f>IFERROR(W356/W444, "NA")</f>
        <v>0</v>
      </c>
      <c r="Y356" s="9"/>
      <c r="Z356" s="7">
        <v>0</v>
      </c>
      <c r="AA356" s="8">
        <f>IFERROR(Z356/Z444, "NA")</f>
        <v>0</v>
      </c>
      <c r="AB356" s="9"/>
      <c r="AC356" s="10">
        <f t="shared" si="91"/>
        <v>0</v>
      </c>
      <c r="AD356" s="8">
        <f>IFERROR(AC356/AC444, "NA")</f>
        <v>0</v>
      </c>
    </row>
    <row r="357" spans="1:30" ht="16.5" hidden="1" customHeight="1" x14ac:dyDescent="0.45">
      <c r="A357" s="6" t="s">
        <v>326</v>
      </c>
      <c r="B357" s="7">
        <v>0</v>
      </c>
      <c r="C357" s="8">
        <f>IFERROR(B357/B444, "NA")</f>
        <v>0</v>
      </c>
      <c r="D357" s="9"/>
      <c r="E357" s="7">
        <v>0</v>
      </c>
      <c r="F357" s="8">
        <f>IFERROR(E357/E444, "NA")</f>
        <v>0</v>
      </c>
      <c r="G357" s="9"/>
      <c r="H357" s="10">
        <f t="shared" si="88"/>
        <v>0</v>
      </c>
      <c r="I357" s="8">
        <f>IFERROR(H357/H444, "NA")</f>
        <v>0</v>
      </c>
      <c r="J357" s="9"/>
      <c r="K357" s="7">
        <v>0</v>
      </c>
      <c r="L357" s="8">
        <f>IFERROR(K357/K444, "NA")</f>
        <v>0</v>
      </c>
      <c r="M357" s="9"/>
      <c r="N357" s="10">
        <f t="shared" si="89"/>
        <v>0</v>
      </c>
      <c r="O357" s="8">
        <f>IFERROR(N357/N444, "NA")</f>
        <v>0</v>
      </c>
      <c r="P357" s="9"/>
      <c r="Q357" s="7">
        <v>0</v>
      </c>
      <c r="R357" s="8">
        <f>IFERROR(Q357/Q444, "NA")</f>
        <v>0</v>
      </c>
      <c r="S357" s="9"/>
      <c r="T357" s="7">
        <v>0</v>
      </c>
      <c r="U357" s="8">
        <f>IFERROR(T357/T444, "NA")</f>
        <v>0</v>
      </c>
      <c r="V357" s="9"/>
      <c r="W357" s="10">
        <f t="shared" si="90"/>
        <v>0</v>
      </c>
      <c r="X357" s="8">
        <f>IFERROR(W357/W444, "NA")</f>
        <v>0</v>
      </c>
      <c r="Y357" s="9"/>
      <c r="Z357" s="7">
        <v>0</v>
      </c>
      <c r="AA357" s="8">
        <f>IFERROR(Z357/Z444, "NA")</f>
        <v>0</v>
      </c>
      <c r="AB357" s="9"/>
      <c r="AC357" s="10">
        <f t="shared" si="91"/>
        <v>0</v>
      </c>
      <c r="AD357" s="8">
        <f>IFERROR(AC357/AC444, "NA")</f>
        <v>0</v>
      </c>
    </row>
    <row r="358" spans="1:30" ht="16.5" customHeight="1" x14ac:dyDescent="0.45">
      <c r="A358" s="19" t="s">
        <v>327</v>
      </c>
      <c r="B358" s="14">
        <f>IFERROR(B349+B350+B351+B352+B353+B354+B355+B356+B357, "NA")</f>
        <v>0</v>
      </c>
      <c r="C358" s="15">
        <f>IFERROR(B358/B444, "NA")</f>
        <v>0</v>
      </c>
      <c r="D358" s="2"/>
      <c r="E358" s="14">
        <f>IFERROR(E349+E350+E351+E352+E353+E354+E355+E356+E357, "NA")</f>
        <v>0</v>
      </c>
      <c r="F358" s="15">
        <f>IFERROR(E358/E444, "NA")</f>
        <v>0</v>
      </c>
      <c r="G358" s="2"/>
      <c r="H358" s="14">
        <f t="shared" si="88"/>
        <v>0</v>
      </c>
      <c r="I358" s="15">
        <f>IFERROR(H358/H444, "NA")</f>
        <v>0</v>
      </c>
      <c r="J358" s="2"/>
      <c r="K358" s="14">
        <f>IFERROR(K349+K350+K351+K352+K353+K354+K355+K356+K357, "NA")</f>
        <v>0</v>
      </c>
      <c r="L358" s="15">
        <f>IFERROR(K358/K444, "NA")</f>
        <v>0</v>
      </c>
      <c r="M358" s="2"/>
      <c r="N358" s="14">
        <f t="shared" si="89"/>
        <v>0</v>
      </c>
      <c r="O358" s="15">
        <f>IFERROR(N358/N444, "NA")</f>
        <v>0</v>
      </c>
      <c r="P358" s="2"/>
      <c r="Q358" s="14">
        <f>IFERROR(Q349+Q350+Q351+Q352+Q353+Q354+Q355+Q356+Q357, "NA")</f>
        <v>0</v>
      </c>
      <c r="R358" s="15">
        <f>IFERROR(Q358/Q444, "NA")</f>
        <v>0</v>
      </c>
      <c r="S358" s="2"/>
      <c r="T358" s="14">
        <f>IFERROR(T349+T350+T351+T352+T353+T354+T355+T356+T357, "NA")</f>
        <v>0</v>
      </c>
      <c r="U358" s="15">
        <f>IFERROR(T358/T444, "NA")</f>
        <v>0</v>
      </c>
      <c r="V358" s="2"/>
      <c r="W358" s="14">
        <f t="shared" si="90"/>
        <v>0</v>
      </c>
      <c r="X358" s="15">
        <f>IFERROR(W358/W444, "NA")</f>
        <v>0</v>
      </c>
      <c r="Y358" s="2"/>
      <c r="Z358" s="14">
        <f>IFERROR(Z349+Z350+Z351+Z352+Z353+Z354+Z355+Z356+Z357, "NA")</f>
        <v>0</v>
      </c>
      <c r="AA358" s="15">
        <f>IFERROR(Z358/Z444, "NA")</f>
        <v>0</v>
      </c>
      <c r="AB358" s="2"/>
      <c r="AC358" s="14">
        <f t="shared" si="91"/>
        <v>0</v>
      </c>
      <c r="AD358" s="15">
        <f>IFERROR(AC358/AC444, "NA")</f>
        <v>0</v>
      </c>
    </row>
    <row r="359" spans="1:30" ht="16.5" customHeight="1" x14ac:dyDescent="0.45">
      <c r="A359" s="5" t="s">
        <v>328</v>
      </c>
      <c r="B359" s="2"/>
      <c r="C359" s="3"/>
      <c r="D359" s="4"/>
      <c r="E359" s="2"/>
      <c r="F359" s="3"/>
      <c r="G359" s="4"/>
      <c r="H359" s="2"/>
      <c r="I359" s="3"/>
      <c r="J359" s="4"/>
      <c r="K359" s="2"/>
      <c r="L359" s="3"/>
      <c r="M359" s="4"/>
      <c r="N359" s="2"/>
      <c r="O359" s="3"/>
      <c r="P359" s="4"/>
      <c r="Q359" s="2"/>
      <c r="R359" s="3"/>
      <c r="S359" s="4"/>
      <c r="T359" s="2"/>
      <c r="U359" s="3"/>
      <c r="V359" s="4"/>
      <c r="W359" s="2"/>
      <c r="X359" s="3"/>
      <c r="Y359" s="4"/>
      <c r="Z359" s="2"/>
      <c r="AA359" s="3"/>
      <c r="AB359" s="4"/>
      <c r="AC359" s="2"/>
      <c r="AD359" s="3"/>
    </row>
    <row r="360" spans="1:30" ht="16.5" hidden="1" customHeight="1" x14ac:dyDescent="0.45">
      <c r="A360" s="6" t="s">
        <v>328</v>
      </c>
      <c r="B360" s="7">
        <v>0</v>
      </c>
      <c r="C360" s="8">
        <f>IFERROR(B360/B444, "NA")</f>
        <v>0</v>
      </c>
      <c r="D360" s="9"/>
      <c r="E360" s="7">
        <v>0</v>
      </c>
      <c r="F360" s="8">
        <f>IFERROR(E360/E444, "NA")</f>
        <v>0</v>
      </c>
      <c r="G360" s="9"/>
      <c r="H360" s="10">
        <f t="shared" ref="H360:H383" si="92">IFERROR(-(B360-E360), "NA")</f>
        <v>0</v>
      </c>
      <c r="I360" s="8">
        <f>IFERROR(H360/H444, "NA")</f>
        <v>0</v>
      </c>
      <c r="J360" s="9"/>
      <c r="K360" s="7">
        <v>0</v>
      </c>
      <c r="L360" s="8">
        <f>IFERROR(K360/K444, "NA")</f>
        <v>0</v>
      </c>
      <c r="M360" s="9"/>
      <c r="N360" s="10">
        <f t="shared" ref="N360:N383" si="93">IFERROR(-(B360-K360), "NA")</f>
        <v>0</v>
      </c>
      <c r="O360" s="8">
        <f>IFERROR(N360/N444, "NA")</f>
        <v>0</v>
      </c>
      <c r="P360" s="9"/>
      <c r="Q360" s="7">
        <v>0</v>
      </c>
      <c r="R360" s="8">
        <f>IFERROR(Q360/Q444, "NA")</f>
        <v>0</v>
      </c>
      <c r="S360" s="9"/>
      <c r="T360" s="7">
        <v>0</v>
      </c>
      <c r="U360" s="8">
        <f>IFERROR(T360/T444, "NA")</f>
        <v>0</v>
      </c>
      <c r="V360" s="9"/>
      <c r="W360" s="10">
        <f t="shared" ref="W360:W383" si="94">IFERROR(-(Q360-T360), "NA")</f>
        <v>0</v>
      </c>
      <c r="X360" s="8">
        <f>IFERROR(W360/W444, "NA")</f>
        <v>0</v>
      </c>
      <c r="Y360" s="9"/>
      <c r="Z360" s="7">
        <v>0</v>
      </c>
      <c r="AA360" s="8">
        <f>IFERROR(Z360/Z444, "NA")</f>
        <v>0</v>
      </c>
      <c r="AB360" s="9"/>
      <c r="AC360" s="10">
        <f t="shared" ref="AC360:AC383" si="95">IFERROR(-(Q360-Z360), "NA")</f>
        <v>0</v>
      </c>
      <c r="AD360" s="8">
        <f>IFERROR(AC360/AC444, "NA")</f>
        <v>0</v>
      </c>
    </row>
    <row r="361" spans="1:30" ht="16.5" hidden="1" customHeight="1" x14ac:dyDescent="0.45">
      <c r="A361" s="6" t="s">
        <v>329</v>
      </c>
      <c r="B361" s="7">
        <v>0</v>
      </c>
      <c r="C361" s="8">
        <f>IFERROR(B361/B444, "NA")</f>
        <v>0</v>
      </c>
      <c r="D361" s="9"/>
      <c r="E361" s="7">
        <v>0</v>
      </c>
      <c r="F361" s="8">
        <f>IFERROR(E361/E444, "NA")</f>
        <v>0</v>
      </c>
      <c r="G361" s="9"/>
      <c r="H361" s="10">
        <f t="shared" si="92"/>
        <v>0</v>
      </c>
      <c r="I361" s="8">
        <f>IFERROR(H361/H444, "NA")</f>
        <v>0</v>
      </c>
      <c r="J361" s="9"/>
      <c r="K361" s="7">
        <v>0</v>
      </c>
      <c r="L361" s="8">
        <f>IFERROR(K361/K444, "NA")</f>
        <v>0</v>
      </c>
      <c r="M361" s="9"/>
      <c r="N361" s="10">
        <f t="shared" si="93"/>
        <v>0</v>
      </c>
      <c r="O361" s="8">
        <f>IFERROR(N361/N444, "NA")</f>
        <v>0</v>
      </c>
      <c r="P361" s="9"/>
      <c r="Q361" s="7">
        <v>0</v>
      </c>
      <c r="R361" s="8">
        <f>IFERROR(Q361/Q444, "NA")</f>
        <v>0</v>
      </c>
      <c r="S361" s="9"/>
      <c r="T361" s="7">
        <v>0</v>
      </c>
      <c r="U361" s="8">
        <f>IFERROR(T361/T444, "NA")</f>
        <v>0</v>
      </c>
      <c r="V361" s="9"/>
      <c r="W361" s="10">
        <f t="shared" si="94"/>
        <v>0</v>
      </c>
      <c r="X361" s="8">
        <f>IFERROR(W361/W444, "NA")</f>
        <v>0</v>
      </c>
      <c r="Y361" s="9"/>
      <c r="Z361" s="7">
        <v>0</v>
      </c>
      <c r="AA361" s="8">
        <f>IFERROR(Z361/Z444, "NA")</f>
        <v>0</v>
      </c>
      <c r="AB361" s="9"/>
      <c r="AC361" s="10">
        <f t="shared" si="95"/>
        <v>0</v>
      </c>
      <c r="AD361" s="8">
        <f>IFERROR(AC361/AC444, "NA")</f>
        <v>0</v>
      </c>
    </row>
    <row r="362" spans="1:30" ht="16.5" hidden="1" customHeight="1" x14ac:dyDescent="0.45">
      <c r="A362" s="6" t="s">
        <v>330</v>
      </c>
      <c r="B362" s="7">
        <v>0</v>
      </c>
      <c r="C362" s="8">
        <f>IFERROR(B362/B444, "NA")</f>
        <v>0</v>
      </c>
      <c r="D362" s="9"/>
      <c r="E362" s="7">
        <v>0</v>
      </c>
      <c r="F362" s="8">
        <f>IFERROR(E362/E444, "NA")</f>
        <v>0</v>
      </c>
      <c r="G362" s="9"/>
      <c r="H362" s="10">
        <f t="shared" si="92"/>
        <v>0</v>
      </c>
      <c r="I362" s="8">
        <f>IFERROR(H362/H444, "NA")</f>
        <v>0</v>
      </c>
      <c r="J362" s="9"/>
      <c r="K362" s="7">
        <v>0</v>
      </c>
      <c r="L362" s="8">
        <f>IFERROR(K362/K444, "NA")</f>
        <v>0</v>
      </c>
      <c r="M362" s="9"/>
      <c r="N362" s="10">
        <f t="shared" si="93"/>
        <v>0</v>
      </c>
      <c r="O362" s="8">
        <f>IFERROR(N362/N444, "NA")</f>
        <v>0</v>
      </c>
      <c r="P362" s="9"/>
      <c r="Q362" s="7">
        <v>0</v>
      </c>
      <c r="R362" s="8">
        <f>IFERROR(Q362/Q444, "NA")</f>
        <v>0</v>
      </c>
      <c r="S362" s="9"/>
      <c r="T362" s="7">
        <v>0</v>
      </c>
      <c r="U362" s="8">
        <f>IFERROR(T362/T444, "NA")</f>
        <v>0</v>
      </c>
      <c r="V362" s="9"/>
      <c r="W362" s="10">
        <f t="shared" si="94"/>
        <v>0</v>
      </c>
      <c r="X362" s="8">
        <f>IFERROR(W362/W444, "NA")</f>
        <v>0</v>
      </c>
      <c r="Y362" s="9"/>
      <c r="Z362" s="7">
        <v>0</v>
      </c>
      <c r="AA362" s="8">
        <f>IFERROR(Z362/Z444, "NA")</f>
        <v>0</v>
      </c>
      <c r="AB362" s="9"/>
      <c r="AC362" s="10">
        <f t="shared" si="95"/>
        <v>0</v>
      </c>
      <c r="AD362" s="8">
        <f>IFERROR(AC362/AC444, "NA")</f>
        <v>0</v>
      </c>
    </row>
    <row r="363" spans="1:30" ht="16.5" hidden="1" customHeight="1" x14ac:dyDescent="0.45">
      <c r="A363" s="6" t="s">
        <v>331</v>
      </c>
      <c r="B363" s="7">
        <v>0</v>
      </c>
      <c r="C363" s="8">
        <f>IFERROR(B363/B444, "NA")</f>
        <v>0</v>
      </c>
      <c r="D363" s="9"/>
      <c r="E363" s="7">
        <v>0</v>
      </c>
      <c r="F363" s="8">
        <f>IFERROR(E363/E444, "NA")</f>
        <v>0</v>
      </c>
      <c r="G363" s="9"/>
      <c r="H363" s="10">
        <f t="shared" si="92"/>
        <v>0</v>
      </c>
      <c r="I363" s="8">
        <f>IFERROR(H363/H444, "NA")</f>
        <v>0</v>
      </c>
      <c r="J363" s="9"/>
      <c r="K363" s="7">
        <v>0</v>
      </c>
      <c r="L363" s="8">
        <f>IFERROR(K363/K444, "NA")</f>
        <v>0</v>
      </c>
      <c r="M363" s="9"/>
      <c r="N363" s="10">
        <f t="shared" si="93"/>
        <v>0</v>
      </c>
      <c r="O363" s="8">
        <f>IFERROR(N363/N444, "NA")</f>
        <v>0</v>
      </c>
      <c r="P363" s="9"/>
      <c r="Q363" s="7">
        <v>0</v>
      </c>
      <c r="R363" s="8">
        <f>IFERROR(Q363/Q444, "NA")</f>
        <v>0</v>
      </c>
      <c r="S363" s="9"/>
      <c r="T363" s="7">
        <v>0</v>
      </c>
      <c r="U363" s="8">
        <f>IFERROR(T363/T444, "NA")</f>
        <v>0</v>
      </c>
      <c r="V363" s="9"/>
      <c r="W363" s="10">
        <f t="shared" si="94"/>
        <v>0</v>
      </c>
      <c r="X363" s="8">
        <f>IFERROR(W363/W444, "NA")</f>
        <v>0</v>
      </c>
      <c r="Y363" s="9"/>
      <c r="Z363" s="7">
        <v>0</v>
      </c>
      <c r="AA363" s="8">
        <f>IFERROR(Z363/Z444, "NA")</f>
        <v>0</v>
      </c>
      <c r="AB363" s="9"/>
      <c r="AC363" s="10">
        <f t="shared" si="95"/>
        <v>0</v>
      </c>
      <c r="AD363" s="8">
        <f>IFERROR(AC363/AC444, "NA")</f>
        <v>0</v>
      </c>
    </row>
    <row r="364" spans="1:30" ht="16.5" hidden="1" customHeight="1" x14ac:dyDescent="0.45">
      <c r="A364" s="6" t="s">
        <v>332</v>
      </c>
      <c r="B364" s="7">
        <v>0</v>
      </c>
      <c r="C364" s="8">
        <f>IFERROR(B364/B444, "NA")</f>
        <v>0</v>
      </c>
      <c r="D364" s="9"/>
      <c r="E364" s="7">
        <v>0</v>
      </c>
      <c r="F364" s="8">
        <f>IFERROR(E364/E444, "NA")</f>
        <v>0</v>
      </c>
      <c r="G364" s="9"/>
      <c r="H364" s="10">
        <f t="shared" si="92"/>
        <v>0</v>
      </c>
      <c r="I364" s="8">
        <f>IFERROR(H364/H444, "NA")</f>
        <v>0</v>
      </c>
      <c r="J364" s="9"/>
      <c r="K364" s="7">
        <v>0</v>
      </c>
      <c r="L364" s="8">
        <f>IFERROR(K364/K444, "NA")</f>
        <v>0</v>
      </c>
      <c r="M364" s="9"/>
      <c r="N364" s="10">
        <f t="shared" si="93"/>
        <v>0</v>
      </c>
      <c r="O364" s="8">
        <f>IFERROR(N364/N444, "NA")</f>
        <v>0</v>
      </c>
      <c r="P364" s="9"/>
      <c r="Q364" s="7">
        <v>0</v>
      </c>
      <c r="R364" s="8">
        <f>IFERROR(Q364/Q444, "NA")</f>
        <v>0</v>
      </c>
      <c r="S364" s="9"/>
      <c r="T364" s="7">
        <v>0</v>
      </c>
      <c r="U364" s="8">
        <f>IFERROR(T364/T444, "NA")</f>
        <v>0</v>
      </c>
      <c r="V364" s="9"/>
      <c r="W364" s="10">
        <f t="shared" si="94"/>
        <v>0</v>
      </c>
      <c r="X364" s="8">
        <f>IFERROR(W364/W444, "NA")</f>
        <v>0</v>
      </c>
      <c r="Y364" s="9"/>
      <c r="Z364" s="7">
        <v>0</v>
      </c>
      <c r="AA364" s="8">
        <f>IFERROR(Z364/Z444, "NA")</f>
        <v>0</v>
      </c>
      <c r="AB364" s="9"/>
      <c r="AC364" s="10">
        <f t="shared" si="95"/>
        <v>0</v>
      </c>
      <c r="AD364" s="8">
        <f>IFERROR(AC364/AC444, "NA")</f>
        <v>0</v>
      </c>
    </row>
    <row r="365" spans="1:30" ht="16.5" hidden="1" customHeight="1" x14ac:dyDescent="0.45">
      <c r="A365" s="6" t="s">
        <v>333</v>
      </c>
      <c r="B365" s="7">
        <v>0</v>
      </c>
      <c r="C365" s="8">
        <f>IFERROR(B365/B444, "NA")</f>
        <v>0</v>
      </c>
      <c r="D365" s="9"/>
      <c r="E365" s="7">
        <v>0</v>
      </c>
      <c r="F365" s="8">
        <f>IFERROR(E365/E444, "NA")</f>
        <v>0</v>
      </c>
      <c r="G365" s="9"/>
      <c r="H365" s="10">
        <f t="shared" si="92"/>
        <v>0</v>
      </c>
      <c r="I365" s="8">
        <f>IFERROR(H365/H444, "NA")</f>
        <v>0</v>
      </c>
      <c r="J365" s="9"/>
      <c r="K365" s="7">
        <v>0</v>
      </c>
      <c r="L365" s="8">
        <f>IFERROR(K365/K444, "NA")</f>
        <v>0</v>
      </c>
      <c r="M365" s="9"/>
      <c r="N365" s="10">
        <f t="shared" si="93"/>
        <v>0</v>
      </c>
      <c r="O365" s="8">
        <f>IFERROR(N365/N444, "NA")</f>
        <v>0</v>
      </c>
      <c r="P365" s="9"/>
      <c r="Q365" s="7">
        <v>0</v>
      </c>
      <c r="R365" s="8">
        <f>IFERROR(Q365/Q444, "NA")</f>
        <v>0</v>
      </c>
      <c r="S365" s="9"/>
      <c r="T365" s="7">
        <v>0</v>
      </c>
      <c r="U365" s="8">
        <f>IFERROR(T365/T444, "NA")</f>
        <v>0</v>
      </c>
      <c r="V365" s="9"/>
      <c r="W365" s="10">
        <f t="shared" si="94"/>
        <v>0</v>
      </c>
      <c r="X365" s="8">
        <f>IFERROR(W365/W444, "NA")</f>
        <v>0</v>
      </c>
      <c r="Y365" s="9"/>
      <c r="Z365" s="7">
        <v>0</v>
      </c>
      <c r="AA365" s="8">
        <f>IFERROR(Z365/Z444, "NA")</f>
        <v>0</v>
      </c>
      <c r="AB365" s="9"/>
      <c r="AC365" s="10">
        <f t="shared" si="95"/>
        <v>0</v>
      </c>
      <c r="AD365" s="8">
        <f>IFERROR(AC365/AC444, "NA")</f>
        <v>0</v>
      </c>
    </row>
    <row r="366" spans="1:30" ht="16.5" hidden="1" customHeight="1" x14ac:dyDescent="0.45">
      <c r="A366" s="6" t="s">
        <v>334</v>
      </c>
      <c r="B366" s="7">
        <v>0</v>
      </c>
      <c r="C366" s="8">
        <f>IFERROR(B366/B444, "NA")</f>
        <v>0</v>
      </c>
      <c r="D366" s="9"/>
      <c r="E366" s="7">
        <v>0</v>
      </c>
      <c r="F366" s="8">
        <f>IFERROR(E366/E444, "NA")</f>
        <v>0</v>
      </c>
      <c r="G366" s="9"/>
      <c r="H366" s="10">
        <f t="shared" si="92"/>
        <v>0</v>
      </c>
      <c r="I366" s="8">
        <f>IFERROR(H366/H444, "NA")</f>
        <v>0</v>
      </c>
      <c r="J366" s="9"/>
      <c r="K366" s="7">
        <v>0</v>
      </c>
      <c r="L366" s="8">
        <f>IFERROR(K366/K444, "NA")</f>
        <v>0</v>
      </c>
      <c r="M366" s="9"/>
      <c r="N366" s="10">
        <f t="shared" si="93"/>
        <v>0</v>
      </c>
      <c r="O366" s="8">
        <f>IFERROR(N366/N444, "NA")</f>
        <v>0</v>
      </c>
      <c r="P366" s="9"/>
      <c r="Q366" s="7">
        <v>0</v>
      </c>
      <c r="R366" s="8">
        <f>IFERROR(Q366/Q444, "NA")</f>
        <v>0</v>
      </c>
      <c r="S366" s="9"/>
      <c r="T366" s="7">
        <v>0</v>
      </c>
      <c r="U366" s="8">
        <f>IFERROR(T366/T444, "NA")</f>
        <v>0</v>
      </c>
      <c r="V366" s="9"/>
      <c r="W366" s="10">
        <f t="shared" si="94"/>
        <v>0</v>
      </c>
      <c r="X366" s="8">
        <f>IFERROR(W366/W444, "NA")</f>
        <v>0</v>
      </c>
      <c r="Y366" s="9"/>
      <c r="Z366" s="7">
        <v>0</v>
      </c>
      <c r="AA366" s="8">
        <f>IFERROR(Z366/Z444, "NA")</f>
        <v>0</v>
      </c>
      <c r="AB366" s="9"/>
      <c r="AC366" s="10">
        <f t="shared" si="95"/>
        <v>0</v>
      </c>
      <c r="AD366" s="8">
        <f>IFERROR(AC366/AC444, "NA")</f>
        <v>0</v>
      </c>
    </row>
    <row r="367" spans="1:30" ht="16.5" hidden="1" customHeight="1" x14ac:dyDescent="0.45">
      <c r="A367" s="6" t="s">
        <v>335</v>
      </c>
      <c r="B367" s="7">
        <v>0</v>
      </c>
      <c r="C367" s="8">
        <f>IFERROR(B367/B444, "NA")</f>
        <v>0</v>
      </c>
      <c r="D367" s="9"/>
      <c r="E367" s="7">
        <v>0</v>
      </c>
      <c r="F367" s="8">
        <f>IFERROR(E367/E444, "NA")</f>
        <v>0</v>
      </c>
      <c r="G367" s="9"/>
      <c r="H367" s="10">
        <f t="shared" si="92"/>
        <v>0</v>
      </c>
      <c r="I367" s="8">
        <f>IFERROR(H367/H444, "NA")</f>
        <v>0</v>
      </c>
      <c r="J367" s="9"/>
      <c r="K367" s="7">
        <v>0</v>
      </c>
      <c r="L367" s="8">
        <f>IFERROR(K367/K444, "NA")</f>
        <v>0</v>
      </c>
      <c r="M367" s="9"/>
      <c r="N367" s="10">
        <f t="shared" si="93"/>
        <v>0</v>
      </c>
      <c r="O367" s="8">
        <f>IFERROR(N367/N444, "NA")</f>
        <v>0</v>
      </c>
      <c r="P367" s="9"/>
      <c r="Q367" s="7">
        <v>0</v>
      </c>
      <c r="R367" s="8">
        <f>IFERROR(Q367/Q444, "NA")</f>
        <v>0</v>
      </c>
      <c r="S367" s="9"/>
      <c r="T367" s="7">
        <v>0</v>
      </c>
      <c r="U367" s="8">
        <f>IFERROR(T367/T444, "NA")</f>
        <v>0</v>
      </c>
      <c r="V367" s="9"/>
      <c r="W367" s="10">
        <f t="shared" si="94"/>
        <v>0</v>
      </c>
      <c r="X367" s="8">
        <f>IFERROR(W367/W444, "NA")</f>
        <v>0</v>
      </c>
      <c r="Y367" s="9"/>
      <c r="Z367" s="7">
        <v>0</v>
      </c>
      <c r="AA367" s="8">
        <f>IFERROR(Z367/Z444, "NA")</f>
        <v>0</v>
      </c>
      <c r="AB367" s="9"/>
      <c r="AC367" s="10">
        <f t="shared" si="95"/>
        <v>0</v>
      </c>
      <c r="AD367" s="8">
        <f>IFERROR(AC367/AC444, "NA")</f>
        <v>0</v>
      </c>
    </row>
    <row r="368" spans="1:30" ht="16.5" customHeight="1" x14ac:dyDescent="0.45">
      <c r="A368" s="19" t="s">
        <v>336</v>
      </c>
      <c r="B368" s="14">
        <f>IFERROR(B360+B361+B362+B363+B364+B365+B366+B367, "NA")</f>
        <v>0</v>
      </c>
      <c r="C368" s="15">
        <f>IFERROR(B368/B444, "NA")</f>
        <v>0</v>
      </c>
      <c r="D368" s="2"/>
      <c r="E368" s="14">
        <f>IFERROR(E360+E361+E362+E363+E364+E365+E366+E367, "NA")</f>
        <v>0</v>
      </c>
      <c r="F368" s="15">
        <f>IFERROR(E368/E444, "NA")</f>
        <v>0</v>
      </c>
      <c r="G368" s="2"/>
      <c r="H368" s="14">
        <f t="shared" si="92"/>
        <v>0</v>
      </c>
      <c r="I368" s="15">
        <f>IFERROR(H368/H444, "NA")</f>
        <v>0</v>
      </c>
      <c r="J368" s="2"/>
      <c r="K368" s="14">
        <f>IFERROR(K360+K361+K362+K363+K364+K365+K366+K367, "NA")</f>
        <v>0</v>
      </c>
      <c r="L368" s="15">
        <f>IFERROR(K368/K444, "NA")</f>
        <v>0</v>
      </c>
      <c r="M368" s="2"/>
      <c r="N368" s="14">
        <f t="shared" si="93"/>
        <v>0</v>
      </c>
      <c r="O368" s="15">
        <f>IFERROR(N368/N444, "NA")</f>
        <v>0</v>
      </c>
      <c r="P368" s="2"/>
      <c r="Q368" s="14">
        <f>IFERROR(Q360+Q361+Q362+Q363+Q364+Q365+Q366+Q367, "NA")</f>
        <v>0</v>
      </c>
      <c r="R368" s="15">
        <f>IFERROR(Q368/Q444, "NA")</f>
        <v>0</v>
      </c>
      <c r="S368" s="2"/>
      <c r="T368" s="14">
        <f>IFERROR(T360+T361+T362+T363+T364+T365+T366+T367, "NA")</f>
        <v>0</v>
      </c>
      <c r="U368" s="15">
        <f>IFERROR(T368/T444, "NA")</f>
        <v>0</v>
      </c>
      <c r="V368" s="2"/>
      <c r="W368" s="14">
        <f t="shared" si="94"/>
        <v>0</v>
      </c>
      <c r="X368" s="15">
        <f>IFERROR(W368/W444, "NA")</f>
        <v>0</v>
      </c>
      <c r="Y368" s="2"/>
      <c r="Z368" s="14">
        <f>IFERROR(Z360+Z361+Z362+Z363+Z364+Z365+Z366+Z367, "NA")</f>
        <v>0</v>
      </c>
      <c r="AA368" s="15">
        <f>IFERROR(Z368/Z444, "NA")</f>
        <v>0</v>
      </c>
      <c r="AB368" s="2"/>
      <c r="AC368" s="14">
        <f t="shared" si="95"/>
        <v>0</v>
      </c>
      <c r="AD368" s="15">
        <f>IFERROR(AC368/AC444, "NA")</f>
        <v>0</v>
      </c>
    </row>
    <row r="369" spans="1:30" ht="16.5" hidden="1" customHeight="1" x14ac:dyDescent="0.45">
      <c r="A369" s="20" t="s">
        <v>337</v>
      </c>
      <c r="B369" s="7">
        <v>0</v>
      </c>
      <c r="C369" s="8">
        <f>IFERROR(B369/B444, "NA")</f>
        <v>0</v>
      </c>
      <c r="D369" s="9"/>
      <c r="E369" s="7">
        <v>0</v>
      </c>
      <c r="F369" s="8">
        <f>IFERROR(E369/E444, "NA")</f>
        <v>0</v>
      </c>
      <c r="G369" s="9"/>
      <c r="H369" s="10">
        <f t="shared" si="92"/>
        <v>0</v>
      </c>
      <c r="I369" s="8">
        <f>IFERROR(H369/H444, "NA")</f>
        <v>0</v>
      </c>
      <c r="J369" s="9"/>
      <c r="K369" s="7">
        <v>0</v>
      </c>
      <c r="L369" s="8">
        <f>IFERROR(K369/K444, "NA")</f>
        <v>0</v>
      </c>
      <c r="M369" s="9"/>
      <c r="N369" s="10">
        <f t="shared" si="93"/>
        <v>0</v>
      </c>
      <c r="O369" s="8">
        <f>IFERROR(N369/N444, "NA")</f>
        <v>0</v>
      </c>
      <c r="P369" s="9"/>
      <c r="Q369" s="7">
        <v>0</v>
      </c>
      <c r="R369" s="8">
        <f>IFERROR(Q369/Q444, "NA")</f>
        <v>0</v>
      </c>
      <c r="S369" s="9"/>
      <c r="T369" s="7">
        <v>0</v>
      </c>
      <c r="U369" s="8">
        <f>IFERROR(T369/T444, "NA")</f>
        <v>0</v>
      </c>
      <c r="V369" s="9"/>
      <c r="W369" s="10">
        <f t="shared" si="94"/>
        <v>0</v>
      </c>
      <c r="X369" s="8">
        <f>IFERROR(W369/W444, "NA")</f>
        <v>0</v>
      </c>
      <c r="Y369" s="9"/>
      <c r="Z369" s="7">
        <v>0</v>
      </c>
      <c r="AA369" s="8">
        <f>IFERROR(Z369/Z444, "NA")</f>
        <v>0</v>
      </c>
      <c r="AB369" s="9"/>
      <c r="AC369" s="10">
        <f t="shared" si="95"/>
        <v>0</v>
      </c>
      <c r="AD369" s="8">
        <f>IFERROR(AC369/AC444, "NA")</f>
        <v>0</v>
      </c>
    </row>
    <row r="370" spans="1:30" ht="16.5" hidden="1" customHeight="1" x14ac:dyDescent="0.45">
      <c r="A370" s="20" t="s">
        <v>338</v>
      </c>
      <c r="B370" s="7">
        <v>0</v>
      </c>
      <c r="C370" s="8">
        <f>IFERROR(B370/B444, "NA")</f>
        <v>0</v>
      </c>
      <c r="D370" s="9"/>
      <c r="E370" s="7">
        <v>0</v>
      </c>
      <c r="F370" s="8">
        <f>IFERROR(E370/E444, "NA")</f>
        <v>0</v>
      </c>
      <c r="G370" s="9"/>
      <c r="H370" s="10">
        <f t="shared" si="92"/>
        <v>0</v>
      </c>
      <c r="I370" s="8">
        <f>IFERROR(H370/H444, "NA")</f>
        <v>0</v>
      </c>
      <c r="J370" s="9"/>
      <c r="K370" s="7">
        <v>0</v>
      </c>
      <c r="L370" s="8">
        <f>IFERROR(K370/K444, "NA")</f>
        <v>0</v>
      </c>
      <c r="M370" s="9"/>
      <c r="N370" s="10">
        <f t="shared" si="93"/>
        <v>0</v>
      </c>
      <c r="O370" s="8">
        <f>IFERROR(N370/N444, "NA")</f>
        <v>0</v>
      </c>
      <c r="P370" s="9"/>
      <c r="Q370" s="7">
        <v>0</v>
      </c>
      <c r="R370" s="8">
        <f>IFERROR(Q370/Q444, "NA")</f>
        <v>0</v>
      </c>
      <c r="S370" s="9"/>
      <c r="T370" s="7">
        <v>0</v>
      </c>
      <c r="U370" s="8">
        <f>IFERROR(T370/T444, "NA")</f>
        <v>0</v>
      </c>
      <c r="V370" s="9"/>
      <c r="W370" s="10">
        <f t="shared" si="94"/>
        <v>0</v>
      </c>
      <c r="X370" s="8">
        <f>IFERROR(W370/W444, "NA")</f>
        <v>0</v>
      </c>
      <c r="Y370" s="9"/>
      <c r="Z370" s="7">
        <v>0</v>
      </c>
      <c r="AA370" s="8">
        <f>IFERROR(Z370/Z444, "NA")</f>
        <v>0</v>
      </c>
      <c r="AB370" s="9"/>
      <c r="AC370" s="10">
        <f t="shared" si="95"/>
        <v>0</v>
      </c>
      <c r="AD370" s="8">
        <f>IFERROR(AC370/AC444, "NA")</f>
        <v>0</v>
      </c>
    </row>
    <row r="371" spans="1:30" ht="16.5" hidden="1" customHeight="1" x14ac:dyDescent="0.45">
      <c r="A371" s="20" t="s">
        <v>339</v>
      </c>
      <c r="B371" s="7">
        <v>0</v>
      </c>
      <c r="C371" s="8">
        <f>IFERROR(B371/B444, "NA")</f>
        <v>0</v>
      </c>
      <c r="D371" s="9"/>
      <c r="E371" s="7">
        <v>0</v>
      </c>
      <c r="F371" s="8">
        <f>IFERROR(E371/E444, "NA")</f>
        <v>0</v>
      </c>
      <c r="G371" s="9"/>
      <c r="H371" s="10">
        <f t="shared" si="92"/>
        <v>0</v>
      </c>
      <c r="I371" s="8">
        <f>IFERROR(H371/H444, "NA")</f>
        <v>0</v>
      </c>
      <c r="J371" s="9"/>
      <c r="K371" s="7">
        <v>0</v>
      </c>
      <c r="L371" s="8">
        <f>IFERROR(K371/K444, "NA")</f>
        <v>0</v>
      </c>
      <c r="M371" s="9"/>
      <c r="N371" s="10">
        <f t="shared" si="93"/>
        <v>0</v>
      </c>
      <c r="O371" s="8">
        <f>IFERROR(N371/N444, "NA")</f>
        <v>0</v>
      </c>
      <c r="P371" s="9"/>
      <c r="Q371" s="7">
        <v>0</v>
      </c>
      <c r="R371" s="8">
        <f>IFERROR(Q371/Q444, "NA")</f>
        <v>0</v>
      </c>
      <c r="S371" s="9"/>
      <c r="T371" s="7">
        <v>0</v>
      </c>
      <c r="U371" s="8">
        <f>IFERROR(T371/T444, "NA")</f>
        <v>0</v>
      </c>
      <c r="V371" s="9"/>
      <c r="W371" s="10">
        <f t="shared" si="94"/>
        <v>0</v>
      </c>
      <c r="X371" s="8">
        <f>IFERROR(W371/W444, "NA")</f>
        <v>0</v>
      </c>
      <c r="Y371" s="9"/>
      <c r="Z371" s="7">
        <v>0</v>
      </c>
      <c r="AA371" s="8">
        <f>IFERROR(Z371/Z444, "NA")</f>
        <v>0</v>
      </c>
      <c r="AB371" s="9"/>
      <c r="AC371" s="10">
        <f t="shared" si="95"/>
        <v>0</v>
      </c>
      <c r="AD371" s="8">
        <f>IFERROR(AC371/AC444, "NA")</f>
        <v>0</v>
      </c>
    </row>
    <row r="372" spans="1:30" ht="16.5" hidden="1" customHeight="1" x14ac:dyDescent="0.45">
      <c r="A372" s="20" t="s">
        <v>340</v>
      </c>
      <c r="B372" s="7">
        <v>0</v>
      </c>
      <c r="C372" s="8">
        <f>IFERROR(B372/B444, "NA")</f>
        <v>0</v>
      </c>
      <c r="D372" s="9"/>
      <c r="E372" s="7">
        <v>0</v>
      </c>
      <c r="F372" s="8">
        <f>IFERROR(E372/E444, "NA")</f>
        <v>0</v>
      </c>
      <c r="G372" s="9"/>
      <c r="H372" s="10">
        <f t="shared" si="92"/>
        <v>0</v>
      </c>
      <c r="I372" s="8">
        <f>IFERROR(H372/H444, "NA")</f>
        <v>0</v>
      </c>
      <c r="J372" s="9"/>
      <c r="K372" s="7">
        <v>0</v>
      </c>
      <c r="L372" s="8">
        <f>IFERROR(K372/K444, "NA")</f>
        <v>0</v>
      </c>
      <c r="M372" s="9"/>
      <c r="N372" s="10">
        <f t="shared" si="93"/>
        <v>0</v>
      </c>
      <c r="O372" s="8">
        <f>IFERROR(N372/N444, "NA")</f>
        <v>0</v>
      </c>
      <c r="P372" s="9"/>
      <c r="Q372" s="7">
        <v>0</v>
      </c>
      <c r="R372" s="8">
        <f>IFERROR(Q372/Q444, "NA")</f>
        <v>0</v>
      </c>
      <c r="S372" s="9"/>
      <c r="T372" s="7">
        <v>0</v>
      </c>
      <c r="U372" s="8">
        <f>IFERROR(T372/T444, "NA")</f>
        <v>0</v>
      </c>
      <c r="V372" s="9"/>
      <c r="W372" s="10">
        <f t="shared" si="94"/>
        <v>0</v>
      </c>
      <c r="X372" s="8">
        <f>IFERROR(W372/W444, "NA")</f>
        <v>0</v>
      </c>
      <c r="Y372" s="9"/>
      <c r="Z372" s="7">
        <v>0</v>
      </c>
      <c r="AA372" s="8">
        <f>IFERROR(Z372/Z444, "NA")</f>
        <v>0</v>
      </c>
      <c r="AB372" s="9"/>
      <c r="AC372" s="10">
        <f t="shared" si="95"/>
        <v>0</v>
      </c>
      <c r="AD372" s="8">
        <f>IFERROR(AC372/AC444, "NA")</f>
        <v>0</v>
      </c>
    </row>
    <row r="373" spans="1:30" ht="16.5" hidden="1" customHeight="1" x14ac:dyDescent="0.45">
      <c r="A373" s="20" t="s">
        <v>341</v>
      </c>
      <c r="B373" s="7">
        <v>0</v>
      </c>
      <c r="C373" s="8">
        <f>IFERROR(B373/B444, "NA")</f>
        <v>0</v>
      </c>
      <c r="D373" s="9"/>
      <c r="E373" s="7">
        <v>0</v>
      </c>
      <c r="F373" s="8">
        <f>IFERROR(E373/E444, "NA")</f>
        <v>0</v>
      </c>
      <c r="G373" s="9"/>
      <c r="H373" s="10">
        <f t="shared" si="92"/>
        <v>0</v>
      </c>
      <c r="I373" s="8">
        <f>IFERROR(H373/H444, "NA")</f>
        <v>0</v>
      </c>
      <c r="J373" s="9"/>
      <c r="K373" s="7">
        <v>0</v>
      </c>
      <c r="L373" s="8">
        <f>IFERROR(K373/K444, "NA")</f>
        <v>0</v>
      </c>
      <c r="M373" s="9"/>
      <c r="N373" s="10">
        <f t="shared" si="93"/>
        <v>0</v>
      </c>
      <c r="O373" s="8">
        <f>IFERROR(N373/N444, "NA")</f>
        <v>0</v>
      </c>
      <c r="P373" s="9"/>
      <c r="Q373" s="7">
        <v>0</v>
      </c>
      <c r="R373" s="8">
        <f>IFERROR(Q373/Q444, "NA")</f>
        <v>0</v>
      </c>
      <c r="S373" s="9"/>
      <c r="T373" s="7">
        <v>0</v>
      </c>
      <c r="U373" s="8">
        <f>IFERROR(T373/T444, "NA")</f>
        <v>0</v>
      </c>
      <c r="V373" s="9"/>
      <c r="W373" s="10">
        <f t="shared" si="94"/>
        <v>0</v>
      </c>
      <c r="X373" s="8">
        <f>IFERROR(W373/W444, "NA")</f>
        <v>0</v>
      </c>
      <c r="Y373" s="9"/>
      <c r="Z373" s="7">
        <v>0</v>
      </c>
      <c r="AA373" s="8">
        <f>IFERROR(Z373/Z444, "NA")</f>
        <v>0</v>
      </c>
      <c r="AB373" s="9"/>
      <c r="AC373" s="10">
        <f t="shared" si="95"/>
        <v>0</v>
      </c>
      <c r="AD373" s="8">
        <f>IFERROR(AC373/AC444, "NA")</f>
        <v>0</v>
      </c>
    </row>
    <row r="374" spans="1:30" ht="16.5" hidden="1" customHeight="1" x14ac:dyDescent="0.45">
      <c r="A374" s="20" t="s">
        <v>342</v>
      </c>
      <c r="B374" s="7">
        <v>0</v>
      </c>
      <c r="C374" s="8">
        <f>IFERROR(B374/B444, "NA")</f>
        <v>0</v>
      </c>
      <c r="D374" s="9"/>
      <c r="E374" s="7">
        <v>0</v>
      </c>
      <c r="F374" s="8">
        <f>IFERROR(E374/E444, "NA")</f>
        <v>0</v>
      </c>
      <c r="G374" s="9"/>
      <c r="H374" s="10">
        <f t="shared" si="92"/>
        <v>0</v>
      </c>
      <c r="I374" s="8">
        <f>IFERROR(H374/H444, "NA")</f>
        <v>0</v>
      </c>
      <c r="J374" s="9"/>
      <c r="K374" s="7">
        <v>0</v>
      </c>
      <c r="L374" s="8">
        <f>IFERROR(K374/K444, "NA")</f>
        <v>0</v>
      </c>
      <c r="M374" s="9"/>
      <c r="N374" s="10">
        <f t="shared" si="93"/>
        <v>0</v>
      </c>
      <c r="O374" s="8">
        <f>IFERROR(N374/N444, "NA")</f>
        <v>0</v>
      </c>
      <c r="P374" s="9"/>
      <c r="Q374" s="7">
        <v>0</v>
      </c>
      <c r="R374" s="8">
        <f>IFERROR(Q374/Q444, "NA")</f>
        <v>0</v>
      </c>
      <c r="S374" s="9"/>
      <c r="T374" s="7">
        <v>0</v>
      </c>
      <c r="U374" s="8">
        <f>IFERROR(T374/T444, "NA")</f>
        <v>0</v>
      </c>
      <c r="V374" s="9"/>
      <c r="W374" s="10">
        <f t="shared" si="94"/>
        <v>0</v>
      </c>
      <c r="X374" s="8">
        <f>IFERROR(W374/W444, "NA")</f>
        <v>0</v>
      </c>
      <c r="Y374" s="9"/>
      <c r="Z374" s="7">
        <v>0</v>
      </c>
      <c r="AA374" s="8">
        <f>IFERROR(Z374/Z444, "NA")</f>
        <v>0</v>
      </c>
      <c r="AB374" s="9"/>
      <c r="AC374" s="10">
        <f t="shared" si="95"/>
        <v>0</v>
      </c>
      <c r="AD374" s="8">
        <f>IFERROR(AC374/AC444, "NA")</f>
        <v>0</v>
      </c>
    </row>
    <row r="375" spans="1:30" ht="16.5" hidden="1" customHeight="1" x14ac:dyDescent="0.45">
      <c r="A375" s="20" t="s">
        <v>343</v>
      </c>
      <c r="B375" s="7">
        <v>0</v>
      </c>
      <c r="C375" s="8">
        <f>IFERROR(B375/B444, "NA")</f>
        <v>0</v>
      </c>
      <c r="D375" s="9"/>
      <c r="E375" s="7">
        <v>0</v>
      </c>
      <c r="F375" s="8">
        <f>IFERROR(E375/E444, "NA")</f>
        <v>0</v>
      </c>
      <c r="G375" s="9"/>
      <c r="H375" s="10">
        <f t="shared" si="92"/>
        <v>0</v>
      </c>
      <c r="I375" s="8">
        <f>IFERROR(H375/H444, "NA")</f>
        <v>0</v>
      </c>
      <c r="J375" s="9"/>
      <c r="K375" s="7">
        <v>0</v>
      </c>
      <c r="L375" s="8">
        <f>IFERROR(K375/K444, "NA")</f>
        <v>0</v>
      </c>
      <c r="M375" s="9"/>
      <c r="N375" s="10">
        <f t="shared" si="93"/>
        <v>0</v>
      </c>
      <c r="O375" s="8">
        <f>IFERROR(N375/N444, "NA")</f>
        <v>0</v>
      </c>
      <c r="P375" s="9"/>
      <c r="Q375" s="7">
        <v>0</v>
      </c>
      <c r="R375" s="8">
        <f>IFERROR(Q375/Q444, "NA")</f>
        <v>0</v>
      </c>
      <c r="S375" s="9"/>
      <c r="T375" s="7">
        <v>0</v>
      </c>
      <c r="U375" s="8">
        <f>IFERROR(T375/T444, "NA")</f>
        <v>0</v>
      </c>
      <c r="V375" s="9"/>
      <c r="W375" s="10">
        <f t="shared" si="94"/>
        <v>0</v>
      </c>
      <c r="X375" s="8">
        <f>IFERROR(W375/W444, "NA")</f>
        <v>0</v>
      </c>
      <c r="Y375" s="9"/>
      <c r="Z375" s="7">
        <v>0</v>
      </c>
      <c r="AA375" s="8">
        <f>IFERROR(Z375/Z444, "NA")</f>
        <v>0</v>
      </c>
      <c r="AB375" s="9"/>
      <c r="AC375" s="10">
        <f t="shared" si="95"/>
        <v>0</v>
      </c>
      <c r="AD375" s="8">
        <f>IFERROR(AC375/AC444, "NA")</f>
        <v>0</v>
      </c>
    </row>
    <row r="376" spans="1:30" ht="16.5" hidden="1" customHeight="1" x14ac:dyDescent="0.45">
      <c r="A376" s="20" t="s">
        <v>344</v>
      </c>
      <c r="B376" s="7">
        <v>0</v>
      </c>
      <c r="C376" s="8">
        <f>IFERROR(B376/B444, "NA")</f>
        <v>0</v>
      </c>
      <c r="D376" s="9"/>
      <c r="E376" s="7">
        <v>0</v>
      </c>
      <c r="F376" s="8">
        <f>IFERROR(E376/E444, "NA")</f>
        <v>0</v>
      </c>
      <c r="G376" s="9"/>
      <c r="H376" s="10">
        <f t="shared" si="92"/>
        <v>0</v>
      </c>
      <c r="I376" s="8">
        <f>IFERROR(H376/H444, "NA")</f>
        <v>0</v>
      </c>
      <c r="J376" s="9"/>
      <c r="K376" s="7">
        <v>0</v>
      </c>
      <c r="L376" s="8">
        <f>IFERROR(K376/K444, "NA")</f>
        <v>0</v>
      </c>
      <c r="M376" s="9"/>
      <c r="N376" s="10">
        <f t="shared" si="93"/>
        <v>0</v>
      </c>
      <c r="O376" s="8">
        <f>IFERROR(N376/N444, "NA")</f>
        <v>0</v>
      </c>
      <c r="P376" s="9"/>
      <c r="Q376" s="7">
        <v>0</v>
      </c>
      <c r="R376" s="8">
        <f>IFERROR(Q376/Q444, "NA")</f>
        <v>0</v>
      </c>
      <c r="S376" s="9"/>
      <c r="T376" s="7">
        <v>0</v>
      </c>
      <c r="U376" s="8">
        <f>IFERROR(T376/T444, "NA")</f>
        <v>0</v>
      </c>
      <c r="V376" s="9"/>
      <c r="W376" s="10">
        <f t="shared" si="94"/>
        <v>0</v>
      </c>
      <c r="X376" s="8">
        <f>IFERROR(W376/W444, "NA")</f>
        <v>0</v>
      </c>
      <c r="Y376" s="9"/>
      <c r="Z376" s="7">
        <v>0</v>
      </c>
      <c r="AA376" s="8">
        <f>IFERROR(Z376/Z444, "NA")</f>
        <v>0</v>
      </c>
      <c r="AB376" s="9"/>
      <c r="AC376" s="10">
        <f t="shared" si="95"/>
        <v>0</v>
      </c>
      <c r="AD376" s="8">
        <f>IFERROR(AC376/AC444, "NA")</f>
        <v>0</v>
      </c>
    </row>
    <row r="377" spans="1:30" ht="16.5" hidden="1" customHeight="1" x14ac:dyDescent="0.45">
      <c r="A377" s="20" t="s">
        <v>345</v>
      </c>
      <c r="B377" s="7">
        <v>0</v>
      </c>
      <c r="C377" s="8">
        <f>IFERROR(B377/B444, "NA")</f>
        <v>0</v>
      </c>
      <c r="D377" s="9"/>
      <c r="E377" s="7">
        <v>0</v>
      </c>
      <c r="F377" s="8">
        <f>IFERROR(E377/E444, "NA")</f>
        <v>0</v>
      </c>
      <c r="G377" s="9"/>
      <c r="H377" s="10">
        <f t="shared" si="92"/>
        <v>0</v>
      </c>
      <c r="I377" s="8">
        <f>IFERROR(H377/H444, "NA")</f>
        <v>0</v>
      </c>
      <c r="J377" s="9"/>
      <c r="K377" s="7">
        <v>0</v>
      </c>
      <c r="L377" s="8">
        <f>IFERROR(K377/K444, "NA")</f>
        <v>0</v>
      </c>
      <c r="M377" s="9"/>
      <c r="N377" s="10">
        <f t="shared" si="93"/>
        <v>0</v>
      </c>
      <c r="O377" s="8">
        <f>IFERROR(N377/N444, "NA")</f>
        <v>0</v>
      </c>
      <c r="P377" s="9"/>
      <c r="Q377" s="7">
        <v>0</v>
      </c>
      <c r="R377" s="8">
        <f>IFERROR(Q377/Q444, "NA")</f>
        <v>0</v>
      </c>
      <c r="S377" s="9"/>
      <c r="T377" s="7">
        <v>0</v>
      </c>
      <c r="U377" s="8">
        <f>IFERROR(T377/T444, "NA")</f>
        <v>0</v>
      </c>
      <c r="V377" s="9"/>
      <c r="W377" s="10">
        <f t="shared" si="94"/>
        <v>0</v>
      </c>
      <c r="X377" s="8">
        <f>IFERROR(W377/W444, "NA")</f>
        <v>0</v>
      </c>
      <c r="Y377" s="9"/>
      <c r="Z377" s="7">
        <v>0</v>
      </c>
      <c r="AA377" s="8">
        <f>IFERROR(Z377/Z444, "NA")</f>
        <v>0</v>
      </c>
      <c r="AB377" s="9"/>
      <c r="AC377" s="10">
        <f t="shared" si="95"/>
        <v>0</v>
      </c>
      <c r="AD377" s="8">
        <f>IFERROR(AC377/AC444, "NA")</f>
        <v>0</v>
      </c>
    </row>
    <row r="378" spans="1:30" ht="16.5" hidden="1" customHeight="1" x14ac:dyDescent="0.45">
      <c r="A378" s="20" t="s">
        <v>346</v>
      </c>
      <c r="B378" s="7">
        <v>0</v>
      </c>
      <c r="C378" s="8">
        <f>IFERROR(B378/B444, "NA")</f>
        <v>0</v>
      </c>
      <c r="D378" s="9"/>
      <c r="E378" s="7">
        <v>0</v>
      </c>
      <c r="F378" s="8">
        <f>IFERROR(E378/E444, "NA")</f>
        <v>0</v>
      </c>
      <c r="G378" s="9"/>
      <c r="H378" s="10">
        <f t="shared" si="92"/>
        <v>0</v>
      </c>
      <c r="I378" s="8">
        <f>IFERROR(H378/H444, "NA")</f>
        <v>0</v>
      </c>
      <c r="J378" s="9"/>
      <c r="K378" s="7">
        <v>0</v>
      </c>
      <c r="L378" s="8">
        <f>IFERROR(K378/K444, "NA")</f>
        <v>0</v>
      </c>
      <c r="M378" s="9"/>
      <c r="N378" s="10">
        <f t="shared" si="93"/>
        <v>0</v>
      </c>
      <c r="O378" s="8">
        <f>IFERROR(N378/N444, "NA")</f>
        <v>0</v>
      </c>
      <c r="P378" s="9"/>
      <c r="Q378" s="7">
        <v>0</v>
      </c>
      <c r="R378" s="8">
        <f>IFERROR(Q378/Q444, "NA")</f>
        <v>0</v>
      </c>
      <c r="S378" s="9"/>
      <c r="T378" s="7">
        <v>0</v>
      </c>
      <c r="U378" s="8">
        <f>IFERROR(T378/T444, "NA")</f>
        <v>0</v>
      </c>
      <c r="V378" s="9"/>
      <c r="W378" s="10">
        <f t="shared" si="94"/>
        <v>0</v>
      </c>
      <c r="X378" s="8">
        <f>IFERROR(W378/W444, "NA")</f>
        <v>0</v>
      </c>
      <c r="Y378" s="9"/>
      <c r="Z378" s="7">
        <v>0</v>
      </c>
      <c r="AA378" s="8">
        <f>IFERROR(Z378/Z444, "NA")</f>
        <v>0</v>
      </c>
      <c r="AB378" s="9"/>
      <c r="AC378" s="10">
        <f t="shared" si="95"/>
        <v>0</v>
      </c>
      <c r="AD378" s="8">
        <f>IFERROR(AC378/AC444, "NA")</f>
        <v>0</v>
      </c>
    </row>
    <row r="379" spans="1:30" ht="16.5" hidden="1" customHeight="1" x14ac:dyDescent="0.45">
      <c r="A379" s="20" t="s">
        <v>347</v>
      </c>
      <c r="B379" s="7">
        <v>0</v>
      </c>
      <c r="C379" s="8">
        <f>IFERROR(B379/B444, "NA")</f>
        <v>0</v>
      </c>
      <c r="D379" s="9"/>
      <c r="E379" s="7">
        <v>0</v>
      </c>
      <c r="F379" s="8">
        <f>IFERROR(E379/E444, "NA")</f>
        <v>0</v>
      </c>
      <c r="G379" s="9"/>
      <c r="H379" s="10">
        <f t="shared" si="92"/>
        <v>0</v>
      </c>
      <c r="I379" s="8">
        <f>IFERROR(H379/H444, "NA")</f>
        <v>0</v>
      </c>
      <c r="J379" s="9"/>
      <c r="K379" s="7">
        <v>0</v>
      </c>
      <c r="L379" s="8">
        <f>IFERROR(K379/K444, "NA")</f>
        <v>0</v>
      </c>
      <c r="M379" s="9"/>
      <c r="N379" s="10">
        <f t="shared" si="93"/>
        <v>0</v>
      </c>
      <c r="O379" s="8">
        <f>IFERROR(N379/N444, "NA")</f>
        <v>0</v>
      </c>
      <c r="P379" s="9"/>
      <c r="Q379" s="7">
        <v>0</v>
      </c>
      <c r="R379" s="8">
        <f>IFERROR(Q379/Q444, "NA")</f>
        <v>0</v>
      </c>
      <c r="S379" s="9"/>
      <c r="T379" s="7">
        <v>0</v>
      </c>
      <c r="U379" s="8">
        <f>IFERROR(T379/T444, "NA")</f>
        <v>0</v>
      </c>
      <c r="V379" s="9"/>
      <c r="W379" s="10">
        <f t="shared" si="94"/>
        <v>0</v>
      </c>
      <c r="X379" s="8">
        <f>IFERROR(W379/W444, "NA")</f>
        <v>0</v>
      </c>
      <c r="Y379" s="9"/>
      <c r="Z379" s="7">
        <v>0</v>
      </c>
      <c r="AA379" s="8">
        <f>IFERROR(Z379/Z444, "NA")</f>
        <v>0</v>
      </c>
      <c r="AB379" s="9"/>
      <c r="AC379" s="10">
        <f t="shared" si="95"/>
        <v>0</v>
      </c>
      <c r="AD379" s="8">
        <f>IFERROR(AC379/AC444, "NA")</f>
        <v>0</v>
      </c>
    </row>
    <row r="380" spans="1:30" ht="16.5" hidden="1" customHeight="1" x14ac:dyDescent="0.45">
      <c r="A380" s="20" t="s">
        <v>348</v>
      </c>
      <c r="B380" s="7">
        <v>0</v>
      </c>
      <c r="C380" s="8">
        <f>IFERROR(B380/B444, "NA")</f>
        <v>0</v>
      </c>
      <c r="D380" s="9"/>
      <c r="E380" s="7">
        <v>0</v>
      </c>
      <c r="F380" s="8">
        <f>IFERROR(E380/E444, "NA")</f>
        <v>0</v>
      </c>
      <c r="G380" s="9"/>
      <c r="H380" s="10">
        <f t="shared" si="92"/>
        <v>0</v>
      </c>
      <c r="I380" s="8">
        <f>IFERROR(H380/H444, "NA")</f>
        <v>0</v>
      </c>
      <c r="J380" s="9"/>
      <c r="K380" s="7">
        <v>0</v>
      </c>
      <c r="L380" s="8">
        <f>IFERROR(K380/K444, "NA")</f>
        <v>0</v>
      </c>
      <c r="M380" s="9"/>
      <c r="N380" s="10">
        <f t="shared" si="93"/>
        <v>0</v>
      </c>
      <c r="O380" s="8">
        <f>IFERROR(N380/N444, "NA")</f>
        <v>0</v>
      </c>
      <c r="P380" s="9"/>
      <c r="Q380" s="7">
        <v>0</v>
      </c>
      <c r="R380" s="8">
        <f>IFERROR(Q380/Q444, "NA")</f>
        <v>0</v>
      </c>
      <c r="S380" s="9"/>
      <c r="T380" s="7">
        <v>0</v>
      </c>
      <c r="U380" s="8">
        <f>IFERROR(T380/T444, "NA")</f>
        <v>0</v>
      </c>
      <c r="V380" s="9"/>
      <c r="W380" s="10">
        <f t="shared" si="94"/>
        <v>0</v>
      </c>
      <c r="X380" s="8">
        <f>IFERROR(W380/W444, "NA")</f>
        <v>0</v>
      </c>
      <c r="Y380" s="9"/>
      <c r="Z380" s="7">
        <v>0</v>
      </c>
      <c r="AA380" s="8">
        <f>IFERROR(Z380/Z444, "NA")</f>
        <v>0</v>
      </c>
      <c r="AB380" s="9"/>
      <c r="AC380" s="10">
        <f t="shared" si="95"/>
        <v>0</v>
      </c>
      <c r="AD380" s="8">
        <f>IFERROR(AC380/AC444, "NA")</f>
        <v>0</v>
      </c>
    </row>
    <row r="381" spans="1:30" ht="16.5" hidden="1" customHeight="1" x14ac:dyDescent="0.45">
      <c r="A381" s="20" t="s">
        <v>349</v>
      </c>
      <c r="B381" s="7">
        <v>0</v>
      </c>
      <c r="C381" s="8">
        <f>IFERROR(B381/B444, "NA")</f>
        <v>0</v>
      </c>
      <c r="D381" s="9"/>
      <c r="E381" s="7">
        <v>0</v>
      </c>
      <c r="F381" s="8">
        <f>IFERROR(E381/E444, "NA")</f>
        <v>0</v>
      </c>
      <c r="G381" s="9"/>
      <c r="H381" s="10">
        <f t="shared" si="92"/>
        <v>0</v>
      </c>
      <c r="I381" s="8">
        <f>IFERROR(H381/H444, "NA")</f>
        <v>0</v>
      </c>
      <c r="J381" s="9"/>
      <c r="K381" s="7">
        <v>0</v>
      </c>
      <c r="L381" s="8">
        <f>IFERROR(K381/K444, "NA")</f>
        <v>0</v>
      </c>
      <c r="M381" s="9"/>
      <c r="N381" s="10">
        <f t="shared" si="93"/>
        <v>0</v>
      </c>
      <c r="O381" s="8">
        <f>IFERROR(N381/N444, "NA")</f>
        <v>0</v>
      </c>
      <c r="P381" s="9"/>
      <c r="Q381" s="7">
        <v>0</v>
      </c>
      <c r="R381" s="8">
        <f>IFERROR(Q381/Q444, "NA")</f>
        <v>0</v>
      </c>
      <c r="S381" s="9"/>
      <c r="T381" s="7">
        <v>0</v>
      </c>
      <c r="U381" s="8">
        <f>IFERROR(T381/T444, "NA")</f>
        <v>0</v>
      </c>
      <c r="V381" s="9"/>
      <c r="W381" s="10">
        <f t="shared" si="94"/>
        <v>0</v>
      </c>
      <c r="X381" s="8">
        <f>IFERROR(W381/W444, "NA")</f>
        <v>0</v>
      </c>
      <c r="Y381" s="9"/>
      <c r="Z381" s="7">
        <v>0</v>
      </c>
      <c r="AA381" s="8">
        <f>IFERROR(Z381/Z444, "NA")</f>
        <v>0</v>
      </c>
      <c r="AB381" s="9"/>
      <c r="AC381" s="10">
        <f t="shared" si="95"/>
        <v>0</v>
      </c>
      <c r="AD381" s="8">
        <f>IFERROR(AC381/AC444, "NA")</f>
        <v>0</v>
      </c>
    </row>
    <row r="382" spans="1:30" ht="16.5" hidden="1" customHeight="1" x14ac:dyDescent="0.45">
      <c r="A382" s="20" t="s">
        <v>350</v>
      </c>
      <c r="B382" s="7">
        <v>0</v>
      </c>
      <c r="C382" s="8">
        <f>IFERROR(B382/B444, "NA")</f>
        <v>0</v>
      </c>
      <c r="D382" s="9"/>
      <c r="E382" s="7">
        <v>0</v>
      </c>
      <c r="F382" s="8">
        <f>IFERROR(E382/E444, "NA")</f>
        <v>0</v>
      </c>
      <c r="G382" s="9"/>
      <c r="H382" s="10">
        <f t="shared" si="92"/>
        <v>0</v>
      </c>
      <c r="I382" s="8">
        <f>IFERROR(H382/H444, "NA")</f>
        <v>0</v>
      </c>
      <c r="J382" s="9"/>
      <c r="K382" s="7">
        <v>0</v>
      </c>
      <c r="L382" s="8">
        <f>IFERROR(K382/K444, "NA")</f>
        <v>0</v>
      </c>
      <c r="M382" s="9"/>
      <c r="N382" s="10">
        <f t="shared" si="93"/>
        <v>0</v>
      </c>
      <c r="O382" s="8">
        <f>IFERROR(N382/N444, "NA")</f>
        <v>0</v>
      </c>
      <c r="P382" s="9"/>
      <c r="Q382" s="7">
        <v>0</v>
      </c>
      <c r="R382" s="8">
        <f>IFERROR(Q382/Q444, "NA")</f>
        <v>0</v>
      </c>
      <c r="S382" s="9"/>
      <c r="T382" s="7">
        <v>0</v>
      </c>
      <c r="U382" s="8">
        <f>IFERROR(T382/T444, "NA")</f>
        <v>0</v>
      </c>
      <c r="V382" s="9"/>
      <c r="W382" s="10">
        <f t="shared" si="94"/>
        <v>0</v>
      </c>
      <c r="X382" s="8">
        <f>IFERROR(W382/W444, "NA")</f>
        <v>0</v>
      </c>
      <c r="Y382" s="9"/>
      <c r="Z382" s="7">
        <v>0</v>
      </c>
      <c r="AA382" s="8">
        <f>IFERROR(Z382/Z444, "NA")</f>
        <v>0</v>
      </c>
      <c r="AB382" s="9"/>
      <c r="AC382" s="10">
        <f t="shared" si="95"/>
        <v>0</v>
      </c>
      <c r="AD382" s="8">
        <f>IFERROR(AC382/AC444, "NA")</f>
        <v>0</v>
      </c>
    </row>
    <row r="383" spans="1:30" ht="16.5" hidden="1" customHeight="1" x14ac:dyDescent="0.45">
      <c r="A383" s="20" t="s">
        <v>351</v>
      </c>
      <c r="B383" s="7">
        <v>0</v>
      </c>
      <c r="C383" s="8">
        <f>IFERROR(B383/B444, "NA")</f>
        <v>0</v>
      </c>
      <c r="D383" s="9"/>
      <c r="E383" s="7">
        <v>0</v>
      </c>
      <c r="F383" s="8">
        <f>IFERROR(E383/E444, "NA")</f>
        <v>0</v>
      </c>
      <c r="G383" s="9"/>
      <c r="H383" s="10">
        <f t="shared" si="92"/>
        <v>0</v>
      </c>
      <c r="I383" s="8">
        <f>IFERROR(H383/H444, "NA")</f>
        <v>0</v>
      </c>
      <c r="J383" s="9"/>
      <c r="K383" s="7">
        <v>0</v>
      </c>
      <c r="L383" s="8">
        <f>IFERROR(K383/K444, "NA")</f>
        <v>0</v>
      </c>
      <c r="M383" s="9"/>
      <c r="N383" s="10">
        <f t="shared" si="93"/>
        <v>0</v>
      </c>
      <c r="O383" s="8">
        <f>IFERROR(N383/N444, "NA")</f>
        <v>0</v>
      </c>
      <c r="P383" s="9"/>
      <c r="Q383" s="7">
        <v>0</v>
      </c>
      <c r="R383" s="8">
        <f>IFERROR(Q383/Q444, "NA")</f>
        <v>0</v>
      </c>
      <c r="S383" s="9"/>
      <c r="T383" s="7">
        <v>0</v>
      </c>
      <c r="U383" s="8">
        <f>IFERROR(T383/T444, "NA")</f>
        <v>0</v>
      </c>
      <c r="V383" s="9"/>
      <c r="W383" s="10">
        <f t="shared" si="94"/>
        <v>0</v>
      </c>
      <c r="X383" s="8">
        <f>IFERROR(W383/W444, "NA")</f>
        <v>0</v>
      </c>
      <c r="Y383" s="9"/>
      <c r="Z383" s="7">
        <v>0</v>
      </c>
      <c r="AA383" s="8">
        <f>IFERROR(Z383/Z444, "NA")</f>
        <v>0</v>
      </c>
      <c r="AB383" s="9"/>
      <c r="AC383" s="10">
        <f t="shared" si="95"/>
        <v>0</v>
      </c>
      <c r="AD383" s="8">
        <f>IFERROR(AC383/AC444, "NA")</f>
        <v>0</v>
      </c>
    </row>
    <row r="384" spans="1:30" ht="16.5" customHeight="1" x14ac:dyDescent="0.45">
      <c r="A384" s="5" t="s">
        <v>352</v>
      </c>
      <c r="B384" s="2"/>
      <c r="C384" s="3"/>
      <c r="D384" s="4"/>
      <c r="E384" s="2"/>
      <c r="F384" s="3"/>
      <c r="G384" s="4"/>
      <c r="H384" s="2"/>
      <c r="I384" s="3"/>
      <c r="J384" s="4"/>
      <c r="K384" s="2"/>
      <c r="L384" s="3"/>
      <c r="M384" s="4"/>
      <c r="N384" s="2"/>
      <c r="O384" s="3"/>
      <c r="P384" s="4"/>
      <c r="Q384" s="2"/>
      <c r="R384" s="3"/>
      <c r="S384" s="4"/>
      <c r="T384" s="2"/>
      <c r="U384" s="3"/>
      <c r="V384" s="4"/>
      <c r="W384" s="2"/>
      <c r="X384" s="3"/>
      <c r="Y384" s="4"/>
      <c r="Z384" s="2"/>
      <c r="AA384" s="3"/>
      <c r="AB384" s="4"/>
      <c r="AC384" s="2"/>
      <c r="AD384" s="3"/>
    </row>
    <row r="385" spans="1:30" ht="16.5" hidden="1" customHeight="1" x14ac:dyDescent="0.45">
      <c r="A385" s="6" t="s">
        <v>352</v>
      </c>
      <c r="B385" s="7">
        <v>0</v>
      </c>
      <c r="C385" s="8">
        <f>IFERROR(B385/B444, "NA")</f>
        <v>0</v>
      </c>
      <c r="D385" s="9"/>
      <c r="E385" s="7">
        <v>0</v>
      </c>
      <c r="F385" s="8">
        <f>IFERROR(E385/E444, "NA")</f>
        <v>0</v>
      </c>
      <c r="G385" s="9"/>
      <c r="H385" s="10">
        <f>IFERROR(-(B385-E385), "NA")</f>
        <v>0</v>
      </c>
      <c r="I385" s="8">
        <f>IFERROR(H385/H444, "NA")</f>
        <v>0</v>
      </c>
      <c r="J385" s="9"/>
      <c r="K385" s="7">
        <v>0</v>
      </c>
      <c r="L385" s="8">
        <f>IFERROR(K385/K444, "NA")</f>
        <v>0</v>
      </c>
      <c r="M385" s="9"/>
      <c r="N385" s="10">
        <f>IFERROR(-(B385-K385), "NA")</f>
        <v>0</v>
      </c>
      <c r="O385" s="8">
        <f>IFERROR(N385/N444, "NA")</f>
        <v>0</v>
      </c>
      <c r="P385" s="9"/>
      <c r="Q385" s="7">
        <v>0</v>
      </c>
      <c r="R385" s="8">
        <f>IFERROR(Q385/Q444, "NA")</f>
        <v>0</v>
      </c>
      <c r="S385" s="9"/>
      <c r="T385" s="7">
        <v>0</v>
      </c>
      <c r="U385" s="8">
        <f>IFERROR(T385/T444, "NA")</f>
        <v>0</v>
      </c>
      <c r="V385" s="9"/>
      <c r="W385" s="10">
        <f>IFERROR(-(Q385-T385), "NA")</f>
        <v>0</v>
      </c>
      <c r="X385" s="8">
        <f>IFERROR(W385/W444, "NA")</f>
        <v>0</v>
      </c>
      <c r="Y385" s="9"/>
      <c r="Z385" s="7">
        <v>0</v>
      </c>
      <c r="AA385" s="8">
        <f>IFERROR(Z385/Z444, "NA")</f>
        <v>0</v>
      </c>
      <c r="AB385" s="9"/>
      <c r="AC385" s="10">
        <f>IFERROR(-(Q385-Z385), "NA")</f>
        <v>0</v>
      </c>
      <c r="AD385" s="8">
        <f>IFERROR(AC385/AC444, "NA")</f>
        <v>0</v>
      </c>
    </row>
    <row r="386" spans="1:30" ht="16.5" hidden="1" customHeight="1" x14ac:dyDescent="0.45">
      <c r="A386" s="6" t="s">
        <v>353</v>
      </c>
      <c r="B386" s="7">
        <v>0</v>
      </c>
      <c r="C386" s="8">
        <f>IFERROR(B386/B444, "NA")</f>
        <v>0</v>
      </c>
      <c r="D386" s="9"/>
      <c r="E386" s="7">
        <v>0</v>
      </c>
      <c r="F386" s="8">
        <f>IFERROR(E386/E444, "NA")</f>
        <v>0</v>
      </c>
      <c r="G386" s="9"/>
      <c r="H386" s="10">
        <f>IFERROR(-(B386-E386), "NA")</f>
        <v>0</v>
      </c>
      <c r="I386" s="8">
        <f>IFERROR(H386/H444, "NA")</f>
        <v>0</v>
      </c>
      <c r="J386" s="9"/>
      <c r="K386" s="7">
        <v>0</v>
      </c>
      <c r="L386" s="8">
        <f>IFERROR(K386/K444, "NA")</f>
        <v>0</v>
      </c>
      <c r="M386" s="9"/>
      <c r="N386" s="10">
        <f>IFERROR(-(B386-K386), "NA")</f>
        <v>0</v>
      </c>
      <c r="O386" s="8">
        <f>IFERROR(N386/N444, "NA")</f>
        <v>0</v>
      </c>
      <c r="P386" s="9"/>
      <c r="Q386" s="7">
        <v>0</v>
      </c>
      <c r="R386" s="8">
        <f>IFERROR(Q386/Q444, "NA")</f>
        <v>0</v>
      </c>
      <c r="S386" s="9"/>
      <c r="T386" s="7">
        <v>0</v>
      </c>
      <c r="U386" s="8">
        <f>IFERROR(T386/T444, "NA")</f>
        <v>0</v>
      </c>
      <c r="V386" s="9"/>
      <c r="W386" s="10">
        <f>IFERROR(-(Q386-T386), "NA")</f>
        <v>0</v>
      </c>
      <c r="X386" s="8">
        <f>IFERROR(W386/W444, "NA")</f>
        <v>0</v>
      </c>
      <c r="Y386" s="9"/>
      <c r="Z386" s="7">
        <v>0</v>
      </c>
      <c r="AA386" s="8">
        <f>IFERROR(Z386/Z444, "NA")</f>
        <v>0</v>
      </c>
      <c r="AB386" s="9"/>
      <c r="AC386" s="10">
        <f>IFERROR(-(Q386-Z386), "NA")</f>
        <v>0</v>
      </c>
      <c r="AD386" s="8">
        <f>IFERROR(AC386/AC444, "NA")</f>
        <v>0</v>
      </c>
    </row>
    <row r="387" spans="1:30" ht="16.5" customHeight="1" x14ac:dyDescent="0.45">
      <c r="A387" s="11" t="s">
        <v>354</v>
      </c>
      <c r="B387" s="2"/>
      <c r="C387" s="3"/>
      <c r="D387" s="4"/>
      <c r="E387" s="2"/>
      <c r="F387" s="3"/>
      <c r="G387" s="4"/>
      <c r="H387" s="2"/>
      <c r="I387" s="3"/>
      <c r="J387" s="4"/>
      <c r="K387" s="2"/>
      <c r="L387" s="3"/>
      <c r="M387" s="4"/>
      <c r="N387" s="2"/>
      <c r="O387" s="3"/>
      <c r="P387" s="4"/>
      <c r="Q387" s="2"/>
      <c r="R387" s="3"/>
      <c r="S387" s="4"/>
      <c r="T387" s="2"/>
      <c r="U387" s="3"/>
      <c r="V387" s="4"/>
      <c r="W387" s="2"/>
      <c r="X387" s="3"/>
      <c r="Y387" s="4"/>
      <c r="Z387" s="2"/>
      <c r="AA387" s="3"/>
      <c r="AB387" s="4"/>
      <c r="AC387" s="2"/>
      <c r="AD387" s="3"/>
    </row>
    <row r="388" spans="1:30" ht="16.5" hidden="1" customHeight="1" x14ac:dyDescent="0.45">
      <c r="A388" s="12" t="s">
        <v>354</v>
      </c>
      <c r="B388" s="7">
        <v>0</v>
      </c>
      <c r="C388" s="8">
        <f>IFERROR(B388/B444, "NA")</f>
        <v>0</v>
      </c>
      <c r="D388" s="9"/>
      <c r="E388" s="7">
        <v>0</v>
      </c>
      <c r="F388" s="8">
        <f>IFERROR(E388/E444, "NA")</f>
        <v>0</v>
      </c>
      <c r="G388" s="9"/>
      <c r="H388" s="10">
        <f t="shared" ref="H388:H403" si="96">IFERROR(-(B388-E388), "NA")</f>
        <v>0</v>
      </c>
      <c r="I388" s="8">
        <f>IFERROR(H388/H444, "NA")</f>
        <v>0</v>
      </c>
      <c r="J388" s="9"/>
      <c r="K388" s="7">
        <v>0</v>
      </c>
      <c r="L388" s="8">
        <f>IFERROR(K388/K444, "NA")</f>
        <v>0</v>
      </c>
      <c r="M388" s="9"/>
      <c r="N388" s="10">
        <f t="shared" ref="N388:N403" si="97">IFERROR(-(B388-K388), "NA")</f>
        <v>0</v>
      </c>
      <c r="O388" s="8">
        <f>IFERROR(N388/N444, "NA")</f>
        <v>0</v>
      </c>
      <c r="P388" s="9"/>
      <c r="Q388" s="7">
        <v>0</v>
      </c>
      <c r="R388" s="8">
        <f>IFERROR(Q388/Q444, "NA")</f>
        <v>0</v>
      </c>
      <c r="S388" s="9"/>
      <c r="T388" s="7">
        <v>0</v>
      </c>
      <c r="U388" s="8">
        <f>IFERROR(T388/T444, "NA")</f>
        <v>0</v>
      </c>
      <c r="V388" s="9"/>
      <c r="W388" s="10">
        <f t="shared" ref="W388:W403" si="98">IFERROR(-(Q388-T388), "NA")</f>
        <v>0</v>
      </c>
      <c r="X388" s="8">
        <f>IFERROR(W388/W444, "NA")</f>
        <v>0</v>
      </c>
      <c r="Y388" s="9"/>
      <c r="Z388" s="7">
        <v>0</v>
      </c>
      <c r="AA388" s="8">
        <f>IFERROR(Z388/Z444, "NA")</f>
        <v>0</v>
      </c>
      <c r="AB388" s="9"/>
      <c r="AC388" s="10">
        <f t="shared" ref="AC388:AC403" si="99">IFERROR(-(Q388-Z388), "NA")</f>
        <v>0</v>
      </c>
      <c r="AD388" s="8">
        <f>IFERROR(AC388/AC444, "NA")</f>
        <v>0</v>
      </c>
    </row>
    <row r="389" spans="1:30" ht="16.5" hidden="1" customHeight="1" x14ac:dyDescent="0.45">
      <c r="A389" s="12" t="s">
        <v>355</v>
      </c>
      <c r="B389" s="7">
        <v>0</v>
      </c>
      <c r="C389" s="8">
        <f>IFERROR(B389/B444, "NA")</f>
        <v>0</v>
      </c>
      <c r="D389" s="9"/>
      <c r="E389" s="7">
        <v>0</v>
      </c>
      <c r="F389" s="8">
        <f>IFERROR(E389/E444, "NA")</f>
        <v>0</v>
      </c>
      <c r="G389" s="9"/>
      <c r="H389" s="10">
        <f t="shared" si="96"/>
        <v>0</v>
      </c>
      <c r="I389" s="8">
        <f>IFERROR(H389/H444, "NA")</f>
        <v>0</v>
      </c>
      <c r="J389" s="9"/>
      <c r="K389" s="7">
        <v>0</v>
      </c>
      <c r="L389" s="8">
        <f>IFERROR(K389/K444, "NA")</f>
        <v>0</v>
      </c>
      <c r="M389" s="9"/>
      <c r="N389" s="10">
        <f t="shared" si="97"/>
        <v>0</v>
      </c>
      <c r="O389" s="8">
        <f>IFERROR(N389/N444, "NA")</f>
        <v>0</v>
      </c>
      <c r="P389" s="9"/>
      <c r="Q389" s="7">
        <v>0</v>
      </c>
      <c r="R389" s="8">
        <f>IFERROR(Q389/Q444, "NA")</f>
        <v>0</v>
      </c>
      <c r="S389" s="9"/>
      <c r="T389" s="7">
        <v>0</v>
      </c>
      <c r="U389" s="8">
        <f>IFERROR(T389/T444, "NA")</f>
        <v>0</v>
      </c>
      <c r="V389" s="9"/>
      <c r="W389" s="10">
        <f t="shared" si="98"/>
        <v>0</v>
      </c>
      <c r="X389" s="8">
        <f>IFERROR(W389/W444, "NA")</f>
        <v>0</v>
      </c>
      <c r="Y389" s="9"/>
      <c r="Z389" s="7">
        <v>0</v>
      </c>
      <c r="AA389" s="8">
        <f>IFERROR(Z389/Z444, "NA")</f>
        <v>0</v>
      </c>
      <c r="AB389" s="9"/>
      <c r="AC389" s="10">
        <f t="shared" si="99"/>
        <v>0</v>
      </c>
      <c r="AD389" s="8">
        <f>IFERROR(AC389/AC444, "NA")</f>
        <v>0</v>
      </c>
    </row>
    <row r="390" spans="1:30" ht="16.5" hidden="1" customHeight="1" x14ac:dyDescent="0.45">
      <c r="A390" s="12" t="s">
        <v>356</v>
      </c>
      <c r="B390" s="7">
        <v>0</v>
      </c>
      <c r="C390" s="8">
        <f>IFERROR(B390/B444, "NA")</f>
        <v>0</v>
      </c>
      <c r="D390" s="9"/>
      <c r="E390" s="7">
        <v>0</v>
      </c>
      <c r="F390" s="8">
        <f>IFERROR(E390/E444, "NA")</f>
        <v>0</v>
      </c>
      <c r="G390" s="9"/>
      <c r="H390" s="10">
        <f t="shared" si="96"/>
        <v>0</v>
      </c>
      <c r="I390" s="8">
        <f>IFERROR(H390/H444, "NA")</f>
        <v>0</v>
      </c>
      <c r="J390" s="9"/>
      <c r="K390" s="7">
        <v>0</v>
      </c>
      <c r="L390" s="8">
        <f>IFERROR(K390/K444, "NA")</f>
        <v>0</v>
      </c>
      <c r="M390" s="9"/>
      <c r="N390" s="10">
        <f t="shared" si="97"/>
        <v>0</v>
      </c>
      <c r="O390" s="8">
        <f>IFERROR(N390/N444, "NA")</f>
        <v>0</v>
      </c>
      <c r="P390" s="9"/>
      <c r="Q390" s="7">
        <v>0</v>
      </c>
      <c r="R390" s="8">
        <f>IFERROR(Q390/Q444, "NA")</f>
        <v>0</v>
      </c>
      <c r="S390" s="9"/>
      <c r="T390" s="7">
        <v>0</v>
      </c>
      <c r="U390" s="8">
        <f>IFERROR(T390/T444, "NA")</f>
        <v>0</v>
      </c>
      <c r="V390" s="9"/>
      <c r="W390" s="10">
        <f t="shared" si="98"/>
        <v>0</v>
      </c>
      <c r="X390" s="8">
        <f>IFERROR(W390/W444, "NA")</f>
        <v>0</v>
      </c>
      <c r="Y390" s="9"/>
      <c r="Z390" s="7">
        <v>0</v>
      </c>
      <c r="AA390" s="8">
        <f>IFERROR(Z390/Z444, "NA")</f>
        <v>0</v>
      </c>
      <c r="AB390" s="9"/>
      <c r="AC390" s="10">
        <f t="shared" si="99"/>
        <v>0</v>
      </c>
      <c r="AD390" s="8">
        <f>IFERROR(AC390/AC444, "NA")</f>
        <v>0</v>
      </c>
    </row>
    <row r="391" spans="1:30" ht="16.5" hidden="1" customHeight="1" x14ac:dyDescent="0.45">
      <c r="A391" s="12" t="s">
        <v>357</v>
      </c>
      <c r="B391" s="7">
        <v>0</v>
      </c>
      <c r="C391" s="8">
        <f>IFERROR(B391/B444, "NA")</f>
        <v>0</v>
      </c>
      <c r="D391" s="9"/>
      <c r="E391" s="7">
        <v>0</v>
      </c>
      <c r="F391" s="8">
        <f>IFERROR(E391/E444, "NA")</f>
        <v>0</v>
      </c>
      <c r="G391" s="9"/>
      <c r="H391" s="10">
        <f t="shared" si="96"/>
        <v>0</v>
      </c>
      <c r="I391" s="8">
        <f>IFERROR(H391/H444, "NA")</f>
        <v>0</v>
      </c>
      <c r="J391" s="9"/>
      <c r="K391" s="7">
        <v>0</v>
      </c>
      <c r="L391" s="8">
        <f>IFERROR(K391/K444, "NA")</f>
        <v>0</v>
      </c>
      <c r="M391" s="9"/>
      <c r="N391" s="10">
        <f t="shared" si="97"/>
        <v>0</v>
      </c>
      <c r="O391" s="8">
        <f>IFERROR(N391/N444, "NA")</f>
        <v>0</v>
      </c>
      <c r="P391" s="9"/>
      <c r="Q391" s="7">
        <v>0</v>
      </c>
      <c r="R391" s="8">
        <f>IFERROR(Q391/Q444, "NA")</f>
        <v>0</v>
      </c>
      <c r="S391" s="9"/>
      <c r="T391" s="7">
        <v>0</v>
      </c>
      <c r="U391" s="8">
        <f>IFERROR(T391/T444, "NA")</f>
        <v>0</v>
      </c>
      <c r="V391" s="9"/>
      <c r="W391" s="10">
        <f t="shared" si="98"/>
        <v>0</v>
      </c>
      <c r="X391" s="8">
        <f>IFERROR(W391/W444, "NA")</f>
        <v>0</v>
      </c>
      <c r="Y391" s="9"/>
      <c r="Z391" s="7">
        <v>0</v>
      </c>
      <c r="AA391" s="8">
        <f>IFERROR(Z391/Z444, "NA")</f>
        <v>0</v>
      </c>
      <c r="AB391" s="9"/>
      <c r="AC391" s="10">
        <f t="shared" si="99"/>
        <v>0</v>
      </c>
      <c r="AD391" s="8">
        <f>IFERROR(AC391/AC444, "NA")</f>
        <v>0</v>
      </c>
    </row>
    <row r="392" spans="1:30" ht="16.5" hidden="1" customHeight="1" x14ac:dyDescent="0.45">
      <c r="A392" s="12" t="s">
        <v>358</v>
      </c>
      <c r="B392" s="7">
        <v>0</v>
      </c>
      <c r="C392" s="8">
        <f>IFERROR(B392/B444, "NA")</f>
        <v>0</v>
      </c>
      <c r="D392" s="9"/>
      <c r="E392" s="7">
        <v>0</v>
      </c>
      <c r="F392" s="8">
        <f>IFERROR(E392/E444, "NA")</f>
        <v>0</v>
      </c>
      <c r="G392" s="9"/>
      <c r="H392" s="10">
        <f t="shared" si="96"/>
        <v>0</v>
      </c>
      <c r="I392" s="8">
        <f>IFERROR(H392/H444, "NA")</f>
        <v>0</v>
      </c>
      <c r="J392" s="9"/>
      <c r="K392" s="7">
        <v>0</v>
      </c>
      <c r="L392" s="8">
        <f>IFERROR(K392/K444, "NA")</f>
        <v>0</v>
      </c>
      <c r="M392" s="9"/>
      <c r="N392" s="10">
        <f t="shared" si="97"/>
        <v>0</v>
      </c>
      <c r="O392" s="8">
        <f>IFERROR(N392/N444, "NA")</f>
        <v>0</v>
      </c>
      <c r="P392" s="9"/>
      <c r="Q392" s="7">
        <v>0</v>
      </c>
      <c r="R392" s="8">
        <f>IFERROR(Q392/Q444, "NA")</f>
        <v>0</v>
      </c>
      <c r="S392" s="9"/>
      <c r="T392" s="7">
        <v>0</v>
      </c>
      <c r="U392" s="8">
        <f>IFERROR(T392/T444, "NA")</f>
        <v>0</v>
      </c>
      <c r="V392" s="9"/>
      <c r="W392" s="10">
        <f t="shared" si="98"/>
        <v>0</v>
      </c>
      <c r="X392" s="8">
        <f>IFERROR(W392/W444, "NA")</f>
        <v>0</v>
      </c>
      <c r="Y392" s="9"/>
      <c r="Z392" s="7">
        <v>0</v>
      </c>
      <c r="AA392" s="8">
        <f>IFERROR(Z392/Z444, "NA")</f>
        <v>0</v>
      </c>
      <c r="AB392" s="9"/>
      <c r="AC392" s="10">
        <f t="shared" si="99"/>
        <v>0</v>
      </c>
      <c r="AD392" s="8">
        <f>IFERROR(AC392/AC444, "NA")</f>
        <v>0</v>
      </c>
    </row>
    <row r="393" spans="1:30" ht="16.5" customHeight="1" x14ac:dyDescent="0.45">
      <c r="A393" s="13" t="s">
        <v>359</v>
      </c>
      <c r="B393" s="14">
        <f>IFERROR(B388+B389+B390+B391+B392, "NA")</f>
        <v>0</v>
      </c>
      <c r="C393" s="15">
        <f>IFERROR(B393/B444, "NA")</f>
        <v>0</v>
      </c>
      <c r="D393" s="2"/>
      <c r="E393" s="14">
        <f>IFERROR(E388+E389+E390+E391+E392, "NA")</f>
        <v>0</v>
      </c>
      <c r="F393" s="15">
        <f>IFERROR(E393/E444, "NA")</f>
        <v>0</v>
      </c>
      <c r="G393" s="2"/>
      <c r="H393" s="14">
        <f t="shared" si="96"/>
        <v>0</v>
      </c>
      <c r="I393" s="15">
        <f>IFERROR(H393/H444, "NA")</f>
        <v>0</v>
      </c>
      <c r="J393" s="2"/>
      <c r="K393" s="14">
        <f>IFERROR(K388+K389+K390+K391+K392, "NA")</f>
        <v>0</v>
      </c>
      <c r="L393" s="15">
        <f>IFERROR(K393/K444, "NA")</f>
        <v>0</v>
      </c>
      <c r="M393" s="2"/>
      <c r="N393" s="14">
        <f t="shared" si="97"/>
        <v>0</v>
      </c>
      <c r="O393" s="15">
        <f>IFERROR(N393/N444, "NA")</f>
        <v>0</v>
      </c>
      <c r="P393" s="2"/>
      <c r="Q393" s="14">
        <f>IFERROR(Q388+Q389+Q390+Q391+Q392, "NA")</f>
        <v>0</v>
      </c>
      <c r="R393" s="15">
        <f>IFERROR(Q393/Q444, "NA")</f>
        <v>0</v>
      </c>
      <c r="S393" s="2"/>
      <c r="T393" s="14">
        <f>IFERROR(T388+T389+T390+T391+T392, "NA")</f>
        <v>0</v>
      </c>
      <c r="U393" s="15">
        <f>IFERROR(T393/T444, "NA")</f>
        <v>0</v>
      </c>
      <c r="V393" s="2"/>
      <c r="W393" s="14">
        <f t="shared" si="98"/>
        <v>0</v>
      </c>
      <c r="X393" s="15">
        <f>IFERROR(W393/W444, "NA")</f>
        <v>0</v>
      </c>
      <c r="Y393" s="2"/>
      <c r="Z393" s="14">
        <f>IFERROR(Z388+Z389+Z390+Z391+Z392, "NA")</f>
        <v>0</v>
      </c>
      <c r="AA393" s="15">
        <f>IFERROR(Z393/Z444, "NA")</f>
        <v>0</v>
      </c>
      <c r="AB393" s="2"/>
      <c r="AC393" s="14">
        <f t="shared" si="99"/>
        <v>0</v>
      </c>
      <c r="AD393" s="15">
        <f>IFERROR(AC393/AC444, "NA")</f>
        <v>0</v>
      </c>
    </row>
    <row r="394" spans="1:30" ht="16.5" hidden="1" customHeight="1" x14ac:dyDescent="0.45">
      <c r="A394" s="6" t="s">
        <v>360</v>
      </c>
      <c r="B394" s="7">
        <v>0</v>
      </c>
      <c r="C394" s="8">
        <f>IFERROR(B394/B444, "NA")</f>
        <v>0</v>
      </c>
      <c r="D394" s="9"/>
      <c r="E394" s="7">
        <v>0</v>
      </c>
      <c r="F394" s="8">
        <f>IFERROR(E394/E444, "NA")</f>
        <v>0</v>
      </c>
      <c r="G394" s="9"/>
      <c r="H394" s="10">
        <f t="shared" si="96"/>
        <v>0</v>
      </c>
      <c r="I394" s="8">
        <f>IFERROR(H394/H444, "NA")</f>
        <v>0</v>
      </c>
      <c r="J394" s="9"/>
      <c r="K394" s="7">
        <v>0</v>
      </c>
      <c r="L394" s="8">
        <f>IFERROR(K394/K444, "NA")</f>
        <v>0</v>
      </c>
      <c r="M394" s="9"/>
      <c r="N394" s="10">
        <f t="shared" si="97"/>
        <v>0</v>
      </c>
      <c r="O394" s="8">
        <f>IFERROR(N394/N444, "NA")</f>
        <v>0</v>
      </c>
      <c r="P394" s="9"/>
      <c r="Q394" s="7">
        <v>0</v>
      </c>
      <c r="R394" s="8">
        <f>IFERROR(Q394/Q444, "NA")</f>
        <v>0</v>
      </c>
      <c r="S394" s="9"/>
      <c r="T394" s="7">
        <v>0</v>
      </c>
      <c r="U394" s="8">
        <f>IFERROR(T394/T444, "NA")</f>
        <v>0</v>
      </c>
      <c r="V394" s="9"/>
      <c r="W394" s="10">
        <f t="shared" si="98"/>
        <v>0</v>
      </c>
      <c r="X394" s="8">
        <f>IFERROR(W394/W444, "NA")</f>
        <v>0</v>
      </c>
      <c r="Y394" s="9"/>
      <c r="Z394" s="7">
        <v>0</v>
      </c>
      <c r="AA394" s="8">
        <f>IFERROR(Z394/Z444, "NA")</f>
        <v>0</v>
      </c>
      <c r="AB394" s="9"/>
      <c r="AC394" s="10">
        <f t="shared" si="99"/>
        <v>0</v>
      </c>
      <c r="AD394" s="8">
        <f>IFERROR(AC394/AC444, "NA")</f>
        <v>0</v>
      </c>
    </row>
    <row r="395" spans="1:30" ht="16.5" hidden="1" customHeight="1" x14ac:dyDescent="0.45">
      <c r="A395" s="6" t="s">
        <v>361</v>
      </c>
      <c r="B395" s="7">
        <v>0</v>
      </c>
      <c r="C395" s="8">
        <f>IFERROR(B395/B444, "NA")</f>
        <v>0</v>
      </c>
      <c r="D395" s="9"/>
      <c r="E395" s="7">
        <v>0</v>
      </c>
      <c r="F395" s="8">
        <f>IFERROR(E395/E444, "NA")</f>
        <v>0</v>
      </c>
      <c r="G395" s="9"/>
      <c r="H395" s="10">
        <f t="shared" si="96"/>
        <v>0</v>
      </c>
      <c r="I395" s="8">
        <f>IFERROR(H395/H444, "NA")</f>
        <v>0</v>
      </c>
      <c r="J395" s="9"/>
      <c r="K395" s="7">
        <v>0</v>
      </c>
      <c r="L395" s="8">
        <f>IFERROR(K395/K444, "NA")</f>
        <v>0</v>
      </c>
      <c r="M395" s="9"/>
      <c r="N395" s="10">
        <f t="shared" si="97"/>
        <v>0</v>
      </c>
      <c r="O395" s="8">
        <f>IFERROR(N395/N444, "NA")</f>
        <v>0</v>
      </c>
      <c r="P395" s="9"/>
      <c r="Q395" s="7">
        <v>0</v>
      </c>
      <c r="R395" s="8">
        <f>IFERROR(Q395/Q444, "NA")</f>
        <v>0</v>
      </c>
      <c r="S395" s="9"/>
      <c r="T395" s="7">
        <v>0</v>
      </c>
      <c r="U395" s="8">
        <f>IFERROR(T395/T444, "NA")</f>
        <v>0</v>
      </c>
      <c r="V395" s="9"/>
      <c r="W395" s="10">
        <f t="shared" si="98"/>
        <v>0</v>
      </c>
      <c r="X395" s="8">
        <f>IFERROR(W395/W444, "NA")</f>
        <v>0</v>
      </c>
      <c r="Y395" s="9"/>
      <c r="Z395" s="7">
        <v>0</v>
      </c>
      <c r="AA395" s="8">
        <f>IFERROR(Z395/Z444, "NA")</f>
        <v>0</v>
      </c>
      <c r="AB395" s="9"/>
      <c r="AC395" s="10">
        <f t="shared" si="99"/>
        <v>0</v>
      </c>
      <c r="AD395" s="8">
        <f>IFERROR(AC395/AC444, "NA")</f>
        <v>0</v>
      </c>
    </row>
    <row r="396" spans="1:30" ht="16.5" customHeight="1" x14ac:dyDescent="0.45">
      <c r="A396" s="19" t="s">
        <v>362</v>
      </c>
      <c r="B396" s="14">
        <f>IFERROR(B385+B386+B388+B389+B390+B391+B392+B394+B395, "NA")</f>
        <v>0</v>
      </c>
      <c r="C396" s="15">
        <f>IFERROR(B396/B444, "NA")</f>
        <v>0</v>
      </c>
      <c r="D396" s="2"/>
      <c r="E396" s="14">
        <f>IFERROR(E385+E386+E388+E389+E390+E391+E392+E394+E395, "NA")</f>
        <v>0</v>
      </c>
      <c r="F396" s="15">
        <f>IFERROR(E396/E444, "NA")</f>
        <v>0</v>
      </c>
      <c r="G396" s="2"/>
      <c r="H396" s="14">
        <f t="shared" si="96"/>
        <v>0</v>
      </c>
      <c r="I396" s="15">
        <f>IFERROR(H396/H444, "NA")</f>
        <v>0</v>
      </c>
      <c r="J396" s="2"/>
      <c r="K396" s="14">
        <f>IFERROR(K385+K386+K388+K389+K390+K391+K392+K394+K395, "NA")</f>
        <v>0</v>
      </c>
      <c r="L396" s="15">
        <f>IFERROR(K396/K444, "NA")</f>
        <v>0</v>
      </c>
      <c r="M396" s="2"/>
      <c r="N396" s="14">
        <f t="shared" si="97"/>
        <v>0</v>
      </c>
      <c r="O396" s="15">
        <f>IFERROR(N396/N444, "NA")</f>
        <v>0</v>
      </c>
      <c r="P396" s="2"/>
      <c r="Q396" s="14">
        <f>IFERROR(Q385+Q386+Q388+Q389+Q390+Q391+Q392+Q394+Q395, "NA")</f>
        <v>0</v>
      </c>
      <c r="R396" s="15">
        <f>IFERROR(Q396/Q444, "NA")</f>
        <v>0</v>
      </c>
      <c r="S396" s="2"/>
      <c r="T396" s="14">
        <f>IFERROR(T385+T386+T388+T389+T390+T391+T392+T394+T395, "NA")</f>
        <v>0</v>
      </c>
      <c r="U396" s="15">
        <f>IFERROR(T396/T444, "NA")</f>
        <v>0</v>
      </c>
      <c r="V396" s="2"/>
      <c r="W396" s="14">
        <f t="shared" si="98"/>
        <v>0</v>
      </c>
      <c r="X396" s="15">
        <f>IFERROR(W396/W444, "NA")</f>
        <v>0</v>
      </c>
      <c r="Y396" s="2"/>
      <c r="Z396" s="14">
        <f>IFERROR(Z385+Z386+Z388+Z389+Z390+Z391+Z392+Z394+Z395, "NA")</f>
        <v>0</v>
      </c>
      <c r="AA396" s="15">
        <f>IFERROR(Z396/Z444, "NA")</f>
        <v>0</v>
      </c>
      <c r="AB396" s="2"/>
      <c r="AC396" s="14">
        <f t="shared" si="99"/>
        <v>0</v>
      </c>
      <c r="AD396" s="15">
        <f>IFERROR(AC396/AC444, "NA")</f>
        <v>0</v>
      </c>
    </row>
    <row r="397" spans="1:30" ht="16.5" hidden="1" customHeight="1" x14ac:dyDescent="0.45">
      <c r="A397" s="20" t="s">
        <v>363</v>
      </c>
      <c r="B397" s="7">
        <v>0</v>
      </c>
      <c r="C397" s="8">
        <f>IFERROR(B397/B444, "NA")</f>
        <v>0</v>
      </c>
      <c r="D397" s="9"/>
      <c r="E397" s="7">
        <v>0</v>
      </c>
      <c r="F397" s="8">
        <f>IFERROR(E397/E444, "NA")</f>
        <v>0</v>
      </c>
      <c r="G397" s="9"/>
      <c r="H397" s="10">
        <f t="shared" si="96"/>
        <v>0</v>
      </c>
      <c r="I397" s="8">
        <f>IFERROR(H397/H444, "NA")</f>
        <v>0</v>
      </c>
      <c r="J397" s="9"/>
      <c r="K397" s="7">
        <v>0</v>
      </c>
      <c r="L397" s="8">
        <f>IFERROR(K397/K444, "NA")</f>
        <v>0</v>
      </c>
      <c r="M397" s="9"/>
      <c r="N397" s="10">
        <f t="shared" si="97"/>
        <v>0</v>
      </c>
      <c r="O397" s="8">
        <f>IFERROR(N397/N444, "NA")</f>
        <v>0</v>
      </c>
      <c r="P397" s="9"/>
      <c r="Q397" s="7">
        <v>0</v>
      </c>
      <c r="R397" s="8">
        <f>IFERROR(Q397/Q444, "NA")</f>
        <v>0</v>
      </c>
      <c r="S397" s="9"/>
      <c r="T397" s="7">
        <v>0</v>
      </c>
      <c r="U397" s="8">
        <f>IFERROR(T397/T444, "NA")</f>
        <v>0</v>
      </c>
      <c r="V397" s="9"/>
      <c r="W397" s="10">
        <f t="shared" si="98"/>
        <v>0</v>
      </c>
      <c r="X397" s="8">
        <f>IFERROR(W397/W444, "NA")</f>
        <v>0</v>
      </c>
      <c r="Y397" s="9"/>
      <c r="Z397" s="7">
        <v>0</v>
      </c>
      <c r="AA397" s="8">
        <f>IFERROR(Z397/Z444, "NA")</f>
        <v>0</v>
      </c>
      <c r="AB397" s="9"/>
      <c r="AC397" s="10">
        <f t="shared" si="99"/>
        <v>0</v>
      </c>
      <c r="AD397" s="8">
        <f>IFERROR(AC397/AC444, "NA")</f>
        <v>0</v>
      </c>
    </row>
    <row r="398" spans="1:30" ht="16.5" hidden="1" customHeight="1" x14ac:dyDescent="0.45">
      <c r="A398" s="20" t="s">
        <v>364</v>
      </c>
      <c r="B398" s="7">
        <v>0</v>
      </c>
      <c r="C398" s="8">
        <f>IFERROR(B398/B444, "NA")</f>
        <v>0</v>
      </c>
      <c r="D398" s="9"/>
      <c r="E398" s="7">
        <v>0</v>
      </c>
      <c r="F398" s="8">
        <f>IFERROR(E398/E444, "NA")</f>
        <v>0</v>
      </c>
      <c r="G398" s="9"/>
      <c r="H398" s="10">
        <f t="shared" si="96"/>
        <v>0</v>
      </c>
      <c r="I398" s="8">
        <f>IFERROR(H398/H444, "NA")</f>
        <v>0</v>
      </c>
      <c r="J398" s="9"/>
      <c r="K398" s="7">
        <v>0</v>
      </c>
      <c r="L398" s="8">
        <f>IFERROR(K398/K444, "NA")</f>
        <v>0</v>
      </c>
      <c r="M398" s="9"/>
      <c r="N398" s="10">
        <f t="shared" si="97"/>
        <v>0</v>
      </c>
      <c r="O398" s="8">
        <f>IFERROR(N398/N444, "NA")</f>
        <v>0</v>
      </c>
      <c r="P398" s="9"/>
      <c r="Q398" s="7">
        <v>0</v>
      </c>
      <c r="R398" s="8">
        <f>IFERROR(Q398/Q444, "NA")</f>
        <v>0</v>
      </c>
      <c r="S398" s="9"/>
      <c r="T398" s="7">
        <v>0</v>
      </c>
      <c r="U398" s="8">
        <f>IFERROR(T398/T444, "NA")</f>
        <v>0</v>
      </c>
      <c r="V398" s="9"/>
      <c r="W398" s="10">
        <f t="shared" si="98"/>
        <v>0</v>
      </c>
      <c r="X398" s="8">
        <f>IFERROR(W398/W444, "NA")</f>
        <v>0</v>
      </c>
      <c r="Y398" s="9"/>
      <c r="Z398" s="7">
        <v>0</v>
      </c>
      <c r="AA398" s="8">
        <f>IFERROR(Z398/Z444, "NA")</f>
        <v>0</v>
      </c>
      <c r="AB398" s="9"/>
      <c r="AC398" s="10">
        <f t="shared" si="99"/>
        <v>0</v>
      </c>
      <c r="AD398" s="8">
        <f>IFERROR(AC398/AC444, "NA")</f>
        <v>0</v>
      </c>
    </row>
    <row r="399" spans="1:30" ht="16.5" hidden="1" customHeight="1" x14ac:dyDescent="0.45">
      <c r="A399" s="20" t="s">
        <v>365</v>
      </c>
      <c r="B399" s="7">
        <v>0</v>
      </c>
      <c r="C399" s="8">
        <f>IFERROR(B399/B444, "NA")</f>
        <v>0</v>
      </c>
      <c r="D399" s="9"/>
      <c r="E399" s="7">
        <v>0</v>
      </c>
      <c r="F399" s="8">
        <f>IFERROR(E399/E444, "NA")</f>
        <v>0</v>
      </c>
      <c r="G399" s="9"/>
      <c r="H399" s="10">
        <f t="shared" si="96"/>
        <v>0</v>
      </c>
      <c r="I399" s="8">
        <f>IFERROR(H399/H444, "NA")</f>
        <v>0</v>
      </c>
      <c r="J399" s="9"/>
      <c r="K399" s="7">
        <v>0</v>
      </c>
      <c r="L399" s="8">
        <f>IFERROR(K399/K444, "NA")</f>
        <v>0</v>
      </c>
      <c r="M399" s="9"/>
      <c r="N399" s="10">
        <f t="shared" si="97"/>
        <v>0</v>
      </c>
      <c r="O399" s="8">
        <f>IFERROR(N399/N444, "NA")</f>
        <v>0</v>
      </c>
      <c r="P399" s="9"/>
      <c r="Q399" s="7">
        <v>0</v>
      </c>
      <c r="R399" s="8">
        <f>IFERROR(Q399/Q444, "NA")</f>
        <v>0</v>
      </c>
      <c r="S399" s="9"/>
      <c r="T399" s="7">
        <v>0</v>
      </c>
      <c r="U399" s="8">
        <f>IFERROR(T399/T444, "NA")</f>
        <v>0</v>
      </c>
      <c r="V399" s="9"/>
      <c r="W399" s="10">
        <f t="shared" si="98"/>
        <v>0</v>
      </c>
      <c r="X399" s="8">
        <f>IFERROR(W399/W444, "NA")</f>
        <v>0</v>
      </c>
      <c r="Y399" s="9"/>
      <c r="Z399" s="7">
        <v>0</v>
      </c>
      <c r="AA399" s="8">
        <f>IFERROR(Z399/Z444, "NA")</f>
        <v>0</v>
      </c>
      <c r="AB399" s="9"/>
      <c r="AC399" s="10">
        <f t="shared" si="99"/>
        <v>0</v>
      </c>
      <c r="AD399" s="8">
        <f>IFERROR(AC399/AC444, "NA")</f>
        <v>0</v>
      </c>
    </row>
    <row r="400" spans="1:30" ht="16.5" hidden="1" customHeight="1" x14ac:dyDescent="0.45">
      <c r="A400" s="20" t="s">
        <v>366</v>
      </c>
      <c r="B400" s="7">
        <v>0</v>
      </c>
      <c r="C400" s="8">
        <f>IFERROR(B400/B444, "NA")</f>
        <v>0</v>
      </c>
      <c r="D400" s="9"/>
      <c r="E400" s="7">
        <v>0</v>
      </c>
      <c r="F400" s="8">
        <f>IFERROR(E400/E444, "NA")</f>
        <v>0</v>
      </c>
      <c r="G400" s="9"/>
      <c r="H400" s="10">
        <f t="shared" si="96"/>
        <v>0</v>
      </c>
      <c r="I400" s="8">
        <f>IFERROR(H400/H444, "NA")</f>
        <v>0</v>
      </c>
      <c r="J400" s="9"/>
      <c r="K400" s="7">
        <v>0</v>
      </c>
      <c r="L400" s="8">
        <f>IFERROR(K400/K444, "NA")</f>
        <v>0</v>
      </c>
      <c r="M400" s="9"/>
      <c r="N400" s="10">
        <f t="shared" si="97"/>
        <v>0</v>
      </c>
      <c r="O400" s="8">
        <f>IFERROR(N400/N444, "NA")</f>
        <v>0</v>
      </c>
      <c r="P400" s="9"/>
      <c r="Q400" s="7">
        <v>0</v>
      </c>
      <c r="R400" s="8">
        <f>IFERROR(Q400/Q444, "NA")</f>
        <v>0</v>
      </c>
      <c r="S400" s="9"/>
      <c r="T400" s="7">
        <v>0</v>
      </c>
      <c r="U400" s="8">
        <f>IFERROR(T400/T444, "NA")</f>
        <v>0</v>
      </c>
      <c r="V400" s="9"/>
      <c r="W400" s="10">
        <f t="shared" si="98"/>
        <v>0</v>
      </c>
      <c r="X400" s="8">
        <f>IFERROR(W400/W444, "NA")</f>
        <v>0</v>
      </c>
      <c r="Y400" s="9"/>
      <c r="Z400" s="7">
        <v>0</v>
      </c>
      <c r="AA400" s="8">
        <f>IFERROR(Z400/Z444, "NA")</f>
        <v>0</v>
      </c>
      <c r="AB400" s="9"/>
      <c r="AC400" s="10">
        <f t="shared" si="99"/>
        <v>0</v>
      </c>
      <c r="AD400" s="8">
        <f>IFERROR(AC400/AC444, "NA")</f>
        <v>0</v>
      </c>
    </row>
    <row r="401" spans="1:30" ht="16.5" hidden="1" customHeight="1" x14ac:dyDescent="0.45">
      <c r="A401" s="20" t="s">
        <v>367</v>
      </c>
      <c r="B401" s="7">
        <v>0</v>
      </c>
      <c r="C401" s="8">
        <f>IFERROR(B401/B444, "NA")</f>
        <v>0</v>
      </c>
      <c r="D401" s="9"/>
      <c r="E401" s="7">
        <v>0</v>
      </c>
      <c r="F401" s="8">
        <f>IFERROR(E401/E444, "NA")</f>
        <v>0</v>
      </c>
      <c r="G401" s="9"/>
      <c r="H401" s="10">
        <f t="shared" si="96"/>
        <v>0</v>
      </c>
      <c r="I401" s="8">
        <f>IFERROR(H401/H444, "NA")</f>
        <v>0</v>
      </c>
      <c r="J401" s="9"/>
      <c r="K401" s="7">
        <v>0</v>
      </c>
      <c r="L401" s="8">
        <f>IFERROR(K401/K444, "NA")</f>
        <v>0</v>
      </c>
      <c r="M401" s="9"/>
      <c r="N401" s="10">
        <f t="shared" si="97"/>
        <v>0</v>
      </c>
      <c r="O401" s="8">
        <f>IFERROR(N401/N444, "NA")</f>
        <v>0</v>
      </c>
      <c r="P401" s="9"/>
      <c r="Q401" s="7">
        <v>0</v>
      </c>
      <c r="R401" s="8">
        <f>IFERROR(Q401/Q444, "NA")</f>
        <v>0</v>
      </c>
      <c r="S401" s="9"/>
      <c r="T401" s="7">
        <v>0</v>
      </c>
      <c r="U401" s="8">
        <f>IFERROR(T401/T444, "NA")</f>
        <v>0</v>
      </c>
      <c r="V401" s="9"/>
      <c r="W401" s="10">
        <f t="shared" si="98"/>
        <v>0</v>
      </c>
      <c r="X401" s="8">
        <f>IFERROR(W401/W444, "NA")</f>
        <v>0</v>
      </c>
      <c r="Y401" s="9"/>
      <c r="Z401" s="7">
        <v>0</v>
      </c>
      <c r="AA401" s="8">
        <f>IFERROR(Z401/Z444, "NA")</f>
        <v>0</v>
      </c>
      <c r="AB401" s="9"/>
      <c r="AC401" s="10">
        <f t="shared" si="99"/>
        <v>0</v>
      </c>
      <c r="AD401" s="8">
        <f>IFERROR(AC401/AC444, "NA")</f>
        <v>0</v>
      </c>
    </row>
    <row r="402" spans="1:30" ht="16.5" hidden="1" customHeight="1" x14ac:dyDescent="0.45">
      <c r="A402" s="20" t="s">
        <v>368</v>
      </c>
      <c r="B402" s="7">
        <v>0</v>
      </c>
      <c r="C402" s="8">
        <f>IFERROR(B402/B444, "NA")</f>
        <v>0</v>
      </c>
      <c r="D402" s="9"/>
      <c r="E402" s="7">
        <v>0</v>
      </c>
      <c r="F402" s="8">
        <f>IFERROR(E402/E444, "NA")</f>
        <v>0</v>
      </c>
      <c r="G402" s="9"/>
      <c r="H402" s="10">
        <f t="shared" si="96"/>
        <v>0</v>
      </c>
      <c r="I402" s="8">
        <f>IFERROR(H402/H444, "NA")</f>
        <v>0</v>
      </c>
      <c r="J402" s="9"/>
      <c r="K402" s="7">
        <v>0</v>
      </c>
      <c r="L402" s="8">
        <f>IFERROR(K402/K444, "NA")</f>
        <v>0</v>
      </c>
      <c r="M402" s="9"/>
      <c r="N402" s="10">
        <f t="shared" si="97"/>
        <v>0</v>
      </c>
      <c r="O402" s="8">
        <f>IFERROR(N402/N444, "NA")</f>
        <v>0</v>
      </c>
      <c r="P402" s="9"/>
      <c r="Q402" s="7">
        <v>0</v>
      </c>
      <c r="R402" s="8">
        <f>IFERROR(Q402/Q444, "NA")</f>
        <v>0</v>
      </c>
      <c r="S402" s="9"/>
      <c r="T402" s="7">
        <v>0</v>
      </c>
      <c r="U402" s="8">
        <f>IFERROR(T402/T444, "NA")</f>
        <v>0</v>
      </c>
      <c r="V402" s="9"/>
      <c r="W402" s="10">
        <f t="shared" si="98"/>
        <v>0</v>
      </c>
      <c r="X402" s="8">
        <f>IFERROR(W402/W444, "NA")</f>
        <v>0</v>
      </c>
      <c r="Y402" s="9"/>
      <c r="Z402" s="7">
        <v>0</v>
      </c>
      <c r="AA402" s="8">
        <f>IFERROR(Z402/Z444, "NA")</f>
        <v>0</v>
      </c>
      <c r="AB402" s="9"/>
      <c r="AC402" s="10">
        <f t="shared" si="99"/>
        <v>0</v>
      </c>
      <c r="AD402" s="8">
        <f>IFERROR(AC402/AC444, "NA")</f>
        <v>0</v>
      </c>
    </row>
    <row r="403" spans="1:30" ht="16.5" customHeight="1" x14ac:dyDescent="0.45">
      <c r="A403" s="21" t="s">
        <v>369</v>
      </c>
      <c r="B403" s="14">
        <f>IFERROR(B347+B349+B350+B351+B352+B353+B354+B355+B356+B357+B360+B361+B362+B363+B364+B365+B366+B367+B369+B370+B371+B372+B373+B374+B375+B376+B377+B378+B379+B380+B381+B382+B383+B385+B386+B388+B389+B390+B391+B392+B394+B395+B397+B398+B399+B400+B401+B402, "NA")</f>
        <v>0</v>
      </c>
      <c r="C403" s="15">
        <f>IFERROR(B403/B444, "NA")</f>
        <v>0</v>
      </c>
      <c r="D403" s="2"/>
      <c r="E403" s="14">
        <f>IFERROR(E347+E349+E350+E351+E352+E353+E354+E355+E356+E357+E360+E361+E362+E363+E364+E365+E366+E367+E369+E370+E371+E372+E373+E374+E375+E376+E377+E378+E379+E380+E381+E382+E383+E385+E386+E388+E389+E390+E391+E392+E394+E395+E397+E398+E399+E400+E401+E402, "NA")</f>
        <v>0</v>
      </c>
      <c r="F403" s="15">
        <f>IFERROR(E403/E444, "NA")</f>
        <v>0</v>
      </c>
      <c r="G403" s="2"/>
      <c r="H403" s="14">
        <f t="shared" si="96"/>
        <v>0</v>
      </c>
      <c r="I403" s="15">
        <f>IFERROR(H403/H444, "NA")</f>
        <v>0</v>
      </c>
      <c r="J403" s="2"/>
      <c r="K403" s="14">
        <f>IFERROR(K347+K349+K350+K351+K352+K353+K354+K355+K356+K357+K360+K361+K362+K363+K364+K365+K366+K367+K369+K370+K371+K372+K373+K374+K375+K376+K377+K378+K379+K380+K381+K382+K383+K385+K386+K388+K389+K390+K391+K392+K394+K395+K397+K398+K399+K400+K401+K402, "NA")</f>
        <v>0</v>
      </c>
      <c r="L403" s="15">
        <f>IFERROR(K403/K444, "NA")</f>
        <v>0</v>
      </c>
      <c r="M403" s="2"/>
      <c r="N403" s="14">
        <f t="shared" si="97"/>
        <v>0</v>
      </c>
      <c r="O403" s="15">
        <f>IFERROR(N403/N444, "NA")</f>
        <v>0</v>
      </c>
      <c r="P403" s="2"/>
      <c r="Q403" s="14">
        <f>IFERROR(Q347+Q349+Q350+Q351+Q352+Q353+Q354+Q355+Q356+Q357+Q360+Q361+Q362+Q363+Q364+Q365+Q366+Q367+Q369+Q370+Q371+Q372+Q373+Q374+Q375+Q376+Q377+Q378+Q379+Q380+Q381+Q382+Q383+Q385+Q386+Q388+Q389+Q390+Q391+Q392+Q394+Q395+Q397+Q398+Q399+Q400+Q401+Q402, "NA")</f>
        <v>0</v>
      </c>
      <c r="R403" s="15">
        <f>IFERROR(Q403/Q444, "NA")</f>
        <v>0</v>
      </c>
      <c r="S403" s="2"/>
      <c r="T403" s="14">
        <f>IFERROR(T347+T349+T350+T351+T352+T353+T354+T355+T356+T357+T360+T361+T362+T363+T364+T365+T366+T367+T369+T370+T371+T372+T373+T374+T375+T376+T377+T378+T379+T380+T381+T382+T383+T385+T386+T388+T389+T390+T391+T392+T394+T395+T397+T398+T399+T400+T401+T402, "NA")</f>
        <v>0</v>
      </c>
      <c r="U403" s="15">
        <f>IFERROR(T403/T444, "NA")</f>
        <v>0</v>
      </c>
      <c r="V403" s="2"/>
      <c r="W403" s="14">
        <f t="shared" si="98"/>
        <v>0</v>
      </c>
      <c r="X403" s="15">
        <f>IFERROR(W403/W444, "NA")</f>
        <v>0</v>
      </c>
      <c r="Y403" s="2"/>
      <c r="Z403" s="14">
        <f>IFERROR(Z347+Z349+Z350+Z351+Z352+Z353+Z354+Z355+Z356+Z357+Z360+Z361+Z362+Z363+Z364+Z365+Z366+Z367+Z369+Z370+Z371+Z372+Z373+Z374+Z375+Z376+Z377+Z378+Z379+Z380+Z381+Z382+Z383+Z385+Z386+Z388+Z389+Z390+Z391+Z392+Z394+Z395+Z397+Z398+Z399+Z400+Z401+Z402, "NA")</f>
        <v>0</v>
      </c>
      <c r="AA403" s="15">
        <f>IFERROR(Z403/Z444, "NA")</f>
        <v>0</v>
      </c>
      <c r="AB403" s="2"/>
      <c r="AC403" s="14">
        <f t="shared" si="99"/>
        <v>0</v>
      </c>
      <c r="AD403" s="15">
        <f>IFERROR(AC403/AC444, "NA")</f>
        <v>0</v>
      </c>
    </row>
    <row r="404" spans="1:30" ht="16.5" customHeight="1" x14ac:dyDescent="0.45">
      <c r="A404" s="22" t="s">
        <v>370</v>
      </c>
      <c r="B404" s="23">
        <f>IFERROR(B345-B403, "NA")</f>
        <v>-7524.270000000015</v>
      </c>
      <c r="C404" s="24">
        <f>IFERROR(B404/B444, "NA")</f>
        <v>-6.5419503598204545E-2</v>
      </c>
      <c r="D404" s="25"/>
      <c r="E404" s="23">
        <f>IFERROR(E345-E403, "NA")</f>
        <v>15548.269999999971</v>
      </c>
      <c r="F404" s="24">
        <f>IFERROR(E404/E444, "NA")</f>
        <v>0.11637629608405932</v>
      </c>
      <c r="G404" s="25"/>
      <c r="H404" s="23">
        <f>IFERROR(B404-E404, "NA")</f>
        <v>-23072.539999999986</v>
      </c>
      <c r="I404" s="24">
        <f>IFERROR(H404/H444, "NA")</f>
        <v>1.2412793184313711</v>
      </c>
      <c r="J404" s="25"/>
      <c r="K404" s="23">
        <f>IFERROR(K345-K403, "NA")</f>
        <v>3204.1800000000258</v>
      </c>
      <c r="L404" s="24">
        <f>IFERROR(K404/K444, "NA")</f>
        <v>2.8299667100146805E-2</v>
      </c>
      <c r="M404" s="25"/>
      <c r="N404" s="23">
        <f>IFERROR(B404-K404, "NA")</f>
        <v>-10728.450000000041</v>
      </c>
      <c r="O404" s="24">
        <f>IFERROR(N404/N444, "NA")</f>
        <v>-5.9853218481863415</v>
      </c>
      <c r="P404" s="25"/>
      <c r="Q404" s="23">
        <f>IFERROR(Q345-Q403, "NA")</f>
        <v>-33324.849999999904</v>
      </c>
      <c r="R404" s="24">
        <f>IFERROR(Q404/Q444, "NA")</f>
        <v>-5.9961872893823945E-2</v>
      </c>
      <c r="S404" s="25"/>
      <c r="T404" s="23">
        <f>IFERROR(T345-T403, "NA")</f>
        <v>15983.040000000008</v>
      </c>
      <c r="U404" s="24">
        <f>IFERROR(T404/T444, "NA")</f>
        <v>2.8121760036670291E-2</v>
      </c>
      <c r="V404" s="25"/>
      <c r="W404" s="23">
        <f>IFERROR(Q404-T404, "NA")</f>
        <v>-49307.889999999912</v>
      </c>
      <c r="X404" s="24">
        <f>IFERROR(W404/W444, "NA")</f>
        <v>3.9182971087912262</v>
      </c>
      <c r="Y404" s="25"/>
      <c r="Z404" s="23">
        <f>IFERROR(Z345-Z403, "NA")</f>
        <v>-34206.809999999896</v>
      </c>
      <c r="AA404" s="24">
        <f>IFERROR(Z404/Z444, "NA")</f>
        <v>-6.9472998469603114E-2</v>
      </c>
      <c r="AB404" s="25"/>
      <c r="AC404" s="23">
        <f>IFERROR(Q404-Z404, "NA")</f>
        <v>881.95999999999185</v>
      </c>
      <c r="AD404" s="24">
        <f>IFERROR(AC404/AC444, "NA")</f>
        <v>1.3912858019943176E-2</v>
      </c>
    </row>
    <row r="405" spans="1:30" ht="16.5" customHeight="1" x14ac:dyDescent="0.45">
      <c r="A405" s="1" t="s">
        <v>371</v>
      </c>
      <c r="B405" s="2"/>
      <c r="C405" s="3"/>
      <c r="D405" s="4"/>
      <c r="E405" s="2"/>
      <c r="F405" s="3"/>
      <c r="G405" s="4"/>
      <c r="H405" s="2"/>
      <c r="I405" s="3"/>
      <c r="J405" s="4"/>
      <c r="K405" s="2"/>
      <c r="L405" s="3"/>
      <c r="M405" s="4"/>
      <c r="N405" s="2"/>
      <c r="O405" s="3"/>
      <c r="P405" s="4"/>
      <c r="Q405" s="2"/>
      <c r="R405" s="3"/>
      <c r="S405" s="4"/>
      <c r="T405" s="2"/>
      <c r="U405" s="3"/>
      <c r="V405" s="4"/>
      <c r="W405" s="2"/>
      <c r="X405" s="3"/>
      <c r="Y405" s="4"/>
      <c r="Z405" s="2"/>
      <c r="AA405" s="3"/>
      <c r="AB405" s="4"/>
      <c r="AC405" s="2"/>
      <c r="AD405" s="3"/>
    </row>
    <row r="406" spans="1:30" ht="16.5" customHeight="1" x14ac:dyDescent="0.45">
      <c r="A406" s="5" t="s">
        <v>372</v>
      </c>
      <c r="B406" s="2"/>
      <c r="C406" s="3"/>
      <c r="D406" s="4"/>
      <c r="E406" s="2"/>
      <c r="F406" s="3"/>
      <c r="G406" s="4"/>
      <c r="H406" s="2"/>
      <c r="I406" s="3"/>
      <c r="J406" s="4"/>
      <c r="K406" s="2"/>
      <c r="L406" s="3"/>
      <c r="M406" s="4"/>
      <c r="N406" s="2"/>
      <c r="O406" s="3"/>
      <c r="P406" s="4"/>
      <c r="Q406" s="2"/>
      <c r="R406" s="3"/>
      <c r="S406" s="4"/>
      <c r="T406" s="2"/>
      <c r="U406" s="3"/>
      <c r="V406" s="4"/>
      <c r="W406" s="2"/>
      <c r="X406" s="3"/>
      <c r="Y406" s="4"/>
      <c r="Z406" s="2"/>
      <c r="AA406" s="3"/>
      <c r="AB406" s="4"/>
      <c r="AC406" s="2"/>
      <c r="AD406" s="3"/>
    </row>
    <row r="407" spans="1:30" ht="16.5" hidden="1" customHeight="1" x14ac:dyDescent="0.45">
      <c r="A407" s="6" t="s">
        <v>372</v>
      </c>
      <c r="B407" s="7">
        <v>0</v>
      </c>
      <c r="C407" s="8">
        <f>IFERROR(B407/B444, "NA")</f>
        <v>0</v>
      </c>
      <c r="D407" s="9"/>
      <c r="E407" s="7">
        <v>0</v>
      </c>
      <c r="F407" s="8">
        <f>IFERROR(E407/E444, "NA")</f>
        <v>0</v>
      </c>
      <c r="G407" s="9"/>
      <c r="H407" s="10">
        <f t="shared" ref="H407:H429" si="100">IFERROR(-(B407-E407), "NA")</f>
        <v>0</v>
      </c>
      <c r="I407" s="8">
        <f>IFERROR(H407/H444, "NA")</f>
        <v>0</v>
      </c>
      <c r="J407" s="9"/>
      <c r="K407" s="7">
        <v>0</v>
      </c>
      <c r="L407" s="8">
        <f>IFERROR(K407/K444, "NA")</f>
        <v>0</v>
      </c>
      <c r="M407" s="9"/>
      <c r="N407" s="10">
        <f t="shared" ref="N407:N429" si="101">IFERROR(-(B407-K407), "NA")</f>
        <v>0</v>
      </c>
      <c r="O407" s="8">
        <f>IFERROR(N407/N444, "NA")</f>
        <v>0</v>
      </c>
      <c r="P407" s="9"/>
      <c r="Q407" s="7">
        <v>0</v>
      </c>
      <c r="R407" s="8">
        <f>IFERROR(Q407/Q444, "NA")</f>
        <v>0</v>
      </c>
      <c r="S407" s="9"/>
      <c r="T407" s="7">
        <v>0</v>
      </c>
      <c r="U407" s="8">
        <f>IFERROR(T407/T444, "NA")</f>
        <v>0</v>
      </c>
      <c r="V407" s="9"/>
      <c r="W407" s="10">
        <f t="shared" ref="W407:W429" si="102">IFERROR(-(Q407-T407), "NA")</f>
        <v>0</v>
      </c>
      <c r="X407" s="8">
        <f>IFERROR(W407/W444, "NA")</f>
        <v>0</v>
      </c>
      <c r="Y407" s="9"/>
      <c r="Z407" s="7">
        <v>0</v>
      </c>
      <c r="AA407" s="8">
        <f>IFERROR(Z407/Z444, "NA")</f>
        <v>0</v>
      </c>
      <c r="AB407" s="9"/>
      <c r="AC407" s="10">
        <f t="shared" ref="AC407:AC429" si="103">IFERROR(-(Q407-Z407), "NA")</f>
        <v>0</v>
      </c>
      <c r="AD407" s="8">
        <f>IFERROR(AC407/AC444, "NA")</f>
        <v>0</v>
      </c>
    </row>
    <row r="408" spans="1:30" ht="16.5" customHeight="1" x14ac:dyDescent="0.45">
      <c r="A408" s="6" t="s">
        <v>373</v>
      </c>
      <c r="B408" s="7">
        <v>0</v>
      </c>
      <c r="C408" s="8">
        <f>IFERROR(B408/B444, "NA")</f>
        <v>0</v>
      </c>
      <c r="D408" s="9"/>
      <c r="E408" s="7">
        <v>0</v>
      </c>
      <c r="F408" s="8">
        <f>IFERROR(E408/E444, "NA")</f>
        <v>0</v>
      </c>
      <c r="G408" s="9"/>
      <c r="H408" s="10">
        <f t="shared" si="100"/>
        <v>0</v>
      </c>
      <c r="I408" s="8">
        <f>IFERROR(H408/H444, "NA")</f>
        <v>0</v>
      </c>
      <c r="J408" s="9"/>
      <c r="K408" s="7">
        <v>0</v>
      </c>
      <c r="L408" s="8">
        <f>IFERROR(K408/K444, "NA")</f>
        <v>0</v>
      </c>
      <c r="M408" s="9"/>
      <c r="N408" s="10">
        <f t="shared" si="101"/>
        <v>0</v>
      </c>
      <c r="O408" s="8">
        <f>IFERROR(N408/N444, "NA")</f>
        <v>0</v>
      </c>
      <c r="P408" s="9"/>
      <c r="Q408" s="7">
        <v>0</v>
      </c>
      <c r="R408" s="8">
        <f>IFERROR(Q408/Q444, "NA")</f>
        <v>0</v>
      </c>
      <c r="S408" s="9"/>
      <c r="T408" s="7">
        <v>0</v>
      </c>
      <c r="U408" s="8">
        <f>IFERROR(T408/T444, "NA")</f>
        <v>0</v>
      </c>
      <c r="V408" s="9"/>
      <c r="W408" s="10">
        <f t="shared" si="102"/>
        <v>0</v>
      </c>
      <c r="X408" s="8">
        <f>IFERROR(W408/W444, "NA")</f>
        <v>0</v>
      </c>
      <c r="Y408" s="9"/>
      <c r="Z408" s="7">
        <v>1222</v>
      </c>
      <c r="AA408" s="8">
        <f>IFERROR(Z408/Z444, "NA")</f>
        <v>2.48184511007765E-3</v>
      </c>
      <c r="AB408" s="9"/>
      <c r="AC408" s="10">
        <f t="shared" si="103"/>
        <v>1222</v>
      </c>
      <c r="AD408" s="8">
        <f>IFERROR(AC408/AC444, "NA")</f>
        <v>1.9276965509060183E-2</v>
      </c>
    </row>
    <row r="409" spans="1:30" ht="16.5" hidden="1" customHeight="1" x14ac:dyDescent="0.45">
      <c r="A409" s="6" t="s">
        <v>374</v>
      </c>
      <c r="B409" s="7">
        <v>0</v>
      </c>
      <c r="C409" s="8">
        <f>IFERROR(B409/B444, "NA")</f>
        <v>0</v>
      </c>
      <c r="D409" s="9"/>
      <c r="E409" s="7">
        <v>0</v>
      </c>
      <c r="F409" s="8">
        <f>IFERROR(E409/E444, "NA")</f>
        <v>0</v>
      </c>
      <c r="G409" s="9"/>
      <c r="H409" s="10">
        <f t="shared" si="100"/>
        <v>0</v>
      </c>
      <c r="I409" s="8">
        <f>IFERROR(H409/H444, "NA")</f>
        <v>0</v>
      </c>
      <c r="J409" s="9"/>
      <c r="K409" s="7">
        <v>0</v>
      </c>
      <c r="L409" s="8">
        <f>IFERROR(K409/K444, "NA")</f>
        <v>0</v>
      </c>
      <c r="M409" s="9"/>
      <c r="N409" s="10">
        <f t="shared" si="101"/>
        <v>0</v>
      </c>
      <c r="O409" s="8">
        <f>IFERROR(N409/N444, "NA")</f>
        <v>0</v>
      </c>
      <c r="P409" s="9"/>
      <c r="Q409" s="7">
        <v>0</v>
      </c>
      <c r="R409" s="8">
        <f>IFERROR(Q409/Q444, "NA")</f>
        <v>0</v>
      </c>
      <c r="S409" s="9"/>
      <c r="T409" s="7">
        <v>0</v>
      </c>
      <c r="U409" s="8">
        <f>IFERROR(T409/T444, "NA")</f>
        <v>0</v>
      </c>
      <c r="V409" s="9"/>
      <c r="W409" s="10">
        <f t="shared" si="102"/>
        <v>0</v>
      </c>
      <c r="X409" s="8">
        <f>IFERROR(W409/W444, "NA")</f>
        <v>0</v>
      </c>
      <c r="Y409" s="9"/>
      <c r="Z409" s="7">
        <v>0</v>
      </c>
      <c r="AA409" s="8">
        <f>IFERROR(Z409/Z444, "NA")</f>
        <v>0</v>
      </c>
      <c r="AB409" s="9"/>
      <c r="AC409" s="10">
        <f t="shared" si="103"/>
        <v>0</v>
      </c>
      <c r="AD409" s="8">
        <f>IFERROR(AC409/AC444, "NA")</f>
        <v>0</v>
      </c>
    </row>
    <row r="410" spans="1:30" ht="16.5" customHeight="1" x14ac:dyDescent="0.45">
      <c r="A410" s="6" t="s">
        <v>375</v>
      </c>
      <c r="B410" s="7">
        <v>9780.9</v>
      </c>
      <c r="C410" s="8">
        <f>IFERROR(B410/B444, "NA")</f>
        <v>8.5039694580826788E-2</v>
      </c>
      <c r="D410" s="9"/>
      <c r="E410" s="7">
        <v>0</v>
      </c>
      <c r="F410" s="8">
        <f>IFERROR(E410/E444, "NA")</f>
        <v>0</v>
      </c>
      <c r="G410" s="9"/>
      <c r="H410" s="10">
        <f t="shared" si="100"/>
        <v>-9780.9</v>
      </c>
      <c r="I410" s="8">
        <f>IFERROR(H410/H444, "NA")</f>
        <v>0.52620252844487014</v>
      </c>
      <c r="J410" s="9"/>
      <c r="K410" s="7">
        <v>9542.9</v>
      </c>
      <c r="L410" s="8">
        <f>IFERROR(K410/K444, "NA")</f>
        <v>8.4283933227842611E-2</v>
      </c>
      <c r="M410" s="9"/>
      <c r="N410" s="10">
        <f t="shared" si="101"/>
        <v>-238</v>
      </c>
      <c r="O410" s="8">
        <f>IFERROR(N410/N444, "NA")</f>
        <v>-0.13277841625475664</v>
      </c>
      <c r="P410" s="9"/>
      <c r="Q410" s="7">
        <v>48904.49</v>
      </c>
      <c r="R410" s="8">
        <f>IFERROR(Q410/Q444, "NA")</f>
        <v>8.799453900969674E-2</v>
      </c>
      <c r="S410" s="9"/>
      <c r="T410" s="7">
        <v>0</v>
      </c>
      <c r="U410" s="8">
        <f>IFERROR(T410/T444, "NA")</f>
        <v>0</v>
      </c>
      <c r="V410" s="9"/>
      <c r="W410" s="10">
        <f t="shared" si="102"/>
        <v>-48904.49</v>
      </c>
      <c r="X410" s="8">
        <f>IFERROR(W410/W444, "NA")</f>
        <v>3.886240554481438</v>
      </c>
      <c r="Y410" s="9"/>
      <c r="Z410" s="7">
        <v>47714.49</v>
      </c>
      <c r="AA410" s="8">
        <f>IFERROR(Z410/Z444, "NA")</f>
        <v>9.6906688777699604E-2</v>
      </c>
      <c r="AB410" s="9"/>
      <c r="AC410" s="10">
        <f t="shared" si="103"/>
        <v>-1190</v>
      </c>
      <c r="AD410" s="8">
        <f>IFERROR(AC410/AC444, "NA")</f>
        <v>-1.8772167721588885E-2</v>
      </c>
    </row>
    <row r="411" spans="1:30" ht="16.5" hidden="1" customHeight="1" x14ac:dyDescent="0.45">
      <c r="A411" s="6" t="s">
        <v>376</v>
      </c>
      <c r="B411" s="7">
        <v>0</v>
      </c>
      <c r="C411" s="8">
        <f>IFERROR(B411/B444, "NA")</f>
        <v>0</v>
      </c>
      <c r="D411" s="9"/>
      <c r="E411" s="7">
        <v>0</v>
      </c>
      <c r="F411" s="8">
        <f>IFERROR(E411/E444, "NA")</f>
        <v>0</v>
      </c>
      <c r="G411" s="9"/>
      <c r="H411" s="10">
        <f t="shared" si="100"/>
        <v>0</v>
      </c>
      <c r="I411" s="8">
        <f>IFERROR(H411/H444, "NA")</f>
        <v>0</v>
      </c>
      <c r="J411" s="9"/>
      <c r="K411" s="7">
        <v>0</v>
      </c>
      <c r="L411" s="8">
        <f>IFERROR(K411/K444, "NA")</f>
        <v>0</v>
      </c>
      <c r="M411" s="9"/>
      <c r="N411" s="10">
        <f t="shared" si="101"/>
        <v>0</v>
      </c>
      <c r="O411" s="8">
        <f>IFERROR(N411/N444, "NA")</f>
        <v>0</v>
      </c>
      <c r="P411" s="9"/>
      <c r="Q411" s="7">
        <v>0</v>
      </c>
      <c r="R411" s="8">
        <f>IFERROR(Q411/Q444, "NA")</f>
        <v>0</v>
      </c>
      <c r="S411" s="9"/>
      <c r="T411" s="7">
        <v>0</v>
      </c>
      <c r="U411" s="8">
        <f>IFERROR(T411/T444, "NA")</f>
        <v>0</v>
      </c>
      <c r="V411" s="9"/>
      <c r="W411" s="10">
        <f t="shared" si="102"/>
        <v>0</v>
      </c>
      <c r="X411" s="8">
        <f>IFERROR(W411/W444, "NA")</f>
        <v>0</v>
      </c>
      <c r="Y411" s="9"/>
      <c r="Z411" s="7">
        <v>0</v>
      </c>
      <c r="AA411" s="8">
        <f>IFERROR(Z411/Z444, "NA")</f>
        <v>0</v>
      </c>
      <c r="AB411" s="9"/>
      <c r="AC411" s="10">
        <f t="shared" si="103"/>
        <v>0</v>
      </c>
      <c r="AD411" s="8">
        <f>IFERROR(AC411/AC444, "NA")</f>
        <v>0</v>
      </c>
    </row>
    <row r="412" spans="1:30" ht="16.5" hidden="1" customHeight="1" x14ac:dyDescent="0.45">
      <c r="A412" s="6" t="s">
        <v>377</v>
      </c>
      <c r="B412" s="7">
        <v>0</v>
      </c>
      <c r="C412" s="8">
        <f>IFERROR(B412/B444, "NA")</f>
        <v>0</v>
      </c>
      <c r="D412" s="9"/>
      <c r="E412" s="7">
        <v>0</v>
      </c>
      <c r="F412" s="8">
        <f>IFERROR(E412/E444, "NA")</f>
        <v>0</v>
      </c>
      <c r="G412" s="9"/>
      <c r="H412" s="10">
        <f t="shared" si="100"/>
        <v>0</v>
      </c>
      <c r="I412" s="8">
        <f>IFERROR(H412/H444, "NA")</f>
        <v>0</v>
      </c>
      <c r="J412" s="9"/>
      <c r="K412" s="7">
        <v>0</v>
      </c>
      <c r="L412" s="8">
        <f>IFERROR(K412/K444, "NA")</f>
        <v>0</v>
      </c>
      <c r="M412" s="9"/>
      <c r="N412" s="10">
        <f t="shared" si="101"/>
        <v>0</v>
      </c>
      <c r="O412" s="8">
        <f>IFERROR(N412/N444, "NA")</f>
        <v>0</v>
      </c>
      <c r="P412" s="9"/>
      <c r="Q412" s="7">
        <v>0</v>
      </c>
      <c r="R412" s="8">
        <f>IFERROR(Q412/Q444, "NA")</f>
        <v>0</v>
      </c>
      <c r="S412" s="9"/>
      <c r="T412" s="7">
        <v>0</v>
      </c>
      <c r="U412" s="8">
        <f>IFERROR(T412/T444, "NA")</f>
        <v>0</v>
      </c>
      <c r="V412" s="9"/>
      <c r="W412" s="10">
        <f t="shared" si="102"/>
        <v>0</v>
      </c>
      <c r="X412" s="8">
        <f>IFERROR(W412/W444, "NA")</f>
        <v>0</v>
      </c>
      <c r="Y412" s="9"/>
      <c r="Z412" s="7">
        <v>0</v>
      </c>
      <c r="AA412" s="8">
        <f>IFERROR(Z412/Z444, "NA")</f>
        <v>0</v>
      </c>
      <c r="AB412" s="9"/>
      <c r="AC412" s="10">
        <f t="shared" si="103"/>
        <v>0</v>
      </c>
      <c r="AD412" s="8">
        <f>IFERROR(AC412/AC444, "NA")</f>
        <v>0</v>
      </c>
    </row>
    <row r="413" spans="1:30" ht="16.5" hidden="1" customHeight="1" x14ac:dyDescent="0.45">
      <c r="A413" s="6" t="s">
        <v>378</v>
      </c>
      <c r="B413" s="7">
        <v>0</v>
      </c>
      <c r="C413" s="8">
        <f>IFERROR(B413/B444, "NA")</f>
        <v>0</v>
      </c>
      <c r="D413" s="9"/>
      <c r="E413" s="7">
        <v>0</v>
      </c>
      <c r="F413" s="8">
        <f>IFERROR(E413/E444, "NA")</f>
        <v>0</v>
      </c>
      <c r="G413" s="9"/>
      <c r="H413" s="10">
        <f t="shared" si="100"/>
        <v>0</v>
      </c>
      <c r="I413" s="8">
        <f>IFERROR(H413/H444, "NA")</f>
        <v>0</v>
      </c>
      <c r="J413" s="9"/>
      <c r="K413" s="7">
        <v>0</v>
      </c>
      <c r="L413" s="8">
        <f>IFERROR(K413/K444, "NA")</f>
        <v>0</v>
      </c>
      <c r="M413" s="9"/>
      <c r="N413" s="10">
        <f t="shared" si="101"/>
        <v>0</v>
      </c>
      <c r="O413" s="8">
        <f>IFERROR(N413/N444, "NA")</f>
        <v>0</v>
      </c>
      <c r="P413" s="9"/>
      <c r="Q413" s="7">
        <v>0</v>
      </c>
      <c r="R413" s="8">
        <f>IFERROR(Q413/Q444, "NA")</f>
        <v>0</v>
      </c>
      <c r="S413" s="9"/>
      <c r="T413" s="7">
        <v>0</v>
      </c>
      <c r="U413" s="8">
        <f>IFERROR(T413/T444, "NA")</f>
        <v>0</v>
      </c>
      <c r="V413" s="9"/>
      <c r="W413" s="10">
        <f t="shared" si="102"/>
        <v>0</v>
      </c>
      <c r="X413" s="8">
        <f>IFERROR(W413/W444, "NA")</f>
        <v>0</v>
      </c>
      <c r="Y413" s="9"/>
      <c r="Z413" s="7">
        <v>0</v>
      </c>
      <c r="AA413" s="8">
        <f>IFERROR(Z413/Z444, "NA")</f>
        <v>0</v>
      </c>
      <c r="AB413" s="9"/>
      <c r="AC413" s="10">
        <f t="shared" si="103"/>
        <v>0</v>
      </c>
      <c r="AD413" s="8">
        <f>IFERROR(AC413/AC444, "NA")</f>
        <v>0</v>
      </c>
    </row>
    <row r="414" spans="1:30" ht="16.5" hidden="1" customHeight="1" x14ac:dyDescent="0.45">
      <c r="A414" s="6" t="s">
        <v>379</v>
      </c>
      <c r="B414" s="7">
        <v>0</v>
      </c>
      <c r="C414" s="8">
        <f>IFERROR(B414/B444, "NA")</f>
        <v>0</v>
      </c>
      <c r="D414" s="9"/>
      <c r="E414" s="7">
        <v>0</v>
      </c>
      <c r="F414" s="8">
        <f>IFERROR(E414/E444, "NA")</f>
        <v>0</v>
      </c>
      <c r="G414" s="9"/>
      <c r="H414" s="10">
        <f t="shared" si="100"/>
        <v>0</v>
      </c>
      <c r="I414" s="8">
        <f>IFERROR(H414/H444, "NA")</f>
        <v>0</v>
      </c>
      <c r="J414" s="9"/>
      <c r="K414" s="7">
        <v>0</v>
      </c>
      <c r="L414" s="8">
        <f>IFERROR(K414/K444, "NA")</f>
        <v>0</v>
      </c>
      <c r="M414" s="9"/>
      <c r="N414" s="10">
        <f t="shared" si="101"/>
        <v>0</v>
      </c>
      <c r="O414" s="8">
        <f>IFERROR(N414/N444, "NA")</f>
        <v>0</v>
      </c>
      <c r="P414" s="9"/>
      <c r="Q414" s="7">
        <v>0</v>
      </c>
      <c r="R414" s="8">
        <f>IFERROR(Q414/Q444, "NA")</f>
        <v>0</v>
      </c>
      <c r="S414" s="9"/>
      <c r="T414" s="7">
        <v>0</v>
      </c>
      <c r="U414" s="8">
        <f>IFERROR(T414/T444, "NA")</f>
        <v>0</v>
      </c>
      <c r="V414" s="9"/>
      <c r="W414" s="10">
        <f t="shared" si="102"/>
        <v>0</v>
      </c>
      <c r="X414" s="8">
        <f>IFERROR(W414/W444, "NA")</f>
        <v>0</v>
      </c>
      <c r="Y414" s="9"/>
      <c r="Z414" s="7">
        <v>0</v>
      </c>
      <c r="AA414" s="8">
        <f>IFERROR(Z414/Z444, "NA")</f>
        <v>0</v>
      </c>
      <c r="AB414" s="9"/>
      <c r="AC414" s="10">
        <f t="shared" si="103"/>
        <v>0</v>
      </c>
      <c r="AD414" s="8">
        <f>IFERROR(AC414/AC444, "NA")</f>
        <v>0</v>
      </c>
    </row>
    <row r="415" spans="1:30" ht="16.5" hidden="1" customHeight="1" x14ac:dyDescent="0.45">
      <c r="A415" s="6" t="s">
        <v>380</v>
      </c>
      <c r="B415" s="7">
        <v>0</v>
      </c>
      <c r="C415" s="8">
        <f>IFERROR(B415/B444, "NA")</f>
        <v>0</v>
      </c>
      <c r="D415" s="9"/>
      <c r="E415" s="7">
        <v>0</v>
      </c>
      <c r="F415" s="8">
        <f>IFERROR(E415/E444, "NA")</f>
        <v>0</v>
      </c>
      <c r="G415" s="9"/>
      <c r="H415" s="10">
        <f t="shared" si="100"/>
        <v>0</v>
      </c>
      <c r="I415" s="8">
        <f>IFERROR(H415/H444, "NA")</f>
        <v>0</v>
      </c>
      <c r="J415" s="9"/>
      <c r="K415" s="7">
        <v>0</v>
      </c>
      <c r="L415" s="8">
        <f>IFERROR(K415/K444, "NA")</f>
        <v>0</v>
      </c>
      <c r="M415" s="9"/>
      <c r="N415" s="10">
        <f t="shared" si="101"/>
        <v>0</v>
      </c>
      <c r="O415" s="8">
        <f>IFERROR(N415/N444, "NA")</f>
        <v>0</v>
      </c>
      <c r="P415" s="9"/>
      <c r="Q415" s="7">
        <v>0</v>
      </c>
      <c r="R415" s="8">
        <f>IFERROR(Q415/Q444, "NA")</f>
        <v>0</v>
      </c>
      <c r="S415" s="9"/>
      <c r="T415" s="7">
        <v>0</v>
      </c>
      <c r="U415" s="8">
        <f>IFERROR(T415/T444, "NA")</f>
        <v>0</v>
      </c>
      <c r="V415" s="9"/>
      <c r="W415" s="10">
        <f t="shared" si="102"/>
        <v>0</v>
      </c>
      <c r="X415" s="8">
        <f>IFERROR(W415/W444, "NA")</f>
        <v>0</v>
      </c>
      <c r="Y415" s="9"/>
      <c r="Z415" s="7">
        <v>0</v>
      </c>
      <c r="AA415" s="8">
        <f>IFERROR(Z415/Z444, "NA")</f>
        <v>0</v>
      </c>
      <c r="AB415" s="9"/>
      <c r="AC415" s="10">
        <f t="shared" si="103"/>
        <v>0</v>
      </c>
      <c r="AD415" s="8">
        <f>IFERROR(AC415/AC444, "NA")</f>
        <v>0</v>
      </c>
    </row>
    <row r="416" spans="1:30" ht="16.5" customHeight="1" x14ac:dyDescent="0.45">
      <c r="A416" s="6" t="s">
        <v>381</v>
      </c>
      <c r="B416" s="7">
        <v>-56.53</v>
      </c>
      <c r="C416" s="8">
        <f>IFERROR(B416/B444, "NA")</f>
        <v>-4.9149811721356301E-4</v>
      </c>
      <c r="D416" s="9"/>
      <c r="E416" s="7">
        <v>0</v>
      </c>
      <c r="F416" s="8">
        <f>IFERROR(E416/E444, "NA")</f>
        <v>0</v>
      </c>
      <c r="G416" s="9"/>
      <c r="H416" s="10">
        <f t="shared" si="100"/>
        <v>56.53</v>
      </c>
      <c r="I416" s="8">
        <f>IFERROR(H416/H444, "NA")</f>
        <v>-3.0412568304541E-3</v>
      </c>
      <c r="J416" s="9"/>
      <c r="K416" s="7">
        <v>-62.78</v>
      </c>
      <c r="L416" s="8">
        <f>IFERROR(K416/K444, "NA")</f>
        <v>-5.5447980467614242E-4</v>
      </c>
      <c r="M416" s="9"/>
      <c r="N416" s="10">
        <f t="shared" si="101"/>
        <v>-6.25</v>
      </c>
      <c r="O416" s="8">
        <f>IFERROR(N416/N444, "NA")</f>
        <v>-3.4868281579505419E-3</v>
      </c>
      <c r="P416" s="9"/>
      <c r="Q416" s="7">
        <v>168.33</v>
      </c>
      <c r="R416" s="8">
        <f>IFERROR(Q416/Q444, "NA")</f>
        <v>3.0287854451610177E-4</v>
      </c>
      <c r="S416" s="9"/>
      <c r="T416" s="7">
        <v>0</v>
      </c>
      <c r="U416" s="8">
        <f>IFERROR(T416/T444, "NA")</f>
        <v>0</v>
      </c>
      <c r="V416" s="9"/>
      <c r="W416" s="10">
        <f t="shared" si="102"/>
        <v>-168.33</v>
      </c>
      <c r="X416" s="8">
        <f>IFERROR(W416/W444, "NA")</f>
        <v>1.337649922401523E-2</v>
      </c>
      <c r="Y416" s="9"/>
      <c r="Z416" s="7">
        <v>-273.95</v>
      </c>
      <c r="AA416" s="8">
        <f>IFERROR(Z416/Z444, "NA")</f>
        <v>-5.5638417995562369E-4</v>
      </c>
      <c r="AB416" s="9"/>
      <c r="AC416" s="10">
        <f t="shared" si="103"/>
        <v>-442.28</v>
      </c>
      <c r="AD416" s="8">
        <f>IFERROR(AC416/AC444, "NA")</f>
        <v>-6.9769364200876734E-3</v>
      </c>
    </row>
    <row r="417" spans="1:30" ht="16.5" customHeight="1" x14ac:dyDescent="0.45">
      <c r="A417" s="6" t="s">
        <v>382</v>
      </c>
      <c r="B417" s="7">
        <v>-60.32</v>
      </c>
      <c r="C417" s="8">
        <f>IFERROR(B417/B444, "NA")</f>
        <v>-5.2445014028519588E-4</v>
      </c>
      <c r="D417" s="9"/>
      <c r="E417" s="7">
        <v>0</v>
      </c>
      <c r="F417" s="8">
        <f>IFERROR(E417/E444, "NA")</f>
        <v>0</v>
      </c>
      <c r="G417" s="9"/>
      <c r="H417" s="10">
        <f t="shared" si="100"/>
        <v>60.32</v>
      </c>
      <c r="I417" s="8">
        <f>IFERROR(H417/H444, "NA")</f>
        <v>-3.2451549975763545E-3</v>
      </c>
      <c r="J417" s="9"/>
      <c r="K417" s="7">
        <v>0</v>
      </c>
      <c r="L417" s="8">
        <f>IFERROR(K417/K444, "NA")</f>
        <v>0</v>
      </c>
      <c r="M417" s="9"/>
      <c r="N417" s="10">
        <f t="shared" si="101"/>
        <v>60.32</v>
      </c>
      <c r="O417" s="8">
        <f>IFERROR(N417/N444, "NA")</f>
        <v>3.3652075918012274E-2</v>
      </c>
      <c r="P417" s="9"/>
      <c r="Q417" s="7">
        <v>-137.44</v>
      </c>
      <c r="R417" s="8">
        <f>IFERROR(Q417/Q444, "NA")</f>
        <v>-2.4729773158850489E-4</v>
      </c>
      <c r="S417" s="9"/>
      <c r="T417" s="7">
        <v>0</v>
      </c>
      <c r="U417" s="8">
        <f>IFERROR(T417/T444, "NA")</f>
        <v>0</v>
      </c>
      <c r="V417" s="9"/>
      <c r="W417" s="10">
        <f t="shared" si="102"/>
        <v>137.44</v>
      </c>
      <c r="X417" s="8">
        <f>IFERROR(W417/W444, "NA")</f>
        <v>-1.0921796788146219E-2</v>
      </c>
      <c r="Y417" s="9"/>
      <c r="Z417" s="7">
        <v>0</v>
      </c>
      <c r="AA417" s="8">
        <f>IFERROR(Z417/Z444, "NA")</f>
        <v>0</v>
      </c>
      <c r="AB417" s="9"/>
      <c r="AC417" s="10">
        <f t="shared" si="103"/>
        <v>137.44</v>
      </c>
      <c r="AD417" s="8">
        <f>IFERROR(AC417/AC444, "NA")</f>
        <v>2.1681064971892238E-3</v>
      </c>
    </row>
    <row r="418" spans="1:30" ht="16.5" hidden="1" customHeight="1" x14ac:dyDescent="0.45">
      <c r="A418" s="6" t="s">
        <v>383</v>
      </c>
      <c r="B418" s="7">
        <v>0</v>
      </c>
      <c r="C418" s="8">
        <f>IFERROR(B418/B444, "NA")</f>
        <v>0</v>
      </c>
      <c r="D418" s="9"/>
      <c r="E418" s="7">
        <v>0</v>
      </c>
      <c r="F418" s="8">
        <f>IFERROR(E418/E444, "NA")</f>
        <v>0</v>
      </c>
      <c r="G418" s="9"/>
      <c r="H418" s="10">
        <f t="shared" si="100"/>
        <v>0</v>
      </c>
      <c r="I418" s="8">
        <f>IFERROR(H418/H444, "NA")</f>
        <v>0</v>
      </c>
      <c r="J418" s="9"/>
      <c r="K418" s="7">
        <v>0</v>
      </c>
      <c r="L418" s="8">
        <f>IFERROR(K418/K444, "NA")</f>
        <v>0</v>
      </c>
      <c r="M418" s="9"/>
      <c r="N418" s="10">
        <f t="shared" si="101"/>
        <v>0</v>
      </c>
      <c r="O418" s="8">
        <f>IFERROR(N418/N444, "NA")</f>
        <v>0</v>
      </c>
      <c r="P418" s="9"/>
      <c r="Q418" s="7">
        <v>0</v>
      </c>
      <c r="R418" s="8">
        <f>IFERROR(Q418/Q444, "NA")</f>
        <v>0</v>
      </c>
      <c r="S418" s="9"/>
      <c r="T418" s="7">
        <v>0</v>
      </c>
      <c r="U418" s="8">
        <f>IFERROR(T418/T444, "NA")</f>
        <v>0</v>
      </c>
      <c r="V418" s="9"/>
      <c r="W418" s="10">
        <f t="shared" si="102"/>
        <v>0</v>
      </c>
      <c r="X418" s="8">
        <f>IFERROR(W418/W444, "NA")</f>
        <v>0</v>
      </c>
      <c r="Y418" s="9"/>
      <c r="Z418" s="7">
        <v>0</v>
      </c>
      <c r="AA418" s="8">
        <f>IFERROR(Z418/Z444, "NA")</f>
        <v>0</v>
      </c>
      <c r="AB418" s="9"/>
      <c r="AC418" s="10">
        <f t="shared" si="103"/>
        <v>0</v>
      </c>
      <c r="AD418" s="8">
        <f>IFERROR(AC418/AC444, "NA")</f>
        <v>0</v>
      </c>
    </row>
    <row r="419" spans="1:30" ht="16.5" hidden="1" customHeight="1" x14ac:dyDescent="0.45">
      <c r="A419" s="6" t="s">
        <v>384</v>
      </c>
      <c r="B419" s="7">
        <v>0</v>
      </c>
      <c r="C419" s="8">
        <f>IFERROR(B419/B444, "NA")</f>
        <v>0</v>
      </c>
      <c r="D419" s="9"/>
      <c r="E419" s="7">
        <v>0</v>
      </c>
      <c r="F419" s="8">
        <f>IFERROR(E419/E444, "NA")</f>
        <v>0</v>
      </c>
      <c r="G419" s="9"/>
      <c r="H419" s="10">
        <f t="shared" si="100"/>
        <v>0</v>
      </c>
      <c r="I419" s="8">
        <f>IFERROR(H419/H444, "NA")</f>
        <v>0</v>
      </c>
      <c r="J419" s="9"/>
      <c r="K419" s="7">
        <v>0</v>
      </c>
      <c r="L419" s="8">
        <f>IFERROR(K419/K444, "NA")</f>
        <v>0</v>
      </c>
      <c r="M419" s="9"/>
      <c r="N419" s="10">
        <f t="shared" si="101"/>
        <v>0</v>
      </c>
      <c r="O419" s="8">
        <f>IFERROR(N419/N444, "NA")</f>
        <v>0</v>
      </c>
      <c r="P419" s="9"/>
      <c r="Q419" s="7">
        <v>0</v>
      </c>
      <c r="R419" s="8">
        <f>IFERROR(Q419/Q444, "NA")</f>
        <v>0</v>
      </c>
      <c r="S419" s="9"/>
      <c r="T419" s="7">
        <v>0</v>
      </c>
      <c r="U419" s="8">
        <f>IFERROR(T419/T444, "NA")</f>
        <v>0</v>
      </c>
      <c r="V419" s="9"/>
      <c r="W419" s="10">
        <f t="shared" si="102"/>
        <v>0</v>
      </c>
      <c r="X419" s="8">
        <f>IFERROR(W419/W444, "NA")</f>
        <v>0</v>
      </c>
      <c r="Y419" s="9"/>
      <c r="Z419" s="7">
        <v>0</v>
      </c>
      <c r="AA419" s="8">
        <f>IFERROR(Z419/Z444, "NA")</f>
        <v>0</v>
      </c>
      <c r="AB419" s="9"/>
      <c r="AC419" s="10">
        <f t="shared" si="103"/>
        <v>0</v>
      </c>
      <c r="AD419" s="8">
        <f>IFERROR(AC419/AC444, "NA")</f>
        <v>0</v>
      </c>
    </row>
    <row r="420" spans="1:30" ht="16.5" hidden="1" customHeight="1" x14ac:dyDescent="0.45">
      <c r="A420" s="6" t="s">
        <v>385</v>
      </c>
      <c r="B420" s="7">
        <v>0</v>
      </c>
      <c r="C420" s="8">
        <f>IFERROR(B420/B444, "NA")</f>
        <v>0</v>
      </c>
      <c r="D420" s="9"/>
      <c r="E420" s="7">
        <v>0</v>
      </c>
      <c r="F420" s="8">
        <f>IFERROR(E420/E444, "NA")</f>
        <v>0</v>
      </c>
      <c r="G420" s="9"/>
      <c r="H420" s="10">
        <f t="shared" si="100"/>
        <v>0</v>
      </c>
      <c r="I420" s="8">
        <f>IFERROR(H420/H444, "NA")</f>
        <v>0</v>
      </c>
      <c r="J420" s="9"/>
      <c r="K420" s="7">
        <v>0</v>
      </c>
      <c r="L420" s="8">
        <f>IFERROR(K420/K444, "NA")</f>
        <v>0</v>
      </c>
      <c r="M420" s="9"/>
      <c r="N420" s="10">
        <f t="shared" si="101"/>
        <v>0</v>
      </c>
      <c r="O420" s="8">
        <f>IFERROR(N420/N444, "NA")</f>
        <v>0</v>
      </c>
      <c r="P420" s="9"/>
      <c r="Q420" s="7">
        <v>0</v>
      </c>
      <c r="R420" s="8">
        <f>IFERROR(Q420/Q444, "NA")</f>
        <v>0</v>
      </c>
      <c r="S420" s="9"/>
      <c r="T420" s="7">
        <v>0</v>
      </c>
      <c r="U420" s="8">
        <f>IFERROR(T420/T444, "NA")</f>
        <v>0</v>
      </c>
      <c r="V420" s="9"/>
      <c r="W420" s="10">
        <f t="shared" si="102"/>
        <v>0</v>
      </c>
      <c r="X420" s="8">
        <f>IFERROR(W420/W444, "NA")</f>
        <v>0</v>
      </c>
      <c r="Y420" s="9"/>
      <c r="Z420" s="7">
        <v>0</v>
      </c>
      <c r="AA420" s="8">
        <f>IFERROR(Z420/Z444, "NA")</f>
        <v>0</v>
      </c>
      <c r="AB420" s="9"/>
      <c r="AC420" s="10">
        <f t="shared" si="103"/>
        <v>0</v>
      </c>
      <c r="AD420" s="8">
        <f>IFERROR(AC420/AC444, "NA")</f>
        <v>0</v>
      </c>
    </row>
    <row r="421" spans="1:30" ht="16.5" hidden="1" customHeight="1" x14ac:dyDescent="0.45">
      <c r="A421" s="6" t="s">
        <v>386</v>
      </c>
      <c r="B421" s="7">
        <v>0</v>
      </c>
      <c r="C421" s="8">
        <f>IFERROR(B421/B444, "NA")</f>
        <v>0</v>
      </c>
      <c r="D421" s="9"/>
      <c r="E421" s="7">
        <v>0</v>
      </c>
      <c r="F421" s="8">
        <f>IFERROR(E421/E444, "NA")</f>
        <v>0</v>
      </c>
      <c r="G421" s="9"/>
      <c r="H421" s="10">
        <f t="shared" si="100"/>
        <v>0</v>
      </c>
      <c r="I421" s="8">
        <f>IFERROR(H421/H444, "NA")</f>
        <v>0</v>
      </c>
      <c r="J421" s="9"/>
      <c r="K421" s="7">
        <v>0</v>
      </c>
      <c r="L421" s="8">
        <f>IFERROR(K421/K444, "NA")</f>
        <v>0</v>
      </c>
      <c r="M421" s="9"/>
      <c r="N421" s="10">
        <f t="shared" si="101"/>
        <v>0</v>
      </c>
      <c r="O421" s="8">
        <f>IFERROR(N421/N444, "NA")</f>
        <v>0</v>
      </c>
      <c r="P421" s="9"/>
      <c r="Q421" s="7">
        <v>0</v>
      </c>
      <c r="R421" s="8">
        <f>IFERROR(Q421/Q444, "NA")</f>
        <v>0</v>
      </c>
      <c r="S421" s="9"/>
      <c r="T421" s="7">
        <v>0</v>
      </c>
      <c r="U421" s="8">
        <f>IFERROR(T421/T444, "NA")</f>
        <v>0</v>
      </c>
      <c r="V421" s="9"/>
      <c r="W421" s="10">
        <f t="shared" si="102"/>
        <v>0</v>
      </c>
      <c r="X421" s="8">
        <f>IFERROR(W421/W444, "NA")</f>
        <v>0</v>
      </c>
      <c r="Y421" s="9"/>
      <c r="Z421" s="7">
        <v>0</v>
      </c>
      <c r="AA421" s="8">
        <f>IFERROR(Z421/Z444, "NA")</f>
        <v>0</v>
      </c>
      <c r="AB421" s="9"/>
      <c r="AC421" s="10">
        <f t="shared" si="103"/>
        <v>0</v>
      </c>
      <c r="AD421" s="8">
        <f>IFERROR(AC421/AC444, "NA")</f>
        <v>0</v>
      </c>
    </row>
    <row r="422" spans="1:30" ht="16.5" hidden="1" customHeight="1" x14ac:dyDescent="0.45">
      <c r="A422" s="6" t="s">
        <v>387</v>
      </c>
      <c r="B422" s="7">
        <v>0</v>
      </c>
      <c r="C422" s="8">
        <f>IFERROR(B422/B444, "NA")</f>
        <v>0</v>
      </c>
      <c r="D422" s="9"/>
      <c r="E422" s="7">
        <v>0</v>
      </c>
      <c r="F422" s="8">
        <f>IFERROR(E422/E444, "NA")</f>
        <v>0</v>
      </c>
      <c r="G422" s="9"/>
      <c r="H422" s="10">
        <f t="shared" si="100"/>
        <v>0</v>
      </c>
      <c r="I422" s="8">
        <f>IFERROR(H422/H444, "NA")</f>
        <v>0</v>
      </c>
      <c r="J422" s="9"/>
      <c r="K422" s="7">
        <v>0</v>
      </c>
      <c r="L422" s="8">
        <f>IFERROR(K422/K444, "NA")</f>
        <v>0</v>
      </c>
      <c r="M422" s="9"/>
      <c r="N422" s="10">
        <f t="shared" si="101"/>
        <v>0</v>
      </c>
      <c r="O422" s="8">
        <f>IFERROR(N422/N444, "NA")</f>
        <v>0</v>
      </c>
      <c r="P422" s="9"/>
      <c r="Q422" s="7">
        <v>0</v>
      </c>
      <c r="R422" s="8">
        <f>IFERROR(Q422/Q444, "NA")</f>
        <v>0</v>
      </c>
      <c r="S422" s="9"/>
      <c r="T422" s="7">
        <v>0</v>
      </c>
      <c r="U422" s="8">
        <f>IFERROR(T422/T444, "NA")</f>
        <v>0</v>
      </c>
      <c r="V422" s="9"/>
      <c r="W422" s="10">
        <f t="shared" si="102"/>
        <v>0</v>
      </c>
      <c r="X422" s="8">
        <f>IFERROR(W422/W444, "NA")</f>
        <v>0</v>
      </c>
      <c r="Y422" s="9"/>
      <c r="Z422" s="7">
        <v>0</v>
      </c>
      <c r="AA422" s="8">
        <f>IFERROR(Z422/Z444, "NA")</f>
        <v>0</v>
      </c>
      <c r="AB422" s="9"/>
      <c r="AC422" s="10">
        <f t="shared" si="103"/>
        <v>0</v>
      </c>
      <c r="AD422" s="8">
        <f>IFERROR(AC422/AC444, "NA")</f>
        <v>0</v>
      </c>
    </row>
    <row r="423" spans="1:30" ht="16.5" hidden="1" customHeight="1" x14ac:dyDescent="0.45">
      <c r="A423" s="6" t="s">
        <v>388</v>
      </c>
      <c r="B423" s="7">
        <v>0</v>
      </c>
      <c r="C423" s="8">
        <f>IFERROR(B423/B444, "NA")</f>
        <v>0</v>
      </c>
      <c r="D423" s="9"/>
      <c r="E423" s="7">
        <v>0</v>
      </c>
      <c r="F423" s="8">
        <f>IFERROR(E423/E444, "NA")</f>
        <v>0</v>
      </c>
      <c r="G423" s="9"/>
      <c r="H423" s="10">
        <f t="shared" si="100"/>
        <v>0</v>
      </c>
      <c r="I423" s="8">
        <f>IFERROR(H423/H444, "NA")</f>
        <v>0</v>
      </c>
      <c r="J423" s="9"/>
      <c r="K423" s="7">
        <v>0</v>
      </c>
      <c r="L423" s="8">
        <f>IFERROR(K423/K444, "NA")</f>
        <v>0</v>
      </c>
      <c r="M423" s="9"/>
      <c r="N423" s="10">
        <f t="shared" si="101"/>
        <v>0</v>
      </c>
      <c r="O423" s="8">
        <f>IFERROR(N423/N444, "NA")</f>
        <v>0</v>
      </c>
      <c r="P423" s="9"/>
      <c r="Q423" s="7">
        <v>0</v>
      </c>
      <c r="R423" s="8">
        <f>IFERROR(Q423/Q444, "NA")</f>
        <v>0</v>
      </c>
      <c r="S423" s="9"/>
      <c r="T423" s="7">
        <v>0</v>
      </c>
      <c r="U423" s="8">
        <f>IFERROR(T423/T444, "NA")</f>
        <v>0</v>
      </c>
      <c r="V423" s="9"/>
      <c r="W423" s="10">
        <f t="shared" si="102"/>
        <v>0</v>
      </c>
      <c r="X423" s="8">
        <f>IFERROR(W423/W444, "NA")</f>
        <v>0</v>
      </c>
      <c r="Y423" s="9"/>
      <c r="Z423" s="7">
        <v>0</v>
      </c>
      <c r="AA423" s="8">
        <f>IFERROR(Z423/Z444, "NA")</f>
        <v>0</v>
      </c>
      <c r="AB423" s="9"/>
      <c r="AC423" s="10">
        <f t="shared" si="103"/>
        <v>0</v>
      </c>
      <c r="AD423" s="8">
        <f>IFERROR(AC423/AC444, "NA")</f>
        <v>0</v>
      </c>
    </row>
    <row r="424" spans="1:30" ht="16.5" customHeight="1" x14ac:dyDescent="0.45">
      <c r="A424" s="6" t="s">
        <v>389</v>
      </c>
      <c r="B424" s="7">
        <v>0</v>
      </c>
      <c r="C424" s="8">
        <f>IFERROR(B424/B444, "NA")</f>
        <v>0</v>
      </c>
      <c r="D424" s="9"/>
      <c r="E424" s="7">
        <v>0</v>
      </c>
      <c r="F424" s="8">
        <f>IFERROR(E424/E444, "NA")</f>
        <v>0</v>
      </c>
      <c r="G424" s="9"/>
      <c r="H424" s="10">
        <f t="shared" si="100"/>
        <v>0</v>
      </c>
      <c r="I424" s="8">
        <f>IFERROR(H424/H444, "NA")</f>
        <v>0</v>
      </c>
      <c r="J424" s="9"/>
      <c r="K424" s="7">
        <v>0</v>
      </c>
      <c r="L424" s="8">
        <f>IFERROR(K424/K444, "NA")</f>
        <v>0</v>
      </c>
      <c r="M424" s="9"/>
      <c r="N424" s="10">
        <f t="shared" si="101"/>
        <v>0</v>
      </c>
      <c r="O424" s="8">
        <f>IFERROR(N424/N444, "NA")</f>
        <v>0</v>
      </c>
      <c r="P424" s="9"/>
      <c r="Q424" s="7">
        <v>0</v>
      </c>
      <c r="R424" s="8">
        <f>IFERROR(Q424/Q444, "NA")</f>
        <v>0</v>
      </c>
      <c r="S424" s="9"/>
      <c r="T424" s="7">
        <v>0</v>
      </c>
      <c r="U424" s="8">
        <f>IFERROR(T424/T444, "NA")</f>
        <v>0</v>
      </c>
      <c r="V424" s="9"/>
      <c r="W424" s="10">
        <f t="shared" si="102"/>
        <v>0</v>
      </c>
      <c r="X424" s="8">
        <f>IFERROR(W424/W444, "NA")</f>
        <v>0</v>
      </c>
      <c r="Y424" s="9"/>
      <c r="Z424" s="7">
        <v>24.48</v>
      </c>
      <c r="AA424" s="8">
        <f>IFERROR(Z424/Z444, "NA")</f>
        <v>4.97181409940269E-5</v>
      </c>
      <c r="AB424" s="9"/>
      <c r="AC424" s="10">
        <f t="shared" si="103"/>
        <v>24.48</v>
      </c>
      <c r="AD424" s="8">
        <f>IFERROR(AC424/AC444, "NA")</f>
        <v>3.8617030741554275E-4</v>
      </c>
    </row>
    <row r="425" spans="1:30" ht="16.5" hidden="1" customHeight="1" x14ac:dyDescent="0.45">
      <c r="A425" s="6" t="s">
        <v>390</v>
      </c>
      <c r="B425" s="7">
        <v>0</v>
      </c>
      <c r="C425" s="8">
        <f>IFERROR(B425/B444, "NA")</f>
        <v>0</v>
      </c>
      <c r="D425" s="9"/>
      <c r="E425" s="7">
        <v>0</v>
      </c>
      <c r="F425" s="8">
        <f>IFERROR(E425/E444, "NA")</f>
        <v>0</v>
      </c>
      <c r="G425" s="9"/>
      <c r="H425" s="10">
        <f t="shared" si="100"/>
        <v>0</v>
      </c>
      <c r="I425" s="8">
        <f>IFERROR(H425/H444, "NA")</f>
        <v>0</v>
      </c>
      <c r="J425" s="9"/>
      <c r="K425" s="7">
        <v>0</v>
      </c>
      <c r="L425" s="8">
        <f>IFERROR(K425/K444, "NA")</f>
        <v>0</v>
      </c>
      <c r="M425" s="9"/>
      <c r="N425" s="10">
        <f t="shared" si="101"/>
        <v>0</v>
      </c>
      <c r="O425" s="8">
        <f>IFERROR(N425/N444, "NA")</f>
        <v>0</v>
      </c>
      <c r="P425" s="9"/>
      <c r="Q425" s="7">
        <v>0</v>
      </c>
      <c r="R425" s="8">
        <f>IFERROR(Q425/Q444, "NA")</f>
        <v>0</v>
      </c>
      <c r="S425" s="9"/>
      <c r="T425" s="7">
        <v>0</v>
      </c>
      <c r="U425" s="8">
        <f>IFERROR(T425/T444, "NA")</f>
        <v>0</v>
      </c>
      <c r="V425" s="9"/>
      <c r="W425" s="10">
        <f t="shared" si="102"/>
        <v>0</v>
      </c>
      <c r="X425" s="8">
        <f>IFERROR(W425/W444, "NA")</f>
        <v>0</v>
      </c>
      <c r="Y425" s="9"/>
      <c r="Z425" s="7">
        <v>0</v>
      </c>
      <c r="AA425" s="8">
        <f>IFERROR(Z425/Z444, "NA")</f>
        <v>0</v>
      </c>
      <c r="AB425" s="9"/>
      <c r="AC425" s="10">
        <f t="shared" si="103"/>
        <v>0</v>
      </c>
      <c r="AD425" s="8">
        <f>IFERROR(AC425/AC444, "NA")</f>
        <v>0</v>
      </c>
    </row>
    <row r="426" spans="1:30" ht="16.5" hidden="1" customHeight="1" x14ac:dyDescent="0.45">
      <c r="A426" s="6" t="s">
        <v>391</v>
      </c>
      <c r="B426" s="7">
        <v>0</v>
      </c>
      <c r="C426" s="8">
        <f>IFERROR(B426/B444, "NA")</f>
        <v>0</v>
      </c>
      <c r="D426" s="9"/>
      <c r="E426" s="7">
        <v>0</v>
      </c>
      <c r="F426" s="8">
        <f>IFERROR(E426/E444, "NA")</f>
        <v>0</v>
      </c>
      <c r="G426" s="9"/>
      <c r="H426" s="10">
        <f t="shared" si="100"/>
        <v>0</v>
      </c>
      <c r="I426" s="8">
        <f>IFERROR(H426/H444, "NA")</f>
        <v>0</v>
      </c>
      <c r="J426" s="9"/>
      <c r="K426" s="7">
        <v>0</v>
      </c>
      <c r="L426" s="8">
        <f>IFERROR(K426/K444, "NA")</f>
        <v>0</v>
      </c>
      <c r="M426" s="9"/>
      <c r="N426" s="10">
        <f t="shared" si="101"/>
        <v>0</v>
      </c>
      <c r="O426" s="8">
        <f>IFERROR(N426/N444, "NA")</f>
        <v>0</v>
      </c>
      <c r="P426" s="9"/>
      <c r="Q426" s="7">
        <v>0</v>
      </c>
      <c r="R426" s="8">
        <f>IFERROR(Q426/Q444, "NA")</f>
        <v>0</v>
      </c>
      <c r="S426" s="9"/>
      <c r="T426" s="7">
        <v>0</v>
      </c>
      <c r="U426" s="8">
        <f>IFERROR(T426/T444, "NA")</f>
        <v>0</v>
      </c>
      <c r="V426" s="9"/>
      <c r="W426" s="10">
        <f t="shared" si="102"/>
        <v>0</v>
      </c>
      <c r="X426" s="8">
        <f>IFERROR(W426/W444, "NA")</f>
        <v>0</v>
      </c>
      <c r="Y426" s="9"/>
      <c r="Z426" s="7">
        <v>0</v>
      </c>
      <c r="AA426" s="8">
        <f>IFERROR(Z426/Z444, "NA")</f>
        <v>0</v>
      </c>
      <c r="AB426" s="9"/>
      <c r="AC426" s="10">
        <f t="shared" si="103"/>
        <v>0</v>
      </c>
      <c r="AD426" s="8">
        <f>IFERROR(AC426/AC444, "NA")</f>
        <v>0</v>
      </c>
    </row>
    <row r="427" spans="1:30" ht="16.5" hidden="1" customHeight="1" x14ac:dyDescent="0.45">
      <c r="A427" s="6" t="s">
        <v>392</v>
      </c>
      <c r="B427" s="7">
        <v>0</v>
      </c>
      <c r="C427" s="8">
        <f>IFERROR(B427/B444, "NA")</f>
        <v>0</v>
      </c>
      <c r="D427" s="9"/>
      <c r="E427" s="7">
        <v>0</v>
      </c>
      <c r="F427" s="8">
        <f>IFERROR(E427/E444, "NA")</f>
        <v>0</v>
      </c>
      <c r="G427" s="9"/>
      <c r="H427" s="10">
        <f t="shared" si="100"/>
        <v>0</v>
      </c>
      <c r="I427" s="8">
        <f>IFERROR(H427/H444, "NA")</f>
        <v>0</v>
      </c>
      <c r="J427" s="9"/>
      <c r="K427" s="7">
        <v>0</v>
      </c>
      <c r="L427" s="8">
        <f>IFERROR(K427/K444, "NA")</f>
        <v>0</v>
      </c>
      <c r="M427" s="9"/>
      <c r="N427" s="10">
        <f t="shared" si="101"/>
        <v>0</v>
      </c>
      <c r="O427" s="8">
        <f>IFERROR(N427/N444, "NA")</f>
        <v>0</v>
      </c>
      <c r="P427" s="9"/>
      <c r="Q427" s="7">
        <v>0</v>
      </c>
      <c r="R427" s="8">
        <f>IFERROR(Q427/Q444, "NA")</f>
        <v>0</v>
      </c>
      <c r="S427" s="9"/>
      <c r="T427" s="7">
        <v>0</v>
      </c>
      <c r="U427" s="8">
        <f>IFERROR(T427/T444, "NA")</f>
        <v>0</v>
      </c>
      <c r="V427" s="9"/>
      <c r="W427" s="10">
        <f t="shared" si="102"/>
        <v>0</v>
      </c>
      <c r="X427" s="8">
        <f>IFERROR(W427/W444, "NA")</f>
        <v>0</v>
      </c>
      <c r="Y427" s="9"/>
      <c r="Z427" s="7">
        <v>0</v>
      </c>
      <c r="AA427" s="8">
        <f>IFERROR(Z427/Z444, "NA")</f>
        <v>0</v>
      </c>
      <c r="AB427" s="9"/>
      <c r="AC427" s="10">
        <f t="shared" si="103"/>
        <v>0</v>
      </c>
      <c r="AD427" s="8">
        <f>IFERROR(AC427/AC444, "NA")</f>
        <v>0</v>
      </c>
    </row>
    <row r="428" spans="1:30" ht="16.5" customHeight="1" x14ac:dyDescent="0.45">
      <c r="A428" s="19" t="s">
        <v>393</v>
      </c>
      <c r="B428" s="14">
        <f>IFERROR(B407+B408+B409+B410+B411+B412+B413+B414+B415+B416+B417+B418+B419+B420+B421+B422+B423+B424+B425+B426+B427, "NA")</f>
        <v>9664.0499999999993</v>
      </c>
      <c r="C428" s="15">
        <f>IFERROR(B428/B444, "NA")</f>
        <v>8.4023746323328027E-2</v>
      </c>
      <c r="D428" s="2"/>
      <c r="E428" s="14">
        <f>IFERROR(E407+E408+E409+E410+E411+E412+E413+E414+E415+E416+E417+E418+E419+E420+E421+E422+E423+E424+E425+E426+E427, "NA")</f>
        <v>0</v>
      </c>
      <c r="F428" s="15">
        <f>IFERROR(E428/E444, "NA")</f>
        <v>0</v>
      </c>
      <c r="G428" s="2"/>
      <c r="H428" s="14">
        <f t="shared" si="100"/>
        <v>-9664.0499999999993</v>
      </c>
      <c r="I428" s="15">
        <f>IFERROR(H428/H444, "NA")</f>
        <v>0.51991611661683956</v>
      </c>
      <c r="J428" s="2"/>
      <c r="K428" s="14">
        <f>IFERROR(K407+K408+K409+K410+K411+K412+K413+K414+K415+K416+K417+K418+K419+K420+K421+K422+K423+K424+K425+K426+K427, "NA")</f>
        <v>9480.119999999999</v>
      </c>
      <c r="L428" s="15">
        <f>IFERROR(K428/K444, "NA")</f>
        <v>8.3729453423166469E-2</v>
      </c>
      <c r="M428" s="2"/>
      <c r="N428" s="14">
        <f t="shared" si="101"/>
        <v>-183.93000000000029</v>
      </c>
      <c r="O428" s="15">
        <f>IFERROR(N428/N444, "NA")</f>
        <v>-0.10261316849469507</v>
      </c>
      <c r="P428" s="2"/>
      <c r="Q428" s="14">
        <f>IFERROR(Q407+Q408+Q409+Q410+Q411+Q412+Q413+Q414+Q415+Q416+Q417+Q418+Q419+Q420+Q421+Q422+Q423+Q424+Q425+Q426+Q427, "NA")</f>
        <v>48935.38</v>
      </c>
      <c r="R428" s="15">
        <f>IFERROR(Q428/Q444, "NA")</f>
        <v>8.805011982262434E-2</v>
      </c>
      <c r="S428" s="2"/>
      <c r="T428" s="14">
        <f>IFERROR(T407+T408+T409+T410+T411+T412+T413+T414+T415+T416+T417+T418+T419+T420+T421+T422+T423+T424+T425+T426+T427, "NA")</f>
        <v>0</v>
      </c>
      <c r="U428" s="15">
        <f>IFERROR(T428/T444, "NA")</f>
        <v>0</v>
      </c>
      <c r="V428" s="2"/>
      <c r="W428" s="14">
        <f t="shared" si="102"/>
        <v>-48935.38</v>
      </c>
      <c r="X428" s="15">
        <f>IFERROR(W428/W444, "NA")</f>
        <v>3.8886952569173072</v>
      </c>
      <c r="Y428" s="2"/>
      <c r="Z428" s="14">
        <f>IFERROR(Z407+Z408+Z409+Z410+Z411+Z412+Z413+Z414+Z415+Z416+Z417+Z418+Z419+Z420+Z421+Z422+Z423+Z424+Z425+Z426+Z427, "NA")</f>
        <v>48687.020000000004</v>
      </c>
      <c r="AA428" s="15">
        <f>IFERROR(Z428/Z444, "NA")</f>
        <v>9.8881867848815669E-2</v>
      </c>
      <c r="AB428" s="2"/>
      <c r="AC428" s="14">
        <f t="shared" si="103"/>
        <v>-248.35999999999331</v>
      </c>
      <c r="AD428" s="15">
        <f>IFERROR(AC428/AC444, "NA")</f>
        <v>-3.9178618280115039E-3</v>
      </c>
    </row>
    <row r="429" spans="1:30" ht="16.5" customHeight="1" x14ac:dyDescent="0.45">
      <c r="A429" s="21" t="s">
        <v>394</v>
      </c>
      <c r="B429" s="14">
        <f>IFERROR(B407+B408+B409+B410+B411+B412+B413+B414+B415+B416+B417+B418+B419+B420+B421+B422+B423+B424+B425+B426+B427, "NA")</f>
        <v>9664.0499999999993</v>
      </c>
      <c r="C429" s="15">
        <f>IFERROR(B429/B444, "NA")</f>
        <v>8.4023746323328027E-2</v>
      </c>
      <c r="D429" s="2"/>
      <c r="E429" s="14">
        <f>IFERROR(E407+E408+E409+E410+E411+E412+E413+E414+E415+E416+E417+E418+E419+E420+E421+E422+E423+E424+E425+E426+E427, "NA")</f>
        <v>0</v>
      </c>
      <c r="F429" s="15">
        <f>IFERROR(E429/E444, "NA")</f>
        <v>0</v>
      </c>
      <c r="G429" s="2"/>
      <c r="H429" s="14">
        <f t="shared" si="100"/>
        <v>-9664.0499999999993</v>
      </c>
      <c r="I429" s="15">
        <f>IFERROR(H429/H444, "NA")</f>
        <v>0.51991611661683956</v>
      </c>
      <c r="J429" s="2"/>
      <c r="K429" s="14">
        <f>IFERROR(K407+K408+K409+K410+K411+K412+K413+K414+K415+K416+K417+K418+K419+K420+K421+K422+K423+K424+K425+K426+K427, "NA")</f>
        <v>9480.119999999999</v>
      </c>
      <c r="L429" s="15">
        <f>IFERROR(K429/K444, "NA")</f>
        <v>8.3729453423166469E-2</v>
      </c>
      <c r="M429" s="2"/>
      <c r="N429" s="14">
        <f t="shared" si="101"/>
        <v>-183.93000000000029</v>
      </c>
      <c r="O429" s="15">
        <f>IFERROR(N429/N444, "NA")</f>
        <v>-0.10261316849469507</v>
      </c>
      <c r="P429" s="2"/>
      <c r="Q429" s="14">
        <f>IFERROR(Q407+Q408+Q409+Q410+Q411+Q412+Q413+Q414+Q415+Q416+Q417+Q418+Q419+Q420+Q421+Q422+Q423+Q424+Q425+Q426+Q427, "NA")</f>
        <v>48935.38</v>
      </c>
      <c r="R429" s="15">
        <f>IFERROR(Q429/Q444, "NA")</f>
        <v>8.805011982262434E-2</v>
      </c>
      <c r="S429" s="2"/>
      <c r="T429" s="14">
        <f>IFERROR(T407+T408+T409+T410+T411+T412+T413+T414+T415+T416+T417+T418+T419+T420+T421+T422+T423+T424+T425+T426+T427, "NA")</f>
        <v>0</v>
      </c>
      <c r="U429" s="15">
        <f>IFERROR(T429/T444, "NA")</f>
        <v>0</v>
      </c>
      <c r="V429" s="2"/>
      <c r="W429" s="14">
        <f t="shared" si="102"/>
        <v>-48935.38</v>
      </c>
      <c r="X429" s="15">
        <f>IFERROR(W429/W444, "NA")</f>
        <v>3.8886952569173072</v>
      </c>
      <c r="Y429" s="2"/>
      <c r="Z429" s="14">
        <f>IFERROR(Z407+Z408+Z409+Z410+Z411+Z412+Z413+Z414+Z415+Z416+Z417+Z418+Z419+Z420+Z421+Z422+Z423+Z424+Z425+Z426+Z427, "NA")</f>
        <v>48687.020000000004</v>
      </c>
      <c r="AA429" s="15">
        <f>IFERROR(Z429/Z444, "NA")</f>
        <v>9.8881867848815669E-2</v>
      </c>
      <c r="AB429" s="2"/>
      <c r="AC429" s="14">
        <f t="shared" si="103"/>
        <v>-248.35999999999331</v>
      </c>
      <c r="AD429" s="15">
        <f>IFERROR(AC429/AC444, "NA")</f>
        <v>-3.9178618280115039E-3</v>
      </c>
    </row>
    <row r="430" spans="1:30" ht="16.5" customHeight="1" x14ac:dyDescent="0.45">
      <c r="A430" s="1" t="s">
        <v>395</v>
      </c>
      <c r="B430" s="2"/>
      <c r="C430" s="3"/>
      <c r="D430" s="4"/>
      <c r="E430" s="2"/>
      <c r="F430" s="3"/>
      <c r="G430" s="4"/>
      <c r="H430" s="2"/>
      <c r="I430" s="3"/>
      <c r="J430" s="4"/>
      <c r="K430" s="2"/>
      <c r="L430" s="3"/>
      <c r="M430" s="4"/>
      <c r="N430" s="2"/>
      <c r="O430" s="3"/>
      <c r="P430" s="4"/>
      <c r="Q430" s="2"/>
      <c r="R430" s="3"/>
      <c r="S430" s="4"/>
      <c r="T430" s="2"/>
      <c r="U430" s="3"/>
      <c r="V430" s="4"/>
      <c r="W430" s="2"/>
      <c r="X430" s="3"/>
      <c r="Y430" s="4"/>
      <c r="Z430" s="2"/>
      <c r="AA430" s="3"/>
      <c r="AB430" s="4"/>
      <c r="AC430" s="2"/>
      <c r="AD430" s="3"/>
    </row>
    <row r="431" spans="1:30" ht="16.5" customHeight="1" x14ac:dyDescent="0.45">
      <c r="A431" s="5" t="s">
        <v>396</v>
      </c>
      <c r="B431" s="2"/>
      <c r="C431" s="3"/>
      <c r="D431" s="4"/>
      <c r="E431" s="2"/>
      <c r="F431" s="3"/>
      <c r="G431" s="4"/>
      <c r="H431" s="2"/>
      <c r="I431" s="3"/>
      <c r="J431" s="4"/>
      <c r="K431" s="2"/>
      <c r="L431" s="3"/>
      <c r="M431" s="4"/>
      <c r="N431" s="2"/>
      <c r="O431" s="3"/>
      <c r="P431" s="4"/>
      <c r="Q431" s="2"/>
      <c r="R431" s="3"/>
      <c r="S431" s="4"/>
      <c r="T431" s="2"/>
      <c r="U431" s="3"/>
      <c r="V431" s="4"/>
      <c r="W431" s="2"/>
      <c r="X431" s="3"/>
      <c r="Y431" s="4"/>
      <c r="Z431" s="2"/>
      <c r="AA431" s="3"/>
      <c r="AB431" s="4"/>
      <c r="AC431" s="2"/>
      <c r="AD431" s="3"/>
    </row>
    <row r="432" spans="1:30" ht="16.5" hidden="1" customHeight="1" x14ac:dyDescent="0.45">
      <c r="A432" s="6" t="s">
        <v>396</v>
      </c>
      <c r="B432" s="7">
        <v>0</v>
      </c>
      <c r="C432" s="8">
        <f>IFERROR(B432/B444, "NA")</f>
        <v>0</v>
      </c>
      <c r="D432" s="9"/>
      <c r="E432" s="7">
        <v>0</v>
      </c>
      <c r="F432" s="8">
        <f>IFERROR(E432/E444, "NA")</f>
        <v>0</v>
      </c>
      <c r="G432" s="9"/>
      <c r="H432" s="10">
        <f t="shared" ref="H432:H442" si="104">IFERROR(-(B432-E432), "NA")</f>
        <v>0</v>
      </c>
      <c r="I432" s="8">
        <f>IFERROR(H432/H444, "NA")</f>
        <v>0</v>
      </c>
      <c r="J432" s="9"/>
      <c r="K432" s="7">
        <v>0</v>
      </c>
      <c r="L432" s="8">
        <f>IFERROR(K432/K444, "NA")</f>
        <v>0</v>
      </c>
      <c r="M432" s="9"/>
      <c r="N432" s="10">
        <f t="shared" ref="N432:N442" si="105">IFERROR(-(B432-K432), "NA")</f>
        <v>0</v>
      </c>
      <c r="O432" s="8">
        <f>IFERROR(N432/N444, "NA")</f>
        <v>0</v>
      </c>
      <c r="P432" s="9"/>
      <c r="Q432" s="7">
        <v>0</v>
      </c>
      <c r="R432" s="8">
        <f>IFERROR(Q432/Q444, "NA")</f>
        <v>0</v>
      </c>
      <c r="S432" s="9"/>
      <c r="T432" s="7">
        <v>0</v>
      </c>
      <c r="U432" s="8">
        <f>IFERROR(T432/T444, "NA")</f>
        <v>0</v>
      </c>
      <c r="V432" s="9"/>
      <c r="W432" s="10">
        <f t="shared" ref="W432:W442" si="106">IFERROR(-(Q432-T432), "NA")</f>
        <v>0</v>
      </c>
      <c r="X432" s="8">
        <f>IFERROR(W432/W444, "NA")</f>
        <v>0</v>
      </c>
      <c r="Y432" s="9"/>
      <c r="Z432" s="7">
        <v>0</v>
      </c>
      <c r="AA432" s="8">
        <f>IFERROR(Z432/Z444, "NA")</f>
        <v>0</v>
      </c>
      <c r="AB432" s="9"/>
      <c r="AC432" s="10">
        <f t="shared" ref="AC432:AC442" si="107">IFERROR(-(Q432-Z432), "NA")</f>
        <v>0</v>
      </c>
      <c r="AD432" s="8">
        <f>IFERROR(AC432/AC444, "NA")</f>
        <v>0</v>
      </c>
    </row>
    <row r="433" spans="1:30" ht="16.5" hidden="1" customHeight="1" x14ac:dyDescent="0.45">
      <c r="A433" s="6" t="s">
        <v>397</v>
      </c>
      <c r="B433" s="7">
        <v>0</v>
      </c>
      <c r="C433" s="8">
        <f>IFERROR(B433/B444, "NA")</f>
        <v>0</v>
      </c>
      <c r="D433" s="9"/>
      <c r="E433" s="7">
        <v>0</v>
      </c>
      <c r="F433" s="8">
        <f>IFERROR(E433/E444, "NA")</f>
        <v>0</v>
      </c>
      <c r="G433" s="9"/>
      <c r="H433" s="10">
        <f t="shared" si="104"/>
        <v>0</v>
      </c>
      <c r="I433" s="8">
        <f>IFERROR(H433/H444, "NA")</f>
        <v>0</v>
      </c>
      <c r="J433" s="9"/>
      <c r="K433" s="7">
        <v>0</v>
      </c>
      <c r="L433" s="8">
        <f>IFERROR(K433/K444, "NA")</f>
        <v>0</v>
      </c>
      <c r="M433" s="9"/>
      <c r="N433" s="10">
        <f t="shared" si="105"/>
        <v>0</v>
      </c>
      <c r="O433" s="8">
        <f>IFERROR(N433/N444, "NA")</f>
        <v>0</v>
      </c>
      <c r="P433" s="9"/>
      <c r="Q433" s="7">
        <v>0</v>
      </c>
      <c r="R433" s="8">
        <f>IFERROR(Q433/Q444, "NA")</f>
        <v>0</v>
      </c>
      <c r="S433" s="9"/>
      <c r="T433" s="7">
        <v>0</v>
      </c>
      <c r="U433" s="8">
        <f>IFERROR(T433/T444, "NA")</f>
        <v>0</v>
      </c>
      <c r="V433" s="9"/>
      <c r="W433" s="10">
        <f t="shared" si="106"/>
        <v>0</v>
      </c>
      <c r="X433" s="8">
        <f>IFERROR(W433/W444, "NA")</f>
        <v>0</v>
      </c>
      <c r="Y433" s="9"/>
      <c r="Z433" s="7">
        <v>0</v>
      </c>
      <c r="AA433" s="8">
        <f>IFERROR(Z433/Z444, "NA")</f>
        <v>0</v>
      </c>
      <c r="AB433" s="9"/>
      <c r="AC433" s="10">
        <f t="shared" si="107"/>
        <v>0</v>
      </c>
      <c r="AD433" s="8">
        <f>IFERROR(AC433/AC444, "NA")</f>
        <v>0</v>
      </c>
    </row>
    <row r="434" spans="1:30" ht="16.5" hidden="1" customHeight="1" x14ac:dyDescent="0.45">
      <c r="A434" s="6" t="s">
        <v>398</v>
      </c>
      <c r="B434" s="7">
        <v>0</v>
      </c>
      <c r="C434" s="8">
        <f>IFERROR(B434/B444, "NA")</f>
        <v>0</v>
      </c>
      <c r="D434" s="9"/>
      <c r="E434" s="7">
        <v>0</v>
      </c>
      <c r="F434" s="8">
        <f>IFERROR(E434/E444, "NA")</f>
        <v>0</v>
      </c>
      <c r="G434" s="9"/>
      <c r="H434" s="10">
        <f t="shared" si="104"/>
        <v>0</v>
      </c>
      <c r="I434" s="8">
        <f>IFERROR(H434/H444, "NA")</f>
        <v>0</v>
      </c>
      <c r="J434" s="9"/>
      <c r="K434" s="7">
        <v>0</v>
      </c>
      <c r="L434" s="8">
        <f>IFERROR(K434/K444, "NA")</f>
        <v>0</v>
      </c>
      <c r="M434" s="9"/>
      <c r="N434" s="10">
        <f t="shared" si="105"/>
        <v>0</v>
      </c>
      <c r="O434" s="8">
        <f>IFERROR(N434/N444, "NA")</f>
        <v>0</v>
      </c>
      <c r="P434" s="9"/>
      <c r="Q434" s="7">
        <v>0</v>
      </c>
      <c r="R434" s="8">
        <f>IFERROR(Q434/Q444, "NA")</f>
        <v>0</v>
      </c>
      <c r="S434" s="9"/>
      <c r="T434" s="7">
        <v>0</v>
      </c>
      <c r="U434" s="8">
        <f>IFERROR(T434/T444, "NA")</f>
        <v>0</v>
      </c>
      <c r="V434" s="9"/>
      <c r="W434" s="10">
        <f t="shared" si="106"/>
        <v>0</v>
      </c>
      <c r="X434" s="8">
        <f>IFERROR(W434/W444, "NA")</f>
        <v>0</v>
      </c>
      <c r="Y434" s="9"/>
      <c r="Z434" s="7">
        <v>0</v>
      </c>
      <c r="AA434" s="8">
        <f>IFERROR(Z434/Z444, "NA")</f>
        <v>0</v>
      </c>
      <c r="AB434" s="9"/>
      <c r="AC434" s="10">
        <f t="shared" si="107"/>
        <v>0</v>
      </c>
      <c r="AD434" s="8">
        <f>IFERROR(AC434/AC444, "NA")</f>
        <v>0</v>
      </c>
    </row>
    <row r="435" spans="1:30" ht="16.5" hidden="1" customHeight="1" x14ac:dyDescent="0.45">
      <c r="A435" s="6" t="s">
        <v>399</v>
      </c>
      <c r="B435" s="7">
        <v>0</v>
      </c>
      <c r="C435" s="8">
        <f>IFERROR(B435/B444, "NA")</f>
        <v>0</v>
      </c>
      <c r="D435" s="9"/>
      <c r="E435" s="7">
        <v>0</v>
      </c>
      <c r="F435" s="8">
        <f>IFERROR(E435/E444, "NA")</f>
        <v>0</v>
      </c>
      <c r="G435" s="9"/>
      <c r="H435" s="10">
        <f t="shared" si="104"/>
        <v>0</v>
      </c>
      <c r="I435" s="8">
        <f>IFERROR(H435/H444, "NA")</f>
        <v>0</v>
      </c>
      <c r="J435" s="9"/>
      <c r="K435" s="7">
        <v>0</v>
      </c>
      <c r="L435" s="8">
        <f>IFERROR(K435/K444, "NA")</f>
        <v>0</v>
      </c>
      <c r="M435" s="9"/>
      <c r="N435" s="10">
        <f t="shared" si="105"/>
        <v>0</v>
      </c>
      <c r="O435" s="8">
        <f>IFERROR(N435/N444, "NA")</f>
        <v>0</v>
      </c>
      <c r="P435" s="9"/>
      <c r="Q435" s="7">
        <v>0</v>
      </c>
      <c r="R435" s="8">
        <f>IFERROR(Q435/Q444, "NA")</f>
        <v>0</v>
      </c>
      <c r="S435" s="9"/>
      <c r="T435" s="7">
        <v>0</v>
      </c>
      <c r="U435" s="8">
        <f>IFERROR(T435/T444, "NA")</f>
        <v>0</v>
      </c>
      <c r="V435" s="9"/>
      <c r="W435" s="10">
        <f t="shared" si="106"/>
        <v>0</v>
      </c>
      <c r="X435" s="8">
        <f>IFERROR(W435/W444, "NA")</f>
        <v>0</v>
      </c>
      <c r="Y435" s="9"/>
      <c r="Z435" s="7">
        <v>0</v>
      </c>
      <c r="AA435" s="8">
        <f>IFERROR(Z435/Z444, "NA")</f>
        <v>0</v>
      </c>
      <c r="AB435" s="9"/>
      <c r="AC435" s="10">
        <f t="shared" si="107"/>
        <v>0</v>
      </c>
      <c r="AD435" s="8">
        <f>IFERROR(AC435/AC444, "NA")</f>
        <v>0</v>
      </c>
    </row>
    <row r="436" spans="1:30" ht="16.5" hidden="1" customHeight="1" x14ac:dyDescent="0.45">
      <c r="A436" s="6" t="s">
        <v>400</v>
      </c>
      <c r="B436" s="7">
        <v>0</v>
      </c>
      <c r="C436" s="8">
        <f>IFERROR(B436/B444, "NA")</f>
        <v>0</v>
      </c>
      <c r="D436" s="9"/>
      <c r="E436" s="7">
        <v>0</v>
      </c>
      <c r="F436" s="8">
        <f>IFERROR(E436/E444, "NA")</f>
        <v>0</v>
      </c>
      <c r="G436" s="9"/>
      <c r="H436" s="10">
        <f t="shared" si="104"/>
        <v>0</v>
      </c>
      <c r="I436" s="8">
        <f>IFERROR(H436/H444, "NA")</f>
        <v>0</v>
      </c>
      <c r="J436" s="9"/>
      <c r="K436" s="7">
        <v>0</v>
      </c>
      <c r="L436" s="8">
        <f>IFERROR(K436/K444, "NA")</f>
        <v>0</v>
      </c>
      <c r="M436" s="9"/>
      <c r="N436" s="10">
        <f t="shared" si="105"/>
        <v>0</v>
      </c>
      <c r="O436" s="8">
        <f>IFERROR(N436/N444, "NA")</f>
        <v>0</v>
      </c>
      <c r="P436" s="9"/>
      <c r="Q436" s="7">
        <v>0</v>
      </c>
      <c r="R436" s="8">
        <f>IFERROR(Q436/Q444, "NA")</f>
        <v>0</v>
      </c>
      <c r="S436" s="9"/>
      <c r="T436" s="7">
        <v>0</v>
      </c>
      <c r="U436" s="8">
        <f>IFERROR(T436/T444, "NA")</f>
        <v>0</v>
      </c>
      <c r="V436" s="9"/>
      <c r="W436" s="10">
        <f t="shared" si="106"/>
        <v>0</v>
      </c>
      <c r="X436" s="8">
        <f>IFERROR(W436/W444, "NA")</f>
        <v>0</v>
      </c>
      <c r="Y436" s="9"/>
      <c r="Z436" s="7">
        <v>0</v>
      </c>
      <c r="AA436" s="8">
        <f>IFERROR(Z436/Z444, "NA")</f>
        <v>0</v>
      </c>
      <c r="AB436" s="9"/>
      <c r="AC436" s="10">
        <f t="shared" si="107"/>
        <v>0</v>
      </c>
      <c r="AD436" s="8">
        <f>IFERROR(AC436/AC444, "NA")</f>
        <v>0</v>
      </c>
    </row>
    <row r="437" spans="1:30" ht="16.5" hidden="1" customHeight="1" x14ac:dyDescent="0.45">
      <c r="A437" s="6" t="s">
        <v>401</v>
      </c>
      <c r="B437" s="7">
        <v>0</v>
      </c>
      <c r="C437" s="8">
        <f>IFERROR(B437/B444, "NA")</f>
        <v>0</v>
      </c>
      <c r="D437" s="9"/>
      <c r="E437" s="7">
        <v>0</v>
      </c>
      <c r="F437" s="8">
        <f>IFERROR(E437/E444, "NA")</f>
        <v>0</v>
      </c>
      <c r="G437" s="9"/>
      <c r="H437" s="10">
        <f t="shared" si="104"/>
        <v>0</v>
      </c>
      <c r="I437" s="8">
        <f>IFERROR(H437/H444, "NA")</f>
        <v>0</v>
      </c>
      <c r="J437" s="9"/>
      <c r="K437" s="7">
        <v>0</v>
      </c>
      <c r="L437" s="8">
        <f>IFERROR(K437/K444, "NA")</f>
        <v>0</v>
      </c>
      <c r="M437" s="9"/>
      <c r="N437" s="10">
        <f t="shared" si="105"/>
        <v>0</v>
      </c>
      <c r="O437" s="8">
        <f>IFERROR(N437/N444, "NA")</f>
        <v>0</v>
      </c>
      <c r="P437" s="9"/>
      <c r="Q437" s="7">
        <v>0</v>
      </c>
      <c r="R437" s="8">
        <f>IFERROR(Q437/Q444, "NA")</f>
        <v>0</v>
      </c>
      <c r="S437" s="9"/>
      <c r="T437" s="7">
        <v>0</v>
      </c>
      <c r="U437" s="8">
        <f>IFERROR(T437/T444, "NA")</f>
        <v>0</v>
      </c>
      <c r="V437" s="9"/>
      <c r="W437" s="10">
        <f t="shared" si="106"/>
        <v>0</v>
      </c>
      <c r="X437" s="8">
        <f>IFERROR(W437/W444, "NA")</f>
        <v>0</v>
      </c>
      <c r="Y437" s="9"/>
      <c r="Z437" s="7">
        <v>0</v>
      </c>
      <c r="AA437" s="8">
        <f>IFERROR(Z437/Z444, "NA")</f>
        <v>0</v>
      </c>
      <c r="AB437" s="9"/>
      <c r="AC437" s="10">
        <f t="shared" si="107"/>
        <v>0</v>
      </c>
      <c r="AD437" s="8">
        <f>IFERROR(AC437/AC444, "NA")</f>
        <v>0</v>
      </c>
    </row>
    <row r="438" spans="1:30" ht="30.75" hidden="1" customHeight="1" x14ac:dyDescent="0.45">
      <c r="A438" s="6" t="s">
        <v>402</v>
      </c>
      <c r="B438" s="7">
        <v>0</v>
      </c>
      <c r="C438" s="8">
        <f>IFERROR(B438/B444, "NA")</f>
        <v>0</v>
      </c>
      <c r="D438" s="9"/>
      <c r="E438" s="7">
        <v>0</v>
      </c>
      <c r="F438" s="8">
        <f>IFERROR(E438/E444, "NA")</f>
        <v>0</v>
      </c>
      <c r="G438" s="9"/>
      <c r="H438" s="10">
        <f t="shared" si="104"/>
        <v>0</v>
      </c>
      <c r="I438" s="8">
        <f>IFERROR(H438/H444, "NA")</f>
        <v>0</v>
      </c>
      <c r="J438" s="9"/>
      <c r="K438" s="7">
        <v>0</v>
      </c>
      <c r="L438" s="8">
        <f>IFERROR(K438/K444, "NA")</f>
        <v>0</v>
      </c>
      <c r="M438" s="9"/>
      <c r="N438" s="10">
        <f t="shared" si="105"/>
        <v>0</v>
      </c>
      <c r="O438" s="8">
        <f>IFERROR(N438/N444, "NA")</f>
        <v>0</v>
      </c>
      <c r="P438" s="9"/>
      <c r="Q438" s="7">
        <v>0</v>
      </c>
      <c r="R438" s="8">
        <f>IFERROR(Q438/Q444, "NA")</f>
        <v>0</v>
      </c>
      <c r="S438" s="9"/>
      <c r="T438" s="7">
        <v>0</v>
      </c>
      <c r="U438" s="8">
        <f>IFERROR(T438/T444, "NA")</f>
        <v>0</v>
      </c>
      <c r="V438" s="9"/>
      <c r="W438" s="10">
        <f t="shared" si="106"/>
        <v>0</v>
      </c>
      <c r="X438" s="8">
        <f>IFERROR(W438/W444, "NA")</f>
        <v>0</v>
      </c>
      <c r="Y438" s="9"/>
      <c r="Z438" s="7">
        <v>0</v>
      </c>
      <c r="AA438" s="8">
        <f>IFERROR(Z438/Z444, "NA")</f>
        <v>0</v>
      </c>
      <c r="AB438" s="9"/>
      <c r="AC438" s="10">
        <f t="shared" si="107"/>
        <v>0</v>
      </c>
      <c r="AD438" s="8">
        <f>IFERROR(AC438/AC444, "NA")</f>
        <v>0</v>
      </c>
    </row>
    <row r="439" spans="1:30" ht="16.5" hidden="1" customHeight="1" x14ac:dyDescent="0.45">
      <c r="A439" s="6" t="s">
        <v>403</v>
      </c>
      <c r="B439" s="7">
        <v>0</v>
      </c>
      <c r="C439" s="8">
        <f>IFERROR(B439/B444, "NA")</f>
        <v>0</v>
      </c>
      <c r="D439" s="9"/>
      <c r="E439" s="7">
        <v>0</v>
      </c>
      <c r="F439" s="8">
        <f>IFERROR(E439/E444, "NA")</f>
        <v>0</v>
      </c>
      <c r="G439" s="9"/>
      <c r="H439" s="10">
        <f t="shared" si="104"/>
        <v>0</v>
      </c>
      <c r="I439" s="8">
        <f>IFERROR(H439/H444, "NA")</f>
        <v>0</v>
      </c>
      <c r="J439" s="9"/>
      <c r="K439" s="7">
        <v>0</v>
      </c>
      <c r="L439" s="8">
        <f>IFERROR(K439/K444, "NA")</f>
        <v>0</v>
      </c>
      <c r="M439" s="9"/>
      <c r="N439" s="10">
        <f t="shared" si="105"/>
        <v>0</v>
      </c>
      <c r="O439" s="8">
        <f>IFERROR(N439/N444, "NA")</f>
        <v>0</v>
      </c>
      <c r="P439" s="9"/>
      <c r="Q439" s="7">
        <v>0</v>
      </c>
      <c r="R439" s="8">
        <f>IFERROR(Q439/Q444, "NA")</f>
        <v>0</v>
      </c>
      <c r="S439" s="9"/>
      <c r="T439" s="7">
        <v>0</v>
      </c>
      <c r="U439" s="8">
        <f>IFERROR(T439/T444, "NA")</f>
        <v>0</v>
      </c>
      <c r="V439" s="9"/>
      <c r="W439" s="10">
        <f t="shared" si="106"/>
        <v>0</v>
      </c>
      <c r="X439" s="8">
        <f>IFERROR(W439/W444, "NA")</f>
        <v>0</v>
      </c>
      <c r="Y439" s="9"/>
      <c r="Z439" s="7">
        <v>0</v>
      </c>
      <c r="AA439" s="8">
        <f>IFERROR(Z439/Z444, "NA")</f>
        <v>0</v>
      </c>
      <c r="AB439" s="9"/>
      <c r="AC439" s="10">
        <f t="shared" si="107"/>
        <v>0</v>
      </c>
      <c r="AD439" s="8">
        <f>IFERROR(AC439/AC444, "NA")</f>
        <v>0</v>
      </c>
    </row>
    <row r="440" spans="1:30" ht="30.75" hidden="1" customHeight="1" x14ac:dyDescent="0.45">
      <c r="A440" s="6" t="s">
        <v>404</v>
      </c>
      <c r="B440" s="7">
        <v>0</v>
      </c>
      <c r="C440" s="8">
        <f>IFERROR(B440/B444, "NA")</f>
        <v>0</v>
      </c>
      <c r="D440" s="9"/>
      <c r="E440" s="7">
        <v>0</v>
      </c>
      <c r="F440" s="8">
        <f>IFERROR(E440/E444, "NA")</f>
        <v>0</v>
      </c>
      <c r="G440" s="9"/>
      <c r="H440" s="10">
        <f t="shared" si="104"/>
        <v>0</v>
      </c>
      <c r="I440" s="8">
        <f>IFERROR(H440/H444, "NA")</f>
        <v>0</v>
      </c>
      <c r="J440" s="9"/>
      <c r="K440" s="7">
        <v>0</v>
      </c>
      <c r="L440" s="8">
        <f>IFERROR(K440/K444, "NA")</f>
        <v>0</v>
      </c>
      <c r="M440" s="9"/>
      <c r="N440" s="10">
        <f t="shared" si="105"/>
        <v>0</v>
      </c>
      <c r="O440" s="8">
        <f>IFERROR(N440/N444, "NA")</f>
        <v>0</v>
      </c>
      <c r="P440" s="9"/>
      <c r="Q440" s="7">
        <v>0</v>
      </c>
      <c r="R440" s="8">
        <f>IFERROR(Q440/Q444, "NA")</f>
        <v>0</v>
      </c>
      <c r="S440" s="9"/>
      <c r="T440" s="7">
        <v>0</v>
      </c>
      <c r="U440" s="8">
        <f>IFERROR(T440/T444, "NA")</f>
        <v>0</v>
      </c>
      <c r="V440" s="9"/>
      <c r="W440" s="10">
        <f t="shared" si="106"/>
        <v>0</v>
      </c>
      <c r="X440" s="8">
        <f>IFERROR(W440/W444, "NA")</f>
        <v>0</v>
      </c>
      <c r="Y440" s="9"/>
      <c r="Z440" s="7">
        <v>0</v>
      </c>
      <c r="AA440" s="8">
        <f>IFERROR(Z440/Z444, "NA")</f>
        <v>0</v>
      </c>
      <c r="AB440" s="9"/>
      <c r="AC440" s="10">
        <f t="shared" si="107"/>
        <v>0</v>
      </c>
      <c r="AD440" s="8">
        <f>IFERROR(AC440/AC444, "NA")</f>
        <v>0</v>
      </c>
    </row>
    <row r="441" spans="1:30" ht="16.5" customHeight="1" x14ac:dyDescent="0.45">
      <c r="A441" s="19" t="s">
        <v>405</v>
      </c>
      <c r="B441" s="14">
        <f>IFERROR(B432+B433+B434+B435+B436+B437+B438+B439+B440, "NA")</f>
        <v>0</v>
      </c>
      <c r="C441" s="15">
        <f>IFERROR(B441/B444, "NA")</f>
        <v>0</v>
      </c>
      <c r="D441" s="2"/>
      <c r="E441" s="14">
        <f>IFERROR(E432+E433+E434+E435+E436+E437+E438+E439+E440, "NA")</f>
        <v>0</v>
      </c>
      <c r="F441" s="15">
        <f>IFERROR(E441/E444, "NA")</f>
        <v>0</v>
      </c>
      <c r="G441" s="2"/>
      <c r="H441" s="14">
        <f t="shared" si="104"/>
        <v>0</v>
      </c>
      <c r="I441" s="15">
        <f>IFERROR(H441/H444, "NA")</f>
        <v>0</v>
      </c>
      <c r="J441" s="2"/>
      <c r="K441" s="14">
        <f>IFERROR(K432+K433+K434+K435+K436+K437+K438+K439+K440, "NA")</f>
        <v>0</v>
      </c>
      <c r="L441" s="15">
        <f>IFERROR(K441/K444, "NA")</f>
        <v>0</v>
      </c>
      <c r="M441" s="2"/>
      <c r="N441" s="14">
        <f t="shared" si="105"/>
        <v>0</v>
      </c>
      <c r="O441" s="15">
        <f>IFERROR(N441/N444, "NA")</f>
        <v>0</v>
      </c>
      <c r="P441" s="2"/>
      <c r="Q441" s="14">
        <f>IFERROR(Q432+Q433+Q434+Q435+Q436+Q437+Q438+Q439+Q440, "NA")</f>
        <v>0</v>
      </c>
      <c r="R441" s="15">
        <f>IFERROR(Q441/Q444, "NA")</f>
        <v>0</v>
      </c>
      <c r="S441" s="2"/>
      <c r="T441" s="14">
        <f>IFERROR(T432+T433+T434+T435+T436+T437+T438+T439+T440, "NA")</f>
        <v>0</v>
      </c>
      <c r="U441" s="15">
        <f>IFERROR(T441/T444, "NA")</f>
        <v>0</v>
      </c>
      <c r="V441" s="2"/>
      <c r="W441" s="14">
        <f t="shared" si="106"/>
        <v>0</v>
      </c>
      <c r="X441" s="15">
        <f>IFERROR(W441/W444, "NA")</f>
        <v>0</v>
      </c>
      <c r="Y441" s="2"/>
      <c r="Z441" s="14">
        <f>IFERROR(Z432+Z433+Z434+Z435+Z436+Z437+Z438+Z439+Z440, "NA")</f>
        <v>0</v>
      </c>
      <c r="AA441" s="15">
        <f>IFERROR(Z441/Z444, "NA")</f>
        <v>0</v>
      </c>
      <c r="AB441" s="2"/>
      <c r="AC441" s="14">
        <f t="shared" si="107"/>
        <v>0</v>
      </c>
      <c r="AD441" s="15">
        <f>IFERROR(AC441/AC444, "NA")</f>
        <v>0</v>
      </c>
    </row>
    <row r="442" spans="1:30" ht="16.5" customHeight="1" x14ac:dyDescent="0.45">
      <c r="A442" s="21" t="s">
        <v>406</v>
      </c>
      <c r="B442" s="14">
        <f>IFERROR(B432+B433+B434+B435+B436+B437+B438+B439+B440, "NA")</f>
        <v>0</v>
      </c>
      <c r="C442" s="15">
        <f>IFERROR(B442/B444, "NA")</f>
        <v>0</v>
      </c>
      <c r="D442" s="2"/>
      <c r="E442" s="14">
        <f>IFERROR(E432+E433+E434+E435+E436+E437+E438+E439+E440, "NA")</f>
        <v>0</v>
      </c>
      <c r="F442" s="15">
        <f>IFERROR(E442/E444, "NA")</f>
        <v>0</v>
      </c>
      <c r="G442" s="2"/>
      <c r="H442" s="14">
        <f t="shared" si="104"/>
        <v>0</v>
      </c>
      <c r="I442" s="15">
        <f>IFERROR(H442/H444, "NA")</f>
        <v>0</v>
      </c>
      <c r="J442" s="2"/>
      <c r="K442" s="14">
        <f>IFERROR(K432+K433+K434+K435+K436+K437+K438+K439+K440, "NA")</f>
        <v>0</v>
      </c>
      <c r="L442" s="15">
        <f>IFERROR(K442/K444, "NA")</f>
        <v>0</v>
      </c>
      <c r="M442" s="2"/>
      <c r="N442" s="14">
        <f t="shared" si="105"/>
        <v>0</v>
      </c>
      <c r="O442" s="15">
        <f>IFERROR(N442/N444, "NA")</f>
        <v>0</v>
      </c>
      <c r="P442" s="2"/>
      <c r="Q442" s="14">
        <f>IFERROR(Q432+Q433+Q434+Q435+Q436+Q437+Q438+Q439+Q440, "NA")</f>
        <v>0</v>
      </c>
      <c r="R442" s="15">
        <f>IFERROR(Q442/Q444, "NA")</f>
        <v>0</v>
      </c>
      <c r="S442" s="2"/>
      <c r="T442" s="14">
        <f>IFERROR(T432+T433+T434+T435+T436+T437+T438+T439+T440, "NA")</f>
        <v>0</v>
      </c>
      <c r="U442" s="15">
        <f>IFERROR(T442/T444, "NA")</f>
        <v>0</v>
      </c>
      <c r="V442" s="2"/>
      <c r="W442" s="14">
        <f t="shared" si="106"/>
        <v>0</v>
      </c>
      <c r="X442" s="15">
        <f>IFERROR(W442/W444, "NA")</f>
        <v>0</v>
      </c>
      <c r="Y442" s="2"/>
      <c r="Z442" s="14">
        <f>IFERROR(Z432+Z433+Z434+Z435+Z436+Z437+Z438+Z439+Z440, "NA")</f>
        <v>0</v>
      </c>
      <c r="AA442" s="15">
        <f>IFERROR(Z442/Z444, "NA")</f>
        <v>0</v>
      </c>
      <c r="AB442" s="2"/>
      <c r="AC442" s="14">
        <f t="shared" si="107"/>
        <v>0</v>
      </c>
      <c r="AD442" s="15">
        <f>IFERROR(AC442/AC444, "NA")</f>
        <v>0</v>
      </c>
    </row>
    <row r="443" spans="1:30" ht="16.5" customHeight="1" x14ac:dyDescent="0.45">
      <c r="A443" s="22" t="s">
        <v>407</v>
      </c>
      <c r="B443" s="23">
        <f>IFERROR(B404-B429-B442, "NA")</f>
        <v>-17188.320000000014</v>
      </c>
      <c r="C443" s="24">
        <f>IFERROR(B443/B444, "NA")</f>
        <v>-0.14944324992153257</v>
      </c>
      <c r="D443" s="25"/>
      <c r="E443" s="23">
        <f>IFERROR(E404-E429-E442, "NA")</f>
        <v>15548.269999999971</v>
      </c>
      <c r="F443" s="24">
        <f>IFERROR(E443/E444, "NA")</f>
        <v>0.11637629608405932</v>
      </c>
      <c r="G443" s="25"/>
      <c r="H443" s="23">
        <f>IFERROR(B443-E443, "NA")</f>
        <v>-32736.589999999986</v>
      </c>
      <c r="I443" s="24">
        <f>IFERROR(H443/H444, "NA")</f>
        <v>1.7611954350482106</v>
      </c>
      <c r="J443" s="25"/>
      <c r="K443" s="23">
        <f>IFERROR(K404-K429-K442, "NA")</f>
        <v>-6275.9399999999732</v>
      </c>
      <c r="L443" s="24">
        <f>IFERROR(K443/K444, "NA")</f>
        <v>-5.5429786323019661E-2</v>
      </c>
      <c r="M443" s="25"/>
      <c r="N443" s="23">
        <f>IFERROR(B443-K443, "NA")</f>
        <v>-10912.380000000041</v>
      </c>
      <c r="O443" s="24">
        <f>IFERROR(N443/N444, "NA")</f>
        <v>-6.0879350166810369</v>
      </c>
      <c r="P443" s="25"/>
      <c r="Q443" s="23">
        <f>IFERROR(Q404-Q429-Q442, "NA")</f>
        <v>-82260.229999999894</v>
      </c>
      <c r="R443" s="24">
        <f>IFERROR(Q443/Q444, "NA")</f>
        <v>-0.14801199271644827</v>
      </c>
      <c r="S443" s="25"/>
      <c r="T443" s="23">
        <f>IFERROR(T404-T429-T442, "NA")</f>
        <v>15983.040000000008</v>
      </c>
      <c r="U443" s="24">
        <f>IFERROR(T443/T444, "NA")</f>
        <v>2.8121760036670291E-2</v>
      </c>
      <c r="V443" s="25"/>
      <c r="W443" s="23">
        <f>IFERROR(Q443-T443, "NA")</f>
        <v>-98243.269999999902</v>
      </c>
      <c r="X443" s="24">
        <f>IFERROR(W443/W444, "NA")</f>
        <v>7.8069923657085321</v>
      </c>
      <c r="Y443" s="25"/>
      <c r="Z443" s="23">
        <f>IFERROR(Z404-Z429-Z442, "NA")</f>
        <v>-82893.8299999999</v>
      </c>
      <c r="AA443" s="24">
        <f>IFERROR(Z443/Z444, "NA")</f>
        <v>-0.16835486631841878</v>
      </c>
      <c r="AB443" s="25"/>
      <c r="AC443" s="23">
        <f>IFERROR(Q443-Z443, "NA")</f>
        <v>633.60000000000582</v>
      </c>
      <c r="AD443" s="24">
        <f>IFERROR(AC443/AC444, "NA")</f>
        <v>9.9949961919317872E-3</v>
      </c>
    </row>
    <row r="444" spans="1:30" ht="15.75" hidden="1" x14ac:dyDescent="0.45">
      <c r="A444" s="26" t="s">
        <v>117</v>
      </c>
      <c r="B444" s="7">
        <v>115015.7</v>
      </c>
      <c r="C444" s="27"/>
      <c r="D444" s="9"/>
      <c r="E444" s="7">
        <v>133603.41</v>
      </c>
      <c r="F444" s="27"/>
      <c r="G444" s="9"/>
      <c r="H444" s="10">
        <f>IFERROR(B444-E444, "NA")</f>
        <v>-18587.710000000006</v>
      </c>
      <c r="I444" s="27"/>
      <c r="J444" s="9"/>
      <c r="K444" s="7">
        <v>113223.24</v>
      </c>
      <c r="L444" s="27"/>
      <c r="M444" s="9"/>
      <c r="N444" s="10">
        <f>IFERROR(B444-K444, "NA")</f>
        <v>1792.4599999999919</v>
      </c>
      <c r="O444" s="27"/>
      <c r="P444" s="9"/>
      <c r="Q444" s="7">
        <v>555767.32999999996</v>
      </c>
      <c r="R444" s="27"/>
      <c r="S444" s="9"/>
      <c r="T444" s="7">
        <v>568351.34</v>
      </c>
      <c r="U444" s="27"/>
      <c r="V444" s="9"/>
      <c r="W444" s="10">
        <f>IFERROR(Q444-T444, "NA")</f>
        <v>-12584.010000000009</v>
      </c>
      <c r="X444" s="27"/>
      <c r="Y444" s="9"/>
      <c r="Z444" s="7">
        <v>492375.61</v>
      </c>
      <c r="AA444" s="27"/>
      <c r="AB444" s="9"/>
      <c r="AC444" s="10">
        <f>IFERROR(Q444-Z444, "NA")</f>
        <v>63391.719999999972</v>
      </c>
      <c r="AD444" s="27"/>
    </row>
    <row r="447" spans="1:30" ht="15.75" x14ac:dyDescent="0.5">
      <c r="A447" s="28" t="s">
        <v>408</v>
      </c>
    </row>
    <row r="448" spans="1:30" ht="15.75" x14ac:dyDescent="0.5">
      <c r="A448" s="28" t="s">
        <v>409</v>
      </c>
    </row>
    <row r="449" spans="1:1" ht="15.75" x14ac:dyDescent="0.5">
      <c r="A449" s="28" t="s">
        <v>410</v>
      </c>
    </row>
  </sheetData>
  <mergeCells count="23">
    <mergeCell ref="AB5"/>
    <mergeCell ref="AC5:AD5"/>
    <mergeCell ref="T5:U5"/>
    <mergeCell ref="V5"/>
    <mergeCell ref="W5:X5"/>
    <mergeCell ref="Y5"/>
    <mergeCell ref="Z5:AA5"/>
    <mergeCell ref="A1:AD1"/>
    <mergeCell ref="A2:AD2"/>
    <mergeCell ref="A3:AD3"/>
    <mergeCell ref="A5"/>
    <mergeCell ref="B5:C5"/>
    <mergeCell ref="D5"/>
    <mergeCell ref="E5:F5"/>
    <mergeCell ref="G5"/>
    <mergeCell ref="H5:I5"/>
    <mergeCell ref="J5"/>
    <mergeCell ref="K5:L5"/>
    <mergeCell ref="M5"/>
    <mergeCell ref="N5:O5"/>
    <mergeCell ref="P5"/>
    <mergeCell ref="Q5:R5"/>
    <mergeCell ref="S5"/>
  </mergeCells>
  <pageMargins left="0.7" right="0.7" top="0.75" bottom="0.75" header="0.3" footer="0.3"/>
  <ignoredErrors>
    <ignoredError sqref="A1:AD44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Consolidated</vt:lpstr>
      <vt:lpstr>1 - RASA Worldwide</vt:lpstr>
      <vt:lpstr>2 - RASA - Ballpark</vt:lpstr>
      <vt:lpstr>4 - RASA - MVT</vt:lpstr>
      <vt:lpstr>5 - RASA - National Landin</vt:lpstr>
      <vt:lpstr>6 - RASA - Mosaic</vt:lpstr>
      <vt:lpstr>7 - RASA - Rockville</vt:lpstr>
      <vt:lpstr>'1 - RASA Worldwide'!Print_Titles</vt:lpstr>
      <vt:lpstr>'2 - RASA - Ballpark'!Print_Titles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Trey Moats</cp:lastModifiedBy>
  <dcterms:created xsi:type="dcterms:W3CDTF">2026-04-07T01:54:11Z</dcterms:created>
  <dcterms:modified xsi:type="dcterms:W3CDTF">2026-04-07T01:54:44Z</dcterms:modified>
</cp:coreProperties>
</file>