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EDD082F8-0185-40C2-945C-16D7AAEF3C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X440" i="7" s="1"/>
  <c r="N444" i="7"/>
  <c r="O438" i="7" s="1"/>
  <c r="H444" i="7"/>
  <c r="AA442" i="7"/>
  <c r="Z442" i="7"/>
  <c r="T442" i="7"/>
  <c r="U442" i="7" s="1"/>
  <c r="Q442" i="7"/>
  <c r="R442" i="7" s="1"/>
  <c r="K442" i="7"/>
  <c r="L442" i="7" s="1"/>
  <c r="H442" i="7"/>
  <c r="I442" i="7" s="1"/>
  <c r="E442" i="7"/>
  <c r="F442" i="7" s="1"/>
  <c r="C442" i="7"/>
  <c r="B442" i="7"/>
  <c r="N442" i="7" s="1"/>
  <c r="O442" i="7" s="1"/>
  <c r="Z441" i="7"/>
  <c r="AA441" i="7" s="1"/>
  <c r="W441" i="7"/>
  <c r="X441" i="7" s="1"/>
  <c r="U441" i="7"/>
  <c r="T441" i="7"/>
  <c r="Q441" i="7"/>
  <c r="R441" i="7" s="1"/>
  <c r="N441" i="7"/>
  <c r="O441" i="7" s="1"/>
  <c r="K441" i="7"/>
  <c r="L441" i="7" s="1"/>
  <c r="E441" i="7"/>
  <c r="F441" i="7" s="1"/>
  <c r="B441" i="7"/>
  <c r="AC440" i="7"/>
  <c r="AD440" i="7" s="1"/>
  <c r="AA440" i="7"/>
  <c r="W440" i="7"/>
  <c r="U440" i="7"/>
  <c r="R440" i="7"/>
  <c r="O440" i="7"/>
  <c r="N440" i="7"/>
  <c r="L440" i="7"/>
  <c r="I440" i="7"/>
  <c r="H440" i="7"/>
  <c r="F440" i="7"/>
  <c r="C440" i="7"/>
  <c r="AC439" i="7"/>
  <c r="AD439" i="7" s="1"/>
  <c r="AA439" i="7"/>
  <c r="X439" i="7"/>
  <c r="W439" i="7"/>
  <c r="U439" i="7"/>
  <c r="R439" i="7"/>
  <c r="N439" i="7"/>
  <c r="O439" i="7" s="1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N438" i="7"/>
  <c r="L438" i="7"/>
  <c r="H438" i="7"/>
  <c r="I438" i="7" s="1"/>
  <c r="F438" i="7"/>
  <c r="C438" i="7"/>
  <c r="AD437" i="7"/>
  <c r="AC437" i="7"/>
  <c r="AA437" i="7"/>
  <c r="W437" i="7"/>
  <c r="X437" i="7" s="1"/>
  <c r="U437" i="7"/>
  <c r="R437" i="7"/>
  <c r="N437" i="7"/>
  <c r="O437" i="7" s="1"/>
  <c r="L437" i="7"/>
  <c r="H437" i="7"/>
  <c r="I437" i="7" s="1"/>
  <c r="F437" i="7"/>
  <c r="C437" i="7"/>
  <c r="AC436" i="7"/>
  <c r="AD436" i="7" s="1"/>
  <c r="AA436" i="7"/>
  <c r="W436" i="7"/>
  <c r="U436" i="7"/>
  <c r="R436" i="7"/>
  <c r="O436" i="7"/>
  <c r="N436" i="7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H435" i="7"/>
  <c r="I435" i="7" s="1"/>
  <c r="F435" i="7"/>
  <c r="C435" i="7"/>
  <c r="AC434" i="7"/>
  <c r="AD434" i="7" s="1"/>
  <c r="AA434" i="7"/>
  <c r="X434" i="7"/>
  <c r="W434" i="7"/>
  <c r="U434" i="7"/>
  <c r="R434" i="7"/>
  <c r="N434" i="7"/>
  <c r="L434" i="7"/>
  <c r="H434" i="7"/>
  <c r="I434" i="7" s="1"/>
  <c r="F434" i="7"/>
  <c r="C434" i="7"/>
  <c r="AD433" i="7"/>
  <c r="AC433" i="7"/>
  <c r="AA433" i="7"/>
  <c r="W433" i="7"/>
  <c r="X433" i="7" s="1"/>
  <c r="U433" i="7"/>
  <c r="R433" i="7"/>
  <c r="N433" i="7"/>
  <c r="O433" i="7" s="1"/>
  <c r="L433" i="7"/>
  <c r="H433" i="7"/>
  <c r="I433" i="7" s="1"/>
  <c r="F433" i="7"/>
  <c r="C433" i="7"/>
  <c r="AC432" i="7"/>
  <c r="AD432" i="7" s="1"/>
  <c r="AA432" i="7"/>
  <c r="W432" i="7"/>
  <c r="U432" i="7"/>
  <c r="R432" i="7"/>
  <c r="O432" i="7"/>
  <c r="N432" i="7"/>
  <c r="L432" i="7"/>
  <c r="I432" i="7"/>
  <c r="H432" i="7"/>
  <c r="F432" i="7"/>
  <c r="C432" i="7"/>
  <c r="AC429" i="7"/>
  <c r="AD429" i="7" s="1"/>
  <c r="Z429" i="7"/>
  <c r="AA429" i="7" s="1"/>
  <c r="T429" i="7"/>
  <c r="U429" i="7" s="1"/>
  <c r="Q429" i="7"/>
  <c r="L429" i="7"/>
  <c r="K429" i="7"/>
  <c r="E429" i="7"/>
  <c r="F429" i="7" s="1"/>
  <c r="B429" i="7"/>
  <c r="C429" i="7" s="1"/>
  <c r="Z428" i="7"/>
  <c r="AA428" i="7" s="1"/>
  <c r="W428" i="7"/>
  <c r="X428" i="7" s="1"/>
  <c r="T428" i="7"/>
  <c r="U428" i="7" s="1"/>
  <c r="R428" i="7"/>
  <c r="Q428" i="7"/>
  <c r="AC428" i="7" s="1"/>
  <c r="AD428" i="7" s="1"/>
  <c r="K428" i="7"/>
  <c r="L428" i="7" s="1"/>
  <c r="H428" i="7"/>
  <c r="I428" i="7" s="1"/>
  <c r="F428" i="7"/>
  <c r="E428" i="7"/>
  <c r="B428" i="7"/>
  <c r="C428" i="7" s="1"/>
  <c r="AC427" i="7"/>
  <c r="AD427" i="7" s="1"/>
  <c r="AA427" i="7"/>
  <c r="W427" i="7"/>
  <c r="X427" i="7" s="1"/>
  <c r="U427" i="7"/>
  <c r="R427" i="7"/>
  <c r="N427" i="7"/>
  <c r="O427" i="7" s="1"/>
  <c r="L427" i="7"/>
  <c r="H427" i="7"/>
  <c r="I427" i="7" s="1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D425" i="7"/>
  <c r="AC425" i="7"/>
  <c r="AA425" i="7"/>
  <c r="W425" i="7"/>
  <c r="X425" i="7" s="1"/>
  <c r="U425" i="7"/>
  <c r="R425" i="7"/>
  <c r="O425" i="7"/>
  <c r="N425" i="7"/>
  <c r="L425" i="7"/>
  <c r="H425" i="7"/>
  <c r="I425" i="7" s="1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I424" i="7"/>
  <c r="H424" i="7"/>
  <c r="F424" i="7"/>
  <c r="C424" i="7"/>
  <c r="AC423" i="7"/>
  <c r="AD423" i="7" s="1"/>
  <c r="AA423" i="7"/>
  <c r="X423" i="7"/>
  <c r="W423" i="7"/>
  <c r="U423" i="7"/>
  <c r="R423" i="7"/>
  <c r="N423" i="7"/>
  <c r="O423" i="7" s="1"/>
  <c r="L423" i="7"/>
  <c r="H423" i="7"/>
  <c r="I423" i="7" s="1"/>
  <c r="F423" i="7"/>
  <c r="C423" i="7"/>
  <c r="AC422" i="7"/>
  <c r="AD422" i="7" s="1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D421" i="7"/>
  <c r="AC421" i="7"/>
  <c r="AA421" i="7"/>
  <c r="W421" i="7"/>
  <c r="X421" i="7" s="1"/>
  <c r="U421" i="7"/>
  <c r="R421" i="7"/>
  <c r="O421" i="7"/>
  <c r="N421" i="7"/>
  <c r="L421" i="7"/>
  <c r="H421" i="7"/>
  <c r="I421" i="7" s="1"/>
  <c r="F421" i="7"/>
  <c r="C421" i="7"/>
  <c r="AC420" i="7"/>
  <c r="AD420" i="7" s="1"/>
  <c r="AA420" i="7"/>
  <c r="X420" i="7"/>
  <c r="W420" i="7"/>
  <c r="U420" i="7"/>
  <c r="R420" i="7"/>
  <c r="O420" i="7"/>
  <c r="N420" i="7"/>
  <c r="L420" i="7"/>
  <c r="I420" i="7"/>
  <c r="H420" i="7"/>
  <c r="F420" i="7"/>
  <c r="C420" i="7"/>
  <c r="AC419" i="7"/>
  <c r="AD419" i="7" s="1"/>
  <c r="AA419" i="7"/>
  <c r="X419" i="7"/>
  <c r="W419" i="7"/>
  <c r="U419" i="7"/>
  <c r="R419" i="7"/>
  <c r="N419" i="7"/>
  <c r="O419" i="7" s="1"/>
  <c r="L419" i="7"/>
  <c r="H419" i="7"/>
  <c r="I419" i="7" s="1"/>
  <c r="F419" i="7"/>
  <c r="C419" i="7"/>
  <c r="AC418" i="7"/>
  <c r="AD418" i="7" s="1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D417" i="7"/>
  <c r="AC417" i="7"/>
  <c r="AA417" i="7"/>
  <c r="W417" i="7"/>
  <c r="X417" i="7" s="1"/>
  <c r="U417" i="7"/>
  <c r="R417" i="7"/>
  <c r="O417" i="7"/>
  <c r="N417" i="7"/>
  <c r="L417" i="7"/>
  <c r="H417" i="7"/>
  <c r="I417" i="7" s="1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I416" i="7"/>
  <c r="H416" i="7"/>
  <c r="F416" i="7"/>
  <c r="C416" i="7"/>
  <c r="AC415" i="7"/>
  <c r="AD415" i="7" s="1"/>
  <c r="AA415" i="7"/>
  <c r="X415" i="7"/>
  <c r="W415" i="7"/>
  <c r="U415" i="7"/>
  <c r="R415" i="7"/>
  <c r="N415" i="7"/>
  <c r="O415" i="7" s="1"/>
  <c r="L415" i="7"/>
  <c r="H415" i="7"/>
  <c r="I415" i="7" s="1"/>
  <c r="F415" i="7"/>
  <c r="C415" i="7"/>
  <c r="AC414" i="7"/>
  <c r="AD414" i="7" s="1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D413" i="7"/>
  <c r="AC413" i="7"/>
  <c r="AA413" i="7"/>
  <c r="W413" i="7"/>
  <c r="X413" i="7" s="1"/>
  <c r="U413" i="7"/>
  <c r="R413" i="7"/>
  <c r="O413" i="7"/>
  <c r="N413" i="7"/>
  <c r="L413" i="7"/>
  <c r="H413" i="7"/>
  <c r="I413" i="7" s="1"/>
  <c r="F413" i="7"/>
  <c r="C413" i="7"/>
  <c r="AC412" i="7"/>
  <c r="AD412" i="7" s="1"/>
  <c r="AA412" i="7"/>
  <c r="X412" i="7"/>
  <c r="W412" i="7"/>
  <c r="U412" i="7"/>
  <c r="R412" i="7"/>
  <c r="O412" i="7"/>
  <c r="N412" i="7"/>
  <c r="L412" i="7"/>
  <c r="I412" i="7"/>
  <c r="H412" i="7"/>
  <c r="F412" i="7"/>
  <c r="C412" i="7"/>
  <c r="AC411" i="7"/>
  <c r="AD411" i="7" s="1"/>
  <c r="AA411" i="7"/>
  <c r="X411" i="7"/>
  <c r="W411" i="7"/>
  <c r="U411" i="7"/>
  <c r="R411" i="7"/>
  <c r="N411" i="7"/>
  <c r="O411" i="7" s="1"/>
  <c r="L411" i="7"/>
  <c r="H411" i="7"/>
  <c r="I411" i="7" s="1"/>
  <c r="F411" i="7"/>
  <c r="C411" i="7"/>
  <c r="AC410" i="7"/>
  <c r="AD410" i="7" s="1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D409" i="7"/>
  <c r="AC409" i="7"/>
  <c r="AA409" i="7"/>
  <c r="W409" i="7"/>
  <c r="X409" i="7" s="1"/>
  <c r="U409" i="7"/>
  <c r="R409" i="7"/>
  <c r="O409" i="7"/>
  <c r="N409" i="7"/>
  <c r="L409" i="7"/>
  <c r="H409" i="7"/>
  <c r="I409" i="7" s="1"/>
  <c r="F409" i="7"/>
  <c r="C409" i="7"/>
  <c r="AC408" i="7"/>
  <c r="AD408" i="7" s="1"/>
  <c r="AA408" i="7"/>
  <c r="X408" i="7"/>
  <c r="W408" i="7"/>
  <c r="U408" i="7"/>
  <c r="R408" i="7"/>
  <c r="O408" i="7"/>
  <c r="N408" i="7"/>
  <c r="L408" i="7"/>
  <c r="I408" i="7"/>
  <c r="H408" i="7"/>
  <c r="F408" i="7"/>
  <c r="C408" i="7"/>
  <c r="AC407" i="7"/>
  <c r="AD407" i="7" s="1"/>
  <c r="AA407" i="7"/>
  <c r="X407" i="7"/>
  <c r="W407" i="7"/>
  <c r="U407" i="7"/>
  <c r="R407" i="7"/>
  <c r="N407" i="7"/>
  <c r="O407" i="7" s="1"/>
  <c r="L407" i="7"/>
  <c r="H407" i="7"/>
  <c r="I407" i="7" s="1"/>
  <c r="F407" i="7"/>
  <c r="C407" i="7"/>
  <c r="AC403" i="7"/>
  <c r="AD403" i="7" s="1"/>
  <c r="AA403" i="7"/>
  <c r="Z403" i="7"/>
  <c r="T403" i="7"/>
  <c r="U403" i="7" s="1"/>
  <c r="Q403" i="7"/>
  <c r="K403" i="7"/>
  <c r="L403" i="7" s="1"/>
  <c r="H403" i="7"/>
  <c r="I403" i="7" s="1"/>
  <c r="E403" i="7"/>
  <c r="F403" i="7" s="1"/>
  <c r="C403" i="7"/>
  <c r="B403" i="7"/>
  <c r="N403" i="7" s="1"/>
  <c r="O403" i="7" s="1"/>
  <c r="AC402" i="7"/>
  <c r="AD402" i="7" s="1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D401" i="7"/>
  <c r="AC401" i="7"/>
  <c r="AA401" i="7"/>
  <c r="W401" i="7"/>
  <c r="X401" i="7" s="1"/>
  <c r="U401" i="7"/>
  <c r="R401" i="7"/>
  <c r="O401" i="7"/>
  <c r="N401" i="7"/>
  <c r="L401" i="7"/>
  <c r="H401" i="7"/>
  <c r="I401" i="7" s="1"/>
  <c r="F401" i="7"/>
  <c r="C401" i="7"/>
  <c r="AC400" i="7"/>
  <c r="AD400" i="7" s="1"/>
  <c r="AA400" i="7"/>
  <c r="X400" i="7"/>
  <c r="W400" i="7"/>
  <c r="U400" i="7"/>
  <c r="R400" i="7"/>
  <c r="O400" i="7"/>
  <c r="N400" i="7"/>
  <c r="L400" i="7"/>
  <c r="I400" i="7"/>
  <c r="H400" i="7"/>
  <c r="F400" i="7"/>
  <c r="C400" i="7"/>
  <c r="AC399" i="7"/>
  <c r="AD399" i="7" s="1"/>
  <c r="AA399" i="7"/>
  <c r="W399" i="7"/>
  <c r="X399" i="7" s="1"/>
  <c r="U399" i="7"/>
  <c r="R399" i="7"/>
  <c r="N399" i="7"/>
  <c r="O399" i="7" s="1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AD397" i="7"/>
  <c r="AC397" i="7"/>
  <c r="AA397" i="7"/>
  <c r="W397" i="7"/>
  <c r="X397" i="7" s="1"/>
  <c r="U397" i="7"/>
  <c r="R397" i="7"/>
  <c r="O397" i="7"/>
  <c r="N397" i="7"/>
  <c r="L397" i="7"/>
  <c r="H397" i="7"/>
  <c r="I397" i="7" s="1"/>
  <c r="F397" i="7"/>
  <c r="C397" i="7"/>
  <c r="AA396" i="7"/>
  <c r="Z396" i="7"/>
  <c r="T396" i="7"/>
  <c r="U396" i="7" s="1"/>
  <c r="Q396" i="7"/>
  <c r="K396" i="7"/>
  <c r="L396" i="7" s="1"/>
  <c r="E396" i="7"/>
  <c r="F396" i="7" s="1"/>
  <c r="C396" i="7"/>
  <c r="B396" i="7"/>
  <c r="N396" i="7" s="1"/>
  <c r="O396" i="7" s="1"/>
  <c r="AC395" i="7"/>
  <c r="AD395" i="7" s="1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D394" i="7"/>
  <c r="AC394" i="7"/>
  <c r="AA394" i="7"/>
  <c r="W394" i="7"/>
  <c r="X394" i="7" s="1"/>
  <c r="U394" i="7"/>
  <c r="R394" i="7"/>
  <c r="N394" i="7"/>
  <c r="O394" i="7" s="1"/>
  <c r="L394" i="7"/>
  <c r="H394" i="7"/>
  <c r="I394" i="7" s="1"/>
  <c r="F394" i="7"/>
  <c r="C394" i="7"/>
  <c r="AC393" i="7"/>
  <c r="AD393" i="7" s="1"/>
  <c r="AA393" i="7"/>
  <c r="Z393" i="7"/>
  <c r="T393" i="7"/>
  <c r="U393" i="7" s="1"/>
  <c r="Q393" i="7"/>
  <c r="K393" i="7"/>
  <c r="L393" i="7" s="1"/>
  <c r="E393" i="7"/>
  <c r="F393" i="7" s="1"/>
  <c r="C393" i="7"/>
  <c r="B393" i="7"/>
  <c r="N393" i="7" s="1"/>
  <c r="O393" i="7" s="1"/>
  <c r="AC392" i="7"/>
  <c r="AD392" i="7" s="1"/>
  <c r="AA392" i="7"/>
  <c r="X392" i="7"/>
  <c r="W392" i="7"/>
  <c r="U392" i="7"/>
  <c r="R392" i="7"/>
  <c r="O392" i="7"/>
  <c r="N392" i="7"/>
  <c r="L392" i="7"/>
  <c r="H392" i="7"/>
  <c r="I392" i="7" s="1"/>
  <c r="F392" i="7"/>
  <c r="C392" i="7"/>
  <c r="AD391" i="7"/>
  <c r="AC391" i="7"/>
  <c r="AA391" i="7"/>
  <c r="W391" i="7"/>
  <c r="X391" i="7" s="1"/>
  <c r="U391" i="7"/>
  <c r="R391" i="7"/>
  <c r="N391" i="7"/>
  <c r="O391" i="7" s="1"/>
  <c r="L391" i="7"/>
  <c r="H391" i="7"/>
  <c r="I391" i="7" s="1"/>
  <c r="F391" i="7"/>
  <c r="C391" i="7"/>
  <c r="AC390" i="7"/>
  <c r="AD390" i="7" s="1"/>
  <c r="AA390" i="7"/>
  <c r="X390" i="7"/>
  <c r="W390" i="7"/>
  <c r="U390" i="7"/>
  <c r="R390" i="7"/>
  <c r="O390" i="7"/>
  <c r="N390" i="7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N389" i="7"/>
  <c r="O389" i="7" s="1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O388" i="7"/>
  <c r="N388" i="7"/>
  <c r="L388" i="7"/>
  <c r="H388" i="7"/>
  <c r="I388" i="7" s="1"/>
  <c r="F388" i="7"/>
  <c r="C388" i="7"/>
  <c r="AD386" i="7"/>
  <c r="AC386" i="7"/>
  <c r="AA386" i="7"/>
  <c r="W386" i="7"/>
  <c r="X386" i="7" s="1"/>
  <c r="U386" i="7"/>
  <c r="R386" i="7"/>
  <c r="N386" i="7"/>
  <c r="O386" i="7" s="1"/>
  <c r="L386" i="7"/>
  <c r="H386" i="7"/>
  <c r="I386" i="7" s="1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N383" i="7"/>
  <c r="O383" i="7" s="1"/>
  <c r="L383" i="7"/>
  <c r="I383" i="7"/>
  <c r="H383" i="7"/>
  <c r="F383" i="7"/>
  <c r="C383" i="7"/>
  <c r="AC382" i="7"/>
  <c r="AD382" i="7" s="1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D381" i="7"/>
  <c r="AC381" i="7"/>
  <c r="AA381" i="7"/>
  <c r="W381" i="7"/>
  <c r="X381" i="7" s="1"/>
  <c r="U381" i="7"/>
  <c r="R381" i="7"/>
  <c r="O381" i="7"/>
  <c r="N381" i="7"/>
  <c r="L381" i="7"/>
  <c r="H381" i="7"/>
  <c r="I381" i="7" s="1"/>
  <c r="F381" i="7"/>
  <c r="C381" i="7"/>
  <c r="AD380" i="7"/>
  <c r="AC380" i="7"/>
  <c r="AA380" i="7"/>
  <c r="X380" i="7"/>
  <c r="W380" i="7"/>
  <c r="U380" i="7"/>
  <c r="R380" i="7"/>
  <c r="O380" i="7"/>
  <c r="N380" i="7"/>
  <c r="L380" i="7"/>
  <c r="I380" i="7"/>
  <c r="H380" i="7"/>
  <c r="F380" i="7"/>
  <c r="C380" i="7"/>
  <c r="AC379" i="7"/>
  <c r="AD379" i="7" s="1"/>
  <c r="AA379" i="7"/>
  <c r="W379" i="7"/>
  <c r="X379" i="7" s="1"/>
  <c r="U379" i="7"/>
  <c r="R379" i="7"/>
  <c r="N379" i="7"/>
  <c r="O379" i="7" s="1"/>
  <c r="L379" i="7"/>
  <c r="I379" i="7"/>
  <c r="H379" i="7"/>
  <c r="F379" i="7"/>
  <c r="C379" i="7"/>
  <c r="AC378" i="7"/>
  <c r="AD378" i="7" s="1"/>
  <c r="AA378" i="7"/>
  <c r="X378" i="7"/>
  <c r="W378" i="7"/>
  <c r="U378" i="7"/>
  <c r="R378" i="7"/>
  <c r="O378" i="7"/>
  <c r="N378" i="7"/>
  <c r="L378" i="7"/>
  <c r="I378" i="7"/>
  <c r="H378" i="7"/>
  <c r="F378" i="7"/>
  <c r="C378" i="7"/>
  <c r="AD377" i="7"/>
  <c r="AC377" i="7"/>
  <c r="AA377" i="7"/>
  <c r="W377" i="7"/>
  <c r="X377" i="7" s="1"/>
  <c r="U377" i="7"/>
  <c r="R377" i="7"/>
  <c r="N377" i="7"/>
  <c r="O377" i="7" s="1"/>
  <c r="L377" i="7"/>
  <c r="H377" i="7"/>
  <c r="I377" i="7" s="1"/>
  <c r="F377" i="7"/>
  <c r="C377" i="7"/>
  <c r="AD376" i="7"/>
  <c r="AC376" i="7"/>
  <c r="AA376" i="7"/>
  <c r="X376" i="7"/>
  <c r="W376" i="7"/>
  <c r="U376" i="7"/>
  <c r="R376" i="7"/>
  <c r="N376" i="7"/>
  <c r="O376" i="7" s="1"/>
  <c r="L376" i="7"/>
  <c r="I376" i="7"/>
  <c r="H376" i="7"/>
  <c r="F376" i="7"/>
  <c r="C376" i="7"/>
  <c r="AD375" i="7"/>
  <c r="AC375" i="7"/>
  <c r="AA375" i="7"/>
  <c r="X375" i="7"/>
  <c r="W375" i="7"/>
  <c r="U375" i="7"/>
  <c r="R375" i="7"/>
  <c r="N375" i="7"/>
  <c r="O375" i="7" s="1"/>
  <c r="L375" i="7"/>
  <c r="H375" i="7"/>
  <c r="I375" i="7" s="1"/>
  <c r="F375" i="7"/>
  <c r="C375" i="7"/>
  <c r="AC374" i="7"/>
  <c r="AD374" i="7" s="1"/>
  <c r="AA374" i="7"/>
  <c r="W374" i="7"/>
  <c r="X374" i="7" s="1"/>
  <c r="U374" i="7"/>
  <c r="R374" i="7"/>
  <c r="O374" i="7"/>
  <c r="N374" i="7"/>
  <c r="L374" i="7"/>
  <c r="I374" i="7"/>
  <c r="H374" i="7"/>
  <c r="F374" i="7"/>
  <c r="C374" i="7"/>
  <c r="AD373" i="7"/>
  <c r="AC373" i="7"/>
  <c r="AA373" i="7"/>
  <c r="W373" i="7"/>
  <c r="X373" i="7" s="1"/>
  <c r="U373" i="7"/>
  <c r="R373" i="7"/>
  <c r="O373" i="7"/>
  <c r="N373" i="7"/>
  <c r="L373" i="7"/>
  <c r="H373" i="7"/>
  <c r="I373" i="7" s="1"/>
  <c r="F373" i="7"/>
  <c r="C373" i="7"/>
  <c r="AD372" i="7"/>
  <c r="AC372" i="7"/>
  <c r="AA372" i="7"/>
  <c r="X372" i="7"/>
  <c r="W372" i="7"/>
  <c r="U372" i="7"/>
  <c r="R372" i="7"/>
  <c r="O372" i="7"/>
  <c r="N372" i="7"/>
  <c r="L372" i="7"/>
  <c r="I372" i="7"/>
  <c r="H372" i="7"/>
  <c r="F372" i="7"/>
  <c r="C372" i="7"/>
  <c r="AC371" i="7"/>
  <c r="AD371" i="7" s="1"/>
  <c r="AA371" i="7"/>
  <c r="W371" i="7"/>
  <c r="X371" i="7" s="1"/>
  <c r="U371" i="7"/>
  <c r="R371" i="7"/>
  <c r="N371" i="7"/>
  <c r="O371" i="7" s="1"/>
  <c r="L371" i="7"/>
  <c r="I371" i="7"/>
  <c r="H371" i="7"/>
  <c r="F371" i="7"/>
  <c r="C371" i="7"/>
  <c r="AC370" i="7"/>
  <c r="AD370" i="7" s="1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AD369" i="7"/>
  <c r="AC369" i="7"/>
  <c r="AA369" i="7"/>
  <c r="W369" i="7"/>
  <c r="X369" i="7" s="1"/>
  <c r="U369" i="7"/>
  <c r="R369" i="7"/>
  <c r="N369" i="7"/>
  <c r="O369" i="7" s="1"/>
  <c r="L369" i="7"/>
  <c r="H369" i="7"/>
  <c r="I369" i="7" s="1"/>
  <c r="F369" i="7"/>
  <c r="C369" i="7"/>
  <c r="AA368" i="7"/>
  <c r="Z368" i="7"/>
  <c r="U368" i="7"/>
  <c r="T368" i="7"/>
  <c r="Q368" i="7"/>
  <c r="K368" i="7"/>
  <c r="L368" i="7" s="1"/>
  <c r="H368" i="7"/>
  <c r="I368" i="7" s="1"/>
  <c r="F368" i="7"/>
  <c r="E368" i="7"/>
  <c r="C368" i="7"/>
  <c r="B368" i="7"/>
  <c r="N368" i="7" s="1"/>
  <c r="O368" i="7" s="1"/>
  <c r="AC367" i="7"/>
  <c r="AD367" i="7" s="1"/>
  <c r="AA367" i="7"/>
  <c r="W367" i="7"/>
  <c r="X367" i="7" s="1"/>
  <c r="U367" i="7"/>
  <c r="R367" i="7"/>
  <c r="O367" i="7"/>
  <c r="N367" i="7"/>
  <c r="L367" i="7"/>
  <c r="I367" i="7"/>
  <c r="H367" i="7"/>
  <c r="F367" i="7"/>
  <c r="C367" i="7"/>
  <c r="AD366" i="7"/>
  <c r="AC366" i="7"/>
  <c r="AA366" i="7"/>
  <c r="W366" i="7"/>
  <c r="X366" i="7" s="1"/>
  <c r="U366" i="7"/>
  <c r="R366" i="7"/>
  <c r="O366" i="7"/>
  <c r="N366" i="7"/>
  <c r="L366" i="7"/>
  <c r="H366" i="7"/>
  <c r="I366" i="7" s="1"/>
  <c r="F366" i="7"/>
  <c r="C366" i="7"/>
  <c r="AD365" i="7"/>
  <c r="AC365" i="7"/>
  <c r="AA365" i="7"/>
  <c r="X365" i="7"/>
  <c r="W365" i="7"/>
  <c r="U365" i="7"/>
  <c r="R365" i="7"/>
  <c r="N365" i="7"/>
  <c r="O365" i="7" s="1"/>
  <c r="L365" i="7"/>
  <c r="I365" i="7"/>
  <c r="H365" i="7"/>
  <c r="F365" i="7"/>
  <c r="C365" i="7"/>
  <c r="AC364" i="7"/>
  <c r="AD364" i="7" s="1"/>
  <c r="AA364" i="7"/>
  <c r="W364" i="7"/>
  <c r="X364" i="7" s="1"/>
  <c r="U364" i="7"/>
  <c r="R364" i="7"/>
  <c r="N364" i="7"/>
  <c r="O364" i="7" s="1"/>
  <c r="L364" i="7"/>
  <c r="I364" i="7"/>
  <c r="H364" i="7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C362" i="7"/>
  <c r="AD362" i="7" s="1"/>
  <c r="AA362" i="7"/>
  <c r="W362" i="7"/>
  <c r="X362" i="7" s="1"/>
  <c r="U362" i="7"/>
  <c r="R362" i="7"/>
  <c r="O362" i="7"/>
  <c r="N362" i="7"/>
  <c r="L362" i="7"/>
  <c r="H362" i="7"/>
  <c r="I362" i="7" s="1"/>
  <c r="F362" i="7"/>
  <c r="C362" i="7"/>
  <c r="AC361" i="7"/>
  <c r="AD361" i="7" s="1"/>
  <c r="AA361" i="7"/>
  <c r="X361" i="7"/>
  <c r="W361" i="7"/>
  <c r="U361" i="7"/>
  <c r="R361" i="7"/>
  <c r="O361" i="7"/>
  <c r="N361" i="7"/>
  <c r="L361" i="7"/>
  <c r="I361" i="7"/>
  <c r="H361" i="7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I360" i="7"/>
  <c r="H360" i="7"/>
  <c r="F360" i="7"/>
  <c r="C360" i="7"/>
  <c r="AC358" i="7"/>
  <c r="AD358" i="7" s="1"/>
  <c r="AA358" i="7"/>
  <c r="Z358" i="7"/>
  <c r="W358" i="7"/>
  <c r="X358" i="7" s="1"/>
  <c r="U358" i="7"/>
  <c r="T358" i="7"/>
  <c r="Q358" i="7"/>
  <c r="R358" i="7" s="1"/>
  <c r="K358" i="7"/>
  <c r="L358" i="7" s="1"/>
  <c r="E358" i="7"/>
  <c r="F358" i="7" s="1"/>
  <c r="B358" i="7"/>
  <c r="AD357" i="7"/>
  <c r="AC357" i="7"/>
  <c r="AA357" i="7"/>
  <c r="X357" i="7"/>
  <c r="W357" i="7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I356" i="7"/>
  <c r="H356" i="7"/>
  <c r="F356" i="7"/>
  <c r="C356" i="7"/>
  <c r="AC355" i="7"/>
  <c r="AD355" i="7" s="1"/>
  <c r="AA355" i="7"/>
  <c r="W355" i="7"/>
  <c r="X355" i="7" s="1"/>
  <c r="U355" i="7"/>
  <c r="R355" i="7"/>
  <c r="O355" i="7"/>
  <c r="N355" i="7"/>
  <c r="L355" i="7"/>
  <c r="I355" i="7"/>
  <c r="H355" i="7"/>
  <c r="F355" i="7"/>
  <c r="C355" i="7"/>
  <c r="AC354" i="7"/>
  <c r="AD354" i="7" s="1"/>
  <c r="AA354" i="7"/>
  <c r="W354" i="7"/>
  <c r="X354" i="7" s="1"/>
  <c r="U354" i="7"/>
  <c r="R354" i="7"/>
  <c r="O354" i="7"/>
  <c r="N354" i="7"/>
  <c r="L354" i="7"/>
  <c r="H354" i="7"/>
  <c r="I354" i="7" s="1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I353" i="7"/>
  <c r="H353" i="7"/>
  <c r="F353" i="7"/>
  <c r="C353" i="7"/>
  <c r="AD352" i="7"/>
  <c r="AC352" i="7"/>
  <c r="AA352" i="7"/>
  <c r="X352" i="7"/>
  <c r="W352" i="7"/>
  <c r="U352" i="7"/>
  <c r="R352" i="7"/>
  <c r="O352" i="7"/>
  <c r="N352" i="7"/>
  <c r="L352" i="7"/>
  <c r="H352" i="7"/>
  <c r="I352" i="7" s="1"/>
  <c r="F352" i="7"/>
  <c r="C352" i="7"/>
  <c r="AC351" i="7"/>
  <c r="AD351" i="7" s="1"/>
  <c r="AA351" i="7"/>
  <c r="W351" i="7"/>
  <c r="X351" i="7" s="1"/>
  <c r="U351" i="7"/>
  <c r="R351" i="7"/>
  <c r="O351" i="7"/>
  <c r="N351" i="7"/>
  <c r="L351" i="7"/>
  <c r="H351" i="7"/>
  <c r="I351" i="7" s="1"/>
  <c r="F351" i="7"/>
  <c r="C351" i="7"/>
  <c r="AD350" i="7"/>
  <c r="AC350" i="7"/>
  <c r="AA350" i="7"/>
  <c r="X350" i="7"/>
  <c r="W350" i="7"/>
  <c r="U350" i="7"/>
  <c r="R350" i="7"/>
  <c r="N350" i="7"/>
  <c r="O350" i="7" s="1"/>
  <c r="L350" i="7"/>
  <c r="H350" i="7"/>
  <c r="I350" i="7" s="1"/>
  <c r="F350" i="7"/>
  <c r="C350" i="7"/>
  <c r="AC349" i="7"/>
  <c r="AD349" i="7" s="1"/>
  <c r="AA349" i="7"/>
  <c r="X349" i="7"/>
  <c r="W349" i="7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X347" i="7"/>
  <c r="W347" i="7"/>
  <c r="U347" i="7"/>
  <c r="R347" i="7"/>
  <c r="N347" i="7"/>
  <c r="O347" i="7" s="1"/>
  <c r="L347" i="7"/>
  <c r="H347" i="7"/>
  <c r="I347" i="7" s="1"/>
  <c r="F347" i="7"/>
  <c r="C347" i="7"/>
  <c r="AC344" i="7"/>
  <c r="AD344" i="7" s="1"/>
  <c r="Z344" i="7"/>
  <c r="AA344" i="7" s="1"/>
  <c r="W344" i="7"/>
  <c r="X344" i="7" s="1"/>
  <c r="T344" i="7"/>
  <c r="U344" i="7" s="1"/>
  <c r="Q344" i="7"/>
  <c r="R344" i="7" s="1"/>
  <c r="K344" i="7"/>
  <c r="F344" i="7"/>
  <c r="E344" i="7"/>
  <c r="B344" i="7"/>
  <c r="AA343" i="7"/>
  <c r="Z343" i="7"/>
  <c r="W343" i="7"/>
  <c r="X343" i="7" s="1"/>
  <c r="T343" i="7"/>
  <c r="U343" i="7" s="1"/>
  <c r="Q343" i="7"/>
  <c r="R343" i="7" s="1"/>
  <c r="L343" i="7"/>
  <c r="K343" i="7"/>
  <c r="E343" i="7"/>
  <c r="F343" i="7" s="1"/>
  <c r="B343" i="7"/>
  <c r="H343" i="7" s="1"/>
  <c r="I343" i="7" s="1"/>
  <c r="Z342" i="7"/>
  <c r="AA342" i="7" s="1"/>
  <c r="T342" i="7"/>
  <c r="U342" i="7" s="1"/>
  <c r="Q342" i="7"/>
  <c r="K342" i="7"/>
  <c r="L342" i="7" s="1"/>
  <c r="F342" i="7"/>
  <c r="E342" i="7"/>
  <c r="B342" i="7"/>
  <c r="AC341" i="7"/>
  <c r="AD341" i="7" s="1"/>
  <c r="AA341" i="7"/>
  <c r="W341" i="7"/>
  <c r="X341" i="7" s="1"/>
  <c r="U341" i="7"/>
  <c r="R341" i="7"/>
  <c r="O341" i="7"/>
  <c r="N341" i="7"/>
  <c r="L341" i="7"/>
  <c r="I341" i="7"/>
  <c r="H341" i="7"/>
  <c r="F341" i="7"/>
  <c r="C341" i="7"/>
  <c r="AD340" i="7"/>
  <c r="AC340" i="7"/>
  <c r="AA340" i="7"/>
  <c r="W340" i="7"/>
  <c r="X340" i="7" s="1"/>
  <c r="U340" i="7"/>
  <c r="R340" i="7"/>
  <c r="N340" i="7"/>
  <c r="O340" i="7" s="1"/>
  <c r="L340" i="7"/>
  <c r="H340" i="7"/>
  <c r="I340" i="7" s="1"/>
  <c r="F340" i="7"/>
  <c r="C340" i="7"/>
  <c r="AC339" i="7"/>
  <c r="AD339" i="7" s="1"/>
  <c r="AA339" i="7"/>
  <c r="X339" i="7"/>
  <c r="W339" i="7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C337" i="7"/>
  <c r="AD337" i="7" s="1"/>
  <c r="AA337" i="7"/>
  <c r="W337" i="7"/>
  <c r="X337" i="7" s="1"/>
  <c r="U337" i="7"/>
  <c r="R337" i="7"/>
  <c r="O337" i="7"/>
  <c r="N337" i="7"/>
  <c r="L337" i="7"/>
  <c r="I337" i="7"/>
  <c r="H337" i="7"/>
  <c r="F337" i="7"/>
  <c r="C337" i="7"/>
  <c r="AC335" i="7"/>
  <c r="AD335" i="7" s="1"/>
  <c r="AA335" i="7"/>
  <c r="W335" i="7"/>
  <c r="X335" i="7" s="1"/>
  <c r="U335" i="7"/>
  <c r="R335" i="7"/>
  <c r="N335" i="7"/>
  <c r="O335" i="7" s="1"/>
  <c r="L335" i="7"/>
  <c r="H335" i="7"/>
  <c r="I335" i="7" s="1"/>
  <c r="F335" i="7"/>
  <c r="C335" i="7"/>
  <c r="AC334" i="7"/>
  <c r="AD334" i="7" s="1"/>
  <c r="AA334" i="7"/>
  <c r="X334" i="7"/>
  <c r="W334" i="7"/>
  <c r="U334" i="7"/>
  <c r="R334" i="7"/>
  <c r="O334" i="7"/>
  <c r="N334" i="7"/>
  <c r="L334" i="7"/>
  <c r="H334" i="7"/>
  <c r="I334" i="7" s="1"/>
  <c r="F334" i="7"/>
  <c r="C334" i="7"/>
  <c r="AC333" i="7"/>
  <c r="AD333" i="7" s="1"/>
  <c r="AA333" i="7"/>
  <c r="X333" i="7"/>
  <c r="W333" i="7"/>
  <c r="U333" i="7"/>
  <c r="R333" i="7"/>
  <c r="O333" i="7"/>
  <c r="N333" i="7"/>
  <c r="L333" i="7"/>
  <c r="H333" i="7"/>
  <c r="I333" i="7" s="1"/>
  <c r="F333" i="7"/>
  <c r="C333" i="7"/>
  <c r="AC332" i="7"/>
  <c r="AD332" i="7" s="1"/>
  <c r="AA332" i="7"/>
  <c r="X332" i="7"/>
  <c r="W332" i="7"/>
  <c r="U332" i="7"/>
  <c r="R332" i="7"/>
  <c r="O332" i="7"/>
  <c r="N332" i="7"/>
  <c r="L332" i="7"/>
  <c r="H332" i="7"/>
  <c r="I332" i="7" s="1"/>
  <c r="F332" i="7"/>
  <c r="C332" i="7"/>
  <c r="AD331" i="7"/>
  <c r="AC331" i="7"/>
  <c r="AA331" i="7"/>
  <c r="W331" i="7"/>
  <c r="X331" i="7" s="1"/>
  <c r="U331" i="7"/>
  <c r="R331" i="7"/>
  <c r="N331" i="7"/>
  <c r="O331" i="7" s="1"/>
  <c r="L331" i="7"/>
  <c r="H331" i="7"/>
  <c r="I331" i="7" s="1"/>
  <c r="F331" i="7"/>
  <c r="C331" i="7"/>
  <c r="AC330" i="7"/>
  <c r="AD330" i="7" s="1"/>
  <c r="AA330" i="7"/>
  <c r="X330" i="7"/>
  <c r="W330" i="7"/>
  <c r="U330" i="7"/>
  <c r="R330" i="7"/>
  <c r="N330" i="7"/>
  <c r="O330" i="7" s="1"/>
  <c r="L330" i="7"/>
  <c r="H330" i="7"/>
  <c r="I330" i="7" s="1"/>
  <c r="F330" i="7"/>
  <c r="C330" i="7"/>
  <c r="AC329" i="7"/>
  <c r="AD329" i="7" s="1"/>
  <c r="AA329" i="7"/>
  <c r="X329" i="7"/>
  <c r="W329" i="7"/>
  <c r="U329" i="7"/>
  <c r="R329" i="7"/>
  <c r="N329" i="7"/>
  <c r="O329" i="7" s="1"/>
  <c r="L329" i="7"/>
  <c r="I329" i="7"/>
  <c r="H329" i="7"/>
  <c r="F329" i="7"/>
  <c r="C329" i="7"/>
  <c r="AC328" i="7"/>
  <c r="AD328" i="7" s="1"/>
  <c r="AA328" i="7"/>
  <c r="W328" i="7"/>
  <c r="X328" i="7" s="1"/>
  <c r="U328" i="7"/>
  <c r="R328" i="7"/>
  <c r="O328" i="7"/>
  <c r="N328" i="7"/>
  <c r="L328" i="7"/>
  <c r="H328" i="7"/>
  <c r="I328" i="7" s="1"/>
  <c r="F328" i="7"/>
  <c r="C328" i="7"/>
  <c r="Z325" i="7"/>
  <c r="AA325" i="7" s="1"/>
  <c r="T325" i="7"/>
  <c r="U325" i="7" s="1"/>
  <c r="Q325" i="7"/>
  <c r="K325" i="7"/>
  <c r="L325" i="7" s="1"/>
  <c r="E325" i="7"/>
  <c r="F325" i="7" s="1"/>
  <c r="B325" i="7"/>
  <c r="AA324" i="7"/>
  <c r="Z324" i="7"/>
  <c r="W324" i="7"/>
  <c r="X324" i="7" s="1"/>
  <c r="T324" i="7"/>
  <c r="U324" i="7" s="1"/>
  <c r="Q324" i="7"/>
  <c r="R324" i="7" s="1"/>
  <c r="L324" i="7"/>
  <c r="K324" i="7"/>
  <c r="E324" i="7"/>
  <c r="F324" i="7" s="1"/>
  <c r="B324" i="7"/>
  <c r="C324" i="7" s="1"/>
  <c r="AC323" i="7"/>
  <c r="AD323" i="7" s="1"/>
  <c r="AA323" i="7"/>
  <c r="X323" i="7"/>
  <c r="W323" i="7"/>
  <c r="U323" i="7"/>
  <c r="R323" i="7"/>
  <c r="N323" i="7"/>
  <c r="O323" i="7" s="1"/>
  <c r="L323" i="7"/>
  <c r="H323" i="7"/>
  <c r="I323" i="7" s="1"/>
  <c r="F323" i="7"/>
  <c r="C323" i="7"/>
  <c r="AD322" i="7"/>
  <c r="AC322" i="7"/>
  <c r="AA322" i="7"/>
  <c r="X322" i="7"/>
  <c r="W322" i="7"/>
  <c r="U322" i="7"/>
  <c r="R322" i="7"/>
  <c r="N322" i="7"/>
  <c r="O322" i="7" s="1"/>
  <c r="L322" i="7"/>
  <c r="H322" i="7"/>
  <c r="I322" i="7" s="1"/>
  <c r="F322" i="7"/>
  <c r="C322" i="7"/>
  <c r="AC321" i="7"/>
  <c r="AD321" i="7" s="1"/>
  <c r="AA321" i="7"/>
  <c r="X321" i="7"/>
  <c r="W321" i="7"/>
  <c r="U321" i="7"/>
  <c r="R321" i="7"/>
  <c r="O321" i="7"/>
  <c r="N321" i="7"/>
  <c r="L321" i="7"/>
  <c r="H321" i="7"/>
  <c r="I321" i="7" s="1"/>
  <c r="F321" i="7"/>
  <c r="C321" i="7"/>
  <c r="AC320" i="7"/>
  <c r="AD320" i="7" s="1"/>
  <c r="AA320" i="7"/>
  <c r="W320" i="7"/>
  <c r="X320" i="7" s="1"/>
  <c r="U320" i="7"/>
  <c r="R320" i="7"/>
  <c r="O320" i="7"/>
  <c r="N320" i="7"/>
  <c r="L320" i="7"/>
  <c r="H320" i="7"/>
  <c r="I320" i="7" s="1"/>
  <c r="F320" i="7"/>
  <c r="C320" i="7"/>
  <c r="AD319" i="7"/>
  <c r="AC319" i="7"/>
  <c r="AA319" i="7"/>
  <c r="X319" i="7"/>
  <c r="W319" i="7"/>
  <c r="U319" i="7"/>
  <c r="R319" i="7"/>
  <c r="N319" i="7"/>
  <c r="O319" i="7" s="1"/>
  <c r="L319" i="7"/>
  <c r="H319" i="7"/>
  <c r="I319" i="7" s="1"/>
  <c r="F319" i="7"/>
  <c r="C319" i="7"/>
  <c r="AC318" i="7"/>
  <c r="AD318" i="7" s="1"/>
  <c r="AA318" i="7"/>
  <c r="X318" i="7"/>
  <c r="W318" i="7"/>
  <c r="U318" i="7"/>
  <c r="R318" i="7"/>
  <c r="N318" i="7"/>
  <c r="O318" i="7" s="1"/>
  <c r="L318" i="7"/>
  <c r="H318" i="7"/>
  <c r="I318" i="7" s="1"/>
  <c r="F318" i="7"/>
  <c r="C318" i="7"/>
  <c r="AC317" i="7"/>
  <c r="AD317" i="7" s="1"/>
  <c r="AA317" i="7"/>
  <c r="W317" i="7"/>
  <c r="X317" i="7" s="1"/>
  <c r="U317" i="7"/>
  <c r="R317" i="7"/>
  <c r="O317" i="7"/>
  <c r="N317" i="7"/>
  <c r="L317" i="7"/>
  <c r="I317" i="7"/>
  <c r="H317" i="7"/>
  <c r="F317" i="7"/>
  <c r="C317" i="7"/>
  <c r="AC316" i="7"/>
  <c r="AD316" i="7" s="1"/>
  <c r="AA316" i="7"/>
  <c r="W316" i="7"/>
  <c r="X316" i="7" s="1"/>
  <c r="U316" i="7"/>
  <c r="R316" i="7"/>
  <c r="O316" i="7"/>
  <c r="N316" i="7"/>
  <c r="L316" i="7"/>
  <c r="H316" i="7"/>
  <c r="I316" i="7" s="1"/>
  <c r="F316" i="7"/>
  <c r="C316" i="7"/>
  <c r="AD315" i="7"/>
  <c r="AC315" i="7"/>
  <c r="AA315" i="7"/>
  <c r="X315" i="7"/>
  <c r="W315" i="7"/>
  <c r="U315" i="7"/>
  <c r="R315" i="7"/>
  <c r="N315" i="7"/>
  <c r="O315" i="7" s="1"/>
  <c r="L315" i="7"/>
  <c r="H315" i="7"/>
  <c r="I315" i="7" s="1"/>
  <c r="F315" i="7"/>
  <c r="C315" i="7"/>
  <c r="AC314" i="7"/>
  <c r="AD314" i="7" s="1"/>
  <c r="AA314" i="7"/>
  <c r="X314" i="7"/>
  <c r="W314" i="7"/>
  <c r="U314" i="7"/>
  <c r="R314" i="7"/>
  <c r="N314" i="7"/>
  <c r="O314" i="7" s="1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O313" i="7"/>
  <c r="N313" i="7"/>
  <c r="L313" i="7"/>
  <c r="I313" i="7"/>
  <c r="H313" i="7"/>
  <c r="F313" i="7"/>
  <c r="C313" i="7"/>
  <c r="AC312" i="7"/>
  <c r="AD312" i="7" s="1"/>
  <c r="AA312" i="7"/>
  <c r="W312" i="7"/>
  <c r="X312" i="7" s="1"/>
  <c r="U312" i="7"/>
  <c r="R312" i="7"/>
  <c r="O312" i="7"/>
  <c r="N312" i="7"/>
  <c r="L312" i="7"/>
  <c r="H312" i="7"/>
  <c r="I312" i="7" s="1"/>
  <c r="F312" i="7"/>
  <c r="C312" i="7"/>
  <c r="AC311" i="7"/>
  <c r="AD311" i="7" s="1"/>
  <c r="AA311" i="7"/>
  <c r="X311" i="7"/>
  <c r="W311" i="7"/>
  <c r="U311" i="7"/>
  <c r="R311" i="7"/>
  <c r="O311" i="7"/>
  <c r="N311" i="7"/>
  <c r="L311" i="7"/>
  <c r="H311" i="7"/>
  <c r="I311" i="7" s="1"/>
  <c r="F311" i="7"/>
  <c r="C311" i="7"/>
  <c r="AC310" i="7"/>
  <c r="AD310" i="7" s="1"/>
  <c r="AA310" i="7"/>
  <c r="X310" i="7"/>
  <c r="W310" i="7"/>
  <c r="U310" i="7"/>
  <c r="R310" i="7"/>
  <c r="N310" i="7"/>
  <c r="O310" i="7" s="1"/>
  <c r="L310" i="7"/>
  <c r="H310" i="7"/>
  <c r="I310" i="7" s="1"/>
  <c r="F310" i="7"/>
  <c r="C310" i="7"/>
  <c r="AC309" i="7"/>
  <c r="AD309" i="7" s="1"/>
  <c r="AA309" i="7"/>
  <c r="X309" i="7"/>
  <c r="W309" i="7"/>
  <c r="U309" i="7"/>
  <c r="R309" i="7"/>
  <c r="O309" i="7"/>
  <c r="N309" i="7"/>
  <c r="L309" i="7"/>
  <c r="I309" i="7"/>
  <c r="H309" i="7"/>
  <c r="F309" i="7"/>
  <c r="C309" i="7"/>
  <c r="AC308" i="7"/>
  <c r="AD308" i="7" s="1"/>
  <c r="AA308" i="7"/>
  <c r="W308" i="7"/>
  <c r="X308" i="7" s="1"/>
  <c r="U308" i="7"/>
  <c r="R308" i="7"/>
  <c r="O308" i="7"/>
  <c r="N308" i="7"/>
  <c r="L308" i="7"/>
  <c r="H308" i="7"/>
  <c r="I308" i="7" s="1"/>
  <c r="F308" i="7"/>
  <c r="C308" i="7"/>
  <c r="AC307" i="7"/>
  <c r="AD307" i="7" s="1"/>
  <c r="AA307" i="7"/>
  <c r="X307" i="7"/>
  <c r="W307" i="7"/>
  <c r="U307" i="7"/>
  <c r="R307" i="7"/>
  <c r="O307" i="7"/>
  <c r="N307" i="7"/>
  <c r="L307" i="7"/>
  <c r="H307" i="7"/>
  <c r="I307" i="7" s="1"/>
  <c r="F307" i="7"/>
  <c r="C307" i="7"/>
  <c r="AD306" i="7"/>
  <c r="AC306" i="7"/>
  <c r="AA306" i="7"/>
  <c r="X306" i="7"/>
  <c r="W306" i="7"/>
  <c r="U306" i="7"/>
  <c r="R306" i="7"/>
  <c r="N306" i="7"/>
  <c r="O306" i="7" s="1"/>
  <c r="L306" i="7"/>
  <c r="H306" i="7"/>
  <c r="I306" i="7" s="1"/>
  <c r="F306" i="7"/>
  <c r="C306" i="7"/>
  <c r="AC305" i="7"/>
  <c r="AD305" i="7" s="1"/>
  <c r="AA305" i="7"/>
  <c r="W305" i="7"/>
  <c r="X305" i="7" s="1"/>
  <c r="U305" i="7"/>
  <c r="R305" i="7"/>
  <c r="O305" i="7"/>
  <c r="N305" i="7"/>
  <c r="L305" i="7"/>
  <c r="H305" i="7"/>
  <c r="I305" i="7" s="1"/>
  <c r="F305" i="7"/>
  <c r="C305" i="7"/>
  <c r="AC304" i="7"/>
  <c r="AD304" i="7" s="1"/>
  <c r="AA304" i="7"/>
  <c r="W304" i="7"/>
  <c r="X304" i="7" s="1"/>
  <c r="U304" i="7"/>
  <c r="R304" i="7"/>
  <c r="O304" i="7"/>
  <c r="N304" i="7"/>
  <c r="L304" i="7"/>
  <c r="H304" i="7"/>
  <c r="I304" i="7" s="1"/>
  <c r="F304" i="7"/>
  <c r="C304" i="7"/>
  <c r="AD303" i="7"/>
  <c r="AC303" i="7"/>
  <c r="AA303" i="7"/>
  <c r="X303" i="7"/>
  <c r="W303" i="7"/>
  <c r="U303" i="7"/>
  <c r="R303" i="7"/>
  <c r="N303" i="7"/>
  <c r="O303" i="7" s="1"/>
  <c r="L303" i="7"/>
  <c r="H303" i="7"/>
  <c r="I303" i="7" s="1"/>
  <c r="F303" i="7"/>
  <c r="C303" i="7"/>
  <c r="AC302" i="7"/>
  <c r="AD302" i="7" s="1"/>
  <c r="AA302" i="7"/>
  <c r="X302" i="7"/>
  <c r="W302" i="7"/>
  <c r="U302" i="7"/>
  <c r="R302" i="7"/>
  <c r="N302" i="7"/>
  <c r="O302" i="7" s="1"/>
  <c r="L302" i="7"/>
  <c r="I302" i="7"/>
  <c r="H302" i="7"/>
  <c r="F302" i="7"/>
  <c r="C302" i="7"/>
  <c r="AC301" i="7"/>
  <c r="AD301" i="7" s="1"/>
  <c r="AA301" i="7"/>
  <c r="X301" i="7"/>
  <c r="W301" i="7"/>
  <c r="U301" i="7"/>
  <c r="R301" i="7"/>
  <c r="O301" i="7"/>
  <c r="N301" i="7"/>
  <c r="L301" i="7"/>
  <c r="H301" i="7"/>
  <c r="I301" i="7" s="1"/>
  <c r="F301" i="7"/>
  <c r="C301" i="7"/>
  <c r="AC300" i="7"/>
  <c r="AD300" i="7" s="1"/>
  <c r="AA300" i="7"/>
  <c r="W300" i="7"/>
  <c r="X300" i="7" s="1"/>
  <c r="U300" i="7"/>
  <c r="R300" i="7"/>
  <c r="O300" i="7"/>
  <c r="N300" i="7"/>
  <c r="L300" i="7"/>
  <c r="H300" i="7"/>
  <c r="I300" i="7" s="1"/>
  <c r="F300" i="7"/>
  <c r="C300" i="7"/>
  <c r="AC299" i="7"/>
  <c r="AD299" i="7" s="1"/>
  <c r="AA299" i="7"/>
  <c r="X299" i="7"/>
  <c r="W299" i="7"/>
  <c r="U299" i="7"/>
  <c r="R299" i="7"/>
  <c r="N299" i="7"/>
  <c r="O299" i="7" s="1"/>
  <c r="L299" i="7"/>
  <c r="H299" i="7"/>
  <c r="I299" i="7" s="1"/>
  <c r="F299" i="7"/>
  <c r="C299" i="7"/>
  <c r="AD298" i="7"/>
  <c r="AC298" i="7"/>
  <c r="AA298" i="7"/>
  <c r="X298" i="7"/>
  <c r="W298" i="7"/>
  <c r="U298" i="7"/>
  <c r="R298" i="7"/>
  <c r="N298" i="7"/>
  <c r="O298" i="7" s="1"/>
  <c r="L298" i="7"/>
  <c r="I298" i="7"/>
  <c r="H298" i="7"/>
  <c r="F298" i="7"/>
  <c r="C298" i="7"/>
  <c r="AC297" i="7"/>
  <c r="AD297" i="7" s="1"/>
  <c r="AA297" i="7"/>
  <c r="W297" i="7"/>
  <c r="X297" i="7" s="1"/>
  <c r="U297" i="7"/>
  <c r="R297" i="7"/>
  <c r="O297" i="7"/>
  <c r="N297" i="7"/>
  <c r="L297" i="7"/>
  <c r="H297" i="7"/>
  <c r="I297" i="7" s="1"/>
  <c r="F297" i="7"/>
  <c r="C297" i="7"/>
  <c r="Z295" i="7"/>
  <c r="AA295" i="7" s="1"/>
  <c r="T295" i="7"/>
  <c r="U295" i="7" s="1"/>
  <c r="Q295" i="7"/>
  <c r="L295" i="7"/>
  <c r="K295" i="7"/>
  <c r="E295" i="7"/>
  <c r="F295" i="7" s="1"/>
  <c r="B295" i="7"/>
  <c r="C295" i="7" s="1"/>
  <c r="AC294" i="7"/>
  <c r="AD294" i="7" s="1"/>
  <c r="AA294" i="7"/>
  <c r="X294" i="7"/>
  <c r="W294" i="7"/>
  <c r="U294" i="7"/>
  <c r="R294" i="7"/>
  <c r="N294" i="7"/>
  <c r="O294" i="7" s="1"/>
  <c r="L294" i="7"/>
  <c r="H294" i="7"/>
  <c r="I294" i="7" s="1"/>
  <c r="F294" i="7"/>
  <c r="C294" i="7"/>
  <c r="AC293" i="7"/>
  <c r="AD293" i="7" s="1"/>
  <c r="AA293" i="7"/>
  <c r="W293" i="7"/>
  <c r="X293" i="7" s="1"/>
  <c r="U293" i="7"/>
  <c r="R293" i="7"/>
  <c r="O293" i="7"/>
  <c r="N293" i="7"/>
  <c r="L293" i="7"/>
  <c r="H293" i="7"/>
  <c r="I293" i="7" s="1"/>
  <c r="F293" i="7"/>
  <c r="C293" i="7"/>
  <c r="AC292" i="7"/>
  <c r="AD292" i="7" s="1"/>
  <c r="AA292" i="7"/>
  <c r="W292" i="7"/>
  <c r="X292" i="7" s="1"/>
  <c r="U292" i="7"/>
  <c r="R292" i="7"/>
  <c r="O292" i="7"/>
  <c r="N292" i="7"/>
  <c r="L292" i="7"/>
  <c r="H292" i="7"/>
  <c r="I292" i="7" s="1"/>
  <c r="F292" i="7"/>
  <c r="C292" i="7"/>
  <c r="AC291" i="7"/>
  <c r="AD291" i="7" s="1"/>
  <c r="AA291" i="7"/>
  <c r="X291" i="7"/>
  <c r="W291" i="7"/>
  <c r="U291" i="7"/>
  <c r="R291" i="7"/>
  <c r="O291" i="7"/>
  <c r="N291" i="7"/>
  <c r="L291" i="7"/>
  <c r="H291" i="7"/>
  <c r="I291" i="7" s="1"/>
  <c r="F291" i="7"/>
  <c r="C291" i="7"/>
  <c r="AD290" i="7"/>
  <c r="AC290" i="7"/>
  <c r="AA290" i="7"/>
  <c r="X290" i="7"/>
  <c r="W290" i="7"/>
  <c r="U290" i="7"/>
  <c r="R290" i="7"/>
  <c r="N290" i="7"/>
  <c r="O290" i="7" s="1"/>
  <c r="L290" i="7"/>
  <c r="H290" i="7"/>
  <c r="I290" i="7" s="1"/>
  <c r="F290" i="7"/>
  <c r="C290" i="7"/>
  <c r="AC289" i="7"/>
  <c r="AD289" i="7" s="1"/>
  <c r="AA289" i="7"/>
  <c r="W289" i="7"/>
  <c r="X289" i="7" s="1"/>
  <c r="U289" i="7"/>
  <c r="R289" i="7"/>
  <c r="O289" i="7"/>
  <c r="N289" i="7"/>
  <c r="L289" i="7"/>
  <c r="I289" i="7"/>
  <c r="H289" i="7"/>
  <c r="F289" i="7"/>
  <c r="C289" i="7"/>
  <c r="AC288" i="7"/>
  <c r="AD288" i="7" s="1"/>
  <c r="AA288" i="7"/>
  <c r="W288" i="7"/>
  <c r="X288" i="7" s="1"/>
  <c r="U288" i="7"/>
  <c r="R288" i="7"/>
  <c r="O288" i="7"/>
  <c r="N288" i="7"/>
  <c r="L288" i="7"/>
  <c r="H288" i="7"/>
  <c r="I288" i="7" s="1"/>
  <c r="F288" i="7"/>
  <c r="C288" i="7"/>
  <c r="AC287" i="7"/>
  <c r="AD287" i="7" s="1"/>
  <c r="AA287" i="7"/>
  <c r="X287" i="7"/>
  <c r="W287" i="7"/>
  <c r="U287" i="7"/>
  <c r="R287" i="7"/>
  <c r="N287" i="7"/>
  <c r="O287" i="7" s="1"/>
  <c r="L287" i="7"/>
  <c r="H287" i="7"/>
  <c r="I287" i="7" s="1"/>
  <c r="F287" i="7"/>
  <c r="C287" i="7"/>
  <c r="AC286" i="7"/>
  <c r="AD286" i="7" s="1"/>
  <c r="AA286" i="7"/>
  <c r="X286" i="7"/>
  <c r="W286" i="7"/>
  <c r="U286" i="7"/>
  <c r="R286" i="7"/>
  <c r="N286" i="7"/>
  <c r="O286" i="7" s="1"/>
  <c r="L286" i="7"/>
  <c r="I286" i="7"/>
  <c r="H286" i="7"/>
  <c r="F286" i="7"/>
  <c r="C286" i="7"/>
  <c r="Z284" i="7"/>
  <c r="AA284" i="7" s="1"/>
  <c r="W284" i="7"/>
  <c r="X284" i="7" s="1"/>
  <c r="T284" i="7"/>
  <c r="U284" i="7" s="1"/>
  <c r="Q284" i="7"/>
  <c r="R284" i="7" s="1"/>
  <c r="L284" i="7"/>
  <c r="K284" i="7"/>
  <c r="E284" i="7"/>
  <c r="F284" i="7" s="1"/>
  <c r="C284" i="7"/>
  <c r="B284" i="7"/>
  <c r="H284" i="7" s="1"/>
  <c r="I284" i="7" s="1"/>
  <c r="AD283" i="7"/>
  <c r="AC283" i="7"/>
  <c r="AA283" i="7"/>
  <c r="X283" i="7"/>
  <c r="W283" i="7"/>
  <c r="U283" i="7"/>
  <c r="R283" i="7"/>
  <c r="N283" i="7"/>
  <c r="O283" i="7" s="1"/>
  <c r="L283" i="7"/>
  <c r="H283" i="7"/>
  <c r="I283" i="7" s="1"/>
  <c r="F283" i="7"/>
  <c r="C283" i="7"/>
  <c r="AC282" i="7"/>
  <c r="AD282" i="7" s="1"/>
  <c r="AA282" i="7"/>
  <c r="X282" i="7"/>
  <c r="W282" i="7"/>
  <c r="U282" i="7"/>
  <c r="R282" i="7"/>
  <c r="N282" i="7"/>
  <c r="O282" i="7" s="1"/>
  <c r="L282" i="7"/>
  <c r="I282" i="7"/>
  <c r="H282" i="7"/>
  <c r="F282" i="7"/>
  <c r="C282" i="7"/>
  <c r="AC281" i="7"/>
  <c r="AD281" i="7" s="1"/>
  <c r="AA281" i="7"/>
  <c r="W281" i="7"/>
  <c r="X281" i="7" s="1"/>
  <c r="U281" i="7"/>
  <c r="R281" i="7"/>
  <c r="O281" i="7"/>
  <c r="N281" i="7"/>
  <c r="L281" i="7"/>
  <c r="I281" i="7"/>
  <c r="H281" i="7"/>
  <c r="F281" i="7"/>
  <c r="C281" i="7"/>
  <c r="AC280" i="7"/>
  <c r="AD280" i="7" s="1"/>
  <c r="AA280" i="7"/>
  <c r="X280" i="7"/>
  <c r="W280" i="7"/>
  <c r="U280" i="7"/>
  <c r="R280" i="7"/>
  <c r="O280" i="7"/>
  <c r="N280" i="7"/>
  <c r="L280" i="7"/>
  <c r="H280" i="7"/>
  <c r="I280" i="7" s="1"/>
  <c r="F280" i="7"/>
  <c r="C280" i="7"/>
  <c r="AD279" i="7"/>
  <c r="AC279" i="7"/>
  <c r="AA279" i="7"/>
  <c r="X279" i="7"/>
  <c r="W279" i="7"/>
  <c r="U279" i="7"/>
  <c r="R279" i="7"/>
  <c r="N279" i="7"/>
  <c r="O279" i="7" s="1"/>
  <c r="L279" i="7"/>
  <c r="H279" i="7"/>
  <c r="I279" i="7" s="1"/>
  <c r="F279" i="7"/>
  <c r="C279" i="7"/>
  <c r="AC278" i="7"/>
  <c r="AD278" i="7" s="1"/>
  <c r="AA278" i="7"/>
  <c r="X278" i="7"/>
  <c r="W278" i="7"/>
  <c r="U278" i="7"/>
  <c r="R278" i="7"/>
  <c r="O278" i="7"/>
  <c r="N278" i="7"/>
  <c r="L278" i="7"/>
  <c r="H278" i="7"/>
  <c r="I278" i="7" s="1"/>
  <c r="F278" i="7"/>
  <c r="C278" i="7"/>
  <c r="AC277" i="7"/>
  <c r="AD277" i="7" s="1"/>
  <c r="AA277" i="7"/>
  <c r="W277" i="7"/>
  <c r="X277" i="7" s="1"/>
  <c r="U277" i="7"/>
  <c r="R277" i="7"/>
  <c r="O277" i="7"/>
  <c r="N277" i="7"/>
  <c r="L277" i="7"/>
  <c r="I277" i="7"/>
  <c r="H277" i="7"/>
  <c r="F277" i="7"/>
  <c r="C277" i="7"/>
  <c r="AC276" i="7"/>
  <c r="AD276" i="7" s="1"/>
  <c r="AA276" i="7"/>
  <c r="W276" i="7"/>
  <c r="X276" i="7" s="1"/>
  <c r="U276" i="7"/>
  <c r="R276" i="7"/>
  <c r="O276" i="7"/>
  <c r="N276" i="7"/>
  <c r="L276" i="7"/>
  <c r="H276" i="7"/>
  <c r="I276" i="7" s="1"/>
  <c r="F276" i="7"/>
  <c r="C276" i="7"/>
  <c r="AD275" i="7"/>
  <c r="AC275" i="7"/>
  <c r="AA275" i="7"/>
  <c r="X275" i="7"/>
  <c r="W275" i="7"/>
  <c r="U275" i="7"/>
  <c r="R275" i="7"/>
  <c r="N275" i="7"/>
  <c r="O275" i="7" s="1"/>
  <c r="L275" i="7"/>
  <c r="H275" i="7"/>
  <c r="I275" i="7" s="1"/>
  <c r="F275" i="7"/>
  <c r="C275" i="7"/>
  <c r="Z273" i="7"/>
  <c r="AC273" i="7" s="1"/>
  <c r="AD273" i="7" s="1"/>
  <c r="W273" i="7"/>
  <c r="X273" i="7" s="1"/>
  <c r="T273" i="7"/>
  <c r="U273" i="7" s="1"/>
  <c r="R273" i="7"/>
  <c r="Q273" i="7"/>
  <c r="K273" i="7"/>
  <c r="L273" i="7" s="1"/>
  <c r="E273" i="7"/>
  <c r="F273" i="7" s="1"/>
  <c r="B273" i="7"/>
  <c r="AC272" i="7"/>
  <c r="AD272" i="7" s="1"/>
  <c r="AA272" i="7"/>
  <c r="W272" i="7"/>
  <c r="X272" i="7" s="1"/>
  <c r="U272" i="7"/>
  <c r="R272" i="7"/>
  <c r="O272" i="7"/>
  <c r="N272" i="7"/>
  <c r="L272" i="7"/>
  <c r="H272" i="7"/>
  <c r="I272" i="7" s="1"/>
  <c r="F272" i="7"/>
  <c r="C272" i="7"/>
  <c r="AC271" i="7"/>
  <c r="AD271" i="7" s="1"/>
  <c r="AA271" i="7"/>
  <c r="X271" i="7"/>
  <c r="W271" i="7"/>
  <c r="U271" i="7"/>
  <c r="R271" i="7"/>
  <c r="N271" i="7"/>
  <c r="O271" i="7" s="1"/>
  <c r="L271" i="7"/>
  <c r="H271" i="7"/>
  <c r="I271" i="7" s="1"/>
  <c r="F271" i="7"/>
  <c r="C271" i="7"/>
  <c r="AC270" i="7"/>
  <c r="AD270" i="7" s="1"/>
  <c r="AA270" i="7"/>
  <c r="X270" i="7"/>
  <c r="W270" i="7"/>
  <c r="U270" i="7"/>
  <c r="R270" i="7"/>
  <c r="N270" i="7"/>
  <c r="O270" i="7" s="1"/>
  <c r="L270" i="7"/>
  <c r="H270" i="7"/>
  <c r="I270" i="7" s="1"/>
  <c r="F270" i="7"/>
  <c r="C270" i="7"/>
  <c r="AC269" i="7"/>
  <c r="AD269" i="7" s="1"/>
  <c r="AA269" i="7"/>
  <c r="W269" i="7"/>
  <c r="X269" i="7" s="1"/>
  <c r="U269" i="7"/>
  <c r="R269" i="7"/>
  <c r="O269" i="7"/>
  <c r="N269" i="7"/>
  <c r="L269" i="7"/>
  <c r="H269" i="7"/>
  <c r="I269" i="7" s="1"/>
  <c r="F269" i="7"/>
  <c r="C269" i="7"/>
  <c r="Z267" i="7"/>
  <c r="AA267" i="7" s="1"/>
  <c r="W267" i="7"/>
  <c r="X267" i="7" s="1"/>
  <c r="T267" i="7"/>
  <c r="U267" i="7" s="1"/>
  <c r="Q267" i="7"/>
  <c r="K267" i="7"/>
  <c r="L267" i="7" s="1"/>
  <c r="H267" i="7"/>
  <c r="I267" i="7" s="1"/>
  <c r="E267" i="7"/>
  <c r="F267" i="7" s="1"/>
  <c r="B267" i="7"/>
  <c r="C267" i="7" s="1"/>
  <c r="AD266" i="7"/>
  <c r="AC266" i="7"/>
  <c r="AA266" i="7"/>
  <c r="X266" i="7"/>
  <c r="W266" i="7"/>
  <c r="U266" i="7"/>
  <c r="R266" i="7"/>
  <c r="N266" i="7"/>
  <c r="O266" i="7" s="1"/>
  <c r="L266" i="7"/>
  <c r="H266" i="7"/>
  <c r="I266" i="7" s="1"/>
  <c r="F266" i="7"/>
  <c r="C266" i="7"/>
  <c r="AC265" i="7"/>
  <c r="AD265" i="7" s="1"/>
  <c r="AA265" i="7"/>
  <c r="X265" i="7"/>
  <c r="W265" i="7"/>
  <c r="U265" i="7"/>
  <c r="R265" i="7"/>
  <c r="O265" i="7"/>
  <c r="N265" i="7"/>
  <c r="L265" i="7"/>
  <c r="H265" i="7"/>
  <c r="I265" i="7" s="1"/>
  <c r="F265" i="7"/>
  <c r="C265" i="7"/>
  <c r="Z263" i="7"/>
  <c r="AA263" i="7" s="1"/>
  <c r="U263" i="7"/>
  <c r="T263" i="7"/>
  <c r="Q263" i="7"/>
  <c r="K263" i="7"/>
  <c r="L263" i="7" s="1"/>
  <c r="E263" i="7"/>
  <c r="F263" i="7" s="1"/>
  <c r="B263" i="7"/>
  <c r="AC262" i="7"/>
  <c r="AD262" i="7" s="1"/>
  <c r="Z262" i="7"/>
  <c r="AA262" i="7" s="1"/>
  <c r="T262" i="7"/>
  <c r="U262" i="7" s="1"/>
  <c r="Q262" i="7"/>
  <c r="K262" i="7"/>
  <c r="L262" i="7" s="1"/>
  <c r="F262" i="7"/>
  <c r="E262" i="7"/>
  <c r="B262" i="7"/>
  <c r="N262" i="7" s="1"/>
  <c r="O262" i="7" s="1"/>
  <c r="AC261" i="7"/>
  <c r="AD261" i="7" s="1"/>
  <c r="AA261" i="7"/>
  <c r="W261" i="7"/>
  <c r="X261" i="7" s="1"/>
  <c r="U261" i="7"/>
  <c r="R261" i="7"/>
  <c r="O261" i="7"/>
  <c r="N261" i="7"/>
  <c r="L261" i="7"/>
  <c r="H261" i="7"/>
  <c r="I261" i="7" s="1"/>
  <c r="F261" i="7"/>
  <c r="C261" i="7"/>
  <c r="AD260" i="7"/>
  <c r="AC260" i="7"/>
  <c r="AA260" i="7"/>
  <c r="X260" i="7"/>
  <c r="W260" i="7"/>
  <c r="U260" i="7"/>
  <c r="R260" i="7"/>
  <c r="N260" i="7"/>
  <c r="O260" i="7" s="1"/>
  <c r="L260" i="7"/>
  <c r="H260" i="7"/>
  <c r="I260" i="7" s="1"/>
  <c r="F260" i="7"/>
  <c r="C260" i="7"/>
  <c r="AD259" i="7"/>
  <c r="AC259" i="7"/>
  <c r="AA259" i="7"/>
  <c r="X259" i="7"/>
  <c r="W259" i="7"/>
  <c r="U259" i="7"/>
  <c r="R259" i="7"/>
  <c r="N259" i="7"/>
  <c r="O259" i="7" s="1"/>
  <c r="L259" i="7"/>
  <c r="H259" i="7"/>
  <c r="I259" i="7" s="1"/>
  <c r="F259" i="7"/>
  <c r="C259" i="7"/>
  <c r="AC258" i="7"/>
  <c r="AD258" i="7" s="1"/>
  <c r="AA258" i="7"/>
  <c r="X258" i="7"/>
  <c r="W258" i="7"/>
  <c r="U258" i="7"/>
  <c r="R258" i="7"/>
  <c r="O258" i="7"/>
  <c r="N258" i="7"/>
  <c r="L258" i="7"/>
  <c r="H258" i="7"/>
  <c r="I258" i="7" s="1"/>
  <c r="F258" i="7"/>
  <c r="C258" i="7"/>
  <c r="AC257" i="7"/>
  <c r="AD257" i="7" s="1"/>
  <c r="AA257" i="7"/>
  <c r="W257" i="7"/>
  <c r="X257" i="7" s="1"/>
  <c r="U257" i="7"/>
  <c r="R257" i="7"/>
  <c r="O257" i="7"/>
  <c r="N257" i="7"/>
  <c r="L257" i="7"/>
  <c r="H257" i="7"/>
  <c r="I257" i="7" s="1"/>
  <c r="F257" i="7"/>
  <c r="C257" i="7"/>
  <c r="AC256" i="7"/>
  <c r="AD256" i="7" s="1"/>
  <c r="AA256" i="7"/>
  <c r="X256" i="7"/>
  <c r="W256" i="7"/>
  <c r="U256" i="7"/>
  <c r="R256" i="7"/>
  <c r="O256" i="7"/>
  <c r="N256" i="7"/>
  <c r="L256" i="7"/>
  <c r="H256" i="7"/>
  <c r="I256" i="7" s="1"/>
  <c r="F256" i="7"/>
  <c r="C256" i="7"/>
  <c r="AC255" i="7"/>
  <c r="AD255" i="7" s="1"/>
  <c r="AA255" i="7"/>
  <c r="X255" i="7"/>
  <c r="W255" i="7"/>
  <c r="U255" i="7"/>
  <c r="R255" i="7"/>
  <c r="O255" i="7"/>
  <c r="N255" i="7"/>
  <c r="L255" i="7"/>
  <c r="H255" i="7"/>
  <c r="I255" i="7" s="1"/>
  <c r="F255" i="7"/>
  <c r="C255" i="7"/>
  <c r="AC254" i="7"/>
  <c r="AD254" i="7" s="1"/>
  <c r="AA254" i="7"/>
  <c r="W254" i="7"/>
  <c r="X254" i="7" s="1"/>
  <c r="U254" i="7"/>
  <c r="R254" i="7"/>
  <c r="O254" i="7"/>
  <c r="N254" i="7"/>
  <c r="L254" i="7"/>
  <c r="I254" i="7"/>
  <c r="H254" i="7"/>
  <c r="F254" i="7"/>
  <c r="C254" i="7"/>
  <c r="AC253" i="7"/>
  <c r="AD253" i="7" s="1"/>
  <c r="AA253" i="7"/>
  <c r="W253" i="7"/>
  <c r="X253" i="7" s="1"/>
  <c r="U253" i="7"/>
  <c r="R253" i="7"/>
  <c r="O253" i="7"/>
  <c r="N253" i="7"/>
  <c r="L253" i="7"/>
  <c r="H253" i="7"/>
  <c r="I253" i="7" s="1"/>
  <c r="F253" i="7"/>
  <c r="C253" i="7"/>
  <c r="AD252" i="7"/>
  <c r="AC252" i="7"/>
  <c r="AA252" i="7"/>
  <c r="X252" i="7"/>
  <c r="W252" i="7"/>
  <c r="U252" i="7"/>
  <c r="R252" i="7"/>
  <c r="O252" i="7"/>
  <c r="N252" i="7"/>
  <c r="L252" i="7"/>
  <c r="H252" i="7"/>
  <c r="I252" i="7" s="1"/>
  <c r="F252" i="7"/>
  <c r="C252" i="7"/>
  <c r="AD251" i="7"/>
  <c r="AC251" i="7"/>
  <c r="AA251" i="7"/>
  <c r="X251" i="7"/>
  <c r="W251" i="7"/>
  <c r="U251" i="7"/>
  <c r="R251" i="7"/>
  <c r="N251" i="7"/>
  <c r="O251" i="7" s="1"/>
  <c r="L251" i="7"/>
  <c r="I251" i="7"/>
  <c r="H251" i="7"/>
  <c r="F251" i="7"/>
  <c r="C251" i="7"/>
  <c r="AC250" i="7"/>
  <c r="AD250" i="7" s="1"/>
  <c r="AA250" i="7"/>
  <c r="X250" i="7"/>
  <c r="W250" i="7"/>
  <c r="U250" i="7"/>
  <c r="R250" i="7"/>
  <c r="N250" i="7"/>
  <c r="O250" i="7" s="1"/>
  <c r="L250" i="7"/>
  <c r="H250" i="7"/>
  <c r="I250" i="7" s="1"/>
  <c r="F250" i="7"/>
  <c r="C250" i="7"/>
  <c r="AD249" i="7"/>
  <c r="AC249" i="7"/>
  <c r="AA249" i="7"/>
  <c r="X249" i="7"/>
  <c r="W249" i="7"/>
  <c r="U249" i="7"/>
  <c r="R249" i="7"/>
  <c r="N249" i="7"/>
  <c r="O249" i="7" s="1"/>
  <c r="L249" i="7"/>
  <c r="H249" i="7"/>
  <c r="I249" i="7" s="1"/>
  <c r="F249" i="7"/>
  <c r="C249" i="7"/>
  <c r="AD248" i="7"/>
  <c r="AC248" i="7"/>
  <c r="AA248" i="7"/>
  <c r="W248" i="7"/>
  <c r="X248" i="7" s="1"/>
  <c r="U248" i="7"/>
  <c r="R248" i="7"/>
  <c r="O248" i="7"/>
  <c r="N248" i="7"/>
  <c r="L248" i="7"/>
  <c r="I248" i="7"/>
  <c r="H248" i="7"/>
  <c r="F248" i="7"/>
  <c r="C248" i="7"/>
  <c r="AC247" i="7"/>
  <c r="AD247" i="7" s="1"/>
  <c r="AA247" i="7"/>
  <c r="X247" i="7"/>
  <c r="W247" i="7"/>
  <c r="U247" i="7"/>
  <c r="R247" i="7"/>
  <c r="N247" i="7"/>
  <c r="O247" i="7" s="1"/>
  <c r="L247" i="7"/>
  <c r="I247" i="7"/>
  <c r="H247" i="7"/>
  <c r="F247" i="7"/>
  <c r="C247" i="7"/>
  <c r="AC246" i="7"/>
  <c r="AD246" i="7" s="1"/>
  <c r="AA246" i="7"/>
  <c r="X246" i="7"/>
  <c r="W246" i="7"/>
  <c r="U246" i="7"/>
  <c r="R246" i="7"/>
  <c r="N246" i="7"/>
  <c r="O246" i="7" s="1"/>
  <c r="L246" i="7"/>
  <c r="H246" i="7"/>
  <c r="I246" i="7" s="1"/>
  <c r="F246" i="7"/>
  <c r="C246" i="7"/>
  <c r="AD245" i="7"/>
  <c r="AC245" i="7"/>
  <c r="AA245" i="7"/>
  <c r="W245" i="7"/>
  <c r="X245" i="7" s="1"/>
  <c r="U245" i="7"/>
  <c r="R245" i="7"/>
  <c r="N245" i="7"/>
  <c r="O245" i="7" s="1"/>
  <c r="L245" i="7"/>
  <c r="I245" i="7"/>
  <c r="H245" i="7"/>
  <c r="F245" i="7"/>
  <c r="C245" i="7"/>
  <c r="AC244" i="7"/>
  <c r="AD244" i="7" s="1"/>
  <c r="AA244" i="7"/>
  <c r="W244" i="7"/>
  <c r="X244" i="7" s="1"/>
  <c r="U244" i="7"/>
  <c r="R244" i="7"/>
  <c r="N244" i="7"/>
  <c r="O244" i="7" s="1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H243" i="7"/>
  <c r="I243" i="7" s="1"/>
  <c r="F243" i="7"/>
  <c r="C243" i="7"/>
  <c r="AC242" i="7"/>
  <c r="AD242" i="7" s="1"/>
  <c r="AA242" i="7"/>
  <c r="W242" i="7"/>
  <c r="X242" i="7" s="1"/>
  <c r="U242" i="7"/>
  <c r="R242" i="7"/>
  <c r="N242" i="7"/>
  <c r="O242" i="7" s="1"/>
  <c r="L242" i="7"/>
  <c r="I242" i="7"/>
  <c r="H242" i="7"/>
  <c r="F242" i="7"/>
  <c r="C242" i="7"/>
  <c r="AD241" i="7"/>
  <c r="AC241" i="7"/>
  <c r="AA241" i="7"/>
  <c r="W241" i="7"/>
  <c r="X241" i="7" s="1"/>
  <c r="U241" i="7"/>
  <c r="R241" i="7"/>
  <c r="O241" i="7"/>
  <c r="N241" i="7"/>
  <c r="L241" i="7"/>
  <c r="I241" i="7"/>
  <c r="H241" i="7"/>
  <c r="F241" i="7"/>
  <c r="C241" i="7"/>
  <c r="AC240" i="7"/>
  <c r="AD240" i="7" s="1"/>
  <c r="AA240" i="7"/>
  <c r="W240" i="7"/>
  <c r="X240" i="7" s="1"/>
  <c r="U240" i="7"/>
  <c r="R240" i="7"/>
  <c r="O240" i="7"/>
  <c r="N240" i="7"/>
  <c r="L240" i="7"/>
  <c r="I240" i="7"/>
  <c r="H240" i="7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H238" i="7"/>
  <c r="I238" i="7" s="1"/>
  <c r="F238" i="7"/>
  <c r="C238" i="7"/>
  <c r="Z236" i="7"/>
  <c r="AA236" i="7" s="1"/>
  <c r="U236" i="7"/>
  <c r="T236" i="7"/>
  <c r="Q236" i="7"/>
  <c r="W236" i="7" s="1"/>
  <c r="X236" i="7" s="1"/>
  <c r="N236" i="7"/>
  <c r="O236" i="7" s="1"/>
  <c r="K236" i="7"/>
  <c r="L236" i="7" s="1"/>
  <c r="F236" i="7"/>
  <c r="E236" i="7"/>
  <c r="C236" i="7"/>
  <c r="B236" i="7"/>
  <c r="AD235" i="7"/>
  <c r="AC235" i="7"/>
  <c r="AA235" i="7"/>
  <c r="W235" i="7"/>
  <c r="X235" i="7" s="1"/>
  <c r="U235" i="7"/>
  <c r="R235" i="7"/>
  <c r="O235" i="7"/>
  <c r="N235" i="7"/>
  <c r="L235" i="7"/>
  <c r="I235" i="7"/>
  <c r="H235" i="7"/>
  <c r="F235" i="7"/>
  <c r="C235" i="7"/>
  <c r="AC234" i="7"/>
  <c r="AD234" i="7" s="1"/>
  <c r="AA234" i="7"/>
  <c r="X234" i="7"/>
  <c r="W234" i="7"/>
  <c r="U234" i="7"/>
  <c r="R234" i="7"/>
  <c r="O234" i="7"/>
  <c r="N234" i="7"/>
  <c r="L234" i="7"/>
  <c r="H234" i="7"/>
  <c r="I234" i="7" s="1"/>
  <c r="F234" i="7"/>
  <c r="C234" i="7"/>
  <c r="AC233" i="7"/>
  <c r="AD233" i="7" s="1"/>
  <c r="AA233" i="7"/>
  <c r="X233" i="7"/>
  <c r="W233" i="7"/>
  <c r="U233" i="7"/>
  <c r="R233" i="7"/>
  <c r="N233" i="7"/>
  <c r="O233" i="7" s="1"/>
  <c r="L233" i="7"/>
  <c r="H233" i="7"/>
  <c r="I233" i="7" s="1"/>
  <c r="F233" i="7"/>
  <c r="C233" i="7"/>
  <c r="AD232" i="7"/>
  <c r="AC232" i="7"/>
  <c r="AA232" i="7"/>
  <c r="W232" i="7"/>
  <c r="X232" i="7" s="1"/>
  <c r="U232" i="7"/>
  <c r="R232" i="7"/>
  <c r="N232" i="7"/>
  <c r="O232" i="7" s="1"/>
  <c r="L232" i="7"/>
  <c r="H232" i="7"/>
  <c r="I232" i="7" s="1"/>
  <c r="F232" i="7"/>
  <c r="C232" i="7"/>
  <c r="AD231" i="7"/>
  <c r="AC231" i="7"/>
  <c r="AA231" i="7"/>
  <c r="W231" i="7"/>
  <c r="X231" i="7" s="1"/>
  <c r="U231" i="7"/>
  <c r="R231" i="7"/>
  <c r="O231" i="7"/>
  <c r="N231" i="7"/>
  <c r="L231" i="7"/>
  <c r="I231" i="7"/>
  <c r="H231" i="7"/>
  <c r="F231" i="7"/>
  <c r="C231" i="7"/>
  <c r="AC230" i="7"/>
  <c r="AD230" i="7" s="1"/>
  <c r="AA230" i="7"/>
  <c r="X230" i="7"/>
  <c r="W230" i="7"/>
  <c r="U230" i="7"/>
  <c r="R230" i="7"/>
  <c r="N230" i="7"/>
  <c r="O230" i="7" s="1"/>
  <c r="L230" i="7"/>
  <c r="I230" i="7"/>
  <c r="H230" i="7"/>
  <c r="F230" i="7"/>
  <c r="C230" i="7"/>
  <c r="AC229" i="7"/>
  <c r="AD229" i="7" s="1"/>
  <c r="AA229" i="7"/>
  <c r="W229" i="7"/>
  <c r="X229" i="7" s="1"/>
  <c r="U229" i="7"/>
  <c r="R229" i="7"/>
  <c r="N229" i="7"/>
  <c r="O229" i="7" s="1"/>
  <c r="L229" i="7"/>
  <c r="H229" i="7"/>
  <c r="I229" i="7" s="1"/>
  <c r="F229" i="7"/>
  <c r="C229" i="7"/>
  <c r="Z227" i="7"/>
  <c r="AA227" i="7" s="1"/>
  <c r="T227" i="7"/>
  <c r="W227" i="7" s="1"/>
  <c r="X227" i="7" s="1"/>
  <c r="R227" i="7"/>
  <c r="Q227" i="7"/>
  <c r="K227" i="7"/>
  <c r="L227" i="7" s="1"/>
  <c r="H227" i="7"/>
  <c r="I227" i="7" s="1"/>
  <c r="F227" i="7"/>
  <c r="E227" i="7"/>
  <c r="B227" i="7"/>
  <c r="C227" i="7" s="1"/>
  <c r="AC226" i="7"/>
  <c r="AD226" i="7" s="1"/>
  <c r="AA226" i="7"/>
  <c r="W226" i="7"/>
  <c r="X226" i="7" s="1"/>
  <c r="U226" i="7"/>
  <c r="R226" i="7"/>
  <c r="O226" i="7"/>
  <c r="N226" i="7"/>
  <c r="L226" i="7"/>
  <c r="I226" i="7"/>
  <c r="H226" i="7"/>
  <c r="F226" i="7"/>
  <c r="C226" i="7"/>
  <c r="AC225" i="7"/>
  <c r="AD225" i="7" s="1"/>
  <c r="AA225" i="7"/>
  <c r="W225" i="7"/>
  <c r="X225" i="7" s="1"/>
  <c r="U225" i="7"/>
  <c r="R225" i="7"/>
  <c r="N225" i="7"/>
  <c r="O225" i="7" s="1"/>
  <c r="L225" i="7"/>
  <c r="I225" i="7"/>
  <c r="H225" i="7"/>
  <c r="F225" i="7"/>
  <c r="C225" i="7"/>
  <c r="AD224" i="7"/>
  <c r="AC224" i="7"/>
  <c r="AA224" i="7"/>
  <c r="W224" i="7"/>
  <c r="X224" i="7" s="1"/>
  <c r="U224" i="7"/>
  <c r="R224" i="7"/>
  <c r="O224" i="7"/>
  <c r="N224" i="7"/>
  <c r="L224" i="7"/>
  <c r="I224" i="7"/>
  <c r="H224" i="7"/>
  <c r="F224" i="7"/>
  <c r="C224" i="7"/>
  <c r="AC223" i="7"/>
  <c r="AD223" i="7" s="1"/>
  <c r="AA223" i="7"/>
  <c r="W223" i="7"/>
  <c r="X223" i="7" s="1"/>
  <c r="U223" i="7"/>
  <c r="R223" i="7"/>
  <c r="O223" i="7"/>
  <c r="N223" i="7"/>
  <c r="L223" i="7"/>
  <c r="I223" i="7"/>
  <c r="H223" i="7"/>
  <c r="F223" i="7"/>
  <c r="C223" i="7"/>
  <c r="AC222" i="7"/>
  <c r="AD222" i="7" s="1"/>
  <c r="AA222" i="7"/>
  <c r="W222" i="7"/>
  <c r="X222" i="7" s="1"/>
  <c r="U222" i="7"/>
  <c r="R222" i="7"/>
  <c r="O222" i="7"/>
  <c r="N222" i="7"/>
  <c r="L222" i="7"/>
  <c r="H222" i="7"/>
  <c r="I222" i="7" s="1"/>
  <c r="F222" i="7"/>
  <c r="C222" i="7"/>
  <c r="AD221" i="7"/>
  <c r="AC221" i="7"/>
  <c r="AA221" i="7"/>
  <c r="X221" i="7"/>
  <c r="W221" i="7"/>
  <c r="U221" i="7"/>
  <c r="R221" i="7"/>
  <c r="N221" i="7"/>
  <c r="O221" i="7" s="1"/>
  <c r="L221" i="7"/>
  <c r="I221" i="7"/>
  <c r="H221" i="7"/>
  <c r="F221" i="7"/>
  <c r="C221" i="7"/>
  <c r="AD220" i="7"/>
  <c r="AC220" i="7"/>
  <c r="AA220" i="7"/>
  <c r="X220" i="7"/>
  <c r="W220" i="7"/>
  <c r="U220" i="7"/>
  <c r="R220" i="7"/>
  <c r="N220" i="7"/>
  <c r="O220" i="7" s="1"/>
  <c r="L220" i="7"/>
  <c r="H220" i="7"/>
  <c r="I220" i="7" s="1"/>
  <c r="F220" i="7"/>
  <c r="C220" i="7"/>
  <c r="AD219" i="7"/>
  <c r="AC219" i="7"/>
  <c r="AA219" i="7"/>
  <c r="W219" i="7"/>
  <c r="X219" i="7" s="1"/>
  <c r="U219" i="7"/>
  <c r="R219" i="7"/>
  <c r="O219" i="7"/>
  <c r="N219" i="7"/>
  <c r="L219" i="7"/>
  <c r="I219" i="7"/>
  <c r="H219" i="7"/>
  <c r="F219" i="7"/>
  <c r="C219" i="7"/>
  <c r="AC218" i="7"/>
  <c r="AD218" i="7" s="1"/>
  <c r="Z218" i="7"/>
  <c r="AA218" i="7" s="1"/>
  <c r="T218" i="7"/>
  <c r="U218" i="7" s="1"/>
  <c r="R218" i="7"/>
  <c r="Q218" i="7"/>
  <c r="O218" i="7"/>
  <c r="L218" i="7"/>
  <c r="K218" i="7"/>
  <c r="H218" i="7"/>
  <c r="I218" i="7" s="1"/>
  <c r="E218" i="7"/>
  <c r="F218" i="7" s="1"/>
  <c r="C218" i="7"/>
  <c r="B218" i="7"/>
  <c r="N218" i="7" s="1"/>
  <c r="AD217" i="7"/>
  <c r="AC217" i="7"/>
  <c r="AA217" i="7"/>
  <c r="X217" i="7"/>
  <c r="W217" i="7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W216" i="7"/>
  <c r="X216" i="7" s="1"/>
  <c r="U216" i="7"/>
  <c r="R216" i="7"/>
  <c r="N216" i="7"/>
  <c r="O216" i="7" s="1"/>
  <c r="L216" i="7"/>
  <c r="I216" i="7"/>
  <c r="H216" i="7"/>
  <c r="F216" i="7"/>
  <c r="C216" i="7"/>
  <c r="AC215" i="7"/>
  <c r="AD215" i="7" s="1"/>
  <c r="AA215" i="7"/>
  <c r="X215" i="7"/>
  <c r="W215" i="7"/>
  <c r="U215" i="7"/>
  <c r="R215" i="7"/>
  <c r="N215" i="7"/>
  <c r="O215" i="7" s="1"/>
  <c r="L215" i="7"/>
  <c r="H215" i="7"/>
  <c r="I215" i="7" s="1"/>
  <c r="F215" i="7"/>
  <c r="C215" i="7"/>
  <c r="AC214" i="7"/>
  <c r="AD214" i="7" s="1"/>
  <c r="AA214" i="7"/>
  <c r="X214" i="7"/>
  <c r="W214" i="7"/>
  <c r="U214" i="7"/>
  <c r="R214" i="7"/>
  <c r="N214" i="7"/>
  <c r="O214" i="7" s="1"/>
  <c r="L214" i="7"/>
  <c r="H214" i="7"/>
  <c r="I214" i="7" s="1"/>
  <c r="F214" i="7"/>
  <c r="C214" i="7"/>
  <c r="AD213" i="7"/>
  <c r="AC213" i="7"/>
  <c r="AA213" i="7"/>
  <c r="W213" i="7"/>
  <c r="X213" i="7" s="1"/>
  <c r="U213" i="7"/>
  <c r="R213" i="7"/>
  <c r="N213" i="7"/>
  <c r="O213" i="7" s="1"/>
  <c r="L213" i="7"/>
  <c r="I213" i="7"/>
  <c r="H213" i="7"/>
  <c r="F213" i="7"/>
  <c r="C213" i="7"/>
  <c r="AD211" i="7"/>
  <c r="AC211" i="7"/>
  <c r="AA211" i="7"/>
  <c r="W211" i="7"/>
  <c r="X211" i="7" s="1"/>
  <c r="U211" i="7"/>
  <c r="R211" i="7"/>
  <c r="N211" i="7"/>
  <c r="O211" i="7" s="1"/>
  <c r="L211" i="7"/>
  <c r="I211" i="7"/>
  <c r="H211" i="7"/>
  <c r="F211" i="7"/>
  <c r="C211" i="7"/>
  <c r="Z209" i="7"/>
  <c r="U209" i="7"/>
  <c r="T209" i="7"/>
  <c r="R209" i="7"/>
  <c r="Q209" i="7"/>
  <c r="L209" i="7"/>
  <c r="K209" i="7"/>
  <c r="F209" i="7"/>
  <c r="E209" i="7"/>
  <c r="B209" i="7"/>
  <c r="N209" i="7" s="1"/>
  <c r="O209" i="7" s="1"/>
  <c r="AD208" i="7"/>
  <c r="AC208" i="7"/>
  <c r="AA208" i="7"/>
  <c r="W208" i="7"/>
  <c r="X208" i="7" s="1"/>
  <c r="U208" i="7"/>
  <c r="R208" i="7"/>
  <c r="N208" i="7"/>
  <c r="O208" i="7" s="1"/>
  <c r="L208" i="7"/>
  <c r="I208" i="7"/>
  <c r="H208" i="7"/>
  <c r="F208" i="7"/>
  <c r="C208" i="7"/>
  <c r="AC207" i="7"/>
  <c r="AD207" i="7" s="1"/>
  <c r="AA207" i="7"/>
  <c r="W207" i="7"/>
  <c r="X207" i="7" s="1"/>
  <c r="U207" i="7"/>
  <c r="R207" i="7"/>
  <c r="O207" i="7"/>
  <c r="N207" i="7"/>
  <c r="L207" i="7"/>
  <c r="I207" i="7"/>
  <c r="H207" i="7"/>
  <c r="F207" i="7"/>
  <c r="C207" i="7"/>
  <c r="AC206" i="7"/>
  <c r="AD206" i="7" s="1"/>
  <c r="AA206" i="7"/>
  <c r="W206" i="7"/>
  <c r="X206" i="7" s="1"/>
  <c r="U206" i="7"/>
  <c r="R206" i="7"/>
  <c r="O206" i="7"/>
  <c r="N206" i="7"/>
  <c r="L206" i="7"/>
  <c r="H206" i="7"/>
  <c r="I206" i="7" s="1"/>
  <c r="F206" i="7"/>
  <c r="C206" i="7"/>
  <c r="AC205" i="7"/>
  <c r="AD205" i="7" s="1"/>
  <c r="AA205" i="7"/>
  <c r="X205" i="7"/>
  <c r="W205" i="7"/>
  <c r="U205" i="7"/>
  <c r="R205" i="7"/>
  <c r="N205" i="7"/>
  <c r="O205" i="7" s="1"/>
  <c r="L205" i="7"/>
  <c r="I205" i="7"/>
  <c r="H205" i="7"/>
  <c r="F205" i="7"/>
  <c r="C205" i="7"/>
  <c r="AD204" i="7"/>
  <c r="AC204" i="7"/>
  <c r="AA204" i="7"/>
  <c r="W204" i="7"/>
  <c r="X204" i="7" s="1"/>
  <c r="U204" i="7"/>
  <c r="R204" i="7"/>
  <c r="N204" i="7"/>
  <c r="O204" i="7" s="1"/>
  <c r="L204" i="7"/>
  <c r="H204" i="7"/>
  <c r="I204" i="7" s="1"/>
  <c r="F204" i="7"/>
  <c r="C204" i="7"/>
  <c r="AD203" i="7"/>
  <c r="AC203" i="7"/>
  <c r="AA203" i="7"/>
  <c r="W203" i="7"/>
  <c r="X203" i="7" s="1"/>
  <c r="U203" i="7"/>
  <c r="R203" i="7"/>
  <c r="O203" i="7"/>
  <c r="N203" i="7"/>
  <c r="L203" i="7"/>
  <c r="I203" i="7"/>
  <c r="H203" i="7"/>
  <c r="F203" i="7"/>
  <c r="C203" i="7"/>
  <c r="AD202" i="7"/>
  <c r="AC202" i="7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D201" i="7"/>
  <c r="AC201" i="7"/>
  <c r="AA201" i="7"/>
  <c r="X201" i="7"/>
  <c r="W201" i="7"/>
  <c r="U201" i="7"/>
  <c r="R201" i="7"/>
  <c r="N201" i="7"/>
  <c r="O201" i="7" s="1"/>
  <c r="L201" i="7"/>
  <c r="H201" i="7"/>
  <c r="I201" i="7" s="1"/>
  <c r="F201" i="7"/>
  <c r="C201" i="7"/>
  <c r="AA197" i="7"/>
  <c r="Z197" i="7"/>
  <c r="AC197" i="7" s="1"/>
  <c r="AD197" i="7" s="1"/>
  <c r="U197" i="7"/>
  <c r="T197" i="7"/>
  <c r="R197" i="7"/>
  <c r="Q197" i="7"/>
  <c r="L197" i="7"/>
  <c r="K197" i="7"/>
  <c r="F197" i="7"/>
  <c r="E197" i="7"/>
  <c r="B197" i="7"/>
  <c r="Z196" i="7"/>
  <c r="AA196" i="7" s="1"/>
  <c r="W196" i="7"/>
  <c r="X196" i="7" s="1"/>
  <c r="T196" i="7"/>
  <c r="U196" i="7" s="1"/>
  <c r="R196" i="7"/>
  <c r="Q196" i="7"/>
  <c r="K196" i="7"/>
  <c r="L196" i="7" s="1"/>
  <c r="F196" i="7"/>
  <c r="E196" i="7"/>
  <c r="B196" i="7"/>
  <c r="AC195" i="7"/>
  <c r="AD195" i="7" s="1"/>
  <c r="AA195" i="7"/>
  <c r="W195" i="7"/>
  <c r="X195" i="7" s="1"/>
  <c r="U195" i="7"/>
  <c r="R195" i="7"/>
  <c r="O195" i="7"/>
  <c r="N195" i="7"/>
  <c r="L195" i="7"/>
  <c r="H195" i="7"/>
  <c r="I195" i="7" s="1"/>
  <c r="F195" i="7"/>
  <c r="C195" i="7"/>
  <c r="AC194" i="7"/>
  <c r="AD194" i="7" s="1"/>
  <c r="AA194" i="7"/>
  <c r="X194" i="7"/>
  <c r="W194" i="7"/>
  <c r="U194" i="7"/>
  <c r="R194" i="7"/>
  <c r="N194" i="7"/>
  <c r="O194" i="7" s="1"/>
  <c r="L194" i="7"/>
  <c r="I194" i="7"/>
  <c r="H194" i="7"/>
  <c r="F194" i="7"/>
  <c r="C194" i="7"/>
  <c r="Z193" i="7"/>
  <c r="AA193" i="7" s="1"/>
  <c r="T193" i="7"/>
  <c r="U193" i="7" s="1"/>
  <c r="R193" i="7"/>
  <c r="Q193" i="7"/>
  <c r="L193" i="7"/>
  <c r="K193" i="7"/>
  <c r="F193" i="7"/>
  <c r="E193" i="7"/>
  <c r="B193" i="7"/>
  <c r="AC192" i="7"/>
  <c r="AD192" i="7" s="1"/>
  <c r="AA192" i="7"/>
  <c r="X192" i="7"/>
  <c r="W192" i="7"/>
  <c r="U192" i="7"/>
  <c r="R192" i="7"/>
  <c r="O192" i="7"/>
  <c r="N192" i="7"/>
  <c r="L192" i="7"/>
  <c r="H192" i="7"/>
  <c r="I192" i="7" s="1"/>
  <c r="F192" i="7"/>
  <c r="C192" i="7"/>
  <c r="AC191" i="7"/>
  <c r="AD191" i="7" s="1"/>
  <c r="AA191" i="7"/>
  <c r="X191" i="7"/>
  <c r="W191" i="7"/>
  <c r="U191" i="7"/>
  <c r="R191" i="7"/>
  <c r="N191" i="7"/>
  <c r="O191" i="7" s="1"/>
  <c r="L191" i="7"/>
  <c r="H191" i="7"/>
  <c r="I191" i="7" s="1"/>
  <c r="F191" i="7"/>
  <c r="C191" i="7"/>
  <c r="AD190" i="7"/>
  <c r="AC190" i="7"/>
  <c r="AA190" i="7"/>
  <c r="W190" i="7"/>
  <c r="X190" i="7" s="1"/>
  <c r="U190" i="7"/>
  <c r="R190" i="7"/>
  <c r="N190" i="7"/>
  <c r="O190" i="7" s="1"/>
  <c r="L190" i="7"/>
  <c r="H190" i="7"/>
  <c r="I190" i="7" s="1"/>
  <c r="F190" i="7"/>
  <c r="C190" i="7"/>
  <c r="AD189" i="7"/>
  <c r="AC189" i="7"/>
  <c r="AA189" i="7"/>
  <c r="W189" i="7"/>
  <c r="X189" i="7" s="1"/>
  <c r="U189" i="7"/>
  <c r="R189" i="7"/>
  <c r="O189" i="7"/>
  <c r="N189" i="7"/>
  <c r="L189" i="7"/>
  <c r="I189" i="7"/>
  <c r="H189" i="7"/>
  <c r="F189" i="7"/>
  <c r="C189" i="7"/>
  <c r="AC188" i="7"/>
  <c r="AD188" i="7" s="1"/>
  <c r="AA188" i="7"/>
  <c r="X188" i="7"/>
  <c r="W188" i="7"/>
  <c r="U188" i="7"/>
  <c r="R188" i="7"/>
  <c r="N188" i="7"/>
  <c r="O188" i="7" s="1"/>
  <c r="L188" i="7"/>
  <c r="I188" i="7"/>
  <c r="H188" i="7"/>
  <c r="F188" i="7"/>
  <c r="C188" i="7"/>
  <c r="AC187" i="7"/>
  <c r="AD187" i="7" s="1"/>
  <c r="AA187" i="7"/>
  <c r="X187" i="7"/>
  <c r="W187" i="7"/>
  <c r="U187" i="7"/>
  <c r="R187" i="7"/>
  <c r="N187" i="7"/>
  <c r="O187" i="7" s="1"/>
  <c r="L187" i="7"/>
  <c r="H187" i="7"/>
  <c r="I187" i="7" s="1"/>
  <c r="F187" i="7"/>
  <c r="C187" i="7"/>
  <c r="AD186" i="7"/>
  <c r="AC186" i="7"/>
  <c r="AA186" i="7"/>
  <c r="W186" i="7"/>
  <c r="X186" i="7" s="1"/>
  <c r="U186" i="7"/>
  <c r="R186" i="7"/>
  <c r="N186" i="7"/>
  <c r="O186" i="7" s="1"/>
  <c r="L186" i="7"/>
  <c r="I186" i="7"/>
  <c r="H186" i="7"/>
  <c r="F186" i="7"/>
  <c r="C186" i="7"/>
  <c r="AC184" i="7"/>
  <c r="AD184" i="7" s="1"/>
  <c r="AA184" i="7"/>
  <c r="W184" i="7"/>
  <c r="X184" i="7" s="1"/>
  <c r="U184" i="7"/>
  <c r="R184" i="7"/>
  <c r="N184" i="7"/>
  <c r="O184" i="7" s="1"/>
  <c r="L184" i="7"/>
  <c r="I184" i="7"/>
  <c r="H184" i="7"/>
  <c r="F184" i="7"/>
  <c r="C184" i="7"/>
  <c r="AC183" i="7"/>
  <c r="AD183" i="7" s="1"/>
  <c r="AA183" i="7"/>
  <c r="W183" i="7"/>
  <c r="X183" i="7" s="1"/>
  <c r="U183" i="7"/>
  <c r="R183" i="7"/>
  <c r="O183" i="7"/>
  <c r="N183" i="7"/>
  <c r="L183" i="7"/>
  <c r="H183" i="7"/>
  <c r="I183" i="7" s="1"/>
  <c r="F183" i="7"/>
  <c r="C183" i="7"/>
  <c r="AC182" i="7"/>
  <c r="AD182" i="7" s="1"/>
  <c r="Z182" i="7"/>
  <c r="AA182" i="7" s="1"/>
  <c r="U182" i="7"/>
  <c r="T182" i="7"/>
  <c r="Q182" i="7"/>
  <c r="R182" i="7" s="1"/>
  <c r="K182" i="7"/>
  <c r="F182" i="7"/>
  <c r="E182" i="7"/>
  <c r="C182" i="7"/>
  <c r="B182" i="7"/>
  <c r="AC181" i="7"/>
  <c r="AD181" i="7" s="1"/>
  <c r="AA181" i="7"/>
  <c r="W181" i="7"/>
  <c r="X181" i="7" s="1"/>
  <c r="U181" i="7"/>
  <c r="R181" i="7"/>
  <c r="O181" i="7"/>
  <c r="N181" i="7"/>
  <c r="L181" i="7"/>
  <c r="I181" i="7"/>
  <c r="H181" i="7"/>
  <c r="F181" i="7"/>
  <c r="C181" i="7"/>
  <c r="AC180" i="7"/>
  <c r="AD180" i="7" s="1"/>
  <c r="AA180" i="7"/>
  <c r="W180" i="7"/>
  <c r="X180" i="7" s="1"/>
  <c r="U180" i="7"/>
  <c r="R180" i="7"/>
  <c r="O180" i="7"/>
  <c r="N180" i="7"/>
  <c r="L180" i="7"/>
  <c r="H180" i="7"/>
  <c r="I180" i="7" s="1"/>
  <c r="F180" i="7"/>
  <c r="C180" i="7"/>
  <c r="AC179" i="7"/>
  <c r="AD179" i="7" s="1"/>
  <c r="AA179" i="7"/>
  <c r="X179" i="7"/>
  <c r="W179" i="7"/>
  <c r="U179" i="7"/>
  <c r="R179" i="7"/>
  <c r="N179" i="7"/>
  <c r="O179" i="7" s="1"/>
  <c r="L179" i="7"/>
  <c r="I179" i="7"/>
  <c r="H179" i="7"/>
  <c r="F179" i="7"/>
  <c r="C179" i="7"/>
  <c r="AD178" i="7"/>
  <c r="AC178" i="7"/>
  <c r="AA178" i="7"/>
  <c r="W178" i="7"/>
  <c r="X178" i="7" s="1"/>
  <c r="U178" i="7"/>
  <c r="R178" i="7"/>
  <c r="N178" i="7"/>
  <c r="O178" i="7" s="1"/>
  <c r="L178" i="7"/>
  <c r="I178" i="7"/>
  <c r="H178" i="7"/>
  <c r="F178" i="7"/>
  <c r="C178" i="7"/>
  <c r="AD177" i="7"/>
  <c r="AC177" i="7"/>
  <c r="AA177" i="7"/>
  <c r="W177" i="7"/>
  <c r="X177" i="7" s="1"/>
  <c r="U177" i="7"/>
  <c r="R177" i="7"/>
  <c r="N177" i="7"/>
  <c r="O177" i="7" s="1"/>
  <c r="L177" i="7"/>
  <c r="I177" i="7"/>
  <c r="H177" i="7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I175" i="7"/>
  <c r="H175" i="7"/>
  <c r="F175" i="7"/>
  <c r="C175" i="7"/>
  <c r="Q172" i="7"/>
  <c r="AC171" i="7"/>
  <c r="AD171" i="7" s="1"/>
  <c r="AA171" i="7"/>
  <c r="Z171" i="7"/>
  <c r="T171" i="7"/>
  <c r="U171" i="7" s="1"/>
  <c r="R171" i="7"/>
  <c r="Q171" i="7"/>
  <c r="O171" i="7"/>
  <c r="L171" i="7"/>
  <c r="K171" i="7"/>
  <c r="H171" i="7"/>
  <c r="I171" i="7" s="1"/>
  <c r="E171" i="7"/>
  <c r="F171" i="7" s="1"/>
  <c r="C171" i="7"/>
  <c r="B171" i="7"/>
  <c r="N171" i="7" s="1"/>
  <c r="Z170" i="7"/>
  <c r="AA170" i="7" s="1"/>
  <c r="X170" i="7"/>
  <c r="W170" i="7"/>
  <c r="U170" i="7"/>
  <c r="T170" i="7"/>
  <c r="R170" i="7"/>
  <c r="Q170" i="7"/>
  <c r="L170" i="7"/>
  <c r="K170" i="7"/>
  <c r="N170" i="7" s="1"/>
  <c r="O170" i="7" s="1"/>
  <c r="E170" i="7"/>
  <c r="F170" i="7" s="1"/>
  <c r="B170" i="7"/>
  <c r="AC169" i="7"/>
  <c r="AD169" i="7" s="1"/>
  <c r="AA169" i="7"/>
  <c r="W169" i="7"/>
  <c r="X169" i="7" s="1"/>
  <c r="U169" i="7"/>
  <c r="R169" i="7"/>
  <c r="N169" i="7"/>
  <c r="O169" i="7" s="1"/>
  <c r="L169" i="7"/>
  <c r="I169" i="7"/>
  <c r="H169" i="7"/>
  <c r="F169" i="7"/>
  <c r="C169" i="7"/>
  <c r="AD168" i="7"/>
  <c r="AC168" i="7"/>
  <c r="AA168" i="7"/>
  <c r="X168" i="7"/>
  <c r="W168" i="7"/>
  <c r="U168" i="7"/>
  <c r="R168" i="7"/>
  <c r="N168" i="7"/>
  <c r="O168" i="7" s="1"/>
  <c r="L168" i="7"/>
  <c r="H168" i="7"/>
  <c r="I168" i="7" s="1"/>
  <c r="F168" i="7"/>
  <c r="C168" i="7"/>
  <c r="AC167" i="7"/>
  <c r="AD167" i="7" s="1"/>
  <c r="AA167" i="7"/>
  <c r="W167" i="7"/>
  <c r="X167" i="7" s="1"/>
  <c r="U167" i="7"/>
  <c r="R167" i="7"/>
  <c r="N167" i="7"/>
  <c r="O167" i="7" s="1"/>
  <c r="L167" i="7"/>
  <c r="H167" i="7"/>
  <c r="I167" i="7" s="1"/>
  <c r="F167" i="7"/>
  <c r="C167" i="7"/>
  <c r="Z166" i="7"/>
  <c r="AA166" i="7" s="1"/>
  <c r="W166" i="7"/>
  <c r="X166" i="7" s="1"/>
  <c r="U166" i="7"/>
  <c r="T166" i="7"/>
  <c r="R166" i="7"/>
  <c r="Q166" i="7"/>
  <c r="K166" i="7"/>
  <c r="I166" i="7"/>
  <c r="F166" i="7"/>
  <c r="E166" i="7"/>
  <c r="B166" i="7"/>
  <c r="H166" i="7" s="1"/>
  <c r="AD165" i="7"/>
  <c r="AC165" i="7"/>
  <c r="AA165" i="7"/>
  <c r="W165" i="7"/>
  <c r="X165" i="7" s="1"/>
  <c r="U165" i="7"/>
  <c r="R165" i="7"/>
  <c r="N165" i="7"/>
  <c r="O165" i="7" s="1"/>
  <c r="L165" i="7"/>
  <c r="I165" i="7"/>
  <c r="H165" i="7"/>
  <c r="F165" i="7"/>
  <c r="C165" i="7"/>
  <c r="AD164" i="7"/>
  <c r="AC164" i="7"/>
  <c r="AA164" i="7"/>
  <c r="X164" i="7"/>
  <c r="W164" i="7"/>
  <c r="U164" i="7"/>
  <c r="R164" i="7"/>
  <c r="N164" i="7"/>
  <c r="O164" i="7" s="1"/>
  <c r="L164" i="7"/>
  <c r="H164" i="7"/>
  <c r="I164" i="7" s="1"/>
  <c r="F164" i="7"/>
  <c r="C164" i="7"/>
  <c r="AD163" i="7"/>
  <c r="AC163" i="7"/>
  <c r="AA163" i="7"/>
  <c r="X163" i="7"/>
  <c r="W163" i="7"/>
  <c r="U163" i="7"/>
  <c r="R163" i="7"/>
  <c r="O163" i="7"/>
  <c r="N163" i="7"/>
  <c r="L163" i="7"/>
  <c r="H163" i="7"/>
  <c r="I163" i="7" s="1"/>
  <c r="F163" i="7"/>
  <c r="C163" i="7"/>
  <c r="AD162" i="7"/>
  <c r="AC162" i="7"/>
  <c r="AA162" i="7"/>
  <c r="W162" i="7"/>
  <c r="X162" i="7" s="1"/>
  <c r="U162" i="7"/>
  <c r="R162" i="7"/>
  <c r="N162" i="7"/>
  <c r="O162" i="7" s="1"/>
  <c r="L162" i="7"/>
  <c r="I162" i="7"/>
  <c r="H162" i="7"/>
  <c r="F162" i="7"/>
  <c r="C162" i="7"/>
  <c r="AD161" i="7"/>
  <c r="AC161" i="7"/>
  <c r="AA161" i="7"/>
  <c r="X161" i="7"/>
  <c r="W161" i="7"/>
  <c r="U161" i="7"/>
  <c r="R161" i="7"/>
  <c r="O161" i="7"/>
  <c r="N161" i="7"/>
  <c r="L161" i="7"/>
  <c r="H161" i="7"/>
  <c r="I161" i="7" s="1"/>
  <c r="F161" i="7"/>
  <c r="C161" i="7"/>
  <c r="AC160" i="7"/>
  <c r="AD160" i="7" s="1"/>
  <c r="AA160" i="7"/>
  <c r="X160" i="7"/>
  <c r="W160" i="7"/>
  <c r="U160" i="7"/>
  <c r="R160" i="7"/>
  <c r="N160" i="7"/>
  <c r="O160" i="7" s="1"/>
  <c r="L160" i="7"/>
  <c r="H160" i="7"/>
  <c r="I160" i="7" s="1"/>
  <c r="F160" i="7"/>
  <c r="C160" i="7"/>
  <c r="AD158" i="7"/>
  <c r="AA158" i="7"/>
  <c r="Z158" i="7"/>
  <c r="W158" i="7"/>
  <c r="X158" i="7" s="1"/>
  <c r="T158" i="7"/>
  <c r="U158" i="7" s="1"/>
  <c r="R158" i="7"/>
  <c r="Q158" i="7"/>
  <c r="AC158" i="7" s="1"/>
  <c r="K158" i="7"/>
  <c r="L158" i="7" s="1"/>
  <c r="H158" i="7"/>
  <c r="I158" i="7" s="1"/>
  <c r="F158" i="7"/>
  <c r="E158" i="7"/>
  <c r="C158" i="7"/>
  <c r="B158" i="7"/>
  <c r="AC157" i="7"/>
  <c r="AD157" i="7" s="1"/>
  <c r="AA157" i="7"/>
  <c r="W157" i="7"/>
  <c r="X157" i="7" s="1"/>
  <c r="U157" i="7"/>
  <c r="R157" i="7"/>
  <c r="N157" i="7"/>
  <c r="O157" i="7" s="1"/>
  <c r="L157" i="7"/>
  <c r="H157" i="7"/>
  <c r="I157" i="7" s="1"/>
  <c r="F157" i="7"/>
  <c r="C157" i="7"/>
  <c r="AD156" i="7"/>
  <c r="AC156" i="7"/>
  <c r="AA156" i="7"/>
  <c r="W156" i="7"/>
  <c r="X156" i="7" s="1"/>
  <c r="U156" i="7"/>
  <c r="R156" i="7"/>
  <c r="N156" i="7"/>
  <c r="O156" i="7" s="1"/>
  <c r="L156" i="7"/>
  <c r="H156" i="7"/>
  <c r="I156" i="7" s="1"/>
  <c r="F156" i="7"/>
  <c r="C156" i="7"/>
  <c r="AD155" i="7"/>
  <c r="AC155" i="7"/>
  <c r="AA155" i="7"/>
  <c r="X155" i="7"/>
  <c r="W155" i="7"/>
  <c r="U155" i="7"/>
  <c r="R155" i="7"/>
  <c r="N155" i="7"/>
  <c r="O155" i="7" s="1"/>
  <c r="L155" i="7"/>
  <c r="H155" i="7"/>
  <c r="I155" i="7" s="1"/>
  <c r="F155" i="7"/>
  <c r="C155" i="7"/>
  <c r="AD154" i="7"/>
  <c r="AC154" i="7"/>
  <c r="AA154" i="7"/>
  <c r="W154" i="7"/>
  <c r="X154" i="7" s="1"/>
  <c r="U154" i="7"/>
  <c r="R154" i="7"/>
  <c r="N154" i="7"/>
  <c r="O154" i="7" s="1"/>
  <c r="L154" i="7"/>
  <c r="I154" i="7"/>
  <c r="H154" i="7"/>
  <c r="F154" i="7"/>
  <c r="C154" i="7"/>
  <c r="AD153" i="7"/>
  <c r="AC153" i="7"/>
  <c r="AA153" i="7"/>
  <c r="X153" i="7"/>
  <c r="W153" i="7"/>
  <c r="U153" i="7"/>
  <c r="R153" i="7"/>
  <c r="O153" i="7"/>
  <c r="N153" i="7"/>
  <c r="L153" i="7"/>
  <c r="H153" i="7"/>
  <c r="I153" i="7" s="1"/>
  <c r="F153" i="7"/>
  <c r="C153" i="7"/>
  <c r="AC151" i="7"/>
  <c r="AD151" i="7" s="1"/>
  <c r="AA151" i="7"/>
  <c r="W151" i="7"/>
  <c r="X151" i="7" s="1"/>
  <c r="U151" i="7"/>
  <c r="R151" i="7"/>
  <c r="N151" i="7"/>
  <c r="O151" i="7" s="1"/>
  <c r="L151" i="7"/>
  <c r="H151" i="7"/>
  <c r="I151" i="7" s="1"/>
  <c r="F151" i="7"/>
  <c r="C151" i="7"/>
  <c r="AA149" i="7"/>
  <c r="Z149" i="7"/>
  <c r="U149" i="7"/>
  <c r="T149" i="7"/>
  <c r="Q149" i="7"/>
  <c r="W149" i="7" s="1"/>
  <c r="X149" i="7" s="1"/>
  <c r="L149" i="7"/>
  <c r="K149" i="7"/>
  <c r="N149" i="7" s="1"/>
  <c r="O149" i="7" s="1"/>
  <c r="E149" i="7"/>
  <c r="F149" i="7" s="1"/>
  <c r="C149" i="7"/>
  <c r="B149" i="7"/>
  <c r="AA148" i="7"/>
  <c r="Z148" i="7"/>
  <c r="T148" i="7"/>
  <c r="U148" i="7" s="1"/>
  <c r="Q148" i="7"/>
  <c r="O148" i="7"/>
  <c r="K148" i="7"/>
  <c r="L148" i="7" s="1"/>
  <c r="E148" i="7"/>
  <c r="C148" i="7"/>
  <c r="B148" i="7"/>
  <c r="N148" i="7" s="1"/>
  <c r="AC147" i="7"/>
  <c r="AD147" i="7" s="1"/>
  <c r="AA147" i="7"/>
  <c r="X147" i="7"/>
  <c r="W147" i="7"/>
  <c r="U147" i="7"/>
  <c r="R147" i="7"/>
  <c r="N147" i="7"/>
  <c r="O147" i="7" s="1"/>
  <c r="L147" i="7"/>
  <c r="H147" i="7"/>
  <c r="I147" i="7" s="1"/>
  <c r="F147" i="7"/>
  <c r="C147" i="7"/>
  <c r="AD146" i="7"/>
  <c r="AC146" i="7"/>
  <c r="AA146" i="7"/>
  <c r="X146" i="7"/>
  <c r="W146" i="7"/>
  <c r="U146" i="7"/>
  <c r="R146" i="7"/>
  <c r="N146" i="7"/>
  <c r="O146" i="7" s="1"/>
  <c r="L146" i="7"/>
  <c r="H146" i="7"/>
  <c r="I146" i="7" s="1"/>
  <c r="F146" i="7"/>
  <c r="C146" i="7"/>
  <c r="AC145" i="7"/>
  <c r="AD145" i="7" s="1"/>
  <c r="AA145" i="7"/>
  <c r="W145" i="7"/>
  <c r="X145" i="7" s="1"/>
  <c r="U145" i="7"/>
  <c r="R145" i="7"/>
  <c r="N145" i="7"/>
  <c r="O145" i="7" s="1"/>
  <c r="L145" i="7"/>
  <c r="I145" i="7"/>
  <c r="H145" i="7"/>
  <c r="F145" i="7"/>
  <c r="C145" i="7"/>
  <c r="AC144" i="7"/>
  <c r="AD144" i="7" s="1"/>
  <c r="AA144" i="7"/>
  <c r="X144" i="7"/>
  <c r="W144" i="7"/>
  <c r="U144" i="7"/>
  <c r="R144" i="7"/>
  <c r="O144" i="7"/>
  <c r="N144" i="7"/>
  <c r="L144" i="7"/>
  <c r="H144" i="7"/>
  <c r="I144" i="7" s="1"/>
  <c r="F144" i="7"/>
  <c r="C144" i="7"/>
  <c r="AC143" i="7"/>
  <c r="AD143" i="7" s="1"/>
  <c r="AA143" i="7"/>
  <c r="W143" i="7"/>
  <c r="X143" i="7" s="1"/>
  <c r="U143" i="7"/>
  <c r="R143" i="7"/>
  <c r="N143" i="7"/>
  <c r="O143" i="7" s="1"/>
  <c r="L143" i="7"/>
  <c r="H143" i="7"/>
  <c r="I143" i="7" s="1"/>
  <c r="F143" i="7"/>
  <c r="C143" i="7"/>
  <c r="AD141" i="7"/>
  <c r="Z141" i="7"/>
  <c r="AA141" i="7" s="1"/>
  <c r="T141" i="7"/>
  <c r="R141" i="7"/>
  <c r="Q141" i="7"/>
  <c r="AC141" i="7" s="1"/>
  <c r="K141" i="7"/>
  <c r="L141" i="7" s="1"/>
  <c r="F141" i="7"/>
  <c r="E141" i="7"/>
  <c r="B141" i="7"/>
  <c r="N141" i="7" s="1"/>
  <c r="O141" i="7" s="1"/>
  <c r="AD140" i="7"/>
  <c r="AC140" i="7"/>
  <c r="AA140" i="7"/>
  <c r="W140" i="7"/>
  <c r="X140" i="7" s="1"/>
  <c r="U140" i="7"/>
  <c r="R140" i="7"/>
  <c r="N140" i="7"/>
  <c r="O140" i="7" s="1"/>
  <c r="L140" i="7"/>
  <c r="I140" i="7"/>
  <c r="H140" i="7"/>
  <c r="F140" i="7"/>
  <c r="C140" i="7"/>
  <c r="AC139" i="7"/>
  <c r="AD139" i="7" s="1"/>
  <c r="AA139" i="7"/>
  <c r="W139" i="7"/>
  <c r="X139" i="7" s="1"/>
  <c r="U139" i="7"/>
  <c r="R139" i="7"/>
  <c r="N139" i="7"/>
  <c r="O139" i="7" s="1"/>
  <c r="L139" i="7"/>
  <c r="H139" i="7"/>
  <c r="I139" i="7" s="1"/>
  <c r="F139" i="7"/>
  <c r="C139" i="7"/>
  <c r="AD138" i="7"/>
  <c r="AC138" i="7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D137" i="7"/>
  <c r="AC137" i="7"/>
  <c r="AA137" i="7"/>
  <c r="W137" i="7"/>
  <c r="X137" i="7" s="1"/>
  <c r="U137" i="7"/>
  <c r="R137" i="7"/>
  <c r="O137" i="7"/>
  <c r="N137" i="7"/>
  <c r="L137" i="7"/>
  <c r="I137" i="7"/>
  <c r="H137" i="7"/>
  <c r="F137" i="7"/>
  <c r="C137" i="7"/>
  <c r="AC136" i="7"/>
  <c r="AD136" i="7" s="1"/>
  <c r="AA136" i="7"/>
  <c r="X136" i="7"/>
  <c r="W136" i="7"/>
  <c r="U136" i="7"/>
  <c r="R136" i="7"/>
  <c r="N136" i="7"/>
  <c r="O136" i="7" s="1"/>
  <c r="L136" i="7"/>
  <c r="H136" i="7"/>
  <c r="I136" i="7" s="1"/>
  <c r="F136" i="7"/>
  <c r="C136" i="7"/>
  <c r="AD135" i="7"/>
  <c r="AC135" i="7"/>
  <c r="AA135" i="7"/>
  <c r="X135" i="7"/>
  <c r="W135" i="7"/>
  <c r="U135" i="7"/>
  <c r="R135" i="7"/>
  <c r="O135" i="7"/>
  <c r="N135" i="7"/>
  <c r="L135" i="7"/>
  <c r="H135" i="7"/>
  <c r="I135" i="7" s="1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I134" i="7"/>
  <c r="H134" i="7"/>
  <c r="F134" i="7"/>
  <c r="C134" i="7"/>
  <c r="AC133" i="7"/>
  <c r="AD133" i="7" s="1"/>
  <c r="AA133" i="7"/>
  <c r="W133" i="7"/>
  <c r="X133" i="7" s="1"/>
  <c r="U133" i="7"/>
  <c r="R133" i="7"/>
  <c r="O133" i="7"/>
  <c r="N133" i="7"/>
  <c r="L133" i="7"/>
  <c r="I133" i="7"/>
  <c r="H133" i="7"/>
  <c r="F133" i="7"/>
  <c r="C133" i="7"/>
  <c r="AC132" i="7"/>
  <c r="AD132" i="7" s="1"/>
  <c r="AA132" i="7"/>
  <c r="W132" i="7"/>
  <c r="X132" i="7" s="1"/>
  <c r="U132" i="7"/>
  <c r="R132" i="7"/>
  <c r="N132" i="7"/>
  <c r="O132" i="7" s="1"/>
  <c r="L132" i="7"/>
  <c r="H132" i="7"/>
  <c r="I132" i="7" s="1"/>
  <c r="F132" i="7"/>
  <c r="C132" i="7"/>
  <c r="AD131" i="7"/>
  <c r="AC131" i="7"/>
  <c r="AA131" i="7"/>
  <c r="X131" i="7"/>
  <c r="W131" i="7"/>
  <c r="U131" i="7"/>
  <c r="R131" i="7"/>
  <c r="N131" i="7"/>
  <c r="O131" i="7" s="1"/>
  <c r="L131" i="7"/>
  <c r="H131" i="7"/>
  <c r="I131" i="7" s="1"/>
  <c r="F131" i="7"/>
  <c r="C131" i="7"/>
  <c r="AD130" i="7"/>
  <c r="AC130" i="7"/>
  <c r="AA130" i="7"/>
  <c r="W130" i="7"/>
  <c r="X130" i="7" s="1"/>
  <c r="U130" i="7"/>
  <c r="R130" i="7"/>
  <c r="O130" i="7"/>
  <c r="N130" i="7"/>
  <c r="L130" i="7"/>
  <c r="I130" i="7"/>
  <c r="H130" i="7"/>
  <c r="F130" i="7"/>
  <c r="C130" i="7"/>
  <c r="AC129" i="7"/>
  <c r="AD129" i="7" s="1"/>
  <c r="AA129" i="7"/>
  <c r="W129" i="7"/>
  <c r="X129" i="7" s="1"/>
  <c r="U129" i="7"/>
  <c r="R129" i="7"/>
  <c r="O129" i="7"/>
  <c r="N129" i="7"/>
  <c r="L129" i="7"/>
  <c r="I129" i="7"/>
  <c r="H129" i="7"/>
  <c r="F129" i="7"/>
  <c r="C129" i="7"/>
  <c r="AC127" i="7"/>
  <c r="AD127" i="7" s="1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Z124" i="7"/>
  <c r="U124" i="7"/>
  <c r="T124" i="7"/>
  <c r="T172" i="7" s="1"/>
  <c r="R124" i="7"/>
  <c r="Q124" i="7"/>
  <c r="N124" i="7"/>
  <c r="O124" i="7" s="1"/>
  <c r="K124" i="7"/>
  <c r="F124" i="7"/>
  <c r="E124" i="7"/>
  <c r="E172" i="7" s="1"/>
  <c r="B124" i="7"/>
  <c r="H124" i="7" s="1"/>
  <c r="I124" i="7" s="1"/>
  <c r="AC123" i="7"/>
  <c r="AD123" i="7" s="1"/>
  <c r="AA123" i="7"/>
  <c r="W123" i="7"/>
  <c r="X123" i="7" s="1"/>
  <c r="U123" i="7"/>
  <c r="R123" i="7"/>
  <c r="O123" i="7"/>
  <c r="N123" i="7"/>
  <c r="L123" i="7"/>
  <c r="I123" i="7"/>
  <c r="H123" i="7"/>
  <c r="F123" i="7"/>
  <c r="C123" i="7"/>
  <c r="AC122" i="7"/>
  <c r="AD122" i="7" s="1"/>
  <c r="Z122" i="7"/>
  <c r="AA122" i="7" s="1"/>
  <c r="U122" i="7"/>
  <c r="T122" i="7"/>
  <c r="Q122" i="7"/>
  <c r="R122" i="7" s="1"/>
  <c r="L122" i="7"/>
  <c r="K122" i="7"/>
  <c r="E122" i="7"/>
  <c r="F122" i="7" s="1"/>
  <c r="B122" i="7"/>
  <c r="N122" i="7" s="1"/>
  <c r="O122" i="7" s="1"/>
  <c r="AC121" i="7"/>
  <c r="AD121" i="7" s="1"/>
  <c r="AA121" i="7"/>
  <c r="W121" i="7"/>
  <c r="X121" i="7" s="1"/>
  <c r="U121" i="7"/>
  <c r="R121" i="7"/>
  <c r="N121" i="7"/>
  <c r="O121" i="7" s="1"/>
  <c r="L121" i="7"/>
  <c r="I121" i="7"/>
  <c r="H121" i="7"/>
  <c r="F121" i="7"/>
  <c r="C121" i="7"/>
  <c r="AC120" i="7"/>
  <c r="AD120" i="7" s="1"/>
  <c r="AA120" i="7"/>
  <c r="X120" i="7"/>
  <c r="W120" i="7"/>
  <c r="U120" i="7"/>
  <c r="R120" i="7"/>
  <c r="O120" i="7"/>
  <c r="N120" i="7"/>
  <c r="L120" i="7"/>
  <c r="H120" i="7"/>
  <c r="I120" i="7" s="1"/>
  <c r="F120" i="7"/>
  <c r="C120" i="7"/>
  <c r="AC119" i="7"/>
  <c r="AD119" i="7" s="1"/>
  <c r="AA119" i="7"/>
  <c r="X119" i="7"/>
  <c r="W119" i="7"/>
  <c r="U119" i="7"/>
  <c r="R119" i="7"/>
  <c r="N119" i="7"/>
  <c r="O119" i="7" s="1"/>
  <c r="L119" i="7"/>
  <c r="H119" i="7"/>
  <c r="I119" i="7" s="1"/>
  <c r="F119" i="7"/>
  <c r="C119" i="7"/>
  <c r="Z118" i="7"/>
  <c r="AA118" i="7" s="1"/>
  <c r="W118" i="7"/>
  <c r="X118" i="7" s="1"/>
  <c r="T118" i="7"/>
  <c r="U118" i="7" s="1"/>
  <c r="R118" i="7"/>
  <c r="Q118" i="7"/>
  <c r="AC118" i="7" s="1"/>
  <c r="AD118" i="7" s="1"/>
  <c r="N118" i="7"/>
  <c r="O118" i="7" s="1"/>
  <c r="K118" i="7"/>
  <c r="L118" i="7" s="1"/>
  <c r="H118" i="7"/>
  <c r="I118" i="7" s="1"/>
  <c r="F118" i="7"/>
  <c r="E118" i="7"/>
  <c r="B118" i="7"/>
  <c r="C118" i="7" s="1"/>
  <c r="AC117" i="7"/>
  <c r="AD117" i="7" s="1"/>
  <c r="AA117" i="7"/>
  <c r="W117" i="7"/>
  <c r="X117" i="7" s="1"/>
  <c r="U117" i="7"/>
  <c r="R117" i="7"/>
  <c r="O117" i="7"/>
  <c r="N117" i="7"/>
  <c r="L117" i="7"/>
  <c r="I117" i="7"/>
  <c r="H117" i="7"/>
  <c r="F117" i="7"/>
  <c r="C117" i="7"/>
  <c r="AC116" i="7"/>
  <c r="AD116" i="7" s="1"/>
  <c r="AA116" i="7"/>
  <c r="W116" i="7"/>
  <c r="X116" i="7" s="1"/>
  <c r="U116" i="7"/>
  <c r="R116" i="7"/>
  <c r="N116" i="7"/>
  <c r="O116" i="7" s="1"/>
  <c r="L116" i="7"/>
  <c r="H116" i="7"/>
  <c r="I116" i="7" s="1"/>
  <c r="F116" i="7"/>
  <c r="C116" i="7"/>
  <c r="AD115" i="7"/>
  <c r="AC115" i="7"/>
  <c r="AA115" i="7"/>
  <c r="X115" i="7"/>
  <c r="W115" i="7"/>
  <c r="U115" i="7"/>
  <c r="R115" i="7"/>
  <c r="N115" i="7"/>
  <c r="O115" i="7" s="1"/>
  <c r="L115" i="7"/>
  <c r="H115" i="7"/>
  <c r="I115" i="7" s="1"/>
  <c r="F115" i="7"/>
  <c r="C115" i="7"/>
  <c r="AD114" i="7"/>
  <c r="AC114" i="7"/>
  <c r="AA114" i="7"/>
  <c r="W114" i="7"/>
  <c r="X114" i="7" s="1"/>
  <c r="U114" i="7"/>
  <c r="R114" i="7"/>
  <c r="N114" i="7"/>
  <c r="O114" i="7" s="1"/>
  <c r="L114" i="7"/>
  <c r="I114" i="7"/>
  <c r="H114" i="7"/>
  <c r="F114" i="7"/>
  <c r="C114" i="7"/>
  <c r="AC113" i="7"/>
  <c r="AD113" i="7" s="1"/>
  <c r="AA113" i="7"/>
  <c r="X113" i="7"/>
  <c r="W113" i="7"/>
  <c r="U113" i="7"/>
  <c r="R113" i="7"/>
  <c r="O113" i="7"/>
  <c r="N113" i="7"/>
  <c r="L113" i="7"/>
  <c r="H113" i="7"/>
  <c r="I113" i="7" s="1"/>
  <c r="F113" i="7"/>
  <c r="C113" i="7"/>
  <c r="AC112" i="7"/>
  <c r="AD112" i="7" s="1"/>
  <c r="AA112" i="7"/>
  <c r="X112" i="7"/>
  <c r="W112" i="7"/>
  <c r="U112" i="7"/>
  <c r="R112" i="7"/>
  <c r="N112" i="7"/>
  <c r="O112" i="7" s="1"/>
  <c r="L112" i="7"/>
  <c r="H112" i="7"/>
  <c r="I112" i="7" s="1"/>
  <c r="F112" i="7"/>
  <c r="C112" i="7"/>
  <c r="AD111" i="7"/>
  <c r="AC111" i="7"/>
  <c r="AA111" i="7"/>
  <c r="X111" i="7"/>
  <c r="W111" i="7"/>
  <c r="U111" i="7"/>
  <c r="R111" i="7"/>
  <c r="O111" i="7"/>
  <c r="N111" i="7"/>
  <c r="L111" i="7"/>
  <c r="H111" i="7"/>
  <c r="I111" i="7" s="1"/>
  <c r="F111" i="7"/>
  <c r="C111" i="7"/>
  <c r="AC110" i="7"/>
  <c r="AD110" i="7" s="1"/>
  <c r="AA110" i="7"/>
  <c r="W110" i="7"/>
  <c r="X110" i="7" s="1"/>
  <c r="U110" i="7"/>
  <c r="R110" i="7"/>
  <c r="O110" i="7"/>
  <c r="N110" i="7"/>
  <c r="L110" i="7"/>
  <c r="I110" i="7"/>
  <c r="H110" i="7"/>
  <c r="F110" i="7"/>
  <c r="C110" i="7"/>
  <c r="AC109" i="7"/>
  <c r="AD109" i="7" s="1"/>
  <c r="AA109" i="7"/>
  <c r="X109" i="7"/>
  <c r="W109" i="7"/>
  <c r="U109" i="7"/>
  <c r="R109" i="7"/>
  <c r="O109" i="7"/>
  <c r="N109" i="7"/>
  <c r="L109" i="7"/>
  <c r="I109" i="7"/>
  <c r="H109" i="7"/>
  <c r="F109" i="7"/>
  <c r="C109" i="7"/>
  <c r="AC108" i="7"/>
  <c r="AD108" i="7" s="1"/>
  <c r="AA108" i="7"/>
  <c r="W108" i="7"/>
  <c r="X108" i="7" s="1"/>
  <c r="U108" i="7"/>
  <c r="R108" i="7"/>
  <c r="N108" i="7"/>
  <c r="O108" i="7" s="1"/>
  <c r="L108" i="7"/>
  <c r="H108" i="7"/>
  <c r="I108" i="7" s="1"/>
  <c r="F108" i="7"/>
  <c r="C108" i="7"/>
  <c r="AD107" i="7"/>
  <c r="AC107" i="7"/>
  <c r="AA107" i="7"/>
  <c r="X107" i="7"/>
  <c r="W107" i="7"/>
  <c r="U107" i="7"/>
  <c r="R107" i="7"/>
  <c r="N107" i="7"/>
  <c r="O107" i="7" s="1"/>
  <c r="L107" i="7"/>
  <c r="H107" i="7"/>
  <c r="I107" i="7" s="1"/>
  <c r="F107" i="7"/>
  <c r="C107" i="7"/>
  <c r="AD106" i="7"/>
  <c r="AC106" i="7"/>
  <c r="AA106" i="7"/>
  <c r="W106" i="7"/>
  <c r="X106" i="7" s="1"/>
  <c r="U106" i="7"/>
  <c r="R106" i="7"/>
  <c r="N106" i="7"/>
  <c r="O106" i="7" s="1"/>
  <c r="L106" i="7"/>
  <c r="I106" i="7"/>
  <c r="H106" i="7"/>
  <c r="F106" i="7"/>
  <c r="C106" i="7"/>
  <c r="AC105" i="7"/>
  <c r="AD105" i="7" s="1"/>
  <c r="AA105" i="7"/>
  <c r="X105" i="7"/>
  <c r="W105" i="7"/>
  <c r="U105" i="7"/>
  <c r="R105" i="7"/>
  <c r="O105" i="7"/>
  <c r="N105" i="7"/>
  <c r="L105" i="7"/>
  <c r="H105" i="7"/>
  <c r="I105" i="7" s="1"/>
  <c r="F105" i="7"/>
  <c r="C105" i="7"/>
  <c r="AC104" i="7"/>
  <c r="AD104" i="7" s="1"/>
  <c r="AA104" i="7"/>
  <c r="W104" i="7"/>
  <c r="X104" i="7" s="1"/>
  <c r="U104" i="7"/>
  <c r="R104" i="7"/>
  <c r="N104" i="7"/>
  <c r="O104" i="7" s="1"/>
  <c r="L104" i="7"/>
  <c r="H104" i="7"/>
  <c r="I104" i="7" s="1"/>
  <c r="F104" i="7"/>
  <c r="C104" i="7"/>
  <c r="AD103" i="7"/>
  <c r="AC103" i="7"/>
  <c r="AA103" i="7"/>
  <c r="X103" i="7"/>
  <c r="W103" i="7"/>
  <c r="U103" i="7"/>
  <c r="R103" i="7"/>
  <c r="N103" i="7"/>
  <c r="O103" i="7" s="1"/>
  <c r="L103" i="7"/>
  <c r="H103" i="7"/>
  <c r="I103" i="7" s="1"/>
  <c r="F103" i="7"/>
  <c r="C103" i="7"/>
  <c r="AC102" i="7"/>
  <c r="AD102" i="7" s="1"/>
  <c r="AA102" i="7"/>
  <c r="W102" i="7"/>
  <c r="X102" i="7" s="1"/>
  <c r="U102" i="7"/>
  <c r="R102" i="7"/>
  <c r="O102" i="7"/>
  <c r="N102" i="7"/>
  <c r="L102" i="7"/>
  <c r="I102" i="7"/>
  <c r="H102" i="7"/>
  <c r="F102" i="7"/>
  <c r="C102" i="7"/>
  <c r="AC101" i="7"/>
  <c r="AD101" i="7" s="1"/>
  <c r="AA101" i="7"/>
  <c r="W101" i="7"/>
  <c r="X101" i="7" s="1"/>
  <c r="U101" i="7"/>
  <c r="R101" i="7"/>
  <c r="O101" i="7"/>
  <c r="N101" i="7"/>
  <c r="L101" i="7"/>
  <c r="I101" i="7"/>
  <c r="H101" i="7"/>
  <c r="F101" i="7"/>
  <c r="C101" i="7"/>
  <c r="AC100" i="7"/>
  <c r="AD100" i="7" s="1"/>
  <c r="AA100" i="7"/>
  <c r="W100" i="7"/>
  <c r="X100" i="7" s="1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X99" i="7"/>
  <c r="W99" i="7"/>
  <c r="U99" i="7"/>
  <c r="R99" i="7"/>
  <c r="N99" i="7"/>
  <c r="O99" i="7" s="1"/>
  <c r="L99" i="7"/>
  <c r="H99" i="7"/>
  <c r="I99" i="7" s="1"/>
  <c r="F99" i="7"/>
  <c r="C99" i="7"/>
  <c r="AD98" i="7"/>
  <c r="AC98" i="7"/>
  <c r="AA98" i="7"/>
  <c r="W98" i="7"/>
  <c r="X98" i="7" s="1"/>
  <c r="U98" i="7"/>
  <c r="R98" i="7"/>
  <c r="N98" i="7"/>
  <c r="O98" i="7" s="1"/>
  <c r="L98" i="7"/>
  <c r="I98" i="7"/>
  <c r="H98" i="7"/>
  <c r="F98" i="7"/>
  <c r="C98" i="7"/>
  <c r="AC97" i="7"/>
  <c r="AD97" i="7" s="1"/>
  <c r="AA97" i="7"/>
  <c r="X97" i="7"/>
  <c r="W97" i="7"/>
  <c r="U97" i="7"/>
  <c r="R97" i="7"/>
  <c r="O97" i="7"/>
  <c r="N97" i="7"/>
  <c r="L97" i="7"/>
  <c r="H97" i="7"/>
  <c r="I97" i="7" s="1"/>
  <c r="F97" i="7"/>
  <c r="C97" i="7"/>
  <c r="AC96" i="7"/>
  <c r="AD96" i="7" s="1"/>
  <c r="AA96" i="7"/>
  <c r="X96" i="7"/>
  <c r="W96" i="7"/>
  <c r="U96" i="7"/>
  <c r="R96" i="7"/>
  <c r="N96" i="7"/>
  <c r="O96" i="7" s="1"/>
  <c r="L96" i="7"/>
  <c r="H96" i="7"/>
  <c r="I96" i="7" s="1"/>
  <c r="F96" i="7"/>
  <c r="C96" i="7"/>
  <c r="AD95" i="7"/>
  <c r="AC95" i="7"/>
  <c r="AA95" i="7"/>
  <c r="X95" i="7"/>
  <c r="W95" i="7"/>
  <c r="U95" i="7"/>
  <c r="R95" i="7"/>
  <c r="O95" i="7"/>
  <c r="N95" i="7"/>
  <c r="L95" i="7"/>
  <c r="H95" i="7"/>
  <c r="I95" i="7" s="1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I94" i="7"/>
  <c r="H94" i="7"/>
  <c r="F94" i="7"/>
  <c r="C94" i="7"/>
  <c r="AC92" i="7"/>
  <c r="AD92" i="7" s="1"/>
  <c r="AA92" i="7"/>
  <c r="X92" i="7"/>
  <c r="W92" i="7"/>
  <c r="U92" i="7"/>
  <c r="R92" i="7"/>
  <c r="O92" i="7"/>
  <c r="N92" i="7"/>
  <c r="L92" i="7"/>
  <c r="H92" i="7"/>
  <c r="I92" i="7" s="1"/>
  <c r="F92" i="7"/>
  <c r="C92" i="7"/>
  <c r="AC91" i="7"/>
  <c r="AD91" i="7" s="1"/>
  <c r="AA91" i="7"/>
  <c r="W91" i="7"/>
  <c r="X91" i="7" s="1"/>
  <c r="U91" i="7"/>
  <c r="R91" i="7"/>
  <c r="N91" i="7"/>
  <c r="O91" i="7" s="1"/>
  <c r="L91" i="7"/>
  <c r="H91" i="7"/>
  <c r="I91" i="7" s="1"/>
  <c r="F91" i="7"/>
  <c r="C91" i="7"/>
  <c r="AD90" i="7"/>
  <c r="AC90" i="7"/>
  <c r="AA90" i="7"/>
  <c r="X90" i="7"/>
  <c r="W90" i="7"/>
  <c r="U90" i="7"/>
  <c r="R90" i="7"/>
  <c r="N90" i="7"/>
  <c r="O90" i="7" s="1"/>
  <c r="L90" i="7"/>
  <c r="H90" i="7"/>
  <c r="I90" i="7" s="1"/>
  <c r="F90" i="7"/>
  <c r="C90" i="7"/>
  <c r="AD89" i="7"/>
  <c r="AC89" i="7"/>
  <c r="AA89" i="7"/>
  <c r="W89" i="7"/>
  <c r="X89" i="7" s="1"/>
  <c r="U89" i="7"/>
  <c r="R89" i="7"/>
  <c r="N89" i="7"/>
  <c r="O89" i="7" s="1"/>
  <c r="L89" i="7"/>
  <c r="I89" i="7"/>
  <c r="H89" i="7"/>
  <c r="F89" i="7"/>
  <c r="C89" i="7"/>
  <c r="Z88" i="7"/>
  <c r="AA88" i="7" s="1"/>
  <c r="T88" i="7"/>
  <c r="U88" i="7" s="1"/>
  <c r="Q88" i="7"/>
  <c r="AC88" i="7" s="1"/>
  <c r="AD88" i="7" s="1"/>
  <c r="L88" i="7"/>
  <c r="K88" i="7"/>
  <c r="H88" i="7"/>
  <c r="I88" i="7" s="1"/>
  <c r="E88" i="7"/>
  <c r="F88" i="7" s="1"/>
  <c r="B88" i="7"/>
  <c r="C88" i="7" s="1"/>
  <c r="AD87" i="7"/>
  <c r="AC87" i="7"/>
  <c r="AA87" i="7"/>
  <c r="X87" i="7"/>
  <c r="W87" i="7"/>
  <c r="U87" i="7"/>
  <c r="R87" i="7"/>
  <c r="N87" i="7"/>
  <c r="O87" i="7" s="1"/>
  <c r="L87" i="7"/>
  <c r="H87" i="7"/>
  <c r="I87" i="7" s="1"/>
  <c r="F87" i="7"/>
  <c r="C87" i="7"/>
  <c r="AD86" i="7"/>
  <c r="AC86" i="7"/>
  <c r="AA86" i="7"/>
  <c r="W86" i="7"/>
  <c r="X86" i="7" s="1"/>
  <c r="U86" i="7"/>
  <c r="R86" i="7"/>
  <c r="N86" i="7"/>
  <c r="O86" i="7" s="1"/>
  <c r="L86" i="7"/>
  <c r="I86" i="7"/>
  <c r="H86" i="7"/>
  <c r="F86" i="7"/>
  <c r="C86" i="7"/>
  <c r="AC85" i="7"/>
  <c r="AD85" i="7" s="1"/>
  <c r="AA85" i="7"/>
  <c r="X85" i="7"/>
  <c r="W85" i="7"/>
  <c r="U85" i="7"/>
  <c r="R85" i="7"/>
  <c r="O85" i="7"/>
  <c r="N85" i="7"/>
  <c r="L85" i="7"/>
  <c r="H85" i="7"/>
  <c r="I85" i="7" s="1"/>
  <c r="F85" i="7"/>
  <c r="C85" i="7"/>
  <c r="AC84" i="7"/>
  <c r="AD84" i="7" s="1"/>
  <c r="AA84" i="7"/>
  <c r="W84" i="7"/>
  <c r="X84" i="7" s="1"/>
  <c r="U84" i="7"/>
  <c r="R84" i="7"/>
  <c r="N84" i="7"/>
  <c r="O84" i="7" s="1"/>
  <c r="L84" i="7"/>
  <c r="H84" i="7"/>
  <c r="I84" i="7" s="1"/>
  <c r="F84" i="7"/>
  <c r="C84" i="7"/>
  <c r="AD83" i="7"/>
  <c r="AC83" i="7"/>
  <c r="AA83" i="7"/>
  <c r="X83" i="7"/>
  <c r="W83" i="7"/>
  <c r="U83" i="7"/>
  <c r="R83" i="7"/>
  <c r="N83" i="7"/>
  <c r="O83" i="7" s="1"/>
  <c r="L83" i="7"/>
  <c r="H83" i="7"/>
  <c r="I83" i="7" s="1"/>
  <c r="F83" i="7"/>
  <c r="C83" i="7"/>
  <c r="AC82" i="7"/>
  <c r="AD82" i="7" s="1"/>
  <c r="AA82" i="7"/>
  <c r="W82" i="7"/>
  <c r="X82" i="7" s="1"/>
  <c r="U82" i="7"/>
  <c r="R82" i="7"/>
  <c r="O82" i="7"/>
  <c r="N82" i="7"/>
  <c r="L82" i="7"/>
  <c r="I82" i="7"/>
  <c r="H82" i="7"/>
  <c r="F82" i="7"/>
  <c r="C82" i="7"/>
  <c r="AC81" i="7"/>
  <c r="AD81" i="7" s="1"/>
  <c r="AA81" i="7"/>
  <c r="W81" i="7"/>
  <c r="X81" i="7" s="1"/>
  <c r="U81" i="7"/>
  <c r="R81" i="7"/>
  <c r="O81" i="7"/>
  <c r="N81" i="7"/>
  <c r="L81" i="7"/>
  <c r="I81" i="7"/>
  <c r="H81" i="7"/>
  <c r="F81" i="7"/>
  <c r="C81" i="7"/>
  <c r="AC80" i="7"/>
  <c r="AD80" i="7" s="1"/>
  <c r="AA80" i="7"/>
  <c r="W80" i="7"/>
  <c r="X80" i="7" s="1"/>
  <c r="U80" i="7"/>
  <c r="R80" i="7"/>
  <c r="N80" i="7"/>
  <c r="O80" i="7" s="1"/>
  <c r="L80" i="7"/>
  <c r="H80" i="7"/>
  <c r="I80" i="7" s="1"/>
  <c r="F80" i="7"/>
  <c r="C80" i="7"/>
  <c r="AD79" i="7"/>
  <c r="AC79" i="7"/>
  <c r="AA79" i="7"/>
  <c r="X79" i="7"/>
  <c r="W79" i="7"/>
  <c r="U79" i="7"/>
  <c r="R79" i="7"/>
  <c r="N79" i="7"/>
  <c r="O79" i="7" s="1"/>
  <c r="L79" i="7"/>
  <c r="H79" i="7"/>
  <c r="I79" i="7" s="1"/>
  <c r="F79" i="7"/>
  <c r="C79" i="7"/>
  <c r="AC78" i="7"/>
  <c r="AD78" i="7" s="1"/>
  <c r="AA78" i="7"/>
  <c r="W78" i="7"/>
  <c r="X78" i="7" s="1"/>
  <c r="U78" i="7"/>
  <c r="R78" i="7"/>
  <c r="N78" i="7"/>
  <c r="O78" i="7" s="1"/>
  <c r="L78" i="7"/>
  <c r="I78" i="7"/>
  <c r="H78" i="7"/>
  <c r="F78" i="7"/>
  <c r="C78" i="7"/>
  <c r="AC77" i="7"/>
  <c r="AD77" i="7" s="1"/>
  <c r="AA77" i="7"/>
  <c r="X77" i="7"/>
  <c r="W77" i="7"/>
  <c r="U77" i="7"/>
  <c r="R77" i="7"/>
  <c r="O77" i="7"/>
  <c r="N77" i="7"/>
  <c r="L77" i="7"/>
  <c r="H77" i="7"/>
  <c r="I77" i="7" s="1"/>
  <c r="F77" i="7"/>
  <c r="C77" i="7"/>
  <c r="AC76" i="7"/>
  <c r="AD76" i="7" s="1"/>
  <c r="AA76" i="7"/>
  <c r="X76" i="7"/>
  <c r="W76" i="7"/>
  <c r="U76" i="7"/>
  <c r="R76" i="7"/>
  <c r="N76" i="7"/>
  <c r="O76" i="7" s="1"/>
  <c r="L76" i="7"/>
  <c r="H76" i="7"/>
  <c r="I76" i="7" s="1"/>
  <c r="F76" i="7"/>
  <c r="C76" i="7"/>
  <c r="AD75" i="7"/>
  <c r="AC75" i="7"/>
  <c r="AA75" i="7"/>
  <c r="X75" i="7"/>
  <c r="W75" i="7"/>
  <c r="U75" i="7"/>
  <c r="R75" i="7"/>
  <c r="O75" i="7"/>
  <c r="N75" i="7"/>
  <c r="L75" i="7"/>
  <c r="H75" i="7"/>
  <c r="I75" i="7" s="1"/>
  <c r="F75" i="7"/>
  <c r="C75" i="7"/>
  <c r="AC73" i="7"/>
  <c r="AD73" i="7" s="1"/>
  <c r="AA73" i="7"/>
  <c r="Z73" i="7"/>
  <c r="T73" i="7"/>
  <c r="U73" i="7" s="1"/>
  <c r="Q73" i="7"/>
  <c r="W73" i="7" s="1"/>
  <c r="X73" i="7" s="1"/>
  <c r="K73" i="7"/>
  <c r="L73" i="7" s="1"/>
  <c r="E73" i="7"/>
  <c r="H73" i="7" s="1"/>
  <c r="I73" i="7" s="1"/>
  <c r="C73" i="7"/>
  <c r="B73" i="7"/>
  <c r="AC72" i="7"/>
  <c r="AD72" i="7" s="1"/>
  <c r="AA72" i="7"/>
  <c r="X72" i="7"/>
  <c r="W72" i="7"/>
  <c r="U72" i="7"/>
  <c r="R72" i="7"/>
  <c r="N72" i="7"/>
  <c r="O72" i="7" s="1"/>
  <c r="L72" i="7"/>
  <c r="H72" i="7"/>
  <c r="I72" i="7" s="1"/>
  <c r="F72" i="7"/>
  <c r="C72" i="7"/>
  <c r="AD71" i="7"/>
  <c r="AC71" i="7"/>
  <c r="AA71" i="7"/>
  <c r="X71" i="7"/>
  <c r="W71" i="7"/>
  <c r="U71" i="7"/>
  <c r="R71" i="7"/>
  <c r="O71" i="7"/>
  <c r="N71" i="7"/>
  <c r="L71" i="7"/>
  <c r="H71" i="7"/>
  <c r="I71" i="7" s="1"/>
  <c r="F71" i="7"/>
  <c r="C71" i="7"/>
  <c r="AD70" i="7"/>
  <c r="AC70" i="7"/>
  <c r="AA70" i="7"/>
  <c r="W70" i="7"/>
  <c r="X70" i="7" s="1"/>
  <c r="U70" i="7"/>
  <c r="R70" i="7"/>
  <c r="O70" i="7"/>
  <c r="N70" i="7"/>
  <c r="L70" i="7"/>
  <c r="I70" i="7"/>
  <c r="H70" i="7"/>
  <c r="F70" i="7"/>
  <c r="C70" i="7"/>
  <c r="AC69" i="7"/>
  <c r="AD69" i="7" s="1"/>
  <c r="AA69" i="7"/>
  <c r="W69" i="7"/>
  <c r="X69" i="7" s="1"/>
  <c r="U69" i="7"/>
  <c r="R69" i="7"/>
  <c r="O69" i="7"/>
  <c r="N69" i="7"/>
  <c r="L69" i="7"/>
  <c r="I69" i="7"/>
  <c r="H69" i="7"/>
  <c r="F69" i="7"/>
  <c r="C69" i="7"/>
  <c r="AC68" i="7"/>
  <c r="AD68" i="7" s="1"/>
  <c r="AA68" i="7"/>
  <c r="W68" i="7"/>
  <c r="X68" i="7" s="1"/>
  <c r="U68" i="7"/>
  <c r="R68" i="7"/>
  <c r="N68" i="7"/>
  <c r="O68" i="7" s="1"/>
  <c r="L68" i="7"/>
  <c r="H68" i="7"/>
  <c r="I68" i="7" s="1"/>
  <c r="F68" i="7"/>
  <c r="C68" i="7"/>
  <c r="AD67" i="7"/>
  <c r="AC67" i="7"/>
  <c r="AA67" i="7"/>
  <c r="X67" i="7"/>
  <c r="W67" i="7"/>
  <c r="U67" i="7"/>
  <c r="R67" i="7"/>
  <c r="N67" i="7"/>
  <c r="O67" i="7" s="1"/>
  <c r="L67" i="7"/>
  <c r="H67" i="7"/>
  <c r="I67" i="7" s="1"/>
  <c r="F67" i="7"/>
  <c r="C67" i="7"/>
  <c r="AD66" i="7"/>
  <c r="AC66" i="7"/>
  <c r="AA66" i="7"/>
  <c r="W66" i="7"/>
  <c r="X66" i="7" s="1"/>
  <c r="U66" i="7"/>
  <c r="R66" i="7"/>
  <c r="O66" i="7"/>
  <c r="N66" i="7"/>
  <c r="L66" i="7"/>
  <c r="I66" i="7"/>
  <c r="H66" i="7"/>
  <c r="F66" i="7"/>
  <c r="C66" i="7"/>
  <c r="AC65" i="7"/>
  <c r="AD65" i="7" s="1"/>
  <c r="AA65" i="7"/>
  <c r="W65" i="7"/>
  <c r="X65" i="7" s="1"/>
  <c r="U65" i="7"/>
  <c r="R65" i="7"/>
  <c r="O65" i="7"/>
  <c r="N65" i="7"/>
  <c r="L65" i="7"/>
  <c r="I65" i="7"/>
  <c r="H65" i="7"/>
  <c r="F65" i="7"/>
  <c r="C65" i="7"/>
  <c r="AC64" i="7"/>
  <c r="AD64" i="7" s="1"/>
  <c r="AA64" i="7"/>
  <c r="X64" i="7"/>
  <c r="W64" i="7"/>
  <c r="U64" i="7"/>
  <c r="R64" i="7"/>
  <c r="N64" i="7"/>
  <c r="O64" i="7" s="1"/>
  <c r="L64" i="7"/>
  <c r="H64" i="7"/>
  <c r="I64" i="7" s="1"/>
  <c r="F64" i="7"/>
  <c r="C64" i="7"/>
  <c r="Z62" i="7"/>
  <c r="AA62" i="7" s="1"/>
  <c r="U62" i="7"/>
  <c r="T62" i="7"/>
  <c r="W62" i="7" s="1"/>
  <c r="X62" i="7" s="1"/>
  <c r="R62" i="7"/>
  <c r="Q62" i="7"/>
  <c r="N62" i="7"/>
  <c r="O62" i="7" s="1"/>
  <c r="K62" i="7"/>
  <c r="L62" i="7" s="1"/>
  <c r="F62" i="7"/>
  <c r="E62" i="7"/>
  <c r="B62" i="7"/>
  <c r="C62" i="7" s="1"/>
  <c r="AA61" i="7"/>
  <c r="Z61" i="7"/>
  <c r="T61" i="7"/>
  <c r="U61" i="7" s="1"/>
  <c r="Q61" i="7"/>
  <c r="L61" i="7"/>
  <c r="K61" i="7"/>
  <c r="H61" i="7"/>
  <c r="I61" i="7" s="1"/>
  <c r="E61" i="7"/>
  <c r="F61" i="7" s="1"/>
  <c r="C61" i="7"/>
  <c r="B61" i="7"/>
  <c r="N61" i="7" s="1"/>
  <c r="O61" i="7" s="1"/>
  <c r="AD60" i="7"/>
  <c r="AC60" i="7"/>
  <c r="AA60" i="7"/>
  <c r="X60" i="7"/>
  <c r="W60" i="7"/>
  <c r="U60" i="7"/>
  <c r="R60" i="7"/>
  <c r="O60" i="7"/>
  <c r="N60" i="7"/>
  <c r="L60" i="7"/>
  <c r="I60" i="7"/>
  <c r="H60" i="7"/>
  <c r="F60" i="7"/>
  <c r="C60" i="7"/>
  <c r="AD59" i="7"/>
  <c r="AC59" i="7"/>
  <c r="AA59" i="7"/>
  <c r="W59" i="7"/>
  <c r="X59" i="7" s="1"/>
  <c r="U59" i="7"/>
  <c r="R59" i="7"/>
  <c r="O59" i="7"/>
  <c r="N59" i="7"/>
  <c r="L59" i="7"/>
  <c r="I59" i="7"/>
  <c r="H59" i="7"/>
  <c r="F59" i="7"/>
  <c r="C59" i="7"/>
  <c r="AC58" i="7"/>
  <c r="AD58" i="7" s="1"/>
  <c r="AA58" i="7"/>
  <c r="W58" i="7"/>
  <c r="X58" i="7" s="1"/>
  <c r="U58" i="7"/>
  <c r="R58" i="7"/>
  <c r="O58" i="7"/>
  <c r="N58" i="7"/>
  <c r="L58" i="7"/>
  <c r="I58" i="7"/>
  <c r="H58" i="7"/>
  <c r="F58" i="7"/>
  <c r="C58" i="7"/>
  <c r="AC57" i="7"/>
  <c r="AD57" i="7" s="1"/>
  <c r="AA57" i="7"/>
  <c r="X57" i="7"/>
  <c r="W57" i="7"/>
  <c r="U57" i="7"/>
  <c r="R57" i="7"/>
  <c r="N57" i="7"/>
  <c r="O57" i="7" s="1"/>
  <c r="L57" i="7"/>
  <c r="H57" i="7"/>
  <c r="I57" i="7" s="1"/>
  <c r="F57" i="7"/>
  <c r="C57" i="7"/>
  <c r="AD56" i="7"/>
  <c r="AC56" i="7"/>
  <c r="AA56" i="7"/>
  <c r="X56" i="7"/>
  <c r="W56" i="7"/>
  <c r="U56" i="7"/>
  <c r="R56" i="7"/>
  <c r="N56" i="7"/>
  <c r="O56" i="7" s="1"/>
  <c r="L56" i="7"/>
  <c r="I56" i="7"/>
  <c r="H56" i="7"/>
  <c r="F56" i="7"/>
  <c r="C56" i="7"/>
  <c r="AC55" i="7"/>
  <c r="AD55" i="7" s="1"/>
  <c r="AA55" i="7"/>
  <c r="W55" i="7"/>
  <c r="X55" i="7" s="1"/>
  <c r="U55" i="7"/>
  <c r="R55" i="7"/>
  <c r="N55" i="7"/>
  <c r="O55" i="7" s="1"/>
  <c r="L55" i="7"/>
  <c r="I55" i="7"/>
  <c r="H55" i="7"/>
  <c r="F55" i="7"/>
  <c r="C55" i="7"/>
  <c r="AC54" i="7"/>
  <c r="AD54" i="7" s="1"/>
  <c r="AA54" i="7"/>
  <c r="W54" i="7"/>
  <c r="X54" i="7" s="1"/>
  <c r="U54" i="7"/>
  <c r="R54" i="7"/>
  <c r="O54" i="7"/>
  <c r="N54" i="7"/>
  <c r="L54" i="7"/>
  <c r="H54" i="7"/>
  <c r="I54" i="7" s="1"/>
  <c r="F54" i="7"/>
  <c r="C54" i="7"/>
  <c r="AD53" i="7"/>
  <c r="AC53" i="7"/>
  <c r="AA53" i="7"/>
  <c r="X53" i="7"/>
  <c r="W53" i="7"/>
  <c r="U53" i="7"/>
  <c r="R53" i="7"/>
  <c r="N53" i="7"/>
  <c r="O53" i="7" s="1"/>
  <c r="L53" i="7"/>
  <c r="H53" i="7"/>
  <c r="I53" i="7" s="1"/>
  <c r="F53" i="7"/>
  <c r="C53" i="7"/>
  <c r="AD52" i="7"/>
  <c r="AC52" i="7"/>
  <c r="AA52" i="7"/>
  <c r="X52" i="7"/>
  <c r="W52" i="7"/>
  <c r="U52" i="7"/>
  <c r="R52" i="7"/>
  <c r="O52" i="7"/>
  <c r="N52" i="7"/>
  <c r="L52" i="7"/>
  <c r="H52" i="7"/>
  <c r="I52" i="7" s="1"/>
  <c r="F52" i="7"/>
  <c r="C52" i="7"/>
  <c r="AD51" i="7"/>
  <c r="AC51" i="7"/>
  <c r="AA51" i="7"/>
  <c r="W51" i="7"/>
  <c r="X51" i="7" s="1"/>
  <c r="U51" i="7"/>
  <c r="R51" i="7"/>
  <c r="O51" i="7"/>
  <c r="N51" i="7"/>
  <c r="L51" i="7"/>
  <c r="I51" i="7"/>
  <c r="H51" i="7"/>
  <c r="F51" i="7"/>
  <c r="C51" i="7"/>
  <c r="AC50" i="7"/>
  <c r="AD50" i="7" s="1"/>
  <c r="AA50" i="7"/>
  <c r="W50" i="7"/>
  <c r="X50" i="7" s="1"/>
  <c r="U50" i="7"/>
  <c r="R50" i="7"/>
  <c r="O50" i="7"/>
  <c r="N50" i="7"/>
  <c r="L50" i="7"/>
  <c r="I50" i="7"/>
  <c r="H50" i="7"/>
  <c r="F50" i="7"/>
  <c r="C50" i="7"/>
  <c r="AC49" i="7"/>
  <c r="AD49" i="7" s="1"/>
  <c r="AA49" i="7"/>
  <c r="X49" i="7"/>
  <c r="W49" i="7"/>
  <c r="U49" i="7"/>
  <c r="R49" i="7"/>
  <c r="N49" i="7"/>
  <c r="O49" i="7" s="1"/>
  <c r="L49" i="7"/>
  <c r="H49" i="7"/>
  <c r="I49" i="7" s="1"/>
  <c r="F49" i="7"/>
  <c r="C49" i="7"/>
  <c r="AD48" i="7"/>
  <c r="AC48" i="7"/>
  <c r="AA48" i="7"/>
  <c r="X48" i="7"/>
  <c r="W48" i="7"/>
  <c r="U48" i="7"/>
  <c r="R48" i="7"/>
  <c r="O48" i="7"/>
  <c r="N48" i="7"/>
  <c r="L48" i="7"/>
  <c r="I48" i="7"/>
  <c r="H48" i="7"/>
  <c r="F48" i="7"/>
  <c r="C48" i="7"/>
  <c r="AC47" i="7"/>
  <c r="AD47" i="7" s="1"/>
  <c r="AA47" i="7"/>
  <c r="W47" i="7"/>
  <c r="X47" i="7" s="1"/>
  <c r="U47" i="7"/>
  <c r="R47" i="7"/>
  <c r="N47" i="7"/>
  <c r="O47" i="7" s="1"/>
  <c r="L47" i="7"/>
  <c r="I47" i="7"/>
  <c r="H47" i="7"/>
  <c r="F47" i="7"/>
  <c r="C47" i="7"/>
  <c r="AC46" i="7"/>
  <c r="AD46" i="7" s="1"/>
  <c r="AA46" i="7"/>
  <c r="X46" i="7"/>
  <c r="W46" i="7"/>
  <c r="U46" i="7"/>
  <c r="R46" i="7"/>
  <c r="O46" i="7"/>
  <c r="N46" i="7"/>
  <c r="L46" i="7"/>
  <c r="H46" i="7"/>
  <c r="I46" i="7" s="1"/>
  <c r="F46" i="7"/>
  <c r="C46" i="7"/>
  <c r="AD44" i="7"/>
  <c r="AC44" i="7"/>
  <c r="AA44" i="7"/>
  <c r="X44" i="7"/>
  <c r="W44" i="7"/>
  <c r="U44" i="7"/>
  <c r="R44" i="7"/>
  <c r="N44" i="7"/>
  <c r="O44" i="7" s="1"/>
  <c r="L44" i="7"/>
  <c r="H44" i="7"/>
  <c r="I44" i="7" s="1"/>
  <c r="F44" i="7"/>
  <c r="C44" i="7"/>
  <c r="AC43" i="7"/>
  <c r="AD43" i="7" s="1"/>
  <c r="AA43" i="7"/>
  <c r="X43" i="7"/>
  <c r="W43" i="7"/>
  <c r="U43" i="7"/>
  <c r="R43" i="7"/>
  <c r="O43" i="7"/>
  <c r="N43" i="7"/>
  <c r="L43" i="7"/>
  <c r="H43" i="7"/>
  <c r="I43" i="7" s="1"/>
  <c r="F43" i="7"/>
  <c r="C43" i="7"/>
  <c r="AD42" i="7"/>
  <c r="AC42" i="7"/>
  <c r="AA42" i="7"/>
  <c r="W42" i="7"/>
  <c r="X42" i="7" s="1"/>
  <c r="U42" i="7"/>
  <c r="R42" i="7"/>
  <c r="N42" i="7"/>
  <c r="O42" i="7" s="1"/>
  <c r="L42" i="7"/>
  <c r="H42" i="7"/>
  <c r="I42" i="7" s="1"/>
  <c r="F42" i="7"/>
  <c r="C42" i="7"/>
  <c r="AA40" i="7"/>
  <c r="Z40" i="7"/>
  <c r="U40" i="7"/>
  <c r="T40" i="7"/>
  <c r="W40" i="7" s="1"/>
  <c r="X40" i="7" s="1"/>
  <c r="R40" i="7"/>
  <c r="Q40" i="7"/>
  <c r="AC40" i="7" s="1"/>
  <c r="AD40" i="7" s="1"/>
  <c r="K40" i="7"/>
  <c r="L40" i="7" s="1"/>
  <c r="I40" i="7"/>
  <c r="H40" i="7"/>
  <c r="F40" i="7"/>
  <c r="E40" i="7"/>
  <c r="C40" i="7"/>
  <c r="B40" i="7"/>
  <c r="AC39" i="7"/>
  <c r="AD39" i="7" s="1"/>
  <c r="AA39" i="7"/>
  <c r="X39" i="7"/>
  <c r="W39" i="7"/>
  <c r="U39" i="7"/>
  <c r="R39" i="7"/>
  <c r="O39" i="7"/>
  <c r="N39" i="7"/>
  <c r="L39" i="7"/>
  <c r="I39" i="7"/>
  <c r="H39" i="7"/>
  <c r="F39" i="7"/>
  <c r="C39" i="7"/>
  <c r="AD38" i="7"/>
  <c r="AC38" i="7"/>
  <c r="AA38" i="7"/>
  <c r="W38" i="7"/>
  <c r="X38" i="7" s="1"/>
  <c r="U38" i="7"/>
  <c r="R38" i="7"/>
  <c r="N38" i="7"/>
  <c r="O38" i="7" s="1"/>
  <c r="L38" i="7"/>
  <c r="H38" i="7"/>
  <c r="I38" i="7" s="1"/>
  <c r="F38" i="7"/>
  <c r="C38" i="7"/>
  <c r="AD37" i="7"/>
  <c r="AC37" i="7"/>
  <c r="AA37" i="7"/>
  <c r="X37" i="7"/>
  <c r="W37" i="7"/>
  <c r="U37" i="7"/>
  <c r="R37" i="7"/>
  <c r="N37" i="7"/>
  <c r="O37" i="7" s="1"/>
  <c r="L37" i="7"/>
  <c r="I37" i="7"/>
  <c r="H37" i="7"/>
  <c r="F37" i="7"/>
  <c r="C37" i="7"/>
  <c r="AD36" i="7"/>
  <c r="AC36" i="7"/>
  <c r="AA36" i="7"/>
  <c r="W36" i="7"/>
  <c r="X36" i="7" s="1"/>
  <c r="U36" i="7"/>
  <c r="R36" i="7"/>
  <c r="N36" i="7"/>
  <c r="O36" i="7" s="1"/>
  <c r="L36" i="7"/>
  <c r="I36" i="7"/>
  <c r="H36" i="7"/>
  <c r="F36" i="7"/>
  <c r="C36" i="7"/>
  <c r="AC35" i="7"/>
  <c r="AD35" i="7" s="1"/>
  <c r="AA35" i="7"/>
  <c r="W35" i="7"/>
  <c r="X35" i="7" s="1"/>
  <c r="U35" i="7"/>
  <c r="R35" i="7"/>
  <c r="O35" i="7"/>
  <c r="N35" i="7"/>
  <c r="L35" i="7"/>
  <c r="H35" i="7"/>
  <c r="I35" i="7" s="1"/>
  <c r="F35" i="7"/>
  <c r="C35" i="7"/>
  <c r="AD34" i="7"/>
  <c r="AC34" i="7"/>
  <c r="AA34" i="7"/>
  <c r="X34" i="7"/>
  <c r="W34" i="7"/>
  <c r="U34" i="7"/>
  <c r="R34" i="7"/>
  <c r="N34" i="7"/>
  <c r="O34" i="7" s="1"/>
  <c r="L34" i="7"/>
  <c r="H34" i="7"/>
  <c r="I34" i="7" s="1"/>
  <c r="F34" i="7"/>
  <c r="C34" i="7"/>
  <c r="AD33" i="7"/>
  <c r="AC33" i="7"/>
  <c r="AA33" i="7"/>
  <c r="X33" i="7"/>
  <c r="W33" i="7"/>
  <c r="U33" i="7"/>
  <c r="R33" i="7"/>
  <c r="O33" i="7"/>
  <c r="N33" i="7"/>
  <c r="L33" i="7"/>
  <c r="I33" i="7"/>
  <c r="H33" i="7"/>
  <c r="F33" i="7"/>
  <c r="C33" i="7"/>
  <c r="AC32" i="7"/>
  <c r="AD32" i="7" s="1"/>
  <c r="AA32" i="7"/>
  <c r="W32" i="7"/>
  <c r="X32" i="7" s="1"/>
  <c r="U32" i="7"/>
  <c r="R32" i="7"/>
  <c r="O32" i="7"/>
  <c r="N32" i="7"/>
  <c r="L32" i="7"/>
  <c r="I32" i="7"/>
  <c r="H32" i="7"/>
  <c r="F32" i="7"/>
  <c r="C32" i="7"/>
  <c r="AC31" i="7"/>
  <c r="AD31" i="7" s="1"/>
  <c r="AA31" i="7"/>
  <c r="X31" i="7"/>
  <c r="W31" i="7"/>
  <c r="U31" i="7"/>
  <c r="R31" i="7"/>
  <c r="O31" i="7"/>
  <c r="N31" i="7"/>
  <c r="L31" i="7"/>
  <c r="I31" i="7"/>
  <c r="H31" i="7"/>
  <c r="F31" i="7"/>
  <c r="C31" i="7"/>
  <c r="Z29" i="7"/>
  <c r="AA29" i="7" s="1"/>
  <c r="X29" i="7"/>
  <c r="W29" i="7"/>
  <c r="U29" i="7"/>
  <c r="T29" i="7"/>
  <c r="R29" i="7"/>
  <c r="Q29" i="7"/>
  <c r="AC29" i="7" s="1"/>
  <c r="AD29" i="7" s="1"/>
  <c r="K29" i="7"/>
  <c r="N29" i="7" s="1"/>
  <c r="O29" i="7" s="1"/>
  <c r="F29" i="7"/>
  <c r="E29" i="7"/>
  <c r="B29" i="7"/>
  <c r="AD28" i="7"/>
  <c r="AC28" i="7"/>
  <c r="AA28" i="7"/>
  <c r="W28" i="7"/>
  <c r="X28" i="7" s="1"/>
  <c r="U28" i="7"/>
  <c r="R28" i="7"/>
  <c r="O28" i="7"/>
  <c r="N28" i="7"/>
  <c r="L28" i="7"/>
  <c r="I28" i="7"/>
  <c r="H28" i="7"/>
  <c r="F28" i="7"/>
  <c r="C28" i="7"/>
  <c r="AC27" i="7"/>
  <c r="AD27" i="7" s="1"/>
  <c r="AA27" i="7"/>
  <c r="W27" i="7"/>
  <c r="X27" i="7" s="1"/>
  <c r="U27" i="7"/>
  <c r="R27" i="7"/>
  <c r="O27" i="7"/>
  <c r="N27" i="7"/>
  <c r="L27" i="7"/>
  <c r="I27" i="7"/>
  <c r="H27" i="7"/>
  <c r="F27" i="7"/>
  <c r="C27" i="7"/>
  <c r="AD26" i="7"/>
  <c r="AC26" i="7"/>
  <c r="AA26" i="7"/>
  <c r="X26" i="7"/>
  <c r="W26" i="7"/>
  <c r="U26" i="7"/>
  <c r="R26" i="7"/>
  <c r="N26" i="7"/>
  <c r="O26" i="7" s="1"/>
  <c r="L26" i="7"/>
  <c r="H26" i="7"/>
  <c r="I26" i="7" s="1"/>
  <c r="F26" i="7"/>
  <c r="C26" i="7"/>
  <c r="AD25" i="7"/>
  <c r="AC25" i="7"/>
  <c r="AA25" i="7"/>
  <c r="X25" i="7"/>
  <c r="W25" i="7"/>
  <c r="U25" i="7"/>
  <c r="R25" i="7"/>
  <c r="O25" i="7"/>
  <c r="N25" i="7"/>
  <c r="L25" i="7"/>
  <c r="I25" i="7"/>
  <c r="H25" i="7"/>
  <c r="F25" i="7"/>
  <c r="C25" i="7"/>
  <c r="AC24" i="7"/>
  <c r="AD24" i="7" s="1"/>
  <c r="AA24" i="7"/>
  <c r="W24" i="7"/>
  <c r="X24" i="7" s="1"/>
  <c r="U24" i="7"/>
  <c r="R24" i="7"/>
  <c r="N24" i="7"/>
  <c r="O24" i="7" s="1"/>
  <c r="L24" i="7"/>
  <c r="I24" i="7"/>
  <c r="H24" i="7"/>
  <c r="F24" i="7"/>
  <c r="C24" i="7"/>
  <c r="AC23" i="7"/>
  <c r="AD23" i="7" s="1"/>
  <c r="AA23" i="7"/>
  <c r="X23" i="7"/>
  <c r="W23" i="7"/>
  <c r="U23" i="7"/>
  <c r="R23" i="7"/>
  <c r="O23" i="7"/>
  <c r="N23" i="7"/>
  <c r="L23" i="7"/>
  <c r="H23" i="7"/>
  <c r="I23" i="7" s="1"/>
  <c r="F23" i="7"/>
  <c r="C23" i="7"/>
  <c r="AD22" i="7"/>
  <c r="AC22" i="7"/>
  <c r="AA22" i="7"/>
  <c r="W22" i="7"/>
  <c r="X22" i="7" s="1"/>
  <c r="U22" i="7"/>
  <c r="R22" i="7"/>
  <c r="N22" i="7"/>
  <c r="O22" i="7" s="1"/>
  <c r="L22" i="7"/>
  <c r="H22" i="7"/>
  <c r="I22" i="7" s="1"/>
  <c r="F22" i="7"/>
  <c r="C22" i="7"/>
  <c r="AD21" i="7"/>
  <c r="AC21" i="7"/>
  <c r="AA21" i="7"/>
  <c r="X21" i="7"/>
  <c r="W21" i="7"/>
  <c r="U21" i="7"/>
  <c r="R21" i="7"/>
  <c r="N21" i="7"/>
  <c r="O21" i="7" s="1"/>
  <c r="L21" i="7"/>
  <c r="I21" i="7"/>
  <c r="H21" i="7"/>
  <c r="F21" i="7"/>
  <c r="C21" i="7"/>
  <c r="AD19" i="7"/>
  <c r="AC19" i="7"/>
  <c r="AA19" i="7"/>
  <c r="W19" i="7"/>
  <c r="X19" i="7" s="1"/>
  <c r="U19" i="7"/>
  <c r="R19" i="7"/>
  <c r="O19" i="7"/>
  <c r="N19" i="7"/>
  <c r="L19" i="7"/>
  <c r="I19" i="7"/>
  <c r="H19" i="7"/>
  <c r="F19" i="7"/>
  <c r="C19" i="7"/>
  <c r="AA18" i="7"/>
  <c r="Z18" i="7"/>
  <c r="U18" i="7"/>
  <c r="T18" i="7"/>
  <c r="Q18" i="7"/>
  <c r="AC18" i="7" s="1"/>
  <c r="AD18" i="7" s="1"/>
  <c r="L18" i="7"/>
  <c r="K18" i="7"/>
  <c r="I18" i="7"/>
  <c r="E18" i="7"/>
  <c r="F18" i="7" s="1"/>
  <c r="B18" i="7"/>
  <c r="H18" i="7" s="1"/>
  <c r="AD17" i="7"/>
  <c r="AC17" i="7"/>
  <c r="AA17" i="7"/>
  <c r="X17" i="7"/>
  <c r="W17" i="7"/>
  <c r="U17" i="7"/>
  <c r="R17" i="7"/>
  <c r="O17" i="7"/>
  <c r="N17" i="7"/>
  <c r="L17" i="7"/>
  <c r="I17" i="7"/>
  <c r="H17" i="7"/>
  <c r="F17" i="7"/>
  <c r="C17" i="7"/>
  <c r="AC16" i="7"/>
  <c r="AD16" i="7" s="1"/>
  <c r="AA16" i="7"/>
  <c r="W16" i="7"/>
  <c r="X16" i="7" s="1"/>
  <c r="U16" i="7"/>
  <c r="R16" i="7"/>
  <c r="O16" i="7"/>
  <c r="N16" i="7"/>
  <c r="L16" i="7"/>
  <c r="I16" i="7"/>
  <c r="H16" i="7"/>
  <c r="F16" i="7"/>
  <c r="C16" i="7"/>
  <c r="AC15" i="7"/>
  <c r="AD15" i="7" s="1"/>
  <c r="AA15" i="7"/>
  <c r="W15" i="7"/>
  <c r="X15" i="7" s="1"/>
  <c r="U15" i="7"/>
  <c r="R15" i="7"/>
  <c r="O15" i="7"/>
  <c r="N15" i="7"/>
  <c r="L15" i="7"/>
  <c r="I15" i="7"/>
  <c r="H15" i="7"/>
  <c r="F15" i="7"/>
  <c r="C15" i="7"/>
  <c r="AD14" i="7"/>
  <c r="AC14" i="7"/>
  <c r="AA14" i="7"/>
  <c r="W14" i="7"/>
  <c r="X14" i="7" s="1"/>
  <c r="U14" i="7"/>
  <c r="R14" i="7"/>
  <c r="N14" i="7"/>
  <c r="O14" i="7" s="1"/>
  <c r="L14" i="7"/>
  <c r="H14" i="7"/>
  <c r="I14" i="7" s="1"/>
  <c r="F14" i="7"/>
  <c r="C14" i="7"/>
  <c r="AD13" i="7"/>
  <c r="AC13" i="7"/>
  <c r="AA13" i="7"/>
  <c r="X13" i="7"/>
  <c r="W13" i="7"/>
  <c r="U13" i="7"/>
  <c r="R13" i="7"/>
  <c r="N13" i="7"/>
  <c r="O13" i="7" s="1"/>
  <c r="L13" i="7"/>
  <c r="I13" i="7"/>
  <c r="H13" i="7"/>
  <c r="F13" i="7"/>
  <c r="C13" i="7"/>
  <c r="AD12" i="7"/>
  <c r="AC12" i="7"/>
  <c r="AA12" i="7"/>
  <c r="W12" i="7"/>
  <c r="X12" i="7" s="1"/>
  <c r="U12" i="7"/>
  <c r="R12" i="7"/>
  <c r="N12" i="7"/>
  <c r="O12" i="7" s="1"/>
  <c r="L12" i="7"/>
  <c r="I12" i="7"/>
  <c r="H12" i="7"/>
  <c r="F12" i="7"/>
  <c r="C12" i="7"/>
  <c r="AC11" i="7"/>
  <c r="AD11" i="7" s="1"/>
  <c r="AA11" i="7"/>
  <c r="X11" i="7"/>
  <c r="W11" i="7"/>
  <c r="U11" i="7"/>
  <c r="R11" i="7"/>
  <c r="O11" i="7"/>
  <c r="N11" i="7"/>
  <c r="L11" i="7"/>
  <c r="H11" i="7"/>
  <c r="I11" i="7" s="1"/>
  <c r="F11" i="7"/>
  <c r="C11" i="7"/>
  <c r="AD10" i="7"/>
  <c r="AC10" i="7"/>
  <c r="AA10" i="7"/>
  <c r="X10" i="7"/>
  <c r="W10" i="7"/>
  <c r="U10" i="7"/>
  <c r="R10" i="7"/>
  <c r="N10" i="7"/>
  <c r="O10" i="7" s="1"/>
  <c r="L10" i="7"/>
  <c r="H10" i="7"/>
  <c r="I10" i="7" s="1"/>
  <c r="F10" i="7"/>
  <c r="C10" i="7"/>
  <c r="AD8" i="7"/>
  <c r="AC8" i="7"/>
  <c r="AA8" i="7"/>
  <c r="X8" i="7"/>
  <c r="W8" i="7"/>
  <c r="U8" i="7"/>
  <c r="R8" i="7"/>
  <c r="O8" i="7"/>
  <c r="N8" i="7"/>
  <c r="L8" i="7"/>
  <c r="I8" i="7"/>
  <c r="H8" i="7"/>
  <c r="F8" i="7"/>
  <c r="C8" i="7"/>
  <c r="AC444" i="6"/>
  <c r="W444" i="6"/>
  <c r="X373" i="6" s="1"/>
  <c r="N444" i="6"/>
  <c r="O338" i="6" s="1"/>
  <c r="H444" i="6"/>
  <c r="AC442" i="6"/>
  <c r="AD442" i="6" s="1"/>
  <c r="AA442" i="6"/>
  <c r="Z442" i="6"/>
  <c r="X442" i="6"/>
  <c r="T442" i="6"/>
  <c r="U442" i="6" s="1"/>
  <c r="R442" i="6"/>
  <c r="Q442" i="6"/>
  <c r="W442" i="6" s="1"/>
  <c r="L442" i="6"/>
  <c r="K442" i="6"/>
  <c r="H442" i="6"/>
  <c r="I442" i="6" s="1"/>
  <c r="F442" i="6"/>
  <c r="E442" i="6"/>
  <c r="C442" i="6"/>
  <c r="B442" i="6"/>
  <c r="N442" i="6" s="1"/>
  <c r="Z441" i="6"/>
  <c r="AA441" i="6" s="1"/>
  <c r="W441" i="6"/>
  <c r="X441" i="6" s="1"/>
  <c r="U441" i="6"/>
  <c r="T441" i="6"/>
  <c r="R441" i="6"/>
  <c r="Q441" i="6"/>
  <c r="L441" i="6"/>
  <c r="K441" i="6"/>
  <c r="F441" i="6"/>
  <c r="E441" i="6"/>
  <c r="B441" i="6"/>
  <c r="AC440" i="6"/>
  <c r="AD440" i="6" s="1"/>
  <c r="AA440" i="6"/>
  <c r="W440" i="6"/>
  <c r="X440" i="6" s="1"/>
  <c r="U440" i="6"/>
  <c r="R440" i="6"/>
  <c r="N440" i="6"/>
  <c r="O440" i="6" s="1"/>
  <c r="L440" i="6"/>
  <c r="I440" i="6"/>
  <c r="H440" i="6"/>
  <c r="F440" i="6"/>
  <c r="C440" i="6"/>
  <c r="AC439" i="6"/>
  <c r="AD439" i="6" s="1"/>
  <c r="AA439" i="6"/>
  <c r="X439" i="6"/>
  <c r="W439" i="6"/>
  <c r="U439" i="6"/>
  <c r="R439" i="6"/>
  <c r="N439" i="6"/>
  <c r="L439" i="6"/>
  <c r="I439" i="6"/>
  <c r="H439" i="6"/>
  <c r="F439" i="6"/>
  <c r="C439" i="6"/>
  <c r="AD438" i="6"/>
  <c r="AC438" i="6"/>
  <c r="AA438" i="6"/>
  <c r="W438" i="6"/>
  <c r="X438" i="6" s="1"/>
  <c r="U438" i="6"/>
  <c r="R438" i="6"/>
  <c r="N438" i="6"/>
  <c r="L438" i="6"/>
  <c r="H438" i="6"/>
  <c r="I438" i="6" s="1"/>
  <c r="F438" i="6"/>
  <c r="C438" i="6"/>
  <c r="AD437" i="6"/>
  <c r="AC437" i="6"/>
  <c r="AA437" i="6"/>
  <c r="W437" i="6"/>
  <c r="U437" i="6"/>
  <c r="R437" i="6"/>
  <c r="N437" i="6"/>
  <c r="O437" i="6" s="1"/>
  <c r="L437" i="6"/>
  <c r="I437" i="6"/>
  <c r="H437" i="6"/>
  <c r="F437" i="6"/>
  <c r="C437" i="6"/>
  <c r="AD436" i="6"/>
  <c r="AC436" i="6"/>
  <c r="AA436" i="6"/>
  <c r="W436" i="6"/>
  <c r="X436" i="6" s="1"/>
  <c r="U436" i="6"/>
  <c r="R436" i="6"/>
  <c r="N436" i="6"/>
  <c r="O436" i="6" s="1"/>
  <c r="L436" i="6"/>
  <c r="I436" i="6"/>
  <c r="H436" i="6"/>
  <c r="F436" i="6"/>
  <c r="C436" i="6"/>
  <c r="AC435" i="6"/>
  <c r="AD435" i="6" s="1"/>
  <c r="AA435" i="6"/>
  <c r="W435" i="6"/>
  <c r="X435" i="6" s="1"/>
  <c r="U435" i="6"/>
  <c r="R435" i="6"/>
  <c r="N435" i="6"/>
  <c r="L435" i="6"/>
  <c r="I435" i="6"/>
  <c r="H435" i="6"/>
  <c r="F435" i="6"/>
  <c r="C435" i="6"/>
  <c r="AD434" i="6"/>
  <c r="AC434" i="6"/>
  <c r="AA434" i="6"/>
  <c r="W434" i="6"/>
  <c r="X434" i="6" s="1"/>
  <c r="U434" i="6"/>
  <c r="R434" i="6"/>
  <c r="N434" i="6"/>
  <c r="O434" i="6" s="1"/>
  <c r="L434" i="6"/>
  <c r="H434" i="6"/>
  <c r="I434" i="6" s="1"/>
  <c r="F434" i="6"/>
  <c r="C434" i="6"/>
  <c r="AD433" i="6"/>
  <c r="AC433" i="6"/>
  <c r="AA433" i="6"/>
  <c r="W433" i="6"/>
  <c r="U433" i="6"/>
  <c r="R433" i="6"/>
  <c r="O433" i="6"/>
  <c r="N433" i="6"/>
  <c r="L433" i="6"/>
  <c r="I433" i="6"/>
  <c r="H433" i="6"/>
  <c r="F433" i="6"/>
  <c r="C433" i="6"/>
  <c r="AC432" i="6"/>
  <c r="AD432" i="6" s="1"/>
  <c r="AA432" i="6"/>
  <c r="W432" i="6"/>
  <c r="X432" i="6" s="1"/>
  <c r="U432" i="6"/>
  <c r="R432" i="6"/>
  <c r="O432" i="6"/>
  <c r="N432" i="6"/>
  <c r="L432" i="6"/>
  <c r="I432" i="6"/>
  <c r="H432" i="6"/>
  <c r="F432" i="6"/>
  <c r="C432" i="6"/>
  <c r="Z429" i="6"/>
  <c r="AA429" i="6" s="1"/>
  <c r="U429" i="6"/>
  <c r="T429" i="6"/>
  <c r="Q429" i="6"/>
  <c r="L429" i="6"/>
  <c r="K429" i="6"/>
  <c r="E429" i="6"/>
  <c r="F429" i="6" s="1"/>
  <c r="B429" i="6"/>
  <c r="AA428" i="6"/>
  <c r="Z428" i="6"/>
  <c r="T428" i="6"/>
  <c r="W428" i="6" s="1"/>
  <c r="X428" i="6" s="1"/>
  <c r="R428" i="6"/>
  <c r="Q428" i="6"/>
  <c r="AC428" i="6" s="1"/>
  <c r="AD428" i="6" s="1"/>
  <c r="K428" i="6"/>
  <c r="L428" i="6" s="1"/>
  <c r="H428" i="6"/>
  <c r="I428" i="6" s="1"/>
  <c r="F428" i="6"/>
  <c r="E428" i="6"/>
  <c r="C428" i="6"/>
  <c r="B428" i="6"/>
  <c r="N428" i="6" s="1"/>
  <c r="O428" i="6" s="1"/>
  <c r="AC427" i="6"/>
  <c r="AD427" i="6" s="1"/>
  <c r="AA427" i="6"/>
  <c r="W427" i="6"/>
  <c r="X427" i="6" s="1"/>
  <c r="U427" i="6"/>
  <c r="R427" i="6"/>
  <c r="N427" i="6"/>
  <c r="L427" i="6"/>
  <c r="H427" i="6"/>
  <c r="I427" i="6" s="1"/>
  <c r="F427" i="6"/>
  <c r="C427" i="6"/>
  <c r="AD426" i="6"/>
  <c r="AC426" i="6"/>
  <c r="AA426" i="6"/>
  <c r="X426" i="6"/>
  <c r="W426" i="6"/>
  <c r="U426" i="6"/>
  <c r="R426" i="6"/>
  <c r="N426" i="6"/>
  <c r="O426" i="6" s="1"/>
  <c r="L426" i="6"/>
  <c r="H426" i="6"/>
  <c r="I426" i="6" s="1"/>
  <c r="F426" i="6"/>
  <c r="C426" i="6"/>
  <c r="AD425" i="6"/>
  <c r="AC425" i="6"/>
  <c r="AA425" i="6"/>
  <c r="W425" i="6"/>
  <c r="U425" i="6"/>
  <c r="R425" i="6"/>
  <c r="N425" i="6"/>
  <c r="O425" i="6" s="1"/>
  <c r="L425" i="6"/>
  <c r="I425" i="6"/>
  <c r="H425" i="6"/>
  <c r="F425" i="6"/>
  <c r="C425" i="6"/>
  <c r="AD424" i="6"/>
  <c r="AC424" i="6"/>
  <c r="AA424" i="6"/>
  <c r="W424" i="6"/>
  <c r="U424" i="6"/>
  <c r="R424" i="6"/>
  <c r="N424" i="6"/>
  <c r="O424" i="6" s="1"/>
  <c r="L424" i="6"/>
  <c r="I424" i="6"/>
  <c r="H424" i="6"/>
  <c r="F424" i="6"/>
  <c r="C424" i="6"/>
  <c r="AC423" i="6"/>
  <c r="AD423" i="6" s="1"/>
  <c r="AA423" i="6"/>
  <c r="W423" i="6"/>
  <c r="X423" i="6" s="1"/>
  <c r="U423" i="6"/>
  <c r="R423" i="6"/>
  <c r="N423" i="6"/>
  <c r="L423" i="6"/>
  <c r="H423" i="6"/>
  <c r="I423" i="6" s="1"/>
  <c r="F423" i="6"/>
  <c r="C423" i="6"/>
  <c r="AD422" i="6"/>
  <c r="AC422" i="6"/>
  <c r="AA422" i="6"/>
  <c r="W422" i="6"/>
  <c r="X422" i="6" s="1"/>
  <c r="U422" i="6"/>
  <c r="R422" i="6"/>
  <c r="N422" i="6"/>
  <c r="O422" i="6" s="1"/>
  <c r="L422" i="6"/>
  <c r="H422" i="6"/>
  <c r="I422" i="6" s="1"/>
  <c r="F422" i="6"/>
  <c r="C422" i="6"/>
  <c r="AD421" i="6"/>
  <c r="AC421" i="6"/>
  <c r="AA421" i="6"/>
  <c r="W421" i="6"/>
  <c r="U421" i="6"/>
  <c r="R421" i="6"/>
  <c r="N421" i="6"/>
  <c r="O421" i="6" s="1"/>
  <c r="L421" i="6"/>
  <c r="I421" i="6"/>
  <c r="H421" i="6"/>
  <c r="F421" i="6"/>
  <c r="C421" i="6"/>
  <c r="AD420" i="6"/>
  <c r="AC420" i="6"/>
  <c r="AA420" i="6"/>
  <c r="W420" i="6"/>
  <c r="X420" i="6" s="1"/>
  <c r="U420" i="6"/>
  <c r="R420" i="6"/>
  <c r="O420" i="6"/>
  <c r="N420" i="6"/>
  <c r="L420" i="6"/>
  <c r="I420" i="6"/>
  <c r="H420" i="6"/>
  <c r="F420" i="6"/>
  <c r="C420" i="6"/>
  <c r="AC419" i="6"/>
  <c r="AD419" i="6" s="1"/>
  <c r="AA419" i="6"/>
  <c r="W419" i="6"/>
  <c r="X419" i="6" s="1"/>
  <c r="U419" i="6"/>
  <c r="R419" i="6"/>
  <c r="N419" i="6"/>
  <c r="L419" i="6"/>
  <c r="H419" i="6"/>
  <c r="I419" i="6" s="1"/>
  <c r="F419" i="6"/>
  <c r="C419" i="6"/>
  <c r="AD418" i="6"/>
  <c r="AC418" i="6"/>
  <c r="AA418" i="6"/>
  <c r="W418" i="6"/>
  <c r="X418" i="6" s="1"/>
  <c r="U418" i="6"/>
  <c r="R418" i="6"/>
  <c r="N418" i="6"/>
  <c r="O418" i="6" s="1"/>
  <c r="L418" i="6"/>
  <c r="H418" i="6"/>
  <c r="I418" i="6" s="1"/>
  <c r="F418" i="6"/>
  <c r="C418" i="6"/>
  <c r="AD417" i="6"/>
  <c r="AC417" i="6"/>
  <c r="AA417" i="6"/>
  <c r="W417" i="6"/>
  <c r="U417" i="6"/>
  <c r="R417" i="6"/>
  <c r="O417" i="6"/>
  <c r="N417" i="6"/>
  <c r="L417" i="6"/>
  <c r="I417" i="6"/>
  <c r="H417" i="6"/>
  <c r="F417" i="6"/>
  <c r="C417" i="6"/>
  <c r="AC416" i="6"/>
  <c r="AD416" i="6" s="1"/>
  <c r="AA416" i="6"/>
  <c r="W416" i="6"/>
  <c r="X416" i="6" s="1"/>
  <c r="U416" i="6"/>
  <c r="R416" i="6"/>
  <c r="O416" i="6"/>
  <c r="N416" i="6"/>
  <c r="L416" i="6"/>
  <c r="I416" i="6"/>
  <c r="H416" i="6"/>
  <c r="F416" i="6"/>
  <c r="C416" i="6"/>
  <c r="AC415" i="6"/>
  <c r="AD415" i="6" s="1"/>
  <c r="AA415" i="6"/>
  <c r="W415" i="6"/>
  <c r="X415" i="6" s="1"/>
  <c r="U415" i="6"/>
  <c r="R415" i="6"/>
  <c r="N415" i="6"/>
  <c r="L415" i="6"/>
  <c r="H415" i="6"/>
  <c r="I415" i="6" s="1"/>
  <c r="F415" i="6"/>
  <c r="C415" i="6"/>
  <c r="AD414" i="6"/>
  <c r="AC414" i="6"/>
  <c r="AA414" i="6"/>
  <c r="X414" i="6"/>
  <c r="W414" i="6"/>
  <c r="U414" i="6"/>
  <c r="R414" i="6"/>
  <c r="N414" i="6"/>
  <c r="L414" i="6"/>
  <c r="H414" i="6"/>
  <c r="I414" i="6" s="1"/>
  <c r="F414" i="6"/>
  <c r="C414" i="6"/>
  <c r="AD413" i="6"/>
  <c r="AC413" i="6"/>
  <c r="AA413" i="6"/>
  <c r="W413" i="6"/>
  <c r="U413" i="6"/>
  <c r="R413" i="6"/>
  <c r="N413" i="6"/>
  <c r="O413" i="6" s="1"/>
  <c r="L413" i="6"/>
  <c r="I413" i="6"/>
  <c r="H413" i="6"/>
  <c r="F413" i="6"/>
  <c r="C413" i="6"/>
  <c r="AD412" i="6"/>
  <c r="AC412" i="6"/>
  <c r="AA412" i="6"/>
  <c r="W412" i="6"/>
  <c r="U412" i="6"/>
  <c r="R412" i="6"/>
  <c r="N412" i="6"/>
  <c r="O412" i="6" s="1"/>
  <c r="L412" i="6"/>
  <c r="I412" i="6"/>
  <c r="H412" i="6"/>
  <c r="F412" i="6"/>
  <c r="C412" i="6"/>
  <c r="AC411" i="6"/>
  <c r="AD411" i="6" s="1"/>
  <c r="AA411" i="6"/>
  <c r="W411" i="6"/>
  <c r="X411" i="6" s="1"/>
  <c r="U411" i="6"/>
  <c r="R411" i="6"/>
  <c r="N411" i="6"/>
  <c r="L411" i="6"/>
  <c r="H411" i="6"/>
  <c r="I411" i="6" s="1"/>
  <c r="F411" i="6"/>
  <c r="C411" i="6"/>
  <c r="AD410" i="6"/>
  <c r="AC410" i="6"/>
  <c r="AA410" i="6"/>
  <c r="X410" i="6"/>
  <c r="W410" i="6"/>
  <c r="U410" i="6"/>
  <c r="R410" i="6"/>
  <c r="N410" i="6"/>
  <c r="O410" i="6" s="1"/>
  <c r="L410" i="6"/>
  <c r="H410" i="6"/>
  <c r="I410" i="6" s="1"/>
  <c r="F410" i="6"/>
  <c r="C410" i="6"/>
  <c r="AD409" i="6"/>
  <c r="AC409" i="6"/>
  <c r="AA409" i="6"/>
  <c r="W409" i="6"/>
  <c r="U409" i="6"/>
  <c r="R409" i="6"/>
  <c r="N409" i="6"/>
  <c r="O409" i="6" s="1"/>
  <c r="L409" i="6"/>
  <c r="I409" i="6"/>
  <c r="H409" i="6"/>
  <c r="F409" i="6"/>
  <c r="C409" i="6"/>
  <c r="AD408" i="6"/>
  <c r="AC408" i="6"/>
  <c r="AA408" i="6"/>
  <c r="W408" i="6"/>
  <c r="U408" i="6"/>
  <c r="R408" i="6"/>
  <c r="N408" i="6"/>
  <c r="O408" i="6" s="1"/>
  <c r="L408" i="6"/>
  <c r="I408" i="6"/>
  <c r="H408" i="6"/>
  <c r="F408" i="6"/>
  <c r="C408" i="6"/>
  <c r="AC407" i="6"/>
  <c r="AD407" i="6" s="1"/>
  <c r="AA407" i="6"/>
  <c r="W407" i="6"/>
  <c r="X407" i="6" s="1"/>
  <c r="U407" i="6"/>
  <c r="R407" i="6"/>
  <c r="N407" i="6"/>
  <c r="L407" i="6"/>
  <c r="H407" i="6"/>
  <c r="I407" i="6" s="1"/>
  <c r="F407" i="6"/>
  <c r="C407" i="6"/>
  <c r="AC403" i="6"/>
  <c r="AD403" i="6" s="1"/>
  <c r="AA403" i="6"/>
  <c r="Z403" i="6"/>
  <c r="T403" i="6"/>
  <c r="U403" i="6" s="1"/>
  <c r="Q403" i="6"/>
  <c r="O403" i="6"/>
  <c r="L403" i="6"/>
  <c r="K403" i="6"/>
  <c r="E403" i="6"/>
  <c r="C403" i="6"/>
  <c r="B403" i="6"/>
  <c r="N403" i="6" s="1"/>
  <c r="AD402" i="6"/>
  <c r="AC402" i="6"/>
  <c r="AA402" i="6"/>
  <c r="X402" i="6"/>
  <c r="W402" i="6"/>
  <c r="U402" i="6"/>
  <c r="R402" i="6"/>
  <c r="N402" i="6"/>
  <c r="L402" i="6"/>
  <c r="H402" i="6"/>
  <c r="I402" i="6" s="1"/>
  <c r="F402" i="6"/>
  <c r="C402" i="6"/>
  <c r="AD401" i="6"/>
  <c r="AC401" i="6"/>
  <c r="AA401" i="6"/>
  <c r="W401" i="6"/>
  <c r="U401" i="6"/>
  <c r="R401" i="6"/>
  <c r="N401" i="6"/>
  <c r="O401" i="6" s="1"/>
  <c r="L401" i="6"/>
  <c r="I401" i="6"/>
  <c r="H401" i="6"/>
  <c r="F401" i="6"/>
  <c r="C401" i="6"/>
  <c r="AD400" i="6"/>
  <c r="AC400" i="6"/>
  <c r="AA400" i="6"/>
  <c r="W400" i="6"/>
  <c r="U400" i="6"/>
  <c r="R400" i="6"/>
  <c r="N400" i="6"/>
  <c r="O400" i="6" s="1"/>
  <c r="L400" i="6"/>
  <c r="I400" i="6"/>
  <c r="H400" i="6"/>
  <c r="F400" i="6"/>
  <c r="C400" i="6"/>
  <c r="AC399" i="6"/>
  <c r="AD399" i="6" s="1"/>
  <c r="AA399" i="6"/>
  <c r="W399" i="6"/>
  <c r="X399" i="6" s="1"/>
  <c r="U399" i="6"/>
  <c r="R399" i="6"/>
  <c r="N399" i="6"/>
  <c r="L399" i="6"/>
  <c r="H399" i="6"/>
  <c r="I399" i="6" s="1"/>
  <c r="F399" i="6"/>
  <c r="C399" i="6"/>
  <c r="AD398" i="6"/>
  <c r="AC398" i="6"/>
  <c r="AA398" i="6"/>
  <c r="X398" i="6"/>
  <c r="W398" i="6"/>
  <c r="U398" i="6"/>
  <c r="R398" i="6"/>
  <c r="N398" i="6"/>
  <c r="O398" i="6" s="1"/>
  <c r="L398" i="6"/>
  <c r="H398" i="6"/>
  <c r="I398" i="6" s="1"/>
  <c r="F398" i="6"/>
  <c r="C398" i="6"/>
  <c r="AD397" i="6"/>
  <c r="AC397" i="6"/>
  <c r="AA397" i="6"/>
  <c r="W397" i="6"/>
  <c r="U397" i="6"/>
  <c r="R397" i="6"/>
  <c r="N397" i="6"/>
  <c r="O397" i="6" s="1"/>
  <c r="L397" i="6"/>
  <c r="I397" i="6"/>
  <c r="H397" i="6"/>
  <c r="F397" i="6"/>
  <c r="C397" i="6"/>
  <c r="AA396" i="6"/>
  <c r="Z396" i="6"/>
  <c r="T396" i="6"/>
  <c r="U396" i="6" s="1"/>
  <c r="Q396" i="6"/>
  <c r="W396" i="6" s="1"/>
  <c r="X396" i="6" s="1"/>
  <c r="O396" i="6"/>
  <c r="L396" i="6"/>
  <c r="K396" i="6"/>
  <c r="E396" i="6"/>
  <c r="H396" i="6" s="1"/>
  <c r="I396" i="6" s="1"/>
  <c r="C396" i="6"/>
  <c r="B396" i="6"/>
  <c r="N396" i="6" s="1"/>
  <c r="AD395" i="6"/>
  <c r="AC395" i="6"/>
  <c r="AA395" i="6"/>
  <c r="W395" i="6"/>
  <c r="X395" i="6" s="1"/>
  <c r="U395" i="6"/>
  <c r="R395" i="6"/>
  <c r="N395" i="6"/>
  <c r="O395" i="6" s="1"/>
  <c r="L395" i="6"/>
  <c r="H395" i="6"/>
  <c r="I395" i="6" s="1"/>
  <c r="F395" i="6"/>
  <c r="C395" i="6"/>
  <c r="AD394" i="6"/>
  <c r="AC394" i="6"/>
  <c r="AA394" i="6"/>
  <c r="W394" i="6"/>
  <c r="U394" i="6"/>
  <c r="R394" i="6"/>
  <c r="O394" i="6"/>
  <c r="N394" i="6"/>
  <c r="L394" i="6"/>
  <c r="I394" i="6"/>
  <c r="H394" i="6"/>
  <c r="F394" i="6"/>
  <c r="C394" i="6"/>
  <c r="AC393" i="6"/>
  <c r="AD393" i="6" s="1"/>
  <c r="AA393" i="6"/>
  <c r="Z393" i="6"/>
  <c r="T393" i="6"/>
  <c r="U393" i="6" s="1"/>
  <c r="Q393" i="6"/>
  <c r="W393" i="6" s="1"/>
  <c r="X393" i="6" s="1"/>
  <c r="L393" i="6"/>
  <c r="K393" i="6"/>
  <c r="F393" i="6"/>
  <c r="E393" i="6"/>
  <c r="H393" i="6" s="1"/>
  <c r="I393" i="6" s="1"/>
  <c r="C393" i="6"/>
  <c r="B393" i="6"/>
  <c r="N393" i="6" s="1"/>
  <c r="O393" i="6" s="1"/>
  <c r="AD392" i="6"/>
  <c r="AC392" i="6"/>
  <c r="AA392" i="6"/>
  <c r="W392" i="6"/>
  <c r="X392" i="6" s="1"/>
  <c r="U392" i="6"/>
  <c r="R392" i="6"/>
  <c r="N392" i="6"/>
  <c r="O392" i="6" s="1"/>
  <c r="L392" i="6"/>
  <c r="H392" i="6"/>
  <c r="I392" i="6" s="1"/>
  <c r="F392" i="6"/>
  <c r="C392" i="6"/>
  <c r="AD391" i="6"/>
  <c r="AC391" i="6"/>
  <c r="AA391" i="6"/>
  <c r="W391" i="6"/>
  <c r="U391" i="6"/>
  <c r="R391" i="6"/>
  <c r="N391" i="6"/>
  <c r="O391" i="6" s="1"/>
  <c r="L391" i="6"/>
  <c r="I391" i="6"/>
  <c r="H391" i="6"/>
  <c r="F391" i="6"/>
  <c r="C391" i="6"/>
  <c r="AD390" i="6"/>
  <c r="AC390" i="6"/>
  <c r="AA390" i="6"/>
  <c r="W390" i="6"/>
  <c r="X390" i="6" s="1"/>
  <c r="U390" i="6"/>
  <c r="R390" i="6"/>
  <c r="O390" i="6"/>
  <c r="N390" i="6"/>
  <c r="L390" i="6"/>
  <c r="I390" i="6"/>
  <c r="H390" i="6"/>
  <c r="F390" i="6"/>
  <c r="C390" i="6"/>
  <c r="AC389" i="6"/>
  <c r="AD389" i="6" s="1"/>
  <c r="AA389" i="6"/>
  <c r="W389" i="6"/>
  <c r="X389" i="6" s="1"/>
  <c r="U389" i="6"/>
  <c r="R389" i="6"/>
  <c r="N389" i="6"/>
  <c r="L389" i="6"/>
  <c r="H389" i="6"/>
  <c r="I389" i="6" s="1"/>
  <c r="F389" i="6"/>
  <c r="C389" i="6"/>
  <c r="AD388" i="6"/>
  <c r="AC388" i="6"/>
  <c r="AA388" i="6"/>
  <c r="W388" i="6"/>
  <c r="X388" i="6" s="1"/>
  <c r="U388" i="6"/>
  <c r="R388" i="6"/>
  <c r="N388" i="6"/>
  <c r="O388" i="6" s="1"/>
  <c r="L388" i="6"/>
  <c r="H388" i="6"/>
  <c r="I388" i="6" s="1"/>
  <c r="F388" i="6"/>
  <c r="C388" i="6"/>
  <c r="AD386" i="6"/>
  <c r="AC386" i="6"/>
  <c r="AA386" i="6"/>
  <c r="W386" i="6"/>
  <c r="U386" i="6"/>
  <c r="R386" i="6"/>
  <c r="O386" i="6"/>
  <c r="N386" i="6"/>
  <c r="L386" i="6"/>
  <c r="I386" i="6"/>
  <c r="H386" i="6"/>
  <c r="F386" i="6"/>
  <c r="C386" i="6"/>
  <c r="AC385" i="6"/>
  <c r="AD385" i="6" s="1"/>
  <c r="AA385" i="6"/>
  <c r="W385" i="6"/>
  <c r="X385" i="6" s="1"/>
  <c r="U385" i="6"/>
  <c r="R385" i="6"/>
  <c r="O385" i="6"/>
  <c r="N385" i="6"/>
  <c r="L385" i="6"/>
  <c r="I385" i="6"/>
  <c r="H385" i="6"/>
  <c r="F385" i="6"/>
  <c r="C385" i="6"/>
  <c r="AC383" i="6"/>
  <c r="AD383" i="6" s="1"/>
  <c r="AA383" i="6"/>
  <c r="W383" i="6"/>
  <c r="X383" i="6" s="1"/>
  <c r="U383" i="6"/>
  <c r="R383" i="6"/>
  <c r="N383" i="6"/>
  <c r="L383" i="6"/>
  <c r="H383" i="6"/>
  <c r="I383" i="6" s="1"/>
  <c r="F383" i="6"/>
  <c r="C383" i="6"/>
  <c r="AD382" i="6"/>
  <c r="AC382" i="6"/>
  <c r="AA382" i="6"/>
  <c r="X382" i="6"/>
  <c r="W382" i="6"/>
  <c r="U382" i="6"/>
  <c r="R382" i="6"/>
  <c r="N382" i="6"/>
  <c r="L382" i="6"/>
  <c r="H382" i="6"/>
  <c r="I382" i="6" s="1"/>
  <c r="F382" i="6"/>
  <c r="C382" i="6"/>
  <c r="AD381" i="6"/>
  <c r="AC381" i="6"/>
  <c r="AA381" i="6"/>
  <c r="W381" i="6"/>
  <c r="U381" i="6"/>
  <c r="R381" i="6"/>
  <c r="N381" i="6"/>
  <c r="O381" i="6" s="1"/>
  <c r="L381" i="6"/>
  <c r="I381" i="6"/>
  <c r="H381" i="6"/>
  <c r="F381" i="6"/>
  <c r="C381" i="6"/>
  <c r="AD380" i="6"/>
  <c r="AC380" i="6"/>
  <c r="AA380" i="6"/>
  <c r="W380" i="6"/>
  <c r="U380" i="6"/>
  <c r="R380" i="6"/>
  <c r="N380" i="6"/>
  <c r="O380" i="6" s="1"/>
  <c r="L380" i="6"/>
  <c r="I380" i="6"/>
  <c r="H380" i="6"/>
  <c r="F380" i="6"/>
  <c r="C380" i="6"/>
  <c r="AC379" i="6"/>
  <c r="AD379" i="6" s="1"/>
  <c r="AA379" i="6"/>
  <c r="W379" i="6"/>
  <c r="X379" i="6" s="1"/>
  <c r="U379" i="6"/>
  <c r="R379" i="6"/>
  <c r="N379" i="6"/>
  <c r="L379" i="6"/>
  <c r="H379" i="6"/>
  <c r="I379" i="6" s="1"/>
  <c r="F379" i="6"/>
  <c r="C379" i="6"/>
  <c r="AD378" i="6"/>
  <c r="AC378" i="6"/>
  <c r="AA378" i="6"/>
  <c r="X378" i="6"/>
  <c r="W378" i="6"/>
  <c r="U378" i="6"/>
  <c r="R378" i="6"/>
  <c r="N378" i="6"/>
  <c r="O378" i="6" s="1"/>
  <c r="L378" i="6"/>
  <c r="H378" i="6"/>
  <c r="I378" i="6" s="1"/>
  <c r="F378" i="6"/>
  <c r="C378" i="6"/>
  <c r="AD377" i="6"/>
  <c r="AC377" i="6"/>
  <c r="AA377" i="6"/>
  <c r="W377" i="6"/>
  <c r="U377" i="6"/>
  <c r="R377" i="6"/>
  <c r="N377" i="6"/>
  <c r="O377" i="6" s="1"/>
  <c r="L377" i="6"/>
  <c r="I377" i="6"/>
  <c r="H377" i="6"/>
  <c r="F377" i="6"/>
  <c r="C377" i="6"/>
  <c r="AD376" i="6"/>
  <c r="AC376" i="6"/>
  <c r="AA376" i="6"/>
  <c r="W376" i="6"/>
  <c r="U376" i="6"/>
  <c r="R376" i="6"/>
  <c r="N376" i="6"/>
  <c r="O376" i="6" s="1"/>
  <c r="L376" i="6"/>
  <c r="I376" i="6"/>
  <c r="H376" i="6"/>
  <c r="F376" i="6"/>
  <c r="C376" i="6"/>
  <c r="AC375" i="6"/>
  <c r="AD375" i="6" s="1"/>
  <c r="AA375" i="6"/>
  <c r="W375" i="6"/>
  <c r="X375" i="6" s="1"/>
  <c r="U375" i="6"/>
  <c r="R375" i="6"/>
  <c r="N375" i="6"/>
  <c r="L375" i="6"/>
  <c r="H375" i="6"/>
  <c r="I375" i="6" s="1"/>
  <c r="F375" i="6"/>
  <c r="C375" i="6"/>
  <c r="AD374" i="6"/>
  <c r="AC374" i="6"/>
  <c r="AA374" i="6"/>
  <c r="W374" i="6"/>
  <c r="X374" i="6" s="1"/>
  <c r="U374" i="6"/>
  <c r="R374" i="6"/>
  <c r="N374" i="6"/>
  <c r="L374" i="6"/>
  <c r="H374" i="6"/>
  <c r="I374" i="6" s="1"/>
  <c r="F374" i="6"/>
  <c r="C374" i="6"/>
  <c r="AD373" i="6"/>
  <c r="AC373" i="6"/>
  <c r="AA373" i="6"/>
  <c r="W373" i="6"/>
  <c r="U373" i="6"/>
  <c r="R373" i="6"/>
  <c r="N373" i="6"/>
  <c r="O373" i="6" s="1"/>
  <c r="L373" i="6"/>
  <c r="I373" i="6"/>
  <c r="H373" i="6"/>
  <c r="F373" i="6"/>
  <c r="C373" i="6"/>
  <c r="AC372" i="6"/>
  <c r="AD372" i="6" s="1"/>
  <c r="AA372" i="6"/>
  <c r="W372" i="6"/>
  <c r="X372" i="6" s="1"/>
  <c r="U372" i="6"/>
  <c r="R372" i="6"/>
  <c r="O372" i="6"/>
  <c r="N372" i="6"/>
  <c r="L372" i="6"/>
  <c r="I372" i="6"/>
  <c r="H372" i="6"/>
  <c r="F372" i="6"/>
  <c r="C372" i="6"/>
  <c r="AC371" i="6"/>
  <c r="AD371" i="6" s="1"/>
  <c r="AA371" i="6"/>
  <c r="W371" i="6"/>
  <c r="X371" i="6" s="1"/>
  <c r="U371" i="6"/>
  <c r="R371" i="6"/>
  <c r="O371" i="6"/>
  <c r="N371" i="6"/>
  <c r="L371" i="6"/>
  <c r="I371" i="6"/>
  <c r="H371" i="6"/>
  <c r="F371" i="6"/>
  <c r="C371" i="6"/>
  <c r="AC370" i="6"/>
  <c r="AD370" i="6" s="1"/>
  <c r="AA370" i="6"/>
  <c r="W370" i="6"/>
  <c r="X370" i="6" s="1"/>
  <c r="U370" i="6"/>
  <c r="R370" i="6"/>
  <c r="N370" i="6"/>
  <c r="O370" i="6" s="1"/>
  <c r="L370" i="6"/>
  <c r="H370" i="6"/>
  <c r="I370" i="6" s="1"/>
  <c r="F370" i="6"/>
  <c r="C370" i="6"/>
  <c r="AD369" i="6"/>
  <c r="AC369" i="6"/>
  <c r="AA369" i="6"/>
  <c r="X369" i="6"/>
  <c r="W369" i="6"/>
  <c r="U369" i="6"/>
  <c r="R369" i="6"/>
  <c r="N369" i="6"/>
  <c r="O369" i="6" s="1"/>
  <c r="L369" i="6"/>
  <c r="H369" i="6"/>
  <c r="I369" i="6" s="1"/>
  <c r="F369" i="6"/>
  <c r="C369" i="6"/>
  <c r="AA368" i="6"/>
  <c r="Z368" i="6"/>
  <c r="T368" i="6"/>
  <c r="U368" i="6" s="1"/>
  <c r="Q368" i="6"/>
  <c r="W368" i="6" s="1"/>
  <c r="X368" i="6" s="1"/>
  <c r="L368" i="6"/>
  <c r="K368" i="6"/>
  <c r="E368" i="6"/>
  <c r="H368" i="6" s="1"/>
  <c r="I368" i="6" s="1"/>
  <c r="C368" i="6"/>
  <c r="B368" i="6"/>
  <c r="N368" i="6" s="1"/>
  <c r="O368" i="6" s="1"/>
  <c r="AC367" i="6"/>
  <c r="AD367" i="6" s="1"/>
  <c r="AA367" i="6"/>
  <c r="W367" i="6"/>
  <c r="X367" i="6" s="1"/>
  <c r="U367" i="6"/>
  <c r="R367" i="6"/>
  <c r="N367" i="6"/>
  <c r="O367" i="6" s="1"/>
  <c r="L367" i="6"/>
  <c r="H367" i="6"/>
  <c r="I367" i="6" s="1"/>
  <c r="F367" i="6"/>
  <c r="C367" i="6"/>
  <c r="AD366" i="6"/>
  <c r="AC366" i="6"/>
  <c r="AA366" i="6"/>
  <c r="X366" i="6"/>
  <c r="W366" i="6"/>
  <c r="U366" i="6"/>
  <c r="R366" i="6"/>
  <c r="N366" i="6"/>
  <c r="O366" i="6" s="1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N365" i="6"/>
  <c r="O365" i="6" s="1"/>
  <c r="L365" i="6"/>
  <c r="I365" i="6"/>
  <c r="H365" i="6"/>
  <c r="F365" i="6"/>
  <c r="C365" i="6"/>
  <c r="AC364" i="6"/>
  <c r="AD364" i="6" s="1"/>
  <c r="AA364" i="6"/>
  <c r="X364" i="6"/>
  <c r="W364" i="6"/>
  <c r="U364" i="6"/>
  <c r="R364" i="6"/>
  <c r="O364" i="6"/>
  <c r="N364" i="6"/>
  <c r="L364" i="6"/>
  <c r="H364" i="6"/>
  <c r="I364" i="6" s="1"/>
  <c r="F364" i="6"/>
  <c r="C364" i="6"/>
  <c r="AC363" i="6"/>
  <c r="AD363" i="6" s="1"/>
  <c r="AA363" i="6"/>
  <c r="X363" i="6"/>
  <c r="W363" i="6"/>
  <c r="U363" i="6"/>
  <c r="R363" i="6"/>
  <c r="N363" i="6"/>
  <c r="L363" i="6"/>
  <c r="H363" i="6"/>
  <c r="I363" i="6" s="1"/>
  <c r="F363" i="6"/>
  <c r="C363" i="6"/>
  <c r="AD362" i="6"/>
  <c r="AC362" i="6"/>
  <c r="AA362" i="6"/>
  <c r="W362" i="6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N361" i="6"/>
  <c r="O361" i="6" s="1"/>
  <c r="L361" i="6"/>
  <c r="I361" i="6"/>
  <c r="H361" i="6"/>
  <c r="F361" i="6"/>
  <c r="C361" i="6"/>
  <c r="AC360" i="6"/>
  <c r="AD360" i="6" s="1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AC358" i="6"/>
  <c r="AD358" i="6" s="1"/>
  <c r="Z358" i="6"/>
  <c r="AA358" i="6" s="1"/>
  <c r="W358" i="6"/>
  <c r="X358" i="6" s="1"/>
  <c r="U358" i="6"/>
  <c r="T358" i="6"/>
  <c r="R358" i="6"/>
  <c r="Q358" i="6"/>
  <c r="N358" i="6"/>
  <c r="O358" i="6" s="1"/>
  <c r="K358" i="6"/>
  <c r="L358" i="6" s="1"/>
  <c r="E358" i="6"/>
  <c r="F358" i="6" s="1"/>
  <c r="B358" i="6"/>
  <c r="AC357" i="6"/>
  <c r="AD357" i="6" s="1"/>
  <c r="AA357" i="6"/>
  <c r="W357" i="6"/>
  <c r="U357" i="6"/>
  <c r="R357" i="6"/>
  <c r="N357" i="6"/>
  <c r="O357" i="6" s="1"/>
  <c r="L357" i="6"/>
  <c r="I357" i="6"/>
  <c r="H357" i="6"/>
  <c r="F357" i="6"/>
  <c r="C357" i="6"/>
  <c r="AC356" i="6"/>
  <c r="AD356" i="6" s="1"/>
  <c r="AA356" i="6"/>
  <c r="X356" i="6"/>
  <c r="W356" i="6"/>
  <c r="U356" i="6"/>
  <c r="R356" i="6"/>
  <c r="N356" i="6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N355" i="6"/>
  <c r="O355" i="6" s="1"/>
  <c r="L355" i="6"/>
  <c r="H355" i="6"/>
  <c r="I355" i="6" s="1"/>
  <c r="F355" i="6"/>
  <c r="C355" i="6"/>
  <c r="AD354" i="6"/>
  <c r="AC354" i="6"/>
  <c r="AA354" i="6"/>
  <c r="X354" i="6"/>
  <c r="W354" i="6"/>
  <c r="U354" i="6"/>
  <c r="R354" i="6"/>
  <c r="N354" i="6"/>
  <c r="O354" i="6" s="1"/>
  <c r="L354" i="6"/>
  <c r="H354" i="6"/>
  <c r="I354" i="6" s="1"/>
  <c r="F354" i="6"/>
  <c r="C354" i="6"/>
  <c r="AC353" i="6"/>
  <c r="AD353" i="6" s="1"/>
  <c r="AA353" i="6"/>
  <c r="W353" i="6"/>
  <c r="X353" i="6" s="1"/>
  <c r="U353" i="6"/>
  <c r="R353" i="6"/>
  <c r="N353" i="6"/>
  <c r="O353" i="6" s="1"/>
  <c r="L353" i="6"/>
  <c r="I353" i="6"/>
  <c r="H353" i="6"/>
  <c r="F353" i="6"/>
  <c r="C353" i="6"/>
  <c r="AC352" i="6"/>
  <c r="AD352" i="6" s="1"/>
  <c r="AA352" i="6"/>
  <c r="W352" i="6"/>
  <c r="X352" i="6" s="1"/>
  <c r="U352" i="6"/>
  <c r="R352" i="6"/>
  <c r="O352" i="6"/>
  <c r="N352" i="6"/>
  <c r="L352" i="6"/>
  <c r="H352" i="6"/>
  <c r="I352" i="6" s="1"/>
  <c r="F352" i="6"/>
  <c r="C352" i="6"/>
  <c r="AC351" i="6"/>
  <c r="AD351" i="6" s="1"/>
  <c r="AA351" i="6"/>
  <c r="X351" i="6"/>
  <c r="W351" i="6"/>
  <c r="U351" i="6"/>
  <c r="R351" i="6"/>
  <c r="N351" i="6"/>
  <c r="O351" i="6" s="1"/>
  <c r="L351" i="6"/>
  <c r="H351" i="6"/>
  <c r="I351" i="6" s="1"/>
  <c r="F351" i="6"/>
  <c r="C351" i="6"/>
  <c r="AD350" i="6"/>
  <c r="AC350" i="6"/>
  <c r="AA350" i="6"/>
  <c r="X350" i="6"/>
  <c r="W350" i="6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W349" i="6"/>
  <c r="U349" i="6"/>
  <c r="R349" i="6"/>
  <c r="N349" i="6"/>
  <c r="O349" i="6" s="1"/>
  <c r="L349" i="6"/>
  <c r="I349" i="6"/>
  <c r="H349" i="6"/>
  <c r="F349" i="6"/>
  <c r="C349" i="6"/>
  <c r="AC347" i="6"/>
  <c r="AD347" i="6" s="1"/>
  <c r="AA347" i="6"/>
  <c r="X347" i="6"/>
  <c r="W347" i="6"/>
  <c r="U347" i="6"/>
  <c r="R347" i="6"/>
  <c r="N347" i="6"/>
  <c r="L347" i="6"/>
  <c r="H347" i="6"/>
  <c r="I347" i="6" s="1"/>
  <c r="F347" i="6"/>
  <c r="C347" i="6"/>
  <c r="AA344" i="6"/>
  <c r="Z344" i="6"/>
  <c r="T344" i="6"/>
  <c r="U344" i="6" s="1"/>
  <c r="Q344" i="6"/>
  <c r="K344" i="6"/>
  <c r="L344" i="6" s="1"/>
  <c r="E344" i="6"/>
  <c r="H344" i="6" s="1"/>
  <c r="I344" i="6" s="1"/>
  <c r="C344" i="6"/>
  <c r="B344" i="6"/>
  <c r="N344" i="6" s="1"/>
  <c r="O344" i="6" s="1"/>
  <c r="Z343" i="6"/>
  <c r="AA343" i="6" s="1"/>
  <c r="X343" i="6"/>
  <c r="W343" i="6"/>
  <c r="U343" i="6"/>
  <c r="T343" i="6"/>
  <c r="R343" i="6"/>
  <c r="Q343" i="6"/>
  <c r="L343" i="6"/>
  <c r="K343" i="6"/>
  <c r="F343" i="6"/>
  <c r="E343" i="6"/>
  <c r="B343" i="6"/>
  <c r="AC342" i="6"/>
  <c r="AD342" i="6" s="1"/>
  <c r="AA342" i="6"/>
  <c r="Z342" i="6"/>
  <c r="W342" i="6"/>
  <c r="X342" i="6" s="1"/>
  <c r="T342" i="6"/>
  <c r="U342" i="6" s="1"/>
  <c r="R342" i="6"/>
  <c r="Q342" i="6"/>
  <c r="L342" i="6"/>
  <c r="K342" i="6"/>
  <c r="H342" i="6"/>
  <c r="I342" i="6" s="1"/>
  <c r="F342" i="6"/>
  <c r="E342" i="6"/>
  <c r="C342" i="6"/>
  <c r="B342" i="6"/>
  <c r="AC341" i="6"/>
  <c r="AD341" i="6" s="1"/>
  <c r="AA341" i="6"/>
  <c r="W341" i="6"/>
  <c r="X341" i="6" s="1"/>
  <c r="U341" i="6"/>
  <c r="R341" i="6"/>
  <c r="N341" i="6"/>
  <c r="L341" i="6"/>
  <c r="H341" i="6"/>
  <c r="I341" i="6" s="1"/>
  <c r="F341" i="6"/>
  <c r="C341" i="6"/>
  <c r="AD340" i="6"/>
  <c r="AC340" i="6"/>
  <c r="AA340" i="6"/>
  <c r="W340" i="6"/>
  <c r="U340" i="6"/>
  <c r="R340" i="6"/>
  <c r="N340" i="6"/>
  <c r="O340" i="6" s="1"/>
  <c r="L340" i="6"/>
  <c r="I340" i="6"/>
  <c r="H340" i="6"/>
  <c r="F340" i="6"/>
  <c r="C340" i="6"/>
  <c r="AD339" i="6"/>
  <c r="AC339" i="6"/>
  <c r="AA339" i="6"/>
  <c r="W339" i="6"/>
  <c r="U339" i="6"/>
  <c r="R339" i="6"/>
  <c r="N339" i="6"/>
  <c r="O339" i="6" s="1"/>
  <c r="L339" i="6"/>
  <c r="I339" i="6"/>
  <c r="H339" i="6"/>
  <c r="F339" i="6"/>
  <c r="C339" i="6"/>
  <c r="AC338" i="6"/>
  <c r="AD338" i="6" s="1"/>
  <c r="AA338" i="6"/>
  <c r="X338" i="6"/>
  <c r="W338" i="6"/>
  <c r="U338" i="6"/>
  <c r="R338" i="6"/>
  <c r="N338" i="6"/>
  <c r="L338" i="6"/>
  <c r="H338" i="6"/>
  <c r="I338" i="6" s="1"/>
  <c r="F338" i="6"/>
  <c r="C338" i="6"/>
  <c r="AD337" i="6"/>
  <c r="AC337" i="6"/>
  <c r="AA337" i="6"/>
  <c r="W337" i="6"/>
  <c r="X337" i="6" s="1"/>
  <c r="U337" i="6"/>
  <c r="R337" i="6"/>
  <c r="N337" i="6"/>
  <c r="O337" i="6" s="1"/>
  <c r="L337" i="6"/>
  <c r="H337" i="6"/>
  <c r="I337" i="6" s="1"/>
  <c r="F337" i="6"/>
  <c r="C337" i="6"/>
  <c r="AD335" i="6"/>
  <c r="AC335" i="6"/>
  <c r="AA335" i="6"/>
  <c r="X335" i="6"/>
  <c r="W335" i="6"/>
  <c r="U335" i="6"/>
  <c r="R335" i="6"/>
  <c r="N335" i="6"/>
  <c r="O335" i="6" s="1"/>
  <c r="L335" i="6"/>
  <c r="H335" i="6"/>
  <c r="I335" i="6" s="1"/>
  <c r="F335" i="6"/>
  <c r="C335" i="6"/>
  <c r="AD334" i="6"/>
  <c r="AC334" i="6"/>
  <c r="AA334" i="6"/>
  <c r="W334" i="6"/>
  <c r="X334" i="6" s="1"/>
  <c r="U334" i="6"/>
  <c r="R334" i="6"/>
  <c r="O334" i="6"/>
  <c r="N334" i="6"/>
  <c r="L334" i="6"/>
  <c r="I334" i="6"/>
  <c r="H334" i="6"/>
  <c r="F334" i="6"/>
  <c r="C334" i="6"/>
  <c r="AC333" i="6"/>
  <c r="AD333" i="6" s="1"/>
  <c r="AA333" i="6"/>
  <c r="W333" i="6"/>
  <c r="X333" i="6" s="1"/>
  <c r="U333" i="6"/>
  <c r="R333" i="6"/>
  <c r="O333" i="6"/>
  <c r="N333" i="6"/>
  <c r="L333" i="6"/>
  <c r="I333" i="6"/>
  <c r="H333" i="6"/>
  <c r="F333" i="6"/>
  <c r="C333" i="6"/>
  <c r="AC332" i="6"/>
  <c r="AD332" i="6" s="1"/>
  <c r="AA332" i="6"/>
  <c r="W332" i="6"/>
  <c r="X332" i="6" s="1"/>
  <c r="U332" i="6"/>
  <c r="R332" i="6"/>
  <c r="N332" i="6"/>
  <c r="L332" i="6"/>
  <c r="H332" i="6"/>
  <c r="I332" i="6" s="1"/>
  <c r="F332" i="6"/>
  <c r="C332" i="6"/>
  <c r="AD331" i="6"/>
  <c r="AC331" i="6"/>
  <c r="AA331" i="6"/>
  <c r="W331" i="6"/>
  <c r="U331" i="6"/>
  <c r="R331" i="6"/>
  <c r="N331" i="6"/>
  <c r="O331" i="6" s="1"/>
  <c r="L331" i="6"/>
  <c r="I331" i="6"/>
  <c r="H331" i="6"/>
  <c r="F331" i="6"/>
  <c r="C331" i="6"/>
  <c r="AC330" i="6"/>
  <c r="AD330" i="6" s="1"/>
  <c r="AA330" i="6"/>
  <c r="W330" i="6"/>
  <c r="U330" i="6"/>
  <c r="R330" i="6"/>
  <c r="N330" i="6"/>
  <c r="O330" i="6" s="1"/>
  <c r="L330" i="6"/>
  <c r="I330" i="6"/>
  <c r="H330" i="6"/>
  <c r="F330" i="6"/>
  <c r="C330" i="6"/>
  <c r="AC329" i="6"/>
  <c r="AD329" i="6" s="1"/>
  <c r="AA329" i="6"/>
  <c r="X329" i="6"/>
  <c r="W329" i="6"/>
  <c r="U329" i="6"/>
  <c r="R329" i="6"/>
  <c r="N329" i="6"/>
  <c r="L329" i="6"/>
  <c r="H329" i="6"/>
  <c r="I329" i="6" s="1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H328" i="6"/>
  <c r="I328" i="6" s="1"/>
  <c r="F328" i="6"/>
  <c r="C328" i="6"/>
  <c r="Z325" i="6"/>
  <c r="AA325" i="6" s="1"/>
  <c r="W325" i="6"/>
  <c r="X325" i="6" s="1"/>
  <c r="U325" i="6"/>
  <c r="T325" i="6"/>
  <c r="R325" i="6"/>
  <c r="Q325" i="6"/>
  <c r="K325" i="6"/>
  <c r="L325" i="6" s="1"/>
  <c r="H325" i="6"/>
  <c r="I325" i="6" s="1"/>
  <c r="F325" i="6"/>
  <c r="E325" i="6"/>
  <c r="B325" i="6"/>
  <c r="C325" i="6" s="1"/>
  <c r="AA324" i="6"/>
  <c r="Z324" i="6"/>
  <c r="AC324" i="6" s="1"/>
  <c r="AD324" i="6" s="1"/>
  <c r="T324" i="6"/>
  <c r="U324" i="6" s="1"/>
  <c r="Q324" i="6"/>
  <c r="N324" i="6"/>
  <c r="O324" i="6" s="1"/>
  <c r="L324" i="6"/>
  <c r="K324" i="6"/>
  <c r="E324" i="6"/>
  <c r="F324" i="6" s="1"/>
  <c r="B324" i="6"/>
  <c r="C324" i="6" s="1"/>
  <c r="AD323" i="6"/>
  <c r="AC323" i="6"/>
  <c r="AA323" i="6"/>
  <c r="X323" i="6"/>
  <c r="W323" i="6"/>
  <c r="U323" i="6"/>
  <c r="R323" i="6"/>
  <c r="N323" i="6"/>
  <c r="O323" i="6" s="1"/>
  <c r="L323" i="6"/>
  <c r="H323" i="6"/>
  <c r="I323" i="6" s="1"/>
  <c r="F323" i="6"/>
  <c r="C323" i="6"/>
  <c r="AC322" i="6"/>
  <c r="AD322" i="6" s="1"/>
  <c r="AA322" i="6"/>
  <c r="W322" i="6"/>
  <c r="X322" i="6" s="1"/>
  <c r="U322" i="6"/>
  <c r="R322" i="6"/>
  <c r="N322" i="6"/>
  <c r="O322" i="6" s="1"/>
  <c r="L322" i="6"/>
  <c r="I322" i="6"/>
  <c r="H322" i="6"/>
  <c r="F322" i="6"/>
  <c r="C322" i="6"/>
  <c r="AC321" i="6"/>
  <c r="AD321" i="6" s="1"/>
  <c r="AA321" i="6"/>
  <c r="X321" i="6"/>
  <c r="W321" i="6"/>
  <c r="U321" i="6"/>
  <c r="R321" i="6"/>
  <c r="O321" i="6"/>
  <c r="N321" i="6"/>
  <c r="L321" i="6"/>
  <c r="H321" i="6"/>
  <c r="I321" i="6" s="1"/>
  <c r="F321" i="6"/>
  <c r="C321" i="6"/>
  <c r="AC320" i="6"/>
  <c r="AD320" i="6" s="1"/>
  <c r="AA320" i="6"/>
  <c r="X320" i="6"/>
  <c r="W320" i="6"/>
  <c r="U320" i="6"/>
  <c r="R320" i="6"/>
  <c r="N320" i="6"/>
  <c r="L320" i="6"/>
  <c r="H320" i="6"/>
  <c r="I320" i="6" s="1"/>
  <c r="F320" i="6"/>
  <c r="C320" i="6"/>
  <c r="AD319" i="6"/>
  <c r="AC319" i="6"/>
  <c r="AA319" i="6"/>
  <c r="W319" i="6"/>
  <c r="U319" i="6"/>
  <c r="R319" i="6"/>
  <c r="O319" i="6"/>
  <c r="N319" i="6"/>
  <c r="L319" i="6"/>
  <c r="H319" i="6"/>
  <c r="I319" i="6" s="1"/>
  <c r="F319" i="6"/>
  <c r="C319" i="6"/>
  <c r="AC318" i="6"/>
  <c r="AD318" i="6" s="1"/>
  <c r="AA318" i="6"/>
  <c r="W318" i="6"/>
  <c r="X318" i="6" s="1"/>
  <c r="U318" i="6"/>
  <c r="R318" i="6"/>
  <c r="N318" i="6"/>
  <c r="O318" i="6" s="1"/>
  <c r="L318" i="6"/>
  <c r="I318" i="6"/>
  <c r="H318" i="6"/>
  <c r="F318" i="6"/>
  <c r="C318" i="6"/>
  <c r="AC317" i="6"/>
  <c r="AD317" i="6" s="1"/>
  <c r="AA317" i="6"/>
  <c r="X317" i="6"/>
  <c r="W317" i="6"/>
  <c r="U317" i="6"/>
  <c r="R317" i="6"/>
  <c r="O317" i="6"/>
  <c r="N317" i="6"/>
  <c r="L317" i="6"/>
  <c r="H317" i="6"/>
  <c r="I317" i="6" s="1"/>
  <c r="F317" i="6"/>
  <c r="C317" i="6"/>
  <c r="AC316" i="6"/>
  <c r="AD316" i="6" s="1"/>
  <c r="AA316" i="6"/>
  <c r="W316" i="6"/>
  <c r="X316" i="6" s="1"/>
  <c r="U316" i="6"/>
  <c r="R316" i="6"/>
  <c r="N316" i="6"/>
  <c r="O316" i="6" s="1"/>
  <c r="L316" i="6"/>
  <c r="H316" i="6"/>
  <c r="I316" i="6" s="1"/>
  <c r="F316" i="6"/>
  <c r="C316" i="6"/>
  <c r="AD315" i="6"/>
  <c r="AC315" i="6"/>
  <c r="AA315" i="6"/>
  <c r="X315" i="6"/>
  <c r="W315" i="6"/>
  <c r="U315" i="6"/>
  <c r="R315" i="6"/>
  <c r="N315" i="6"/>
  <c r="O315" i="6" s="1"/>
  <c r="L315" i="6"/>
  <c r="H315" i="6"/>
  <c r="I315" i="6" s="1"/>
  <c r="F315" i="6"/>
  <c r="C315" i="6"/>
  <c r="AC314" i="6"/>
  <c r="AD314" i="6" s="1"/>
  <c r="AA314" i="6"/>
  <c r="W314" i="6"/>
  <c r="X314" i="6" s="1"/>
  <c r="U314" i="6"/>
  <c r="R314" i="6"/>
  <c r="N314" i="6"/>
  <c r="O314" i="6" s="1"/>
  <c r="L314" i="6"/>
  <c r="I314" i="6"/>
  <c r="H314" i="6"/>
  <c r="F314" i="6"/>
  <c r="C314" i="6"/>
  <c r="AC313" i="6"/>
  <c r="AD313" i="6" s="1"/>
  <c r="AA313" i="6"/>
  <c r="X313" i="6"/>
  <c r="W313" i="6"/>
  <c r="U313" i="6"/>
  <c r="R313" i="6"/>
  <c r="O313" i="6"/>
  <c r="N313" i="6"/>
  <c r="L313" i="6"/>
  <c r="H313" i="6"/>
  <c r="I313" i="6" s="1"/>
  <c r="F313" i="6"/>
  <c r="C313" i="6"/>
  <c r="AC312" i="6"/>
  <c r="AD312" i="6" s="1"/>
  <c r="AA312" i="6"/>
  <c r="X312" i="6"/>
  <c r="W312" i="6"/>
  <c r="U312" i="6"/>
  <c r="R312" i="6"/>
  <c r="N312" i="6"/>
  <c r="L312" i="6"/>
  <c r="H312" i="6"/>
  <c r="I312" i="6" s="1"/>
  <c r="F312" i="6"/>
  <c r="C312" i="6"/>
  <c r="AD311" i="6"/>
  <c r="AC311" i="6"/>
  <c r="AA311" i="6"/>
  <c r="W311" i="6"/>
  <c r="U311" i="6"/>
  <c r="R311" i="6"/>
  <c r="O311" i="6"/>
  <c r="N311" i="6"/>
  <c r="L311" i="6"/>
  <c r="H311" i="6"/>
  <c r="I311" i="6" s="1"/>
  <c r="F311" i="6"/>
  <c r="C311" i="6"/>
  <c r="AC310" i="6"/>
  <c r="AD310" i="6" s="1"/>
  <c r="AA310" i="6"/>
  <c r="W310" i="6"/>
  <c r="X310" i="6" s="1"/>
  <c r="U310" i="6"/>
  <c r="R310" i="6"/>
  <c r="N310" i="6"/>
  <c r="O310" i="6" s="1"/>
  <c r="L310" i="6"/>
  <c r="I310" i="6"/>
  <c r="H310" i="6"/>
  <c r="F310" i="6"/>
  <c r="C310" i="6"/>
  <c r="AC309" i="6"/>
  <c r="AD309" i="6" s="1"/>
  <c r="AA309" i="6"/>
  <c r="X309" i="6"/>
  <c r="W309" i="6"/>
  <c r="U309" i="6"/>
  <c r="R309" i="6"/>
  <c r="O309" i="6"/>
  <c r="N309" i="6"/>
  <c r="L309" i="6"/>
  <c r="H309" i="6"/>
  <c r="I309" i="6" s="1"/>
  <c r="F309" i="6"/>
  <c r="C309" i="6"/>
  <c r="AC308" i="6"/>
  <c r="AD308" i="6" s="1"/>
  <c r="AA308" i="6"/>
  <c r="W308" i="6"/>
  <c r="X308" i="6" s="1"/>
  <c r="U308" i="6"/>
  <c r="R308" i="6"/>
  <c r="N308" i="6"/>
  <c r="O308" i="6" s="1"/>
  <c r="L308" i="6"/>
  <c r="H308" i="6"/>
  <c r="I308" i="6" s="1"/>
  <c r="F308" i="6"/>
  <c r="C308" i="6"/>
  <c r="AD307" i="6"/>
  <c r="AC307" i="6"/>
  <c r="AA307" i="6"/>
  <c r="X307" i="6"/>
  <c r="W307" i="6"/>
  <c r="U307" i="6"/>
  <c r="R307" i="6"/>
  <c r="N307" i="6"/>
  <c r="O307" i="6" s="1"/>
  <c r="L307" i="6"/>
  <c r="H307" i="6"/>
  <c r="I307" i="6" s="1"/>
  <c r="F307" i="6"/>
  <c r="C307" i="6"/>
  <c r="AC306" i="6"/>
  <c r="AD306" i="6" s="1"/>
  <c r="AA306" i="6"/>
  <c r="W306" i="6"/>
  <c r="X306" i="6" s="1"/>
  <c r="U306" i="6"/>
  <c r="R306" i="6"/>
  <c r="N306" i="6"/>
  <c r="O306" i="6" s="1"/>
  <c r="L306" i="6"/>
  <c r="I306" i="6"/>
  <c r="H306" i="6"/>
  <c r="F306" i="6"/>
  <c r="C306" i="6"/>
  <c r="AC305" i="6"/>
  <c r="AD305" i="6" s="1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C304" i="6"/>
  <c r="AD304" i="6" s="1"/>
  <c r="AA304" i="6"/>
  <c r="X304" i="6"/>
  <c r="W304" i="6"/>
  <c r="U304" i="6"/>
  <c r="R304" i="6"/>
  <c r="N304" i="6"/>
  <c r="L304" i="6"/>
  <c r="H304" i="6"/>
  <c r="I304" i="6" s="1"/>
  <c r="F304" i="6"/>
  <c r="C304" i="6"/>
  <c r="AD303" i="6"/>
  <c r="AC303" i="6"/>
  <c r="AA303" i="6"/>
  <c r="W303" i="6"/>
  <c r="U303" i="6"/>
  <c r="R303" i="6"/>
  <c r="O303" i="6"/>
  <c r="N303" i="6"/>
  <c r="L303" i="6"/>
  <c r="H303" i="6"/>
  <c r="I303" i="6" s="1"/>
  <c r="F303" i="6"/>
  <c r="C303" i="6"/>
  <c r="AC302" i="6"/>
  <c r="AD302" i="6" s="1"/>
  <c r="AA302" i="6"/>
  <c r="X302" i="6"/>
  <c r="W302" i="6"/>
  <c r="U302" i="6"/>
  <c r="R302" i="6"/>
  <c r="O302" i="6"/>
  <c r="N302" i="6"/>
  <c r="L302" i="6"/>
  <c r="H302" i="6"/>
  <c r="I302" i="6" s="1"/>
  <c r="F302" i="6"/>
  <c r="C302" i="6"/>
  <c r="AC301" i="6"/>
  <c r="AD301" i="6" s="1"/>
  <c r="AA301" i="6"/>
  <c r="X301" i="6"/>
  <c r="W301" i="6"/>
  <c r="U301" i="6"/>
  <c r="R301" i="6"/>
  <c r="N301" i="6"/>
  <c r="L301" i="6"/>
  <c r="I301" i="6"/>
  <c r="H301" i="6"/>
  <c r="F301" i="6"/>
  <c r="C301" i="6"/>
  <c r="AD300" i="6"/>
  <c r="AC300" i="6"/>
  <c r="AA300" i="6"/>
  <c r="W300" i="6"/>
  <c r="X300" i="6" s="1"/>
  <c r="U300" i="6"/>
  <c r="R300" i="6"/>
  <c r="N300" i="6"/>
  <c r="O300" i="6" s="1"/>
  <c r="L300" i="6"/>
  <c r="H300" i="6"/>
  <c r="I300" i="6" s="1"/>
  <c r="F300" i="6"/>
  <c r="C300" i="6"/>
  <c r="AD299" i="6"/>
  <c r="AC299" i="6"/>
  <c r="AA299" i="6"/>
  <c r="X299" i="6"/>
  <c r="W299" i="6"/>
  <c r="U299" i="6"/>
  <c r="R299" i="6"/>
  <c r="N299" i="6"/>
  <c r="O299" i="6" s="1"/>
  <c r="L299" i="6"/>
  <c r="H299" i="6"/>
  <c r="I299" i="6" s="1"/>
  <c r="F299" i="6"/>
  <c r="C299" i="6"/>
  <c r="AD298" i="6"/>
  <c r="AC298" i="6"/>
  <c r="AA298" i="6"/>
  <c r="X298" i="6"/>
  <c r="W298" i="6"/>
  <c r="U298" i="6"/>
  <c r="R298" i="6"/>
  <c r="N298" i="6"/>
  <c r="O298" i="6" s="1"/>
  <c r="L298" i="6"/>
  <c r="I298" i="6"/>
  <c r="H298" i="6"/>
  <c r="F298" i="6"/>
  <c r="C298" i="6"/>
  <c r="AC297" i="6"/>
  <c r="AD297" i="6" s="1"/>
  <c r="AA297" i="6"/>
  <c r="W297" i="6"/>
  <c r="X297" i="6" s="1"/>
  <c r="U297" i="6"/>
  <c r="R297" i="6"/>
  <c r="N297" i="6"/>
  <c r="L297" i="6"/>
  <c r="H297" i="6"/>
  <c r="I297" i="6" s="1"/>
  <c r="F297" i="6"/>
  <c r="C297" i="6"/>
  <c r="Z295" i="6"/>
  <c r="AA295" i="6" s="1"/>
  <c r="T295" i="6"/>
  <c r="U295" i="6" s="1"/>
  <c r="Q295" i="6"/>
  <c r="L295" i="6"/>
  <c r="K295" i="6"/>
  <c r="H295" i="6"/>
  <c r="I295" i="6" s="1"/>
  <c r="F295" i="6"/>
  <c r="E295" i="6"/>
  <c r="B295" i="6"/>
  <c r="AC294" i="6"/>
  <c r="AD294" i="6" s="1"/>
  <c r="AA294" i="6"/>
  <c r="W294" i="6"/>
  <c r="X294" i="6" s="1"/>
  <c r="U294" i="6"/>
  <c r="R294" i="6"/>
  <c r="O294" i="6"/>
  <c r="N294" i="6"/>
  <c r="L294" i="6"/>
  <c r="H294" i="6"/>
  <c r="I294" i="6" s="1"/>
  <c r="F294" i="6"/>
  <c r="C294" i="6"/>
  <c r="AC293" i="6"/>
  <c r="AD293" i="6" s="1"/>
  <c r="AA293" i="6"/>
  <c r="W293" i="6"/>
  <c r="X293" i="6" s="1"/>
  <c r="U293" i="6"/>
  <c r="R293" i="6"/>
  <c r="O293" i="6"/>
  <c r="N293" i="6"/>
  <c r="L293" i="6"/>
  <c r="I293" i="6"/>
  <c r="H293" i="6"/>
  <c r="F293" i="6"/>
  <c r="C293" i="6"/>
  <c r="AC292" i="6"/>
  <c r="AD292" i="6" s="1"/>
  <c r="AA292" i="6"/>
  <c r="X292" i="6"/>
  <c r="W292" i="6"/>
  <c r="U292" i="6"/>
  <c r="R292" i="6"/>
  <c r="N292" i="6"/>
  <c r="O292" i="6" s="1"/>
  <c r="L292" i="6"/>
  <c r="H292" i="6"/>
  <c r="I292" i="6" s="1"/>
  <c r="F292" i="6"/>
  <c r="C292" i="6"/>
  <c r="AC291" i="6"/>
  <c r="AD291" i="6" s="1"/>
  <c r="AA291" i="6"/>
  <c r="X291" i="6"/>
  <c r="W291" i="6"/>
  <c r="U291" i="6"/>
  <c r="R291" i="6"/>
  <c r="O291" i="6"/>
  <c r="N291" i="6"/>
  <c r="L291" i="6"/>
  <c r="H291" i="6"/>
  <c r="I291" i="6" s="1"/>
  <c r="F291" i="6"/>
  <c r="C291" i="6"/>
  <c r="AC290" i="6"/>
  <c r="AD290" i="6" s="1"/>
  <c r="AA290" i="6"/>
  <c r="X290" i="6"/>
  <c r="W290" i="6"/>
  <c r="U290" i="6"/>
  <c r="R290" i="6"/>
  <c r="O290" i="6"/>
  <c r="N290" i="6"/>
  <c r="L290" i="6"/>
  <c r="H290" i="6"/>
  <c r="I290" i="6" s="1"/>
  <c r="F290" i="6"/>
  <c r="C290" i="6"/>
  <c r="AC289" i="6"/>
  <c r="AD289" i="6" s="1"/>
  <c r="AA289" i="6"/>
  <c r="X289" i="6"/>
  <c r="W289" i="6"/>
  <c r="U289" i="6"/>
  <c r="R289" i="6"/>
  <c r="N289" i="6"/>
  <c r="L289" i="6"/>
  <c r="H289" i="6"/>
  <c r="I289" i="6" s="1"/>
  <c r="F289" i="6"/>
  <c r="C289" i="6"/>
  <c r="AD288" i="6"/>
  <c r="AC288" i="6"/>
  <c r="AA288" i="6"/>
  <c r="W288" i="6"/>
  <c r="X288" i="6" s="1"/>
  <c r="U288" i="6"/>
  <c r="R288" i="6"/>
  <c r="N288" i="6"/>
  <c r="O288" i="6" s="1"/>
  <c r="L288" i="6"/>
  <c r="H288" i="6"/>
  <c r="I288" i="6" s="1"/>
  <c r="F288" i="6"/>
  <c r="C288" i="6"/>
  <c r="AC287" i="6"/>
  <c r="AD287" i="6" s="1"/>
  <c r="AA287" i="6"/>
  <c r="X287" i="6"/>
  <c r="W287" i="6"/>
  <c r="U287" i="6"/>
  <c r="R287" i="6"/>
  <c r="N287" i="6"/>
  <c r="O287" i="6" s="1"/>
  <c r="L287" i="6"/>
  <c r="H287" i="6"/>
  <c r="I287" i="6" s="1"/>
  <c r="F287" i="6"/>
  <c r="C287" i="6"/>
  <c r="AC286" i="6"/>
  <c r="AD286" i="6" s="1"/>
  <c r="AA286" i="6"/>
  <c r="X286" i="6"/>
  <c r="W286" i="6"/>
  <c r="U286" i="6"/>
  <c r="R286" i="6"/>
  <c r="N286" i="6"/>
  <c r="O286" i="6" s="1"/>
  <c r="L286" i="6"/>
  <c r="I286" i="6"/>
  <c r="H286" i="6"/>
  <c r="F286" i="6"/>
  <c r="C286" i="6"/>
  <c r="Z284" i="6"/>
  <c r="AA284" i="6" s="1"/>
  <c r="W284" i="6"/>
  <c r="X284" i="6" s="1"/>
  <c r="U284" i="6"/>
  <c r="T284" i="6"/>
  <c r="Q284" i="6"/>
  <c r="K284" i="6"/>
  <c r="I284" i="6"/>
  <c r="H284" i="6"/>
  <c r="E284" i="6"/>
  <c r="F284" i="6" s="1"/>
  <c r="C284" i="6"/>
  <c r="B284" i="6"/>
  <c r="AC283" i="6"/>
  <c r="AD283" i="6" s="1"/>
  <c r="AA283" i="6"/>
  <c r="X283" i="6"/>
  <c r="W283" i="6"/>
  <c r="U283" i="6"/>
  <c r="R283" i="6"/>
  <c r="N283" i="6"/>
  <c r="O283" i="6" s="1"/>
  <c r="L283" i="6"/>
  <c r="H283" i="6"/>
  <c r="I283" i="6" s="1"/>
  <c r="F283" i="6"/>
  <c r="C283" i="6"/>
  <c r="AD282" i="6"/>
  <c r="AC282" i="6"/>
  <c r="AA282" i="6"/>
  <c r="X282" i="6"/>
  <c r="W282" i="6"/>
  <c r="U282" i="6"/>
  <c r="R282" i="6"/>
  <c r="N282" i="6"/>
  <c r="O282" i="6" s="1"/>
  <c r="L282" i="6"/>
  <c r="H282" i="6"/>
  <c r="I282" i="6" s="1"/>
  <c r="F282" i="6"/>
  <c r="C282" i="6"/>
  <c r="AC281" i="6"/>
  <c r="AD281" i="6" s="1"/>
  <c r="AA281" i="6"/>
  <c r="X281" i="6"/>
  <c r="W281" i="6"/>
  <c r="U281" i="6"/>
  <c r="R281" i="6"/>
  <c r="O281" i="6"/>
  <c r="N281" i="6"/>
  <c r="L281" i="6"/>
  <c r="H281" i="6"/>
  <c r="I281" i="6" s="1"/>
  <c r="F281" i="6"/>
  <c r="C281" i="6"/>
  <c r="AC280" i="6"/>
  <c r="AD280" i="6" s="1"/>
  <c r="AA280" i="6"/>
  <c r="X280" i="6"/>
  <c r="W280" i="6"/>
  <c r="U280" i="6"/>
  <c r="R280" i="6"/>
  <c r="N280" i="6"/>
  <c r="O280" i="6" s="1"/>
  <c r="L280" i="6"/>
  <c r="H280" i="6"/>
  <c r="I280" i="6" s="1"/>
  <c r="F280" i="6"/>
  <c r="C280" i="6"/>
  <c r="AD279" i="6"/>
  <c r="AC279" i="6"/>
  <c r="AA279" i="6"/>
  <c r="X279" i="6"/>
  <c r="W279" i="6"/>
  <c r="U279" i="6"/>
  <c r="R279" i="6"/>
  <c r="N279" i="6"/>
  <c r="O279" i="6" s="1"/>
  <c r="L279" i="6"/>
  <c r="H279" i="6"/>
  <c r="I279" i="6" s="1"/>
  <c r="F279" i="6"/>
  <c r="C279" i="6"/>
  <c r="AD278" i="6"/>
  <c r="AC278" i="6"/>
  <c r="AA278" i="6"/>
  <c r="W278" i="6"/>
  <c r="X278" i="6" s="1"/>
  <c r="U278" i="6"/>
  <c r="R278" i="6"/>
  <c r="O278" i="6"/>
  <c r="N278" i="6"/>
  <c r="L278" i="6"/>
  <c r="I278" i="6"/>
  <c r="H278" i="6"/>
  <c r="F278" i="6"/>
  <c r="C278" i="6"/>
  <c r="AC277" i="6"/>
  <c r="AD277" i="6" s="1"/>
  <c r="AA277" i="6"/>
  <c r="X277" i="6"/>
  <c r="W277" i="6"/>
  <c r="U277" i="6"/>
  <c r="R277" i="6"/>
  <c r="O277" i="6"/>
  <c r="N277" i="6"/>
  <c r="L277" i="6"/>
  <c r="I277" i="6"/>
  <c r="H277" i="6"/>
  <c r="F277" i="6"/>
  <c r="C277" i="6"/>
  <c r="AC276" i="6"/>
  <c r="AD276" i="6" s="1"/>
  <c r="AA276" i="6"/>
  <c r="W276" i="6"/>
  <c r="X276" i="6" s="1"/>
  <c r="U276" i="6"/>
  <c r="R276" i="6"/>
  <c r="O276" i="6"/>
  <c r="N276" i="6"/>
  <c r="L276" i="6"/>
  <c r="H276" i="6"/>
  <c r="I276" i="6" s="1"/>
  <c r="F276" i="6"/>
  <c r="C276" i="6"/>
  <c r="AD275" i="6"/>
  <c r="AC275" i="6"/>
  <c r="AA275" i="6"/>
  <c r="W275" i="6"/>
  <c r="U275" i="6"/>
  <c r="R275" i="6"/>
  <c r="N275" i="6"/>
  <c r="O275" i="6" s="1"/>
  <c r="L275" i="6"/>
  <c r="I275" i="6"/>
  <c r="H275" i="6"/>
  <c r="F275" i="6"/>
  <c r="C275" i="6"/>
  <c r="AA273" i="6"/>
  <c r="Z273" i="6"/>
  <c r="X273" i="6"/>
  <c r="T273" i="6"/>
  <c r="U273" i="6" s="1"/>
  <c r="R273" i="6"/>
  <c r="Q273" i="6"/>
  <c r="W273" i="6" s="1"/>
  <c r="K273" i="6"/>
  <c r="L273" i="6" s="1"/>
  <c r="E273" i="6"/>
  <c r="F273" i="6" s="1"/>
  <c r="C273" i="6"/>
  <c r="B273" i="6"/>
  <c r="N273" i="6" s="1"/>
  <c r="O273" i="6" s="1"/>
  <c r="AD272" i="6"/>
  <c r="AC272" i="6"/>
  <c r="AA272" i="6"/>
  <c r="W272" i="6"/>
  <c r="X272" i="6" s="1"/>
  <c r="U272" i="6"/>
  <c r="R272" i="6"/>
  <c r="O272" i="6"/>
  <c r="N272" i="6"/>
  <c r="L272" i="6"/>
  <c r="H272" i="6"/>
  <c r="I272" i="6" s="1"/>
  <c r="F272" i="6"/>
  <c r="C272" i="6"/>
  <c r="AC271" i="6"/>
  <c r="AD271" i="6" s="1"/>
  <c r="AA271" i="6"/>
  <c r="X271" i="6"/>
  <c r="W271" i="6"/>
  <c r="U271" i="6"/>
  <c r="R271" i="6"/>
  <c r="N271" i="6"/>
  <c r="O271" i="6" s="1"/>
  <c r="L271" i="6"/>
  <c r="I271" i="6"/>
  <c r="H271" i="6"/>
  <c r="F271" i="6"/>
  <c r="C271" i="6"/>
  <c r="AC270" i="6"/>
  <c r="AD270" i="6" s="1"/>
  <c r="AA270" i="6"/>
  <c r="W270" i="6"/>
  <c r="X270" i="6" s="1"/>
  <c r="U270" i="6"/>
  <c r="R270" i="6"/>
  <c r="O270" i="6"/>
  <c r="N270" i="6"/>
  <c r="L270" i="6"/>
  <c r="I270" i="6"/>
  <c r="H270" i="6"/>
  <c r="F270" i="6"/>
  <c r="C270" i="6"/>
  <c r="AC269" i="6"/>
  <c r="AD269" i="6" s="1"/>
  <c r="AA269" i="6"/>
  <c r="W269" i="6"/>
  <c r="X269" i="6" s="1"/>
  <c r="U269" i="6"/>
  <c r="R269" i="6"/>
  <c r="N269" i="6"/>
  <c r="O269" i="6" s="1"/>
  <c r="L269" i="6"/>
  <c r="I269" i="6"/>
  <c r="H269" i="6"/>
  <c r="F269" i="6"/>
  <c r="C269" i="6"/>
  <c r="AA267" i="6"/>
  <c r="Z267" i="6"/>
  <c r="T267" i="6"/>
  <c r="U267" i="6" s="1"/>
  <c r="Q267" i="6"/>
  <c r="L267" i="6"/>
  <c r="K267" i="6"/>
  <c r="H267" i="6"/>
  <c r="I267" i="6" s="1"/>
  <c r="F267" i="6"/>
  <c r="E267" i="6"/>
  <c r="C267" i="6"/>
  <c r="B267" i="6"/>
  <c r="N267" i="6" s="1"/>
  <c r="O267" i="6" s="1"/>
  <c r="AD266" i="6"/>
  <c r="AC266" i="6"/>
  <c r="AA266" i="6"/>
  <c r="X266" i="6"/>
  <c r="W266" i="6"/>
  <c r="U266" i="6"/>
  <c r="R266" i="6"/>
  <c r="N266" i="6"/>
  <c r="O266" i="6" s="1"/>
  <c r="L266" i="6"/>
  <c r="H266" i="6"/>
  <c r="I266" i="6" s="1"/>
  <c r="F266" i="6"/>
  <c r="C266" i="6"/>
  <c r="AD265" i="6"/>
  <c r="AC265" i="6"/>
  <c r="AA265" i="6"/>
  <c r="W265" i="6"/>
  <c r="X265" i="6" s="1"/>
  <c r="U265" i="6"/>
  <c r="R265" i="6"/>
  <c r="N265" i="6"/>
  <c r="O265" i="6" s="1"/>
  <c r="L265" i="6"/>
  <c r="I265" i="6"/>
  <c r="H265" i="6"/>
  <c r="F265" i="6"/>
  <c r="C265" i="6"/>
  <c r="AA263" i="6"/>
  <c r="Z263" i="6"/>
  <c r="T263" i="6"/>
  <c r="U263" i="6" s="1"/>
  <c r="R263" i="6"/>
  <c r="Q263" i="6"/>
  <c r="L263" i="6"/>
  <c r="K263" i="6"/>
  <c r="E263" i="6"/>
  <c r="F263" i="6" s="1"/>
  <c r="C263" i="6"/>
  <c r="B263" i="6"/>
  <c r="N263" i="6" s="1"/>
  <c r="O263" i="6" s="1"/>
  <c r="Z262" i="6"/>
  <c r="AA262" i="6" s="1"/>
  <c r="W262" i="6"/>
  <c r="X262" i="6" s="1"/>
  <c r="U262" i="6"/>
  <c r="T262" i="6"/>
  <c r="R262" i="6"/>
  <c r="Q262" i="6"/>
  <c r="AC262" i="6" s="1"/>
  <c r="AD262" i="6" s="1"/>
  <c r="K262" i="6"/>
  <c r="L262" i="6" s="1"/>
  <c r="F262" i="6"/>
  <c r="E262" i="6"/>
  <c r="B262" i="6"/>
  <c r="AD261" i="6"/>
  <c r="AC261" i="6"/>
  <c r="AA261" i="6"/>
  <c r="W261" i="6"/>
  <c r="X261" i="6" s="1"/>
  <c r="U261" i="6"/>
  <c r="R261" i="6"/>
  <c r="N261" i="6"/>
  <c r="O261" i="6" s="1"/>
  <c r="L261" i="6"/>
  <c r="I261" i="6"/>
  <c r="H261" i="6"/>
  <c r="F261" i="6"/>
  <c r="C261" i="6"/>
  <c r="AC260" i="6"/>
  <c r="AD260" i="6" s="1"/>
  <c r="AA260" i="6"/>
  <c r="X260" i="6"/>
  <c r="W260" i="6"/>
  <c r="U260" i="6"/>
  <c r="R260" i="6"/>
  <c r="N260" i="6"/>
  <c r="O260" i="6" s="1"/>
  <c r="L260" i="6"/>
  <c r="H260" i="6"/>
  <c r="I260" i="6" s="1"/>
  <c r="F260" i="6"/>
  <c r="C260" i="6"/>
  <c r="AD259" i="6"/>
  <c r="AC259" i="6"/>
  <c r="AA259" i="6"/>
  <c r="X259" i="6"/>
  <c r="W259" i="6"/>
  <c r="U259" i="6"/>
  <c r="R259" i="6"/>
  <c r="N259" i="6"/>
  <c r="O259" i="6" s="1"/>
  <c r="L259" i="6"/>
  <c r="H259" i="6"/>
  <c r="I259" i="6" s="1"/>
  <c r="F259" i="6"/>
  <c r="C259" i="6"/>
  <c r="AD258" i="6"/>
  <c r="AC258" i="6"/>
  <c r="AA258" i="6"/>
  <c r="W258" i="6"/>
  <c r="X258" i="6" s="1"/>
  <c r="U258" i="6"/>
  <c r="R258" i="6"/>
  <c r="N258" i="6"/>
  <c r="O258" i="6" s="1"/>
  <c r="L258" i="6"/>
  <c r="I258" i="6"/>
  <c r="H258" i="6"/>
  <c r="F258" i="6"/>
  <c r="C258" i="6"/>
  <c r="AC257" i="6"/>
  <c r="AD257" i="6" s="1"/>
  <c r="AA257" i="6"/>
  <c r="W257" i="6"/>
  <c r="X257" i="6" s="1"/>
  <c r="U257" i="6"/>
  <c r="R257" i="6"/>
  <c r="O257" i="6"/>
  <c r="N257" i="6"/>
  <c r="L257" i="6"/>
  <c r="I257" i="6"/>
  <c r="H257" i="6"/>
  <c r="F257" i="6"/>
  <c r="C257" i="6"/>
  <c r="AC256" i="6"/>
  <c r="AD256" i="6" s="1"/>
  <c r="AA256" i="6"/>
  <c r="W256" i="6"/>
  <c r="X256" i="6" s="1"/>
  <c r="U256" i="6"/>
  <c r="R256" i="6"/>
  <c r="N256" i="6"/>
  <c r="O256" i="6" s="1"/>
  <c r="L256" i="6"/>
  <c r="I256" i="6"/>
  <c r="H256" i="6"/>
  <c r="F256" i="6"/>
  <c r="C256" i="6"/>
  <c r="AD255" i="6"/>
  <c r="AC255" i="6"/>
  <c r="AA255" i="6"/>
  <c r="X255" i="6"/>
  <c r="W255" i="6"/>
  <c r="U255" i="6"/>
  <c r="R255" i="6"/>
  <c r="N255" i="6"/>
  <c r="O255" i="6" s="1"/>
  <c r="L255" i="6"/>
  <c r="H255" i="6"/>
  <c r="I255" i="6" s="1"/>
  <c r="F255" i="6"/>
  <c r="C255" i="6"/>
  <c r="AD254" i="6"/>
  <c r="AC254" i="6"/>
  <c r="AA254" i="6"/>
  <c r="W254" i="6"/>
  <c r="X254" i="6" s="1"/>
  <c r="U254" i="6"/>
  <c r="R254" i="6"/>
  <c r="N254" i="6"/>
  <c r="O254" i="6" s="1"/>
  <c r="L254" i="6"/>
  <c r="I254" i="6"/>
  <c r="H254" i="6"/>
  <c r="F254" i="6"/>
  <c r="C254" i="6"/>
  <c r="AD253" i="6"/>
  <c r="AC253" i="6"/>
  <c r="AA253" i="6"/>
  <c r="W253" i="6"/>
  <c r="X253" i="6" s="1"/>
  <c r="U253" i="6"/>
  <c r="R253" i="6"/>
  <c r="N253" i="6"/>
  <c r="O253" i="6" s="1"/>
  <c r="L253" i="6"/>
  <c r="I253" i="6"/>
  <c r="H253" i="6"/>
  <c r="F253" i="6"/>
  <c r="C253" i="6"/>
  <c r="AC252" i="6"/>
  <c r="AD252" i="6" s="1"/>
  <c r="AA252" i="6"/>
  <c r="W252" i="6"/>
  <c r="X252" i="6" s="1"/>
  <c r="U252" i="6"/>
  <c r="R252" i="6"/>
  <c r="N252" i="6"/>
  <c r="O252" i="6" s="1"/>
  <c r="L252" i="6"/>
  <c r="H252" i="6"/>
  <c r="I252" i="6" s="1"/>
  <c r="F252" i="6"/>
  <c r="C252" i="6"/>
  <c r="AD251" i="6"/>
  <c r="AC251" i="6"/>
  <c r="AA251" i="6"/>
  <c r="X251" i="6"/>
  <c r="W251" i="6"/>
  <c r="U251" i="6"/>
  <c r="R251" i="6"/>
  <c r="N251" i="6"/>
  <c r="O251" i="6" s="1"/>
  <c r="L251" i="6"/>
  <c r="H251" i="6"/>
  <c r="I251" i="6" s="1"/>
  <c r="F251" i="6"/>
  <c r="C251" i="6"/>
  <c r="AD250" i="6"/>
  <c r="AC250" i="6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C249" i="6"/>
  <c r="AD249" i="6" s="1"/>
  <c r="AA249" i="6"/>
  <c r="W249" i="6"/>
  <c r="X249" i="6" s="1"/>
  <c r="U249" i="6"/>
  <c r="R249" i="6"/>
  <c r="O249" i="6"/>
  <c r="N249" i="6"/>
  <c r="L249" i="6"/>
  <c r="I249" i="6"/>
  <c r="H249" i="6"/>
  <c r="F249" i="6"/>
  <c r="C249" i="6"/>
  <c r="AC248" i="6"/>
  <c r="AD248" i="6" s="1"/>
  <c r="AA248" i="6"/>
  <c r="W248" i="6"/>
  <c r="X248" i="6" s="1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W247" i="6"/>
  <c r="X247" i="6" s="1"/>
  <c r="U247" i="6"/>
  <c r="R247" i="6"/>
  <c r="N247" i="6"/>
  <c r="O247" i="6" s="1"/>
  <c r="L247" i="6"/>
  <c r="H247" i="6"/>
  <c r="I247" i="6" s="1"/>
  <c r="F247" i="6"/>
  <c r="C247" i="6"/>
  <c r="AD246" i="6"/>
  <c r="AC246" i="6"/>
  <c r="AA246" i="6"/>
  <c r="W246" i="6"/>
  <c r="X246" i="6" s="1"/>
  <c r="U246" i="6"/>
  <c r="R246" i="6"/>
  <c r="N246" i="6"/>
  <c r="O246" i="6" s="1"/>
  <c r="L246" i="6"/>
  <c r="I246" i="6"/>
  <c r="H246" i="6"/>
  <c r="F246" i="6"/>
  <c r="C246" i="6"/>
  <c r="AD245" i="6"/>
  <c r="AC245" i="6"/>
  <c r="AA245" i="6"/>
  <c r="W245" i="6"/>
  <c r="X245" i="6" s="1"/>
  <c r="U245" i="6"/>
  <c r="R245" i="6"/>
  <c r="N245" i="6"/>
  <c r="O245" i="6" s="1"/>
  <c r="L245" i="6"/>
  <c r="I245" i="6"/>
  <c r="H245" i="6"/>
  <c r="F245" i="6"/>
  <c r="C245" i="6"/>
  <c r="AC244" i="6"/>
  <c r="AD244" i="6" s="1"/>
  <c r="AA244" i="6"/>
  <c r="W244" i="6"/>
  <c r="X244" i="6" s="1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X243" i="6"/>
  <c r="W243" i="6"/>
  <c r="U243" i="6"/>
  <c r="R243" i="6"/>
  <c r="N243" i="6"/>
  <c r="O243" i="6" s="1"/>
  <c r="L243" i="6"/>
  <c r="H243" i="6"/>
  <c r="I243" i="6" s="1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C241" i="6"/>
  <c r="AD241" i="6" s="1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C240" i="6"/>
  <c r="AD240" i="6" s="1"/>
  <c r="AA240" i="6"/>
  <c r="W240" i="6"/>
  <c r="X240" i="6" s="1"/>
  <c r="U240" i="6"/>
  <c r="R240" i="6"/>
  <c r="N240" i="6"/>
  <c r="O240" i="6" s="1"/>
  <c r="L240" i="6"/>
  <c r="I240" i="6"/>
  <c r="H240" i="6"/>
  <c r="F240" i="6"/>
  <c r="C240" i="6"/>
  <c r="AD238" i="6"/>
  <c r="AC238" i="6"/>
  <c r="AA238" i="6"/>
  <c r="W238" i="6"/>
  <c r="X238" i="6" s="1"/>
  <c r="U238" i="6"/>
  <c r="R238" i="6"/>
  <c r="N238" i="6"/>
  <c r="O238" i="6" s="1"/>
  <c r="L238" i="6"/>
  <c r="H238" i="6"/>
  <c r="I238" i="6" s="1"/>
  <c r="F238" i="6"/>
  <c r="C238" i="6"/>
  <c r="AA236" i="6"/>
  <c r="Z236" i="6"/>
  <c r="T236" i="6"/>
  <c r="W236" i="6" s="1"/>
  <c r="X236" i="6" s="1"/>
  <c r="R236" i="6"/>
  <c r="Q236" i="6"/>
  <c r="AC236" i="6" s="1"/>
  <c r="AD236" i="6" s="1"/>
  <c r="K236" i="6"/>
  <c r="L236" i="6" s="1"/>
  <c r="H236" i="6"/>
  <c r="I236" i="6" s="1"/>
  <c r="F236" i="6"/>
  <c r="E236" i="6"/>
  <c r="C236" i="6"/>
  <c r="B236" i="6"/>
  <c r="AC235" i="6"/>
  <c r="AD235" i="6" s="1"/>
  <c r="AA235" i="6"/>
  <c r="W235" i="6"/>
  <c r="X235" i="6" s="1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X234" i="6"/>
  <c r="W234" i="6"/>
  <c r="U234" i="6"/>
  <c r="R234" i="6"/>
  <c r="N234" i="6"/>
  <c r="O234" i="6" s="1"/>
  <c r="L234" i="6"/>
  <c r="H234" i="6"/>
  <c r="I234" i="6" s="1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I233" i="6"/>
  <c r="H233" i="6"/>
  <c r="F233" i="6"/>
  <c r="C233" i="6"/>
  <c r="AD232" i="6"/>
  <c r="AC232" i="6"/>
  <c r="AA232" i="6"/>
  <c r="W232" i="6"/>
  <c r="X232" i="6" s="1"/>
  <c r="U232" i="6"/>
  <c r="R232" i="6"/>
  <c r="N232" i="6"/>
  <c r="O232" i="6" s="1"/>
  <c r="L232" i="6"/>
  <c r="I232" i="6"/>
  <c r="H232" i="6"/>
  <c r="F232" i="6"/>
  <c r="C232" i="6"/>
  <c r="AC231" i="6"/>
  <c r="AD231" i="6" s="1"/>
  <c r="AA231" i="6"/>
  <c r="W231" i="6"/>
  <c r="X231" i="6" s="1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X230" i="6"/>
  <c r="W230" i="6"/>
  <c r="U230" i="6"/>
  <c r="R230" i="6"/>
  <c r="N230" i="6"/>
  <c r="O230" i="6" s="1"/>
  <c r="L230" i="6"/>
  <c r="H230" i="6"/>
  <c r="I230" i="6" s="1"/>
  <c r="F230" i="6"/>
  <c r="C230" i="6"/>
  <c r="AD229" i="6"/>
  <c r="AC229" i="6"/>
  <c r="AA229" i="6"/>
  <c r="W229" i="6"/>
  <c r="X229" i="6" s="1"/>
  <c r="U229" i="6"/>
  <c r="R229" i="6"/>
  <c r="N229" i="6"/>
  <c r="O229" i="6" s="1"/>
  <c r="L229" i="6"/>
  <c r="I229" i="6"/>
  <c r="H229" i="6"/>
  <c r="F229" i="6"/>
  <c r="C229" i="6"/>
  <c r="AD227" i="6"/>
  <c r="AC227" i="6"/>
  <c r="AA227" i="6"/>
  <c r="Z227" i="6"/>
  <c r="T227" i="6"/>
  <c r="U227" i="6" s="1"/>
  <c r="R227" i="6"/>
  <c r="Q227" i="6"/>
  <c r="O227" i="6"/>
  <c r="L227" i="6"/>
  <c r="K227" i="6"/>
  <c r="E227" i="6"/>
  <c r="C227" i="6"/>
  <c r="B227" i="6"/>
  <c r="N227" i="6" s="1"/>
  <c r="AD226" i="6"/>
  <c r="AC226" i="6"/>
  <c r="AA226" i="6"/>
  <c r="W226" i="6"/>
  <c r="X226" i="6" s="1"/>
  <c r="U226" i="6"/>
  <c r="R226" i="6"/>
  <c r="N226" i="6"/>
  <c r="O226" i="6" s="1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O225" i="6"/>
  <c r="N225" i="6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N224" i="6"/>
  <c r="O224" i="6" s="1"/>
  <c r="L224" i="6"/>
  <c r="I224" i="6"/>
  <c r="H224" i="6"/>
  <c r="F224" i="6"/>
  <c r="C224" i="6"/>
  <c r="AC223" i="6"/>
  <c r="AD223" i="6" s="1"/>
  <c r="AA223" i="6"/>
  <c r="X223" i="6"/>
  <c r="W223" i="6"/>
  <c r="U223" i="6"/>
  <c r="R223" i="6"/>
  <c r="N223" i="6"/>
  <c r="O223" i="6" s="1"/>
  <c r="L223" i="6"/>
  <c r="I223" i="6"/>
  <c r="H223" i="6"/>
  <c r="F223" i="6"/>
  <c r="C223" i="6"/>
  <c r="AD222" i="6"/>
  <c r="AC222" i="6"/>
  <c r="AA222" i="6"/>
  <c r="X222" i="6"/>
  <c r="W222" i="6"/>
  <c r="U222" i="6"/>
  <c r="R222" i="6"/>
  <c r="N222" i="6"/>
  <c r="O222" i="6" s="1"/>
  <c r="L222" i="6"/>
  <c r="H222" i="6"/>
  <c r="I222" i="6" s="1"/>
  <c r="F222" i="6"/>
  <c r="C222" i="6"/>
  <c r="AD221" i="6"/>
  <c r="AC221" i="6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C220" i="6"/>
  <c r="AD220" i="6" s="1"/>
  <c r="AA220" i="6"/>
  <c r="W220" i="6"/>
  <c r="X220" i="6" s="1"/>
  <c r="U220" i="6"/>
  <c r="R220" i="6"/>
  <c r="N220" i="6"/>
  <c r="O220" i="6" s="1"/>
  <c r="L220" i="6"/>
  <c r="I220" i="6"/>
  <c r="H220" i="6"/>
  <c r="F220" i="6"/>
  <c r="C220" i="6"/>
  <c r="AC219" i="6"/>
  <c r="AD219" i="6" s="1"/>
  <c r="AA219" i="6"/>
  <c r="X219" i="6"/>
  <c r="W219" i="6"/>
  <c r="U219" i="6"/>
  <c r="R219" i="6"/>
  <c r="N219" i="6"/>
  <c r="O219" i="6" s="1"/>
  <c r="L219" i="6"/>
  <c r="H219" i="6"/>
  <c r="I219" i="6" s="1"/>
  <c r="F219" i="6"/>
  <c r="C219" i="6"/>
  <c r="Z218" i="6"/>
  <c r="AA218" i="6" s="1"/>
  <c r="X218" i="6"/>
  <c r="W218" i="6"/>
  <c r="U218" i="6"/>
  <c r="T218" i="6"/>
  <c r="R218" i="6"/>
  <c r="Q218" i="6"/>
  <c r="K218" i="6"/>
  <c r="L218" i="6" s="1"/>
  <c r="F218" i="6"/>
  <c r="E218" i="6"/>
  <c r="B218" i="6"/>
  <c r="AC217" i="6"/>
  <c r="AD217" i="6" s="1"/>
  <c r="AA217" i="6"/>
  <c r="W217" i="6"/>
  <c r="X217" i="6" s="1"/>
  <c r="U217" i="6"/>
  <c r="R217" i="6"/>
  <c r="N217" i="6"/>
  <c r="O217" i="6" s="1"/>
  <c r="L217" i="6"/>
  <c r="I217" i="6"/>
  <c r="H217" i="6"/>
  <c r="F217" i="6"/>
  <c r="C217" i="6"/>
  <c r="AC216" i="6"/>
  <c r="AD216" i="6" s="1"/>
  <c r="AA216" i="6"/>
  <c r="X216" i="6"/>
  <c r="W216" i="6"/>
  <c r="U216" i="6"/>
  <c r="R216" i="6"/>
  <c r="N216" i="6"/>
  <c r="O216" i="6" s="1"/>
  <c r="L216" i="6"/>
  <c r="I216" i="6"/>
  <c r="H216" i="6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H215" i="6"/>
  <c r="I215" i="6" s="1"/>
  <c r="F215" i="6"/>
  <c r="C215" i="6"/>
  <c r="AD214" i="6"/>
  <c r="AC214" i="6"/>
  <c r="AA214" i="6"/>
  <c r="W214" i="6"/>
  <c r="X214" i="6" s="1"/>
  <c r="U214" i="6"/>
  <c r="R214" i="6"/>
  <c r="O214" i="6"/>
  <c r="N214" i="6"/>
  <c r="L214" i="6"/>
  <c r="I214" i="6"/>
  <c r="H214" i="6"/>
  <c r="F214" i="6"/>
  <c r="C214" i="6"/>
  <c r="AC213" i="6"/>
  <c r="AD213" i="6" s="1"/>
  <c r="AA213" i="6"/>
  <c r="W213" i="6"/>
  <c r="X213" i="6" s="1"/>
  <c r="U213" i="6"/>
  <c r="R213" i="6"/>
  <c r="N213" i="6"/>
  <c r="O213" i="6" s="1"/>
  <c r="L213" i="6"/>
  <c r="I213" i="6"/>
  <c r="H213" i="6"/>
  <c r="F213" i="6"/>
  <c r="C213" i="6"/>
  <c r="AC211" i="6"/>
  <c r="AD211" i="6" s="1"/>
  <c r="AA211" i="6"/>
  <c r="W211" i="6"/>
  <c r="X211" i="6" s="1"/>
  <c r="U211" i="6"/>
  <c r="R211" i="6"/>
  <c r="N211" i="6"/>
  <c r="O211" i="6" s="1"/>
  <c r="L211" i="6"/>
  <c r="I211" i="6"/>
  <c r="H211" i="6"/>
  <c r="F211" i="6"/>
  <c r="C211" i="6"/>
  <c r="Z209" i="6"/>
  <c r="AA209" i="6" s="1"/>
  <c r="W209" i="6"/>
  <c r="X209" i="6" s="1"/>
  <c r="U209" i="6"/>
  <c r="T209" i="6"/>
  <c r="R209" i="6"/>
  <c r="Q209" i="6"/>
  <c r="AC209" i="6" s="1"/>
  <c r="AD209" i="6" s="1"/>
  <c r="N209" i="6"/>
  <c r="O209" i="6" s="1"/>
  <c r="K209" i="6"/>
  <c r="L209" i="6" s="1"/>
  <c r="F209" i="6"/>
  <c r="E209" i="6"/>
  <c r="B209" i="6"/>
  <c r="AC208" i="6"/>
  <c r="AD208" i="6" s="1"/>
  <c r="AA208" i="6"/>
  <c r="W208" i="6"/>
  <c r="X208" i="6" s="1"/>
  <c r="U208" i="6"/>
  <c r="R208" i="6"/>
  <c r="N208" i="6"/>
  <c r="O208" i="6" s="1"/>
  <c r="L208" i="6"/>
  <c r="I208" i="6"/>
  <c r="H208" i="6"/>
  <c r="F208" i="6"/>
  <c r="C208" i="6"/>
  <c r="AC207" i="6"/>
  <c r="AD207" i="6" s="1"/>
  <c r="AA207" i="6"/>
  <c r="W207" i="6"/>
  <c r="X207" i="6" s="1"/>
  <c r="U207" i="6"/>
  <c r="R207" i="6"/>
  <c r="N207" i="6"/>
  <c r="O207" i="6" s="1"/>
  <c r="L207" i="6"/>
  <c r="I207" i="6"/>
  <c r="H207" i="6"/>
  <c r="F207" i="6"/>
  <c r="C207" i="6"/>
  <c r="AD206" i="6"/>
  <c r="AC206" i="6"/>
  <c r="AA206" i="6"/>
  <c r="X206" i="6"/>
  <c r="W206" i="6"/>
  <c r="U206" i="6"/>
  <c r="R206" i="6"/>
  <c r="N206" i="6"/>
  <c r="O206" i="6" s="1"/>
  <c r="L206" i="6"/>
  <c r="H206" i="6"/>
  <c r="I206" i="6" s="1"/>
  <c r="F206" i="6"/>
  <c r="C206" i="6"/>
  <c r="AD205" i="6"/>
  <c r="AC205" i="6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C204" i="6"/>
  <c r="AD204" i="6" s="1"/>
  <c r="AA204" i="6"/>
  <c r="W204" i="6"/>
  <c r="X204" i="6" s="1"/>
  <c r="U204" i="6"/>
  <c r="R204" i="6"/>
  <c r="O204" i="6"/>
  <c r="N204" i="6"/>
  <c r="L204" i="6"/>
  <c r="I204" i="6"/>
  <c r="H204" i="6"/>
  <c r="F204" i="6"/>
  <c r="C204" i="6"/>
  <c r="AC203" i="6"/>
  <c r="AD203" i="6" s="1"/>
  <c r="AA203" i="6"/>
  <c r="X203" i="6"/>
  <c r="W203" i="6"/>
  <c r="U203" i="6"/>
  <c r="R203" i="6"/>
  <c r="N203" i="6"/>
  <c r="O203" i="6" s="1"/>
  <c r="L203" i="6"/>
  <c r="H203" i="6"/>
  <c r="I203" i="6" s="1"/>
  <c r="F203" i="6"/>
  <c r="C203" i="6"/>
  <c r="AD202" i="6"/>
  <c r="AC202" i="6"/>
  <c r="AA202" i="6"/>
  <c r="W202" i="6"/>
  <c r="X202" i="6" s="1"/>
  <c r="U202" i="6"/>
  <c r="R202" i="6"/>
  <c r="N202" i="6"/>
  <c r="O202" i="6" s="1"/>
  <c r="L202" i="6"/>
  <c r="H202" i="6"/>
  <c r="I202" i="6" s="1"/>
  <c r="F202" i="6"/>
  <c r="C202" i="6"/>
  <c r="AD201" i="6"/>
  <c r="AC201" i="6"/>
  <c r="AA201" i="6"/>
  <c r="W201" i="6"/>
  <c r="X201" i="6" s="1"/>
  <c r="U201" i="6"/>
  <c r="R201" i="6"/>
  <c r="O201" i="6"/>
  <c r="N201" i="6"/>
  <c r="L201" i="6"/>
  <c r="I201" i="6"/>
  <c r="H201" i="6"/>
  <c r="F201" i="6"/>
  <c r="C201" i="6"/>
  <c r="AD197" i="6"/>
  <c r="Z197" i="6"/>
  <c r="AA197" i="6" s="1"/>
  <c r="W197" i="6"/>
  <c r="X197" i="6" s="1"/>
  <c r="U197" i="6"/>
  <c r="T197" i="6"/>
  <c r="R197" i="6"/>
  <c r="Q197" i="6"/>
  <c r="AC197" i="6" s="1"/>
  <c r="N197" i="6"/>
  <c r="O197" i="6" s="1"/>
  <c r="K197" i="6"/>
  <c r="L197" i="6" s="1"/>
  <c r="F197" i="6"/>
  <c r="E197" i="6"/>
  <c r="B197" i="6"/>
  <c r="AD196" i="6"/>
  <c r="AC196" i="6"/>
  <c r="AA196" i="6"/>
  <c r="Z196" i="6"/>
  <c r="T196" i="6"/>
  <c r="U196" i="6" s="1"/>
  <c r="Q196" i="6"/>
  <c r="O196" i="6"/>
  <c r="L196" i="6"/>
  <c r="K196" i="6"/>
  <c r="H196" i="6"/>
  <c r="I196" i="6" s="1"/>
  <c r="F196" i="6"/>
  <c r="E196" i="6"/>
  <c r="C196" i="6"/>
  <c r="B196" i="6"/>
  <c r="N196" i="6" s="1"/>
  <c r="AD195" i="6"/>
  <c r="AC195" i="6"/>
  <c r="AA195" i="6"/>
  <c r="X195" i="6"/>
  <c r="W195" i="6"/>
  <c r="U195" i="6"/>
  <c r="R195" i="6"/>
  <c r="N195" i="6"/>
  <c r="O195" i="6" s="1"/>
  <c r="L195" i="6"/>
  <c r="H195" i="6"/>
  <c r="I195" i="6" s="1"/>
  <c r="F195" i="6"/>
  <c r="C195" i="6"/>
  <c r="AD194" i="6"/>
  <c r="AC194" i="6"/>
  <c r="AA194" i="6"/>
  <c r="W194" i="6"/>
  <c r="X194" i="6" s="1"/>
  <c r="U194" i="6"/>
  <c r="R194" i="6"/>
  <c r="N194" i="6"/>
  <c r="O194" i="6" s="1"/>
  <c r="L194" i="6"/>
  <c r="I194" i="6"/>
  <c r="H194" i="6"/>
  <c r="F194" i="6"/>
  <c r="C194" i="6"/>
  <c r="AA193" i="6"/>
  <c r="Z193" i="6"/>
  <c r="T193" i="6"/>
  <c r="U193" i="6" s="1"/>
  <c r="Q193" i="6"/>
  <c r="O193" i="6"/>
  <c r="L193" i="6"/>
  <c r="K193" i="6"/>
  <c r="H193" i="6"/>
  <c r="I193" i="6" s="1"/>
  <c r="F193" i="6"/>
  <c r="E193" i="6"/>
  <c r="C193" i="6"/>
  <c r="B193" i="6"/>
  <c r="N193" i="6" s="1"/>
  <c r="AD192" i="6"/>
  <c r="AC192" i="6"/>
  <c r="AA192" i="6"/>
  <c r="X192" i="6"/>
  <c r="W192" i="6"/>
  <c r="U192" i="6"/>
  <c r="R192" i="6"/>
  <c r="N192" i="6"/>
  <c r="O192" i="6" s="1"/>
  <c r="L192" i="6"/>
  <c r="H192" i="6"/>
  <c r="I192" i="6" s="1"/>
  <c r="F192" i="6"/>
  <c r="C192" i="6"/>
  <c r="AD191" i="6"/>
  <c r="AC191" i="6"/>
  <c r="AA191" i="6"/>
  <c r="W191" i="6"/>
  <c r="X191" i="6" s="1"/>
  <c r="U191" i="6"/>
  <c r="R191" i="6"/>
  <c r="N191" i="6"/>
  <c r="O191" i="6" s="1"/>
  <c r="L191" i="6"/>
  <c r="I191" i="6"/>
  <c r="H191" i="6"/>
  <c r="F191" i="6"/>
  <c r="C191" i="6"/>
  <c r="AC190" i="6"/>
  <c r="AD190" i="6" s="1"/>
  <c r="AA190" i="6"/>
  <c r="W190" i="6"/>
  <c r="X190" i="6" s="1"/>
  <c r="U190" i="6"/>
  <c r="R190" i="6"/>
  <c r="N190" i="6"/>
  <c r="O190" i="6" s="1"/>
  <c r="L190" i="6"/>
  <c r="I190" i="6"/>
  <c r="H190" i="6"/>
  <c r="F190" i="6"/>
  <c r="C190" i="6"/>
  <c r="AC189" i="6"/>
  <c r="AD189" i="6" s="1"/>
  <c r="AA189" i="6"/>
  <c r="X189" i="6"/>
  <c r="W189" i="6"/>
  <c r="U189" i="6"/>
  <c r="R189" i="6"/>
  <c r="N189" i="6"/>
  <c r="O189" i="6" s="1"/>
  <c r="L189" i="6"/>
  <c r="H189" i="6"/>
  <c r="I189" i="6" s="1"/>
  <c r="F189" i="6"/>
  <c r="C189" i="6"/>
  <c r="AD188" i="6"/>
  <c r="AC188" i="6"/>
  <c r="AA188" i="6"/>
  <c r="W188" i="6"/>
  <c r="X188" i="6" s="1"/>
  <c r="U188" i="6"/>
  <c r="R188" i="6"/>
  <c r="N188" i="6"/>
  <c r="O188" i="6" s="1"/>
  <c r="L188" i="6"/>
  <c r="H188" i="6"/>
  <c r="I188" i="6" s="1"/>
  <c r="F188" i="6"/>
  <c r="C188" i="6"/>
  <c r="AD187" i="6"/>
  <c r="AC187" i="6"/>
  <c r="AA187" i="6"/>
  <c r="W187" i="6"/>
  <c r="X187" i="6" s="1"/>
  <c r="U187" i="6"/>
  <c r="R187" i="6"/>
  <c r="O187" i="6"/>
  <c r="N187" i="6"/>
  <c r="L187" i="6"/>
  <c r="I187" i="6"/>
  <c r="H187" i="6"/>
  <c r="F187" i="6"/>
  <c r="C187" i="6"/>
  <c r="AD186" i="6"/>
  <c r="AC186" i="6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C184" i="6"/>
  <c r="AD184" i="6" s="1"/>
  <c r="AA184" i="6"/>
  <c r="W184" i="6"/>
  <c r="X184" i="6" s="1"/>
  <c r="U184" i="6"/>
  <c r="R184" i="6"/>
  <c r="N184" i="6"/>
  <c r="O184" i="6" s="1"/>
  <c r="L184" i="6"/>
  <c r="I184" i="6"/>
  <c r="H184" i="6"/>
  <c r="F184" i="6"/>
  <c r="C184" i="6"/>
  <c r="AD183" i="6"/>
  <c r="AC183" i="6"/>
  <c r="AA183" i="6"/>
  <c r="X183" i="6"/>
  <c r="W183" i="6"/>
  <c r="U183" i="6"/>
  <c r="R183" i="6"/>
  <c r="N183" i="6"/>
  <c r="O183" i="6" s="1"/>
  <c r="L183" i="6"/>
  <c r="H183" i="6"/>
  <c r="I183" i="6" s="1"/>
  <c r="F183" i="6"/>
  <c r="C183" i="6"/>
  <c r="AA182" i="6"/>
  <c r="Z182" i="6"/>
  <c r="W182" i="6"/>
  <c r="X182" i="6" s="1"/>
  <c r="U182" i="6"/>
  <c r="T182" i="6"/>
  <c r="R182" i="6"/>
  <c r="Q182" i="6"/>
  <c r="AC182" i="6" s="1"/>
  <c r="AD182" i="6" s="1"/>
  <c r="K182" i="6"/>
  <c r="L182" i="6" s="1"/>
  <c r="H182" i="6"/>
  <c r="I182" i="6" s="1"/>
  <c r="F182" i="6"/>
  <c r="E182" i="6"/>
  <c r="C182" i="6"/>
  <c r="B182" i="6"/>
  <c r="N182" i="6" s="1"/>
  <c r="O182" i="6" s="1"/>
  <c r="AC181" i="6"/>
  <c r="AD181" i="6" s="1"/>
  <c r="AA181" i="6"/>
  <c r="W181" i="6"/>
  <c r="X181" i="6" s="1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X180" i="6"/>
  <c r="W180" i="6"/>
  <c r="U180" i="6"/>
  <c r="R180" i="6"/>
  <c r="N180" i="6"/>
  <c r="O180" i="6" s="1"/>
  <c r="L180" i="6"/>
  <c r="H180" i="6"/>
  <c r="I180" i="6" s="1"/>
  <c r="F180" i="6"/>
  <c r="C180" i="6"/>
  <c r="AD179" i="6"/>
  <c r="AC179" i="6"/>
  <c r="AA179" i="6"/>
  <c r="W179" i="6"/>
  <c r="X179" i="6" s="1"/>
  <c r="U179" i="6"/>
  <c r="R179" i="6"/>
  <c r="N179" i="6"/>
  <c r="O179" i="6" s="1"/>
  <c r="L179" i="6"/>
  <c r="I179" i="6"/>
  <c r="H179" i="6"/>
  <c r="F179" i="6"/>
  <c r="C179" i="6"/>
  <c r="AC178" i="6"/>
  <c r="AD178" i="6" s="1"/>
  <c r="AA178" i="6"/>
  <c r="W178" i="6"/>
  <c r="X178" i="6" s="1"/>
  <c r="U178" i="6"/>
  <c r="R178" i="6"/>
  <c r="N178" i="6"/>
  <c r="O178" i="6" s="1"/>
  <c r="L178" i="6"/>
  <c r="I178" i="6"/>
  <c r="H178" i="6"/>
  <c r="F178" i="6"/>
  <c r="C178" i="6"/>
  <c r="AC177" i="6"/>
  <c r="AD177" i="6" s="1"/>
  <c r="AA177" i="6"/>
  <c r="X177" i="6"/>
  <c r="W177" i="6"/>
  <c r="U177" i="6"/>
  <c r="R177" i="6"/>
  <c r="N177" i="6"/>
  <c r="O177" i="6" s="1"/>
  <c r="L177" i="6"/>
  <c r="H177" i="6"/>
  <c r="I177" i="6" s="1"/>
  <c r="F177" i="6"/>
  <c r="C177" i="6"/>
  <c r="AD175" i="6"/>
  <c r="AC175" i="6"/>
  <c r="AA175" i="6"/>
  <c r="W175" i="6"/>
  <c r="X175" i="6" s="1"/>
  <c r="U175" i="6"/>
  <c r="R175" i="6"/>
  <c r="N175" i="6"/>
  <c r="O175" i="6" s="1"/>
  <c r="L175" i="6"/>
  <c r="H175" i="6"/>
  <c r="I175" i="6" s="1"/>
  <c r="F175" i="6"/>
  <c r="C175" i="6"/>
  <c r="K172" i="6"/>
  <c r="Z171" i="6"/>
  <c r="AA171" i="6" s="1"/>
  <c r="U171" i="6"/>
  <c r="T171" i="6"/>
  <c r="Q171" i="6"/>
  <c r="L171" i="6"/>
  <c r="K171" i="6"/>
  <c r="E171" i="6"/>
  <c r="F171" i="6" s="1"/>
  <c r="B171" i="6"/>
  <c r="AA170" i="6"/>
  <c r="Z170" i="6"/>
  <c r="W170" i="6"/>
  <c r="X170" i="6" s="1"/>
  <c r="T170" i="6"/>
  <c r="U170" i="6" s="1"/>
  <c r="R170" i="6"/>
  <c r="Q170" i="6"/>
  <c r="AC170" i="6" s="1"/>
  <c r="AD170" i="6" s="1"/>
  <c r="K170" i="6"/>
  <c r="L170" i="6" s="1"/>
  <c r="H170" i="6"/>
  <c r="I170" i="6" s="1"/>
  <c r="F170" i="6"/>
  <c r="E170" i="6"/>
  <c r="C170" i="6"/>
  <c r="B170" i="6"/>
  <c r="N170" i="6" s="1"/>
  <c r="O170" i="6" s="1"/>
  <c r="AC169" i="6"/>
  <c r="AD169" i="6" s="1"/>
  <c r="AA169" i="6"/>
  <c r="W169" i="6"/>
  <c r="X169" i="6" s="1"/>
  <c r="U169" i="6"/>
  <c r="R169" i="6"/>
  <c r="O169" i="6"/>
  <c r="N169" i="6"/>
  <c r="L169" i="6"/>
  <c r="H169" i="6"/>
  <c r="I169" i="6" s="1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H168" i="6"/>
  <c r="I168" i="6" s="1"/>
  <c r="F168" i="6"/>
  <c r="C168" i="6"/>
  <c r="AD167" i="6"/>
  <c r="AC167" i="6"/>
  <c r="AA167" i="6"/>
  <c r="X167" i="6"/>
  <c r="W167" i="6"/>
  <c r="U167" i="6"/>
  <c r="R167" i="6"/>
  <c r="N167" i="6"/>
  <c r="O167" i="6" s="1"/>
  <c r="L167" i="6"/>
  <c r="I167" i="6"/>
  <c r="H167" i="6"/>
  <c r="F167" i="6"/>
  <c r="C167" i="6"/>
  <c r="AA166" i="6"/>
  <c r="Z166" i="6"/>
  <c r="T166" i="6"/>
  <c r="U166" i="6" s="1"/>
  <c r="Q166" i="6"/>
  <c r="L166" i="6"/>
  <c r="K166" i="6"/>
  <c r="H166" i="6"/>
  <c r="I166" i="6" s="1"/>
  <c r="F166" i="6"/>
  <c r="E166" i="6"/>
  <c r="C166" i="6"/>
  <c r="B166" i="6"/>
  <c r="N166" i="6" s="1"/>
  <c r="O166" i="6" s="1"/>
  <c r="AD165" i="6"/>
  <c r="AC165" i="6"/>
  <c r="AA165" i="6"/>
  <c r="W165" i="6"/>
  <c r="X165" i="6" s="1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X164" i="6"/>
  <c r="W164" i="6"/>
  <c r="U164" i="6"/>
  <c r="R164" i="6"/>
  <c r="N164" i="6"/>
  <c r="O164" i="6" s="1"/>
  <c r="L164" i="6"/>
  <c r="I164" i="6"/>
  <c r="H164" i="6"/>
  <c r="F164" i="6"/>
  <c r="C164" i="6"/>
  <c r="AC163" i="6"/>
  <c r="AD163" i="6" s="1"/>
  <c r="AA163" i="6"/>
  <c r="W163" i="6"/>
  <c r="X163" i="6" s="1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W162" i="6"/>
  <c r="X162" i="6" s="1"/>
  <c r="U162" i="6"/>
  <c r="R162" i="6"/>
  <c r="O162" i="6"/>
  <c r="N162" i="6"/>
  <c r="L162" i="6"/>
  <c r="I162" i="6"/>
  <c r="H162" i="6"/>
  <c r="F162" i="6"/>
  <c r="C162" i="6"/>
  <c r="AD161" i="6"/>
  <c r="AC161" i="6"/>
  <c r="AA161" i="6"/>
  <c r="X161" i="6"/>
  <c r="W161" i="6"/>
  <c r="U161" i="6"/>
  <c r="R161" i="6"/>
  <c r="N161" i="6"/>
  <c r="O161" i="6" s="1"/>
  <c r="L161" i="6"/>
  <c r="H161" i="6"/>
  <c r="I161" i="6" s="1"/>
  <c r="F161" i="6"/>
  <c r="C161" i="6"/>
  <c r="AD160" i="6"/>
  <c r="AC160" i="6"/>
  <c r="AA160" i="6"/>
  <c r="X160" i="6"/>
  <c r="W160" i="6"/>
  <c r="U160" i="6"/>
  <c r="R160" i="6"/>
  <c r="O160" i="6"/>
  <c r="N160" i="6"/>
  <c r="L160" i="6"/>
  <c r="I160" i="6"/>
  <c r="H160" i="6"/>
  <c r="F160" i="6"/>
  <c r="C160" i="6"/>
  <c r="AC158" i="6"/>
  <c r="AD158" i="6" s="1"/>
  <c r="AA158" i="6"/>
  <c r="Z158" i="6"/>
  <c r="T158" i="6"/>
  <c r="U158" i="6" s="1"/>
  <c r="R158" i="6"/>
  <c r="Q158" i="6"/>
  <c r="O158" i="6"/>
  <c r="L158" i="6"/>
  <c r="K158" i="6"/>
  <c r="E158" i="6"/>
  <c r="C158" i="6"/>
  <c r="B158" i="6"/>
  <c r="N158" i="6" s="1"/>
  <c r="AD157" i="6"/>
  <c r="AC157" i="6"/>
  <c r="AA157" i="6"/>
  <c r="W157" i="6"/>
  <c r="X157" i="6" s="1"/>
  <c r="U157" i="6"/>
  <c r="R157" i="6"/>
  <c r="N157" i="6"/>
  <c r="O157" i="6" s="1"/>
  <c r="L157" i="6"/>
  <c r="H157" i="6"/>
  <c r="I157" i="6" s="1"/>
  <c r="F157" i="6"/>
  <c r="C157" i="6"/>
  <c r="AD156" i="6"/>
  <c r="AC156" i="6"/>
  <c r="AA156" i="6"/>
  <c r="X156" i="6"/>
  <c r="W156" i="6"/>
  <c r="U156" i="6"/>
  <c r="R156" i="6"/>
  <c r="N156" i="6"/>
  <c r="O156" i="6" s="1"/>
  <c r="L156" i="6"/>
  <c r="I156" i="6"/>
  <c r="H156" i="6"/>
  <c r="F156" i="6"/>
  <c r="C156" i="6"/>
  <c r="AD155" i="6"/>
  <c r="AC155" i="6"/>
  <c r="AA155" i="6"/>
  <c r="W155" i="6"/>
  <c r="X155" i="6" s="1"/>
  <c r="U155" i="6"/>
  <c r="R155" i="6"/>
  <c r="O155" i="6"/>
  <c r="N155" i="6"/>
  <c r="L155" i="6"/>
  <c r="I155" i="6"/>
  <c r="H155" i="6"/>
  <c r="F155" i="6"/>
  <c r="C155" i="6"/>
  <c r="AC154" i="6"/>
  <c r="AD154" i="6" s="1"/>
  <c r="AA154" i="6"/>
  <c r="W154" i="6"/>
  <c r="X154" i="6" s="1"/>
  <c r="U154" i="6"/>
  <c r="R154" i="6"/>
  <c r="O154" i="6"/>
  <c r="N154" i="6"/>
  <c r="L154" i="6"/>
  <c r="I154" i="6"/>
  <c r="H154" i="6"/>
  <c r="F154" i="6"/>
  <c r="C154" i="6"/>
  <c r="AD153" i="6"/>
  <c r="AC153" i="6"/>
  <c r="AA153" i="6"/>
  <c r="W153" i="6"/>
  <c r="X153" i="6" s="1"/>
  <c r="U153" i="6"/>
  <c r="R153" i="6"/>
  <c r="N153" i="6"/>
  <c r="O153" i="6" s="1"/>
  <c r="L153" i="6"/>
  <c r="H153" i="6"/>
  <c r="I153" i="6" s="1"/>
  <c r="F153" i="6"/>
  <c r="C153" i="6"/>
  <c r="AD151" i="6"/>
  <c r="AC151" i="6"/>
  <c r="AA151" i="6"/>
  <c r="X151" i="6"/>
  <c r="W151" i="6"/>
  <c r="U151" i="6"/>
  <c r="R151" i="6"/>
  <c r="N151" i="6"/>
  <c r="O151" i="6" s="1"/>
  <c r="L151" i="6"/>
  <c r="I151" i="6"/>
  <c r="H151" i="6"/>
  <c r="F151" i="6"/>
  <c r="C151" i="6"/>
  <c r="AA149" i="6"/>
  <c r="Z149" i="6"/>
  <c r="T149" i="6"/>
  <c r="U149" i="6" s="1"/>
  <c r="Q149" i="6"/>
  <c r="L149" i="6"/>
  <c r="K149" i="6"/>
  <c r="H149" i="6"/>
  <c r="I149" i="6" s="1"/>
  <c r="F149" i="6"/>
  <c r="E149" i="6"/>
  <c r="C149" i="6"/>
  <c r="B149" i="6"/>
  <c r="N149" i="6" s="1"/>
  <c r="O149" i="6" s="1"/>
  <c r="Z148" i="6"/>
  <c r="AA148" i="6" s="1"/>
  <c r="W148" i="6"/>
  <c r="X148" i="6" s="1"/>
  <c r="U148" i="6"/>
  <c r="T148" i="6"/>
  <c r="R148" i="6"/>
  <c r="Q148" i="6"/>
  <c r="AC148" i="6" s="1"/>
  <c r="AD148" i="6" s="1"/>
  <c r="K148" i="6"/>
  <c r="L148" i="6" s="1"/>
  <c r="F148" i="6"/>
  <c r="E148" i="6"/>
  <c r="B148" i="6"/>
  <c r="AC147" i="6"/>
  <c r="AD147" i="6" s="1"/>
  <c r="AA147" i="6"/>
  <c r="W147" i="6"/>
  <c r="X147" i="6" s="1"/>
  <c r="U147" i="6"/>
  <c r="R147" i="6"/>
  <c r="N147" i="6"/>
  <c r="O147" i="6" s="1"/>
  <c r="L147" i="6"/>
  <c r="I147" i="6"/>
  <c r="H147" i="6"/>
  <c r="F147" i="6"/>
  <c r="C147" i="6"/>
  <c r="AC146" i="6"/>
  <c r="AD146" i="6" s="1"/>
  <c r="AA146" i="6"/>
  <c r="W146" i="6"/>
  <c r="X146" i="6" s="1"/>
  <c r="U146" i="6"/>
  <c r="R146" i="6"/>
  <c r="O146" i="6"/>
  <c r="N146" i="6"/>
  <c r="L146" i="6"/>
  <c r="H146" i="6"/>
  <c r="I146" i="6" s="1"/>
  <c r="F146" i="6"/>
  <c r="C146" i="6"/>
  <c r="AD145" i="6"/>
  <c r="AC145" i="6"/>
  <c r="AA145" i="6"/>
  <c r="X145" i="6"/>
  <c r="W145" i="6"/>
  <c r="U145" i="6"/>
  <c r="R145" i="6"/>
  <c r="N145" i="6"/>
  <c r="O145" i="6" s="1"/>
  <c r="L145" i="6"/>
  <c r="H145" i="6"/>
  <c r="I145" i="6" s="1"/>
  <c r="F145" i="6"/>
  <c r="C145" i="6"/>
  <c r="AD144" i="6"/>
  <c r="AC144" i="6"/>
  <c r="AA144" i="6"/>
  <c r="X144" i="6"/>
  <c r="W144" i="6"/>
  <c r="U144" i="6"/>
  <c r="R144" i="6"/>
  <c r="O144" i="6"/>
  <c r="N144" i="6"/>
  <c r="L144" i="6"/>
  <c r="I144" i="6"/>
  <c r="H144" i="6"/>
  <c r="F144" i="6"/>
  <c r="C144" i="6"/>
  <c r="AC143" i="6"/>
  <c r="AD143" i="6" s="1"/>
  <c r="AA143" i="6"/>
  <c r="W143" i="6"/>
  <c r="X143" i="6" s="1"/>
  <c r="U143" i="6"/>
  <c r="R143" i="6"/>
  <c r="N143" i="6"/>
  <c r="O143" i="6" s="1"/>
  <c r="L143" i="6"/>
  <c r="I143" i="6"/>
  <c r="H143" i="6"/>
  <c r="F143" i="6"/>
  <c r="C143" i="6"/>
  <c r="Z141" i="6"/>
  <c r="AA141" i="6" s="1"/>
  <c r="U141" i="6"/>
  <c r="T141" i="6"/>
  <c r="Q141" i="6"/>
  <c r="L141" i="6"/>
  <c r="K141" i="6"/>
  <c r="E141" i="6"/>
  <c r="F141" i="6" s="1"/>
  <c r="B141" i="6"/>
  <c r="AD140" i="6"/>
  <c r="AC140" i="6"/>
  <c r="AA140" i="6"/>
  <c r="X140" i="6"/>
  <c r="W140" i="6"/>
  <c r="U140" i="6"/>
  <c r="R140" i="6"/>
  <c r="N140" i="6"/>
  <c r="O140" i="6" s="1"/>
  <c r="L140" i="6"/>
  <c r="I140" i="6"/>
  <c r="H140" i="6"/>
  <c r="F140" i="6"/>
  <c r="C140" i="6"/>
  <c r="AC139" i="6"/>
  <c r="AD139" i="6" s="1"/>
  <c r="AA139" i="6"/>
  <c r="W139" i="6"/>
  <c r="X139" i="6" s="1"/>
  <c r="U139" i="6"/>
  <c r="R139" i="6"/>
  <c r="N139" i="6"/>
  <c r="O139" i="6" s="1"/>
  <c r="L139" i="6"/>
  <c r="I139" i="6"/>
  <c r="H139" i="6"/>
  <c r="F139" i="6"/>
  <c r="C139" i="6"/>
  <c r="AC138" i="6"/>
  <c r="AD138" i="6" s="1"/>
  <c r="AA138" i="6"/>
  <c r="X138" i="6"/>
  <c r="W138" i="6"/>
  <c r="U138" i="6"/>
  <c r="R138" i="6"/>
  <c r="O138" i="6"/>
  <c r="N138" i="6"/>
  <c r="L138" i="6"/>
  <c r="H138" i="6"/>
  <c r="I138" i="6" s="1"/>
  <c r="F138" i="6"/>
  <c r="C138" i="6"/>
  <c r="AD137" i="6"/>
  <c r="AC137" i="6"/>
  <c r="AA137" i="6"/>
  <c r="W137" i="6"/>
  <c r="X137" i="6" s="1"/>
  <c r="U137" i="6"/>
  <c r="R137" i="6"/>
  <c r="N137" i="6"/>
  <c r="O137" i="6" s="1"/>
  <c r="L137" i="6"/>
  <c r="H137" i="6"/>
  <c r="I137" i="6" s="1"/>
  <c r="F137" i="6"/>
  <c r="C137" i="6"/>
  <c r="AD136" i="6"/>
  <c r="AC136" i="6"/>
  <c r="AA136" i="6"/>
  <c r="X136" i="6"/>
  <c r="W136" i="6"/>
  <c r="U136" i="6"/>
  <c r="R136" i="6"/>
  <c r="N136" i="6"/>
  <c r="O136" i="6" s="1"/>
  <c r="L136" i="6"/>
  <c r="I136" i="6"/>
  <c r="H136" i="6"/>
  <c r="F136" i="6"/>
  <c r="C136" i="6"/>
  <c r="AC135" i="6"/>
  <c r="AD135" i="6" s="1"/>
  <c r="AA135" i="6"/>
  <c r="W135" i="6"/>
  <c r="X135" i="6" s="1"/>
  <c r="U135" i="6"/>
  <c r="R135" i="6"/>
  <c r="N135" i="6"/>
  <c r="O135" i="6" s="1"/>
  <c r="L135" i="6"/>
  <c r="I135" i="6"/>
  <c r="H135" i="6"/>
  <c r="F135" i="6"/>
  <c r="C135" i="6"/>
  <c r="AC134" i="6"/>
  <c r="AD134" i="6" s="1"/>
  <c r="AA134" i="6"/>
  <c r="X134" i="6"/>
  <c r="W134" i="6"/>
  <c r="U134" i="6"/>
  <c r="R134" i="6"/>
  <c r="O134" i="6"/>
  <c r="N134" i="6"/>
  <c r="L134" i="6"/>
  <c r="H134" i="6"/>
  <c r="I134" i="6" s="1"/>
  <c r="F134" i="6"/>
  <c r="C134" i="6"/>
  <c r="AD133" i="6"/>
  <c r="AC133" i="6"/>
  <c r="AA133" i="6"/>
  <c r="W133" i="6"/>
  <c r="X133" i="6" s="1"/>
  <c r="U133" i="6"/>
  <c r="R133" i="6"/>
  <c r="N133" i="6"/>
  <c r="O133" i="6" s="1"/>
  <c r="L133" i="6"/>
  <c r="H133" i="6"/>
  <c r="I133" i="6" s="1"/>
  <c r="F133" i="6"/>
  <c r="C133" i="6"/>
  <c r="AD132" i="6"/>
  <c r="AC132" i="6"/>
  <c r="AA132" i="6"/>
  <c r="X132" i="6"/>
  <c r="W132" i="6"/>
  <c r="U132" i="6"/>
  <c r="R132" i="6"/>
  <c r="N132" i="6"/>
  <c r="O132" i="6" s="1"/>
  <c r="L132" i="6"/>
  <c r="I132" i="6"/>
  <c r="H132" i="6"/>
  <c r="F132" i="6"/>
  <c r="C132" i="6"/>
  <c r="AC131" i="6"/>
  <c r="AD131" i="6" s="1"/>
  <c r="AA131" i="6"/>
  <c r="W131" i="6"/>
  <c r="X131" i="6" s="1"/>
  <c r="U131" i="6"/>
  <c r="R131" i="6"/>
  <c r="O131" i="6"/>
  <c r="N131" i="6"/>
  <c r="L131" i="6"/>
  <c r="I131" i="6"/>
  <c r="H131" i="6"/>
  <c r="F131" i="6"/>
  <c r="C131" i="6"/>
  <c r="AC130" i="6"/>
  <c r="AD130" i="6" s="1"/>
  <c r="AA130" i="6"/>
  <c r="X130" i="6"/>
  <c r="W130" i="6"/>
  <c r="U130" i="6"/>
  <c r="R130" i="6"/>
  <c r="O130" i="6"/>
  <c r="N130" i="6"/>
  <c r="L130" i="6"/>
  <c r="I130" i="6"/>
  <c r="H130" i="6"/>
  <c r="F130" i="6"/>
  <c r="C130" i="6"/>
  <c r="AD129" i="6"/>
  <c r="AC129" i="6"/>
  <c r="AA129" i="6"/>
  <c r="W129" i="6"/>
  <c r="X129" i="6" s="1"/>
  <c r="U129" i="6"/>
  <c r="R129" i="6"/>
  <c r="N129" i="6"/>
  <c r="O129" i="6" s="1"/>
  <c r="L129" i="6"/>
  <c r="H129" i="6"/>
  <c r="I129" i="6" s="1"/>
  <c r="F129" i="6"/>
  <c r="C129" i="6"/>
  <c r="AD127" i="6"/>
  <c r="AC127" i="6"/>
  <c r="AA127" i="6"/>
  <c r="X127" i="6"/>
  <c r="W127" i="6"/>
  <c r="U127" i="6"/>
  <c r="R127" i="6"/>
  <c r="N127" i="6"/>
  <c r="O127" i="6" s="1"/>
  <c r="L127" i="6"/>
  <c r="I127" i="6"/>
  <c r="H127" i="6"/>
  <c r="F127" i="6"/>
  <c r="C127" i="6"/>
  <c r="AA124" i="6"/>
  <c r="Z124" i="6"/>
  <c r="Z172" i="6" s="1"/>
  <c r="T124" i="6"/>
  <c r="Q124" i="6"/>
  <c r="L124" i="6"/>
  <c r="K124" i="6"/>
  <c r="H124" i="6"/>
  <c r="I124" i="6" s="1"/>
  <c r="E124" i="6"/>
  <c r="C124" i="6"/>
  <c r="B124" i="6"/>
  <c r="AD123" i="6"/>
  <c r="AC123" i="6"/>
  <c r="AA123" i="6"/>
  <c r="X123" i="6"/>
  <c r="W123" i="6"/>
  <c r="U123" i="6"/>
  <c r="R123" i="6"/>
  <c r="N123" i="6"/>
  <c r="O123" i="6" s="1"/>
  <c r="L123" i="6"/>
  <c r="H123" i="6"/>
  <c r="I123" i="6" s="1"/>
  <c r="F123" i="6"/>
  <c r="C123" i="6"/>
  <c r="AA122" i="6"/>
  <c r="Z122" i="6"/>
  <c r="W122" i="6"/>
  <c r="X122" i="6" s="1"/>
  <c r="T122" i="6"/>
  <c r="U122" i="6" s="1"/>
  <c r="R122" i="6"/>
  <c r="Q122" i="6"/>
  <c r="AC122" i="6" s="1"/>
  <c r="AD122" i="6" s="1"/>
  <c r="K122" i="6"/>
  <c r="L122" i="6" s="1"/>
  <c r="H122" i="6"/>
  <c r="I122" i="6" s="1"/>
  <c r="F122" i="6"/>
  <c r="E122" i="6"/>
  <c r="C122" i="6"/>
  <c r="B122" i="6"/>
  <c r="N122" i="6" s="1"/>
  <c r="O122" i="6" s="1"/>
  <c r="AC121" i="6"/>
  <c r="AD121" i="6" s="1"/>
  <c r="AA121" i="6"/>
  <c r="W121" i="6"/>
  <c r="X121" i="6" s="1"/>
  <c r="U121" i="6"/>
  <c r="R121" i="6"/>
  <c r="O121" i="6"/>
  <c r="N121" i="6"/>
  <c r="L121" i="6"/>
  <c r="H121" i="6"/>
  <c r="I121" i="6" s="1"/>
  <c r="F121" i="6"/>
  <c r="C121" i="6"/>
  <c r="AD120" i="6"/>
  <c r="AC120" i="6"/>
  <c r="AA120" i="6"/>
  <c r="W120" i="6"/>
  <c r="X120" i="6" s="1"/>
  <c r="U120" i="6"/>
  <c r="R120" i="6"/>
  <c r="N120" i="6"/>
  <c r="O120" i="6" s="1"/>
  <c r="L120" i="6"/>
  <c r="H120" i="6"/>
  <c r="I120" i="6" s="1"/>
  <c r="F120" i="6"/>
  <c r="C120" i="6"/>
  <c r="AD119" i="6"/>
  <c r="AC119" i="6"/>
  <c r="AA119" i="6"/>
  <c r="X119" i="6"/>
  <c r="W119" i="6"/>
  <c r="U119" i="6"/>
  <c r="R119" i="6"/>
  <c r="N119" i="6"/>
  <c r="O119" i="6" s="1"/>
  <c r="L119" i="6"/>
  <c r="I119" i="6"/>
  <c r="H119" i="6"/>
  <c r="F119" i="6"/>
  <c r="C119" i="6"/>
  <c r="AA118" i="6"/>
  <c r="Z118" i="6"/>
  <c r="T118" i="6"/>
  <c r="U118" i="6" s="1"/>
  <c r="R118" i="6"/>
  <c r="Q118" i="6"/>
  <c r="O118" i="6"/>
  <c r="L118" i="6"/>
  <c r="K118" i="6"/>
  <c r="H118" i="6"/>
  <c r="I118" i="6" s="1"/>
  <c r="F118" i="6"/>
  <c r="E118" i="6"/>
  <c r="C118" i="6"/>
  <c r="B118" i="6"/>
  <c r="N118" i="6" s="1"/>
  <c r="AD117" i="6"/>
  <c r="AC117" i="6"/>
  <c r="AA117" i="6"/>
  <c r="W117" i="6"/>
  <c r="X117" i="6" s="1"/>
  <c r="U117" i="6"/>
  <c r="R117" i="6"/>
  <c r="N117" i="6"/>
  <c r="O117" i="6" s="1"/>
  <c r="L117" i="6"/>
  <c r="H117" i="6"/>
  <c r="I117" i="6" s="1"/>
  <c r="F117" i="6"/>
  <c r="C117" i="6"/>
  <c r="AD116" i="6"/>
  <c r="AC116" i="6"/>
  <c r="AA116" i="6"/>
  <c r="X116" i="6"/>
  <c r="W116" i="6"/>
  <c r="U116" i="6"/>
  <c r="R116" i="6"/>
  <c r="N116" i="6"/>
  <c r="O116" i="6" s="1"/>
  <c r="L116" i="6"/>
  <c r="I116" i="6"/>
  <c r="H116" i="6"/>
  <c r="F116" i="6"/>
  <c r="C116" i="6"/>
  <c r="AC115" i="6"/>
  <c r="AD115" i="6" s="1"/>
  <c r="AA115" i="6"/>
  <c r="W115" i="6"/>
  <c r="X115" i="6" s="1"/>
  <c r="U115" i="6"/>
  <c r="R115" i="6"/>
  <c r="O115" i="6"/>
  <c r="N115" i="6"/>
  <c r="L115" i="6"/>
  <c r="I115" i="6"/>
  <c r="H115" i="6"/>
  <c r="F115" i="6"/>
  <c r="C115" i="6"/>
  <c r="AC114" i="6"/>
  <c r="AD114" i="6" s="1"/>
  <c r="AA114" i="6"/>
  <c r="W114" i="6"/>
  <c r="X114" i="6" s="1"/>
  <c r="U114" i="6"/>
  <c r="R114" i="6"/>
  <c r="O114" i="6"/>
  <c r="N114" i="6"/>
  <c r="L114" i="6"/>
  <c r="I114" i="6"/>
  <c r="H114" i="6"/>
  <c r="F114" i="6"/>
  <c r="C114" i="6"/>
  <c r="AD113" i="6"/>
  <c r="AC113" i="6"/>
  <c r="AA113" i="6"/>
  <c r="W113" i="6"/>
  <c r="X113" i="6" s="1"/>
  <c r="U113" i="6"/>
  <c r="R113" i="6"/>
  <c r="N113" i="6"/>
  <c r="O113" i="6" s="1"/>
  <c r="L113" i="6"/>
  <c r="H113" i="6"/>
  <c r="I113" i="6" s="1"/>
  <c r="F113" i="6"/>
  <c r="C113" i="6"/>
  <c r="AD112" i="6"/>
  <c r="AC112" i="6"/>
  <c r="AA112" i="6"/>
  <c r="X112" i="6"/>
  <c r="W112" i="6"/>
  <c r="U112" i="6"/>
  <c r="R112" i="6"/>
  <c r="N112" i="6"/>
  <c r="O112" i="6" s="1"/>
  <c r="L112" i="6"/>
  <c r="I112" i="6"/>
  <c r="H112" i="6"/>
  <c r="F112" i="6"/>
  <c r="C112" i="6"/>
  <c r="AC111" i="6"/>
  <c r="AD111" i="6" s="1"/>
  <c r="AA111" i="6"/>
  <c r="W111" i="6"/>
  <c r="X111" i="6" s="1"/>
  <c r="U111" i="6"/>
  <c r="R111" i="6"/>
  <c r="O111" i="6"/>
  <c r="N111" i="6"/>
  <c r="L111" i="6"/>
  <c r="I111" i="6"/>
  <c r="H111" i="6"/>
  <c r="F111" i="6"/>
  <c r="C111" i="6"/>
  <c r="AC110" i="6"/>
  <c r="AD110" i="6" s="1"/>
  <c r="AA110" i="6"/>
  <c r="W110" i="6"/>
  <c r="X110" i="6" s="1"/>
  <c r="U110" i="6"/>
  <c r="R110" i="6"/>
  <c r="O110" i="6"/>
  <c r="N110" i="6"/>
  <c r="L110" i="6"/>
  <c r="I110" i="6"/>
  <c r="H110" i="6"/>
  <c r="F110" i="6"/>
  <c r="C110" i="6"/>
  <c r="AD109" i="6"/>
  <c r="AC109" i="6"/>
  <c r="AA109" i="6"/>
  <c r="X109" i="6"/>
  <c r="W109" i="6"/>
  <c r="U109" i="6"/>
  <c r="R109" i="6"/>
  <c r="N109" i="6"/>
  <c r="O109" i="6" s="1"/>
  <c r="L109" i="6"/>
  <c r="H109" i="6"/>
  <c r="I109" i="6" s="1"/>
  <c r="F109" i="6"/>
  <c r="C109" i="6"/>
  <c r="AD108" i="6"/>
  <c r="AC108" i="6"/>
  <c r="AA108" i="6"/>
  <c r="X108" i="6"/>
  <c r="W108" i="6"/>
  <c r="U108" i="6"/>
  <c r="R108" i="6"/>
  <c r="O108" i="6"/>
  <c r="N108" i="6"/>
  <c r="L108" i="6"/>
  <c r="I108" i="6"/>
  <c r="H108" i="6"/>
  <c r="F108" i="6"/>
  <c r="C108" i="6"/>
  <c r="AC107" i="6"/>
  <c r="AD107" i="6" s="1"/>
  <c r="AA107" i="6"/>
  <c r="W107" i="6"/>
  <c r="X107" i="6" s="1"/>
  <c r="U107" i="6"/>
  <c r="R107" i="6"/>
  <c r="O107" i="6"/>
  <c r="N107" i="6"/>
  <c r="L107" i="6"/>
  <c r="I107" i="6"/>
  <c r="H107" i="6"/>
  <c r="F107" i="6"/>
  <c r="C107" i="6"/>
  <c r="AC106" i="6"/>
  <c r="AD106" i="6" s="1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D105" i="6"/>
  <c r="AC105" i="6"/>
  <c r="AA105" i="6"/>
  <c r="X105" i="6"/>
  <c r="W105" i="6"/>
  <c r="U105" i="6"/>
  <c r="R105" i="6"/>
  <c r="N105" i="6"/>
  <c r="O105" i="6" s="1"/>
  <c r="L105" i="6"/>
  <c r="H105" i="6"/>
  <c r="I105" i="6" s="1"/>
  <c r="F105" i="6"/>
  <c r="C105" i="6"/>
  <c r="AD104" i="6"/>
  <c r="AC104" i="6"/>
  <c r="AA104" i="6"/>
  <c r="X104" i="6"/>
  <c r="W104" i="6"/>
  <c r="U104" i="6"/>
  <c r="R104" i="6"/>
  <c r="O104" i="6"/>
  <c r="N104" i="6"/>
  <c r="L104" i="6"/>
  <c r="I104" i="6"/>
  <c r="H104" i="6"/>
  <c r="F104" i="6"/>
  <c r="C104" i="6"/>
  <c r="AC103" i="6"/>
  <c r="AD103" i="6" s="1"/>
  <c r="AA103" i="6"/>
  <c r="W103" i="6"/>
  <c r="X103" i="6" s="1"/>
  <c r="U103" i="6"/>
  <c r="R103" i="6"/>
  <c r="O103" i="6"/>
  <c r="N103" i="6"/>
  <c r="L103" i="6"/>
  <c r="I103" i="6"/>
  <c r="H103" i="6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I102" i="6"/>
  <c r="H102" i="6"/>
  <c r="F102" i="6"/>
  <c r="C102" i="6"/>
  <c r="AD101" i="6"/>
  <c r="AC101" i="6"/>
  <c r="AA101" i="6"/>
  <c r="W101" i="6"/>
  <c r="X101" i="6" s="1"/>
  <c r="U101" i="6"/>
  <c r="R101" i="6"/>
  <c r="N101" i="6"/>
  <c r="O101" i="6" s="1"/>
  <c r="L101" i="6"/>
  <c r="H101" i="6"/>
  <c r="I101" i="6" s="1"/>
  <c r="F101" i="6"/>
  <c r="C101" i="6"/>
  <c r="AD100" i="6"/>
  <c r="AC100" i="6"/>
  <c r="AA100" i="6"/>
  <c r="X100" i="6"/>
  <c r="W100" i="6"/>
  <c r="U100" i="6"/>
  <c r="R100" i="6"/>
  <c r="N100" i="6"/>
  <c r="O100" i="6" s="1"/>
  <c r="L100" i="6"/>
  <c r="I100" i="6"/>
  <c r="H100" i="6"/>
  <c r="F100" i="6"/>
  <c r="C100" i="6"/>
  <c r="AD99" i="6"/>
  <c r="AC99" i="6"/>
  <c r="AA99" i="6"/>
  <c r="W99" i="6"/>
  <c r="X99" i="6" s="1"/>
  <c r="U99" i="6"/>
  <c r="R99" i="6"/>
  <c r="O99" i="6"/>
  <c r="N99" i="6"/>
  <c r="L99" i="6"/>
  <c r="I99" i="6"/>
  <c r="H99" i="6"/>
  <c r="F99" i="6"/>
  <c r="C99" i="6"/>
  <c r="AC98" i="6"/>
  <c r="AD98" i="6" s="1"/>
  <c r="AA98" i="6"/>
  <c r="W98" i="6"/>
  <c r="X98" i="6" s="1"/>
  <c r="U98" i="6"/>
  <c r="R98" i="6"/>
  <c r="O98" i="6"/>
  <c r="N98" i="6"/>
  <c r="L98" i="6"/>
  <c r="I98" i="6"/>
  <c r="H98" i="6"/>
  <c r="F98" i="6"/>
  <c r="C98" i="6"/>
  <c r="AD97" i="6"/>
  <c r="AC97" i="6"/>
  <c r="AA97" i="6"/>
  <c r="W97" i="6"/>
  <c r="X97" i="6" s="1"/>
  <c r="U97" i="6"/>
  <c r="R97" i="6"/>
  <c r="N97" i="6"/>
  <c r="O97" i="6" s="1"/>
  <c r="L97" i="6"/>
  <c r="H97" i="6"/>
  <c r="I97" i="6" s="1"/>
  <c r="F97" i="6"/>
  <c r="C97" i="6"/>
  <c r="AD96" i="6"/>
  <c r="AC96" i="6"/>
  <c r="AA96" i="6"/>
  <c r="X96" i="6"/>
  <c r="W96" i="6"/>
  <c r="U96" i="6"/>
  <c r="R96" i="6"/>
  <c r="N96" i="6"/>
  <c r="O96" i="6" s="1"/>
  <c r="L96" i="6"/>
  <c r="I96" i="6"/>
  <c r="H96" i="6"/>
  <c r="F96" i="6"/>
  <c r="C96" i="6"/>
  <c r="AD95" i="6"/>
  <c r="AC95" i="6"/>
  <c r="AA95" i="6"/>
  <c r="W95" i="6"/>
  <c r="X95" i="6" s="1"/>
  <c r="U95" i="6"/>
  <c r="R95" i="6"/>
  <c r="O95" i="6"/>
  <c r="N95" i="6"/>
  <c r="L95" i="6"/>
  <c r="I95" i="6"/>
  <c r="H95" i="6"/>
  <c r="F95" i="6"/>
  <c r="C95" i="6"/>
  <c r="AC94" i="6"/>
  <c r="AD94" i="6" s="1"/>
  <c r="AA94" i="6"/>
  <c r="W94" i="6"/>
  <c r="X94" i="6" s="1"/>
  <c r="U94" i="6"/>
  <c r="R94" i="6"/>
  <c r="O94" i="6"/>
  <c r="N94" i="6"/>
  <c r="L94" i="6"/>
  <c r="I94" i="6"/>
  <c r="H94" i="6"/>
  <c r="F94" i="6"/>
  <c r="C94" i="6"/>
  <c r="AD92" i="6"/>
  <c r="AC92" i="6"/>
  <c r="AA92" i="6"/>
  <c r="W92" i="6"/>
  <c r="X92" i="6" s="1"/>
  <c r="U92" i="6"/>
  <c r="R92" i="6"/>
  <c r="N92" i="6"/>
  <c r="O92" i="6" s="1"/>
  <c r="L92" i="6"/>
  <c r="H92" i="6"/>
  <c r="I92" i="6" s="1"/>
  <c r="F92" i="6"/>
  <c r="C92" i="6"/>
  <c r="AD91" i="6"/>
  <c r="AC91" i="6"/>
  <c r="AA91" i="6"/>
  <c r="X91" i="6"/>
  <c r="W91" i="6"/>
  <c r="U91" i="6"/>
  <c r="R91" i="6"/>
  <c r="N91" i="6"/>
  <c r="O91" i="6" s="1"/>
  <c r="L91" i="6"/>
  <c r="I91" i="6"/>
  <c r="H91" i="6"/>
  <c r="F91" i="6"/>
  <c r="C91" i="6"/>
  <c r="AD90" i="6"/>
  <c r="AC90" i="6"/>
  <c r="AA90" i="6"/>
  <c r="W90" i="6"/>
  <c r="X90" i="6" s="1"/>
  <c r="U90" i="6"/>
  <c r="R90" i="6"/>
  <c r="N90" i="6"/>
  <c r="O90" i="6" s="1"/>
  <c r="L90" i="6"/>
  <c r="I90" i="6"/>
  <c r="H90" i="6"/>
  <c r="F90" i="6"/>
  <c r="C90" i="6"/>
  <c r="AC89" i="6"/>
  <c r="AD89" i="6" s="1"/>
  <c r="AA89" i="6"/>
  <c r="W89" i="6"/>
  <c r="X89" i="6" s="1"/>
  <c r="U89" i="6"/>
  <c r="R89" i="6"/>
  <c r="O89" i="6"/>
  <c r="N89" i="6"/>
  <c r="L89" i="6"/>
  <c r="H89" i="6"/>
  <c r="I89" i="6" s="1"/>
  <c r="F89" i="6"/>
  <c r="C89" i="6"/>
  <c r="Z88" i="6"/>
  <c r="AA88" i="6" s="1"/>
  <c r="W88" i="6"/>
  <c r="X88" i="6" s="1"/>
  <c r="T88" i="6"/>
  <c r="U88" i="6" s="1"/>
  <c r="R88" i="6"/>
  <c r="Q88" i="6"/>
  <c r="AC88" i="6" s="1"/>
  <c r="AD88" i="6" s="1"/>
  <c r="K88" i="6"/>
  <c r="L88" i="6" s="1"/>
  <c r="F88" i="6"/>
  <c r="E88" i="6"/>
  <c r="B88" i="6"/>
  <c r="AC87" i="6"/>
  <c r="AD87" i="6" s="1"/>
  <c r="AA87" i="6"/>
  <c r="X87" i="6"/>
  <c r="W87" i="6"/>
  <c r="U87" i="6"/>
  <c r="R87" i="6"/>
  <c r="O87" i="6"/>
  <c r="N87" i="6"/>
  <c r="L87" i="6"/>
  <c r="I87" i="6"/>
  <c r="H87" i="6"/>
  <c r="F87" i="6"/>
  <c r="C87" i="6"/>
  <c r="AC86" i="6"/>
  <c r="AD86" i="6" s="1"/>
  <c r="AA86" i="6"/>
  <c r="W86" i="6"/>
  <c r="X86" i="6" s="1"/>
  <c r="U86" i="6"/>
  <c r="R86" i="6"/>
  <c r="O86" i="6"/>
  <c r="N86" i="6"/>
  <c r="L86" i="6"/>
  <c r="I86" i="6"/>
  <c r="H86" i="6"/>
  <c r="F86" i="6"/>
  <c r="C86" i="6"/>
  <c r="AD85" i="6"/>
  <c r="AC85" i="6"/>
  <c r="AA85" i="6"/>
  <c r="X85" i="6"/>
  <c r="W85" i="6"/>
  <c r="U85" i="6"/>
  <c r="R85" i="6"/>
  <c r="N85" i="6"/>
  <c r="O85" i="6" s="1"/>
  <c r="L85" i="6"/>
  <c r="H85" i="6"/>
  <c r="I85" i="6" s="1"/>
  <c r="F85" i="6"/>
  <c r="C85" i="6"/>
  <c r="AC84" i="6"/>
  <c r="AD84" i="6" s="1"/>
  <c r="AA84" i="6"/>
  <c r="X84" i="6"/>
  <c r="W84" i="6"/>
  <c r="U84" i="6"/>
  <c r="R84" i="6"/>
  <c r="O84" i="6"/>
  <c r="N84" i="6"/>
  <c r="L84" i="6"/>
  <c r="I84" i="6"/>
  <c r="H84" i="6"/>
  <c r="F84" i="6"/>
  <c r="C84" i="6"/>
  <c r="AC83" i="6"/>
  <c r="AD83" i="6" s="1"/>
  <c r="AA83" i="6"/>
  <c r="X83" i="6"/>
  <c r="W83" i="6"/>
  <c r="U83" i="6"/>
  <c r="R83" i="6"/>
  <c r="N83" i="6"/>
  <c r="O83" i="6" s="1"/>
  <c r="L83" i="6"/>
  <c r="H83" i="6"/>
  <c r="I83" i="6" s="1"/>
  <c r="F83" i="6"/>
  <c r="C83" i="6"/>
  <c r="AC82" i="6"/>
  <c r="AD82" i="6" s="1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N81" i="6"/>
  <c r="O81" i="6" s="1"/>
  <c r="L81" i="6"/>
  <c r="H81" i="6"/>
  <c r="I81" i="6" s="1"/>
  <c r="F81" i="6"/>
  <c r="C81" i="6"/>
  <c r="AD80" i="6"/>
  <c r="AC80" i="6"/>
  <c r="AA80" i="6"/>
  <c r="X80" i="6"/>
  <c r="W80" i="6"/>
  <c r="U80" i="6"/>
  <c r="R80" i="6"/>
  <c r="N80" i="6"/>
  <c r="O80" i="6" s="1"/>
  <c r="L80" i="6"/>
  <c r="H80" i="6"/>
  <c r="I80" i="6" s="1"/>
  <c r="F80" i="6"/>
  <c r="C80" i="6"/>
  <c r="AC79" i="6"/>
  <c r="AD79" i="6" s="1"/>
  <c r="AA79" i="6"/>
  <c r="X79" i="6"/>
  <c r="W79" i="6"/>
  <c r="U79" i="6"/>
  <c r="R79" i="6"/>
  <c r="O79" i="6"/>
  <c r="N79" i="6"/>
  <c r="L79" i="6"/>
  <c r="I79" i="6"/>
  <c r="H79" i="6"/>
  <c r="F79" i="6"/>
  <c r="C79" i="6"/>
  <c r="AC78" i="6"/>
  <c r="AD78" i="6" s="1"/>
  <c r="AA78" i="6"/>
  <c r="W78" i="6"/>
  <c r="X78" i="6" s="1"/>
  <c r="U78" i="6"/>
  <c r="R78" i="6"/>
  <c r="O78" i="6"/>
  <c r="N78" i="6"/>
  <c r="L78" i="6"/>
  <c r="I78" i="6"/>
  <c r="H78" i="6"/>
  <c r="F78" i="6"/>
  <c r="C78" i="6"/>
  <c r="AD77" i="6"/>
  <c r="AC77" i="6"/>
  <c r="AA77" i="6"/>
  <c r="X77" i="6"/>
  <c r="W77" i="6"/>
  <c r="U77" i="6"/>
  <c r="R77" i="6"/>
  <c r="N77" i="6"/>
  <c r="O77" i="6" s="1"/>
  <c r="L77" i="6"/>
  <c r="H77" i="6"/>
  <c r="I77" i="6" s="1"/>
  <c r="F77" i="6"/>
  <c r="C77" i="6"/>
  <c r="AC76" i="6"/>
  <c r="AD76" i="6" s="1"/>
  <c r="AA76" i="6"/>
  <c r="X76" i="6"/>
  <c r="W76" i="6"/>
  <c r="U76" i="6"/>
  <c r="R76" i="6"/>
  <c r="O76" i="6"/>
  <c r="N76" i="6"/>
  <c r="L76" i="6"/>
  <c r="I76" i="6"/>
  <c r="H76" i="6"/>
  <c r="F76" i="6"/>
  <c r="C76" i="6"/>
  <c r="AC75" i="6"/>
  <c r="AD75" i="6" s="1"/>
  <c r="AA75" i="6"/>
  <c r="W75" i="6"/>
  <c r="X75" i="6" s="1"/>
  <c r="U75" i="6"/>
  <c r="R75" i="6"/>
  <c r="N75" i="6"/>
  <c r="O75" i="6" s="1"/>
  <c r="L75" i="6"/>
  <c r="H75" i="6"/>
  <c r="I75" i="6" s="1"/>
  <c r="F75" i="6"/>
  <c r="C75" i="6"/>
  <c r="Z73" i="6"/>
  <c r="AA73" i="6" s="1"/>
  <c r="T73" i="6"/>
  <c r="U73" i="6" s="1"/>
  <c r="Q73" i="6"/>
  <c r="N73" i="6"/>
  <c r="O73" i="6" s="1"/>
  <c r="L73" i="6"/>
  <c r="K73" i="6"/>
  <c r="H73" i="6"/>
  <c r="I73" i="6" s="1"/>
  <c r="E73" i="6"/>
  <c r="F73" i="6" s="1"/>
  <c r="C73" i="6"/>
  <c r="B73" i="6"/>
  <c r="AC72" i="6"/>
  <c r="AD72" i="6" s="1"/>
  <c r="AA72" i="6"/>
  <c r="X72" i="6"/>
  <c r="W72" i="6"/>
  <c r="U72" i="6"/>
  <c r="R72" i="6"/>
  <c r="N72" i="6"/>
  <c r="O72" i="6" s="1"/>
  <c r="L72" i="6"/>
  <c r="I72" i="6"/>
  <c r="H72" i="6"/>
  <c r="F72" i="6"/>
  <c r="C72" i="6"/>
  <c r="AD71" i="6"/>
  <c r="AC71" i="6"/>
  <c r="AA71" i="6"/>
  <c r="W71" i="6"/>
  <c r="X71" i="6" s="1"/>
  <c r="U71" i="6"/>
  <c r="R71" i="6"/>
  <c r="O71" i="6"/>
  <c r="N71" i="6"/>
  <c r="L71" i="6"/>
  <c r="I71" i="6"/>
  <c r="H71" i="6"/>
  <c r="F71" i="6"/>
  <c r="C71" i="6"/>
  <c r="AC70" i="6"/>
  <c r="AD70" i="6" s="1"/>
  <c r="AA70" i="6"/>
  <c r="X70" i="6"/>
  <c r="W70" i="6"/>
  <c r="U70" i="6"/>
  <c r="R70" i="6"/>
  <c r="O70" i="6"/>
  <c r="N70" i="6"/>
  <c r="L70" i="6"/>
  <c r="I70" i="6"/>
  <c r="H70" i="6"/>
  <c r="F70" i="6"/>
  <c r="C70" i="6"/>
  <c r="AC69" i="6"/>
  <c r="AD69" i="6" s="1"/>
  <c r="AA69" i="6"/>
  <c r="W69" i="6"/>
  <c r="X69" i="6" s="1"/>
  <c r="U69" i="6"/>
  <c r="R69" i="6"/>
  <c r="O69" i="6"/>
  <c r="N69" i="6"/>
  <c r="L69" i="6"/>
  <c r="H69" i="6"/>
  <c r="I69" i="6" s="1"/>
  <c r="F69" i="6"/>
  <c r="C69" i="6"/>
  <c r="AD68" i="6"/>
  <c r="AC68" i="6"/>
  <c r="AA68" i="6"/>
  <c r="X68" i="6"/>
  <c r="W68" i="6"/>
  <c r="U68" i="6"/>
  <c r="R68" i="6"/>
  <c r="N68" i="6"/>
  <c r="O68" i="6" s="1"/>
  <c r="L68" i="6"/>
  <c r="I68" i="6"/>
  <c r="H68" i="6"/>
  <c r="F68" i="6"/>
  <c r="C68" i="6"/>
  <c r="AC67" i="6"/>
  <c r="AD67" i="6" s="1"/>
  <c r="AA67" i="6"/>
  <c r="W67" i="6"/>
  <c r="X67" i="6" s="1"/>
  <c r="U67" i="6"/>
  <c r="R67" i="6"/>
  <c r="N67" i="6"/>
  <c r="O67" i="6" s="1"/>
  <c r="L67" i="6"/>
  <c r="I67" i="6"/>
  <c r="H67" i="6"/>
  <c r="F67" i="6"/>
  <c r="C67" i="6"/>
  <c r="AC66" i="6"/>
  <c r="AD66" i="6" s="1"/>
  <c r="AA66" i="6"/>
  <c r="W66" i="6"/>
  <c r="X66" i="6" s="1"/>
  <c r="U66" i="6"/>
  <c r="R66" i="6"/>
  <c r="O66" i="6"/>
  <c r="N66" i="6"/>
  <c r="L66" i="6"/>
  <c r="H66" i="6"/>
  <c r="I66" i="6" s="1"/>
  <c r="F66" i="6"/>
  <c r="C66" i="6"/>
  <c r="AC65" i="6"/>
  <c r="AD65" i="6" s="1"/>
  <c r="AA65" i="6"/>
  <c r="X65" i="6"/>
  <c r="W65" i="6"/>
  <c r="U65" i="6"/>
  <c r="R65" i="6"/>
  <c r="O65" i="6"/>
  <c r="N65" i="6"/>
  <c r="L65" i="6"/>
  <c r="H65" i="6"/>
  <c r="I65" i="6" s="1"/>
  <c r="F65" i="6"/>
  <c r="C65" i="6"/>
  <c r="AC64" i="6"/>
  <c r="AD64" i="6" s="1"/>
  <c r="AA64" i="6"/>
  <c r="W64" i="6"/>
  <c r="X64" i="6" s="1"/>
  <c r="U64" i="6"/>
  <c r="R64" i="6"/>
  <c r="O64" i="6"/>
  <c r="N64" i="6"/>
  <c r="L64" i="6"/>
  <c r="H64" i="6"/>
  <c r="I64" i="6" s="1"/>
  <c r="F64" i="6"/>
  <c r="C64" i="6"/>
  <c r="Z62" i="6"/>
  <c r="AC62" i="6" s="1"/>
  <c r="AD62" i="6" s="1"/>
  <c r="T62" i="6"/>
  <c r="U62" i="6" s="1"/>
  <c r="Q62" i="6"/>
  <c r="R62" i="6" s="1"/>
  <c r="K62" i="6"/>
  <c r="L62" i="6" s="1"/>
  <c r="I62" i="6"/>
  <c r="E62" i="6"/>
  <c r="F62" i="6" s="1"/>
  <c r="C62" i="6"/>
  <c r="B62" i="6"/>
  <c r="H62" i="6" s="1"/>
  <c r="AC61" i="6"/>
  <c r="AD61" i="6" s="1"/>
  <c r="AA61" i="6"/>
  <c r="Z61" i="6"/>
  <c r="W61" i="6"/>
  <c r="X61" i="6" s="1"/>
  <c r="T61" i="6"/>
  <c r="U61" i="6" s="1"/>
  <c r="Q61" i="6"/>
  <c r="R61" i="6" s="1"/>
  <c r="K61" i="6"/>
  <c r="L61" i="6" s="1"/>
  <c r="E61" i="6"/>
  <c r="F61" i="6" s="1"/>
  <c r="B61" i="6"/>
  <c r="C61" i="6" s="1"/>
  <c r="AC60" i="6"/>
  <c r="AD60" i="6" s="1"/>
  <c r="AA60" i="6"/>
  <c r="X60" i="6"/>
  <c r="W60" i="6"/>
  <c r="U60" i="6"/>
  <c r="R60" i="6"/>
  <c r="O60" i="6"/>
  <c r="N60" i="6"/>
  <c r="L60" i="6"/>
  <c r="H60" i="6"/>
  <c r="I60" i="6" s="1"/>
  <c r="F60" i="6"/>
  <c r="C60" i="6"/>
  <c r="AC59" i="6"/>
  <c r="AD59" i="6" s="1"/>
  <c r="AA59" i="6"/>
  <c r="W59" i="6"/>
  <c r="X59" i="6" s="1"/>
  <c r="U59" i="6"/>
  <c r="R59" i="6"/>
  <c r="O59" i="6"/>
  <c r="N59" i="6"/>
  <c r="L59" i="6"/>
  <c r="H59" i="6"/>
  <c r="I59" i="6" s="1"/>
  <c r="F59" i="6"/>
  <c r="C59" i="6"/>
  <c r="AC58" i="6"/>
  <c r="AD58" i="6" s="1"/>
  <c r="AA58" i="6"/>
  <c r="X58" i="6"/>
  <c r="W58" i="6"/>
  <c r="U58" i="6"/>
  <c r="R58" i="6"/>
  <c r="O58" i="6"/>
  <c r="N58" i="6"/>
  <c r="L58" i="6"/>
  <c r="H58" i="6"/>
  <c r="I58" i="6" s="1"/>
  <c r="F58" i="6"/>
  <c r="C58" i="6"/>
  <c r="AD57" i="6"/>
  <c r="AC57" i="6"/>
  <c r="AA57" i="6"/>
  <c r="X57" i="6"/>
  <c r="W57" i="6"/>
  <c r="U57" i="6"/>
  <c r="R57" i="6"/>
  <c r="N57" i="6"/>
  <c r="O57" i="6" s="1"/>
  <c r="L57" i="6"/>
  <c r="H57" i="6"/>
  <c r="I57" i="6" s="1"/>
  <c r="F57" i="6"/>
  <c r="C57" i="6"/>
  <c r="AC56" i="6"/>
  <c r="AD56" i="6" s="1"/>
  <c r="AA56" i="6"/>
  <c r="X56" i="6"/>
  <c r="W56" i="6"/>
  <c r="U56" i="6"/>
  <c r="R56" i="6"/>
  <c r="O56" i="6"/>
  <c r="N56" i="6"/>
  <c r="L56" i="6"/>
  <c r="H56" i="6"/>
  <c r="I56" i="6" s="1"/>
  <c r="F56" i="6"/>
  <c r="C56" i="6"/>
  <c r="AD55" i="6"/>
  <c r="AC55" i="6"/>
  <c r="AA55" i="6"/>
  <c r="X55" i="6"/>
  <c r="W55" i="6"/>
  <c r="U55" i="6"/>
  <c r="R55" i="6"/>
  <c r="N55" i="6"/>
  <c r="O55" i="6" s="1"/>
  <c r="L55" i="6"/>
  <c r="H55" i="6"/>
  <c r="I55" i="6" s="1"/>
  <c r="F55" i="6"/>
  <c r="C55" i="6"/>
  <c r="AC54" i="6"/>
  <c r="AD54" i="6" s="1"/>
  <c r="AA54" i="6"/>
  <c r="X54" i="6"/>
  <c r="W54" i="6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O53" i="6"/>
  <c r="N53" i="6"/>
  <c r="L53" i="6"/>
  <c r="H53" i="6"/>
  <c r="I53" i="6" s="1"/>
  <c r="F53" i="6"/>
  <c r="C53" i="6"/>
  <c r="AC52" i="6"/>
  <c r="AD52" i="6" s="1"/>
  <c r="AA52" i="6"/>
  <c r="X52" i="6"/>
  <c r="W52" i="6"/>
  <c r="U52" i="6"/>
  <c r="R52" i="6"/>
  <c r="O52" i="6"/>
  <c r="N52" i="6"/>
  <c r="L52" i="6"/>
  <c r="H52" i="6"/>
  <c r="I52" i="6" s="1"/>
  <c r="F52" i="6"/>
  <c r="C52" i="6"/>
  <c r="AC51" i="6"/>
  <c r="AD51" i="6" s="1"/>
  <c r="AA51" i="6"/>
  <c r="W51" i="6"/>
  <c r="X51" i="6" s="1"/>
  <c r="U51" i="6"/>
  <c r="R51" i="6"/>
  <c r="O51" i="6"/>
  <c r="N51" i="6"/>
  <c r="L51" i="6"/>
  <c r="H51" i="6"/>
  <c r="I51" i="6" s="1"/>
  <c r="F51" i="6"/>
  <c r="C51" i="6"/>
  <c r="AC50" i="6"/>
  <c r="AD50" i="6" s="1"/>
  <c r="AA50" i="6"/>
  <c r="X50" i="6"/>
  <c r="W50" i="6"/>
  <c r="U50" i="6"/>
  <c r="R50" i="6"/>
  <c r="O50" i="6"/>
  <c r="N50" i="6"/>
  <c r="L50" i="6"/>
  <c r="H50" i="6"/>
  <c r="I50" i="6" s="1"/>
  <c r="F50" i="6"/>
  <c r="C50" i="6"/>
  <c r="AD49" i="6"/>
  <c r="AC49" i="6"/>
  <c r="AA49" i="6"/>
  <c r="X49" i="6"/>
  <c r="W49" i="6"/>
  <c r="U49" i="6"/>
  <c r="R49" i="6"/>
  <c r="N49" i="6"/>
  <c r="O49" i="6" s="1"/>
  <c r="L49" i="6"/>
  <c r="H49" i="6"/>
  <c r="I49" i="6" s="1"/>
  <c r="F49" i="6"/>
  <c r="C49" i="6"/>
  <c r="AC48" i="6"/>
  <c r="AD48" i="6" s="1"/>
  <c r="AA48" i="6"/>
  <c r="X48" i="6"/>
  <c r="W48" i="6"/>
  <c r="U48" i="6"/>
  <c r="R48" i="6"/>
  <c r="O48" i="6"/>
  <c r="N48" i="6"/>
  <c r="L48" i="6"/>
  <c r="H48" i="6"/>
  <c r="I48" i="6" s="1"/>
  <c r="F48" i="6"/>
  <c r="C48" i="6"/>
  <c r="AD47" i="6"/>
  <c r="AC47" i="6"/>
  <c r="AA47" i="6"/>
  <c r="X47" i="6"/>
  <c r="W47" i="6"/>
  <c r="U47" i="6"/>
  <c r="R47" i="6"/>
  <c r="N47" i="6"/>
  <c r="O47" i="6" s="1"/>
  <c r="L47" i="6"/>
  <c r="H47" i="6"/>
  <c r="I47" i="6" s="1"/>
  <c r="F47" i="6"/>
  <c r="C47" i="6"/>
  <c r="AC46" i="6"/>
  <c r="AD46" i="6" s="1"/>
  <c r="AA46" i="6"/>
  <c r="X46" i="6"/>
  <c r="W46" i="6"/>
  <c r="U46" i="6"/>
  <c r="R46" i="6"/>
  <c r="O46" i="6"/>
  <c r="N46" i="6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H44" i="6"/>
  <c r="I44" i="6" s="1"/>
  <c r="F44" i="6"/>
  <c r="C44" i="6"/>
  <c r="AC43" i="6"/>
  <c r="AD43" i="6" s="1"/>
  <c r="AA43" i="6"/>
  <c r="X43" i="6"/>
  <c r="W43" i="6"/>
  <c r="U43" i="6"/>
  <c r="R43" i="6"/>
  <c r="O43" i="6"/>
  <c r="N43" i="6"/>
  <c r="L43" i="6"/>
  <c r="I43" i="6"/>
  <c r="H43" i="6"/>
  <c r="F43" i="6"/>
  <c r="C43" i="6"/>
  <c r="AC42" i="6"/>
  <c r="AD42" i="6" s="1"/>
  <c r="AA42" i="6"/>
  <c r="W42" i="6"/>
  <c r="X42" i="6" s="1"/>
  <c r="U42" i="6"/>
  <c r="R42" i="6"/>
  <c r="O42" i="6"/>
  <c r="N42" i="6"/>
  <c r="L42" i="6"/>
  <c r="H42" i="6"/>
  <c r="I42" i="6" s="1"/>
  <c r="F42" i="6"/>
  <c r="C42" i="6"/>
  <c r="AC40" i="6"/>
  <c r="AD40" i="6" s="1"/>
  <c r="AA40" i="6"/>
  <c r="Z40" i="6"/>
  <c r="U40" i="6"/>
  <c r="T40" i="6"/>
  <c r="Q40" i="6"/>
  <c r="R40" i="6" s="1"/>
  <c r="K40" i="6"/>
  <c r="E40" i="6"/>
  <c r="F40" i="6" s="1"/>
  <c r="C40" i="6"/>
  <c r="B40" i="6"/>
  <c r="H40" i="6" s="1"/>
  <c r="I40" i="6" s="1"/>
  <c r="AC39" i="6"/>
  <c r="AD39" i="6" s="1"/>
  <c r="AA39" i="6"/>
  <c r="X39" i="6"/>
  <c r="W39" i="6"/>
  <c r="U39" i="6"/>
  <c r="R39" i="6"/>
  <c r="O39" i="6"/>
  <c r="N39" i="6"/>
  <c r="L39" i="6"/>
  <c r="I39" i="6"/>
  <c r="H39" i="6"/>
  <c r="F39" i="6"/>
  <c r="C39" i="6"/>
  <c r="AC38" i="6"/>
  <c r="AD38" i="6" s="1"/>
  <c r="AA38" i="6"/>
  <c r="W38" i="6"/>
  <c r="X38" i="6" s="1"/>
  <c r="U38" i="6"/>
  <c r="R38" i="6"/>
  <c r="N38" i="6"/>
  <c r="O38" i="6" s="1"/>
  <c r="L38" i="6"/>
  <c r="H38" i="6"/>
  <c r="I38" i="6" s="1"/>
  <c r="F38" i="6"/>
  <c r="C38" i="6"/>
  <c r="AC37" i="6"/>
  <c r="AD37" i="6" s="1"/>
  <c r="AA37" i="6"/>
  <c r="X37" i="6"/>
  <c r="W37" i="6"/>
  <c r="U37" i="6"/>
  <c r="R37" i="6"/>
  <c r="O37" i="6"/>
  <c r="N37" i="6"/>
  <c r="L37" i="6"/>
  <c r="I37" i="6"/>
  <c r="H37" i="6"/>
  <c r="F37" i="6"/>
  <c r="C37" i="6"/>
  <c r="AC36" i="6"/>
  <c r="AD36" i="6" s="1"/>
  <c r="AA36" i="6"/>
  <c r="W36" i="6"/>
  <c r="X36" i="6" s="1"/>
  <c r="U36" i="6"/>
  <c r="R36" i="6"/>
  <c r="O36" i="6"/>
  <c r="N36" i="6"/>
  <c r="L36" i="6"/>
  <c r="H36" i="6"/>
  <c r="I36" i="6" s="1"/>
  <c r="F36" i="6"/>
  <c r="C36" i="6"/>
  <c r="AC35" i="6"/>
  <c r="AD35" i="6" s="1"/>
  <c r="AA35" i="6"/>
  <c r="X35" i="6"/>
  <c r="W35" i="6"/>
  <c r="U35" i="6"/>
  <c r="R35" i="6"/>
  <c r="O35" i="6"/>
  <c r="N35" i="6"/>
  <c r="L35" i="6"/>
  <c r="I35" i="6"/>
  <c r="H35" i="6"/>
  <c r="F35" i="6"/>
  <c r="C35" i="6"/>
  <c r="AC34" i="6"/>
  <c r="AD34" i="6" s="1"/>
  <c r="AA34" i="6"/>
  <c r="W34" i="6"/>
  <c r="X34" i="6" s="1"/>
  <c r="U34" i="6"/>
  <c r="R34" i="6"/>
  <c r="N34" i="6"/>
  <c r="O34" i="6" s="1"/>
  <c r="L34" i="6"/>
  <c r="H34" i="6"/>
  <c r="I34" i="6" s="1"/>
  <c r="F34" i="6"/>
  <c r="C34" i="6"/>
  <c r="AC33" i="6"/>
  <c r="AD33" i="6" s="1"/>
  <c r="AA33" i="6"/>
  <c r="X33" i="6"/>
  <c r="W33" i="6"/>
  <c r="U33" i="6"/>
  <c r="R33" i="6"/>
  <c r="O33" i="6"/>
  <c r="N33" i="6"/>
  <c r="L33" i="6"/>
  <c r="H33" i="6"/>
  <c r="I33" i="6" s="1"/>
  <c r="F33" i="6"/>
  <c r="C33" i="6"/>
  <c r="AD32" i="6"/>
  <c r="AC32" i="6"/>
  <c r="AA32" i="6"/>
  <c r="X32" i="6"/>
  <c r="W32" i="6"/>
  <c r="U32" i="6"/>
  <c r="R32" i="6"/>
  <c r="N32" i="6"/>
  <c r="O32" i="6" s="1"/>
  <c r="L32" i="6"/>
  <c r="H32" i="6"/>
  <c r="I32" i="6" s="1"/>
  <c r="F32" i="6"/>
  <c r="C32" i="6"/>
  <c r="AC31" i="6"/>
  <c r="AD31" i="6" s="1"/>
  <c r="AA31" i="6"/>
  <c r="X31" i="6"/>
  <c r="W31" i="6"/>
  <c r="U31" i="6"/>
  <c r="R31" i="6"/>
  <c r="O31" i="6"/>
  <c r="N31" i="6"/>
  <c r="L31" i="6"/>
  <c r="H31" i="6"/>
  <c r="I31" i="6" s="1"/>
  <c r="F31" i="6"/>
  <c r="C31" i="6"/>
  <c r="AD29" i="6"/>
  <c r="AC29" i="6"/>
  <c r="Z29" i="6"/>
  <c r="AA29" i="6" s="1"/>
  <c r="T29" i="6"/>
  <c r="U29" i="6" s="1"/>
  <c r="R29" i="6"/>
  <c r="Q29" i="6"/>
  <c r="L29" i="6"/>
  <c r="K29" i="6"/>
  <c r="E29" i="6"/>
  <c r="F29" i="6" s="1"/>
  <c r="B29" i="6"/>
  <c r="C29" i="6" s="1"/>
  <c r="AC28" i="6"/>
  <c r="AD28" i="6" s="1"/>
  <c r="AA28" i="6"/>
  <c r="W28" i="6"/>
  <c r="X28" i="6" s="1"/>
  <c r="U28" i="6"/>
  <c r="R28" i="6"/>
  <c r="O28" i="6"/>
  <c r="N28" i="6"/>
  <c r="L28" i="6"/>
  <c r="H28" i="6"/>
  <c r="I28" i="6" s="1"/>
  <c r="F28" i="6"/>
  <c r="C28" i="6"/>
  <c r="AC27" i="6"/>
  <c r="AD27" i="6" s="1"/>
  <c r="AA27" i="6"/>
  <c r="X27" i="6"/>
  <c r="W27" i="6"/>
  <c r="U27" i="6"/>
  <c r="R27" i="6"/>
  <c r="O27" i="6"/>
  <c r="N27" i="6"/>
  <c r="L27" i="6"/>
  <c r="I27" i="6"/>
  <c r="H27" i="6"/>
  <c r="F27" i="6"/>
  <c r="C27" i="6"/>
  <c r="AD26" i="6"/>
  <c r="AC26" i="6"/>
  <c r="AA26" i="6"/>
  <c r="X26" i="6"/>
  <c r="W26" i="6"/>
  <c r="U26" i="6"/>
  <c r="R26" i="6"/>
  <c r="O26" i="6"/>
  <c r="N26" i="6"/>
  <c r="L26" i="6"/>
  <c r="H26" i="6"/>
  <c r="I26" i="6" s="1"/>
  <c r="F26" i="6"/>
  <c r="C26" i="6"/>
  <c r="AC25" i="6"/>
  <c r="AD25" i="6" s="1"/>
  <c r="AA25" i="6"/>
  <c r="X25" i="6"/>
  <c r="W25" i="6"/>
  <c r="U25" i="6"/>
  <c r="R25" i="6"/>
  <c r="O25" i="6"/>
  <c r="N25" i="6"/>
  <c r="L25" i="6"/>
  <c r="H25" i="6"/>
  <c r="I25" i="6" s="1"/>
  <c r="F25" i="6"/>
  <c r="C25" i="6"/>
  <c r="AD24" i="6"/>
  <c r="AC24" i="6"/>
  <c r="AA24" i="6"/>
  <c r="X24" i="6"/>
  <c r="W24" i="6"/>
  <c r="U24" i="6"/>
  <c r="R24" i="6"/>
  <c r="N24" i="6"/>
  <c r="O24" i="6" s="1"/>
  <c r="L24" i="6"/>
  <c r="H24" i="6"/>
  <c r="I24" i="6" s="1"/>
  <c r="F24" i="6"/>
  <c r="C24" i="6"/>
  <c r="AC23" i="6"/>
  <c r="AD23" i="6" s="1"/>
  <c r="AA23" i="6"/>
  <c r="X23" i="6"/>
  <c r="W23" i="6"/>
  <c r="U23" i="6"/>
  <c r="R23" i="6"/>
  <c r="O23" i="6"/>
  <c r="N23" i="6"/>
  <c r="L23" i="6"/>
  <c r="I23" i="6"/>
  <c r="H23" i="6"/>
  <c r="F23" i="6"/>
  <c r="C23" i="6"/>
  <c r="AC22" i="6"/>
  <c r="AD22" i="6" s="1"/>
  <c r="AA22" i="6"/>
  <c r="W22" i="6"/>
  <c r="X22" i="6" s="1"/>
  <c r="U22" i="6"/>
  <c r="R22" i="6"/>
  <c r="O22" i="6"/>
  <c r="N22" i="6"/>
  <c r="L22" i="6"/>
  <c r="H22" i="6"/>
  <c r="I22" i="6" s="1"/>
  <c r="F22" i="6"/>
  <c r="C22" i="6"/>
  <c r="AC21" i="6"/>
  <c r="AD21" i="6" s="1"/>
  <c r="AA21" i="6"/>
  <c r="X21" i="6"/>
  <c r="W21" i="6"/>
  <c r="U21" i="6"/>
  <c r="R21" i="6"/>
  <c r="O21" i="6"/>
  <c r="N21" i="6"/>
  <c r="L21" i="6"/>
  <c r="H21" i="6"/>
  <c r="I21" i="6" s="1"/>
  <c r="F21" i="6"/>
  <c r="C21" i="6"/>
  <c r="AC19" i="6"/>
  <c r="AD19" i="6" s="1"/>
  <c r="AA19" i="6"/>
  <c r="W19" i="6"/>
  <c r="X19" i="6" s="1"/>
  <c r="U19" i="6"/>
  <c r="R19" i="6"/>
  <c r="O19" i="6"/>
  <c r="N19" i="6"/>
  <c r="L19" i="6"/>
  <c r="H19" i="6"/>
  <c r="I19" i="6" s="1"/>
  <c r="F19" i="6"/>
  <c r="C19" i="6"/>
  <c r="AC18" i="6"/>
  <c r="AD18" i="6" s="1"/>
  <c r="Z18" i="6"/>
  <c r="AA18" i="6" s="1"/>
  <c r="T18" i="6"/>
  <c r="U18" i="6" s="1"/>
  <c r="Q18" i="6"/>
  <c r="R18" i="6" s="1"/>
  <c r="K18" i="6"/>
  <c r="L18" i="6" s="1"/>
  <c r="E18" i="6"/>
  <c r="F18" i="6" s="1"/>
  <c r="C18" i="6"/>
  <c r="B18" i="6"/>
  <c r="H18" i="6" s="1"/>
  <c r="I18" i="6" s="1"/>
  <c r="AC17" i="6"/>
  <c r="AD17" i="6" s="1"/>
  <c r="AA17" i="6"/>
  <c r="X17" i="6"/>
  <c r="W17" i="6"/>
  <c r="U17" i="6"/>
  <c r="R17" i="6"/>
  <c r="O17" i="6"/>
  <c r="N17" i="6"/>
  <c r="L17" i="6"/>
  <c r="H17" i="6"/>
  <c r="I17" i="6" s="1"/>
  <c r="F17" i="6"/>
  <c r="C17" i="6"/>
  <c r="AD16" i="6"/>
  <c r="AC16" i="6"/>
  <c r="AA16" i="6"/>
  <c r="X16" i="6"/>
  <c r="W16" i="6"/>
  <c r="U16" i="6"/>
  <c r="R16" i="6"/>
  <c r="N16" i="6"/>
  <c r="O16" i="6" s="1"/>
  <c r="L16" i="6"/>
  <c r="H16" i="6"/>
  <c r="I16" i="6" s="1"/>
  <c r="F16" i="6"/>
  <c r="C16" i="6"/>
  <c r="AC15" i="6"/>
  <c r="AD15" i="6" s="1"/>
  <c r="AA15" i="6"/>
  <c r="X15" i="6"/>
  <c r="W15" i="6"/>
  <c r="U15" i="6"/>
  <c r="R15" i="6"/>
  <c r="O15" i="6"/>
  <c r="N15" i="6"/>
  <c r="L15" i="6"/>
  <c r="I15" i="6"/>
  <c r="H15" i="6"/>
  <c r="F15" i="6"/>
  <c r="C15" i="6"/>
  <c r="AC14" i="6"/>
  <c r="AD14" i="6" s="1"/>
  <c r="AA14" i="6"/>
  <c r="X14" i="6"/>
  <c r="W14" i="6"/>
  <c r="U14" i="6"/>
  <c r="R14" i="6"/>
  <c r="O14" i="6"/>
  <c r="N14" i="6"/>
  <c r="L14" i="6"/>
  <c r="H14" i="6"/>
  <c r="I14" i="6" s="1"/>
  <c r="F14" i="6"/>
  <c r="C14" i="6"/>
  <c r="AC13" i="6"/>
  <c r="AD13" i="6" s="1"/>
  <c r="AA13" i="6"/>
  <c r="X13" i="6"/>
  <c r="W13" i="6"/>
  <c r="U13" i="6"/>
  <c r="R13" i="6"/>
  <c r="O13" i="6"/>
  <c r="N13" i="6"/>
  <c r="L13" i="6"/>
  <c r="I13" i="6"/>
  <c r="H13" i="6"/>
  <c r="F13" i="6"/>
  <c r="C13" i="6"/>
  <c r="AD12" i="6"/>
  <c r="AC12" i="6"/>
  <c r="AA12" i="6"/>
  <c r="W12" i="6"/>
  <c r="X12" i="6" s="1"/>
  <c r="U12" i="6"/>
  <c r="R12" i="6"/>
  <c r="O12" i="6"/>
  <c r="N12" i="6"/>
  <c r="L12" i="6"/>
  <c r="H12" i="6"/>
  <c r="I12" i="6" s="1"/>
  <c r="F12" i="6"/>
  <c r="C12" i="6"/>
  <c r="AC11" i="6"/>
  <c r="AD11" i="6" s="1"/>
  <c r="AA11" i="6"/>
  <c r="X11" i="6"/>
  <c r="W11" i="6"/>
  <c r="U11" i="6"/>
  <c r="R11" i="6"/>
  <c r="O11" i="6"/>
  <c r="N11" i="6"/>
  <c r="L11" i="6"/>
  <c r="H11" i="6"/>
  <c r="I11" i="6" s="1"/>
  <c r="F11" i="6"/>
  <c r="C11" i="6"/>
  <c r="AD10" i="6"/>
  <c r="AC10" i="6"/>
  <c r="AA10" i="6"/>
  <c r="X10" i="6"/>
  <c r="W10" i="6"/>
  <c r="U10" i="6"/>
  <c r="R10" i="6"/>
  <c r="N10" i="6"/>
  <c r="O10" i="6" s="1"/>
  <c r="L10" i="6"/>
  <c r="H10" i="6"/>
  <c r="I10" i="6" s="1"/>
  <c r="F10" i="6"/>
  <c r="C10" i="6"/>
  <c r="AC8" i="6"/>
  <c r="AD8" i="6" s="1"/>
  <c r="AA8" i="6"/>
  <c r="X8" i="6"/>
  <c r="W8" i="6"/>
  <c r="U8" i="6"/>
  <c r="R8" i="6"/>
  <c r="O8" i="6"/>
  <c r="N8" i="6"/>
  <c r="L8" i="6"/>
  <c r="I8" i="6"/>
  <c r="H8" i="6"/>
  <c r="F8" i="6"/>
  <c r="C8" i="6"/>
  <c r="AC444" i="5"/>
  <c r="W444" i="5"/>
  <c r="X438" i="5" s="1"/>
  <c r="N444" i="5"/>
  <c r="H444" i="5"/>
  <c r="I421" i="5" s="1"/>
  <c r="Z442" i="5"/>
  <c r="AA442" i="5" s="1"/>
  <c r="T442" i="5"/>
  <c r="U442" i="5" s="1"/>
  <c r="R442" i="5"/>
  <c r="Q442" i="5"/>
  <c r="N442" i="5"/>
  <c r="O442" i="5" s="1"/>
  <c r="L442" i="5"/>
  <c r="K442" i="5"/>
  <c r="E442" i="5"/>
  <c r="F442" i="5" s="1"/>
  <c r="B442" i="5"/>
  <c r="C442" i="5" s="1"/>
  <c r="Z441" i="5"/>
  <c r="AA441" i="5" s="1"/>
  <c r="T441" i="5"/>
  <c r="U441" i="5" s="1"/>
  <c r="Q441" i="5"/>
  <c r="W441" i="5" s="1"/>
  <c r="X441" i="5" s="1"/>
  <c r="L441" i="5"/>
  <c r="K441" i="5"/>
  <c r="H441" i="5"/>
  <c r="F441" i="5"/>
  <c r="E441" i="5"/>
  <c r="B441" i="5"/>
  <c r="AD440" i="5"/>
  <c r="AC440" i="5"/>
  <c r="AA440" i="5"/>
  <c r="X440" i="5"/>
  <c r="W440" i="5"/>
  <c r="U440" i="5"/>
  <c r="R440" i="5"/>
  <c r="N440" i="5"/>
  <c r="O440" i="5" s="1"/>
  <c r="L440" i="5"/>
  <c r="H440" i="5"/>
  <c r="I440" i="5" s="1"/>
  <c r="F440" i="5"/>
  <c r="C440" i="5"/>
  <c r="AC439" i="5"/>
  <c r="AD439" i="5" s="1"/>
  <c r="AA439" i="5"/>
  <c r="W439" i="5"/>
  <c r="U439" i="5"/>
  <c r="R439" i="5"/>
  <c r="O439" i="5"/>
  <c r="N439" i="5"/>
  <c r="L439" i="5"/>
  <c r="H439" i="5"/>
  <c r="F439" i="5"/>
  <c r="C439" i="5"/>
  <c r="AD438" i="5"/>
  <c r="AC438" i="5"/>
  <c r="AA438" i="5"/>
  <c r="W438" i="5"/>
  <c r="U438" i="5"/>
  <c r="R438" i="5"/>
  <c r="N438" i="5"/>
  <c r="O438" i="5" s="1"/>
  <c r="L438" i="5"/>
  <c r="H438" i="5"/>
  <c r="I438" i="5" s="1"/>
  <c r="F438" i="5"/>
  <c r="C438" i="5"/>
  <c r="AC437" i="5"/>
  <c r="AD437" i="5" s="1"/>
  <c r="AA437" i="5"/>
  <c r="W437" i="5"/>
  <c r="U437" i="5"/>
  <c r="R437" i="5"/>
  <c r="O437" i="5"/>
  <c r="N437" i="5"/>
  <c r="L437" i="5"/>
  <c r="I437" i="5"/>
  <c r="H437" i="5"/>
  <c r="F437" i="5"/>
  <c r="C437" i="5"/>
  <c r="AD436" i="5"/>
  <c r="AC436" i="5"/>
  <c r="AA436" i="5"/>
  <c r="W436" i="5"/>
  <c r="X436" i="5" s="1"/>
  <c r="U436" i="5"/>
  <c r="R436" i="5"/>
  <c r="N436" i="5"/>
  <c r="O436" i="5" s="1"/>
  <c r="L436" i="5"/>
  <c r="H436" i="5"/>
  <c r="F436" i="5"/>
  <c r="C436" i="5"/>
  <c r="AC435" i="5"/>
  <c r="AA435" i="5"/>
  <c r="X435" i="5"/>
  <c r="W435" i="5"/>
  <c r="U435" i="5"/>
  <c r="R435" i="5"/>
  <c r="O435" i="5"/>
  <c r="N435" i="5"/>
  <c r="L435" i="5"/>
  <c r="H435" i="5"/>
  <c r="I435" i="5" s="1"/>
  <c r="F435" i="5"/>
  <c r="C435" i="5"/>
  <c r="AC434" i="5"/>
  <c r="AD434" i="5" s="1"/>
  <c r="AA434" i="5"/>
  <c r="W434" i="5"/>
  <c r="X434" i="5" s="1"/>
  <c r="U434" i="5"/>
  <c r="R434" i="5"/>
  <c r="O434" i="5"/>
  <c r="N434" i="5"/>
  <c r="L434" i="5"/>
  <c r="H434" i="5"/>
  <c r="I434" i="5" s="1"/>
  <c r="F434" i="5"/>
  <c r="C434" i="5"/>
  <c r="AC433" i="5"/>
  <c r="AD433" i="5" s="1"/>
  <c r="AA433" i="5"/>
  <c r="X433" i="5"/>
  <c r="W433" i="5"/>
  <c r="U433" i="5"/>
  <c r="R433" i="5"/>
  <c r="O433" i="5"/>
  <c r="N433" i="5"/>
  <c r="L433" i="5"/>
  <c r="H433" i="5"/>
  <c r="I433" i="5" s="1"/>
  <c r="F433" i="5"/>
  <c r="C433" i="5"/>
  <c r="AD432" i="5"/>
  <c r="AC432" i="5"/>
  <c r="AA432" i="5"/>
  <c r="W432" i="5"/>
  <c r="U432" i="5"/>
  <c r="R432" i="5"/>
  <c r="O432" i="5"/>
  <c r="N432" i="5"/>
  <c r="L432" i="5"/>
  <c r="H432" i="5"/>
  <c r="I432" i="5" s="1"/>
  <c r="F432" i="5"/>
  <c r="C432" i="5"/>
  <c r="Z429" i="5"/>
  <c r="AA429" i="5" s="1"/>
  <c r="T429" i="5"/>
  <c r="U429" i="5" s="1"/>
  <c r="Q429" i="5"/>
  <c r="R429" i="5" s="1"/>
  <c r="K429" i="5"/>
  <c r="L429" i="5" s="1"/>
  <c r="H429" i="5"/>
  <c r="I429" i="5" s="1"/>
  <c r="E429" i="5"/>
  <c r="F429" i="5" s="1"/>
  <c r="C429" i="5"/>
  <c r="B429" i="5"/>
  <c r="N429" i="5" s="1"/>
  <c r="O429" i="5" s="1"/>
  <c r="AC428" i="5"/>
  <c r="AD428" i="5" s="1"/>
  <c r="AA428" i="5"/>
  <c r="Z428" i="5"/>
  <c r="U428" i="5"/>
  <c r="T428" i="5"/>
  <c r="Q428" i="5"/>
  <c r="R428" i="5" s="1"/>
  <c r="N428" i="5"/>
  <c r="O428" i="5" s="1"/>
  <c r="K428" i="5"/>
  <c r="L428" i="5" s="1"/>
  <c r="E428" i="5"/>
  <c r="F428" i="5" s="1"/>
  <c r="B428" i="5"/>
  <c r="C428" i="5" s="1"/>
  <c r="AC427" i="5"/>
  <c r="AD427" i="5" s="1"/>
  <c r="AA427" i="5"/>
  <c r="W427" i="5"/>
  <c r="U427" i="5"/>
  <c r="R427" i="5"/>
  <c r="O427" i="5"/>
  <c r="N427" i="5"/>
  <c r="L427" i="5"/>
  <c r="I427" i="5"/>
  <c r="H427" i="5"/>
  <c r="F427" i="5"/>
  <c r="C427" i="5"/>
  <c r="AD426" i="5"/>
  <c r="AC426" i="5"/>
  <c r="AA426" i="5"/>
  <c r="W426" i="5"/>
  <c r="X426" i="5" s="1"/>
  <c r="U426" i="5"/>
  <c r="R426" i="5"/>
  <c r="O426" i="5"/>
  <c r="N426" i="5"/>
  <c r="L426" i="5"/>
  <c r="H426" i="5"/>
  <c r="I426" i="5" s="1"/>
  <c r="F426" i="5"/>
  <c r="C426" i="5"/>
  <c r="AC425" i="5"/>
  <c r="AD425" i="5" s="1"/>
  <c r="AA425" i="5"/>
  <c r="W425" i="5"/>
  <c r="U425" i="5"/>
  <c r="R425" i="5"/>
  <c r="O425" i="5"/>
  <c r="N425" i="5"/>
  <c r="L425" i="5"/>
  <c r="H425" i="5"/>
  <c r="I425" i="5" s="1"/>
  <c r="F425" i="5"/>
  <c r="C425" i="5"/>
  <c r="AC424" i="5"/>
  <c r="AD424" i="5" s="1"/>
  <c r="AA424" i="5"/>
  <c r="X424" i="5"/>
  <c r="W424" i="5"/>
  <c r="U424" i="5"/>
  <c r="R424" i="5"/>
  <c r="N424" i="5"/>
  <c r="O424" i="5" s="1"/>
  <c r="L424" i="5"/>
  <c r="H424" i="5"/>
  <c r="I424" i="5" s="1"/>
  <c r="F424" i="5"/>
  <c r="C424" i="5"/>
  <c r="AC423" i="5"/>
  <c r="AD423" i="5" s="1"/>
  <c r="AA423" i="5"/>
  <c r="W423" i="5"/>
  <c r="U423" i="5"/>
  <c r="R423" i="5"/>
  <c r="O423" i="5"/>
  <c r="N423" i="5"/>
  <c r="L423" i="5"/>
  <c r="H423" i="5"/>
  <c r="F423" i="5"/>
  <c r="C423" i="5"/>
  <c r="AC422" i="5"/>
  <c r="AD422" i="5" s="1"/>
  <c r="AA422" i="5"/>
  <c r="X422" i="5"/>
  <c r="W422" i="5"/>
  <c r="U422" i="5"/>
  <c r="R422" i="5"/>
  <c r="N422" i="5"/>
  <c r="O422" i="5" s="1"/>
  <c r="L422" i="5"/>
  <c r="H422" i="5"/>
  <c r="F422" i="5"/>
  <c r="C422" i="5"/>
  <c r="AC421" i="5"/>
  <c r="AA421" i="5"/>
  <c r="W421" i="5"/>
  <c r="U421" i="5"/>
  <c r="R421" i="5"/>
  <c r="O421" i="5"/>
  <c r="N421" i="5"/>
  <c r="L421" i="5"/>
  <c r="H421" i="5"/>
  <c r="F421" i="5"/>
  <c r="C421" i="5"/>
  <c r="AC420" i="5"/>
  <c r="AD420" i="5" s="1"/>
  <c r="AA420" i="5"/>
  <c r="W420" i="5"/>
  <c r="U420" i="5"/>
  <c r="R420" i="5"/>
  <c r="O420" i="5"/>
  <c r="N420" i="5"/>
  <c r="L420" i="5"/>
  <c r="H420" i="5"/>
  <c r="I420" i="5" s="1"/>
  <c r="F420" i="5"/>
  <c r="C420" i="5"/>
  <c r="AC419" i="5"/>
  <c r="AD419" i="5" s="1"/>
  <c r="AA419" i="5"/>
  <c r="W419" i="5"/>
  <c r="U419" i="5"/>
  <c r="R419" i="5"/>
  <c r="O419" i="5"/>
  <c r="N419" i="5"/>
  <c r="L419" i="5"/>
  <c r="H419" i="5"/>
  <c r="F419" i="5"/>
  <c r="C419" i="5"/>
  <c r="AD418" i="5"/>
  <c r="AC418" i="5"/>
  <c r="AA418" i="5"/>
  <c r="X418" i="5"/>
  <c r="W418" i="5"/>
  <c r="U418" i="5"/>
  <c r="R418" i="5"/>
  <c r="O418" i="5"/>
  <c r="N418" i="5"/>
  <c r="L418" i="5"/>
  <c r="H418" i="5"/>
  <c r="F418" i="5"/>
  <c r="C418" i="5"/>
  <c r="AC417" i="5"/>
  <c r="AD417" i="5" s="1"/>
  <c r="AA417" i="5"/>
  <c r="X417" i="5"/>
  <c r="W417" i="5"/>
  <c r="U417" i="5"/>
  <c r="R417" i="5"/>
  <c r="O417" i="5"/>
  <c r="N417" i="5"/>
  <c r="L417" i="5"/>
  <c r="H417" i="5"/>
  <c r="I417" i="5" s="1"/>
  <c r="F417" i="5"/>
  <c r="C417" i="5"/>
  <c r="AD416" i="5"/>
  <c r="AC416" i="5"/>
  <c r="AA416" i="5"/>
  <c r="W416" i="5"/>
  <c r="U416" i="5"/>
  <c r="R416" i="5"/>
  <c r="N416" i="5"/>
  <c r="O416" i="5" s="1"/>
  <c r="L416" i="5"/>
  <c r="H416" i="5"/>
  <c r="F416" i="5"/>
  <c r="C416" i="5"/>
  <c r="AC415" i="5"/>
  <c r="AD415" i="5" s="1"/>
  <c r="AA415" i="5"/>
  <c r="W415" i="5"/>
  <c r="U415" i="5"/>
  <c r="R415" i="5"/>
  <c r="O415" i="5"/>
  <c r="N415" i="5"/>
  <c r="L415" i="5"/>
  <c r="H415" i="5"/>
  <c r="F415" i="5"/>
  <c r="C415" i="5"/>
  <c r="AD414" i="5"/>
  <c r="AC414" i="5"/>
  <c r="AA414" i="5"/>
  <c r="W414" i="5"/>
  <c r="U414" i="5"/>
  <c r="R414" i="5"/>
  <c r="O414" i="5"/>
  <c r="N414" i="5"/>
  <c r="L414" i="5"/>
  <c r="H414" i="5"/>
  <c r="F414" i="5"/>
  <c r="C414" i="5"/>
  <c r="AC413" i="5"/>
  <c r="AA413" i="5"/>
  <c r="X413" i="5"/>
  <c r="W413" i="5"/>
  <c r="U413" i="5"/>
  <c r="R413" i="5"/>
  <c r="O413" i="5"/>
  <c r="N413" i="5"/>
  <c r="L413" i="5"/>
  <c r="I413" i="5"/>
  <c r="H413" i="5"/>
  <c r="F413" i="5"/>
  <c r="C413" i="5"/>
  <c r="AC412" i="5"/>
  <c r="AD412" i="5" s="1"/>
  <c r="AA412" i="5"/>
  <c r="W412" i="5"/>
  <c r="U412" i="5"/>
  <c r="R412" i="5"/>
  <c r="O412" i="5"/>
  <c r="N412" i="5"/>
  <c r="L412" i="5"/>
  <c r="H412" i="5"/>
  <c r="I412" i="5" s="1"/>
  <c r="F412" i="5"/>
  <c r="C412" i="5"/>
  <c r="AC411" i="5"/>
  <c r="AD411" i="5" s="1"/>
  <c r="AA411" i="5"/>
  <c r="X411" i="5"/>
  <c r="W411" i="5"/>
  <c r="U411" i="5"/>
  <c r="R411" i="5"/>
  <c r="O411" i="5"/>
  <c r="N411" i="5"/>
  <c r="L411" i="5"/>
  <c r="I411" i="5"/>
  <c r="H411" i="5"/>
  <c r="F411" i="5"/>
  <c r="C411" i="5"/>
  <c r="AD410" i="5"/>
  <c r="AC410" i="5"/>
  <c r="AA410" i="5"/>
  <c r="W410" i="5"/>
  <c r="X410" i="5" s="1"/>
  <c r="U410" i="5"/>
  <c r="R410" i="5"/>
  <c r="N410" i="5"/>
  <c r="O410" i="5" s="1"/>
  <c r="L410" i="5"/>
  <c r="H410" i="5"/>
  <c r="F410" i="5"/>
  <c r="C410" i="5"/>
  <c r="AC409" i="5"/>
  <c r="AD409" i="5" s="1"/>
  <c r="AA409" i="5"/>
  <c r="W409" i="5"/>
  <c r="U409" i="5"/>
  <c r="R409" i="5"/>
  <c r="O409" i="5"/>
  <c r="N409" i="5"/>
  <c r="L409" i="5"/>
  <c r="H409" i="5"/>
  <c r="I409" i="5" s="1"/>
  <c r="F409" i="5"/>
  <c r="C409" i="5"/>
  <c r="AD408" i="5"/>
  <c r="AC408" i="5"/>
  <c r="AA408" i="5"/>
  <c r="X408" i="5"/>
  <c r="W408" i="5"/>
  <c r="U408" i="5"/>
  <c r="R408" i="5"/>
  <c r="N408" i="5"/>
  <c r="O408" i="5" s="1"/>
  <c r="L408" i="5"/>
  <c r="H408" i="5"/>
  <c r="F408" i="5"/>
  <c r="C408" i="5"/>
  <c r="AC407" i="5"/>
  <c r="AD407" i="5" s="1"/>
  <c r="AA407" i="5"/>
  <c r="W407" i="5"/>
  <c r="U407" i="5"/>
  <c r="R407" i="5"/>
  <c r="O407" i="5"/>
  <c r="N407" i="5"/>
  <c r="L407" i="5"/>
  <c r="I407" i="5"/>
  <c r="H407" i="5"/>
  <c r="F407" i="5"/>
  <c r="C407" i="5"/>
  <c r="Z403" i="5"/>
  <c r="AA403" i="5" s="1"/>
  <c r="T403" i="5"/>
  <c r="Q403" i="5"/>
  <c r="R403" i="5" s="1"/>
  <c r="K403" i="5"/>
  <c r="E403" i="5"/>
  <c r="F403" i="5" s="1"/>
  <c r="B403" i="5"/>
  <c r="C403" i="5" s="1"/>
  <c r="AD402" i="5"/>
  <c r="AC402" i="5"/>
  <c r="AA402" i="5"/>
  <c r="X402" i="5"/>
  <c r="W402" i="5"/>
  <c r="U402" i="5"/>
  <c r="R402" i="5"/>
  <c r="N402" i="5"/>
  <c r="O402" i="5" s="1"/>
  <c r="L402" i="5"/>
  <c r="H402" i="5"/>
  <c r="F402" i="5"/>
  <c r="C402" i="5"/>
  <c r="AC401" i="5"/>
  <c r="AD401" i="5" s="1"/>
  <c r="AA401" i="5"/>
  <c r="W401" i="5"/>
  <c r="U401" i="5"/>
  <c r="R401" i="5"/>
  <c r="O401" i="5"/>
  <c r="N401" i="5"/>
  <c r="L401" i="5"/>
  <c r="I401" i="5"/>
  <c r="H401" i="5"/>
  <c r="F401" i="5"/>
  <c r="C401" i="5"/>
  <c r="AD400" i="5"/>
  <c r="AC400" i="5"/>
  <c r="AA400" i="5"/>
  <c r="W400" i="5"/>
  <c r="X400" i="5" s="1"/>
  <c r="U400" i="5"/>
  <c r="R400" i="5"/>
  <c r="N400" i="5"/>
  <c r="O400" i="5" s="1"/>
  <c r="L400" i="5"/>
  <c r="H400" i="5"/>
  <c r="F400" i="5"/>
  <c r="C400" i="5"/>
  <c r="AC399" i="5"/>
  <c r="AA399" i="5"/>
  <c r="W399" i="5"/>
  <c r="U399" i="5"/>
  <c r="R399" i="5"/>
  <c r="O399" i="5"/>
  <c r="N399" i="5"/>
  <c r="L399" i="5"/>
  <c r="I399" i="5"/>
  <c r="H399" i="5"/>
  <c r="F399" i="5"/>
  <c r="C399" i="5"/>
  <c r="AC398" i="5"/>
  <c r="AD398" i="5" s="1"/>
  <c r="AA398" i="5"/>
  <c r="W398" i="5"/>
  <c r="X398" i="5" s="1"/>
  <c r="U398" i="5"/>
  <c r="R398" i="5"/>
  <c r="O398" i="5"/>
  <c r="N398" i="5"/>
  <c r="L398" i="5"/>
  <c r="H398" i="5"/>
  <c r="F398" i="5"/>
  <c r="C398" i="5"/>
  <c r="AC397" i="5"/>
  <c r="AD397" i="5" s="1"/>
  <c r="AA397" i="5"/>
  <c r="W397" i="5"/>
  <c r="U397" i="5"/>
  <c r="R397" i="5"/>
  <c r="O397" i="5"/>
  <c r="N397" i="5"/>
  <c r="L397" i="5"/>
  <c r="I397" i="5"/>
  <c r="H397" i="5"/>
  <c r="F397" i="5"/>
  <c r="C397" i="5"/>
  <c r="Z396" i="5"/>
  <c r="AA396" i="5" s="1"/>
  <c r="T396" i="5"/>
  <c r="U396" i="5" s="1"/>
  <c r="Q396" i="5"/>
  <c r="N396" i="5"/>
  <c r="O396" i="5" s="1"/>
  <c r="K396" i="5"/>
  <c r="L396" i="5" s="1"/>
  <c r="E396" i="5"/>
  <c r="B396" i="5"/>
  <c r="C396" i="5" s="1"/>
  <c r="AD395" i="5"/>
  <c r="AC395" i="5"/>
  <c r="AA395" i="5"/>
  <c r="W395" i="5"/>
  <c r="U395" i="5"/>
  <c r="R395" i="5"/>
  <c r="N395" i="5"/>
  <c r="O395" i="5" s="1"/>
  <c r="L395" i="5"/>
  <c r="H395" i="5"/>
  <c r="F395" i="5"/>
  <c r="C395" i="5"/>
  <c r="AC394" i="5"/>
  <c r="AD394" i="5" s="1"/>
  <c r="AA394" i="5"/>
  <c r="W394" i="5"/>
  <c r="U394" i="5"/>
  <c r="R394" i="5"/>
  <c r="O394" i="5"/>
  <c r="N394" i="5"/>
  <c r="L394" i="5"/>
  <c r="H394" i="5"/>
  <c r="F394" i="5"/>
  <c r="C394" i="5"/>
  <c r="Z393" i="5"/>
  <c r="AA393" i="5" s="1"/>
  <c r="T393" i="5"/>
  <c r="U393" i="5" s="1"/>
  <c r="Q393" i="5"/>
  <c r="K393" i="5"/>
  <c r="L393" i="5" s="1"/>
  <c r="H393" i="5"/>
  <c r="F393" i="5"/>
  <c r="E393" i="5"/>
  <c r="B393" i="5"/>
  <c r="AD392" i="5"/>
  <c r="AC392" i="5"/>
  <c r="AA392" i="5"/>
  <c r="X392" i="5"/>
  <c r="W392" i="5"/>
  <c r="U392" i="5"/>
  <c r="R392" i="5"/>
  <c r="N392" i="5"/>
  <c r="O392" i="5" s="1"/>
  <c r="L392" i="5"/>
  <c r="H392" i="5"/>
  <c r="I392" i="5" s="1"/>
  <c r="F392" i="5"/>
  <c r="C392" i="5"/>
  <c r="AC391" i="5"/>
  <c r="AD391" i="5" s="1"/>
  <c r="AA391" i="5"/>
  <c r="W391" i="5"/>
  <c r="U391" i="5"/>
  <c r="R391" i="5"/>
  <c r="O391" i="5"/>
  <c r="N391" i="5"/>
  <c r="L391" i="5"/>
  <c r="H391" i="5"/>
  <c r="F391" i="5"/>
  <c r="C391" i="5"/>
  <c r="AD390" i="5"/>
  <c r="AC390" i="5"/>
  <c r="AA390" i="5"/>
  <c r="W390" i="5"/>
  <c r="U390" i="5"/>
  <c r="R390" i="5"/>
  <c r="N390" i="5"/>
  <c r="O390" i="5" s="1"/>
  <c r="L390" i="5"/>
  <c r="H390" i="5"/>
  <c r="I390" i="5" s="1"/>
  <c r="F390" i="5"/>
  <c r="C390" i="5"/>
  <c r="AC389" i="5"/>
  <c r="AD389" i="5" s="1"/>
  <c r="AA389" i="5"/>
  <c r="W389" i="5"/>
  <c r="U389" i="5"/>
  <c r="R389" i="5"/>
  <c r="O389" i="5"/>
  <c r="N389" i="5"/>
  <c r="L389" i="5"/>
  <c r="I389" i="5"/>
  <c r="H389" i="5"/>
  <c r="F389" i="5"/>
  <c r="C389" i="5"/>
  <c r="AD388" i="5"/>
  <c r="AC388" i="5"/>
  <c r="AA388" i="5"/>
  <c r="W388" i="5"/>
  <c r="X388" i="5" s="1"/>
  <c r="U388" i="5"/>
  <c r="R388" i="5"/>
  <c r="N388" i="5"/>
  <c r="O388" i="5" s="1"/>
  <c r="L388" i="5"/>
  <c r="H388" i="5"/>
  <c r="F388" i="5"/>
  <c r="C388" i="5"/>
  <c r="AC386" i="5"/>
  <c r="AA386" i="5"/>
  <c r="X386" i="5"/>
  <c r="W386" i="5"/>
  <c r="U386" i="5"/>
  <c r="R386" i="5"/>
  <c r="O386" i="5"/>
  <c r="N386" i="5"/>
  <c r="L386" i="5"/>
  <c r="H386" i="5"/>
  <c r="I386" i="5" s="1"/>
  <c r="F386" i="5"/>
  <c r="C386" i="5"/>
  <c r="AC385" i="5"/>
  <c r="AD385" i="5" s="1"/>
  <c r="AA385" i="5"/>
  <c r="W385" i="5"/>
  <c r="X385" i="5" s="1"/>
  <c r="U385" i="5"/>
  <c r="R385" i="5"/>
  <c r="O385" i="5"/>
  <c r="N385" i="5"/>
  <c r="L385" i="5"/>
  <c r="H385" i="5"/>
  <c r="I385" i="5" s="1"/>
  <c r="F385" i="5"/>
  <c r="C385" i="5"/>
  <c r="AC383" i="5"/>
  <c r="AD383" i="5" s="1"/>
  <c r="AA383" i="5"/>
  <c r="X383" i="5"/>
  <c r="W383" i="5"/>
  <c r="U383" i="5"/>
  <c r="R383" i="5"/>
  <c r="O383" i="5"/>
  <c r="N383" i="5"/>
  <c r="L383" i="5"/>
  <c r="H383" i="5"/>
  <c r="I383" i="5" s="1"/>
  <c r="F383" i="5"/>
  <c r="C383" i="5"/>
  <c r="AD382" i="5"/>
  <c r="AC382" i="5"/>
  <c r="AA382" i="5"/>
  <c r="W382" i="5"/>
  <c r="U382" i="5"/>
  <c r="R382" i="5"/>
  <c r="N382" i="5"/>
  <c r="O382" i="5" s="1"/>
  <c r="L382" i="5"/>
  <c r="H382" i="5"/>
  <c r="I382" i="5" s="1"/>
  <c r="F382" i="5"/>
  <c r="C382" i="5"/>
  <c r="AC381" i="5"/>
  <c r="AD381" i="5" s="1"/>
  <c r="AA381" i="5"/>
  <c r="X381" i="5"/>
  <c r="W381" i="5"/>
  <c r="U381" i="5"/>
  <c r="R381" i="5"/>
  <c r="O381" i="5"/>
  <c r="N381" i="5"/>
  <c r="L381" i="5"/>
  <c r="H381" i="5"/>
  <c r="I381" i="5" s="1"/>
  <c r="F381" i="5"/>
  <c r="C381" i="5"/>
  <c r="AC380" i="5"/>
  <c r="AD380" i="5" s="1"/>
  <c r="AA380" i="5"/>
  <c r="W380" i="5"/>
  <c r="U380" i="5"/>
  <c r="R380" i="5"/>
  <c r="N380" i="5"/>
  <c r="O380" i="5" s="1"/>
  <c r="L380" i="5"/>
  <c r="H380" i="5"/>
  <c r="I380" i="5" s="1"/>
  <c r="F380" i="5"/>
  <c r="C380" i="5"/>
  <c r="AC379" i="5"/>
  <c r="AD379" i="5" s="1"/>
  <c r="AA379" i="5"/>
  <c r="W379" i="5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O378" i="5"/>
  <c r="N378" i="5"/>
  <c r="L378" i="5"/>
  <c r="H378" i="5"/>
  <c r="F378" i="5"/>
  <c r="C378" i="5"/>
  <c r="AC377" i="5"/>
  <c r="AA377" i="5"/>
  <c r="X377" i="5"/>
  <c r="W377" i="5"/>
  <c r="U377" i="5"/>
  <c r="R377" i="5"/>
  <c r="O377" i="5"/>
  <c r="N377" i="5"/>
  <c r="L377" i="5"/>
  <c r="H377" i="5"/>
  <c r="I377" i="5" s="1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H376" i="5"/>
  <c r="F376" i="5"/>
  <c r="C376" i="5"/>
  <c r="AC375" i="5"/>
  <c r="AD375" i="5" s="1"/>
  <c r="AA375" i="5"/>
  <c r="X375" i="5"/>
  <c r="W375" i="5"/>
  <c r="U375" i="5"/>
  <c r="R375" i="5"/>
  <c r="O375" i="5"/>
  <c r="N375" i="5"/>
  <c r="L375" i="5"/>
  <c r="H375" i="5"/>
  <c r="I375" i="5" s="1"/>
  <c r="F375" i="5"/>
  <c r="C375" i="5"/>
  <c r="AD374" i="5"/>
  <c r="AC374" i="5"/>
  <c r="AA374" i="5"/>
  <c r="X374" i="5"/>
  <c r="W374" i="5"/>
  <c r="U374" i="5"/>
  <c r="R374" i="5"/>
  <c r="O374" i="5"/>
  <c r="N374" i="5"/>
  <c r="L374" i="5"/>
  <c r="H374" i="5"/>
  <c r="I374" i="5" s="1"/>
  <c r="F374" i="5"/>
  <c r="C374" i="5"/>
  <c r="AD373" i="5"/>
  <c r="AC373" i="5"/>
  <c r="AA373" i="5"/>
  <c r="W373" i="5"/>
  <c r="U373" i="5"/>
  <c r="R373" i="5"/>
  <c r="N373" i="5"/>
  <c r="O373" i="5" s="1"/>
  <c r="L373" i="5"/>
  <c r="I373" i="5"/>
  <c r="H373" i="5"/>
  <c r="F373" i="5"/>
  <c r="C373" i="5"/>
  <c r="AD372" i="5"/>
  <c r="AC372" i="5"/>
  <c r="AA372" i="5"/>
  <c r="W372" i="5"/>
  <c r="U372" i="5"/>
  <c r="R372" i="5"/>
  <c r="N372" i="5"/>
  <c r="O372" i="5" s="1"/>
  <c r="L372" i="5"/>
  <c r="I372" i="5"/>
  <c r="H372" i="5"/>
  <c r="F372" i="5"/>
  <c r="C372" i="5"/>
  <c r="AC371" i="5"/>
  <c r="AA371" i="5"/>
  <c r="W371" i="5"/>
  <c r="X371" i="5" s="1"/>
  <c r="U371" i="5"/>
  <c r="R371" i="5"/>
  <c r="O371" i="5"/>
  <c r="N371" i="5"/>
  <c r="L371" i="5"/>
  <c r="H371" i="5"/>
  <c r="I371" i="5" s="1"/>
  <c r="F371" i="5"/>
  <c r="C371" i="5"/>
  <c r="AC370" i="5"/>
  <c r="AD370" i="5" s="1"/>
  <c r="AA370" i="5"/>
  <c r="W370" i="5"/>
  <c r="X370" i="5" s="1"/>
  <c r="U370" i="5"/>
  <c r="R370" i="5"/>
  <c r="O370" i="5"/>
  <c r="N370" i="5"/>
  <c r="L370" i="5"/>
  <c r="H370" i="5"/>
  <c r="I370" i="5" s="1"/>
  <c r="F370" i="5"/>
  <c r="C370" i="5"/>
  <c r="AD369" i="5"/>
  <c r="AC369" i="5"/>
  <c r="AA369" i="5"/>
  <c r="W369" i="5"/>
  <c r="U369" i="5"/>
  <c r="R369" i="5"/>
  <c r="N369" i="5"/>
  <c r="O369" i="5" s="1"/>
  <c r="L369" i="5"/>
  <c r="H369" i="5"/>
  <c r="F369" i="5"/>
  <c r="C369" i="5"/>
  <c r="Z368" i="5"/>
  <c r="T368" i="5"/>
  <c r="U368" i="5" s="1"/>
  <c r="R368" i="5"/>
  <c r="Q368" i="5"/>
  <c r="W368" i="5" s="1"/>
  <c r="X368" i="5" s="1"/>
  <c r="K368" i="5"/>
  <c r="L368" i="5" s="1"/>
  <c r="F368" i="5"/>
  <c r="E368" i="5"/>
  <c r="B368" i="5"/>
  <c r="AD367" i="5"/>
  <c r="AC367" i="5"/>
  <c r="AA367" i="5"/>
  <c r="W367" i="5"/>
  <c r="U367" i="5"/>
  <c r="R367" i="5"/>
  <c r="N367" i="5"/>
  <c r="O367" i="5" s="1"/>
  <c r="L367" i="5"/>
  <c r="H367" i="5"/>
  <c r="I367" i="5" s="1"/>
  <c r="F367" i="5"/>
  <c r="C367" i="5"/>
  <c r="AD366" i="5"/>
  <c r="AC366" i="5"/>
  <c r="AA366" i="5"/>
  <c r="X366" i="5"/>
  <c r="W366" i="5"/>
  <c r="U366" i="5"/>
  <c r="R366" i="5"/>
  <c r="N366" i="5"/>
  <c r="O366" i="5" s="1"/>
  <c r="L366" i="5"/>
  <c r="H366" i="5"/>
  <c r="I366" i="5" s="1"/>
  <c r="F366" i="5"/>
  <c r="C366" i="5"/>
  <c r="AC365" i="5"/>
  <c r="AD365" i="5" s="1"/>
  <c r="AA365" i="5"/>
  <c r="W365" i="5"/>
  <c r="X365" i="5" s="1"/>
  <c r="U365" i="5"/>
  <c r="R365" i="5"/>
  <c r="O365" i="5"/>
  <c r="N365" i="5"/>
  <c r="L365" i="5"/>
  <c r="I365" i="5"/>
  <c r="H365" i="5"/>
  <c r="F365" i="5"/>
  <c r="C365" i="5"/>
  <c r="AC364" i="5"/>
  <c r="AD364" i="5" s="1"/>
  <c r="AA364" i="5"/>
  <c r="W364" i="5"/>
  <c r="X364" i="5" s="1"/>
  <c r="U364" i="5"/>
  <c r="R364" i="5"/>
  <c r="N364" i="5"/>
  <c r="O364" i="5" s="1"/>
  <c r="L364" i="5"/>
  <c r="H364" i="5"/>
  <c r="F364" i="5"/>
  <c r="C364" i="5"/>
  <c r="AC363" i="5"/>
  <c r="AD363" i="5" s="1"/>
  <c r="AA363" i="5"/>
  <c r="X363" i="5"/>
  <c r="W363" i="5"/>
  <c r="U363" i="5"/>
  <c r="R363" i="5"/>
  <c r="O363" i="5"/>
  <c r="N363" i="5"/>
  <c r="L363" i="5"/>
  <c r="H363" i="5"/>
  <c r="I363" i="5" s="1"/>
  <c r="F363" i="5"/>
  <c r="C363" i="5"/>
  <c r="AC362" i="5"/>
  <c r="AD362" i="5" s="1"/>
  <c r="AA362" i="5"/>
  <c r="X362" i="5"/>
  <c r="W362" i="5"/>
  <c r="U362" i="5"/>
  <c r="R362" i="5"/>
  <c r="N362" i="5"/>
  <c r="O362" i="5" s="1"/>
  <c r="L362" i="5"/>
  <c r="H362" i="5"/>
  <c r="I362" i="5" s="1"/>
  <c r="F362" i="5"/>
  <c r="C362" i="5"/>
  <c r="AD361" i="5"/>
  <c r="AC361" i="5"/>
  <c r="AA361" i="5"/>
  <c r="W361" i="5"/>
  <c r="U361" i="5"/>
  <c r="R361" i="5"/>
  <c r="O361" i="5"/>
  <c r="N361" i="5"/>
  <c r="L361" i="5"/>
  <c r="H361" i="5"/>
  <c r="F361" i="5"/>
  <c r="C361" i="5"/>
  <c r="AC360" i="5"/>
  <c r="AD360" i="5" s="1"/>
  <c r="AA360" i="5"/>
  <c r="W360" i="5"/>
  <c r="X360" i="5" s="1"/>
  <c r="U360" i="5"/>
  <c r="R360" i="5"/>
  <c r="N360" i="5"/>
  <c r="O360" i="5" s="1"/>
  <c r="L360" i="5"/>
  <c r="I360" i="5"/>
  <c r="H360" i="5"/>
  <c r="F360" i="5"/>
  <c r="C360" i="5"/>
  <c r="Z358" i="5"/>
  <c r="AA358" i="5" s="1"/>
  <c r="U358" i="5"/>
  <c r="T358" i="5"/>
  <c r="Q358" i="5"/>
  <c r="L358" i="5"/>
  <c r="K358" i="5"/>
  <c r="H358" i="5"/>
  <c r="I358" i="5" s="1"/>
  <c r="E358" i="5"/>
  <c r="F358" i="5" s="1"/>
  <c r="C358" i="5"/>
  <c r="B358" i="5"/>
  <c r="N358" i="5" s="1"/>
  <c r="O358" i="5" s="1"/>
  <c r="AD357" i="5"/>
  <c r="AC357" i="5"/>
  <c r="AA357" i="5"/>
  <c r="X357" i="5"/>
  <c r="W357" i="5"/>
  <c r="U357" i="5"/>
  <c r="R357" i="5"/>
  <c r="O357" i="5"/>
  <c r="N357" i="5"/>
  <c r="L357" i="5"/>
  <c r="I357" i="5"/>
  <c r="H357" i="5"/>
  <c r="F357" i="5"/>
  <c r="C357" i="5"/>
  <c r="AD356" i="5"/>
  <c r="AC356" i="5"/>
  <c r="AA356" i="5"/>
  <c r="W356" i="5"/>
  <c r="X356" i="5" s="1"/>
  <c r="U356" i="5"/>
  <c r="R356" i="5"/>
  <c r="O356" i="5"/>
  <c r="N356" i="5"/>
  <c r="L356" i="5"/>
  <c r="H356" i="5"/>
  <c r="F356" i="5"/>
  <c r="C356" i="5"/>
  <c r="AC355" i="5"/>
  <c r="AD355" i="5" s="1"/>
  <c r="AA355" i="5"/>
  <c r="W355" i="5"/>
  <c r="X355" i="5" s="1"/>
  <c r="U355" i="5"/>
  <c r="R355" i="5"/>
  <c r="O355" i="5"/>
  <c r="N355" i="5"/>
  <c r="L355" i="5"/>
  <c r="I355" i="5"/>
  <c r="H355" i="5"/>
  <c r="F355" i="5"/>
  <c r="C355" i="5"/>
  <c r="AC354" i="5"/>
  <c r="AD354" i="5" s="1"/>
  <c r="AA354" i="5"/>
  <c r="W354" i="5"/>
  <c r="X354" i="5" s="1"/>
  <c r="U354" i="5"/>
  <c r="R354" i="5"/>
  <c r="N354" i="5"/>
  <c r="O354" i="5" s="1"/>
  <c r="L354" i="5"/>
  <c r="H354" i="5"/>
  <c r="I354" i="5" s="1"/>
  <c r="F354" i="5"/>
  <c r="C354" i="5"/>
  <c r="AD353" i="5"/>
  <c r="AC353" i="5"/>
  <c r="AA353" i="5"/>
  <c r="W353" i="5"/>
  <c r="U353" i="5"/>
  <c r="R353" i="5"/>
  <c r="N353" i="5"/>
  <c r="O353" i="5" s="1"/>
  <c r="L353" i="5"/>
  <c r="I353" i="5"/>
  <c r="H353" i="5"/>
  <c r="F353" i="5"/>
  <c r="C353" i="5"/>
  <c r="AD352" i="5"/>
  <c r="AC352" i="5"/>
  <c r="AA352" i="5"/>
  <c r="W352" i="5"/>
  <c r="U352" i="5"/>
  <c r="R352" i="5"/>
  <c r="N352" i="5"/>
  <c r="O352" i="5" s="1"/>
  <c r="L352" i="5"/>
  <c r="I352" i="5"/>
  <c r="H352" i="5"/>
  <c r="F352" i="5"/>
  <c r="C352" i="5"/>
  <c r="AC351" i="5"/>
  <c r="AD351" i="5" s="1"/>
  <c r="AA351" i="5"/>
  <c r="W351" i="5"/>
  <c r="X351" i="5" s="1"/>
  <c r="U351" i="5"/>
  <c r="R351" i="5"/>
  <c r="O351" i="5"/>
  <c r="N351" i="5"/>
  <c r="L351" i="5"/>
  <c r="H351" i="5"/>
  <c r="I351" i="5" s="1"/>
  <c r="F351" i="5"/>
  <c r="C351" i="5"/>
  <c r="AD350" i="5"/>
  <c r="AC350" i="5"/>
  <c r="AA350" i="5"/>
  <c r="W350" i="5"/>
  <c r="U350" i="5"/>
  <c r="R350" i="5"/>
  <c r="N350" i="5"/>
  <c r="O350" i="5" s="1"/>
  <c r="L350" i="5"/>
  <c r="H350" i="5"/>
  <c r="F350" i="5"/>
  <c r="C350" i="5"/>
  <c r="AD349" i="5"/>
  <c r="AC349" i="5"/>
  <c r="AA349" i="5"/>
  <c r="X349" i="5"/>
  <c r="W349" i="5"/>
  <c r="U349" i="5"/>
  <c r="R349" i="5"/>
  <c r="O349" i="5"/>
  <c r="N349" i="5"/>
  <c r="L349" i="5"/>
  <c r="I349" i="5"/>
  <c r="H349" i="5"/>
  <c r="F349" i="5"/>
  <c r="C349" i="5"/>
  <c r="AD347" i="5"/>
  <c r="AC347" i="5"/>
  <c r="AA347" i="5"/>
  <c r="W347" i="5"/>
  <c r="X347" i="5" s="1"/>
  <c r="U347" i="5"/>
  <c r="R347" i="5"/>
  <c r="O347" i="5"/>
  <c r="N347" i="5"/>
  <c r="L347" i="5"/>
  <c r="H347" i="5"/>
  <c r="F347" i="5"/>
  <c r="C347" i="5"/>
  <c r="AD344" i="5"/>
  <c r="Z344" i="5"/>
  <c r="AA344" i="5" s="1"/>
  <c r="U344" i="5"/>
  <c r="T344" i="5"/>
  <c r="W344" i="5" s="1"/>
  <c r="X344" i="5" s="1"/>
  <c r="R344" i="5"/>
  <c r="Q344" i="5"/>
  <c r="AC344" i="5" s="1"/>
  <c r="K344" i="5"/>
  <c r="L344" i="5" s="1"/>
  <c r="H344" i="5"/>
  <c r="I344" i="5" s="1"/>
  <c r="F344" i="5"/>
  <c r="E344" i="5"/>
  <c r="B344" i="5"/>
  <c r="AA343" i="5"/>
  <c r="Z343" i="5"/>
  <c r="U343" i="5"/>
  <c r="T343" i="5"/>
  <c r="Q343" i="5"/>
  <c r="AC343" i="5" s="1"/>
  <c r="AD343" i="5" s="1"/>
  <c r="L343" i="5"/>
  <c r="K343" i="5"/>
  <c r="E343" i="5"/>
  <c r="F343" i="5" s="1"/>
  <c r="B343" i="5"/>
  <c r="AA342" i="5"/>
  <c r="Z342" i="5"/>
  <c r="W342" i="5"/>
  <c r="X342" i="5" s="1"/>
  <c r="U342" i="5"/>
  <c r="T342" i="5"/>
  <c r="R342" i="5"/>
  <c r="Q342" i="5"/>
  <c r="AC342" i="5" s="1"/>
  <c r="AD342" i="5" s="1"/>
  <c r="N342" i="5"/>
  <c r="O342" i="5" s="1"/>
  <c r="K342" i="5"/>
  <c r="L342" i="5" s="1"/>
  <c r="F342" i="5"/>
  <c r="E342" i="5"/>
  <c r="C342" i="5"/>
  <c r="B342" i="5"/>
  <c r="H342" i="5" s="1"/>
  <c r="I342" i="5" s="1"/>
  <c r="AC341" i="5"/>
  <c r="AD341" i="5" s="1"/>
  <c r="AA341" i="5"/>
  <c r="X341" i="5"/>
  <c r="W341" i="5"/>
  <c r="U341" i="5"/>
  <c r="R341" i="5"/>
  <c r="O341" i="5"/>
  <c r="N341" i="5"/>
  <c r="L341" i="5"/>
  <c r="H341" i="5"/>
  <c r="I341" i="5" s="1"/>
  <c r="F341" i="5"/>
  <c r="C341" i="5"/>
  <c r="AC340" i="5"/>
  <c r="AD340" i="5" s="1"/>
  <c r="AA340" i="5"/>
  <c r="X340" i="5"/>
  <c r="W340" i="5"/>
  <c r="U340" i="5"/>
  <c r="R340" i="5"/>
  <c r="N340" i="5"/>
  <c r="O340" i="5" s="1"/>
  <c r="L340" i="5"/>
  <c r="H340" i="5"/>
  <c r="I340" i="5" s="1"/>
  <c r="F340" i="5"/>
  <c r="C340" i="5"/>
  <c r="AD339" i="5"/>
  <c r="AC339" i="5"/>
  <c r="AA339" i="5"/>
  <c r="W339" i="5"/>
  <c r="U339" i="5"/>
  <c r="R339" i="5"/>
  <c r="O339" i="5"/>
  <c r="N339" i="5"/>
  <c r="L339" i="5"/>
  <c r="H339" i="5"/>
  <c r="F339" i="5"/>
  <c r="C339" i="5"/>
  <c r="AC338" i="5"/>
  <c r="AD338" i="5" s="1"/>
  <c r="AA338" i="5"/>
  <c r="W338" i="5"/>
  <c r="X338" i="5" s="1"/>
  <c r="U338" i="5"/>
  <c r="R338" i="5"/>
  <c r="N338" i="5"/>
  <c r="O338" i="5" s="1"/>
  <c r="L338" i="5"/>
  <c r="I338" i="5"/>
  <c r="H338" i="5"/>
  <c r="F338" i="5"/>
  <c r="C338" i="5"/>
  <c r="AC337" i="5"/>
  <c r="AD337" i="5" s="1"/>
  <c r="AA337" i="5"/>
  <c r="X337" i="5"/>
  <c r="W337" i="5"/>
  <c r="U337" i="5"/>
  <c r="R337" i="5"/>
  <c r="O337" i="5"/>
  <c r="N337" i="5"/>
  <c r="L337" i="5"/>
  <c r="H337" i="5"/>
  <c r="I337" i="5" s="1"/>
  <c r="F337" i="5"/>
  <c r="C337" i="5"/>
  <c r="AC335" i="5"/>
  <c r="AD335" i="5" s="1"/>
  <c r="AA335" i="5"/>
  <c r="W335" i="5"/>
  <c r="X335" i="5" s="1"/>
  <c r="U335" i="5"/>
  <c r="R335" i="5"/>
  <c r="N335" i="5"/>
  <c r="O335" i="5" s="1"/>
  <c r="L335" i="5"/>
  <c r="H335" i="5"/>
  <c r="I335" i="5" s="1"/>
  <c r="F335" i="5"/>
  <c r="C335" i="5"/>
  <c r="AD334" i="5"/>
  <c r="AC334" i="5"/>
  <c r="AA334" i="5"/>
  <c r="X334" i="5"/>
  <c r="W334" i="5"/>
  <c r="U334" i="5"/>
  <c r="R334" i="5"/>
  <c r="N334" i="5"/>
  <c r="O334" i="5" s="1"/>
  <c r="L334" i="5"/>
  <c r="H334" i="5"/>
  <c r="I334" i="5" s="1"/>
  <c r="F334" i="5"/>
  <c r="C334" i="5"/>
  <c r="AD333" i="5"/>
  <c r="AC333" i="5"/>
  <c r="AA333" i="5"/>
  <c r="W333" i="5"/>
  <c r="X333" i="5" s="1"/>
  <c r="U333" i="5"/>
  <c r="R333" i="5"/>
  <c r="N333" i="5"/>
  <c r="O333" i="5" s="1"/>
  <c r="L333" i="5"/>
  <c r="H333" i="5"/>
  <c r="F333" i="5"/>
  <c r="C333" i="5"/>
  <c r="AC332" i="5"/>
  <c r="AD332" i="5" s="1"/>
  <c r="AA332" i="5"/>
  <c r="X332" i="5"/>
  <c r="W332" i="5"/>
  <c r="U332" i="5"/>
  <c r="R332" i="5"/>
  <c r="O332" i="5"/>
  <c r="N332" i="5"/>
  <c r="L332" i="5"/>
  <c r="H332" i="5"/>
  <c r="I332" i="5" s="1"/>
  <c r="F332" i="5"/>
  <c r="C332" i="5"/>
  <c r="AC331" i="5"/>
  <c r="AD331" i="5" s="1"/>
  <c r="AA331" i="5"/>
  <c r="X331" i="5"/>
  <c r="W331" i="5"/>
  <c r="U331" i="5"/>
  <c r="R331" i="5"/>
  <c r="N331" i="5"/>
  <c r="O331" i="5" s="1"/>
  <c r="L331" i="5"/>
  <c r="H331" i="5"/>
  <c r="I331" i="5" s="1"/>
  <c r="F331" i="5"/>
  <c r="C331" i="5"/>
  <c r="AD330" i="5"/>
  <c r="AC330" i="5"/>
  <c r="AA330" i="5"/>
  <c r="W330" i="5"/>
  <c r="U330" i="5"/>
  <c r="R330" i="5"/>
  <c r="O330" i="5"/>
  <c r="N330" i="5"/>
  <c r="L330" i="5"/>
  <c r="H330" i="5"/>
  <c r="F330" i="5"/>
  <c r="C330" i="5"/>
  <c r="AC329" i="5"/>
  <c r="AD329" i="5" s="1"/>
  <c r="AA329" i="5"/>
  <c r="W329" i="5"/>
  <c r="X329" i="5" s="1"/>
  <c r="U329" i="5"/>
  <c r="R329" i="5"/>
  <c r="N329" i="5"/>
  <c r="O329" i="5" s="1"/>
  <c r="L329" i="5"/>
  <c r="I329" i="5"/>
  <c r="H329" i="5"/>
  <c r="F329" i="5"/>
  <c r="C329" i="5"/>
  <c r="AC328" i="5"/>
  <c r="AD328" i="5" s="1"/>
  <c r="AA328" i="5"/>
  <c r="X328" i="5"/>
  <c r="W328" i="5"/>
  <c r="U328" i="5"/>
  <c r="R328" i="5"/>
  <c r="O328" i="5"/>
  <c r="N328" i="5"/>
  <c r="L328" i="5"/>
  <c r="H328" i="5"/>
  <c r="I328" i="5" s="1"/>
  <c r="F328" i="5"/>
  <c r="C328" i="5"/>
  <c r="AC325" i="5"/>
  <c r="AD325" i="5" s="1"/>
  <c r="Z325" i="5"/>
  <c r="AA325" i="5" s="1"/>
  <c r="W325" i="5"/>
  <c r="X325" i="5" s="1"/>
  <c r="U325" i="5"/>
  <c r="T325" i="5"/>
  <c r="R325" i="5"/>
  <c r="Q325" i="5"/>
  <c r="N325" i="5"/>
  <c r="O325" i="5" s="1"/>
  <c r="L325" i="5"/>
  <c r="K325" i="5"/>
  <c r="F325" i="5"/>
  <c r="E325" i="5"/>
  <c r="B325" i="5"/>
  <c r="AC324" i="5"/>
  <c r="AD324" i="5" s="1"/>
  <c r="AA324" i="5"/>
  <c r="Z324" i="5"/>
  <c r="W324" i="5"/>
  <c r="X324" i="5" s="1"/>
  <c r="T324" i="5"/>
  <c r="U324" i="5" s="1"/>
  <c r="R324" i="5"/>
  <c r="Q324" i="5"/>
  <c r="O324" i="5"/>
  <c r="L324" i="5"/>
  <c r="K324" i="5"/>
  <c r="F324" i="5"/>
  <c r="E324" i="5"/>
  <c r="H324" i="5" s="1"/>
  <c r="I324" i="5" s="1"/>
  <c r="C324" i="5"/>
  <c r="B324" i="5"/>
  <c r="N324" i="5" s="1"/>
  <c r="AD323" i="5"/>
  <c r="AC323" i="5"/>
  <c r="AA323" i="5"/>
  <c r="W323" i="5"/>
  <c r="X323" i="5" s="1"/>
  <c r="U323" i="5"/>
  <c r="R323" i="5"/>
  <c r="N323" i="5"/>
  <c r="O323" i="5" s="1"/>
  <c r="L323" i="5"/>
  <c r="H323" i="5"/>
  <c r="F323" i="5"/>
  <c r="C323" i="5"/>
  <c r="AD322" i="5"/>
  <c r="AC322" i="5"/>
  <c r="AA322" i="5"/>
  <c r="W322" i="5"/>
  <c r="U322" i="5"/>
  <c r="R322" i="5"/>
  <c r="N322" i="5"/>
  <c r="O322" i="5" s="1"/>
  <c r="L322" i="5"/>
  <c r="I322" i="5"/>
  <c r="H322" i="5"/>
  <c r="F322" i="5"/>
  <c r="C322" i="5"/>
  <c r="AC321" i="5"/>
  <c r="AD321" i="5" s="1"/>
  <c r="AA321" i="5"/>
  <c r="W321" i="5"/>
  <c r="X321" i="5" s="1"/>
  <c r="U321" i="5"/>
  <c r="R321" i="5"/>
  <c r="O321" i="5"/>
  <c r="N321" i="5"/>
  <c r="L321" i="5"/>
  <c r="I321" i="5"/>
  <c r="H321" i="5"/>
  <c r="F321" i="5"/>
  <c r="C321" i="5"/>
  <c r="AC320" i="5"/>
  <c r="AD320" i="5" s="1"/>
  <c r="AA320" i="5"/>
  <c r="W320" i="5"/>
  <c r="U320" i="5"/>
  <c r="R320" i="5"/>
  <c r="O320" i="5"/>
  <c r="N320" i="5"/>
  <c r="L320" i="5"/>
  <c r="I320" i="5"/>
  <c r="H320" i="5"/>
  <c r="F320" i="5"/>
  <c r="C320" i="5"/>
  <c r="AD319" i="5"/>
  <c r="AC319" i="5"/>
  <c r="AA319" i="5"/>
  <c r="W319" i="5"/>
  <c r="X319" i="5" s="1"/>
  <c r="U319" i="5"/>
  <c r="R319" i="5"/>
  <c r="N319" i="5"/>
  <c r="O319" i="5" s="1"/>
  <c r="L319" i="5"/>
  <c r="H319" i="5"/>
  <c r="I319" i="5" s="1"/>
  <c r="F319" i="5"/>
  <c r="C319" i="5"/>
  <c r="AD318" i="5"/>
  <c r="AC318" i="5"/>
  <c r="AA318" i="5"/>
  <c r="X318" i="5"/>
  <c r="W318" i="5"/>
  <c r="U318" i="5"/>
  <c r="R318" i="5"/>
  <c r="N318" i="5"/>
  <c r="O318" i="5" s="1"/>
  <c r="L318" i="5"/>
  <c r="H318" i="5"/>
  <c r="I318" i="5" s="1"/>
  <c r="F318" i="5"/>
  <c r="C318" i="5"/>
  <c r="AD317" i="5"/>
  <c r="AC317" i="5"/>
  <c r="AA317" i="5"/>
  <c r="W317" i="5"/>
  <c r="U317" i="5"/>
  <c r="R317" i="5"/>
  <c r="O317" i="5"/>
  <c r="N317" i="5"/>
  <c r="L317" i="5"/>
  <c r="H317" i="5"/>
  <c r="F317" i="5"/>
  <c r="C317" i="5"/>
  <c r="AC316" i="5"/>
  <c r="AD316" i="5" s="1"/>
  <c r="AA316" i="5"/>
  <c r="X316" i="5"/>
  <c r="W316" i="5"/>
  <c r="U316" i="5"/>
  <c r="R316" i="5"/>
  <c r="O316" i="5"/>
  <c r="N316" i="5"/>
  <c r="L316" i="5"/>
  <c r="I316" i="5"/>
  <c r="H316" i="5"/>
  <c r="F316" i="5"/>
  <c r="C316" i="5"/>
  <c r="AD315" i="5"/>
  <c r="AC315" i="5"/>
  <c r="AA315" i="5"/>
  <c r="W315" i="5"/>
  <c r="X315" i="5" s="1"/>
  <c r="U315" i="5"/>
  <c r="R315" i="5"/>
  <c r="N315" i="5"/>
  <c r="O315" i="5" s="1"/>
  <c r="L315" i="5"/>
  <c r="H315" i="5"/>
  <c r="F315" i="5"/>
  <c r="C315" i="5"/>
  <c r="AD314" i="5"/>
  <c r="AC314" i="5"/>
  <c r="AA314" i="5"/>
  <c r="W314" i="5"/>
  <c r="U314" i="5"/>
  <c r="R314" i="5"/>
  <c r="N314" i="5"/>
  <c r="O314" i="5" s="1"/>
  <c r="L314" i="5"/>
  <c r="I314" i="5"/>
  <c r="H314" i="5"/>
  <c r="F314" i="5"/>
  <c r="C314" i="5"/>
  <c r="AC313" i="5"/>
  <c r="AD313" i="5" s="1"/>
  <c r="AA313" i="5"/>
  <c r="W313" i="5"/>
  <c r="X313" i="5" s="1"/>
  <c r="U313" i="5"/>
  <c r="R313" i="5"/>
  <c r="O313" i="5"/>
  <c r="N313" i="5"/>
  <c r="L313" i="5"/>
  <c r="I313" i="5"/>
  <c r="H313" i="5"/>
  <c r="F313" i="5"/>
  <c r="C313" i="5"/>
  <c r="AC312" i="5"/>
  <c r="AD312" i="5" s="1"/>
  <c r="AA312" i="5"/>
  <c r="W312" i="5"/>
  <c r="U312" i="5"/>
  <c r="R312" i="5"/>
  <c r="O312" i="5"/>
  <c r="N312" i="5"/>
  <c r="L312" i="5"/>
  <c r="I312" i="5"/>
  <c r="H312" i="5"/>
  <c r="F312" i="5"/>
  <c r="C312" i="5"/>
  <c r="AD311" i="5"/>
  <c r="AC311" i="5"/>
  <c r="AA311" i="5"/>
  <c r="W311" i="5"/>
  <c r="X311" i="5" s="1"/>
  <c r="U311" i="5"/>
  <c r="R311" i="5"/>
  <c r="N311" i="5"/>
  <c r="O311" i="5" s="1"/>
  <c r="L311" i="5"/>
  <c r="H311" i="5"/>
  <c r="I311" i="5" s="1"/>
  <c r="F311" i="5"/>
  <c r="C311" i="5"/>
  <c r="AD310" i="5"/>
  <c r="AC310" i="5"/>
  <c r="AA310" i="5"/>
  <c r="X310" i="5"/>
  <c r="W310" i="5"/>
  <c r="U310" i="5"/>
  <c r="R310" i="5"/>
  <c r="N310" i="5"/>
  <c r="O310" i="5" s="1"/>
  <c r="L310" i="5"/>
  <c r="H310" i="5"/>
  <c r="I310" i="5" s="1"/>
  <c r="F310" i="5"/>
  <c r="C310" i="5"/>
  <c r="AD309" i="5"/>
  <c r="AC309" i="5"/>
  <c r="AA309" i="5"/>
  <c r="W309" i="5"/>
  <c r="U309" i="5"/>
  <c r="R309" i="5"/>
  <c r="O309" i="5"/>
  <c r="N309" i="5"/>
  <c r="L309" i="5"/>
  <c r="H309" i="5"/>
  <c r="F309" i="5"/>
  <c r="C309" i="5"/>
  <c r="AC308" i="5"/>
  <c r="AD308" i="5" s="1"/>
  <c r="AA308" i="5"/>
  <c r="X308" i="5"/>
  <c r="W308" i="5"/>
  <c r="U308" i="5"/>
  <c r="R308" i="5"/>
  <c r="O308" i="5"/>
  <c r="N308" i="5"/>
  <c r="L308" i="5"/>
  <c r="I308" i="5"/>
  <c r="H308" i="5"/>
  <c r="F308" i="5"/>
  <c r="C308" i="5"/>
  <c r="AD307" i="5"/>
  <c r="AC307" i="5"/>
  <c r="AA307" i="5"/>
  <c r="W307" i="5"/>
  <c r="X307" i="5" s="1"/>
  <c r="U307" i="5"/>
  <c r="R307" i="5"/>
  <c r="N307" i="5"/>
  <c r="O307" i="5" s="1"/>
  <c r="L307" i="5"/>
  <c r="H307" i="5"/>
  <c r="F307" i="5"/>
  <c r="C307" i="5"/>
  <c r="AD306" i="5"/>
  <c r="AC306" i="5"/>
  <c r="AA306" i="5"/>
  <c r="W306" i="5"/>
  <c r="U306" i="5"/>
  <c r="R306" i="5"/>
  <c r="N306" i="5"/>
  <c r="O306" i="5" s="1"/>
  <c r="L306" i="5"/>
  <c r="I306" i="5"/>
  <c r="H306" i="5"/>
  <c r="F306" i="5"/>
  <c r="C306" i="5"/>
  <c r="AC305" i="5"/>
  <c r="AD305" i="5" s="1"/>
  <c r="AA305" i="5"/>
  <c r="W305" i="5"/>
  <c r="X305" i="5" s="1"/>
  <c r="U305" i="5"/>
  <c r="R305" i="5"/>
  <c r="O305" i="5"/>
  <c r="N305" i="5"/>
  <c r="L305" i="5"/>
  <c r="I305" i="5"/>
  <c r="H305" i="5"/>
  <c r="F305" i="5"/>
  <c r="C305" i="5"/>
  <c r="AC304" i="5"/>
  <c r="AD304" i="5" s="1"/>
  <c r="AA304" i="5"/>
  <c r="W304" i="5"/>
  <c r="U304" i="5"/>
  <c r="R304" i="5"/>
  <c r="O304" i="5"/>
  <c r="N304" i="5"/>
  <c r="L304" i="5"/>
  <c r="I304" i="5"/>
  <c r="H304" i="5"/>
  <c r="F304" i="5"/>
  <c r="C304" i="5"/>
  <c r="AD303" i="5"/>
  <c r="AC303" i="5"/>
  <c r="AA303" i="5"/>
  <c r="W303" i="5"/>
  <c r="X303" i="5" s="1"/>
  <c r="U303" i="5"/>
  <c r="R303" i="5"/>
  <c r="N303" i="5"/>
  <c r="O303" i="5" s="1"/>
  <c r="L303" i="5"/>
  <c r="H303" i="5"/>
  <c r="I303" i="5" s="1"/>
  <c r="F303" i="5"/>
  <c r="C303" i="5"/>
  <c r="AD302" i="5"/>
  <c r="AC302" i="5"/>
  <c r="AA302" i="5"/>
  <c r="X302" i="5"/>
  <c r="W302" i="5"/>
  <c r="U302" i="5"/>
  <c r="R302" i="5"/>
  <c r="N302" i="5"/>
  <c r="O302" i="5" s="1"/>
  <c r="L302" i="5"/>
  <c r="H302" i="5"/>
  <c r="I302" i="5" s="1"/>
  <c r="F302" i="5"/>
  <c r="C302" i="5"/>
  <c r="AD301" i="5"/>
  <c r="AC301" i="5"/>
  <c r="AA301" i="5"/>
  <c r="W301" i="5"/>
  <c r="U301" i="5"/>
  <c r="R301" i="5"/>
  <c r="O301" i="5"/>
  <c r="N301" i="5"/>
  <c r="L301" i="5"/>
  <c r="H301" i="5"/>
  <c r="F301" i="5"/>
  <c r="C301" i="5"/>
  <c r="AC300" i="5"/>
  <c r="AD300" i="5" s="1"/>
  <c r="AA300" i="5"/>
  <c r="X300" i="5"/>
  <c r="W300" i="5"/>
  <c r="U300" i="5"/>
  <c r="R300" i="5"/>
  <c r="O300" i="5"/>
  <c r="N300" i="5"/>
  <c r="L300" i="5"/>
  <c r="I300" i="5"/>
  <c r="H300" i="5"/>
  <c r="F300" i="5"/>
  <c r="C300" i="5"/>
  <c r="AD299" i="5"/>
  <c r="AC299" i="5"/>
  <c r="AA299" i="5"/>
  <c r="W299" i="5"/>
  <c r="X299" i="5" s="1"/>
  <c r="U299" i="5"/>
  <c r="R299" i="5"/>
  <c r="N299" i="5"/>
  <c r="O299" i="5" s="1"/>
  <c r="L299" i="5"/>
  <c r="H299" i="5"/>
  <c r="F299" i="5"/>
  <c r="C299" i="5"/>
  <c r="AD298" i="5"/>
  <c r="AC298" i="5"/>
  <c r="AA298" i="5"/>
  <c r="W298" i="5"/>
  <c r="U298" i="5"/>
  <c r="R298" i="5"/>
  <c r="N298" i="5"/>
  <c r="O298" i="5" s="1"/>
  <c r="L298" i="5"/>
  <c r="I298" i="5"/>
  <c r="H298" i="5"/>
  <c r="F298" i="5"/>
  <c r="C298" i="5"/>
  <c r="AC297" i="5"/>
  <c r="AD297" i="5" s="1"/>
  <c r="AA297" i="5"/>
  <c r="W297" i="5"/>
  <c r="X297" i="5" s="1"/>
  <c r="U297" i="5"/>
  <c r="R297" i="5"/>
  <c r="O297" i="5"/>
  <c r="N297" i="5"/>
  <c r="L297" i="5"/>
  <c r="I297" i="5"/>
  <c r="H297" i="5"/>
  <c r="F297" i="5"/>
  <c r="C297" i="5"/>
  <c r="AA295" i="5"/>
  <c r="Z295" i="5"/>
  <c r="T295" i="5"/>
  <c r="U295" i="5" s="1"/>
  <c r="Q295" i="5"/>
  <c r="AC295" i="5" s="1"/>
  <c r="AD295" i="5" s="1"/>
  <c r="L295" i="5"/>
  <c r="K295" i="5"/>
  <c r="E295" i="5"/>
  <c r="F295" i="5" s="1"/>
  <c r="C295" i="5"/>
  <c r="B295" i="5"/>
  <c r="AD294" i="5"/>
  <c r="AC294" i="5"/>
  <c r="AA294" i="5"/>
  <c r="W294" i="5"/>
  <c r="U294" i="5"/>
  <c r="R294" i="5"/>
  <c r="O294" i="5"/>
  <c r="N294" i="5"/>
  <c r="L294" i="5"/>
  <c r="H294" i="5"/>
  <c r="F294" i="5"/>
  <c r="C294" i="5"/>
  <c r="AD293" i="5"/>
  <c r="AC293" i="5"/>
  <c r="AA293" i="5"/>
  <c r="W293" i="5"/>
  <c r="X293" i="5" s="1"/>
  <c r="U293" i="5"/>
  <c r="R293" i="5"/>
  <c r="N293" i="5"/>
  <c r="O293" i="5" s="1"/>
  <c r="L293" i="5"/>
  <c r="I293" i="5"/>
  <c r="H293" i="5"/>
  <c r="F293" i="5"/>
  <c r="C293" i="5"/>
  <c r="AC292" i="5"/>
  <c r="AD292" i="5" s="1"/>
  <c r="AA292" i="5"/>
  <c r="X292" i="5"/>
  <c r="W292" i="5"/>
  <c r="U292" i="5"/>
  <c r="R292" i="5"/>
  <c r="O292" i="5"/>
  <c r="N292" i="5"/>
  <c r="L292" i="5"/>
  <c r="H292" i="5"/>
  <c r="I292" i="5" s="1"/>
  <c r="F292" i="5"/>
  <c r="C292" i="5"/>
  <c r="AC291" i="5"/>
  <c r="AD291" i="5" s="1"/>
  <c r="AA291" i="5"/>
  <c r="W291" i="5"/>
  <c r="X291" i="5" s="1"/>
  <c r="U291" i="5"/>
  <c r="R291" i="5"/>
  <c r="N291" i="5"/>
  <c r="O291" i="5" s="1"/>
  <c r="L291" i="5"/>
  <c r="H291" i="5"/>
  <c r="I291" i="5" s="1"/>
  <c r="F291" i="5"/>
  <c r="C291" i="5"/>
  <c r="AD290" i="5"/>
  <c r="AC290" i="5"/>
  <c r="AA290" i="5"/>
  <c r="X290" i="5"/>
  <c r="W290" i="5"/>
  <c r="U290" i="5"/>
  <c r="R290" i="5"/>
  <c r="N290" i="5"/>
  <c r="O290" i="5" s="1"/>
  <c r="L290" i="5"/>
  <c r="I290" i="5"/>
  <c r="H290" i="5"/>
  <c r="F290" i="5"/>
  <c r="C290" i="5"/>
  <c r="AD289" i="5"/>
  <c r="AC289" i="5"/>
  <c r="AA289" i="5"/>
  <c r="W289" i="5"/>
  <c r="X289" i="5" s="1"/>
  <c r="U289" i="5"/>
  <c r="R289" i="5"/>
  <c r="N289" i="5"/>
  <c r="O289" i="5" s="1"/>
  <c r="L289" i="5"/>
  <c r="H289" i="5"/>
  <c r="F289" i="5"/>
  <c r="C289" i="5"/>
  <c r="AC288" i="5"/>
  <c r="AD288" i="5" s="1"/>
  <c r="AA288" i="5"/>
  <c r="X288" i="5"/>
  <c r="W288" i="5"/>
  <c r="U288" i="5"/>
  <c r="R288" i="5"/>
  <c r="O288" i="5"/>
  <c r="N288" i="5"/>
  <c r="L288" i="5"/>
  <c r="H288" i="5"/>
  <c r="I288" i="5" s="1"/>
  <c r="F288" i="5"/>
  <c r="C288" i="5"/>
  <c r="AC287" i="5"/>
  <c r="AD287" i="5" s="1"/>
  <c r="AA287" i="5"/>
  <c r="X287" i="5"/>
  <c r="W287" i="5"/>
  <c r="U287" i="5"/>
  <c r="R287" i="5"/>
  <c r="N287" i="5"/>
  <c r="O287" i="5" s="1"/>
  <c r="L287" i="5"/>
  <c r="H287" i="5"/>
  <c r="I287" i="5" s="1"/>
  <c r="F287" i="5"/>
  <c r="C287" i="5"/>
  <c r="AD286" i="5"/>
  <c r="AC286" i="5"/>
  <c r="AA286" i="5"/>
  <c r="W286" i="5"/>
  <c r="U286" i="5"/>
  <c r="R286" i="5"/>
  <c r="O286" i="5"/>
  <c r="N286" i="5"/>
  <c r="L286" i="5"/>
  <c r="H286" i="5"/>
  <c r="F286" i="5"/>
  <c r="C286" i="5"/>
  <c r="AA284" i="5"/>
  <c r="Z284" i="5"/>
  <c r="T284" i="5"/>
  <c r="U284" i="5" s="1"/>
  <c r="R284" i="5"/>
  <c r="Q284" i="5"/>
  <c r="W284" i="5" s="1"/>
  <c r="X284" i="5" s="1"/>
  <c r="K284" i="5"/>
  <c r="L284" i="5" s="1"/>
  <c r="E284" i="5"/>
  <c r="H284" i="5" s="1"/>
  <c r="I284" i="5" s="1"/>
  <c r="C284" i="5"/>
  <c r="B284" i="5"/>
  <c r="AD283" i="5"/>
  <c r="AC283" i="5"/>
  <c r="AA283" i="5"/>
  <c r="W283" i="5"/>
  <c r="U283" i="5"/>
  <c r="R283" i="5"/>
  <c r="N283" i="5"/>
  <c r="O283" i="5" s="1"/>
  <c r="L283" i="5"/>
  <c r="H283" i="5"/>
  <c r="F283" i="5"/>
  <c r="C283" i="5"/>
  <c r="AD282" i="5"/>
  <c r="AC282" i="5"/>
  <c r="AA282" i="5"/>
  <c r="X282" i="5"/>
  <c r="W282" i="5"/>
  <c r="U282" i="5"/>
  <c r="R282" i="5"/>
  <c r="O282" i="5"/>
  <c r="N282" i="5"/>
  <c r="L282" i="5"/>
  <c r="I282" i="5"/>
  <c r="H282" i="5"/>
  <c r="F282" i="5"/>
  <c r="C282" i="5"/>
  <c r="AD281" i="5"/>
  <c r="AC281" i="5"/>
  <c r="AA281" i="5"/>
  <c r="W281" i="5"/>
  <c r="X281" i="5" s="1"/>
  <c r="U281" i="5"/>
  <c r="R281" i="5"/>
  <c r="O281" i="5"/>
  <c r="N281" i="5"/>
  <c r="L281" i="5"/>
  <c r="H281" i="5"/>
  <c r="F281" i="5"/>
  <c r="C281" i="5"/>
  <c r="AC280" i="5"/>
  <c r="AD280" i="5" s="1"/>
  <c r="AA280" i="5"/>
  <c r="W280" i="5"/>
  <c r="X280" i="5" s="1"/>
  <c r="U280" i="5"/>
  <c r="R280" i="5"/>
  <c r="O280" i="5"/>
  <c r="N280" i="5"/>
  <c r="L280" i="5"/>
  <c r="I280" i="5"/>
  <c r="H280" i="5"/>
  <c r="F280" i="5"/>
  <c r="C280" i="5"/>
  <c r="AC279" i="5"/>
  <c r="AD279" i="5" s="1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D278" i="5"/>
  <c r="AC278" i="5"/>
  <c r="AA278" i="5"/>
  <c r="W278" i="5"/>
  <c r="U278" i="5"/>
  <c r="R278" i="5"/>
  <c r="O278" i="5"/>
  <c r="N278" i="5"/>
  <c r="L278" i="5"/>
  <c r="I278" i="5"/>
  <c r="H278" i="5"/>
  <c r="F278" i="5"/>
  <c r="C278" i="5"/>
  <c r="AD277" i="5"/>
  <c r="AC277" i="5"/>
  <c r="AA277" i="5"/>
  <c r="W277" i="5"/>
  <c r="U277" i="5"/>
  <c r="R277" i="5"/>
  <c r="N277" i="5"/>
  <c r="O277" i="5" s="1"/>
  <c r="L277" i="5"/>
  <c r="I277" i="5"/>
  <c r="H277" i="5"/>
  <c r="F277" i="5"/>
  <c r="C277" i="5"/>
  <c r="AC276" i="5"/>
  <c r="AD276" i="5" s="1"/>
  <c r="AA276" i="5"/>
  <c r="W276" i="5"/>
  <c r="X276" i="5" s="1"/>
  <c r="U276" i="5"/>
  <c r="R276" i="5"/>
  <c r="O276" i="5"/>
  <c r="N276" i="5"/>
  <c r="L276" i="5"/>
  <c r="H276" i="5"/>
  <c r="I276" i="5" s="1"/>
  <c r="F276" i="5"/>
  <c r="C276" i="5"/>
  <c r="AD275" i="5"/>
  <c r="AC275" i="5"/>
  <c r="AA275" i="5"/>
  <c r="W275" i="5"/>
  <c r="U275" i="5"/>
  <c r="R275" i="5"/>
  <c r="N275" i="5"/>
  <c r="O275" i="5" s="1"/>
  <c r="L275" i="5"/>
  <c r="H275" i="5"/>
  <c r="F275" i="5"/>
  <c r="C275" i="5"/>
  <c r="Z273" i="5"/>
  <c r="AA273" i="5" s="1"/>
  <c r="W273" i="5"/>
  <c r="X273" i="5" s="1"/>
  <c r="U273" i="5"/>
  <c r="T273" i="5"/>
  <c r="R273" i="5"/>
  <c r="Q273" i="5"/>
  <c r="K273" i="5"/>
  <c r="I273" i="5"/>
  <c r="H273" i="5"/>
  <c r="F273" i="5"/>
  <c r="E273" i="5"/>
  <c r="C273" i="5"/>
  <c r="B273" i="5"/>
  <c r="AC272" i="5"/>
  <c r="AD272" i="5" s="1"/>
  <c r="AA272" i="5"/>
  <c r="X272" i="5"/>
  <c r="W272" i="5"/>
  <c r="U272" i="5"/>
  <c r="R272" i="5"/>
  <c r="O272" i="5"/>
  <c r="N272" i="5"/>
  <c r="L272" i="5"/>
  <c r="I272" i="5"/>
  <c r="H272" i="5"/>
  <c r="F272" i="5"/>
  <c r="C272" i="5"/>
  <c r="AD271" i="5"/>
  <c r="AC271" i="5"/>
  <c r="AA271" i="5"/>
  <c r="W271" i="5"/>
  <c r="X271" i="5" s="1"/>
  <c r="U271" i="5"/>
  <c r="R271" i="5"/>
  <c r="N271" i="5"/>
  <c r="O271" i="5" s="1"/>
  <c r="L271" i="5"/>
  <c r="H271" i="5"/>
  <c r="F271" i="5"/>
  <c r="C271" i="5"/>
  <c r="AD270" i="5"/>
  <c r="AC270" i="5"/>
  <c r="AA270" i="5"/>
  <c r="W270" i="5"/>
  <c r="U270" i="5"/>
  <c r="R270" i="5"/>
  <c r="N270" i="5"/>
  <c r="O270" i="5" s="1"/>
  <c r="L270" i="5"/>
  <c r="I270" i="5"/>
  <c r="H270" i="5"/>
  <c r="F270" i="5"/>
  <c r="C270" i="5"/>
  <c r="AC269" i="5"/>
  <c r="AD269" i="5" s="1"/>
  <c r="AA269" i="5"/>
  <c r="W269" i="5"/>
  <c r="X269" i="5" s="1"/>
  <c r="U269" i="5"/>
  <c r="R269" i="5"/>
  <c r="O269" i="5"/>
  <c r="N269" i="5"/>
  <c r="L269" i="5"/>
  <c r="I269" i="5"/>
  <c r="H269" i="5"/>
  <c r="F269" i="5"/>
  <c r="C269" i="5"/>
  <c r="AA267" i="5"/>
  <c r="Z267" i="5"/>
  <c r="T267" i="5"/>
  <c r="U267" i="5" s="1"/>
  <c r="Q267" i="5"/>
  <c r="AC267" i="5" s="1"/>
  <c r="AD267" i="5" s="1"/>
  <c r="L267" i="5"/>
  <c r="K267" i="5"/>
  <c r="E267" i="5"/>
  <c r="C267" i="5"/>
  <c r="B267" i="5"/>
  <c r="N267" i="5" s="1"/>
  <c r="O267" i="5" s="1"/>
  <c r="AD266" i="5"/>
  <c r="AC266" i="5"/>
  <c r="AA266" i="5"/>
  <c r="W266" i="5"/>
  <c r="U266" i="5"/>
  <c r="R266" i="5"/>
  <c r="O266" i="5"/>
  <c r="N266" i="5"/>
  <c r="L266" i="5"/>
  <c r="H266" i="5"/>
  <c r="F266" i="5"/>
  <c r="C266" i="5"/>
  <c r="AC265" i="5"/>
  <c r="AD265" i="5" s="1"/>
  <c r="AA265" i="5"/>
  <c r="W265" i="5"/>
  <c r="X265" i="5" s="1"/>
  <c r="U265" i="5"/>
  <c r="R265" i="5"/>
  <c r="N265" i="5"/>
  <c r="O265" i="5" s="1"/>
  <c r="L265" i="5"/>
  <c r="I265" i="5"/>
  <c r="H265" i="5"/>
  <c r="F265" i="5"/>
  <c r="C265" i="5"/>
  <c r="Z263" i="5"/>
  <c r="AA263" i="5" s="1"/>
  <c r="U263" i="5"/>
  <c r="T263" i="5"/>
  <c r="Q263" i="5"/>
  <c r="L263" i="5"/>
  <c r="K263" i="5"/>
  <c r="H263" i="5"/>
  <c r="I263" i="5" s="1"/>
  <c r="E263" i="5"/>
  <c r="F263" i="5" s="1"/>
  <c r="C263" i="5"/>
  <c r="B263" i="5"/>
  <c r="N263" i="5" s="1"/>
  <c r="O263" i="5" s="1"/>
  <c r="Z262" i="5"/>
  <c r="AA262" i="5" s="1"/>
  <c r="W262" i="5"/>
  <c r="X262" i="5" s="1"/>
  <c r="U262" i="5"/>
  <c r="T262" i="5"/>
  <c r="R262" i="5"/>
  <c r="Q262" i="5"/>
  <c r="K262" i="5"/>
  <c r="I262" i="5"/>
  <c r="H262" i="5"/>
  <c r="F262" i="5"/>
  <c r="E262" i="5"/>
  <c r="C262" i="5"/>
  <c r="B262" i="5"/>
  <c r="AC261" i="5"/>
  <c r="AD261" i="5" s="1"/>
  <c r="AA261" i="5"/>
  <c r="W261" i="5"/>
  <c r="X261" i="5" s="1"/>
  <c r="U261" i="5"/>
  <c r="R261" i="5"/>
  <c r="O261" i="5"/>
  <c r="N261" i="5"/>
  <c r="L261" i="5"/>
  <c r="I261" i="5"/>
  <c r="H261" i="5"/>
  <c r="F261" i="5"/>
  <c r="C261" i="5"/>
  <c r="AD260" i="5"/>
  <c r="AC260" i="5"/>
  <c r="AA260" i="5"/>
  <c r="W260" i="5"/>
  <c r="X260" i="5" s="1"/>
  <c r="U260" i="5"/>
  <c r="R260" i="5"/>
  <c r="N260" i="5"/>
  <c r="O260" i="5" s="1"/>
  <c r="L260" i="5"/>
  <c r="H260" i="5"/>
  <c r="F260" i="5"/>
  <c r="C260" i="5"/>
  <c r="AD259" i="5"/>
  <c r="AC259" i="5"/>
  <c r="AA259" i="5"/>
  <c r="W259" i="5"/>
  <c r="U259" i="5"/>
  <c r="R259" i="5"/>
  <c r="N259" i="5"/>
  <c r="O259" i="5" s="1"/>
  <c r="L259" i="5"/>
  <c r="I259" i="5"/>
  <c r="H259" i="5"/>
  <c r="F259" i="5"/>
  <c r="C259" i="5"/>
  <c r="AC258" i="5"/>
  <c r="AD258" i="5" s="1"/>
  <c r="AA258" i="5"/>
  <c r="W258" i="5"/>
  <c r="X258" i="5" s="1"/>
  <c r="U258" i="5"/>
  <c r="R258" i="5"/>
  <c r="O258" i="5"/>
  <c r="N258" i="5"/>
  <c r="L258" i="5"/>
  <c r="I258" i="5"/>
  <c r="H258" i="5"/>
  <c r="F258" i="5"/>
  <c r="C258" i="5"/>
  <c r="AC257" i="5"/>
  <c r="AD257" i="5" s="1"/>
  <c r="AA257" i="5"/>
  <c r="W257" i="5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W256" i="5"/>
  <c r="X256" i="5" s="1"/>
  <c r="U256" i="5"/>
  <c r="R256" i="5"/>
  <c r="N256" i="5"/>
  <c r="O256" i="5" s="1"/>
  <c r="L256" i="5"/>
  <c r="H256" i="5"/>
  <c r="I256" i="5" s="1"/>
  <c r="F256" i="5"/>
  <c r="C256" i="5"/>
  <c r="AD255" i="5"/>
  <c r="AC255" i="5"/>
  <c r="AA255" i="5"/>
  <c r="X255" i="5"/>
  <c r="W255" i="5"/>
  <c r="U255" i="5"/>
  <c r="R255" i="5"/>
  <c r="N255" i="5"/>
  <c r="O255" i="5" s="1"/>
  <c r="L255" i="5"/>
  <c r="H255" i="5"/>
  <c r="I255" i="5" s="1"/>
  <c r="F255" i="5"/>
  <c r="C255" i="5"/>
  <c r="AD254" i="5"/>
  <c r="AC254" i="5"/>
  <c r="AA254" i="5"/>
  <c r="W254" i="5"/>
  <c r="U254" i="5"/>
  <c r="R254" i="5"/>
  <c r="O254" i="5"/>
  <c r="N254" i="5"/>
  <c r="L254" i="5"/>
  <c r="H254" i="5"/>
  <c r="F254" i="5"/>
  <c r="C254" i="5"/>
  <c r="AC253" i="5"/>
  <c r="AD253" i="5" s="1"/>
  <c r="AA253" i="5"/>
  <c r="X253" i="5"/>
  <c r="W253" i="5"/>
  <c r="U253" i="5"/>
  <c r="R253" i="5"/>
  <c r="O253" i="5"/>
  <c r="N253" i="5"/>
  <c r="L253" i="5"/>
  <c r="H253" i="5"/>
  <c r="I253" i="5" s="1"/>
  <c r="F253" i="5"/>
  <c r="C253" i="5"/>
  <c r="AD252" i="5"/>
  <c r="AC252" i="5"/>
  <c r="AA252" i="5"/>
  <c r="X252" i="5"/>
  <c r="W252" i="5"/>
  <c r="U252" i="5"/>
  <c r="R252" i="5"/>
  <c r="N252" i="5"/>
  <c r="O252" i="5" s="1"/>
  <c r="L252" i="5"/>
  <c r="H252" i="5"/>
  <c r="F252" i="5"/>
  <c r="C252" i="5"/>
  <c r="AD251" i="5"/>
  <c r="AC251" i="5"/>
  <c r="AA251" i="5"/>
  <c r="W251" i="5"/>
  <c r="U251" i="5"/>
  <c r="R251" i="5"/>
  <c r="N251" i="5"/>
  <c r="O251" i="5" s="1"/>
  <c r="L251" i="5"/>
  <c r="I251" i="5"/>
  <c r="H251" i="5"/>
  <c r="F251" i="5"/>
  <c r="C251" i="5"/>
  <c r="AC250" i="5"/>
  <c r="AD250" i="5" s="1"/>
  <c r="AA250" i="5"/>
  <c r="W250" i="5"/>
  <c r="X250" i="5" s="1"/>
  <c r="U250" i="5"/>
  <c r="R250" i="5"/>
  <c r="O250" i="5"/>
  <c r="N250" i="5"/>
  <c r="L250" i="5"/>
  <c r="I250" i="5"/>
  <c r="H250" i="5"/>
  <c r="F250" i="5"/>
  <c r="C250" i="5"/>
  <c r="AC249" i="5"/>
  <c r="AD249" i="5" s="1"/>
  <c r="AA249" i="5"/>
  <c r="W249" i="5"/>
  <c r="U249" i="5"/>
  <c r="R249" i="5"/>
  <c r="O249" i="5"/>
  <c r="N249" i="5"/>
  <c r="L249" i="5"/>
  <c r="I249" i="5"/>
  <c r="H249" i="5"/>
  <c r="F249" i="5"/>
  <c r="C249" i="5"/>
  <c r="AD248" i="5"/>
  <c r="AC248" i="5"/>
  <c r="AA248" i="5"/>
  <c r="W248" i="5"/>
  <c r="X248" i="5" s="1"/>
  <c r="U248" i="5"/>
  <c r="R248" i="5"/>
  <c r="N248" i="5"/>
  <c r="O248" i="5" s="1"/>
  <c r="L248" i="5"/>
  <c r="H248" i="5"/>
  <c r="I248" i="5" s="1"/>
  <c r="F248" i="5"/>
  <c r="C248" i="5"/>
  <c r="AD247" i="5"/>
  <c r="AC247" i="5"/>
  <c r="AA247" i="5"/>
  <c r="X247" i="5"/>
  <c r="W247" i="5"/>
  <c r="U247" i="5"/>
  <c r="R247" i="5"/>
  <c r="N247" i="5"/>
  <c r="O247" i="5" s="1"/>
  <c r="L247" i="5"/>
  <c r="H247" i="5"/>
  <c r="I247" i="5" s="1"/>
  <c r="F247" i="5"/>
  <c r="C247" i="5"/>
  <c r="AD246" i="5"/>
  <c r="AC246" i="5"/>
  <c r="AA246" i="5"/>
  <c r="W246" i="5"/>
  <c r="U246" i="5"/>
  <c r="R246" i="5"/>
  <c r="O246" i="5"/>
  <c r="N246" i="5"/>
  <c r="L246" i="5"/>
  <c r="H246" i="5"/>
  <c r="F246" i="5"/>
  <c r="C246" i="5"/>
  <c r="AC245" i="5"/>
  <c r="AD245" i="5" s="1"/>
  <c r="AA245" i="5"/>
  <c r="X245" i="5"/>
  <c r="W245" i="5"/>
  <c r="U245" i="5"/>
  <c r="R245" i="5"/>
  <c r="O245" i="5"/>
  <c r="N245" i="5"/>
  <c r="L245" i="5"/>
  <c r="I245" i="5"/>
  <c r="H245" i="5"/>
  <c r="F245" i="5"/>
  <c r="C245" i="5"/>
  <c r="AD244" i="5"/>
  <c r="AC244" i="5"/>
  <c r="AA244" i="5"/>
  <c r="W244" i="5"/>
  <c r="X244" i="5" s="1"/>
  <c r="U244" i="5"/>
  <c r="R244" i="5"/>
  <c r="N244" i="5"/>
  <c r="O244" i="5" s="1"/>
  <c r="L244" i="5"/>
  <c r="H244" i="5"/>
  <c r="F244" i="5"/>
  <c r="C244" i="5"/>
  <c r="AD243" i="5"/>
  <c r="AC243" i="5"/>
  <c r="AA243" i="5"/>
  <c r="W243" i="5"/>
  <c r="U243" i="5"/>
  <c r="R243" i="5"/>
  <c r="O243" i="5"/>
  <c r="N243" i="5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O242" i="5"/>
  <c r="N242" i="5"/>
  <c r="L242" i="5"/>
  <c r="I242" i="5"/>
  <c r="H242" i="5"/>
  <c r="F242" i="5"/>
  <c r="C242" i="5"/>
  <c r="AC241" i="5"/>
  <c r="AD241" i="5" s="1"/>
  <c r="AA241" i="5"/>
  <c r="W241" i="5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W240" i="5"/>
  <c r="X240" i="5" s="1"/>
  <c r="U240" i="5"/>
  <c r="R240" i="5"/>
  <c r="N240" i="5"/>
  <c r="O240" i="5" s="1"/>
  <c r="L240" i="5"/>
  <c r="H240" i="5"/>
  <c r="I240" i="5" s="1"/>
  <c r="F240" i="5"/>
  <c r="C240" i="5"/>
  <c r="AD238" i="5"/>
  <c r="AC238" i="5"/>
  <c r="AA238" i="5"/>
  <c r="W238" i="5"/>
  <c r="X238" i="5" s="1"/>
  <c r="U238" i="5"/>
  <c r="R238" i="5"/>
  <c r="N238" i="5"/>
  <c r="O238" i="5" s="1"/>
  <c r="L238" i="5"/>
  <c r="H238" i="5"/>
  <c r="I238" i="5" s="1"/>
  <c r="F238" i="5"/>
  <c r="C238" i="5"/>
  <c r="AD236" i="5"/>
  <c r="AA236" i="5"/>
  <c r="Z236" i="5"/>
  <c r="U236" i="5"/>
  <c r="T236" i="5"/>
  <c r="W236" i="5" s="1"/>
  <c r="X236" i="5" s="1"/>
  <c r="R236" i="5"/>
  <c r="Q236" i="5"/>
  <c r="AC236" i="5" s="1"/>
  <c r="L236" i="5"/>
  <c r="K236" i="5"/>
  <c r="H236" i="5"/>
  <c r="I236" i="5" s="1"/>
  <c r="F236" i="5"/>
  <c r="E236" i="5"/>
  <c r="C236" i="5"/>
  <c r="B236" i="5"/>
  <c r="N236" i="5" s="1"/>
  <c r="O236" i="5" s="1"/>
  <c r="AD235" i="5"/>
  <c r="AC235" i="5"/>
  <c r="AA235" i="5"/>
  <c r="X235" i="5"/>
  <c r="W235" i="5"/>
  <c r="U235" i="5"/>
  <c r="R235" i="5"/>
  <c r="N235" i="5"/>
  <c r="O235" i="5" s="1"/>
  <c r="L235" i="5"/>
  <c r="H235" i="5"/>
  <c r="I235" i="5" s="1"/>
  <c r="F235" i="5"/>
  <c r="C235" i="5"/>
  <c r="AD234" i="5"/>
  <c r="AC234" i="5"/>
  <c r="AA234" i="5"/>
  <c r="W234" i="5"/>
  <c r="U234" i="5"/>
  <c r="R234" i="5"/>
  <c r="N234" i="5"/>
  <c r="O234" i="5" s="1"/>
  <c r="L234" i="5"/>
  <c r="I234" i="5"/>
  <c r="H234" i="5"/>
  <c r="F234" i="5"/>
  <c r="C234" i="5"/>
  <c r="AD233" i="5"/>
  <c r="AC233" i="5"/>
  <c r="AA233" i="5"/>
  <c r="W233" i="5"/>
  <c r="U233" i="5"/>
  <c r="R233" i="5"/>
  <c r="N233" i="5"/>
  <c r="O233" i="5" s="1"/>
  <c r="L233" i="5"/>
  <c r="I233" i="5"/>
  <c r="H233" i="5"/>
  <c r="F233" i="5"/>
  <c r="C233" i="5"/>
  <c r="AD232" i="5"/>
  <c r="AC232" i="5"/>
  <c r="AA232" i="5"/>
  <c r="W232" i="5"/>
  <c r="X232" i="5" s="1"/>
  <c r="U232" i="5"/>
  <c r="R232" i="5"/>
  <c r="O232" i="5"/>
  <c r="N232" i="5"/>
  <c r="L232" i="5"/>
  <c r="I232" i="5"/>
  <c r="H232" i="5"/>
  <c r="F232" i="5"/>
  <c r="C232" i="5"/>
  <c r="AC231" i="5"/>
  <c r="AD231" i="5" s="1"/>
  <c r="AA231" i="5"/>
  <c r="W231" i="5"/>
  <c r="X231" i="5" s="1"/>
  <c r="U231" i="5"/>
  <c r="R231" i="5"/>
  <c r="N231" i="5"/>
  <c r="O231" i="5" s="1"/>
  <c r="L231" i="5"/>
  <c r="I231" i="5"/>
  <c r="H231" i="5"/>
  <c r="F231" i="5"/>
  <c r="C231" i="5"/>
  <c r="AD230" i="5"/>
  <c r="AC230" i="5"/>
  <c r="AA230" i="5"/>
  <c r="W230" i="5"/>
  <c r="X230" i="5" s="1"/>
  <c r="U230" i="5"/>
  <c r="R230" i="5"/>
  <c r="N230" i="5"/>
  <c r="O230" i="5" s="1"/>
  <c r="L230" i="5"/>
  <c r="I230" i="5"/>
  <c r="H230" i="5"/>
  <c r="F230" i="5"/>
  <c r="C230" i="5"/>
  <c r="AC229" i="5"/>
  <c r="AD229" i="5" s="1"/>
  <c r="AA229" i="5"/>
  <c r="W229" i="5"/>
  <c r="X229" i="5" s="1"/>
  <c r="U229" i="5"/>
  <c r="R229" i="5"/>
  <c r="O229" i="5"/>
  <c r="N229" i="5"/>
  <c r="L229" i="5"/>
  <c r="I229" i="5"/>
  <c r="H229" i="5"/>
  <c r="F229" i="5"/>
  <c r="C229" i="5"/>
  <c r="AC227" i="5"/>
  <c r="AD227" i="5" s="1"/>
  <c r="AA227" i="5"/>
  <c r="Z227" i="5"/>
  <c r="U227" i="5"/>
  <c r="T227" i="5"/>
  <c r="R227" i="5"/>
  <c r="Q227" i="5"/>
  <c r="L227" i="5"/>
  <c r="K227" i="5"/>
  <c r="H227" i="5"/>
  <c r="I227" i="5" s="1"/>
  <c r="F227" i="5"/>
  <c r="E227" i="5"/>
  <c r="C227" i="5"/>
  <c r="B227" i="5"/>
  <c r="N227" i="5" s="1"/>
  <c r="O227" i="5" s="1"/>
  <c r="AD226" i="5"/>
  <c r="AC226" i="5"/>
  <c r="AA226" i="5"/>
  <c r="X226" i="5"/>
  <c r="W226" i="5"/>
  <c r="U226" i="5"/>
  <c r="R226" i="5"/>
  <c r="O226" i="5"/>
  <c r="N226" i="5"/>
  <c r="L226" i="5"/>
  <c r="H226" i="5"/>
  <c r="I226" i="5" s="1"/>
  <c r="F226" i="5"/>
  <c r="C226" i="5"/>
  <c r="AD225" i="5"/>
  <c r="AC225" i="5"/>
  <c r="AA225" i="5"/>
  <c r="W225" i="5"/>
  <c r="X225" i="5" s="1"/>
  <c r="U225" i="5"/>
  <c r="R225" i="5"/>
  <c r="O225" i="5"/>
  <c r="N225" i="5"/>
  <c r="L225" i="5"/>
  <c r="H225" i="5"/>
  <c r="F225" i="5"/>
  <c r="C225" i="5"/>
  <c r="AC224" i="5"/>
  <c r="AD224" i="5" s="1"/>
  <c r="AA224" i="5"/>
  <c r="X224" i="5"/>
  <c r="W224" i="5"/>
  <c r="U224" i="5"/>
  <c r="R224" i="5"/>
  <c r="O224" i="5"/>
  <c r="N224" i="5"/>
  <c r="L224" i="5"/>
  <c r="H224" i="5"/>
  <c r="I224" i="5" s="1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D222" i="5"/>
  <c r="AC222" i="5"/>
  <c r="AA222" i="5"/>
  <c r="X222" i="5"/>
  <c r="W222" i="5"/>
  <c r="U222" i="5"/>
  <c r="R222" i="5"/>
  <c r="O222" i="5"/>
  <c r="N222" i="5"/>
  <c r="L222" i="5"/>
  <c r="H222" i="5"/>
  <c r="I222" i="5" s="1"/>
  <c r="F222" i="5"/>
  <c r="C222" i="5"/>
  <c r="AC221" i="5"/>
  <c r="AD221" i="5" s="1"/>
  <c r="AA221" i="5"/>
  <c r="W221" i="5"/>
  <c r="X221" i="5" s="1"/>
  <c r="U221" i="5"/>
  <c r="R221" i="5"/>
  <c r="O221" i="5"/>
  <c r="N221" i="5"/>
  <c r="L221" i="5"/>
  <c r="H221" i="5"/>
  <c r="F221" i="5"/>
  <c r="C221" i="5"/>
  <c r="AC220" i="5"/>
  <c r="AD220" i="5" s="1"/>
  <c r="AA220" i="5"/>
  <c r="X220" i="5"/>
  <c r="W220" i="5"/>
  <c r="U220" i="5"/>
  <c r="R220" i="5"/>
  <c r="O220" i="5"/>
  <c r="N220" i="5"/>
  <c r="L220" i="5"/>
  <c r="H220" i="5"/>
  <c r="I220" i="5" s="1"/>
  <c r="F220" i="5"/>
  <c r="C220" i="5"/>
  <c r="AC219" i="5"/>
  <c r="AD219" i="5" s="1"/>
  <c r="AA219" i="5"/>
  <c r="X219" i="5"/>
  <c r="W219" i="5"/>
  <c r="U219" i="5"/>
  <c r="R219" i="5"/>
  <c r="N219" i="5"/>
  <c r="O219" i="5" s="1"/>
  <c r="L219" i="5"/>
  <c r="I219" i="5"/>
  <c r="H219" i="5"/>
  <c r="F219" i="5"/>
  <c r="C219" i="5"/>
  <c r="AA218" i="5"/>
  <c r="Z218" i="5"/>
  <c r="T218" i="5"/>
  <c r="R218" i="5"/>
  <c r="Q218" i="5"/>
  <c r="N218" i="5"/>
  <c r="O218" i="5" s="1"/>
  <c r="K218" i="5"/>
  <c r="L218" i="5" s="1"/>
  <c r="F218" i="5"/>
  <c r="E218" i="5"/>
  <c r="B218" i="5"/>
  <c r="C218" i="5" s="1"/>
  <c r="AD217" i="5"/>
  <c r="AC217" i="5"/>
  <c r="AA217" i="5"/>
  <c r="X217" i="5"/>
  <c r="W217" i="5"/>
  <c r="U217" i="5"/>
  <c r="R217" i="5"/>
  <c r="N217" i="5"/>
  <c r="O217" i="5" s="1"/>
  <c r="L217" i="5"/>
  <c r="H217" i="5"/>
  <c r="I217" i="5" s="1"/>
  <c r="F217" i="5"/>
  <c r="C217" i="5"/>
  <c r="AC216" i="5"/>
  <c r="AD216" i="5" s="1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D215" i="5"/>
  <c r="AC215" i="5"/>
  <c r="AA215" i="5"/>
  <c r="W215" i="5"/>
  <c r="X215" i="5" s="1"/>
  <c r="U215" i="5"/>
  <c r="R215" i="5"/>
  <c r="O215" i="5"/>
  <c r="N215" i="5"/>
  <c r="L215" i="5"/>
  <c r="I215" i="5"/>
  <c r="H215" i="5"/>
  <c r="F215" i="5"/>
  <c r="C215" i="5"/>
  <c r="AC214" i="5"/>
  <c r="AD214" i="5" s="1"/>
  <c r="AA214" i="5"/>
  <c r="W214" i="5"/>
  <c r="X214" i="5" s="1"/>
  <c r="U214" i="5"/>
  <c r="R214" i="5"/>
  <c r="O214" i="5"/>
  <c r="N214" i="5"/>
  <c r="L214" i="5"/>
  <c r="H214" i="5"/>
  <c r="F214" i="5"/>
  <c r="C214" i="5"/>
  <c r="AC213" i="5"/>
  <c r="AD213" i="5" s="1"/>
  <c r="AA213" i="5"/>
  <c r="X213" i="5"/>
  <c r="W213" i="5"/>
  <c r="U213" i="5"/>
  <c r="R213" i="5"/>
  <c r="O213" i="5"/>
  <c r="N213" i="5"/>
  <c r="L213" i="5"/>
  <c r="H213" i="5"/>
  <c r="I213" i="5" s="1"/>
  <c r="F213" i="5"/>
  <c r="C213" i="5"/>
  <c r="AD211" i="5"/>
  <c r="AC211" i="5"/>
  <c r="AA211" i="5"/>
  <c r="X211" i="5"/>
  <c r="W211" i="5"/>
  <c r="U211" i="5"/>
  <c r="R211" i="5"/>
  <c r="N211" i="5"/>
  <c r="O211" i="5" s="1"/>
  <c r="L211" i="5"/>
  <c r="H211" i="5"/>
  <c r="I211" i="5" s="1"/>
  <c r="F211" i="5"/>
  <c r="C211" i="5"/>
  <c r="AA209" i="5"/>
  <c r="Z209" i="5"/>
  <c r="T209" i="5"/>
  <c r="U209" i="5" s="1"/>
  <c r="R209" i="5"/>
  <c r="Q209" i="5"/>
  <c r="K209" i="5"/>
  <c r="L209" i="5" s="1"/>
  <c r="F209" i="5"/>
  <c r="E209" i="5"/>
  <c r="B209" i="5"/>
  <c r="AD208" i="5"/>
  <c r="AC208" i="5"/>
  <c r="AA208" i="5"/>
  <c r="X208" i="5"/>
  <c r="W208" i="5"/>
  <c r="U208" i="5"/>
  <c r="R208" i="5"/>
  <c r="O208" i="5"/>
  <c r="N208" i="5"/>
  <c r="L208" i="5"/>
  <c r="H208" i="5"/>
  <c r="I208" i="5" s="1"/>
  <c r="F208" i="5"/>
  <c r="C208" i="5"/>
  <c r="AD207" i="5"/>
  <c r="AC207" i="5"/>
  <c r="AA207" i="5"/>
  <c r="X207" i="5"/>
  <c r="W207" i="5"/>
  <c r="U207" i="5"/>
  <c r="R207" i="5"/>
  <c r="N207" i="5"/>
  <c r="O207" i="5" s="1"/>
  <c r="L207" i="5"/>
  <c r="H207" i="5"/>
  <c r="I207" i="5" s="1"/>
  <c r="F207" i="5"/>
  <c r="C207" i="5"/>
  <c r="AD206" i="5"/>
  <c r="AC206" i="5"/>
  <c r="AA206" i="5"/>
  <c r="X206" i="5"/>
  <c r="W206" i="5"/>
  <c r="U206" i="5"/>
  <c r="R206" i="5"/>
  <c r="O206" i="5"/>
  <c r="N206" i="5"/>
  <c r="L206" i="5"/>
  <c r="H206" i="5"/>
  <c r="I206" i="5" s="1"/>
  <c r="F206" i="5"/>
  <c r="C206" i="5"/>
  <c r="AC205" i="5"/>
  <c r="AD205" i="5" s="1"/>
  <c r="AA205" i="5"/>
  <c r="W205" i="5"/>
  <c r="X205" i="5" s="1"/>
  <c r="U205" i="5"/>
  <c r="R205" i="5"/>
  <c r="O205" i="5"/>
  <c r="N205" i="5"/>
  <c r="L205" i="5"/>
  <c r="H205" i="5"/>
  <c r="F205" i="5"/>
  <c r="C205" i="5"/>
  <c r="AC204" i="5"/>
  <c r="AD204" i="5" s="1"/>
  <c r="AA204" i="5"/>
  <c r="X204" i="5"/>
  <c r="W204" i="5"/>
  <c r="U204" i="5"/>
  <c r="R204" i="5"/>
  <c r="O204" i="5"/>
  <c r="N204" i="5"/>
  <c r="L204" i="5"/>
  <c r="H204" i="5"/>
  <c r="I204" i="5" s="1"/>
  <c r="F204" i="5"/>
  <c r="C204" i="5"/>
  <c r="AC203" i="5"/>
  <c r="AD203" i="5" s="1"/>
  <c r="AA203" i="5"/>
  <c r="X203" i="5"/>
  <c r="W203" i="5"/>
  <c r="U203" i="5"/>
  <c r="R203" i="5"/>
  <c r="N203" i="5"/>
  <c r="O203" i="5" s="1"/>
  <c r="L203" i="5"/>
  <c r="H203" i="5"/>
  <c r="I203" i="5" s="1"/>
  <c r="F203" i="5"/>
  <c r="C203" i="5"/>
  <c r="AD202" i="5"/>
  <c r="AC202" i="5"/>
  <c r="AA202" i="5"/>
  <c r="X202" i="5"/>
  <c r="W202" i="5"/>
  <c r="U202" i="5"/>
  <c r="R202" i="5"/>
  <c r="O202" i="5"/>
  <c r="N202" i="5"/>
  <c r="L202" i="5"/>
  <c r="I202" i="5"/>
  <c r="H202" i="5"/>
  <c r="F202" i="5"/>
  <c r="C202" i="5"/>
  <c r="AC201" i="5"/>
  <c r="AD201" i="5" s="1"/>
  <c r="AA201" i="5"/>
  <c r="W201" i="5"/>
  <c r="X201" i="5" s="1"/>
  <c r="U201" i="5"/>
  <c r="R201" i="5"/>
  <c r="O201" i="5"/>
  <c r="N201" i="5"/>
  <c r="L201" i="5"/>
  <c r="H201" i="5"/>
  <c r="F201" i="5"/>
  <c r="C201" i="5"/>
  <c r="Z197" i="5"/>
  <c r="AA197" i="5" s="1"/>
  <c r="T197" i="5"/>
  <c r="R197" i="5"/>
  <c r="Q197" i="5"/>
  <c r="L197" i="5"/>
  <c r="K197" i="5"/>
  <c r="F197" i="5"/>
  <c r="E197" i="5"/>
  <c r="B197" i="5"/>
  <c r="C197" i="5" s="1"/>
  <c r="Z196" i="5"/>
  <c r="AA196" i="5" s="1"/>
  <c r="T196" i="5"/>
  <c r="U196" i="5" s="1"/>
  <c r="Q196" i="5"/>
  <c r="N196" i="5"/>
  <c r="O196" i="5" s="1"/>
  <c r="L196" i="5"/>
  <c r="K196" i="5"/>
  <c r="F196" i="5"/>
  <c r="E196" i="5"/>
  <c r="B196" i="5"/>
  <c r="C196" i="5" s="1"/>
  <c r="AD195" i="5"/>
  <c r="AC195" i="5"/>
  <c r="AA195" i="5"/>
  <c r="X195" i="5"/>
  <c r="W195" i="5"/>
  <c r="U195" i="5"/>
  <c r="R195" i="5"/>
  <c r="O195" i="5"/>
  <c r="N195" i="5"/>
  <c r="L195" i="5"/>
  <c r="H195" i="5"/>
  <c r="I195" i="5" s="1"/>
  <c r="F195" i="5"/>
  <c r="C195" i="5"/>
  <c r="AC194" i="5"/>
  <c r="AD194" i="5" s="1"/>
  <c r="AA194" i="5"/>
  <c r="W194" i="5"/>
  <c r="X194" i="5" s="1"/>
  <c r="U194" i="5"/>
  <c r="R194" i="5"/>
  <c r="O194" i="5"/>
  <c r="N194" i="5"/>
  <c r="L194" i="5"/>
  <c r="H194" i="5"/>
  <c r="F194" i="5"/>
  <c r="C194" i="5"/>
  <c r="Z193" i="5"/>
  <c r="AA193" i="5" s="1"/>
  <c r="T193" i="5"/>
  <c r="U193" i="5" s="1"/>
  <c r="Q193" i="5"/>
  <c r="N193" i="5"/>
  <c r="O193" i="5" s="1"/>
  <c r="L193" i="5"/>
  <c r="K193" i="5"/>
  <c r="F193" i="5"/>
  <c r="E193" i="5"/>
  <c r="B193" i="5"/>
  <c r="C193" i="5" s="1"/>
  <c r="AD192" i="5"/>
  <c r="AC192" i="5"/>
  <c r="AA192" i="5"/>
  <c r="X192" i="5"/>
  <c r="W192" i="5"/>
  <c r="U192" i="5"/>
  <c r="R192" i="5"/>
  <c r="O192" i="5"/>
  <c r="N192" i="5"/>
  <c r="L192" i="5"/>
  <c r="H192" i="5"/>
  <c r="I192" i="5" s="1"/>
  <c r="F192" i="5"/>
  <c r="C192" i="5"/>
  <c r="AC191" i="5"/>
  <c r="AD191" i="5" s="1"/>
  <c r="AA191" i="5"/>
  <c r="W191" i="5"/>
  <c r="X191" i="5" s="1"/>
  <c r="U191" i="5"/>
  <c r="R191" i="5"/>
  <c r="O191" i="5"/>
  <c r="N191" i="5"/>
  <c r="L191" i="5"/>
  <c r="H191" i="5"/>
  <c r="F191" i="5"/>
  <c r="C191" i="5"/>
  <c r="AC190" i="5"/>
  <c r="AD190" i="5" s="1"/>
  <c r="AA190" i="5"/>
  <c r="X190" i="5"/>
  <c r="W190" i="5"/>
  <c r="U190" i="5"/>
  <c r="R190" i="5"/>
  <c r="O190" i="5"/>
  <c r="N190" i="5"/>
  <c r="L190" i="5"/>
  <c r="H190" i="5"/>
  <c r="I190" i="5" s="1"/>
  <c r="F190" i="5"/>
  <c r="C190" i="5"/>
  <c r="AC189" i="5"/>
  <c r="AD189" i="5" s="1"/>
  <c r="AA189" i="5"/>
  <c r="X189" i="5"/>
  <c r="W189" i="5"/>
  <c r="U189" i="5"/>
  <c r="R189" i="5"/>
  <c r="N189" i="5"/>
  <c r="O189" i="5" s="1"/>
  <c r="L189" i="5"/>
  <c r="H189" i="5"/>
  <c r="I189" i="5" s="1"/>
  <c r="F189" i="5"/>
  <c r="C189" i="5"/>
  <c r="AD188" i="5"/>
  <c r="AC188" i="5"/>
  <c r="AA188" i="5"/>
  <c r="W188" i="5"/>
  <c r="X188" i="5" s="1"/>
  <c r="U188" i="5"/>
  <c r="R188" i="5"/>
  <c r="O188" i="5"/>
  <c r="N188" i="5"/>
  <c r="L188" i="5"/>
  <c r="I188" i="5"/>
  <c r="H188" i="5"/>
  <c r="F188" i="5"/>
  <c r="C188" i="5"/>
  <c r="AC187" i="5"/>
  <c r="AD187" i="5" s="1"/>
  <c r="AA187" i="5"/>
  <c r="W187" i="5"/>
  <c r="X187" i="5" s="1"/>
  <c r="U187" i="5"/>
  <c r="R187" i="5"/>
  <c r="O187" i="5"/>
  <c r="N187" i="5"/>
  <c r="L187" i="5"/>
  <c r="H187" i="5"/>
  <c r="F187" i="5"/>
  <c r="C187" i="5"/>
  <c r="AC186" i="5"/>
  <c r="AD186" i="5" s="1"/>
  <c r="AA186" i="5"/>
  <c r="X186" i="5"/>
  <c r="W186" i="5"/>
  <c r="U186" i="5"/>
  <c r="R186" i="5"/>
  <c r="O186" i="5"/>
  <c r="N186" i="5"/>
  <c r="L186" i="5"/>
  <c r="H186" i="5"/>
  <c r="I186" i="5" s="1"/>
  <c r="F186" i="5"/>
  <c r="C186" i="5"/>
  <c r="AC184" i="5"/>
  <c r="AD184" i="5" s="1"/>
  <c r="AA184" i="5"/>
  <c r="X184" i="5"/>
  <c r="W184" i="5"/>
  <c r="U184" i="5"/>
  <c r="R184" i="5"/>
  <c r="N184" i="5"/>
  <c r="O184" i="5" s="1"/>
  <c r="L184" i="5"/>
  <c r="H184" i="5"/>
  <c r="I184" i="5" s="1"/>
  <c r="F184" i="5"/>
  <c r="C184" i="5"/>
  <c r="AD183" i="5"/>
  <c r="AC183" i="5"/>
  <c r="AA183" i="5"/>
  <c r="W183" i="5"/>
  <c r="X183" i="5" s="1"/>
  <c r="U183" i="5"/>
  <c r="R183" i="5"/>
  <c r="O183" i="5"/>
  <c r="N183" i="5"/>
  <c r="L183" i="5"/>
  <c r="I183" i="5"/>
  <c r="H183" i="5"/>
  <c r="F183" i="5"/>
  <c r="C183" i="5"/>
  <c r="AA182" i="5"/>
  <c r="Z182" i="5"/>
  <c r="T182" i="5"/>
  <c r="U182" i="5" s="1"/>
  <c r="Q182" i="5"/>
  <c r="R182" i="5" s="1"/>
  <c r="K182" i="5"/>
  <c r="L182" i="5" s="1"/>
  <c r="E182" i="5"/>
  <c r="F182" i="5" s="1"/>
  <c r="C182" i="5"/>
  <c r="B182" i="5"/>
  <c r="AD181" i="5"/>
  <c r="AC181" i="5"/>
  <c r="AA181" i="5"/>
  <c r="X181" i="5"/>
  <c r="W181" i="5"/>
  <c r="U181" i="5"/>
  <c r="R181" i="5"/>
  <c r="N181" i="5"/>
  <c r="O181" i="5" s="1"/>
  <c r="L181" i="5"/>
  <c r="H181" i="5"/>
  <c r="I181" i="5" s="1"/>
  <c r="F181" i="5"/>
  <c r="C181" i="5"/>
  <c r="AD180" i="5"/>
  <c r="AC180" i="5"/>
  <c r="AA180" i="5"/>
  <c r="X180" i="5"/>
  <c r="W180" i="5"/>
  <c r="U180" i="5"/>
  <c r="R180" i="5"/>
  <c r="O180" i="5"/>
  <c r="N180" i="5"/>
  <c r="L180" i="5"/>
  <c r="H180" i="5"/>
  <c r="I180" i="5" s="1"/>
  <c r="F180" i="5"/>
  <c r="C180" i="5"/>
  <c r="AC179" i="5"/>
  <c r="AD179" i="5" s="1"/>
  <c r="AA179" i="5"/>
  <c r="W179" i="5"/>
  <c r="X179" i="5" s="1"/>
  <c r="U179" i="5"/>
  <c r="R179" i="5"/>
  <c r="O179" i="5"/>
  <c r="N179" i="5"/>
  <c r="L179" i="5"/>
  <c r="H179" i="5"/>
  <c r="F179" i="5"/>
  <c r="C179" i="5"/>
  <c r="AC178" i="5"/>
  <c r="AD178" i="5" s="1"/>
  <c r="AA178" i="5"/>
  <c r="X178" i="5"/>
  <c r="W178" i="5"/>
  <c r="U178" i="5"/>
  <c r="R178" i="5"/>
  <c r="O178" i="5"/>
  <c r="N178" i="5"/>
  <c r="L178" i="5"/>
  <c r="H178" i="5"/>
  <c r="I178" i="5" s="1"/>
  <c r="F178" i="5"/>
  <c r="C178" i="5"/>
  <c r="AC177" i="5"/>
  <c r="AD177" i="5" s="1"/>
  <c r="AA177" i="5"/>
  <c r="X177" i="5"/>
  <c r="W177" i="5"/>
  <c r="U177" i="5"/>
  <c r="R177" i="5"/>
  <c r="N177" i="5"/>
  <c r="O177" i="5" s="1"/>
  <c r="L177" i="5"/>
  <c r="H177" i="5"/>
  <c r="I177" i="5" s="1"/>
  <c r="F177" i="5"/>
  <c r="C177" i="5"/>
  <c r="AD175" i="5"/>
  <c r="AC175" i="5"/>
  <c r="AA175" i="5"/>
  <c r="W175" i="5"/>
  <c r="X175" i="5" s="1"/>
  <c r="U175" i="5"/>
  <c r="R175" i="5"/>
  <c r="O175" i="5"/>
  <c r="N175" i="5"/>
  <c r="L175" i="5"/>
  <c r="I175" i="5"/>
  <c r="H175" i="5"/>
  <c r="F175" i="5"/>
  <c r="C175" i="5"/>
  <c r="T172" i="5"/>
  <c r="K172" i="5"/>
  <c r="K198" i="5" s="1"/>
  <c r="AC171" i="5"/>
  <c r="AD171" i="5" s="1"/>
  <c r="Z171" i="5"/>
  <c r="AA171" i="5" s="1"/>
  <c r="W171" i="5"/>
  <c r="X171" i="5" s="1"/>
  <c r="U171" i="5"/>
  <c r="T171" i="5"/>
  <c r="R171" i="5"/>
  <c r="Q171" i="5"/>
  <c r="K171" i="5"/>
  <c r="L171" i="5" s="1"/>
  <c r="F171" i="5"/>
  <c r="E171" i="5"/>
  <c r="B171" i="5"/>
  <c r="H171" i="5" s="1"/>
  <c r="I171" i="5" s="1"/>
  <c r="AA170" i="5"/>
  <c r="Z170" i="5"/>
  <c r="T170" i="5"/>
  <c r="U170" i="5" s="1"/>
  <c r="Q170" i="5"/>
  <c r="R170" i="5" s="1"/>
  <c r="K170" i="5"/>
  <c r="L170" i="5" s="1"/>
  <c r="E170" i="5"/>
  <c r="F170" i="5" s="1"/>
  <c r="C170" i="5"/>
  <c r="B170" i="5"/>
  <c r="AD169" i="5"/>
  <c r="AC169" i="5"/>
  <c r="AA169" i="5"/>
  <c r="X169" i="5"/>
  <c r="W169" i="5"/>
  <c r="U169" i="5"/>
  <c r="R169" i="5"/>
  <c r="N169" i="5"/>
  <c r="O169" i="5" s="1"/>
  <c r="L169" i="5"/>
  <c r="H169" i="5"/>
  <c r="I169" i="5" s="1"/>
  <c r="F169" i="5"/>
  <c r="C169" i="5"/>
  <c r="AD168" i="5"/>
  <c r="AC168" i="5"/>
  <c r="AA168" i="5"/>
  <c r="X168" i="5"/>
  <c r="W168" i="5"/>
  <c r="U168" i="5"/>
  <c r="R168" i="5"/>
  <c r="O168" i="5"/>
  <c r="N168" i="5"/>
  <c r="L168" i="5"/>
  <c r="H168" i="5"/>
  <c r="I168" i="5" s="1"/>
  <c r="F168" i="5"/>
  <c r="C168" i="5"/>
  <c r="AC167" i="5"/>
  <c r="AD167" i="5" s="1"/>
  <c r="AA167" i="5"/>
  <c r="W167" i="5"/>
  <c r="X167" i="5" s="1"/>
  <c r="U167" i="5"/>
  <c r="R167" i="5"/>
  <c r="O167" i="5"/>
  <c r="N167" i="5"/>
  <c r="L167" i="5"/>
  <c r="I167" i="5"/>
  <c r="H167" i="5"/>
  <c r="F167" i="5"/>
  <c r="C167" i="5"/>
  <c r="AC166" i="5"/>
  <c r="AD166" i="5" s="1"/>
  <c r="Z166" i="5"/>
  <c r="AA166" i="5" s="1"/>
  <c r="U166" i="5"/>
  <c r="T166" i="5"/>
  <c r="Q166" i="5"/>
  <c r="W166" i="5" s="1"/>
  <c r="X166" i="5" s="1"/>
  <c r="L166" i="5"/>
  <c r="K166" i="5"/>
  <c r="H166" i="5"/>
  <c r="I166" i="5" s="1"/>
  <c r="E166" i="5"/>
  <c r="F166" i="5" s="1"/>
  <c r="B166" i="5"/>
  <c r="C166" i="5" s="1"/>
  <c r="AD165" i="5"/>
  <c r="AC165" i="5"/>
  <c r="AA165" i="5"/>
  <c r="W165" i="5"/>
  <c r="X165" i="5" s="1"/>
  <c r="U165" i="5"/>
  <c r="R165" i="5"/>
  <c r="O165" i="5"/>
  <c r="N165" i="5"/>
  <c r="L165" i="5"/>
  <c r="I165" i="5"/>
  <c r="H165" i="5"/>
  <c r="F165" i="5"/>
  <c r="C165" i="5"/>
  <c r="AC164" i="5"/>
  <c r="AD164" i="5" s="1"/>
  <c r="AA164" i="5"/>
  <c r="W164" i="5"/>
  <c r="X164" i="5" s="1"/>
  <c r="U164" i="5"/>
  <c r="R164" i="5"/>
  <c r="O164" i="5"/>
  <c r="N164" i="5"/>
  <c r="L164" i="5"/>
  <c r="I164" i="5"/>
  <c r="H164" i="5"/>
  <c r="F164" i="5"/>
  <c r="C164" i="5"/>
  <c r="AD163" i="5"/>
  <c r="AC163" i="5"/>
  <c r="AA163" i="5"/>
  <c r="X163" i="5"/>
  <c r="W163" i="5"/>
  <c r="U163" i="5"/>
  <c r="R163" i="5"/>
  <c r="N163" i="5"/>
  <c r="O163" i="5" s="1"/>
  <c r="L163" i="5"/>
  <c r="H163" i="5"/>
  <c r="I163" i="5" s="1"/>
  <c r="F163" i="5"/>
  <c r="C163" i="5"/>
  <c r="AD162" i="5"/>
  <c r="AC162" i="5"/>
  <c r="AA162" i="5"/>
  <c r="X162" i="5"/>
  <c r="W162" i="5"/>
  <c r="U162" i="5"/>
  <c r="R162" i="5"/>
  <c r="N162" i="5"/>
  <c r="O162" i="5" s="1"/>
  <c r="L162" i="5"/>
  <c r="H162" i="5"/>
  <c r="I162" i="5" s="1"/>
  <c r="F162" i="5"/>
  <c r="C162" i="5"/>
  <c r="AD161" i="5"/>
  <c r="AC161" i="5"/>
  <c r="AA161" i="5"/>
  <c r="X161" i="5"/>
  <c r="W161" i="5"/>
  <c r="U161" i="5"/>
  <c r="R161" i="5"/>
  <c r="O161" i="5"/>
  <c r="N161" i="5"/>
  <c r="L161" i="5"/>
  <c r="H161" i="5"/>
  <c r="I161" i="5" s="1"/>
  <c r="F161" i="5"/>
  <c r="C161" i="5"/>
  <c r="AC160" i="5"/>
  <c r="AD160" i="5" s="1"/>
  <c r="AA160" i="5"/>
  <c r="W160" i="5"/>
  <c r="X160" i="5" s="1"/>
  <c r="U160" i="5"/>
  <c r="R160" i="5"/>
  <c r="O160" i="5"/>
  <c r="N160" i="5"/>
  <c r="L160" i="5"/>
  <c r="I160" i="5"/>
  <c r="H160" i="5"/>
  <c r="F160" i="5"/>
  <c r="C160" i="5"/>
  <c r="Z158" i="5"/>
  <c r="AA158" i="5" s="1"/>
  <c r="T158" i="5"/>
  <c r="U158" i="5" s="1"/>
  <c r="Q158" i="5"/>
  <c r="L158" i="5"/>
  <c r="K158" i="5"/>
  <c r="F158" i="5"/>
  <c r="E158" i="5"/>
  <c r="B158" i="5"/>
  <c r="AD157" i="5"/>
  <c r="AC157" i="5"/>
  <c r="AA157" i="5"/>
  <c r="W157" i="5"/>
  <c r="X157" i="5" s="1"/>
  <c r="U157" i="5"/>
  <c r="R157" i="5"/>
  <c r="O157" i="5"/>
  <c r="N157" i="5"/>
  <c r="L157" i="5"/>
  <c r="I157" i="5"/>
  <c r="H157" i="5"/>
  <c r="F157" i="5"/>
  <c r="C157" i="5"/>
  <c r="AC156" i="5"/>
  <c r="AD156" i="5" s="1"/>
  <c r="AA156" i="5"/>
  <c r="W156" i="5"/>
  <c r="X156" i="5" s="1"/>
  <c r="U156" i="5"/>
  <c r="R156" i="5"/>
  <c r="O156" i="5"/>
  <c r="N156" i="5"/>
  <c r="L156" i="5"/>
  <c r="I156" i="5"/>
  <c r="H156" i="5"/>
  <c r="F156" i="5"/>
  <c r="C156" i="5"/>
  <c r="AD155" i="5"/>
  <c r="AC155" i="5"/>
  <c r="AA155" i="5"/>
  <c r="X155" i="5"/>
  <c r="W155" i="5"/>
  <c r="U155" i="5"/>
  <c r="R155" i="5"/>
  <c r="N155" i="5"/>
  <c r="O155" i="5" s="1"/>
  <c r="L155" i="5"/>
  <c r="H155" i="5"/>
  <c r="I155" i="5" s="1"/>
  <c r="F155" i="5"/>
  <c r="C155" i="5"/>
  <c r="AD154" i="5"/>
  <c r="AC154" i="5"/>
  <c r="AA154" i="5"/>
  <c r="X154" i="5"/>
  <c r="W154" i="5"/>
  <c r="U154" i="5"/>
  <c r="R154" i="5"/>
  <c r="N154" i="5"/>
  <c r="O154" i="5" s="1"/>
  <c r="L154" i="5"/>
  <c r="H154" i="5"/>
  <c r="I154" i="5" s="1"/>
  <c r="F154" i="5"/>
  <c r="C154" i="5"/>
  <c r="AD153" i="5"/>
  <c r="AC153" i="5"/>
  <c r="AA153" i="5"/>
  <c r="X153" i="5"/>
  <c r="W153" i="5"/>
  <c r="U153" i="5"/>
  <c r="R153" i="5"/>
  <c r="O153" i="5"/>
  <c r="N153" i="5"/>
  <c r="L153" i="5"/>
  <c r="H153" i="5"/>
  <c r="I153" i="5" s="1"/>
  <c r="F153" i="5"/>
  <c r="C153" i="5"/>
  <c r="AC151" i="5"/>
  <c r="AD151" i="5" s="1"/>
  <c r="AA151" i="5"/>
  <c r="W151" i="5"/>
  <c r="X151" i="5" s="1"/>
  <c r="U151" i="5"/>
  <c r="R151" i="5"/>
  <c r="O151" i="5"/>
  <c r="N151" i="5"/>
  <c r="L151" i="5"/>
  <c r="I151" i="5"/>
  <c r="H151" i="5"/>
  <c r="F151" i="5"/>
  <c r="C151" i="5"/>
  <c r="AC149" i="5"/>
  <c r="AD149" i="5" s="1"/>
  <c r="Z149" i="5"/>
  <c r="AA149" i="5" s="1"/>
  <c r="T149" i="5"/>
  <c r="U149" i="5" s="1"/>
  <c r="Q149" i="5"/>
  <c r="L149" i="5"/>
  <c r="K149" i="5"/>
  <c r="F149" i="5"/>
  <c r="E149" i="5"/>
  <c r="B149" i="5"/>
  <c r="C149" i="5" s="1"/>
  <c r="AA148" i="5"/>
  <c r="Z148" i="5"/>
  <c r="X148" i="5"/>
  <c r="W148" i="5"/>
  <c r="T148" i="5"/>
  <c r="U148" i="5" s="1"/>
  <c r="R148" i="5"/>
  <c r="Q148" i="5"/>
  <c r="AC148" i="5" s="1"/>
  <c r="AD148" i="5" s="1"/>
  <c r="K148" i="5"/>
  <c r="L148" i="5" s="1"/>
  <c r="F148" i="5"/>
  <c r="E148" i="5"/>
  <c r="B148" i="5"/>
  <c r="H148" i="5" s="1"/>
  <c r="I148" i="5" s="1"/>
  <c r="AD147" i="5"/>
  <c r="AC147" i="5"/>
  <c r="AA147" i="5"/>
  <c r="X147" i="5"/>
  <c r="W147" i="5"/>
  <c r="U147" i="5"/>
  <c r="R147" i="5"/>
  <c r="O147" i="5"/>
  <c r="N147" i="5"/>
  <c r="L147" i="5"/>
  <c r="H147" i="5"/>
  <c r="I147" i="5" s="1"/>
  <c r="F147" i="5"/>
  <c r="C147" i="5"/>
  <c r="AD146" i="5"/>
  <c r="AC146" i="5"/>
  <c r="AA146" i="5"/>
  <c r="X146" i="5"/>
  <c r="W146" i="5"/>
  <c r="U146" i="5"/>
  <c r="R146" i="5"/>
  <c r="N146" i="5"/>
  <c r="O146" i="5" s="1"/>
  <c r="L146" i="5"/>
  <c r="H146" i="5"/>
  <c r="I146" i="5" s="1"/>
  <c r="F146" i="5"/>
  <c r="C146" i="5"/>
  <c r="AD145" i="5"/>
  <c r="AC145" i="5"/>
  <c r="AA145" i="5"/>
  <c r="X145" i="5"/>
  <c r="W145" i="5"/>
  <c r="U145" i="5"/>
  <c r="R145" i="5"/>
  <c r="O145" i="5"/>
  <c r="N145" i="5"/>
  <c r="L145" i="5"/>
  <c r="H145" i="5"/>
  <c r="I145" i="5" s="1"/>
  <c r="F145" i="5"/>
  <c r="C145" i="5"/>
  <c r="AC144" i="5"/>
  <c r="AD144" i="5" s="1"/>
  <c r="AA144" i="5"/>
  <c r="W144" i="5"/>
  <c r="X144" i="5" s="1"/>
  <c r="U144" i="5"/>
  <c r="R144" i="5"/>
  <c r="O144" i="5"/>
  <c r="N144" i="5"/>
  <c r="L144" i="5"/>
  <c r="I144" i="5"/>
  <c r="H144" i="5"/>
  <c r="F144" i="5"/>
  <c r="C144" i="5"/>
  <c r="AC143" i="5"/>
  <c r="AD143" i="5" s="1"/>
  <c r="AA143" i="5"/>
  <c r="X143" i="5"/>
  <c r="W143" i="5"/>
  <c r="U143" i="5"/>
  <c r="R143" i="5"/>
  <c r="N143" i="5"/>
  <c r="O143" i="5" s="1"/>
  <c r="L143" i="5"/>
  <c r="H143" i="5"/>
  <c r="I143" i="5" s="1"/>
  <c r="F143" i="5"/>
  <c r="C143" i="5"/>
  <c r="AC141" i="5"/>
  <c r="AD141" i="5" s="1"/>
  <c r="Z141" i="5"/>
  <c r="AA141" i="5" s="1"/>
  <c r="W141" i="5"/>
  <c r="X141" i="5" s="1"/>
  <c r="U141" i="5"/>
  <c r="T141" i="5"/>
  <c r="R141" i="5"/>
  <c r="Q141" i="5"/>
  <c r="K141" i="5"/>
  <c r="L141" i="5" s="1"/>
  <c r="F141" i="5"/>
  <c r="E141" i="5"/>
  <c r="C141" i="5"/>
  <c r="B141" i="5"/>
  <c r="H141" i="5" s="1"/>
  <c r="I141" i="5" s="1"/>
  <c r="AC140" i="5"/>
  <c r="AD140" i="5" s="1"/>
  <c r="AA140" i="5"/>
  <c r="W140" i="5"/>
  <c r="X140" i="5" s="1"/>
  <c r="U140" i="5"/>
  <c r="R140" i="5"/>
  <c r="O140" i="5"/>
  <c r="N140" i="5"/>
  <c r="L140" i="5"/>
  <c r="I140" i="5"/>
  <c r="H140" i="5"/>
  <c r="F140" i="5"/>
  <c r="C140" i="5"/>
  <c r="AD139" i="5"/>
  <c r="AC139" i="5"/>
  <c r="AA139" i="5"/>
  <c r="X139" i="5"/>
  <c r="W139" i="5"/>
  <c r="U139" i="5"/>
  <c r="R139" i="5"/>
  <c r="N139" i="5"/>
  <c r="O139" i="5" s="1"/>
  <c r="L139" i="5"/>
  <c r="H139" i="5"/>
  <c r="I139" i="5" s="1"/>
  <c r="F139" i="5"/>
  <c r="C139" i="5"/>
  <c r="AD138" i="5"/>
  <c r="AC138" i="5"/>
  <c r="AA138" i="5"/>
  <c r="X138" i="5"/>
  <c r="W138" i="5"/>
  <c r="U138" i="5"/>
  <c r="R138" i="5"/>
  <c r="N138" i="5"/>
  <c r="O138" i="5" s="1"/>
  <c r="L138" i="5"/>
  <c r="H138" i="5"/>
  <c r="I138" i="5" s="1"/>
  <c r="F138" i="5"/>
  <c r="C138" i="5"/>
  <c r="AD137" i="5"/>
  <c r="AC137" i="5"/>
  <c r="AA137" i="5"/>
  <c r="X137" i="5"/>
  <c r="W137" i="5"/>
  <c r="U137" i="5"/>
  <c r="R137" i="5"/>
  <c r="O137" i="5"/>
  <c r="N137" i="5"/>
  <c r="L137" i="5"/>
  <c r="H137" i="5"/>
  <c r="I137" i="5" s="1"/>
  <c r="F137" i="5"/>
  <c r="C137" i="5"/>
  <c r="AC136" i="5"/>
  <c r="AD136" i="5" s="1"/>
  <c r="AA136" i="5"/>
  <c r="W136" i="5"/>
  <c r="X136" i="5" s="1"/>
  <c r="U136" i="5"/>
  <c r="R136" i="5"/>
  <c r="O136" i="5"/>
  <c r="N136" i="5"/>
  <c r="L136" i="5"/>
  <c r="I136" i="5"/>
  <c r="H136" i="5"/>
  <c r="F136" i="5"/>
  <c r="C136" i="5"/>
  <c r="AC135" i="5"/>
  <c r="AD135" i="5" s="1"/>
  <c r="AA135" i="5"/>
  <c r="X135" i="5"/>
  <c r="W135" i="5"/>
  <c r="U135" i="5"/>
  <c r="R135" i="5"/>
  <c r="O135" i="5"/>
  <c r="N135" i="5"/>
  <c r="L135" i="5"/>
  <c r="H135" i="5"/>
  <c r="I135" i="5" s="1"/>
  <c r="F135" i="5"/>
  <c r="C135" i="5"/>
  <c r="AC134" i="5"/>
  <c r="AD134" i="5" s="1"/>
  <c r="AA134" i="5"/>
  <c r="X134" i="5"/>
  <c r="W134" i="5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W133" i="5"/>
  <c r="X133" i="5" s="1"/>
  <c r="U133" i="5"/>
  <c r="R133" i="5"/>
  <c r="O133" i="5"/>
  <c r="N133" i="5"/>
  <c r="L133" i="5"/>
  <c r="I133" i="5"/>
  <c r="H133" i="5"/>
  <c r="F133" i="5"/>
  <c r="C133" i="5"/>
  <c r="AC132" i="5"/>
  <c r="AD132" i="5" s="1"/>
  <c r="AA132" i="5"/>
  <c r="W132" i="5"/>
  <c r="X132" i="5" s="1"/>
  <c r="U132" i="5"/>
  <c r="R132" i="5"/>
  <c r="O132" i="5"/>
  <c r="N132" i="5"/>
  <c r="L132" i="5"/>
  <c r="I132" i="5"/>
  <c r="H132" i="5"/>
  <c r="F132" i="5"/>
  <c r="C132" i="5"/>
  <c r="AD131" i="5"/>
  <c r="AC131" i="5"/>
  <c r="AA131" i="5"/>
  <c r="X131" i="5"/>
  <c r="W131" i="5"/>
  <c r="U131" i="5"/>
  <c r="R131" i="5"/>
  <c r="N131" i="5"/>
  <c r="O131" i="5" s="1"/>
  <c r="L131" i="5"/>
  <c r="H131" i="5"/>
  <c r="I131" i="5" s="1"/>
  <c r="F131" i="5"/>
  <c r="C131" i="5"/>
  <c r="AD130" i="5"/>
  <c r="AC130" i="5"/>
  <c r="AA130" i="5"/>
  <c r="X130" i="5"/>
  <c r="W130" i="5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X129" i="5"/>
  <c r="W129" i="5"/>
  <c r="U129" i="5"/>
  <c r="R129" i="5"/>
  <c r="O129" i="5"/>
  <c r="N129" i="5"/>
  <c r="L129" i="5"/>
  <c r="H129" i="5"/>
  <c r="I129" i="5" s="1"/>
  <c r="F129" i="5"/>
  <c r="C129" i="5"/>
  <c r="AC127" i="5"/>
  <c r="AD127" i="5" s="1"/>
  <c r="AA127" i="5"/>
  <c r="W127" i="5"/>
  <c r="X127" i="5" s="1"/>
  <c r="U127" i="5"/>
  <c r="R127" i="5"/>
  <c r="O127" i="5"/>
  <c r="N127" i="5"/>
  <c r="L127" i="5"/>
  <c r="I127" i="5"/>
  <c r="H127" i="5"/>
  <c r="F127" i="5"/>
  <c r="C127" i="5"/>
  <c r="AC124" i="5"/>
  <c r="AD124" i="5" s="1"/>
  <c r="Z124" i="5"/>
  <c r="T124" i="5"/>
  <c r="U124" i="5" s="1"/>
  <c r="Q124" i="5"/>
  <c r="W124" i="5" s="1"/>
  <c r="X124" i="5" s="1"/>
  <c r="L124" i="5"/>
  <c r="K124" i="5"/>
  <c r="F124" i="5"/>
  <c r="E124" i="5"/>
  <c r="E172" i="5" s="1"/>
  <c r="B124" i="5"/>
  <c r="N124" i="5" s="1"/>
  <c r="O124" i="5" s="1"/>
  <c r="AD123" i="5"/>
  <c r="AC123" i="5"/>
  <c r="AA123" i="5"/>
  <c r="X123" i="5"/>
  <c r="W123" i="5"/>
  <c r="U123" i="5"/>
  <c r="R123" i="5"/>
  <c r="O123" i="5"/>
  <c r="N123" i="5"/>
  <c r="L123" i="5"/>
  <c r="I123" i="5"/>
  <c r="H123" i="5"/>
  <c r="F123" i="5"/>
  <c r="C123" i="5"/>
  <c r="AA122" i="5"/>
  <c r="Z122" i="5"/>
  <c r="W122" i="5"/>
  <c r="X122" i="5" s="1"/>
  <c r="U122" i="5"/>
  <c r="T122" i="5"/>
  <c r="Q122" i="5"/>
  <c r="R122" i="5" s="1"/>
  <c r="K122" i="5"/>
  <c r="L122" i="5" s="1"/>
  <c r="E122" i="5"/>
  <c r="B122" i="5"/>
  <c r="C122" i="5" s="1"/>
  <c r="AC121" i="5"/>
  <c r="AD121" i="5" s="1"/>
  <c r="AA121" i="5"/>
  <c r="X121" i="5"/>
  <c r="W121" i="5"/>
  <c r="U121" i="5"/>
  <c r="R121" i="5"/>
  <c r="N121" i="5"/>
  <c r="O121" i="5" s="1"/>
  <c r="L121" i="5"/>
  <c r="I121" i="5"/>
  <c r="H121" i="5"/>
  <c r="F121" i="5"/>
  <c r="C121" i="5"/>
  <c r="AC120" i="5"/>
  <c r="AD120" i="5" s="1"/>
  <c r="AA120" i="5"/>
  <c r="X120" i="5"/>
  <c r="W120" i="5"/>
  <c r="U120" i="5"/>
  <c r="R120" i="5"/>
  <c r="O120" i="5"/>
  <c r="N120" i="5"/>
  <c r="L120" i="5"/>
  <c r="I120" i="5"/>
  <c r="H120" i="5"/>
  <c r="F120" i="5"/>
  <c r="C120" i="5"/>
  <c r="AC119" i="5"/>
  <c r="AD119" i="5" s="1"/>
  <c r="AA119" i="5"/>
  <c r="W119" i="5"/>
  <c r="X119" i="5" s="1"/>
  <c r="U119" i="5"/>
  <c r="R119" i="5"/>
  <c r="O119" i="5"/>
  <c r="N119" i="5"/>
  <c r="L119" i="5"/>
  <c r="H119" i="5"/>
  <c r="I119" i="5" s="1"/>
  <c r="F119" i="5"/>
  <c r="C119" i="5"/>
  <c r="AC118" i="5"/>
  <c r="AD118" i="5" s="1"/>
  <c r="Z118" i="5"/>
  <c r="AA118" i="5" s="1"/>
  <c r="T118" i="5"/>
  <c r="U118" i="5" s="1"/>
  <c r="Q118" i="5"/>
  <c r="W118" i="5" s="1"/>
  <c r="X118" i="5" s="1"/>
  <c r="K118" i="5"/>
  <c r="L118" i="5" s="1"/>
  <c r="E118" i="5"/>
  <c r="F118" i="5" s="1"/>
  <c r="B118" i="5"/>
  <c r="C118" i="5" s="1"/>
  <c r="AC117" i="5"/>
  <c r="AD117" i="5" s="1"/>
  <c r="AA117" i="5"/>
  <c r="W117" i="5"/>
  <c r="X117" i="5" s="1"/>
  <c r="U117" i="5"/>
  <c r="R117" i="5"/>
  <c r="O117" i="5"/>
  <c r="N117" i="5"/>
  <c r="L117" i="5"/>
  <c r="I117" i="5"/>
  <c r="H117" i="5"/>
  <c r="F117" i="5"/>
  <c r="C117" i="5"/>
  <c r="AC116" i="5"/>
  <c r="AD116" i="5" s="1"/>
  <c r="AA116" i="5"/>
  <c r="W116" i="5"/>
  <c r="X116" i="5" s="1"/>
  <c r="U116" i="5"/>
  <c r="R116" i="5"/>
  <c r="O116" i="5"/>
  <c r="N116" i="5"/>
  <c r="L116" i="5"/>
  <c r="H116" i="5"/>
  <c r="I116" i="5" s="1"/>
  <c r="F116" i="5"/>
  <c r="C116" i="5"/>
  <c r="AD115" i="5"/>
  <c r="AC115" i="5"/>
  <c r="AA115" i="5"/>
  <c r="X115" i="5"/>
  <c r="W115" i="5"/>
  <c r="U115" i="5"/>
  <c r="R115" i="5"/>
  <c r="N115" i="5"/>
  <c r="O115" i="5" s="1"/>
  <c r="L115" i="5"/>
  <c r="H115" i="5"/>
  <c r="I115" i="5" s="1"/>
  <c r="F115" i="5"/>
  <c r="C115" i="5"/>
  <c r="AC114" i="5"/>
  <c r="AD114" i="5" s="1"/>
  <c r="AA114" i="5"/>
  <c r="X114" i="5"/>
  <c r="W114" i="5"/>
  <c r="U114" i="5"/>
  <c r="R114" i="5"/>
  <c r="N114" i="5"/>
  <c r="O114" i="5" s="1"/>
  <c r="L114" i="5"/>
  <c r="I114" i="5"/>
  <c r="H114" i="5"/>
  <c r="F114" i="5"/>
  <c r="C114" i="5"/>
  <c r="AC113" i="5"/>
  <c r="AD113" i="5" s="1"/>
  <c r="AA113" i="5"/>
  <c r="W113" i="5"/>
  <c r="X113" i="5" s="1"/>
  <c r="U113" i="5"/>
  <c r="R113" i="5"/>
  <c r="O113" i="5"/>
  <c r="N113" i="5"/>
  <c r="L113" i="5"/>
  <c r="I113" i="5"/>
  <c r="H113" i="5"/>
  <c r="F113" i="5"/>
  <c r="C113" i="5"/>
  <c r="AC112" i="5"/>
  <c r="AD112" i="5" s="1"/>
  <c r="AA112" i="5"/>
  <c r="W112" i="5"/>
  <c r="X112" i="5" s="1"/>
  <c r="U112" i="5"/>
  <c r="R112" i="5"/>
  <c r="O112" i="5"/>
  <c r="N112" i="5"/>
  <c r="L112" i="5"/>
  <c r="H112" i="5"/>
  <c r="I112" i="5" s="1"/>
  <c r="F112" i="5"/>
  <c r="C112" i="5"/>
  <c r="AC111" i="5"/>
  <c r="AD111" i="5" s="1"/>
  <c r="AA111" i="5"/>
  <c r="X111" i="5"/>
  <c r="W111" i="5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X110" i="5"/>
  <c r="W110" i="5"/>
  <c r="U110" i="5"/>
  <c r="R110" i="5"/>
  <c r="N110" i="5"/>
  <c r="O110" i="5" s="1"/>
  <c r="L110" i="5"/>
  <c r="I110" i="5"/>
  <c r="H110" i="5"/>
  <c r="F110" i="5"/>
  <c r="C110" i="5"/>
  <c r="AC109" i="5"/>
  <c r="AD109" i="5" s="1"/>
  <c r="AA109" i="5"/>
  <c r="X109" i="5"/>
  <c r="W109" i="5"/>
  <c r="U109" i="5"/>
  <c r="R109" i="5"/>
  <c r="O109" i="5"/>
  <c r="N109" i="5"/>
  <c r="L109" i="5"/>
  <c r="H109" i="5"/>
  <c r="I109" i="5" s="1"/>
  <c r="F109" i="5"/>
  <c r="C109" i="5"/>
  <c r="AC108" i="5"/>
  <c r="AD108" i="5" s="1"/>
  <c r="AA108" i="5"/>
  <c r="W108" i="5"/>
  <c r="X108" i="5" s="1"/>
  <c r="U108" i="5"/>
  <c r="R108" i="5"/>
  <c r="O108" i="5"/>
  <c r="N108" i="5"/>
  <c r="L108" i="5"/>
  <c r="H108" i="5"/>
  <c r="I108" i="5" s="1"/>
  <c r="F108" i="5"/>
  <c r="C108" i="5"/>
  <c r="AD107" i="5"/>
  <c r="AC107" i="5"/>
  <c r="AA107" i="5"/>
  <c r="X107" i="5"/>
  <c r="W107" i="5"/>
  <c r="U107" i="5"/>
  <c r="R107" i="5"/>
  <c r="O107" i="5"/>
  <c r="N107" i="5"/>
  <c r="L107" i="5"/>
  <c r="H107" i="5"/>
  <c r="I107" i="5" s="1"/>
  <c r="F107" i="5"/>
  <c r="C107" i="5"/>
  <c r="AD106" i="5"/>
  <c r="AC106" i="5"/>
  <c r="AA106" i="5"/>
  <c r="X106" i="5"/>
  <c r="W106" i="5"/>
  <c r="U106" i="5"/>
  <c r="R106" i="5"/>
  <c r="N106" i="5"/>
  <c r="O106" i="5" s="1"/>
  <c r="L106" i="5"/>
  <c r="H106" i="5"/>
  <c r="I106" i="5" s="1"/>
  <c r="F106" i="5"/>
  <c r="C106" i="5"/>
  <c r="AC105" i="5"/>
  <c r="AD105" i="5" s="1"/>
  <c r="AA105" i="5"/>
  <c r="X105" i="5"/>
  <c r="W105" i="5"/>
  <c r="U105" i="5"/>
  <c r="R105" i="5"/>
  <c r="O105" i="5"/>
  <c r="N105" i="5"/>
  <c r="L105" i="5"/>
  <c r="H105" i="5"/>
  <c r="I105" i="5" s="1"/>
  <c r="F105" i="5"/>
  <c r="C105" i="5"/>
  <c r="AC104" i="5"/>
  <c r="AD104" i="5" s="1"/>
  <c r="AA104" i="5"/>
  <c r="W104" i="5"/>
  <c r="X104" i="5" s="1"/>
  <c r="U104" i="5"/>
  <c r="R104" i="5"/>
  <c r="O104" i="5"/>
  <c r="N104" i="5"/>
  <c r="L104" i="5"/>
  <c r="H104" i="5"/>
  <c r="I104" i="5" s="1"/>
  <c r="F104" i="5"/>
  <c r="C104" i="5"/>
  <c r="AD103" i="5"/>
  <c r="AC103" i="5"/>
  <c r="AA103" i="5"/>
  <c r="X103" i="5"/>
  <c r="W103" i="5"/>
  <c r="U103" i="5"/>
  <c r="R103" i="5"/>
  <c r="N103" i="5"/>
  <c r="O103" i="5" s="1"/>
  <c r="L103" i="5"/>
  <c r="H103" i="5"/>
  <c r="I103" i="5" s="1"/>
  <c r="F103" i="5"/>
  <c r="C103" i="5"/>
  <c r="AD102" i="5"/>
  <c r="AC102" i="5"/>
  <c r="AA102" i="5"/>
  <c r="X102" i="5"/>
  <c r="W102" i="5"/>
  <c r="U102" i="5"/>
  <c r="R102" i="5"/>
  <c r="N102" i="5"/>
  <c r="O102" i="5" s="1"/>
  <c r="L102" i="5"/>
  <c r="H102" i="5"/>
  <c r="I102" i="5" s="1"/>
  <c r="F102" i="5"/>
  <c r="C102" i="5"/>
  <c r="AC101" i="5"/>
  <c r="AD101" i="5" s="1"/>
  <c r="AA101" i="5"/>
  <c r="W101" i="5"/>
  <c r="X101" i="5" s="1"/>
  <c r="U101" i="5"/>
  <c r="R101" i="5"/>
  <c r="O101" i="5"/>
  <c r="N101" i="5"/>
  <c r="L101" i="5"/>
  <c r="I101" i="5"/>
  <c r="H101" i="5"/>
  <c r="F101" i="5"/>
  <c r="C101" i="5"/>
  <c r="AC100" i="5"/>
  <c r="AD100" i="5" s="1"/>
  <c r="AA100" i="5"/>
  <c r="W100" i="5"/>
  <c r="X100" i="5" s="1"/>
  <c r="U100" i="5"/>
  <c r="R100" i="5"/>
  <c r="O100" i="5"/>
  <c r="N100" i="5"/>
  <c r="L100" i="5"/>
  <c r="H100" i="5"/>
  <c r="I100" i="5" s="1"/>
  <c r="F100" i="5"/>
  <c r="C100" i="5"/>
  <c r="AD99" i="5"/>
  <c r="AC99" i="5"/>
  <c r="AA99" i="5"/>
  <c r="X99" i="5"/>
  <c r="W99" i="5"/>
  <c r="U99" i="5"/>
  <c r="R99" i="5"/>
  <c r="N99" i="5"/>
  <c r="O99" i="5" s="1"/>
  <c r="L99" i="5"/>
  <c r="H99" i="5"/>
  <c r="I99" i="5" s="1"/>
  <c r="F99" i="5"/>
  <c r="C99" i="5"/>
  <c r="AC98" i="5"/>
  <c r="AD98" i="5" s="1"/>
  <c r="AA98" i="5"/>
  <c r="X98" i="5"/>
  <c r="W98" i="5"/>
  <c r="U98" i="5"/>
  <c r="R98" i="5"/>
  <c r="N98" i="5"/>
  <c r="O98" i="5" s="1"/>
  <c r="L98" i="5"/>
  <c r="I98" i="5"/>
  <c r="H98" i="5"/>
  <c r="F98" i="5"/>
  <c r="C98" i="5"/>
  <c r="AC97" i="5"/>
  <c r="AD97" i="5" s="1"/>
  <c r="AA97" i="5"/>
  <c r="W97" i="5"/>
  <c r="X97" i="5" s="1"/>
  <c r="U97" i="5"/>
  <c r="R97" i="5"/>
  <c r="O97" i="5"/>
  <c r="N97" i="5"/>
  <c r="L97" i="5"/>
  <c r="I97" i="5"/>
  <c r="H97" i="5"/>
  <c r="F97" i="5"/>
  <c r="C97" i="5"/>
  <c r="AC96" i="5"/>
  <c r="AD96" i="5" s="1"/>
  <c r="AA96" i="5"/>
  <c r="W96" i="5"/>
  <c r="X96" i="5" s="1"/>
  <c r="U96" i="5"/>
  <c r="R96" i="5"/>
  <c r="O96" i="5"/>
  <c r="N96" i="5"/>
  <c r="L96" i="5"/>
  <c r="H96" i="5"/>
  <c r="I96" i="5" s="1"/>
  <c r="F96" i="5"/>
  <c r="C96" i="5"/>
  <c r="AC95" i="5"/>
  <c r="AD95" i="5" s="1"/>
  <c r="AA95" i="5"/>
  <c r="X95" i="5"/>
  <c r="W95" i="5"/>
  <c r="U95" i="5"/>
  <c r="R95" i="5"/>
  <c r="O95" i="5"/>
  <c r="N95" i="5"/>
  <c r="L95" i="5"/>
  <c r="H95" i="5"/>
  <c r="I95" i="5" s="1"/>
  <c r="F95" i="5"/>
  <c r="C95" i="5"/>
  <c r="AC94" i="5"/>
  <c r="AD94" i="5" s="1"/>
  <c r="AA94" i="5"/>
  <c r="X94" i="5"/>
  <c r="W94" i="5"/>
  <c r="U94" i="5"/>
  <c r="R94" i="5"/>
  <c r="N94" i="5"/>
  <c r="O94" i="5" s="1"/>
  <c r="L94" i="5"/>
  <c r="I94" i="5"/>
  <c r="H94" i="5"/>
  <c r="F94" i="5"/>
  <c r="C94" i="5"/>
  <c r="AC92" i="5"/>
  <c r="AD92" i="5" s="1"/>
  <c r="AA92" i="5"/>
  <c r="X92" i="5"/>
  <c r="W92" i="5"/>
  <c r="U92" i="5"/>
  <c r="R92" i="5"/>
  <c r="O92" i="5"/>
  <c r="N92" i="5"/>
  <c r="L92" i="5"/>
  <c r="H92" i="5"/>
  <c r="I92" i="5" s="1"/>
  <c r="F92" i="5"/>
  <c r="C92" i="5"/>
  <c r="AC91" i="5"/>
  <c r="AD91" i="5" s="1"/>
  <c r="AA91" i="5"/>
  <c r="W91" i="5"/>
  <c r="X91" i="5" s="1"/>
  <c r="U91" i="5"/>
  <c r="R91" i="5"/>
  <c r="O91" i="5"/>
  <c r="N91" i="5"/>
  <c r="L91" i="5"/>
  <c r="H91" i="5"/>
  <c r="I91" i="5" s="1"/>
  <c r="F91" i="5"/>
  <c r="C91" i="5"/>
  <c r="AD90" i="5"/>
  <c r="AC90" i="5"/>
  <c r="AA90" i="5"/>
  <c r="X90" i="5"/>
  <c r="W90" i="5"/>
  <c r="U90" i="5"/>
  <c r="R90" i="5"/>
  <c r="O90" i="5"/>
  <c r="N90" i="5"/>
  <c r="L90" i="5"/>
  <c r="H90" i="5"/>
  <c r="I90" i="5" s="1"/>
  <c r="F90" i="5"/>
  <c r="C90" i="5"/>
  <c r="AD89" i="5"/>
  <c r="AC89" i="5"/>
  <c r="AA89" i="5"/>
  <c r="X89" i="5"/>
  <c r="W89" i="5"/>
  <c r="U89" i="5"/>
  <c r="R89" i="5"/>
  <c r="N89" i="5"/>
  <c r="O89" i="5" s="1"/>
  <c r="L89" i="5"/>
  <c r="H89" i="5"/>
  <c r="I89" i="5" s="1"/>
  <c r="F89" i="5"/>
  <c r="C89" i="5"/>
  <c r="AA88" i="5"/>
  <c r="Z88" i="5"/>
  <c r="X88" i="5"/>
  <c r="W88" i="5"/>
  <c r="T88" i="5"/>
  <c r="U88" i="5" s="1"/>
  <c r="Q88" i="5"/>
  <c r="R88" i="5" s="1"/>
  <c r="L88" i="5"/>
  <c r="K88" i="5"/>
  <c r="E88" i="5"/>
  <c r="F88" i="5" s="1"/>
  <c r="B88" i="5"/>
  <c r="AD87" i="5"/>
  <c r="AC87" i="5"/>
  <c r="AA87" i="5"/>
  <c r="X87" i="5"/>
  <c r="W87" i="5"/>
  <c r="U87" i="5"/>
  <c r="R87" i="5"/>
  <c r="O87" i="5"/>
  <c r="N87" i="5"/>
  <c r="L87" i="5"/>
  <c r="H87" i="5"/>
  <c r="I87" i="5" s="1"/>
  <c r="F87" i="5"/>
  <c r="C87" i="5"/>
  <c r="AD86" i="5"/>
  <c r="AC86" i="5"/>
  <c r="AA86" i="5"/>
  <c r="X86" i="5"/>
  <c r="W86" i="5"/>
  <c r="U86" i="5"/>
  <c r="R86" i="5"/>
  <c r="N86" i="5"/>
  <c r="O86" i="5" s="1"/>
  <c r="L86" i="5"/>
  <c r="H86" i="5"/>
  <c r="I86" i="5" s="1"/>
  <c r="F86" i="5"/>
  <c r="C86" i="5"/>
  <c r="AC85" i="5"/>
  <c r="AD85" i="5" s="1"/>
  <c r="AA85" i="5"/>
  <c r="X85" i="5"/>
  <c r="W85" i="5"/>
  <c r="U85" i="5"/>
  <c r="R85" i="5"/>
  <c r="O85" i="5"/>
  <c r="N85" i="5"/>
  <c r="L85" i="5"/>
  <c r="H85" i="5"/>
  <c r="I85" i="5" s="1"/>
  <c r="F85" i="5"/>
  <c r="C85" i="5"/>
  <c r="AC84" i="5"/>
  <c r="AD84" i="5" s="1"/>
  <c r="AA84" i="5"/>
  <c r="W84" i="5"/>
  <c r="X84" i="5" s="1"/>
  <c r="U84" i="5"/>
  <c r="R84" i="5"/>
  <c r="O84" i="5"/>
  <c r="N84" i="5"/>
  <c r="L84" i="5"/>
  <c r="H84" i="5"/>
  <c r="I84" i="5" s="1"/>
  <c r="F84" i="5"/>
  <c r="C84" i="5"/>
  <c r="AD83" i="5"/>
  <c r="AC83" i="5"/>
  <c r="AA83" i="5"/>
  <c r="X83" i="5"/>
  <c r="W83" i="5"/>
  <c r="U83" i="5"/>
  <c r="R83" i="5"/>
  <c r="N83" i="5"/>
  <c r="O83" i="5" s="1"/>
  <c r="L83" i="5"/>
  <c r="H83" i="5"/>
  <c r="I83" i="5" s="1"/>
  <c r="F83" i="5"/>
  <c r="C83" i="5"/>
  <c r="AD82" i="5"/>
  <c r="AC82" i="5"/>
  <c r="AA82" i="5"/>
  <c r="X82" i="5"/>
  <c r="W82" i="5"/>
  <c r="U82" i="5"/>
  <c r="R82" i="5"/>
  <c r="N82" i="5"/>
  <c r="O82" i="5" s="1"/>
  <c r="L82" i="5"/>
  <c r="H82" i="5"/>
  <c r="I82" i="5" s="1"/>
  <c r="F82" i="5"/>
  <c r="C82" i="5"/>
  <c r="AC81" i="5"/>
  <c r="AD81" i="5" s="1"/>
  <c r="AA81" i="5"/>
  <c r="W81" i="5"/>
  <c r="X81" i="5" s="1"/>
  <c r="U81" i="5"/>
  <c r="R81" i="5"/>
  <c r="O81" i="5"/>
  <c r="N81" i="5"/>
  <c r="L81" i="5"/>
  <c r="I81" i="5"/>
  <c r="H81" i="5"/>
  <c r="F81" i="5"/>
  <c r="C81" i="5"/>
  <c r="AC80" i="5"/>
  <c r="AD80" i="5" s="1"/>
  <c r="AA80" i="5"/>
  <c r="W80" i="5"/>
  <c r="X80" i="5" s="1"/>
  <c r="U80" i="5"/>
  <c r="R80" i="5"/>
  <c r="O80" i="5"/>
  <c r="N80" i="5"/>
  <c r="L80" i="5"/>
  <c r="H80" i="5"/>
  <c r="I80" i="5" s="1"/>
  <c r="F80" i="5"/>
  <c r="C80" i="5"/>
  <c r="AD79" i="5"/>
  <c r="AC79" i="5"/>
  <c r="AA79" i="5"/>
  <c r="X79" i="5"/>
  <c r="W79" i="5"/>
  <c r="U79" i="5"/>
  <c r="R79" i="5"/>
  <c r="N79" i="5"/>
  <c r="O79" i="5" s="1"/>
  <c r="L79" i="5"/>
  <c r="H79" i="5"/>
  <c r="I79" i="5" s="1"/>
  <c r="F79" i="5"/>
  <c r="C79" i="5"/>
  <c r="AC78" i="5"/>
  <c r="AD78" i="5" s="1"/>
  <c r="AA78" i="5"/>
  <c r="X78" i="5"/>
  <c r="W78" i="5"/>
  <c r="U78" i="5"/>
  <c r="R78" i="5"/>
  <c r="N78" i="5"/>
  <c r="O78" i="5" s="1"/>
  <c r="L78" i="5"/>
  <c r="I78" i="5"/>
  <c r="H78" i="5"/>
  <c r="F78" i="5"/>
  <c r="C78" i="5"/>
  <c r="AC77" i="5"/>
  <c r="AD77" i="5" s="1"/>
  <c r="AA77" i="5"/>
  <c r="W77" i="5"/>
  <c r="X77" i="5" s="1"/>
  <c r="U77" i="5"/>
  <c r="R77" i="5"/>
  <c r="O77" i="5"/>
  <c r="N77" i="5"/>
  <c r="L77" i="5"/>
  <c r="I77" i="5"/>
  <c r="H77" i="5"/>
  <c r="F77" i="5"/>
  <c r="C77" i="5"/>
  <c r="AC76" i="5"/>
  <c r="AD76" i="5" s="1"/>
  <c r="AA76" i="5"/>
  <c r="W76" i="5"/>
  <c r="X76" i="5" s="1"/>
  <c r="U76" i="5"/>
  <c r="R76" i="5"/>
  <c r="O76" i="5"/>
  <c r="N76" i="5"/>
  <c r="L76" i="5"/>
  <c r="H76" i="5"/>
  <c r="I76" i="5" s="1"/>
  <c r="F76" i="5"/>
  <c r="C76" i="5"/>
  <c r="AC75" i="5"/>
  <c r="AD75" i="5" s="1"/>
  <c r="AA75" i="5"/>
  <c r="X75" i="5"/>
  <c r="W75" i="5"/>
  <c r="U75" i="5"/>
  <c r="R75" i="5"/>
  <c r="O75" i="5"/>
  <c r="N75" i="5"/>
  <c r="L75" i="5"/>
  <c r="H75" i="5"/>
  <c r="I75" i="5" s="1"/>
  <c r="F75" i="5"/>
  <c r="C75" i="5"/>
  <c r="AC73" i="5"/>
  <c r="AD73" i="5" s="1"/>
  <c r="AA73" i="5"/>
  <c r="Z73" i="5"/>
  <c r="W73" i="5"/>
  <c r="X73" i="5" s="1"/>
  <c r="T73" i="5"/>
  <c r="U73" i="5" s="1"/>
  <c r="Q73" i="5"/>
  <c r="R73" i="5" s="1"/>
  <c r="N73" i="5"/>
  <c r="O73" i="5" s="1"/>
  <c r="K73" i="5"/>
  <c r="L73" i="5" s="1"/>
  <c r="E73" i="5"/>
  <c r="F73" i="5" s="1"/>
  <c r="B73" i="5"/>
  <c r="AC72" i="5"/>
  <c r="AD72" i="5" s="1"/>
  <c r="AA72" i="5"/>
  <c r="W72" i="5"/>
  <c r="X72" i="5" s="1"/>
  <c r="U72" i="5"/>
  <c r="R72" i="5"/>
  <c r="O72" i="5"/>
  <c r="N72" i="5"/>
  <c r="L72" i="5"/>
  <c r="H72" i="5"/>
  <c r="I72" i="5" s="1"/>
  <c r="F72" i="5"/>
  <c r="C72" i="5"/>
  <c r="AD71" i="5"/>
  <c r="AC71" i="5"/>
  <c r="AA71" i="5"/>
  <c r="X71" i="5"/>
  <c r="W71" i="5"/>
  <c r="U71" i="5"/>
  <c r="R71" i="5"/>
  <c r="O71" i="5"/>
  <c r="N71" i="5"/>
  <c r="L71" i="5"/>
  <c r="H71" i="5"/>
  <c r="I71" i="5" s="1"/>
  <c r="F71" i="5"/>
  <c r="C71" i="5"/>
  <c r="AD70" i="5"/>
  <c r="AC70" i="5"/>
  <c r="AA70" i="5"/>
  <c r="X70" i="5"/>
  <c r="W70" i="5"/>
  <c r="U70" i="5"/>
  <c r="R70" i="5"/>
  <c r="N70" i="5"/>
  <c r="O70" i="5" s="1"/>
  <c r="L70" i="5"/>
  <c r="H70" i="5"/>
  <c r="I70" i="5" s="1"/>
  <c r="F70" i="5"/>
  <c r="C70" i="5"/>
  <c r="AC69" i="5"/>
  <c r="AD69" i="5" s="1"/>
  <c r="AA69" i="5"/>
  <c r="W69" i="5"/>
  <c r="X69" i="5" s="1"/>
  <c r="U69" i="5"/>
  <c r="R69" i="5"/>
  <c r="O69" i="5"/>
  <c r="N69" i="5"/>
  <c r="L69" i="5"/>
  <c r="H69" i="5"/>
  <c r="I69" i="5" s="1"/>
  <c r="F69" i="5"/>
  <c r="C69" i="5"/>
  <c r="AC68" i="5"/>
  <c r="AD68" i="5" s="1"/>
  <c r="AA68" i="5"/>
  <c r="W68" i="5"/>
  <c r="X68" i="5" s="1"/>
  <c r="U68" i="5"/>
  <c r="R68" i="5"/>
  <c r="O68" i="5"/>
  <c r="N68" i="5"/>
  <c r="L68" i="5"/>
  <c r="H68" i="5"/>
  <c r="I68" i="5" s="1"/>
  <c r="F68" i="5"/>
  <c r="C68" i="5"/>
  <c r="AD67" i="5"/>
  <c r="AC67" i="5"/>
  <c r="AA67" i="5"/>
  <c r="X67" i="5"/>
  <c r="W67" i="5"/>
  <c r="U67" i="5"/>
  <c r="R67" i="5"/>
  <c r="N67" i="5"/>
  <c r="O67" i="5" s="1"/>
  <c r="L67" i="5"/>
  <c r="H67" i="5"/>
  <c r="I67" i="5" s="1"/>
  <c r="F67" i="5"/>
  <c r="C67" i="5"/>
  <c r="AD66" i="5"/>
  <c r="AC66" i="5"/>
  <c r="AA66" i="5"/>
  <c r="X66" i="5"/>
  <c r="W66" i="5"/>
  <c r="U66" i="5"/>
  <c r="R66" i="5"/>
  <c r="N66" i="5"/>
  <c r="O66" i="5" s="1"/>
  <c r="L66" i="5"/>
  <c r="I66" i="5"/>
  <c r="H66" i="5"/>
  <c r="F66" i="5"/>
  <c r="C66" i="5"/>
  <c r="AC65" i="5"/>
  <c r="AD65" i="5" s="1"/>
  <c r="AA65" i="5"/>
  <c r="W65" i="5"/>
  <c r="X65" i="5" s="1"/>
  <c r="U65" i="5"/>
  <c r="R65" i="5"/>
  <c r="O65" i="5"/>
  <c r="N65" i="5"/>
  <c r="L65" i="5"/>
  <c r="I65" i="5"/>
  <c r="H65" i="5"/>
  <c r="F65" i="5"/>
  <c r="C65" i="5"/>
  <c r="AC64" i="5"/>
  <c r="AD64" i="5" s="1"/>
  <c r="AA64" i="5"/>
  <c r="W64" i="5"/>
  <c r="X64" i="5" s="1"/>
  <c r="U64" i="5"/>
  <c r="R64" i="5"/>
  <c r="O64" i="5"/>
  <c r="N64" i="5"/>
  <c r="L64" i="5"/>
  <c r="H64" i="5"/>
  <c r="I64" i="5" s="1"/>
  <c r="F64" i="5"/>
  <c r="C64" i="5"/>
  <c r="Z62" i="5"/>
  <c r="AA62" i="5" s="1"/>
  <c r="U62" i="5"/>
  <c r="T62" i="5"/>
  <c r="Q62" i="5"/>
  <c r="N62" i="5"/>
  <c r="O62" i="5" s="1"/>
  <c r="K62" i="5"/>
  <c r="L62" i="5" s="1"/>
  <c r="F62" i="5"/>
  <c r="E62" i="5"/>
  <c r="H62" i="5" s="1"/>
  <c r="I62" i="5" s="1"/>
  <c r="B62" i="5"/>
  <c r="C62" i="5" s="1"/>
  <c r="AA61" i="5"/>
  <c r="Z61" i="5"/>
  <c r="T61" i="5"/>
  <c r="U61" i="5" s="1"/>
  <c r="Q61" i="5"/>
  <c r="R61" i="5" s="1"/>
  <c r="L61" i="5"/>
  <c r="K61" i="5"/>
  <c r="E61" i="5"/>
  <c r="F61" i="5" s="1"/>
  <c r="B61" i="5"/>
  <c r="H61" i="5" s="1"/>
  <c r="I61" i="5" s="1"/>
  <c r="AD60" i="5"/>
  <c r="AC60" i="5"/>
  <c r="AA60" i="5"/>
  <c r="X60" i="5"/>
  <c r="W60" i="5"/>
  <c r="U60" i="5"/>
  <c r="R60" i="5"/>
  <c r="O60" i="5"/>
  <c r="N60" i="5"/>
  <c r="L60" i="5"/>
  <c r="H60" i="5"/>
  <c r="I60" i="5" s="1"/>
  <c r="F60" i="5"/>
  <c r="C60" i="5"/>
  <c r="AC59" i="5"/>
  <c r="AD59" i="5" s="1"/>
  <c r="AA59" i="5"/>
  <c r="X59" i="5"/>
  <c r="W59" i="5"/>
  <c r="U59" i="5"/>
  <c r="R59" i="5"/>
  <c r="N59" i="5"/>
  <c r="O59" i="5" s="1"/>
  <c r="L59" i="5"/>
  <c r="H59" i="5"/>
  <c r="I59" i="5" s="1"/>
  <c r="F59" i="5"/>
  <c r="C59" i="5"/>
  <c r="AC58" i="5"/>
  <c r="AD58" i="5" s="1"/>
  <c r="AA58" i="5"/>
  <c r="W58" i="5"/>
  <c r="X58" i="5" s="1"/>
  <c r="U58" i="5"/>
  <c r="R58" i="5"/>
  <c r="O58" i="5"/>
  <c r="N58" i="5"/>
  <c r="L58" i="5"/>
  <c r="H58" i="5"/>
  <c r="I58" i="5" s="1"/>
  <c r="F58" i="5"/>
  <c r="C58" i="5"/>
  <c r="AC57" i="5"/>
  <c r="AD57" i="5" s="1"/>
  <c r="AA57" i="5"/>
  <c r="W57" i="5"/>
  <c r="X57" i="5" s="1"/>
  <c r="U57" i="5"/>
  <c r="R57" i="5"/>
  <c r="O57" i="5"/>
  <c r="N57" i="5"/>
  <c r="L57" i="5"/>
  <c r="H57" i="5"/>
  <c r="I57" i="5" s="1"/>
  <c r="F57" i="5"/>
  <c r="C57" i="5"/>
  <c r="AD56" i="5"/>
  <c r="AC56" i="5"/>
  <c r="AA56" i="5"/>
  <c r="X56" i="5"/>
  <c r="W56" i="5"/>
  <c r="U56" i="5"/>
  <c r="R56" i="5"/>
  <c r="N56" i="5"/>
  <c r="O56" i="5" s="1"/>
  <c r="L56" i="5"/>
  <c r="H56" i="5"/>
  <c r="I56" i="5" s="1"/>
  <c r="F56" i="5"/>
  <c r="C56" i="5"/>
  <c r="AD55" i="5"/>
  <c r="AC55" i="5"/>
  <c r="AA55" i="5"/>
  <c r="X55" i="5"/>
  <c r="W55" i="5"/>
  <c r="U55" i="5"/>
  <c r="R55" i="5"/>
  <c r="N55" i="5"/>
  <c r="O55" i="5" s="1"/>
  <c r="L55" i="5"/>
  <c r="I55" i="5"/>
  <c r="H55" i="5"/>
  <c r="F55" i="5"/>
  <c r="C55" i="5"/>
  <c r="AC54" i="5"/>
  <c r="AD54" i="5" s="1"/>
  <c r="AA54" i="5"/>
  <c r="W54" i="5"/>
  <c r="X54" i="5" s="1"/>
  <c r="U54" i="5"/>
  <c r="R54" i="5"/>
  <c r="O54" i="5"/>
  <c r="N54" i="5"/>
  <c r="L54" i="5"/>
  <c r="H54" i="5"/>
  <c r="I54" i="5" s="1"/>
  <c r="F54" i="5"/>
  <c r="C54" i="5"/>
  <c r="AC53" i="5"/>
  <c r="AD53" i="5" s="1"/>
  <c r="AA53" i="5"/>
  <c r="W53" i="5"/>
  <c r="X53" i="5" s="1"/>
  <c r="U53" i="5"/>
  <c r="R53" i="5"/>
  <c r="O53" i="5"/>
  <c r="N53" i="5"/>
  <c r="L53" i="5"/>
  <c r="H53" i="5"/>
  <c r="I53" i="5" s="1"/>
  <c r="F53" i="5"/>
  <c r="C53" i="5"/>
  <c r="AC52" i="5"/>
  <c r="AD52" i="5" s="1"/>
  <c r="AA52" i="5"/>
  <c r="X52" i="5"/>
  <c r="W52" i="5"/>
  <c r="U52" i="5"/>
  <c r="R52" i="5"/>
  <c r="N52" i="5"/>
  <c r="O52" i="5" s="1"/>
  <c r="L52" i="5"/>
  <c r="H52" i="5"/>
  <c r="I52" i="5" s="1"/>
  <c r="F52" i="5"/>
  <c r="C52" i="5"/>
  <c r="AC51" i="5"/>
  <c r="AD51" i="5" s="1"/>
  <c r="AA51" i="5"/>
  <c r="X51" i="5"/>
  <c r="W51" i="5"/>
  <c r="U51" i="5"/>
  <c r="R51" i="5"/>
  <c r="N51" i="5"/>
  <c r="O51" i="5" s="1"/>
  <c r="L51" i="5"/>
  <c r="I51" i="5"/>
  <c r="H51" i="5"/>
  <c r="F51" i="5"/>
  <c r="C51" i="5"/>
  <c r="AC50" i="5"/>
  <c r="AD50" i="5" s="1"/>
  <c r="AA50" i="5"/>
  <c r="X50" i="5"/>
  <c r="W50" i="5"/>
  <c r="U50" i="5"/>
  <c r="R50" i="5"/>
  <c r="O50" i="5"/>
  <c r="N50" i="5"/>
  <c r="L50" i="5"/>
  <c r="I50" i="5"/>
  <c r="H50" i="5"/>
  <c r="F50" i="5"/>
  <c r="C50" i="5"/>
  <c r="AC49" i="5"/>
  <c r="AD49" i="5" s="1"/>
  <c r="AA49" i="5"/>
  <c r="W49" i="5"/>
  <c r="X49" i="5" s="1"/>
  <c r="U49" i="5"/>
  <c r="R49" i="5"/>
  <c r="O49" i="5"/>
  <c r="N49" i="5"/>
  <c r="L49" i="5"/>
  <c r="H49" i="5"/>
  <c r="I49" i="5" s="1"/>
  <c r="F49" i="5"/>
  <c r="C49" i="5"/>
  <c r="AC48" i="5"/>
  <c r="AD48" i="5" s="1"/>
  <c r="AA48" i="5"/>
  <c r="X48" i="5"/>
  <c r="W48" i="5"/>
  <c r="U48" i="5"/>
  <c r="R48" i="5"/>
  <c r="N48" i="5"/>
  <c r="O48" i="5" s="1"/>
  <c r="L48" i="5"/>
  <c r="H48" i="5"/>
  <c r="I48" i="5" s="1"/>
  <c r="F48" i="5"/>
  <c r="C48" i="5"/>
  <c r="AC47" i="5"/>
  <c r="AD47" i="5" s="1"/>
  <c r="AA47" i="5"/>
  <c r="X47" i="5"/>
  <c r="W47" i="5"/>
  <c r="U47" i="5"/>
  <c r="R47" i="5"/>
  <c r="N47" i="5"/>
  <c r="O47" i="5" s="1"/>
  <c r="L47" i="5"/>
  <c r="H47" i="5"/>
  <c r="I47" i="5" s="1"/>
  <c r="F47" i="5"/>
  <c r="C47" i="5"/>
  <c r="AC46" i="5"/>
  <c r="AD46" i="5" s="1"/>
  <c r="AA46" i="5"/>
  <c r="X46" i="5"/>
  <c r="W46" i="5"/>
  <c r="U46" i="5"/>
  <c r="R46" i="5"/>
  <c r="O46" i="5"/>
  <c r="N46" i="5"/>
  <c r="L46" i="5"/>
  <c r="H46" i="5"/>
  <c r="I46" i="5" s="1"/>
  <c r="F46" i="5"/>
  <c r="C46" i="5"/>
  <c r="AC44" i="5"/>
  <c r="AD44" i="5" s="1"/>
  <c r="AA44" i="5"/>
  <c r="W44" i="5"/>
  <c r="X44" i="5" s="1"/>
  <c r="U44" i="5"/>
  <c r="R44" i="5"/>
  <c r="O44" i="5"/>
  <c r="N44" i="5"/>
  <c r="L44" i="5"/>
  <c r="H44" i="5"/>
  <c r="I44" i="5" s="1"/>
  <c r="F44" i="5"/>
  <c r="C44" i="5"/>
  <c r="AD43" i="5"/>
  <c r="AC43" i="5"/>
  <c r="AA43" i="5"/>
  <c r="X43" i="5"/>
  <c r="W43" i="5"/>
  <c r="U43" i="5"/>
  <c r="R43" i="5"/>
  <c r="O43" i="5"/>
  <c r="N43" i="5"/>
  <c r="L43" i="5"/>
  <c r="H43" i="5"/>
  <c r="I43" i="5" s="1"/>
  <c r="F43" i="5"/>
  <c r="C43" i="5"/>
  <c r="AD42" i="5"/>
  <c r="AC42" i="5"/>
  <c r="AA42" i="5"/>
  <c r="X42" i="5"/>
  <c r="W42" i="5"/>
  <c r="U42" i="5"/>
  <c r="R42" i="5"/>
  <c r="N42" i="5"/>
  <c r="O42" i="5" s="1"/>
  <c r="L42" i="5"/>
  <c r="H42" i="5"/>
  <c r="I42" i="5" s="1"/>
  <c r="F42" i="5"/>
  <c r="C42" i="5"/>
  <c r="AA40" i="5"/>
  <c r="Z40" i="5"/>
  <c r="W40" i="5"/>
  <c r="X40" i="5" s="1"/>
  <c r="T40" i="5"/>
  <c r="U40" i="5" s="1"/>
  <c r="Q40" i="5"/>
  <c r="R40" i="5" s="1"/>
  <c r="L40" i="5"/>
  <c r="K40" i="5"/>
  <c r="E40" i="5"/>
  <c r="F40" i="5" s="1"/>
  <c r="B40" i="5"/>
  <c r="H40" i="5" s="1"/>
  <c r="I40" i="5" s="1"/>
  <c r="AD39" i="5"/>
  <c r="AC39" i="5"/>
  <c r="AA39" i="5"/>
  <c r="X39" i="5"/>
  <c r="W39" i="5"/>
  <c r="U39" i="5"/>
  <c r="R39" i="5"/>
  <c r="O39" i="5"/>
  <c r="N39" i="5"/>
  <c r="L39" i="5"/>
  <c r="H39" i="5"/>
  <c r="I39" i="5" s="1"/>
  <c r="F39" i="5"/>
  <c r="C39" i="5"/>
  <c r="AC38" i="5"/>
  <c r="AD38" i="5" s="1"/>
  <c r="AA38" i="5"/>
  <c r="X38" i="5"/>
  <c r="W38" i="5"/>
  <c r="U38" i="5"/>
  <c r="R38" i="5"/>
  <c r="N38" i="5"/>
  <c r="O38" i="5" s="1"/>
  <c r="L38" i="5"/>
  <c r="H38" i="5"/>
  <c r="I38" i="5" s="1"/>
  <c r="F38" i="5"/>
  <c r="C38" i="5"/>
  <c r="AC37" i="5"/>
  <c r="AD37" i="5" s="1"/>
  <c r="AA37" i="5"/>
  <c r="W37" i="5"/>
  <c r="X37" i="5" s="1"/>
  <c r="U37" i="5"/>
  <c r="R37" i="5"/>
  <c r="O37" i="5"/>
  <c r="N37" i="5"/>
  <c r="L37" i="5"/>
  <c r="H37" i="5"/>
  <c r="I37" i="5" s="1"/>
  <c r="F37" i="5"/>
  <c r="C37" i="5"/>
  <c r="AC36" i="5"/>
  <c r="AD36" i="5" s="1"/>
  <c r="AA36" i="5"/>
  <c r="W36" i="5"/>
  <c r="X36" i="5" s="1"/>
  <c r="U36" i="5"/>
  <c r="R36" i="5"/>
  <c r="O36" i="5"/>
  <c r="N36" i="5"/>
  <c r="L36" i="5"/>
  <c r="H36" i="5"/>
  <c r="I36" i="5" s="1"/>
  <c r="F36" i="5"/>
  <c r="C36" i="5"/>
  <c r="AD35" i="5"/>
  <c r="AC35" i="5"/>
  <c r="AA35" i="5"/>
  <c r="X35" i="5"/>
  <c r="W35" i="5"/>
  <c r="U35" i="5"/>
  <c r="R35" i="5"/>
  <c r="N35" i="5"/>
  <c r="O35" i="5" s="1"/>
  <c r="L35" i="5"/>
  <c r="H35" i="5"/>
  <c r="I35" i="5" s="1"/>
  <c r="F35" i="5"/>
  <c r="C35" i="5"/>
  <c r="AD34" i="5"/>
  <c r="AC34" i="5"/>
  <c r="AA34" i="5"/>
  <c r="X34" i="5"/>
  <c r="W34" i="5"/>
  <c r="U34" i="5"/>
  <c r="R34" i="5"/>
  <c r="N34" i="5"/>
  <c r="O34" i="5" s="1"/>
  <c r="L34" i="5"/>
  <c r="I34" i="5"/>
  <c r="H34" i="5"/>
  <c r="F34" i="5"/>
  <c r="C34" i="5"/>
  <c r="AC33" i="5"/>
  <c r="AD33" i="5" s="1"/>
  <c r="AA33" i="5"/>
  <c r="W33" i="5"/>
  <c r="X33" i="5" s="1"/>
  <c r="U33" i="5"/>
  <c r="R33" i="5"/>
  <c r="O33" i="5"/>
  <c r="N33" i="5"/>
  <c r="L33" i="5"/>
  <c r="H33" i="5"/>
  <c r="I33" i="5" s="1"/>
  <c r="F33" i="5"/>
  <c r="C33" i="5"/>
  <c r="AC32" i="5"/>
  <c r="AD32" i="5" s="1"/>
  <c r="AA32" i="5"/>
  <c r="W32" i="5"/>
  <c r="X32" i="5" s="1"/>
  <c r="U32" i="5"/>
  <c r="R32" i="5"/>
  <c r="O32" i="5"/>
  <c r="N32" i="5"/>
  <c r="L32" i="5"/>
  <c r="H32" i="5"/>
  <c r="I32" i="5" s="1"/>
  <c r="F32" i="5"/>
  <c r="C32" i="5"/>
  <c r="AC31" i="5"/>
  <c r="AD31" i="5" s="1"/>
  <c r="AA31" i="5"/>
  <c r="X31" i="5"/>
  <c r="W31" i="5"/>
  <c r="U31" i="5"/>
  <c r="R31" i="5"/>
  <c r="N31" i="5"/>
  <c r="O31" i="5" s="1"/>
  <c r="L31" i="5"/>
  <c r="H31" i="5"/>
  <c r="I31" i="5" s="1"/>
  <c r="F31" i="5"/>
  <c r="C31" i="5"/>
  <c r="AC29" i="5"/>
  <c r="AD29" i="5" s="1"/>
  <c r="Z29" i="5"/>
  <c r="AA29" i="5" s="1"/>
  <c r="T29" i="5"/>
  <c r="U29" i="5" s="1"/>
  <c r="R29" i="5"/>
  <c r="Q29" i="5"/>
  <c r="W29" i="5" s="1"/>
  <c r="X29" i="5" s="1"/>
  <c r="N29" i="5"/>
  <c r="O29" i="5" s="1"/>
  <c r="K29" i="5"/>
  <c r="L29" i="5" s="1"/>
  <c r="E29" i="5"/>
  <c r="F29" i="5" s="1"/>
  <c r="B29" i="5"/>
  <c r="H29" i="5" s="1"/>
  <c r="I29" i="5" s="1"/>
  <c r="AC28" i="5"/>
  <c r="AD28" i="5" s="1"/>
  <c r="AA28" i="5"/>
  <c r="W28" i="5"/>
  <c r="X28" i="5" s="1"/>
  <c r="U28" i="5"/>
  <c r="R28" i="5"/>
  <c r="O28" i="5"/>
  <c r="N28" i="5"/>
  <c r="L28" i="5"/>
  <c r="H28" i="5"/>
  <c r="I28" i="5" s="1"/>
  <c r="F28" i="5"/>
  <c r="C28" i="5"/>
  <c r="AC27" i="5"/>
  <c r="AD27" i="5" s="1"/>
  <c r="AA27" i="5"/>
  <c r="X27" i="5"/>
  <c r="W27" i="5"/>
  <c r="U27" i="5"/>
  <c r="R27" i="5"/>
  <c r="O27" i="5"/>
  <c r="N27" i="5"/>
  <c r="L27" i="5"/>
  <c r="H27" i="5"/>
  <c r="I27" i="5" s="1"/>
  <c r="F27" i="5"/>
  <c r="C27" i="5"/>
  <c r="AD26" i="5"/>
  <c r="AC26" i="5"/>
  <c r="AA26" i="5"/>
  <c r="X26" i="5"/>
  <c r="W26" i="5"/>
  <c r="U26" i="5"/>
  <c r="R26" i="5"/>
  <c r="N26" i="5"/>
  <c r="O26" i="5" s="1"/>
  <c r="L26" i="5"/>
  <c r="H26" i="5"/>
  <c r="I26" i="5" s="1"/>
  <c r="F26" i="5"/>
  <c r="C26" i="5"/>
  <c r="AC25" i="5"/>
  <c r="AD25" i="5" s="1"/>
  <c r="AA25" i="5"/>
  <c r="X25" i="5"/>
  <c r="W25" i="5"/>
  <c r="U25" i="5"/>
  <c r="R25" i="5"/>
  <c r="O25" i="5"/>
  <c r="N25" i="5"/>
  <c r="L25" i="5"/>
  <c r="H25" i="5"/>
  <c r="I25" i="5" s="1"/>
  <c r="F25" i="5"/>
  <c r="C25" i="5"/>
  <c r="AC24" i="5"/>
  <c r="AD24" i="5" s="1"/>
  <c r="AA24" i="5"/>
  <c r="W24" i="5"/>
  <c r="X24" i="5" s="1"/>
  <c r="U24" i="5"/>
  <c r="R24" i="5"/>
  <c r="O24" i="5"/>
  <c r="N24" i="5"/>
  <c r="L24" i="5"/>
  <c r="H24" i="5"/>
  <c r="I24" i="5" s="1"/>
  <c r="F24" i="5"/>
  <c r="C24" i="5"/>
  <c r="AD23" i="5"/>
  <c r="AC23" i="5"/>
  <c r="AA23" i="5"/>
  <c r="X23" i="5"/>
  <c r="W23" i="5"/>
  <c r="U23" i="5"/>
  <c r="R23" i="5"/>
  <c r="N23" i="5"/>
  <c r="O23" i="5" s="1"/>
  <c r="L23" i="5"/>
  <c r="H23" i="5"/>
  <c r="I23" i="5" s="1"/>
  <c r="F23" i="5"/>
  <c r="C23" i="5"/>
  <c r="AD22" i="5"/>
  <c r="AC22" i="5"/>
  <c r="AA22" i="5"/>
  <c r="X22" i="5"/>
  <c r="W22" i="5"/>
  <c r="U22" i="5"/>
  <c r="R22" i="5"/>
  <c r="N22" i="5"/>
  <c r="O22" i="5" s="1"/>
  <c r="L22" i="5"/>
  <c r="H22" i="5"/>
  <c r="I22" i="5" s="1"/>
  <c r="F22" i="5"/>
  <c r="C22" i="5"/>
  <c r="AC21" i="5"/>
  <c r="AD21" i="5" s="1"/>
  <c r="AA21" i="5"/>
  <c r="W21" i="5"/>
  <c r="X21" i="5" s="1"/>
  <c r="U21" i="5"/>
  <c r="R21" i="5"/>
  <c r="O21" i="5"/>
  <c r="N21" i="5"/>
  <c r="L21" i="5"/>
  <c r="I21" i="5"/>
  <c r="H21" i="5"/>
  <c r="F21" i="5"/>
  <c r="C21" i="5"/>
  <c r="AC19" i="5"/>
  <c r="AD19" i="5" s="1"/>
  <c r="AA19" i="5"/>
  <c r="W19" i="5"/>
  <c r="X19" i="5" s="1"/>
  <c r="U19" i="5"/>
  <c r="R19" i="5"/>
  <c r="O19" i="5"/>
  <c r="N19" i="5"/>
  <c r="L19" i="5"/>
  <c r="H19" i="5"/>
  <c r="I19" i="5" s="1"/>
  <c r="F19" i="5"/>
  <c r="C19" i="5"/>
  <c r="Z18" i="5"/>
  <c r="AA18" i="5" s="1"/>
  <c r="U18" i="5"/>
  <c r="T18" i="5"/>
  <c r="Q18" i="5"/>
  <c r="W18" i="5" s="1"/>
  <c r="X18" i="5" s="1"/>
  <c r="N18" i="5"/>
  <c r="O18" i="5" s="1"/>
  <c r="K18" i="5"/>
  <c r="L18" i="5" s="1"/>
  <c r="F18" i="5"/>
  <c r="E18" i="5"/>
  <c r="B18" i="5"/>
  <c r="C18" i="5" s="1"/>
  <c r="AC17" i="5"/>
  <c r="AD17" i="5" s="1"/>
  <c r="AA17" i="5"/>
  <c r="X17" i="5"/>
  <c r="W17" i="5"/>
  <c r="U17" i="5"/>
  <c r="R17" i="5"/>
  <c r="O17" i="5"/>
  <c r="N17" i="5"/>
  <c r="L17" i="5"/>
  <c r="H17" i="5"/>
  <c r="I17" i="5" s="1"/>
  <c r="F17" i="5"/>
  <c r="C17" i="5"/>
  <c r="AC16" i="5"/>
  <c r="AD16" i="5" s="1"/>
  <c r="AA16" i="5"/>
  <c r="W16" i="5"/>
  <c r="X16" i="5" s="1"/>
  <c r="U16" i="5"/>
  <c r="R16" i="5"/>
  <c r="O16" i="5"/>
  <c r="N16" i="5"/>
  <c r="L16" i="5"/>
  <c r="H16" i="5"/>
  <c r="I16" i="5" s="1"/>
  <c r="F16" i="5"/>
  <c r="C16" i="5"/>
  <c r="AD15" i="5"/>
  <c r="AC15" i="5"/>
  <c r="AA15" i="5"/>
  <c r="X15" i="5"/>
  <c r="W15" i="5"/>
  <c r="U15" i="5"/>
  <c r="R15" i="5"/>
  <c r="N15" i="5"/>
  <c r="O15" i="5" s="1"/>
  <c r="L15" i="5"/>
  <c r="H15" i="5"/>
  <c r="I15" i="5" s="1"/>
  <c r="F15" i="5"/>
  <c r="C15" i="5"/>
  <c r="AD14" i="5"/>
  <c r="AC14" i="5"/>
  <c r="AA14" i="5"/>
  <c r="X14" i="5"/>
  <c r="W14" i="5"/>
  <c r="U14" i="5"/>
  <c r="R14" i="5"/>
  <c r="N14" i="5"/>
  <c r="O14" i="5" s="1"/>
  <c r="L14" i="5"/>
  <c r="H14" i="5"/>
  <c r="I14" i="5" s="1"/>
  <c r="F14" i="5"/>
  <c r="C14" i="5"/>
  <c r="AC13" i="5"/>
  <c r="AD13" i="5" s="1"/>
  <c r="AA13" i="5"/>
  <c r="W13" i="5"/>
  <c r="X13" i="5" s="1"/>
  <c r="U13" i="5"/>
  <c r="R13" i="5"/>
  <c r="O13" i="5"/>
  <c r="N13" i="5"/>
  <c r="L13" i="5"/>
  <c r="I13" i="5"/>
  <c r="H13" i="5"/>
  <c r="F13" i="5"/>
  <c r="C13" i="5"/>
  <c r="AC12" i="5"/>
  <c r="AD12" i="5" s="1"/>
  <c r="AA12" i="5"/>
  <c r="W12" i="5"/>
  <c r="X12" i="5" s="1"/>
  <c r="U12" i="5"/>
  <c r="R12" i="5"/>
  <c r="O12" i="5"/>
  <c r="N12" i="5"/>
  <c r="L12" i="5"/>
  <c r="H12" i="5"/>
  <c r="I12" i="5" s="1"/>
  <c r="F12" i="5"/>
  <c r="C12" i="5"/>
  <c r="AD11" i="5"/>
  <c r="AC11" i="5"/>
  <c r="AA11" i="5"/>
  <c r="X11" i="5"/>
  <c r="W11" i="5"/>
  <c r="U11" i="5"/>
  <c r="R11" i="5"/>
  <c r="N11" i="5"/>
  <c r="O11" i="5" s="1"/>
  <c r="L11" i="5"/>
  <c r="H11" i="5"/>
  <c r="I11" i="5" s="1"/>
  <c r="F11" i="5"/>
  <c r="C11" i="5"/>
  <c r="AC10" i="5"/>
  <c r="AD10" i="5" s="1"/>
  <c r="AA10" i="5"/>
  <c r="X10" i="5"/>
  <c r="W10" i="5"/>
  <c r="U10" i="5"/>
  <c r="R10" i="5"/>
  <c r="N10" i="5"/>
  <c r="O10" i="5" s="1"/>
  <c r="L10" i="5"/>
  <c r="I10" i="5"/>
  <c r="H10" i="5"/>
  <c r="F10" i="5"/>
  <c r="C10" i="5"/>
  <c r="AC8" i="5"/>
  <c r="AD8" i="5" s="1"/>
  <c r="AA8" i="5"/>
  <c r="W8" i="5"/>
  <c r="X8" i="5" s="1"/>
  <c r="U8" i="5"/>
  <c r="R8" i="5"/>
  <c r="O8" i="5"/>
  <c r="N8" i="5"/>
  <c r="L8" i="5"/>
  <c r="I8" i="5"/>
  <c r="H8" i="5"/>
  <c r="F8" i="5"/>
  <c r="C8" i="5"/>
  <c r="AC444" i="4"/>
  <c r="W444" i="4"/>
  <c r="X418" i="4" s="1"/>
  <c r="N444" i="4"/>
  <c r="H444" i="4"/>
  <c r="Z442" i="4"/>
  <c r="AA442" i="4" s="1"/>
  <c r="T442" i="4"/>
  <c r="U442" i="4" s="1"/>
  <c r="Q442" i="4"/>
  <c r="R442" i="4" s="1"/>
  <c r="K442" i="4"/>
  <c r="L442" i="4" s="1"/>
  <c r="H442" i="4"/>
  <c r="I442" i="4" s="1"/>
  <c r="E442" i="4"/>
  <c r="F442" i="4" s="1"/>
  <c r="B442" i="4"/>
  <c r="C442" i="4" s="1"/>
  <c r="Z441" i="4"/>
  <c r="AC441" i="4" s="1"/>
  <c r="AD441" i="4" s="1"/>
  <c r="T441" i="4"/>
  <c r="U441" i="4" s="1"/>
  <c r="Q441" i="4"/>
  <c r="R441" i="4" s="1"/>
  <c r="N441" i="4"/>
  <c r="O441" i="4" s="1"/>
  <c r="K441" i="4"/>
  <c r="L441" i="4" s="1"/>
  <c r="F441" i="4"/>
  <c r="E441" i="4"/>
  <c r="C441" i="4"/>
  <c r="B441" i="4"/>
  <c r="H441" i="4" s="1"/>
  <c r="I441" i="4" s="1"/>
  <c r="AC440" i="4"/>
  <c r="AD440" i="4" s="1"/>
  <c r="AA440" i="4"/>
  <c r="W440" i="4"/>
  <c r="X440" i="4" s="1"/>
  <c r="U440" i="4"/>
  <c r="R440" i="4"/>
  <c r="O440" i="4"/>
  <c r="N440" i="4"/>
  <c r="L440" i="4"/>
  <c r="H440" i="4"/>
  <c r="I440" i="4" s="1"/>
  <c r="F440" i="4"/>
  <c r="C440" i="4"/>
  <c r="AC439" i="4"/>
  <c r="AD439" i="4" s="1"/>
  <c r="AA439" i="4"/>
  <c r="X439" i="4"/>
  <c r="W439" i="4"/>
  <c r="U439" i="4"/>
  <c r="R439" i="4"/>
  <c r="O439" i="4"/>
  <c r="N439" i="4"/>
  <c r="L439" i="4"/>
  <c r="H439" i="4"/>
  <c r="I439" i="4" s="1"/>
  <c r="F439" i="4"/>
  <c r="C439" i="4"/>
  <c r="AC438" i="4"/>
  <c r="AD438" i="4" s="1"/>
  <c r="AA438" i="4"/>
  <c r="X438" i="4"/>
  <c r="W438" i="4"/>
  <c r="U438" i="4"/>
  <c r="R438" i="4"/>
  <c r="N438" i="4"/>
  <c r="O438" i="4" s="1"/>
  <c r="L438" i="4"/>
  <c r="H438" i="4"/>
  <c r="I438" i="4" s="1"/>
  <c r="F438" i="4"/>
  <c r="C438" i="4"/>
  <c r="AC437" i="4"/>
  <c r="AD437" i="4" s="1"/>
  <c r="AA437" i="4"/>
  <c r="W437" i="4"/>
  <c r="X437" i="4" s="1"/>
  <c r="U437" i="4"/>
  <c r="R437" i="4"/>
  <c r="O437" i="4"/>
  <c r="N437" i="4"/>
  <c r="L437" i="4"/>
  <c r="I437" i="4"/>
  <c r="H437" i="4"/>
  <c r="F437" i="4"/>
  <c r="C437" i="4"/>
  <c r="AC436" i="4"/>
  <c r="AD436" i="4" s="1"/>
  <c r="AA436" i="4"/>
  <c r="W436" i="4"/>
  <c r="X436" i="4" s="1"/>
  <c r="U436" i="4"/>
  <c r="R436" i="4"/>
  <c r="O436" i="4"/>
  <c r="N436" i="4"/>
  <c r="L436" i="4"/>
  <c r="H436" i="4"/>
  <c r="I436" i="4" s="1"/>
  <c r="F436" i="4"/>
  <c r="C436" i="4"/>
  <c r="AC435" i="4"/>
  <c r="AD435" i="4" s="1"/>
  <c r="AA435" i="4"/>
  <c r="W435" i="4"/>
  <c r="U435" i="4"/>
  <c r="R435" i="4"/>
  <c r="O435" i="4"/>
  <c r="N435" i="4"/>
  <c r="L435" i="4"/>
  <c r="H435" i="4"/>
  <c r="I435" i="4" s="1"/>
  <c r="F435" i="4"/>
  <c r="C435" i="4"/>
  <c r="AC434" i="4"/>
  <c r="AD434" i="4" s="1"/>
  <c r="AA434" i="4"/>
  <c r="W434" i="4"/>
  <c r="U434" i="4"/>
  <c r="R434" i="4"/>
  <c r="N434" i="4"/>
  <c r="O434" i="4" s="1"/>
  <c r="L434" i="4"/>
  <c r="I434" i="4"/>
  <c r="H434" i="4"/>
  <c r="F434" i="4"/>
  <c r="C434" i="4"/>
  <c r="AC433" i="4"/>
  <c r="AD433" i="4" s="1"/>
  <c r="AA433" i="4"/>
  <c r="W433" i="4"/>
  <c r="X433" i="4" s="1"/>
  <c r="U433" i="4"/>
  <c r="R433" i="4"/>
  <c r="O433" i="4"/>
  <c r="N433" i="4"/>
  <c r="L433" i="4"/>
  <c r="H433" i="4"/>
  <c r="I433" i="4" s="1"/>
  <c r="F433" i="4"/>
  <c r="C433" i="4"/>
  <c r="AC432" i="4"/>
  <c r="AD432" i="4" s="1"/>
  <c r="AA432" i="4"/>
  <c r="W432" i="4"/>
  <c r="X432" i="4" s="1"/>
  <c r="U432" i="4"/>
  <c r="R432" i="4"/>
  <c r="O432" i="4"/>
  <c r="N432" i="4"/>
  <c r="L432" i="4"/>
  <c r="H432" i="4"/>
  <c r="I432" i="4" s="1"/>
  <c r="F432" i="4"/>
  <c r="C432" i="4"/>
  <c r="Z429" i="4"/>
  <c r="AA429" i="4" s="1"/>
  <c r="T429" i="4"/>
  <c r="U429" i="4" s="1"/>
  <c r="R429" i="4"/>
  <c r="Q429" i="4"/>
  <c r="N429" i="4"/>
  <c r="O429" i="4" s="1"/>
  <c r="K429" i="4"/>
  <c r="L429" i="4" s="1"/>
  <c r="E429" i="4"/>
  <c r="F429" i="4" s="1"/>
  <c r="B429" i="4"/>
  <c r="C429" i="4" s="1"/>
  <c r="Z428" i="4"/>
  <c r="AA428" i="4" s="1"/>
  <c r="T428" i="4"/>
  <c r="U428" i="4" s="1"/>
  <c r="Q428" i="4"/>
  <c r="R428" i="4" s="1"/>
  <c r="K428" i="4"/>
  <c r="L428" i="4" s="1"/>
  <c r="E428" i="4"/>
  <c r="F428" i="4" s="1"/>
  <c r="B428" i="4"/>
  <c r="H428" i="4" s="1"/>
  <c r="I428" i="4" s="1"/>
  <c r="AC427" i="4"/>
  <c r="AD427" i="4" s="1"/>
  <c r="AA427" i="4"/>
  <c r="X427" i="4"/>
  <c r="W427" i="4"/>
  <c r="U427" i="4"/>
  <c r="R427" i="4"/>
  <c r="N427" i="4"/>
  <c r="O427" i="4" s="1"/>
  <c r="L427" i="4"/>
  <c r="H427" i="4"/>
  <c r="I427" i="4" s="1"/>
  <c r="F427" i="4"/>
  <c r="C427" i="4"/>
  <c r="AC426" i="4"/>
  <c r="AD426" i="4" s="1"/>
  <c r="AA426" i="4"/>
  <c r="X426" i="4"/>
  <c r="W426" i="4"/>
  <c r="U426" i="4"/>
  <c r="R426" i="4"/>
  <c r="N426" i="4"/>
  <c r="O426" i="4" s="1"/>
  <c r="L426" i="4"/>
  <c r="H426" i="4"/>
  <c r="I426" i="4" s="1"/>
  <c r="F426" i="4"/>
  <c r="C426" i="4"/>
  <c r="AC425" i="4"/>
  <c r="AD425" i="4" s="1"/>
  <c r="AA425" i="4"/>
  <c r="W425" i="4"/>
  <c r="X425" i="4" s="1"/>
  <c r="U425" i="4"/>
  <c r="R425" i="4"/>
  <c r="O425" i="4"/>
  <c r="N425" i="4"/>
  <c r="L425" i="4"/>
  <c r="I425" i="4"/>
  <c r="H425" i="4"/>
  <c r="F425" i="4"/>
  <c r="C425" i="4"/>
  <c r="AC424" i="4"/>
  <c r="AD424" i="4" s="1"/>
  <c r="AA424" i="4"/>
  <c r="W424" i="4"/>
  <c r="X424" i="4" s="1"/>
  <c r="U424" i="4"/>
  <c r="R424" i="4"/>
  <c r="O424" i="4"/>
  <c r="N424" i="4"/>
  <c r="L424" i="4"/>
  <c r="H424" i="4"/>
  <c r="I424" i="4" s="1"/>
  <c r="F424" i="4"/>
  <c r="C424" i="4"/>
  <c r="AC423" i="4"/>
  <c r="AD423" i="4" s="1"/>
  <c r="AA423" i="4"/>
  <c r="W423" i="4"/>
  <c r="U423" i="4"/>
  <c r="R423" i="4"/>
  <c r="O423" i="4"/>
  <c r="N423" i="4"/>
  <c r="L423" i="4"/>
  <c r="H423" i="4"/>
  <c r="I423" i="4" s="1"/>
  <c r="F423" i="4"/>
  <c r="C423" i="4"/>
  <c r="AC422" i="4"/>
  <c r="AD422" i="4" s="1"/>
  <c r="AA422" i="4"/>
  <c r="W422" i="4"/>
  <c r="U422" i="4"/>
  <c r="R422" i="4"/>
  <c r="N422" i="4"/>
  <c r="O422" i="4" s="1"/>
  <c r="L422" i="4"/>
  <c r="H422" i="4"/>
  <c r="I422" i="4" s="1"/>
  <c r="F422" i="4"/>
  <c r="C422" i="4"/>
  <c r="AC421" i="4"/>
  <c r="AD421" i="4" s="1"/>
  <c r="AA421" i="4"/>
  <c r="W421" i="4"/>
  <c r="X421" i="4" s="1"/>
  <c r="U421" i="4"/>
  <c r="R421" i="4"/>
  <c r="O421" i="4"/>
  <c r="N421" i="4"/>
  <c r="L421" i="4"/>
  <c r="H421" i="4"/>
  <c r="I421" i="4" s="1"/>
  <c r="F421" i="4"/>
  <c r="C421" i="4"/>
  <c r="AC420" i="4"/>
  <c r="AD420" i="4" s="1"/>
  <c r="AA420" i="4"/>
  <c r="W420" i="4"/>
  <c r="X420" i="4" s="1"/>
  <c r="U420" i="4"/>
  <c r="R420" i="4"/>
  <c r="O420" i="4"/>
  <c r="N420" i="4"/>
  <c r="L420" i="4"/>
  <c r="H420" i="4"/>
  <c r="I420" i="4" s="1"/>
  <c r="F420" i="4"/>
  <c r="C420" i="4"/>
  <c r="AC419" i="4"/>
  <c r="AD419" i="4" s="1"/>
  <c r="AA419" i="4"/>
  <c r="X419" i="4"/>
  <c r="W419" i="4"/>
  <c r="U419" i="4"/>
  <c r="R419" i="4"/>
  <c r="O419" i="4"/>
  <c r="N419" i="4"/>
  <c r="L419" i="4"/>
  <c r="H419" i="4"/>
  <c r="I419" i="4" s="1"/>
  <c r="F419" i="4"/>
  <c r="C419" i="4"/>
  <c r="AD418" i="4"/>
  <c r="AC418" i="4"/>
  <c r="AA418" i="4"/>
  <c r="W418" i="4"/>
  <c r="U418" i="4"/>
  <c r="R418" i="4"/>
  <c r="N418" i="4"/>
  <c r="O418" i="4" s="1"/>
  <c r="L418" i="4"/>
  <c r="H418" i="4"/>
  <c r="I418" i="4" s="1"/>
  <c r="F418" i="4"/>
  <c r="C418" i="4"/>
  <c r="AC417" i="4"/>
  <c r="AD417" i="4" s="1"/>
  <c r="AA417" i="4"/>
  <c r="W417" i="4"/>
  <c r="X417" i="4" s="1"/>
  <c r="U417" i="4"/>
  <c r="R417" i="4"/>
  <c r="O417" i="4"/>
  <c r="N417" i="4"/>
  <c r="L417" i="4"/>
  <c r="H417" i="4"/>
  <c r="I417" i="4" s="1"/>
  <c r="F417" i="4"/>
  <c r="C417" i="4"/>
  <c r="AC416" i="4"/>
  <c r="AD416" i="4" s="1"/>
  <c r="AA416" i="4"/>
  <c r="W416" i="4"/>
  <c r="U416" i="4"/>
  <c r="R416" i="4"/>
  <c r="O416" i="4"/>
  <c r="N416" i="4"/>
  <c r="L416" i="4"/>
  <c r="H416" i="4"/>
  <c r="I416" i="4" s="1"/>
  <c r="F416" i="4"/>
  <c r="C416" i="4"/>
  <c r="AC415" i="4"/>
  <c r="AD415" i="4" s="1"/>
  <c r="AA415" i="4"/>
  <c r="X415" i="4"/>
  <c r="W415" i="4"/>
  <c r="U415" i="4"/>
  <c r="R415" i="4"/>
  <c r="N415" i="4"/>
  <c r="O415" i="4" s="1"/>
  <c r="L415" i="4"/>
  <c r="H415" i="4"/>
  <c r="I415" i="4" s="1"/>
  <c r="F415" i="4"/>
  <c r="C415" i="4"/>
  <c r="AD414" i="4"/>
  <c r="AC414" i="4"/>
  <c r="AA414" i="4"/>
  <c r="X414" i="4"/>
  <c r="W414" i="4"/>
  <c r="U414" i="4"/>
  <c r="R414" i="4"/>
  <c r="N414" i="4"/>
  <c r="O414" i="4" s="1"/>
  <c r="L414" i="4"/>
  <c r="H414" i="4"/>
  <c r="I414" i="4" s="1"/>
  <c r="F414" i="4"/>
  <c r="C414" i="4"/>
  <c r="AC413" i="4"/>
  <c r="AD413" i="4" s="1"/>
  <c r="AA413" i="4"/>
  <c r="W413" i="4"/>
  <c r="X413" i="4" s="1"/>
  <c r="U413" i="4"/>
  <c r="R413" i="4"/>
  <c r="O413" i="4"/>
  <c r="N413" i="4"/>
  <c r="L413" i="4"/>
  <c r="I413" i="4"/>
  <c r="H413" i="4"/>
  <c r="F413" i="4"/>
  <c r="C413" i="4"/>
  <c r="AC412" i="4"/>
  <c r="AD412" i="4" s="1"/>
  <c r="AA412" i="4"/>
  <c r="W412" i="4"/>
  <c r="X412" i="4" s="1"/>
  <c r="U412" i="4"/>
  <c r="R412" i="4"/>
  <c r="O412" i="4"/>
  <c r="N412" i="4"/>
  <c r="L412" i="4"/>
  <c r="H412" i="4"/>
  <c r="I412" i="4" s="1"/>
  <c r="F412" i="4"/>
  <c r="C412" i="4"/>
  <c r="AD411" i="4"/>
  <c r="AC411" i="4"/>
  <c r="AA411" i="4"/>
  <c r="X411" i="4"/>
  <c r="W411" i="4"/>
  <c r="U411" i="4"/>
  <c r="R411" i="4"/>
  <c r="N411" i="4"/>
  <c r="O411" i="4" s="1"/>
  <c r="L411" i="4"/>
  <c r="H411" i="4"/>
  <c r="I411" i="4" s="1"/>
  <c r="F411" i="4"/>
  <c r="C411" i="4"/>
  <c r="AC410" i="4"/>
  <c r="AD410" i="4" s="1"/>
  <c r="AA410" i="4"/>
  <c r="X410" i="4"/>
  <c r="W410" i="4"/>
  <c r="U410" i="4"/>
  <c r="R410" i="4"/>
  <c r="N410" i="4"/>
  <c r="O410" i="4" s="1"/>
  <c r="L410" i="4"/>
  <c r="H410" i="4"/>
  <c r="I410" i="4" s="1"/>
  <c r="F410" i="4"/>
  <c r="C410" i="4"/>
  <c r="AD409" i="4"/>
  <c r="AC409" i="4"/>
  <c r="AA409" i="4"/>
  <c r="W409" i="4"/>
  <c r="X409" i="4" s="1"/>
  <c r="U409" i="4"/>
  <c r="R409" i="4"/>
  <c r="O409" i="4"/>
  <c r="N409" i="4"/>
  <c r="L409" i="4"/>
  <c r="H409" i="4"/>
  <c r="I409" i="4" s="1"/>
  <c r="F409" i="4"/>
  <c r="C409" i="4"/>
  <c r="AC408" i="4"/>
  <c r="AD408" i="4" s="1"/>
  <c r="AA408" i="4"/>
  <c r="W408" i="4"/>
  <c r="U408" i="4"/>
  <c r="R408" i="4"/>
  <c r="O408" i="4"/>
  <c r="N408" i="4"/>
  <c r="L408" i="4"/>
  <c r="H408" i="4"/>
  <c r="I408" i="4" s="1"/>
  <c r="F408" i="4"/>
  <c r="C408" i="4"/>
  <c r="AD407" i="4"/>
  <c r="AC407" i="4"/>
  <c r="AA407" i="4"/>
  <c r="X407" i="4"/>
  <c r="W407" i="4"/>
  <c r="U407" i="4"/>
  <c r="R407" i="4"/>
  <c r="N407" i="4"/>
  <c r="O407" i="4" s="1"/>
  <c r="L407" i="4"/>
  <c r="H407" i="4"/>
  <c r="I407" i="4" s="1"/>
  <c r="F407" i="4"/>
  <c r="C407" i="4"/>
  <c r="AC403" i="4"/>
  <c r="AD403" i="4" s="1"/>
  <c r="Z403" i="4"/>
  <c r="AA403" i="4" s="1"/>
  <c r="T403" i="4"/>
  <c r="Q403" i="4"/>
  <c r="R403" i="4" s="1"/>
  <c r="K403" i="4"/>
  <c r="L403" i="4" s="1"/>
  <c r="E403" i="4"/>
  <c r="F403" i="4" s="1"/>
  <c r="B403" i="4"/>
  <c r="C403" i="4" s="1"/>
  <c r="AD402" i="4"/>
  <c r="AC402" i="4"/>
  <c r="AA402" i="4"/>
  <c r="X402" i="4"/>
  <c r="W402" i="4"/>
  <c r="U402" i="4"/>
  <c r="R402" i="4"/>
  <c r="N402" i="4"/>
  <c r="O402" i="4" s="1"/>
  <c r="L402" i="4"/>
  <c r="H402" i="4"/>
  <c r="I402" i="4" s="1"/>
  <c r="F402" i="4"/>
  <c r="C402" i="4"/>
  <c r="AC401" i="4"/>
  <c r="AD401" i="4" s="1"/>
  <c r="AA401" i="4"/>
  <c r="W401" i="4"/>
  <c r="X401" i="4" s="1"/>
  <c r="U401" i="4"/>
  <c r="R401" i="4"/>
  <c r="O401" i="4"/>
  <c r="N401" i="4"/>
  <c r="L401" i="4"/>
  <c r="I401" i="4"/>
  <c r="H401" i="4"/>
  <c r="F401" i="4"/>
  <c r="C401" i="4"/>
  <c r="AC400" i="4"/>
  <c r="AD400" i="4" s="1"/>
  <c r="AA400" i="4"/>
  <c r="W400" i="4"/>
  <c r="X400" i="4" s="1"/>
  <c r="U400" i="4"/>
  <c r="R400" i="4"/>
  <c r="O400" i="4"/>
  <c r="N400" i="4"/>
  <c r="L400" i="4"/>
  <c r="H400" i="4"/>
  <c r="I400" i="4" s="1"/>
  <c r="F400" i="4"/>
  <c r="C400" i="4"/>
  <c r="AC399" i="4"/>
  <c r="AD399" i="4" s="1"/>
  <c r="AA399" i="4"/>
  <c r="X399" i="4"/>
  <c r="W399" i="4"/>
  <c r="U399" i="4"/>
  <c r="R399" i="4"/>
  <c r="O399" i="4"/>
  <c r="N399" i="4"/>
  <c r="L399" i="4"/>
  <c r="H399" i="4"/>
  <c r="I399" i="4" s="1"/>
  <c r="F399" i="4"/>
  <c r="C399" i="4"/>
  <c r="AC398" i="4"/>
  <c r="AD398" i="4" s="1"/>
  <c r="AA398" i="4"/>
  <c r="X398" i="4"/>
  <c r="W398" i="4"/>
  <c r="U398" i="4"/>
  <c r="R398" i="4"/>
  <c r="N398" i="4"/>
  <c r="O398" i="4" s="1"/>
  <c r="L398" i="4"/>
  <c r="I398" i="4"/>
  <c r="H398" i="4"/>
  <c r="F398" i="4"/>
  <c r="C398" i="4"/>
  <c r="AC397" i="4"/>
  <c r="AD397" i="4" s="1"/>
  <c r="AA397" i="4"/>
  <c r="W397" i="4"/>
  <c r="X397" i="4" s="1"/>
  <c r="U397" i="4"/>
  <c r="R397" i="4"/>
  <c r="O397" i="4"/>
  <c r="N397" i="4"/>
  <c r="L397" i="4"/>
  <c r="I397" i="4"/>
  <c r="H397" i="4"/>
  <c r="F397" i="4"/>
  <c r="C397" i="4"/>
  <c r="AC396" i="4"/>
  <c r="AD396" i="4" s="1"/>
  <c r="Z396" i="4"/>
  <c r="AA396" i="4" s="1"/>
  <c r="U396" i="4"/>
  <c r="T396" i="4"/>
  <c r="Q396" i="4"/>
  <c r="R396" i="4" s="1"/>
  <c r="K396" i="4"/>
  <c r="L396" i="4" s="1"/>
  <c r="H396" i="4"/>
  <c r="I396" i="4" s="1"/>
  <c r="E396" i="4"/>
  <c r="F396" i="4" s="1"/>
  <c r="B396" i="4"/>
  <c r="C396" i="4" s="1"/>
  <c r="AC395" i="4"/>
  <c r="AD395" i="4" s="1"/>
  <c r="AA395" i="4"/>
  <c r="X395" i="4"/>
  <c r="W395" i="4"/>
  <c r="U395" i="4"/>
  <c r="R395" i="4"/>
  <c r="N395" i="4"/>
  <c r="O395" i="4" s="1"/>
  <c r="L395" i="4"/>
  <c r="H395" i="4"/>
  <c r="I395" i="4" s="1"/>
  <c r="F395" i="4"/>
  <c r="C395" i="4"/>
  <c r="AC394" i="4"/>
  <c r="AD394" i="4" s="1"/>
  <c r="AA394" i="4"/>
  <c r="X394" i="4"/>
  <c r="W394" i="4"/>
  <c r="U394" i="4"/>
  <c r="R394" i="4"/>
  <c r="O394" i="4"/>
  <c r="N394" i="4"/>
  <c r="L394" i="4"/>
  <c r="H394" i="4"/>
  <c r="I394" i="4" s="1"/>
  <c r="F394" i="4"/>
  <c r="C394" i="4"/>
  <c r="AC393" i="4"/>
  <c r="AD393" i="4" s="1"/>
  <c r="Z393" i="4"/>
  <c r="AA393" i="4" s="1"/>
  <c r="T393" i="4"/>
  <c r="Q393" i="4"/>
  <c r="R393" i="4" s="1"/>
  <c r="K393" i="4"/>
  <c r="L393" i="4" s="1"/>
  <c r="E393" i="4"/>
  <c r="F393" i="4" s="1"/>
  <c r="B393" i="4"/>
  <c r="C393" i="4" s="1"/>
  <c r="AD392" i="4"/>
  <c r="AC392" i="4"/>
  <c r="AA392" i="4"/>
  <c r="X392" i="4"/>
  <c r="W392" i="4"/>
  <c r="U392" i="4"/>
  <c r="R392" i="4"/>
  <c r="N392" i="4"/>
  <c r="O392" i="4" s="1"/>
  <c r="L392" i="4"/>
  <c r="H392" i="4"/>
  <c r="I392" i="4" s="1"/>
  <c r="F392" i="4"/>
  <c r="C392" i="4"/>
  <c r="AC391" i="4"/>
  <c r="AD391" i="4" s="1"/>
  <c r="AA391" i="4"/>
  <c r="W391" i="4"/>
  <c r="X391" i="4" s="1"/>
  <c r="U391" i="4"/>
  <c r="R391" i="4"/>
  <c r="O391" i="4"/>
  <c r="N391" i="4"/>
  <c r="L391" i="4"/>
  <c r="I391" i="4"/>
  <c r="H391" i="4"/>
  <c r="F391" i="4"/>
  <c r="C391" i="4"/>
  <c r="AC390" i="4"/>
  <c r="AD390" i="4" s="1"/>
  <c r="AA390" i="4"/>
  <c r="W390" i="4"/>
  <c r="X390" i="4" s="1"/>
  <c r="U390" i="4"/>
  <c r="R390" i="4"/>
  <c r="O390" i="4"/>
  <c r="N390" i="4"/>
  <c r="L390" i="4"/>
  <c r="H390" i="4"/>
  <c r="I390" i="4" s="1"/>
  <c r="F390" i="4"/>
  <c r="C390" i="4"/>
  <c r="AC389" i="4"/>
  <c r="AD389" i="4" s="1"/>
  <c r="AA389" i="4"/>
  <c r="X389" i="4"/>
  <c r="W389" i="4"/>
  <c r="U389" i="4"/>
  <c r="R389" i="4"/>
  <c r="O389" i="4"/>
  <c r="N389" i="4"/>
  <c r="L389" i="4"/>
  <c r="H389" i="4"/>
  <c r="I389" i="4" s="1"/>
  <c r="F389" i="4"/>
  <c r="C389" i="4"/>
  <c r="AC388" i="4"/>
  <c r="AD388" i="4" s="1"/>
  <c r="AA388" i="4"/>
  <c r="X388" i="4"/>
  <c r="W388" i="4"/>
  <c r="U388" i="4"/>
  <c r="R388" i="4"/>
  <c r="N388" i="4"/>
  <c r="O388" i="4" s="1"/>
  <c r="L388" i="4"/>
  <c r="H388" i="4"/>
  <c r="I388" i="4" s="1"/>
  <c r="F388" i="4"/>
  <c r="C388" i="4"/>
  <c r="AC386" i="4"/>
  <c r="AD386" i="4" s="1"/>
  <c r="AA386" i="4"/>
  <c r="W386" i="4"/>
  <c r="X386" i="4" s="1"/>
  <c r="U386" i="4"/>
  <c r="R386" i="4"/>
  <c r="O386" i="4"/>
  <c r="N386" i="4"/>
  <c r="L386" i="4"/>
  <c r="I386" i="4"/>
  <c r="H386" i="4"/>
  <c r="F386" i="4"/>
  <c r="C386" i="4"/>
  <c r="AC385" i="4"/>
  <c r="AD385" i="4" s="1"/>
  <c r="AA385" i="4"/>
  <c r="W385" i="4"/>
  <c r="X385" i="4" s="1"/>
  <c r="U385" i="4"/>
  <c r="R385" i="4"/>
  <c r="O385" i="4"/>
  <c r="N385" i="4"/>
  <c r="L385" i="4"/>
  <c r="H385" i="4"/>
  <c r="I385" i="4" s="1"/>
  <c r="F385" i="4"/>
  <c r="C385" i="4"/>
  <c r="AC383" i="4"/>
  <c r="AD383" i="4" s="1"/>
  <c r="AA383" i="4"/>
  <c r="W383" i="4"/>
  <c r="U383" i="4"/>
  <c r="R383" i="4"/>
  <c r="O383" i="4"/>
  <c r="N383" i="4"/>
  <c r="L383" i="4"/>
  <c r="H383" i="4"/>
  <c r="I383" i="4" s="1"/>
  <c r="F383" i="4"/>
  <c r="C383" i="4"/>
  <c r="AD382" i="4"/>
  <c r="AC382" i="4"/>
  <c r="AA382" i="4"/>
  <c r="W382" i="4"/>
  <c r="U382" i="4"/>
  <c r="R382" i="4"/>
  <c r="N382" i="4"/>
  <c r="O382" i="4" s="1"/>
  <c r="L382" i="4"/>
  <c r="H382" i="4"/>
  <c r="I382" i="4" s="1"/>
  <c r="F382" i="4"/>
  <c r="C382" i="4"/>
  <c r="AC381" i="4"/>
  <c r="AD381" i="4" s="1"/>
  <c r="AA381" i="4"/>
  <c r="W381" i="4"/>
  <c r="X381" i="4" s="1"/>
  <c r="U381" i="4"/>
  <c r="R381" i="4"/>
  <c r="O381" i="4"/>
  <c r="N381" i="4"/>
  <c r="L381" i="4"/>
  <c r="H381" i="4"/>
  <c r="I381" i="4" s="1"/>
  <c r="F381" i="4"/>
  <c r="C381" i="4"/>
  <c r="AC380" i="4"/>
  <c r="AD380" i="4" s="1"/>
  <c r="AA380" i="4"/>
  <c r="W380" i="4"/>
  <c r="X380" i="4" s="1"/>
  <c r="U380" i="4"/>
  <c r="R380" i="4"/>
  <c r="O380" i="4"/>
  <c r="N380" i="4"/>
  <c r="L380" i="4"/>
  <c r="H380" i="4"/>
  <c r="I380" i="4" s="1"/>
  <c r="F380" i="4"/>
  <c r="C380" i="4"/>
  <c r="AC379" i="4"/>
  <c r="AD379" i="4" s="1"/>
  <c r="AA379" i="4"/>
  <c r="X379" i="4"/>
  <c r="W379" i="4"/>
  <c r="U379" i="4"/>
  <c r="R379" i="4"/>
  <c r="O379" i="4"/>
  <c r="N379" i="4"/>
  <c r="L379" i="4"/>
  <c r="H379" i="4"/>
  <c r="I379" i="4" s="1"/>
  <c r="F379" i="4"/>
  <c r="C379" i="4"/>
  <c r="AD378" i="4"/>
  <c r="AC378" i="4"/>
  <c r="AA378" i="4"/>
  <c r="W378" i="4"/>
  <c r="U378" i="4"/>
  <c r="R378" i="4"/>
  <c r="N378" i="4"/>
  <c r="O378" i="4" s="1"/>
  <c r="L378" i="4"/>
  <c r="H378" i="4"/>
  <c r="I378" i="4" s="1"/>
  <c r="F378" i="4"/>
  <c r="C378" i="4"/>
  <c r="AC377" i="4"/>
  <c r="AD377" i="4" s="1"/>
  <c r="AA377" i="4"/>
  <c r="W377" i="4"/>
  <c r="X377" i="4" s="1"/>
  <c r="U377" i="4"/>
  <c r="R377" i="4"/>
  <c r="O377" i="4"/>
  <c r="N377" i="4"/>
  <c r="L377" i="4"/>
  <c r="H377" i="4"/>
  <c r="I377" i="4" s="1"/>
  <c r="F377" i="4"/>
  <c r="C377" i="4"/>
  <c r="AC376" i="4"/>
  <c r="AD376" i="4" s="1"/>
  <c r="AA376" i="4"/>
  <c r="W376" i="4"/>
  <c r="U376" i="4"/>
  <c r="R376" i="4"/>
  <c r="O376" i="4"/>
  <c r="N376" i="4"/>
  <c r="L376" i="4"/>
  <c r="H376" i="4"/>
  <c r="I376" i="4" s="1"/>
  <c r="F376" i="4"/>
  <c r="C376" i="4"/>
  <c r="AD375" i="4"/>
  <c r="AC375" i="4"/>
  <c r="AA375" i="4"/>
  <c r="X375" i="4"/>
  <c r="W375" i="4"/>
  <c r="U375" i="4"/>
  <c r="R375" i="4"/>
  <c r="N375" i="4"/>
  <c r="O375" i="4" s="1"/>
  <c r="L375" i="4"/>
  <c r="H375" i="4"/>
  <c r="I375" i="4" s="1"/>
  <c r="F375" i="4"/>
  <c r="C375" i="4"/>
  <c r="AD374" i="4"/>
  <c r="AC374" i="4"/>
  <c r="AA374" i="4"/>
  <c r="X374" i="4"/>
  <c r="W374" i="4"/>
  <c r="U374" i="4"/>
  <c r="R374" i="4"/>
  <c r="N374" i="4"/>
  <c r="O374" i="4" s="1"/>
  <c r="L374" i="4"/>
  <c r="H374" i="4"/>
  <c r="I374" i="4" s="1"/>
  <c r="F374" i="4"/>
  <c r="C374" i="4"/>
  <c r="AC373" i="4"/>
  <c r="AD373" i="4" s="1"/>
  <c r="AA373" i="4"/>
  <c r="W373" i="4"/>
  <c r="X373" i="4" s="1"/>
  <c r="U373" i="4"/>
  <c r="R373" i="4"/>
  <c r="O373" i="4"/>
  <c r="N373" i="4"/>
  <c r="L373" i="4"/>
  <c r="I373" i="4"/>
  <c r="H373" i="4"/>
  <c r="F373" i="4"/>
  <c r="C373" i="4"/>
  <c r="AC372" i="4"/>
  <c r="AD372" i="4" s="1"/>
  <c r="AA372" i="4"/>
  <c r="W372" i="4"/>
  <c r="X372" i="4" s="1"/>
  <c r="U372" i="4"/>
  <c r="R372" i="4"/>
  <c r="O372" i="4"/>
  <c r="N372" i="4"/>
  <c r="L372" i="4"/>
  <c r="H372" i="4"/>
  <c r="I372" i="4" s="1"/>
  <c r="F372" i="4"/>
  <c r="C372" i="4"/>
  <c r="AC371" i="4"/>
  <c r="AD371" i="4" s="1"/>
  <c r="AA371" i="4"/>
  <c r="X371" i="4"/>
  <c r="W371" i="4"/>
  <c r="U371" i="4"/>
  <c r="R371" i="4"/>
  <c r="O371" i="4"/>
  <c r="N371" i="4"/>
  <c r="L371" i="4"/>
  <c r="H371" i="4"/>
  <c r="I371" i="4" s="1"/>
  <c r="F371" i="4"/>
  <c r="C371" i="4"/>
  <c r="AC370" i="4"/>
  <c r="AD370" i="4" s="1"/>
  <c r="AA370" i="4"/>
  <c r="X370" i="4"/>
  <c r="W370" i="4"/>
  <c r="U370" i="4"/>
  <c r="R370" i="4"/>
  <c r="N370" i="4"/>
  <c r="O370" i="4" s="1"/>
  <c r="L370" i="4"/>
  <c r="I370" i="4"/>
  <c r="H370" i="4"/>
  <c r="F370" i="4"/>
  <c r="C370" i="4"/>
  <c r="AC369" i="4"/>
  <c r="AD369" i="4" s="1"/>
  <c r="AA369" i="4"/>
  <c r="W369" i="4"/>
  <c r="X369" i="4" s="1"/>
  <c r="U369" i="4"/>
  <c r="R369" i="4"/>
  <c r="O369" i="4"/>
  <c r="N369" i="4"/>
  <c r="L369" i="4"/>
  <c r="I369" i="4"/>
  <c r="H369" i="4"/>
  <c r="F369" i="4"/>
  <c r="C369" i="4"/>
  <c r="AC368" i="4"/>
  <c r="AD368" i="4" s="1"/>
  <c r="Z368" i="4"/>
  <c r="AA368" i="4" s="1"/>
  <c r="U368" i="4"/>
  <c r="T368" i="4"/>
  <c r="Q368" i="4"/>
  <c r="R368" i="4" s="1"/>
  <c r="K368" i="4"/>
  <c r="L368" i="4" s="1"/>
  <c r="I368" i="4"/>
  <c r="H368" i="4"/>
  <c r="E368" i="4"/>
  <c r="F368" i="4" s="1"/>
  <c r="B368" i="4"/>
  <c r="C368" i="4" s="1"/>
  <c r="AC367" i="4"/>
  <c r="AD367" i="4" s="1"/>
  <c r="AA367" i="4"/>
  <c r="X367" i="4"/>
  <c r="W367" i="4"/>
  <c r="U367" i="4"/>
  <c r="R367" i="4"/>
  <c r="N367" i="4"/>
  <c r="O367" i="4" s="1"/>
  <c r="L367" i="4"/>
  <c r="H367" i="4"/>
  <c r="I367" i="4" s="1"/>
  <c r="F367" i="4"/>
  <c r="C367" i="4"/>
  <c r="AC366" i="4"/>
  <c r="AD366" i="4" s="1"/>
  <c r="AA366" i="4"/>
  <c r="X366" i="4"/>
  <c r="W366" i="4"/>
  <c r="U366" i="4"/>
  <c r="R366" i="4"/>
  <c r="O366" i="4"/>
  <c r="N366" i="4"/>
  <c r="L366" i="4"/>
  <c r="H366" i="4"/>
  <c r="I366" i="4" s="1"/>
  <c r="F366" i="4"/>
  <c r="C366" i="4"/>
  <c r="AC365" i="4"/>
  <c r="AD365" i="4" s="1"/>
  <c r="AA365" i="4"/>
  <c r="W365" i="4"/>
  <c r="X365" i="4" s="1"/>
  <c r="U365" i="4"/>
  <c r="R365" i="4"/>
  <c r="O365" i="4"/>
  <c r="N365" i="4"/>
  <c r="L365" i="4"/>
  <c r="H365" i="4"/>
  <c r="I365" i="4" s="1"/>
  <c r="F365" i="4"/>
  <c r="C365" i="4"/>
  <c r="AD364" i="4"/>
  <c r="AC364" i="4"/>
  <c r="AA364" i="4"/>
  <c r="W364" i="4"/>
  <c r="U364" i="4"/>
  <c r="R364" i="4"/>
  <c r="O364" i="4"/>
  <c r="N364" i="4"/>
  <c r="L364" i="4"/>
  <c r="H364" i="4"/>
  <c r="I364" i="4" s="1"/>
  <c r="F364" i="4"/>
  <c r="C364" i="4"/>
  <c r="AD363" i="4"/>
  <c r="AC363" i="4"/>
  <c r="AA363" i="4"/>
  <c r="X363" i="4"/>
  <c r="W363" i="4"/>
  <c r="U363" i="4"/>
  <c r="R363" i="4"/>
  <c r="N363" i="4"/>
  <c r="O363" i="4" s="1"/>
  <c r="L363" i="4"/>
  <c r="H363" i="4"/>
  <c r="I363" i="4" s="1"/>
  <c r="F363" i="4"/>
  <c r="C363" i="4"/>
  <c r="AC362" i="4"/>
  <c r="AD362" i="4" s="1"/>
  <c r="AA362" i="4"/>
  <c r="W362" i="4"/>
  <c r="X362" i="4" s="1"/>
  <c r="U362" i="4"/>
  <c r="R362" i="4"/>
  <c r="O362" i="4"/>
  <c r="N362" i="4"/>
  <c r="L362" i="4"/>
  <c r="H362" i="4"/>
  <c r="I362" i="4" s="1"/>
  <c r="F362" i="4"/>
  <c r="C362" i="4"/>
  <c r="AC361" i="4"/>
  <c r="AD361" i="4" s="1"/>
  <c r="AA361" i="4"/>
  <c r="W361" i="4"/>
  <c r="U361" i="4"/>
  <c r="R361" i="4"/>
  <c r="O361" i="4"/>
  <c r="N361" i="4"/>
  <c r="L361" i="4"/>
  <c r="H361" i="4"/>
  <c r="I361" i="4" s="1"/>
  <c r="F361" i="4"/>
  <c r="C361" i="4"/>
  <c r="AD360" i="4"/>
  <c r="AC360" i="4"/>
  <c r="AA360" i="4"/>
  <c r="X360" i="4"/>
  <c r="W360" i="4"/>
  <c r="U360" i="4"/>
  <c r="R360" i="4"/>
  <c r="N360" i="4"/>
  <c r="O360" i="4" s="1"/>
  <c r="L360" i="4"/>
  <c r="H360" i="4"/>
  <c r="I360" i="4" s="1"/>
  <c r="F360" i="4"/>
  <c r="C360" i="4"/>
  <c r="Z358" i="4"/>
  <c r="AA358" i="4" s="1"/>
  <c r="T358" i="4"/>
  <c r="U358" i="4" s="1"/>
  <c r="Q358" i="4"/>
  <c r="W358" i="4" s="1"/>
  <c r="X358" i="4" s="1"/>
  <c r="K358" i="4"/>
  <c r="L358" i="4" s="1"/>
  <c r="F358" i="4"/>
  <c r="E358" i="4"/>
  <c r="B358" i="4"/>
  <c r="AC357" i="4"/>
  <c r="AD357" i="4" s="1"/>
  <c r="AA357" i="4"/>
  <c r="W357" i="4"/>
  <c r="X357" i="4" s="1"/>
  <c r="U357" i="4"/>
  <c r="R357" i="4"/>
  <c r="O357" i="4"/>
  <c r="N357" i="4"/>
  <c r="L357" i="4"/>
  <c r="H357" i="4"/>
  <c r="I357" i="4" s="1"/>
  <c r="F357" i="4"/>
  <c r="C357" i="4"/>
  <c r="AC356" i="4"/>
  <c r="AD356" i="4" s="1"/>
  <c r="AA356" i="4"/>
  <c r="W356" i="4"/>
  <c r="U356" i="4"/>
  <c r="R356" i="4"/>
  <c r="O356" i="4"/>
  <c r="N356" i="4"/>
  <c r="L356" i="4"/>
  <c r="H356" i="4"/>
  <c r="I356" i="4" s="1"/>
  <c r="F356" i="4"/>
  <c r="C356" i="4"/>
  <c r="AC355" i="4"/>
  <c r="AD355" i="4" s="1"/>
  <c r="AA355" i="4"/>
  <c r="W355" i="4"/>
  <c r="U355" i="4"/>
  <c r="R355" i="4"/>
  <c r="N355" i="4"/>
  <c r="O355" i="4" s="1"/>
  <c r="L355" i="4"/>
  <c r="H355" i="4"/>
  <c r="I355" i="4" s="1"/>
  <c r="F355" i="4"/>
  <c r="C355" i="4"/>
  <c r="AC354" i="4"/>
  <c r="AD354" i="4" s="1"/>
  <c r="AA354" i="4"/>
  <c r="X354" i="4"/>
  <c r="W354" i="4"/>
  <c r="U354" i="4"/>
  <c r="R354" i="4"/>
  <c r="O354" i="4"/>
  <c r="N354" i="4"/>
  <c r="L354" i="4"/>
  <c r="H354" i="4"/>
  <c r="I354" i="4" s="1"/>
  <c r="F354" i="4"/>
  <c r="C354" i="4"/>
  <c r="AC353" i="4"/>
  <c r="AD353" i="4" s="1"/>
  <c r="AA353" i="4"/>
  <c r="W353" i="4"/>
  <c r="X353" i="4" s="1"/>
  <c r="U353" i="4"/>
  <c r="R353" i="4"/>
  <c r="O353" i="4"/>
  <c r="N353" i="4"/>
  <c r="L353" i="4"/>
  <c r="H353" i="4"/>
  <c r="I353" i="4" s="1"/>
  <c r="F353" i="4"/>
  <c r="C353" i="4"/>
  <c r="AC352" i="4"/>
  <c r="AD352" i="4" s="1"/>
  <c r="AA352" i="4"/>
  <c r="X352" i="4"/>
  <c r="W352" i="4"/>
  <c r="U352" i="4"/>
  <c r="R352" i="4"/>
  <c r="O352" i="4"/>
  <c r="N352" i="4"/>
  <c r="L352" i="4"/>
  <c r="H352" i="4"/>
  <c r="I352" i="4" s="1"/>
  <c r="F352" i="4"/>
  <c r="C352" i="4"/>
  <c r="AD351" i="4"/>
  <c r="AC351" i="4"/>
  <c r="AA351" i="4"/>
  <c r="W351" i="4"/>
  <c r="U351" i="4"/>
  <c r="R351" i="4"/>
  <c r="N351" i="4"/>
  <c r="O351" i="4" s="1"/>
  <c r="L351" i="4"/>
  <c r="H351" i="4"/>
  <c r="I351" i="4" s="1"/>
  <c r="F351" i="4"/>
  <c r="C351" i="4"/>
  <c r="AC350" i="4"/>
  <c r="AD350" i="4" s="1"/>
  <c r="AA350" i="4"/>
  <c r="W350" i="4"/>
  <c r="X350" i="4" s="1"/>
  <c r="U350" i="4"/>
  <c r="R350" i="4"/>
  <c r="O350" i="4"/>
  <c r="N350" i="4"/>
  <c r="L350" i="4"/>
  <c r="H350" i="4"/>
  <c r="I350" i="4" s="1"/>
  <c r="F350" i="4"/>
  <c r="C350" i="4"/>
  <c r="AC349" i="4"/>
  <c r="AD349" i="4" s="1"/>
  <c r="AA349" i="4"/>
  <c r="W349" i="4"/>
  <c r="U349" i="4"/>
  <c r="R349" i="4"/>
  <c r="O349" i="4"/>
  <c r="N349" i="4"/>
  <c r="L349" i="4"/>
  <c r="H349" i="4"/>
  <c r="I349" i="4" s="1"/>
  <c r="F349" i="4"/>
  <c r="C349" i="4"/>
  <c r="AC347" i="4"/>
  <c r="AD347" i="4" s="1"/>
  <c r="AA347" i="4"/>
  <c r="X347" i="4"/>
  <c r="W347" i="4"/>
  <c r="U347" i="4"/>
  <c r="R347" i="4"/>
  <c r="N347" i="4"/>
  <c r="O347" i="4" s="1"/>
  <c r="L347" i="4"/>
  <c r="H347" i="4"/>
  <c r="I347" i="4" s="1"/>
  <c r="F347" i="4"/>
  <c r="C347" i="4"/>
  <c r="Z344" i="4"/>
  <c r="AA344" i="4" s="1"/>
  <c r="T344" i="4"/>
  <c r="U344" i="4" s="1"/>
  <c r="Q344" i="4"/>
  <c r="AC344" i="4" s="1"/>
  <c r="AD344" i="4" s="1"/>
  <c r="K344" i="4"/>
  <c r="L344" i="4" s="1"/>
  <c r="H344" i="4"/>
  <c r="I344" i="4" s="1"/>
  <c r="E344" i="4"/>
  <c r="F344" i="4" s="1"/>
  <c r="B344" i="4"/>
  <c r="C344" i="4" s="1"/>
  <c r="AA343" i="4"/>
  <c r="Z343" i="4"/>
  <c r="AC343" i="4" s="1"/>
  <c r="AD343" i="4" s="1"/>
  <c r="T343" i="4"/>
  <c r="U343" i="4" s="1"/>
  <c r="Q343" i="4"/>
  <c r="R343" i="4" s="1"/>
  <c r="K343" i="4"/>
  <c r="F343" i="4"/>
  <c r="E343" i="4"/>
  <c r="C343" i="4"/>
  <c r="B343" i="4"/>
  <c r="H343" i="4" s="1"/>
  <c r="I343" i="4" s="1"/>
  <c r="Z342" i="4"/>
  <c r="AA342" i="4" s="1"/>
  <c r="U342" i="4"/>
  <c r="T342" i="4"/>
  <c r="Q342" i="4"/>
  <c r="W342" i="4" s="1"/>
  <c r="X342" i="4" s="1"/>
  <c r="K342" i="4"/>
  <c r="L342" i="4" s="1"/>
  <c r="I342" i="4"/>
  <c r="H342" i="4"/>
  <c r="E342" i="4"/>
  <c r="F342" i="4" s="1"/>
  <c r="B342" i="4"/>
  <c r="C342" i="4" s="1"/>
  <c r="AC341" i="4"/>
  <c r="AD341" i="4" s="1"/>
  <c r="AA341" i="4"/>
  <c r="W341" i="4"/>
  <c r="U341" i="4"/>
  <c r="R341" i="4"/>
  <c r="N341" i="4"/>
  <c r="O341" i="4" s="1"/>
  <c r="L341" i="4"/>
  <c r="I341" i="4"/>
  <c r="H341" i="4"/>
  <c r="F341" i="4"/>
  <c r="C341" i="4"/>
  <c r="AC340" i="4"/>
  <c r="AD340" i="4" s="1"/>
  <c r="AA340" i="4"/>
  <c r="X340" i="4"/>
  <c r="W340" i="4"/>
  <c r="U340" i="4"/>
  <c r="R340" i="4"/>
  <c r="O340" i="4"/>
  <c r="N340" i="4"/>
  <c r="L340" i="4"/>
  <c r="I340" i="4"/>
  <c r="H340" i="4"/>
  <c r="F340" i="4"/>
  <c r="C340" i="4"/>
  <c r="AC339" i="4"/>
  <c r="AD339" i="4" s="1"/>
  <c r="AA339" i="4"/>
  <c r="W339" i="4"/>
  <c r="X339" i="4" s="1"/>
  <c r="U339" i="4"/>
  <c r="R339" i="4"/>
  <c r="O339" i="4"/>
  <c r="N339" i="4"/>
  <c r="L339" i="4"/>
  <c r="H339" i="4"/>
  <c r="I339" i="4" s="1"/>
  <c r="F339" i="4"/>
  <c r="C339" i="4"/>
  <c r="AC338" i="4"/>
  <c r="AD338" i="4" s="1"/>
  <c r="AA338" i="4"/>
  <c r="W338" i="4"/>
  <c r="U338" i="4"/>
  <c r="R338" i="4"/>
  <c r="N338" i="4"/>
  <c r="O338" i="4" s="1"/>
  <c r="L338" i="4"/>
  <c r="H338" i="4"/>
  <c r="I338" i="4" s="1"/>
  <c r="F338" i="4"/>
  <c r="C338" i="4"/>
  <c r="AC337" i="4"/>
  <c r="AD337" i="4" s="1"/>
  <c r="AA337" i="4"/>
  <c r="X337" i="4"/>
  <c r="W337" i="4"/>
  <c r="U337" i="4"/>
  <c r="R337" i="4"/>
  <c r="N337" i="4"/>
  <c r="O337" i="4" s="1"/>
  <c r="L337" i="4"/>
  <c r="H337" i="4"/>
  <c r="I337" i="4" s="1"/>
  <c r="F337" i="4"/>
  <c r="C337" i="4"/>
  <c r="AC335" i="4"/>
  <c r="AD335" i="4" s="1"/>
  <c r="AA335" i="4"/>
  <c r="X335" i="4"/>
  <c r="W335" i="4"/>
  <c r="U335" i="4"/>
  <c r="R335" i="4"/>
  <c r="O335" i="4"/>
  <c r="N335" i="4"/>
  <c r="L335" i="4"/>
  <c r="H335" i="4"/>
  <c r="I335" i="4" s="1"/>
  <c r="F335" i="4"/>
  <c r="C335" i="4"/>
  <c r="AC334" i="4"/>
  <c r="AD334" i="4" s="1"/>
  <c r="AA334" i="4"/>
  <c r="W334" i="4"/>
  <c r="X334" i="4" s="1"/>
  <c r="U334" i="4"/>
  <c r="R334" i="4"/>
  <c r="O334" i="4"/>
  <c r="N334" i="4"/>
  <c r="L334" i="4"/>
  <c r="H334" i="4"/>
  <c r="I334" i="4" s="1"/>
  <c r="F334" i="4"/>
  <c r="C334" i="4"/>
  <c r="AD333" i="4"/>
  <c r="AC333" i="4"/>
  <c r="AA333" i="4"/>
  <c r="W333" i="4"/>
  <c r="U333" i="4"/>
  <c r="R333" i="4"/>
  <c r="N333" i="4"/>
  <c r="O333" i="4" s="1"/>
  <c r="L333" i="4"/>
  <c r="H333" i="4"/>
  <c r="I333" i="4" s="1"/>
  <c r="F333" i="4"/>
  <c r="C333" i="4"/>
  <c r="AD332" i="4"/>
  <c r="AC332" i="4"/>
  <c r="AA332" i="4"/>
  <c r="X332" i="4"/>
  <c r="W332" i="4"/>
  <c r="U332" i="4"/>
  <c r="R332" i="4"/>
  <c r="N332" i="4"/>
  <c r="O332" i="4" s="1"/>
  <c r="L332" i="4"/>
  <c r="I332" i="4"/>
  <c r="H332" i="4"/>
  <c r="F332" i="4"/>
  <c r="C332" i="4"/>
  <c r="AC331" i="4"/>
  <c r="AD331" i="4" s="1"/>
  <c r="AA331" i="4"/>
  <c r="W331" i="4"/>
  <c r="X331" i="4" s="1"/>
  <c r="U331" i="4"/>
  <c r="R331" i="4"/>
  <c r="O331" i="4"/>
  <c r="N331" i="4"/>
  <c r="L331" i="4"/>
  <c r="H331" i="4"/>
  <c r="I331" i="4" s="1"/>
  <c r="F331" i="4"/>
  <c r="C331" i="4"/>
  <c r="AC330" i="4"/>
  <c r="AD330" i="4" s="1"/>
  <c r="AA330" i="4"/>
  <c r="W330" i="4"/>
  <c r="U330" i="4"/>
  <c r="R330" i="4"/>
  <c r="O330" i="4"/>
  <c r="N330" i="4"/>
  <c r="L330" i="4"/>
  <c r="H330" i="4"/>
  <c r="I330" i="4" s="1"/>
  <c r="F330" i="4"/>
  <c r="C330" i="4"/>
  <c r="AD329" i="4"/>
  <c r="AC329" i="4"/>
  <c r="AA329" i="4"/>
  <c r="X329" i="4"/>
  <c r="W329" i="4"/>
  <c r="U329" i="4"/>
  <c r="R329" i="4"/>
  <c r="N329" i="4"/>
  <c r="O329" i="4" s="1"/>
  <c r="L329" i="4"/>
  <c r="H329" i="4"/>
  <c r="I329" i="4" s="1"/>
  <c r="F329" i="4"/>
  <c r="C329" i="4"/>
  <c r="AD328" i="4"/>
  <c r="AC328" i="4"/>
  <c r="AA328" i="4"/>
  <c r="X328" i="4"/>
  <c r="W328" i="4"/>
  <c r="U328" i="4"/>
  <c r="R328" i="4"/>
  <c r="N328" i="4"/>
  <c r="O328" i="4" s="1"/>
  <c r="L328" i="4"/>
  <c r="I328" i="4"/>
  <c r="H328" i="4"/>
  <c r="F328" i="4"/>
  <c r="C328" i="4"/>
  <c r="Z325" i="4"/>
  <c r="AA325" i="4" s="1"/>
  <c r="T325" i="4"/>
  <c r="U325" i="4" s="1"/>
  <c r="Q325" i="4"/>
  <c r="R325" i="4" s="1"/>
  <c r="K325" i="4"/>
  <c r="H325" i="4"/>
  <c r="I325" i="4" s="1"/>
  <c r="E325" i="4"/>
  <c r="F325" i="4" s="1"/>
  <c r="C325" i="4"/>
  <c r="B325" i="4"/>
  <c r="Z324" i="4"/>
  <c r="AA324" i="4" s="1"/>
  <c r="T324" i="4"/>
  <c r="R324" i="4"/>
  <c r="Q324" i="4"/>
  <c r="K324" i="4"/>
  <c r="L324" i="4" s="1"/>
  <c r="F324" i="4"/>
  <c r="E324" i="4"/>
  <c r="B324" i="4"/>
  <c r="AC323" i="4"/>
  <c r="AD323" i="4" s="1"/>
  <c r="AA323" i="4"/>
  <c r="W323" i="4"/>
  <c r="X323" i="4" s="1"/>
  <c r="U323" i="4"/>
  <c r="R323" i="4"/>
  <c r="O323" i="4"/>
  <c r="N323" i="4"/>
  <c r="L323" i="4"/>
  <c r="I323" i="4"/>
  <c r="H323" i="4"/>
  <c r="F323" i="4"/>
  <c r="C323" i="4"/>
  <c r="AC322" i="4"/>
  <c r="AD322" i="4" s="1"/>
  <c r="AA322" i="4"/>
  <c r="X322" i="4"/>
  <c r="W322" i="4"/>
  <c r="U322" i="4"/>
  <c r="R322" i="4"/>
  <c r="O322" i="4"/>
  <c r="N322" i="4"/>
  <c r="L322" i="4"/>
  <c r="H322" i="4"/>
  <c r="I322" i="4" s="1"/>
  <c r="F322" i="4"/>
  <c r="C322" i="4"/>
  <c r="AD321" i="4"/>
  <c r="AC321" i="4"/>
  <c r="AA321" i="4"/>
  <c r="X321" i="4"/>
  <c r="W321" i="4"/>
  <c r="U321" i="4"/>
  <c r="R321" i="4"/>
  <c r="N321" i="4"/>
  <c r="O321" i="4" s="1"/>
  <c r="L321" i="4"/>
  <c r="H321" i="4"/>
  <c r="I321" i="4" s="1"/>
  <c r="F321" i="4"/>
  <c r="C321" i="4"/>
  <c r="AD320" i="4"/>
  <c r="AC320" i="4"/>
  <c r="AA320" i="4"/>
  <c r="X320" i="4"/>
  <c r="W320" i="4"/>
  <c r="U320" i="4"/>
  <c r="R320" i="4"/>
  <c r="O320" i="4"/>
  <c r="N320" i="4"/>
  <c r="L320" i="4"/>
  <c r="H320" i="4"/>
  <c r="I320" i="4" s="1"/>
  <c r="F320" i="4"/>
  <c r="C320" i="4"/>
  <c r="AC319" i="4"/>
  <c r="AD319" i="4" s="1"/>
  <c r="AA319" i="4"/>
  <c r="X319" i="4"/>
  <c r="W319" i="4"/>
  <c r="U319" i="4"/>
  <c r="R319" i="4"/>
  <c r="O319" i="4"/>
  <c r="N319" i="4"/>
  <c r="L319" i="4"/>
  <c r="H319" i="4"/>
  <c r="I319" i="4" s="1"/>
  <c r="F319" i="4"/>
  <c r="C319" i="4"/>
  <c r="AC318" i="4"/>
  <c r="AD318" i="4" s="1"/>
  <c r="AA318" i="4"/>
  <c r="W318" i="4"/>
  <c r="X318" i="4" s="1"/>
  <c r="U318" i="4"/>
  <c r="R318" i="4"/>
  <c r="O318" i="4"/>
  <c r="N318" i="4"/>
  <c r="L318" i="4"/>
  <c r="H318" i="4"/>
  <c r="I318" i="4" s="1"/>
  <c r="F318" i="4"/>
  <c r="C318" i="4"/>
  <c r="AD317" i="4"/>
  <c r="AC317" i="4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C316" i="4"/>
  <c r="AD316" i="4" s="1"/>
  <c r="AA316" i="4"/>
  <c r="X316" i="4"/>
  <c r="W316" i="4"/>
  <c r="U316" i="4"/>
  <c r="R316" i="4"/>
  <c r="N316" i="4"/>
  <c r="O316" i="4" s="1"/>
  <c r="L316" i="4"/>
  <c r="I316" i="4"/>
  <c r="H316" i="4"/>
  <c r="F316" i="4"/>
  <c r="C316" i="4"/>
  <c r="AC315" i="4"/>
  <c r="AD315" i="4" s="1"/>
  <c r="AA315" i="4"/>
  <c r="X315" i="4"/>
  <c r="W315" i="4"/>
  <c r="U315" i="4"/>
  <c r="R315" i="4"/>
  <c r="O315" i="4"/>
  <c r="N315" i="4"/>
  <c r="L315" i="4"/>
  <c r="I315" i="4"/>
  <c r="H315" i="4"/>
  <c r="F315" i="4"/>
  <c r="C315" i="4"/>
  <c r="AC314" i="4"/>
  <c r="AD314" i="4" s="1"/>
  <c r="AA314" i="4"/>
  <c r="W314" i="4"/>
  <c r="X314" i="4" s="1"/>
  <c r="U314" i="4"/>
  <c r="R314" i="4"/>
  <c r="O314" i="4"/>
  <c r="N314" i="4"/>
  <c r="L314" i="4"/>
  <c r="H314" i="4"/>
  <c r="I314" i="4" s="1"/>
  <c r="F314" i="4"/>
  <c r="C314" i="4"/>
  <c r="AD313" i="4"/>
  <c r="AC313" i="4"/>
  <c r="AA313" i="4"/>
  <c r="X313" i="4"/>
  <c r="W313" i="4"/>
  <c r="U313" i="4"/>
  <c r="R313" i="4"/>
  <c r="N313" i="4"/>
  <c r="O313" i="4" s="1"/>
  <c r="L313" i="4"/>
  <c r="H313" i="4"/>
  <c r="I313" i="4" s="1"/>
  <c r="F313" i="4"/>
  <c r="C313" i="4"/>
  <c r="AC312" i="4"/>
  <c r="AD312" i="4" s="1"/>
  <c r="AA312" i="4"/>
  <c r="X312" i="4"/>
  <c r="W312" i="4"/>
  <c r="U312" i="4"/>
  <c r="R312" i="4"/>
  <c r="N312" i="4"/>
  <c r="O312" i="4" s="1"/>
  <c r="L312" i="4"/>
  <c r="H312" i="4"/>
  <c r="I312" i="4" s="1"/>
  <c r="F312" i="4"/>
  <c r="C312" i="4"/>
  <c r="AC311" i="4"/>
  <c r="AD311" i="4" s="1"/>
  <c r="AA311" i="4"/>
  <c r="X311" i="4"/>
  <c r="W311" i="4"/>
  <c r="U311" i="4"/>
  <c r="R311" i="4"/>
  <c r="O311" i="4"/>
  <c r="N311" i="4"/>
  <c r="L311" i="4"/>
  <c r="H311" i="4"/>
  <c r="I311" i="4" s="1"/>
  <c r="F311" i="4"/>
  <c r="C311" i="4"/>
  <c r="AC310" i="4"/>
  <c r="AD310" i="4" s="1"/>
  <c r="AA310" i="4"/>
  <c r="W310" i="4"/>
  <c r="X310" i="4" s="1"/>
  <c r="U310" i="4"/>
  <c r="R310" i="4"/>
  <c r="O310" i="4"/>
  <c r="N310" i="4"/>
  <c r="L310" i="4"/>
  <c r="H310" i="4"/>
  <c r="I310" i="4" s="1"/>
  <c r="F310" i="4"/>
  <c r="C310" i="4"/>
  <c r="AD309" i="4"/>
  <c r="AC309" i="4"/>
  <c r="AA309" i="4"/>
  <c r="X309" i="4"/>
  <c r="W309" i="4"/>
  <c r="U309" i="4"/>
  <c r="R309" i="4"/>
  <c r="O309" i="4"/>
  <c r="N309" i="4"/>
  <c r="L309" i="4"/>
  <c r="H309" i="4"/>
  <c r="I309" i="4" s="1"/>
  <c r="F309" i="4"/>
  <c r="C309" i="4"/>
  <c r="AC308" i="4"/>
  <c r="AD308" i="4" s="1"/>
  <c r="AA308" i="4"/>
  <c r="X308" i="4"/>
  <c r="W308" i="4"/>
  <c r="U308" i="4"/>
  <c r="R308" i="4"/>
  <c r="N308" i="4"/>
  <c r="O308" i="4" s="1"/>
  <c r="L308" i="4"/>
  <c r="I308" i="4"/>
  <c r="H308" i="4"/>
  <c r="F308" i="4"/>
  <c r="C308" i="4"/>
  <c r="AC307" i="4"/>
  <c r="AD307" i="4" s="1"/>
  <c r="AA307" i="4"/>
  <c r="W307" i="4"/>
  <c r="X307" i="4" s="1"/>
  <c r="U307" i="4"/>
  <c r="R307" i="4"/>
  <c r="O307" i="4"/>
  <c r="N307" i="4"/>
  <c r="L307" i="4"/>
  <c r="H307" i="4"/>
  <c r="I307" i="4" s="1"/>
  <c r="F307" i="4"/>
  <c r="C307" i="4"/>
  <c r="AC306" i="4"/>
  <c r="AD306" i="4" s="1"/>
  <c r="AA306" i="4"/>
  <c r="W306" i="4"/>
  <c r="X306" i="4" s="1"/>
  <c r="U306" i="4"/>
  <c r="R306" i="4"/>
  <c r="O306" i="4"/>
  <c r="N306" i="4"/>
  <c r="L306" i="4"/>
  <c r="H306" i="4"/>
  <c r="I306" i="4" s="1"/>
  <c r="F306" i="4"/>
  <c r="C306" i="4"/>
  <c r="AD305" i="4"/>
  <c r="AC305" i="4"/>
  <c r="AA305" i="4"/>
  <c r="X305" i="4"/>
  <c r="W305" i="4"/>
  <c r="U305" i="4"/>
  <c r="R305" i="4"/>
  <c r="N305" i="4"/>
  <c r="O305" i="4" s="1"/>
  <c r="L305" i="4"/>
  <c r="H305" i="4"/>
  <c r="I305" i="4" s="1"/>
  <c r="F305" i="4"/>
  <c r="C305" i="4"/>
  <c r="AD304" i="4"/>
  <c r="AC304" i="4"/>
  <c r="AA304" i="4"/>
  <c r="X304" i="4"/>
  <c r="W304" i="4"/>
  <c r="U304" i="4"/>
  <c r="R304" i="4"/>
  <c r="N304" i="4"/>
  <c r="O304" i="4" s="1"/>
  <c r="L304" i="4"/>
  <c r="I304" i="4"/>
  <c r="H304" i="4"/>
  <c r="F304" i="4"/>
  <c r="C304" i="4"/>
  <c r="AC303" i="4"/>
  <c r="AD303" i="4" s="1"/>
  <c r="AA303" i="4"/>
  <c r="X303" i="4"/>
  <c r="W303" i="4"/>
  <c r="U303" i="4"/>
  <c r="R303" i="4"/>
  <c r="O303" i="4"/>
  <c r="N303" i="4"/>
  <c r="L303" i="4"/>
  <c r="H303" i="4"/>
  <c r="I303" i="4" s="1"/>
  <c r="F303" i="4"/>
  <c r="C303" i="4"/>
  <c r="AC302" i="4"/>
  <c r="AD302" i="4" s="1"/>
  <c r="AA302" i="4"/>
  <c r="W302" i="4"/>
  <c r="X302" i="4" s="1"/>
  <c r="U302" i="4"/>
  <c r="R302" i="4"/>
  <c r="O302" i="4"/>
  <c r="N302" i="4"/>
  <c r="L302" i="4"/>
  <c r="H302" i="4"/>
  <c r="I302" i="4" s="1"/>
  <c r="F302" i="4"/>
  <c r="C302" i="4"/>
  <c r="AC301" i="4"/>
  <c r="AD301" i="4" s="1"/>
  <c r="AA301" i="4"/>
  <c r="X301" i="4"/>
  <c r="W301" i="4"/>
  <c r="U301" i="4"/>
  <c r="R301" i="4"/>
  <c r="N301" i="4"/>
  <c r="O301" i="4" s="1"/>
  <c r="L301" i="4"/>
  <c r="H301" i="4"/>
  <c r="I301" i="4" s="1"/>
  <c r="F301" i="4"/>
  <c r="C301" i="4"/>
  <c r="AC300" i="4"/>
  <c r="AD300" i="4" s="1"/>
  <c r="AA300" i="4"/>
  <c r="X300" i="4"/>
  <c r="W300" i="4"/>
  <c r="U300" i="4"/>
  <c r="R300" i="4"/>
  <c r="N300" i="4"/>
  <c r="O300" i="4" s="1"/>
  <c r="L300" i="4"/>
  <c r="I300" i="4"/>
  <c r="H300" i="4"/>
  <c r="F300" i="4"/>
  <c r="C300" i="4"/>
  <c r="AC299" i="4"/>
  <c r="AD299" i="4" s="1"/>
  <c r="AA299" i="4"/>
  <c r="X299" i="4"/>
  <c r="W299" i="4"/>
  <c r="U299" i="4"/>
  <c r="R299" i="4"/>
  <c r="O299" i="4"/>
  <c r="N299" i="4"/>
  <c r="L299" i="4"/>
  <c r="I299" i="4"/>
  <c r="H299" i="4"/>
  <c r="F299" i="4"/>
  <c r="C299" i="4"/>
  <c r="AC298" i="4"/>
  <c r="AD298" i="4" s="1"/>
  <c r="AA298" i="4"/>
  <c r="W298" i="4"/>
  <c r="X298" i="4" s="1"/>
  <c r="U298" i="4"/>
  <c r="R298" i="4"/>
  <c r="O298" i="4"/>
  <c r="N298" i="4"/>
  <c r="L298" i="4"/>
  <c r="H298" i="4"/>
  <c r="I298" i="4" s="1"/>
  <c r="F298" i="4"/>
  <c r="C298" i="4"/>
  <c r="AD297" i="4"/>
  <c r="AC297" i="4"/>
  <c r="AA297" i="4"/>
  <c r="X297" i="4"/>
  <c r="W297" i="4"/>
  <c r="U297" i="4"/>
  <c r="R297" i="4"/>
  <c r="N297" i="4"/>
  <c r="O297" i="4" s="1"/>
  <c r="L297" i="4"/>
  <c r="H297" i="4"/>
  <c r="I297" i="4" s="1"/>
  <c r="F297" i="4"/>
  <c r="C297" i="4"/>
  <c r="Z295" i="4"/>
  <c r="AA295" i="4" s="1"/>
  <c r="T295" i="4"/>
  <c r="U295" i="4" s="1"/>
  <c r="Q295" i="4"/>
  <c r="K295" i="4"/>
  <c r="L295" i="4" s="1"/>
  <c r="F295" i="4"/>
  <c r="E295" i="4"/>
  <c r="C295" i="4"/>
  <c r="B295" i="4"/>
  <c r="AC294" i="4"/>
  <c r="AD294" i="4" s="1"/>
  <c r="AA294" i="4"/>
  <c r="W294" i="4"/>
  <c r="X294" i="4" s="1"/>
  <c r="U294" i="4"/>
  <c r="R294" i="4"/>
  <c r="O294" i="4"/>
  <c r="N294" i="4"/>
  <c r="L294" i="4"/>
  <c r="H294" i="4"/>
  <c r="I294" i="4" s="1"/>
  <c r="F294" i="4"/>
  <c r="C294" i="4"/>
  <c r="AC293" i="4"/>
  <c r="AD293" i="4" s="1"/>
  <c r="AA293" i="4"/>
  <c r="X293" i="4"/>
  <c r="W293" i="4"/>
  <c r="U293" i="4"/>
  <c r="R293" i="4"/>
  <c r="N293" i="4"/>
  <c r="O293" i="4" s="1"/>
  <c r="L293" i="4"/>
  <c r="H293" i="4"/>
  <c r="I293" i="4" s="1"/>
  <c r="F293" i="4"/>
  <c r="C293" i="4"/>
  <c r="AD292" i="4"/>
  <c r="AC292" i="4"/>
  <c r="AA292" i="4"/>
  <c r="X292" i="4"/>
  <c r="W292" i="4"/>
  <c r="U292" i="4"/>
  <c r="R292" i="4"/>
  <c r="N292" i="4"/>
  <c r="O292" i="4" s="1"/>
  <c r="L292" i="4"/>
  <c r="H292" i="4"/>
  <c r="I292" i="4" s="1"/>
  <c r="F292" i="4"/>
  <c r="C292" i="4"/>
  <c r="AC291" i="4"/>
  <c r="AD291" i="4" s="1"/>
  <c r="AA291" i="4"/>
  <c r="W291" i="4"/>
  <c r="X291" i="4" s="1"/>
  <c r="U291" i="4"/>
  <c r="R291" i="4"/>
  <c r="O291" i="4"/>
  <c r="N291" i="4"/>
  <c r="L291" i="4"/>
  <c r="I291" i="4"/>
  <c r="H291" i="4"/>
  <c r="F291" i="4"/>
  <c r="C291" i="4"/>
  <c r="AC290" i="4"/>
  <c r="AD290" i="4" s="1"/>
  <c r="AA290" i="4"/>
  <c r="W290" i="4"/>
  <c r="X290" i="4" s="1"/>
  <c r="U290" i="4"/>
  <c r="R290" i="4"/>
  <c r="O290" i="4"/>
  <c r="N290" i="4"/>
  <c r="L290" i="4"/>
  <c r="H290" i="4"/>
  <c r="I290" i="4" s="1"/>
  <c r="F290" i="4"/>
  <c r="C290" i="4"/>
  <c r="AD289" i="4"/>
  <c r="AC289" i="4"/>
  <c r="AA289" i="4"/>
  <c r="X289" i="4"/>
  <c r="W289" i="4"/>
  <c r="U289" i="4"/>
  <c r="R289" i="4"/>
  <c r="O289" i="4"/>
  <c r="N289" i="4"/>
  <c r="L289" i="4"/>
  <c r="H289" i="4"/>
  <c r="I289" i="4" s="1"/>
  <c r="F289" i="4"/>
  <c r="C289" i="4"/>
  <c r="AC288" i="4"/>
  <c r="AD288" i="4" s="1"/>
  <c r="AA288" i="4"/>
  <c r="X288" i="4"/>
  <c r="W288" i="4"/>
  <c r="U288" i="4"/>
  <c r="R288" i="4"/>
  <c r="N288" i="4"/>
  <c r="O288" i="4" s="1"/>
  <c r="L288" i="4"/>
  <c r="H288" i="4"/>
  <c r="I288" i="4" s="1"/>
  <c r="F288" i="4"/>
  <c r="C288" i="4"/>
  <c r="AC287" i="4"/>
  <c r="AD287" i="4" s="1"/>
  <c r="AA287" i="4"/>
  <c r="W287" i="4"/>
  <c r="X287" i="4" s="1"/>
  <c r="U287" i="4"/>
  <c r="R287" i="4"/>
  <c r="O287" i="4"/>
  <c r="N287" i="4"/>
  <c r="L287" i="4"/>
  <c r="I287" i="4"/>
  <c r="H287" i="4"/>
  <c r="F287" i="4"/>
  <c r="C287" i="4"/>
  <c r="AC286" i="4"/>
  <c r="AD286" i="4" s="1"/>
  <c r="AA286" i="4"/>
  <c r="W286" i="4"/>
  <c r="X286" i="4" s="1"/>
  <c r="U286" i="4"/>
  <c r="R286" i="4"/>
  <c r="O286" i="4"/>
  <c r="N286" i="4"/>
  <c r="L286" i="4"/>
  <c r="H286" i="4"/>
  <c r="I286" i="4" s="1"/>
  <c r="F286" i="4"/>
  <c r="C286" i="4"/>
  <c r="AC284" i="4"/>
  <c r="AD284" i="4" s="1"/>
  <c r="Z284" i="4"/>
  <c r="AA284" i="4" s="1"/>
  <c r="T284" i="4"/>
  <c r="U284" i="4" s="1"/>
  <c r="R284" i="4"/>
  <c r="Q284" i="4"/>
  <c r="K284" i="4"/>
  <c r="L284" i="4" s="1"/>
  <c r="E284" i="4"/>
  <c r="F284" i="4" s="1"/>
  <c r="B284" i="4"/>
  <c r="C284" i="4" s="1"/>
  <c r="AC283" i="4"/>
  <c r="AD283" i="4" s="1"/>
  <c r="AA283" i="4"/>
  <c r="W283" i="4"/>
  <c r="X283" i="4" s="1"/>
  <c r="U283" i="4"/>
  <c r="R283" i="4"/>
  <c r="O283" i="4"/>
  <c r="N283" i="4"/>
  <c r="L283" i="4"/>
  <c r="I283" i="4"/>
  <c r="H283" i="4"/>
  <c r="F283" i="4"/>
  <c r="C283" i="4"/>
  <c r="AC282" i="4"/>
  <c r="AD282" i="4" s="1"/>
  <c r="AA282" i="4"/>
  <c r="W282" i="4"/>
  <c r="X282" i="4" s="1"/>
  <c r="U282" i="4"/>
  <c r="R282" i="4"/>
  <c r="O282" i="4"/>
  <c r="N282" i="4"/>
  <c r="L282" i="4"/>
  <c r="H282" i="4"/>
  <c r="I282" i="4" s="1"/>
  <c r="F282" i="4"/>
  <c r="C282" i="4"/>
  <c r="AD281" i="4"/>
  <c r="AC281" i="4"/>
  <c r="AA281" i="4"/>
  <c r="X281" i="4"/>
  <c r="W281" i="4"/>
  <c r="U281" i="4"/>
  <c r="R281" i="4"/>
  <c r="O281" i="4"/>
  <c r="N281" i="4"/>
  <c r="L281" i="4"/>
  <c r="H281" i="4"/>
  <c r="I281" i="4" s="1"/>
  <c r="F281" i="4"/>
  <c r="C281" i="4"/>
  <c r="AC280" i="4"/>
  <c r="AD280" i="4" s="1"/>
  <c r="AA280" i="4"/>
  <c r="X280" i="4"/>
  <c r="W280" i="4"/>
  <c r="U280" i="4"/>
  <c r="R280" i="4"/>
  <c r="N280" i="4"/>
  <c r="O280" i="4" s="1"/>
  <c r="L280" i="4"/>
  <c r="H280" i="4"/>
  <c r="I280" i="4" s="1"/>
  <c r="F280" i="4"/>
  <c r="C280" i="4"/>
  <c r="AC279" i="4"/>
  <c r="AD279" i="4" s="1"/>
  <c r="AA279" i="4"/>
  <c r="W279" i="4"/>
  <c r="X279" i="4" s="1"/>
  <c r="U279" i="4"/>
  <c r="R279" i="4"/>
  <c r="O279" i="4"/>
  <c r="N279" i="4"/>
  <c r="L279" i="4"/>
  <c r="I279" i="4"/>
  <c r="H279" i="4"/>
  <c r="F279" i="4"/>
  <c r="C279" i="4"/>
  <c r="AC278" i="4"/>
  <c r="AD278" i="4" s="1"/>
  <c r="AA278" i="4"/>
  <c r="W278" i="4"/>
  <c r="X278" i="4" s="1"/>
  <c r="U278" i="4"/>
  <c r="R278" i="4"/>
  <c r="O278" i="4"/>
  <c r="N278" i="4"/>
  <c r="L278" i="4"/>
  <c r="H278" i="4"/>
  <c r="I278" i="4" s="1"/>
  <c r="F278" i="4"/>
  <c r="C278" i="4"/>
  <c r="AC277" i="4"/>
  <c r="AD277" i="4" s="1"/>
  <c r="AA277" i="4"/>
  <c r="X277" i="4"/>
  <c r="W277" i="4"/>
  <c r="U277" i="4"/>
  <c r="R277" i="4"/>
  <c r="O277" i="4"/>
  <c r="N277" i="4"/>
  <c r="L277" i="4"/>
  <c r="H277" i="4"/>
  <c r="I277" i="4" s="1"/>
  <c r="F277" i="4"/>
  <c r="C277" i="4"/>
  <c r="AD276" i="4"/>
  <c r="AC276" i="4"/>
  <c r="AA276" i="4"/>
  <c r="X276" i="4"/>
  <c r="W276" i="4"/>
  <c r="U276" i="4"/>
  <c r="R276" i="4"/>
  <c r="N276" i="4"/>
  <c r="O276" i="4" s="1"/>
  <c r="L276" i="4"/>
  <c r="I276" i="4"/>
  <c r="H276" i="4"/>
  <c r="F276" i="4"/>
  <c r="C276" i="4"/>
  <c r="AC275" i="4"/>
  <c r="AD275" i="4" s="1"/>
  <c r="AA275" i="4"/>
  <c r="W275" i="4"/>
  <c r="X275" i="4" s="1"/>
  <c r="U275" i="4"/>
  <c r="R275" i="4"/>
  <c r="O275" i="4"/>
  <c r="N275" i="4"/>
  <c r="L275" i="4"/>
  <c r="H275" i="4"/>
  <c r="I275" i="4" s="1"/>
  <c r="F275" i="4"/>
  <c r="C275" i="4"/>
  <c r="Z273" i="4"/>
  <c r="AA273" i="4" s="1"/>
  <c r="T273" i="4"/>
  <c r="U273" i="4" s="1"/>
  <c r="Q273" i="4"/>
  <c r="R273" i="4" s="1"/>
  <c r="L273" i="4"/>
  <c r="K273" i="4"/>
  <c r="H273" i="4"/>
  <c r="I273" i="4" s="1"/>
  <c r="E273" i="4"/>
  <c r="F273" i="4" s="1"/>
  <c r="B273" i="4"/>
  <c r="C273" i="4" s="1"/>
  <c r="AC272" i="4"/>
  <c r="AD272" i="4" s="1"/>
  <c r="AA272" i="4"/>
  <c r="X272" i="4"/>
  <c r="W272" i="4"/>
  <c r="U272" i="4"/>
  <c r="R272" i="4"/>
  <c r="N272" i="4"/>
  <c r="O272" i="4" s="1"/>
  <c r="L272" i="4"/>
  <c r="I272" i="4"/>
  <c r="H272" i="4"/>
  <c r="F272" i="4"/>
  <c r="C272" i="4"/>
  <c r="AC271" i="4"/>
  <c r="AD271" i="4" s="1"/>
  <c r="AA271" i="4"/>
  <c r="W271" i="4"/>
  <c r="X271" i="4" s="1"/>
  <c r="U271" i="4"/>
  <c r="R271" i="4"/>
  <c r="O271" i="4"/>
  <c r="N271" i="4"/>
  <c r="L271" i="4"/>
  <c r="H271" i="4"/>
  <c r="I271" i="4" s="1"/>
  <c r="F271" i="4"/>
  <c r="C271" i="4"/>
  <c r="AC270" i="4"/>
  <c r="AD270" i="4" s="1"/>
  <c r="AA270" i="4"/>
  <c r="W270" i="4"/>
  <c r="X270" i="4" s="1"/>
  <c r="U270" i="4"/>
  <c r="R270" i="4"/>
  <c r="O270" i="4"/>
  <c r="N270" i="4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Z267" i="4"/>
  <c r="AA267" i="4" s="1"/>
  <c r="T267" i="4"/>
  <c r="U267" i="4" s="1"/>
  <c r="Q267" i="4"/>
  <c r="W267" i="4" s="1"/>
  <c r="X267" i="4" s="1"/>
  <c r="K267" i="4"/>
  <c r="L267" i="4" s="1"/>
  <c r="F267" i="4"/>
  <c r="E267" i="4"/>
  <c r="B267" i="4"/>
  <c r="H267" i="4" s="1"/>
  <c r="I267" i="4" s="1"/>
  <c r="AC266" i="4"/>
  <c r="AD266" i="4" s="1"/>
  <c r="AA266" i="4"/>
  <c r="W266" i="4"/>
  <c r="X266" i="4" s="1"/>
  <c r="U266" i="4"/>
  <c r="R266" i="4"/>
  <c r="O266" i="4"/>
  <c r="N266" i="4"/>
  <c r="L266" i="4"/>
  <c r="H266" i="4"/>
  <c r="I266" i="4" s="1"/>
  <c r="F266" i="4"/>
  <c r="C266" i="4"/>
  <c r="AC265" i="4"/>
  <c r="AD265" i="4" s="1"/>
  <c r="AA265" i="4"/>
  <c r="X265" i="4"/>
  <c r="W265" i="4"/>
  <c r="U265" i="4"/>
  <c r="R265" i="4"/>
  <c r="O265" i="4"/>
  <c r="N265" i="4"/>
  <c r="L265" i="4"/>
  <c r="H265" i="4"/>
  <c r="I265" i="4" s="1"/>
  <c r="F265" i="4"/>
  <c r="C265" i="4"/>
  <c r="AA263" i="4"/>
  <c r="Z263" i="4"/>
  <c r="W263" i="4"/>
  <c r="X263" i="4" s="1"/>
  <c r="T263" i="4"/>
  <c r="U263" i="4" s="1"/>
  <c r="Q263" i="4"/>
  <c r="R263" i="4" s="1"/>
  <c r="K263" i="4"/>
  <c r="L263" i="4" s="1"/>
  <c r="E263" i="4"/>
  <c r="F263" i="4" s="1"/>
  <c r="B263" i="4"/>
  <c r="N263" i="4" s="1"/>
  <c r="O263" i="4" s="1"/>
  <c r="AC262" i="4"/>
  <c r="AD262" i="4" s="1"/>
  <c r="Z262" i="4"/>
  <c r="AA262" i="4" s="1"/>
  <c r="T262" i="4"/>
  <c r="U262" i="4" s="1"/>
  <c r="Q262" i="4"/>
  <c r="R262" i="4" s="1"/>
  <c r="K262" i="4"/>
  <c r="L262" i="4" s="1"/>
  <c r="I262" i="4"/>
  <c r="H262" i="4"/>
  <c r="E262" i="4"/>
  <c r="F262" i="4" s="1"/>
  <c r="B262" i="4"/>
  <c r="C262" i="4" s="1"/>
  <c r="AD261" i="4"/>
  <c r="AC261" i="4"/>
  <c r="AA261" i="4"/>
  <c r="X261" i="4"/>
  <c r="W261" i="4"/>
  <c r="U261" i="4"/>
  <c r="R261" i="4"/>
  <c r="N261" i="4"/>
  <c r="O261" i="4" s="1"/>
  <c r="L261" i="4"/>
  <c r="H261" i="4"/>
  <c r="I261" i="4" s="1"/>
  <c r="F261" i="4"/>
  <c r="C261" i="4"/>
  <c r="AC260" i="4"/>
  <c r="AD260" i="4" s="1"/>
  <c r="AA260" i="4"/>
  <c r="W260" i="4"/>
  <c r="X260" i="4" s="1"/>
  <c r="U260" i="4"/>
  <c r="R260" i="4"/>
  <c r="O260" i="4"/>
  <c r="N260" i="4"/>
  <c r="L260" i="4"/>
  <c r="I260" i="4"/>
  <c r="H260" i="4"/>
  <c r="F260" i="4"/>
  <c r="C260" i="4"/>
  <c r="AC259" i="4"/>
  <c r="AD259" i="4" s="1"/>
  <c r="AA259" i="4"/>
  <c r="W259" i="4"/>
  <c r="X259" i="4" s="1"/>
  <c r="U259" i="4"/>
  <c r="R259" i="4"/>
  <c r="O259" i="4"/>
  <c r="N259" i="4"/>
  <c r="L259" i="4"/>
  <c r="H259" i="4"/>
  <c r="I259" i="4" s="1"/>
  <c r="F259" i="4"/>
  <c r="C259" i="4"/>
  <c r="AD258" i="4"/>
  <c r="AC258" i="4"/>
  <c r="AA258" i="4"/>
  <c r="X258" i="4"/>
  <c r="W258" i="4"/>
  <c r="U258" i="4"/>
  <c r="R258" i="4"/>
  <c r="O258" i="4"/>
  <c r="N258" i="4"/>
  <c r="L258" i="4"/>
  <c r="H258" i="4"/>
  <c r="I258" i="4" s="1"/>
  <c r="F258" i="4"/>
  <c r="C258" i="4"/>
  <c r="AC257" i="4"/>
  <c r="AD257" i="4" s="1"/>
  <c r="AA257" i="4"/>
  <c r="X257" i="4"/>
  <c r="W257" i="4"/>
  <c r="U257" i="4"/>
  <c r="R257" i="4"/>
  <c r="N257" i="4"/>
  <c r="O257" i="4" s="1"/>
  <c r="L257" i="4"/>
  <c r="I257" i="4"/>
  <c r="H257" i="4"/>
  <c r="F257" i="4"/>
  <c r="C257" i="4"/>
  <c r="AC256" i="4"/>
  <c r="AD256" i="4" s="1"/>
  <c r="AA256" i="4"/>
  <c r="W256" i="4"/>
  <c r="X256" i="4" s="1"/>
  <c r="U256" i="4"/>
  <c r="R256" i="4"/>
  <c r="O256" i="4"/>
  <c r="N256" i="4"/>
  <c r="L256" i="4"/>
  <c r="I256" i="4"/>
  <c r="H256" i="4"/>
  <c r="F256" i="4"/>
  <c r="C256" i="4"/>
  <c r="AC255" i="4"/>
  <c r="AD255" i="4" s="1"/>
  <c r="AA255" i="4"/>
  <c r="W255" i="4"/>
  <c r="X255" i="4" s="1"/>
  <c r="U255" i="4"/>
  <c r="R255" i="4"/>
  <c r="O255" i="4"/>
  <c r="N255" i="4"/>
  <c r="L255" i="4"/>
  <c r="H255" i="4"/>
  <c r="I255" i="4" s="1"/>
  <c r="F255" i="4"/>
  <c r="C255" i="4"/>
  <c r="AC254" i="4"/>
  <c r="AD254" i="4" s="1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D253" i="4"/>
  <c r="AC253" i="4"/>
  <c r="AA253" i="4"/>
  <c r="X253" i="4"/>
  <c r="W253" i="4"/>
  <c r="U253" i="4"/>
  <c r="R253" i="4"/>
  <c r="N253" i="4"/>
  <c r="O253" i="4" s="1"/>
  <c r="L253" i="4"/>
  <c r="I253" i="4"/>
  <c r="H253" i="4"/>
  <c r="F253" i="4"/>
  <c r="C253" i="4"/>
  <c r="AC252" i="4"/>
  <c r="AD252" i="4" s="1"/>
  <c r="AA252" i="4"/>
  <c r="X252" i="4"/>
  <c r="W252" i="4"/>
  <c r="U252" i="4"/>
  <c r="R252" i="4"/>
  <c r="O252" i="4"/>
  <c r="N252" i="4"/>
  <c r="L252" i="4"/>
  <c r="H252" i="4"/>
  <c r="I252" i="4" s="1"/>
  <c r="F252" i="4"/>
  <c r="C252" i="4"/>
  <c r="AC251" i="4"/>
  <c r="AD251" i="4" s="1"/>
  <c r="AA251" i="4"/>
  <c r="W251" i="4"/>
  <c r="X251" i="4" s="1"/>
  <c r="U251" i="4"/>
  <c r="R251" i="4"/>
  <c r="O251" i="4"/>
  <c r="N251" i="4"/>
  <c r="L251" i="4"/>
  <c r="H251" i="4"/>
  <c r="I251" i="4" s="1"/>
  <c r="F251" i="4"/>
  <c r="C251" i="4"/>
  <c r="AC250" i="4"/>
  <c r="AD250" i="4" s="1"/>
  <c r="AA250" i="4"/>
  <c r="X250" i="4"/>
  <c r="W250" i="4"/>
  <c r="U250" i="4"/>
  <c r="R250" i="4"/>
  <c r="O250" i="4"/>
  <c r="N250" i="4"/>
  <c r="L250" i="4"/>
  <c r="H250" i="4"/>
  <c r="I250" i="4" s="1"/>
  <c r="F250" i="4"/>
  <c r="C250" i="4"/>
  <c r="AD249" i="4"/>
  <c r="AC249" i="4"/>
  <c r="AA249" i="4"/>
  <c r="X249" i="4"/>
  <c r="W249" i="4"/>
  <c r="U249" i="4"/>
  <c r="R249" i="4"/>
  <c r="N249" i="4"/>
  <c r="O249" i="4" s="1"/>
  <c r="L249" i="4"/>
  <c r="H249" i="4"/>
  <c r="I249" i="4" s="1"/>
  <c r="F249" i="4"/>
  <c r="C249" i="4"/>
  <c r="AC248" i="4"/>
  <c r="AD248" i="4" s="1"/>
  <c r="AA248" i="4"/>
  <c r="X248" i="4"/>
  <c r="W248" i="4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O247" i="4"/>
  <c r="N247" i="4"/>
  <c r="L247" i="4"/>
  <c r="H247" i="4"/>
  <c r="I247" i="4" s="1"/>
  <c r="F247" i="4"/>
  <c r="C247" i="4"/>
  <c r="AD246" i="4"/>
  <c r="AC246" i="4"/>
  <c r="AA246" i="4"/>
  <c r="X246" i="4"/>
  <c r="W246" i="4"/>
  <c r="U246" i="4"/>
  <c r="R246" i="4"/>
  <c r="N246" i="4"/>
  <c r="O246" i="4" s="1"/>
  <c r="L246" i="4"/>
  <c r="H246" i="4"/>
  <c r="I246" i="4" s="1"/>
  <c r="F246" i="4"/>
  <c r="C246" i="4"/>
  <c r="AD245" i="4"/>
  <c r="AC245" i="4"/>
  <c r="AA245" i="4"/>
  <c r="X245" i="4"/>
  <c r="W245" i="4"/>
  <c r="U245" i="4"/>
  <c r="R245" i="4"/>
  <c r="N245" i="4"/>
  <c r="O245" i="4" s="1"/>
  <c r="L245" i="4"/>
  <c r="H245" i="4"/>
  <c r="I245" i="4" s="1"/>
  <c r="F245" i="4"/>
  <c r="C245" i="4"/>
  <c r="AC244" i="4"/>
  <c r="AD244" i="4" s="1"/>
  <c r="AA244" i="4"/>
  <c r="W244" i="4"/>
  <c r="X244" i="4" s="1"/>
  <c r="U244" i="4"/>
  <c r="R244" i="4"/>
  <c r="O244" i="4"/>
  <c r="N244" i="4"/>
  <c r="L244" i="4"/>
  <c r="I244" i="4"/>
  <c r="H244" i="4"/>
  <c r="F244" i="4"/>
  <c r="C244" i="4"/>
  <c r="AC243" i="4"/>
  <c r="AD243" i="4" s="1"/>
  <c r="AA243" i="4"/>
  <c r="W243" i="4"/>
  <c r="X243" i="4" s="1"/>
  <c r="U243" i="4"/>
  <c r="R243" i="4"/>
  <c r="O243" i="4"/>
  <c r="N243" i="4"/>
  <c r="L243" i="4"/>
  <c r="H243" i="4"/>
  <c r="I243" i="4" s="1"/>
  <c r="F243" i="4"/>
  <c r="C243" i="4"/>
  <c r="AD242" i="4"/>
  <c r="AC242" i="4"/>
  <c r="AA242" i="4"/>
  <c r="X242" i="4"/>
  <c r="W242" i="4"/>
  <c r="U242" i="4"/>
  <c r="R242" i="4"/>
  <c r="O242" i="4"/>
  <c r="N242" i="4"/>
  <c r="L242" i="4"/>
  <c r="H242" i="4"/>
  <c r="I242" i="4" s="1"/>
  <c r="F242" i="4"/>
  <c r="C242" i="4"/>
  <c r="AC241" i="4"/>
  <c r="AD241" i="4" s="1"/>
  <c r="AA241" i="4"/>
  <c r="X241" i="4"/>
  <c r="W241" i="4"/>
  <c r="U241" i="4"/>
  <c r="R241" i="4"/>
  <c r="N241" i="4"/>
  <c r="O241" i="4" s="1"/>
  <c r="L241" i="4"/>
  <c r="I241" i="4"/>
  <c r="H241" i="4"/>
  <c r="F241" i="4"/>
  <c r="C241" i="4"/>
  <c r="AC240" i="4"/>
  <c r="AD240" i="4" s="1"/>
  <c r="AA240" i="4"/>
  <c r="W240" i="4"/>
  <c r="X240" i="4" s="1"/>
  <c r="U240" i="4"/>
  <c r="R240" i="4"/>
  <c r="O240" i="4"/>
  <c r="N240" i="4"/>
  <c r="L240" i="4"/>
  <c r="I240" i="4"/>
  <c r="H240" i="4"/>
  <c r="F240" i="4"/>
  <c r="C240" i="4"/>
  <c r="AC238" i="4"/>
  <c r="AD238" i="4" s="1"/>
  <c r="AA238" i="4"/>
  <c r="W238" i="4"/>
  <c r="X238" i="4" s="1"/>
  <c r="U238" i="4"/>
  <c r="R238" i="4"/>
  <c r="O238" i="4"/>
  <c r="N238" i="4"/>
  <c r="L238" i="4"/>
  <c r="H238" i="4"/>
  <c r="I238" i="4" s="1"/>
  <c r="F238" i="4"/>
  <c r="C238" i="4"/>
  <c r="AC236" i="4"/>
  <c r="AD236" i="4" s="1"/>
  <c r="Z236" i="4"/>
  <c r="AA236" i="4" s="1"/>
  <c r="T236" i="4"/>
  <c r="U236" i="4" s="1"/>
  <c r="R236" i="4"/>
  <c r="Q236" i="4"/>
  <c r="K236" i="4"/>
  <c r="L236" i="4" s="1"/>
  <c r="E236" i="4"/>
  <c r="F236" i="4" s="1"/>
  <c r="B236" i="4"/>
  <c r="C236" i="4" s="1"/>
  <c r="AC235" i="4"/>
  <c r="AD235" i="4" s="1"/>
  <c r="AA235" i="4"/>
  <c r="W235" i="4"/>
  <c r="X235" i="4" s="1"/>
  <c r="U235" i="4"/>
  <c r="R235" i="4"/>
  <c r="O235" i="4"/>
  <c r="N235" i="4"/>
  <c r="L235" i="4"/>
  <c r="I235" i="4"/>
  <c r="H235" i="4"/>
  <c r="F235" i="4"/>
  <c r="C235" i="4"/>
  <c r="AC234" i="4"/>
  <c r="AD234" i="4" s="1"/>
  <c r="AA234" i="4"/>
  <c r="W234" i="4"/>
  <c r="X234" i="4" s="1"/>
  <c r="U234" i="4"/>
  <c r="R234" i="4"/>
  <c r="O234" i="4"/>
  <c r="N234" i="4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O233" i="4"/>
  <c r="N233" i="4"/>
  <c r="L233" i="4"/>
  <c r="H233" i="4"/>
  <c r="I233" i="4" s="1"/>
  <c r="F233" i="4"/>
  <c r="C233" i="4"/>
  <c r="AC232" i="4"/>
  <c r="AD232" i="4" s="1"/>
  <c r="AA232" i="4"/>
  <c r="X232" i="4"/>
  <c r="W232" i="4"/>
  <c r="U232" i="4"/>
  <c r="R232" i="4"/>
  <c r="N232" i="4"/>
  <c r="O232" i="4" s="1"/>
  <c r="L232" i="4"/>
  <c r="I232" i="4"/>
  <c r="H232" i="4"/>
  <c r="F232" i="4"/>
  <c r="C232" i="4"/>
  <c r="AC231" i="4"/>
  <c r="AD231" i="4" s="1"/>
  <c r="AA231" i="4"/>
  <c r="W231" i="4"/>
  <c r="X231" i="4" s="1"/>
  <c r="U231" i="4"/>
  <c r="R231" i="4"/>
  <c r="O231" i="4"/>
  <c r="N231" i="4"/>
  <c r="L231" i="4"/>
  <c r="I231" i="4"/>
  <c r="H231" i="4"/>
  <c r="F231" i="4"/>
  <c r="C231" i="4"/>
  <c r="AC230" i="4"/>
  <c r="AD230" i="4" s="1"/>
  <c r="AA230" i="4"/>
  <c r="W230" i="4"/>
  <c r="X230" i="4" s="1"/>
  <c r="U230" i="4"/>
  <c r="R230" i="4"/>
  <c r="O230" i="4"/>
  <c r="N230" i="4"/>
  <c r="L230" i="4"/>
  <c r="H230" i="4"/>
  <c r="I230" i="4" s="1"/>
  <c r="F230" i="4"/>
  <c r="C230" i="4"/>
  <c r="AC229" i="4"/>
  <c r="AD229" i="4" s="1"/>
  <c r="AA229" i="4"/>
  <c r="X229" i="4"/>
  <c r="W229" i="4"/>
  <c r="U229" i="4"/>
  <c r="R229" i="4"/>
  <c r="O229" i="4"/>
  <c r="N229" i="4"/>
  <c r="L229" i="4"/>
  <c r="H229" i="4"/>
  <c r="I229" i="4" s="1"/>
  <c r="F229" i="4"/>
  <c r="C229" i="4"/>
  <c r="AA227" i="4"/>
  <c r="Z227" i="4"/>
  <c r="W227" i="4"/>
  <c r="X227" i="4" s="1"/>
  <c r="T227" i="4"/>
  <c r="U227" i="4" s="1"/>
  <c r="Q227" i="4"/>
  <c r="R227" i="4" s="1"/>
  <c r="K227" i="4"/>
  <c r="L227" i="4" s="1"/>
  <c r="E227" i="4"/>
  <c r="F227" i="4" s="1"/>
  <c r="B227" i="4"/>
  <c r="N227" i="4" s="1"/>
  <c r="O227" i="4" s="1"/>
  <c r="AC226" i="4"/>
  <c r="AD226" i="4" s="1"/>
  <c r="AA226" i="4"/>
  <c r="W226" i="4"/>
  <c r="X226" i="4" s="1"/>
  <c r="U226" i="4"/>
  <c r="R226" i="4"/>
  <c r="O226" i="4"/>
  <c r="N226" i="4"/>
  <c r="L226" i="4"/>
  <c r="H226" i="4"/>
  <c r="I226" i="4" s="1"/>
  <c r="F226" i="4"/>
  <c r="C226" i="4"/>
  <c r="AD225" i="4"/>
  <c r="AC225" i="4"/>
  <c r="AA225" i="4"/>
  <c r="X225" i="4"/>
  <c r="W225" i="4"/>
  <c r="U225" i="4"/>
  <c r="R225" i="4"/>
  <c r="O225" i="4"/>
  <c r="N225" i="4"/>
  <c r="L225" i="4"/>
  <c r="H225" i="4"/>
  <c r="I225" i="4" s="1"/>
  <c r="F225" i="4"/>
  <c r="C225" i="4"/>
  <c r="AD224" i="4"/>
  <c r="AC224" i="4"/>
  <c r="AA224" i="4"/>
  <c r="X224" i="4"/>
  <c r="W224" i="4"/>
  <c r="U224" i="4"/>
  <c r="R224" i="4"/>
  <c r="N224" i="4"/>
  <c r="O224" i="4" s="1"/>
  <c r="L224" i="4"/>
  <c r="H224" i="4"/>
  <c r="I224" i="4" s="1"/>
  <c r="F224" i="4"/>
  <c r="C224" i="4"/>
  <c r="AC223" i="4"/>
  <c r="AD223" i="4" s="1"/>
  <c r="AA223" i="4"/>
  <c r="W223" i="4"/>
  <c r="X223" i="4" s="1"/>
  <c r="U223" i="4"/>
  <c r="R223" i="4"/>
  <c r="O223" i="4"/>
  <c r="N223" i="4"/>
  <c r="L223" i="4"/>
  <c r="H223" i="4"/>
  <c r="I223" i="4" s="1"/>
  <c r="F223" i="4"/>
  <c r="C223" i="4"/>
  <c r="AC222" i="4"/>
  <c r="AD222" i="4" s="1"/>
  <c r="AA222" i="4"/>
  <c r="W222" i="4"/>
  <c r="X222" i="4" s="1"/>
  <c r="U222" i="4"/>
  <c r="R222" i="4"/>
  <c r="O222" i="4"/>
  <c r="N222" i="4"/>
  <c r="L222" i="4"/>
  <c r="H222" i="4"/>
  <c r="I222" i="4" s="1"/>
  <c r="F222" i="4"/>
  <c r="C222" i="4"/>
  <c r="AD221" i="4"/>
  <c r="AC221" i="4"/>
  <c r="AA221" i="4"/>
  <c r="X221" i="4"/>
  <c r="W221" i="4"/>
  <c r="U221" i="4"/>
  <c r="R221" i="4"/>
  <c r="N221" i="4"/>
  <c r="O221" i="4" s="1"/>
  <c r="L221" i="4"/>
  <c r="H221" i="4"/>
  <c r="I221" i="4" s="1"/>
  <c r="F221" i="4"/>
  <c r="C221" i="4"/>
  <c r="AD220" i="4"/>
  <c r="AC220" i="4"/>
  <c r="AA220" i="4"/>
  <c r="X220" i="4"/>
  <c r="W220" i="4"/>
  <c r="U220" i="4"/>
  <c r="R220" i="4"/>
  <c r="N220" i="4"/>
  <c r="O220" i="4" s="1"/>
  <c r="L220" i="4"/>
  <c r="I220" i="4"/>
  <c r="H220" i="4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I219" i="4"/>
  <c r="H219" i="4"/>
  <c r="F219" i="4"/>
  <c r="C219" i="4"/>
  <c r="Z218" i="4"/>
  <c r="AA218" i="4" s="1"/>
  <c r="U218" i="4"/>
  <c r="T218" i="4"/>
  <c r="Q218" i="4"/>
  <c r="R218" i="4" s="1"/>
  <c r="L218" i="4"/>
  <c r="K218" i="4"/>
  <c r="E218" i="4"/>
  <c r="F218" i="4" s="1"/>
  <c r="B218" i="4"/>
  <c r="C218" i="4" s="1"/>
  <c r="AC217" i="4"/>
  <c r="AD217" i="4" s="1"/>
  <c r="AA217" i="4"/>
  <c r="X217" i="4"/>
  <c r="W217" i="4"/>
  <c r="U217" i="4"/>
  <c r="R217" i="4"/>
  <c r="N217" i="4"/>
  <c r="O217" i="4" s="1"/>
  <c r="L217" i="4"/>
  <c r="I217" i="4"/>
  <c r="H217" i="4"/>
  <c r="F217" i="4"/>
  <c r="C217" i="4"/>
  <c r="AC216" i="4"/>
  <c r="AD216" i="4" s="1"/>
  <c r="AA216" i="4"/>
  <c r="X216" i="4"/>
  <c r="W216" i="4"/>
  <c r="U216" i="4"/>
  <c r="R216" i="4"/>
  <c r="O216" i="4"/>
  <c r="N216" i="4"/>
  <c r="L216" i="4"/>
  <c r="H216" i="4"/>
  <c r="I216" i="4" s="1"/>
  <c r="F216" i="4"/>
  <c r="C216" i="4"/>
  <c r="AC215" i="4"/>
  <c r="AD215" i="4" s="1"/>
  <c r="AA215" i="4"/>
  <c r="W215" i="4"/>
  <c r="X215" i="4" s="1"/>
  <c r="U215" i="4"/>
  <c r="R215" i="4"/>
  <c r="O215" i="4"/>
  <c r="N215" i="4"/>
  <c r="L215" i="4"/>
  <c r="H215" i="4"/>
  <c r="I215" i="4" s="1"/>
  <c r="F215" i="4"/>
  <c r="C215" i="4"/>
  <c r="AC214" i="4"/>
  <c r="AD214" i="4" s="1"/>
  <c r="AA214" i="4"/>
  <c r="X214" i="4"/>
  <c r="W214" i="4"/>
  <c r="U214" i="4"/>
  <c r="R214" i="4"/>
  <c r="O214" i="4"/>
  <c r="N214" i="4"/>
  <c r="L214" i="4"/>
  <c r="H214" i="4"/>
  <c r="I214" i="4" s="1"/>
  <c r="F214" i="4"/>
  <c r="C214" i="4"/>
  <c r="AD213" i="4"/>
  <c r="AC213" i="4"/>
  <c r="AA213" i="4"/>
  <c r="X213" i="4"/>
  <c r="W213" i="4"/>
  <c r="U213" i="4"/>
  <c r="R213" i="4"/>
  <c r="N213" i="4"/>
  <c r="O213" i="4" s="1"/>
  <c r="L213" i="4"/>
  <c r="H213" i="4"/>
  <c r="I213" i="4" s="1"/>
  <c r="F213" i="4"/>
  <c r="C213" i="4"/>
  <c r="AC211" i="4"/>
  <c r="AD211" i="4" s="1"/>
  <c r="AA211" i="4"/>
  <c r="X211" i="4"/>
  <c r="W211" i="4"/>
  <c r="U211" i="4"/>
  <c r="R211" i="4"/>
  <c r="O211" i="4"/>
  <c r="N211" i="4"/>
  <c r="L211" i="4"/>
  <c r="H211" i="4"/>
  <c r="I211" i="4" s="1"/>
  <c r="F211" i="4"/>
  <c r="C211" i="4"/>
  <c r="AC209" i="4"/>
  <c r="AD209" i="4" s="1"/>
  <c r="Z209" i="4"/>
  <c r="AA209" i="4" s="1"/>
  <c r="T209" i="4"/>
  <c r="W209" i="4" s="1"/>
  <c r="X209" i="4" s="1"/>
  <c r="Q209" i="4"/>
  <c r="R209" i="4" s="1"/>
  <c r="K209" i="4"/>
  <c r="L209" i="4" s="1"/>
  <c r="E209" i="4"/>
  <c r="F209" i="4" s="1"/>
  <c r="B209" i="4"/>
  <c r="C209" i="4" s="1"/>
  <c r="AD208" i="4"/>
  <c r="AC208" i="4"/>
  <c r="AA208" i="4"/>
  <c r="X208" i="4"/>
  <c r="W208" i="4"/>
  <c r="U208" i="4"/>
  <c r="R208" i="4"/>
  <c r="N208" i="4"/>
  <c r="O208" i="4" s="1"/>
  <c r="L208" i="4"/>
  <c r="I208" i="4"/>
  <c r="H208" i="4"/>
  <c r="F208" i="4"/>
  <c r="C208" i="4"/>
  <c r="AC207" i="4"/>
  <c r="AD207" i="4" s="1"/>
  <c r="AA207" i="4"/>
  <c r="W207" i="4"/>
  <c r="X207" i="4" s="1"/>
  <c r="U207" i="4"/>
  <c r="R207" i="4"/>
  <c r="O207" i="4"/>
  <c r="N207" i="4"/>
  <c r="L207" i="4"/>
  <c r="I207" i="4"/>
  <c r="H207" i="4"/>
  <c r="F207" i="4"/>
  <c r="C207" i="4"/>
  <c r="AC206" i="4"/>
  <c r="AD206" i="4" s="1"/>
  <c r="AA206" i="4"/>
  <c r="W206" i="4"/>
  <c r="X206" i="4" s="1"/>
  <c r="U206" i="4"/>
  <c r="R206" i="4"/>
  <c r="O206" i="4"/>
  <c r="N206" i="4"/>
  <c r="L206" i="4"/>
  <c r="H206" i="4"/>
  <c r="I206" i="4" s="1"/>
  <c r="F206" i="4"/>
  <c r="C206" i="4"/>
  <c r="AC205" i="4"/>
  <c r="AD205" i="4" s="1"/>
  <c r="AA205" i="4"/>
  <c r="X205" i="4"/>
  <c r="W205" i="4"/>
  <c r="U205" i="4"/>
  <c r="R205" i="4"/>
  <c r="N205" i="4"/>
  <c r="O205" i="4" s="1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N204" i="4"/>
  <c r="O204" i="4" s="1"/>
  <c r="L204" i="4"/>
  <c r="I204" i="4"/>
  <c r="H204" i="4"/>
  <c r="F204" i="4"/>
  <c r="C204" i="4"/>
  <c r="AC203" i="4"/>
  <c r="AD203" i="4" s="1"/>
  <c r="AA203" i="4"/>
  <c r="X203" i="4"/>
  <c r="W203" i="4"/>
  <c r="U203" i="4"/>
  <c r="R203" i="4"/>
  <c r="O203" i="4"/>
  <c r="N203" i="4"/>
  <c r="L203" i="4"/>
  <c r="I203" i="4"/>
  <c r="H203" i="4"/>
  <c r="F203" i="4"/>
  <c r="C203" i="4"/>
  <c r="AC202" i="4"/>
  <c r="AD202" i="4" s="1"/>
  <c r="AA202" i="4"/>
  <c r="W202" i="4"/>
  <c r="X202" i="4" s="1"/>
  <c r="U202" i="4"/>
  <c r="R202" i="4"/>
  <c r="O202" i="4"/>
  <c r="N202" i="4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Z197" i="4"/>
  <c r="AA197" i="4" s="1"/>
  <c r="T197" i="4"/>
  <c r="U197" i="4" s="1"/>
  <c r="Q197" i="4"/>
  <c r="R197" i="4" s="1"/>
  <c r="L197" i="4"/>
  <c r="K197" i="4"/>
  <c r="E197" i="4"/>
  <c r="F197" i="4" s="1"/>
  <c r="B197" i="4"/>
  <c r="C197" i="4" s="1"/>
  <c r="AA196" i="4"/>
  <c r="Z196" i="4"/>
  <c r="W196" i="4"/>
  <c r="X196" i="4" s="1"/>
  <c r="T196" i="4"/>
  <c r="U196" i="4" s="1"/>
  <c r="Q196" i="4"/>
  <c r="R196" i="4" s="1"/>
  <c r="K196" i="4"/>
  <c r="L196" i="4" s="1"/>
  <c r="E196" i="4"/>
  <c r="F196" i="4" s="1"/>
  <c r="B196" i="4"/>
  <c r="N196" i="4" s="1"/>
  <c r="O196" i="4" s="1"/>
  <c r="AC195" i="4"/>
  <c r="AD195" i="4" s="1"/>
  <c r="AA195" i="4"/>
  <c r="W195" i="4"/>
  <c r="X195" i="4" s="1"/>
  <c r="U195" i="4"/>
  <c r="R195" i="4"/>
  <c r="O195" i="4"/>
  <c r="N195" i="4"/>
  <c r="L195" i="4"/>
  <c r="H195" i="4"/>
  <c r="I195" i="4" s="1"/>
  <c r="F195" i="4"/>
  <c r="C195" i="4"/>
  <c r="AD194" i="4"/>
  <c r="AC194" i="4"/>
  <c r="AA194" i="4"/>
  <c r="X194" i="4"/>
  <c r="W194" i="4"/>
  <c r="U194" i="4"/>
  <c r="R194" i="4"/>
  <c r="O194" i="4"/>
  <c r="N194" i="4"/>
  <c r="L194" i="4"/>
  <c r="H194" i="4"/>
  <c r="I194" i="4" s="1"/>
  <c r="F194" i="4"/>
  <c r="C194" i="4"/>
  <c r="AA193" i="4"/>
  <c r="Z193" i="4"/>
  <c r="T193" i="4"/>
  <c r="U193" i="4" s="1"/>
  <c r="Q193" i="4"/>
  <c r="R193" i="4" s="1"/>
  <c r="K193" i="4"/>
  <c r="L193" i="4" s="1"/>
  <c r="F193" i="4"/>
  <c r="E193" i="4"/>
  <c r="C193" i="4"/>
  <c r="B193" i="4"/>
  <c r="H193" i="4" s="1"/>
  <c r="I193" i="4" s="1"/>
  <c r="AC192" i="4"/>
  <c r="AD192" i="4" s="1"/>
  <c r="AA192" i="4"/>
  <c r="W192" i="4"/>
  <c r="X192" i="4" s="1"/>
  <c r="U192" i="4"/>
  <c r="R192" i="4"/>
  <c r="O192" i="4"/>
  <c r="N192" i="4"/>
  <c r="L192" i="4"/>
  <c r="H192" i="4"/>
  <c r="I192" i="4" s="1"/>
  <c r="F192" i="4"/>
  <c r="C192" i="4"/>
  <c r="AD191" i="4"/>
  <c r="AC191" i="4"/>
  <c r="AA191" i="4"/>
  <c r="X191" i="4"/>
  <c r="W191" i="4"/>
  <c r="U191" i="4"/>
  <c r="R191" i="4"/>
  <c r="N191" i="4"/>
  <c r="O191" i="4" s="1"/>
  <c r="L191" i="4"/>
  <c r="H191" i="4"/>
  <c r="I191" i="4" s="1"/>
  <c r="F191" i="4"/>
  <c r="C191" i="4"/>
  <c r="AD190" i="4"/>
  <c r="AC190" i="4"/>
  <c r="AA190" i="4"/>
  <c r="X190" i="4"/>
  <c r="W190" i="4"/>
  <c r="U190" i="4"/>
  <c r="R190" i="4"/>
  <c r="N190" i="4"/>
  <c r="O190" i="4" s="1"/>
  <c r="L190" i="4"/>
  <c r="H190" i="4"/>
  <c r="I190" i="4" s="1"/>
  <c r="F190" i="4"/>
  <c r="C190" i="4"/>
  <c r="AC189" i="4"/>
  <c r="AD189" i="4" s="1"/>
  <c r="AA189" i="4"/>
  <c r="W189" i="4"/>
  <c r="X189" i="4" s="1"/>
  <c r="U189" i="4"/>
  <c r="R189" i="4"/>
  <c r="O189" i="4"/>
  <c r="N189" i="4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O188" i="4"/>
  <c r="N188" i="4"/>
  <c r="L188" i="4"/>
  <c r="H188" i="4"/>
  <c r="I188" i="4" s="1"/>
  <c r="F188" i="4"/>
  <c r="C188" i="4"/>
  <c r="AC187" i="4"/>
  <c r="AD187" i="4" s="1"/>
  <c r="AA187" i="4"/>
  <c r="X187" i="4"/>
  <c r="W187" i="4"/>
  <c r="U187" i="4"/>
  <c r="R187" i="4"/>
  <c r="O187" i="4"/>
  <c r="N187" i="4"/>
  <c r="L187" i="4"/>
  <c r="H187" i="4"/>
  <c r="I187" i="4" s="1"/>
  <c r="F187" i="4"/>
  <c r="C187" i="4"/>
  <c r="AC186" i="4"/>
  <c r="AD186" i="4" s="1"/>
  <c r="AA186" i="4"/>
  <c r="X186" i="4"/>
  <c r="W186" i="4"/>
  <c r="U186" i="4"/>
  <c r="R186" i="4"/>
  <c r="N186" i="4"/>
  <c r="O186" i="4" s="1"/>
  <c r="L186" i="4"/>
  <c r="I186" i="4"/>
  <c r="H186" i="4"/>
  <c r="F186" i="4"/>
  <c r="C186" i="4"/>
  <c r="AC184" i="4"/>
  <c r="AD184" i="4" s="1"/>
  <c r="AA184" i="4"/>
  <c r="W184" i="4"/>
  <c r="X184" i="4" s="1"/>
  <c r="U184" i="4"/>
  <c r="R184" i="4"/>
  <c r="O184" i="4"/>
  <c r="N184" i="4"/>
  <c r="L184" i="4"/>
  <c r="H184" i="4"/>
  <c r="I184" i="4" s="1"/>
  <c r="F184" i="4"/>
  <c r="C184" i="4"/>
  <c r="AC183" i="4"/>
  <c r="AD183" i="4" s="1"/>
  <c r="AA183" i="4"/>
  <c r="W183" i="4"/>
  <c r="X183" i="4" s="1"/>
  <c r="U183" i="4"/>
  <c r="R183" i="4"/>
  <c r="O183" i="4"/>
  <c r="N183" i="4"/>
  <c r="L183" i="4"/>
  <c r="H183" i="4"/>
  <c r="I183" i="4" s="1"/>
  <c r="F183" i="4"/>
  <c r="C183" i="4"/>
  <c r="Z182" i="4"/>
  <c r="AA182" i="4" s="1"/>
  <c r="T182" i="4"/>
  <c r="U182" i="4" s="1"/>
  <c r="R182" i="4"/>
  <c r="Q182" i="4"/>
  <c r="N182" i="4"/>
  <c r="O182" i="4" s="1"/>
  <c r="K182" i="4"/>
  <c r="L182" i="4" s="1"/>
  <c r="E182" i="4"/>
  <c r="H182" i="4" s="1"/>
  <c r="I182" i="4" s="1"/>
  <c r="B182" i="4"/>
  <c r="C182" i="4" s="1"/>
  <c r="AC181" i="4"/>
  <c r="AD181" i="4" s="1"/>
  <c r="AA181" i="4"/>
  <c r="W181" i="4"/>
  <c r="X181" i="4" s="1"/>
  <c r="U181" i="4"/>
  <c r="R181" i="4"/>
  <c r="O181" i="4"/>
  <c r="N181" i="4"/>
  <c r="L181" i="4"/>
  <c r="I181" i="4"/>
  <c r="H181" i="4"/>
  <c r="F181" i="4"/>
  <c r="C181" i="4"/>
  <c r="AC180" i="4"/>
  <c r="AD180" i="4" s="1"/>
  <c r="AA180" i="4"/>
  <c r="W180" i="4"/>
  <c r="X180" i="4" s="1"/>
  <c r="U180" i="4"/>
  <c r="R180" i="4"/>
  <c r="O180" i="4"/>
  <c r="N180" i="4"/>
  <c r="L180" i="4"/>
  <c r="H180" i="4"/>
  <c r="I180" i="4" s="1"/>
  <c r="F180" i="4"/>
  <c r="C180" i="4"/>
  <c r="AC179" i="4"/>
  <c r="AD179" i="4" s="1"/>
  <c r="AA179" i="4"/>
  <c r="X179" i="4"/>
  <c r="W179" i="4"/>
  <c r="U179" i="4"/>
  <c r="R179" i="4"/>
  <c r="O179" i="4"/>
  <c r="N179" i="4"/>
  <c r="L179" i="4"/>
  <c r="H179" i="4"/>
  <c r="I179" i="4" s="1"/>
  <c r="F179" i="4"/>
  <c r="C179" i="4"/>
  <c r="AC178" i="4"/>
  <c r="AD178" i="4" s="1"/>
  <c r="AA178" i="4"/>
  <c r="X178" i="4"/>
  <c r="W178" i="4"/>
  <c r="U178" i="4"/>
  <c r="R178" i="4"/>
  <c r="N178" i="4"/>
  <c r="O178" i="4" s="1"/>
  <c r="L178" i="4"/>
  <c r="I178" i="4"/>
  <c r="H178" i="4"/>
  <c r="F178" i="4"/>
  <c r="C178" i="4"/>
  <c r="AC177" i="4"/>
  <c r="AD177" i="4" s="1"/>
  <c r="AA177" i="4"/>
  <c r="W177" i="4"/>
  <c r="X177" i="4" s="1"/>
  <c r="U177" i="4"/>
  <c r="R177" i="4"/>
  <c r="O177" i="4"/>
  <c r="N177" i="4"/>
  <c r="L177" i="4"/>
  <c r="H177" i="4"/>
  <c r="I177" i="4" s="1"/>
  <c r="F177" i="4"/>
  <c r="C177" i="4"/>
  <c r="AC175" i="4"/>
  <c r="AD175" i="4" s="1"/>
  <c r="AA175" i="4"/>
  <c r="W175" i="4"/>
  <c r="X175" i="4" s="1"/>
  <c r="U175" i="4"/>
  <c r="R175" i="4"/>
  <c r="O175" i="4"/>
  <c r="N175" i="4"/>
  <c r="L175" i="4"/>
  <c r="H175" i="4"/>
  <c r="I175" i="4" s="1"/>
  <c r="F175" i="4"/>
  <c r="C175" i="4"/>
  <c r="F172" i="4"/>
  <c r="E172" i="4"/>
  <c r="E198" i="4" s="1"/>
  <c r="AA171" i="4"/>
  <c r="Z171" i="4"/>
  <c r="T171" i="4"/>
  <c r="U171" i="4" s="1"/>
  <c r="Q171" i="4"/>
  <c r="R171" i="4" s="1"/>
  <c r="L171" i="4"/>
  <c r="K171" i="4"/>
  <c r="H171" i="4"/>
  <c r="I171" i="4" s="1"/>
  <c r="E171" i="4"/>
  <c r="F171" i="4" s="1"/>
  <c r="B171" i="4"/>
  <c r="C171" i="4" s="1"/>
  <c r="Z170" i="4"/>
  <c r="AA170" i="4" s="1"/>
  <c r="T170" i="4"/>
  <c r="U170" i="4" s="1"/>
  <c r="Q170" i="4"/>
  <c r="AC170" i="4" s="1"/>
  <c r="AD170" i="4" s="1"/>
  <c r="N170" i="4"/>
  <c r="O170" i="4" s="1"/>
  <c r="K170" i="4"/>
  <c r="L170" i="4" s="1"/>
  <c r="E170" i="4"/>
  <c r="B170" i="4"/>
  <c r="C170" i="4" s="1"/>
  <c r="AC169" i="4"/>
  <c r="AD169" i="4" s="1"/>
  <c r="AA169" i="4"/>
  <c r="W169" i="4"/>
  <c r="X169" i="4" s="1"/>
  <c r="U169" i="4"/>
  <c r="R169" i="4"/>
  <c r="O169" i="4"/>
  <c r="N169" i="4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O168" i="4"/>
  <c r="N168" i="4"/>
  <c r="L168" i="4"/>
  <c r="H168" i="4"/>
  <c r="I168" i="4" s="1"/>
  <c r="F168" i="4"/>
  <c r="C168" i="4"/>
  <c r="AC167" i="4"/>
  <c r="AD167" i="4" s="1"/>
  <c r="AA167" i="4"/>
  <c r="X167" i="4"/>
  <c r="W167" i="4"/>
  <c r="U167" i="4"/>
  <c r="R167" i="4"/>
  <c r="N167" i="4"/>
  <c r="O167" i="4" s="1"/>
  <c r="L167" i="4"/>
  <c r="H167" i="4"/>
  <c r="I167" i="4" s="1"/>
  <c r="F167" i="4"/>
  <c r="C167" i="4"/>
  <c r="AC166" i="4"/>
  <c r="AD166" i="4" s="1"/>
  <c r="Z166" i="4"/>
  <c r="AA166" i="4" s="1"/>
  <c r="W166" i="4"/>
  <c r="X166" i="4" s="1"/>
  <c r="T166" i="4"/>
  <c r="U166" i="4" s="1"/>
  <c r="R166" i="4"/>
  <c r="Q166" i="4"/>
  <c r="N166" i="4"/>
  <c r="O166" i="4" s="1"/>
  <c r="K166" i="4"/>
  <c r="L166" i="4" s="1"/>
  <c r="E166" i="4"/>
  <c r="F166" i="4" s="1"/>
  <c r="B166" i="4"/>
  <c r="AC165" i="4"/>
  <c r="AD165" i="4" s="1"/>
  <c r="AA165" i="4"/>
  <c r="W165" i="4"/>
  <c r="X165" i="4" s="1"/>
  <c r="U165" i="4"/>
  <c r="R165" i="4"/>
  <c r="O165" i="4"/>
  <c r="N165" i="4"/>
  <c r="L165" i="4"/>
  <c r="H165" i="4"/>
  <c r="I165" i="4" s="1"/>
  <c r="F165" i="4"/>
  <c r="C165" i="4"/>
  <c r="AC164" i="4"/>
  <c r="AD164" i="4" s="1"/>
  <c r="AA164" i="4"/>
  <c r="X164" i="4"/>
  <c r="W164" i="4"/>
  <c r="U164" i="4"/>
  <c r="R164" i="4"/>
  <c r="O164" i="4"/>
  <c r="N164" i="4"/>
  <c r="L164" i="4"/>
  <c r="H164" i="4"/>
  <c r="I164" i="4" s="1"/>
  <c r="F164" i="4"/>
  <c r="C164" i="4"/>
  <c r="AD163" i="4"/>
  <c r="AC163" i="4"/>
  <c r="AA163" i="4"/>
  <c r="X163" i="4"/>
  <c r="W163" i="4"/>
  <c r="U163" i="4"/>
  <c r="R163" i="4"/>
  <c r="N163" i="4"/>
  <c r="O163" i="4" s="1"/>
  <c r="L163" i="4"/>
  <c r="H163" i="4"/>
  <c r="I163" i="4" s="1"/>
  <c r="F163" i="4"/>
  <c r="C163" i="4"/>
  <c r="AC162" i="4"/>
  <c r="AD162" i="4" s="1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W161" i="4"/>
  <c r="X161" i="4" s="1"/>
  <c r="U161" i="4"/>
  <c r="R161" i="4"/>
  <c r="O161" i="4"/>
  <c r="N161" i="4"/>
  <c r="L161" i="4"/>
  <c r="H161" i="4"/>
  <c r="I161" i="4" s="1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H160" i="4"/>
  <c r="I160" i="4" s="1"/>
  <c r="F160" i="4"/>
  <c r="C160" i="4"/>
  <c r="AD158" i="4"/>
  <c r="Z158" i="4"/>
  <c r="AC158" i="4" s="1"/>
  <c r="W158" i="4"/>
  <c r="X158" i="4" s="1"/>
  <c r="T158" i="4"/>
  <c r="U158" i="4" s="1"/>
  <c r="R158" i="4"/>
  <c r="Q158" i="4"/>
  <c r="K158" i="4"/>
  <c r="L158" i="4" s="1"/>
  <c r="F158" i="4"/>
  <c r="E158" i="4"/>
  <c r="C158" i="4"/>
  <c r="B158" i="4"/>
  <c r="AC157" i="4"/>
  <c r="AD157" i="4" s="1"/>
  <c r="AA157" i="4"/>
  <c r="W157" i="4"/>
  <c r="X157" i="4" s="1"/>
  <c r="U157" i="4"/>
  <c r="R157" i="4"/>
  <c r="O157" i="4"/>
  <c r="N157" i="4"/>
  <c r="L157" i="4"/>
  <c r="H157" i="4"/>
  <c r="I157" i="4" s="1"/>
  <c r="F157" i="4"/>
  <c r="C157" i="4"/>
  <c r="AC156" i="4"/>
  <c r="AD156" i="4" s="1"/>
  <c r="AA156" i="4"/>
  <c r="X156" i="4"/>
  <c r="W156" i="4"/>
  <c r="U156" i="4"/>
  <c r="R156" i="4"/>
  <c r="N156" i="4"/>
  <c r="O156" i="4" s="1"/>
  <c r="L156" i="4"/>
  <c r="H156" i="4"/>
  <c r="I156" i="4" s="1"/>
  <c r="F156" i="4"/>
  <c r="C156" i="4"/>
  <c r="AC155" i="4"/>
  <c r="AD155" i="4" s="1"/>
  <c r="AA155" i="4"/>
  <c r="X155" i="4"/>
  <c r="W155" i="4"/>
  <c r="U155" i="4"/>
  <c r="R155" i="4"/>
  <c r="N155" i="4"/>
  <c r="O155" i="4" s="1"/>
  <c r="L155" i="4"/>
  <c r="I155" i="4"/>
  <c r="H155" i="4"/>
  <c r="F155" i="4"/>
  <c r="C155" i="4"/>
  <c r="AC154" i="4"/>
  <c r="AD154" i="4" s="1"/>
  <c r="AA154" i="4"/>
  <c r="X154" i="4"/>
  <c r="W154" i="4"/>
  <c r="U154" i="4"/>
  <c r="R154" i="4"/>
  <c r="O154" i="4"/>
  <c r="N154" i="4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O153" i="4"/>
  <c r="N153" i="4"/>
  <c r="L153" i="4"/>
  <c r="H153" i="4"/>
  <c r="I153" i="4" s="1"/>
  <c r="F153" i="4"/>
  <c r="C153" i="4"/>
  <c r="AC151" i="4"/>
  <c r="AD151" i="4" s="1"/>
  <c r="AA151" i="4"/>
  <c r="X151" i="4"/>
  <c r="W151" i="4"/>
  <c r="U151" i="4"/>
  <c r="R151" i="4"/>
  <c r="O151" i="4"/>
  <c r="N151" i="4"/>
  <c r="L151" i="4"/>
  <c r="H151" i="4"/>
  <c r="I151" i="4" s="1"/>
  <c r="F151" i="4"/>
  <c r="C151" i="4"/>
  <c r="AA149" i="4"/>
  <c r="Z149" i="4"/>
  <c r="T149" i="4"/>
  <c r="U149" i="4" s="1"/>
  <c r="Q149" i="4"/>
  <c r="K149" i="4"/>
  <c r="L149" i="4" s="1"/>
  <c r="E149" i="4"/>
  <c r="F149" i="4" s="1"/>
  <c r="C149" i="4"/>
  <c r="B149" i="4"/>
  <c r="AC148" i="4"/>
  <c r="AD148" i="4" s="1"/>
  <c r="Z148" i="4"/>
  <c r="AA148" i="4" s="1"/>
  <c r="W148" i="4"/>
  <c r="X148" i="4" s="1"/>
  <c r="T148" i="4"/>
  <c r="U148" i="4" s="1"/>
  <c r="Q148" i="4"/>
  <c r="R148" i="4" s="1"/>
  <c r="K148" i="4"/>
  <c r="L148" i="4" s="1"/>
  <c r="E148" i="4"/>
  <c r="F148" i="4" s="1"/>
  <c r="B148" i="4"/>
  <c r="C148" i="4" s="1"/>
  <c r="AD147" i="4"/>
  <c r="AC147" i="4"/>
  <c r="AA147" i="4"/>
  <c r="X147" i="4"/>
  <c r="W147" i="4"/>
  <c r="U147" i="4"/>
  <c r="R147" i="4"/>
  <c r="N147" i="4"/>
  <c r="O147" i="4" s="1"/>
  <c r="L147" i="4"/>
  <c r="I147" i="4"/>
  <c r="H147" i="4"/>
  <c r="F147" i="4"/>
  <c r="C147" i="4"/>
  <c r="AC146" i="4"/>
  <c r="AD146" i="4" s="1"/>
  <c r="AA146" i="4"/>
  <c r="W146" i="4"/>
  <c r="X146" i="4" s="1"/>
  <c r="U146" i="4"/>
  <c r="R146" i="4"/>
  <c r="O146" i="4"/>
  <c r="N146" i="4"/>
  <c r="L146" i="4"/>
  <c r="I146" i="4"/>
  <c r="H146" i="4"/>
  <c r="F146" i="4"/>
  <c r="C146" i="4"/>
  <c r="AC145" i="4"/>
  <c r="AD145" i="4" s="1"/>
  <c r="AA145" i="4"/>
  <c r="W145" i="4"/>
  <c r="X145" i="4" s="1"/>
  <c r="U145" i="4"/>
  <c r="R145" i="4"/>
  <c r="O145" i="4"/>
  <c r="N145" i="4"/>
  <c r="L145" i="4"/>
  <c r="H145" i="4"/>
  <c r="I145" i="4" s="1"/>
  <c r="F145" i="4"/>
  <c r="C145" i="4"/>
  <c r="AC144" i="4"/>
  <c r="AD144" i="4" s="1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C143" i="4"/>
  <c r="AD143" i="4" s="1"/>
  <c r="AA143" i="4"/>
  <c r="X143" i="4"/>
  <c r="W143" i="4"/>
  <c r="U143" i="4"/>
  <c r="R143" i="4"/>
  <c r="N143" i="4"/>
  <c r="O143" i="4" s="1"/>
  <c r="L143" i="4"/>
  <c r="I143" i="4"/>
  <c r="H143" i="4"/>
  <c r="F143" i="4"/>
  <c r="C143" i="4"/>
  <c r="Z141" i="4"/>
  <c r="AA141" i="4" s="1"/>
  <c r="T141" i="4"/>
  <c r="Q141" i="4"/>
  <c r="R141" i="4" s="1"/>
  <c r="N141" i="4"/>
  <c r="O141" i="4" s="1"/>
  <c r="K141" i="4"/>
  <c r="L141" i="4" s="1"/>
  <c r="H141" i="4"/>
  <c r="I141" i="4" s="1"/>
  <c r="E141" i="4"/>
  <c r="F141" i="4" s="1"/>
  <c r="C141" i="4"/>
  <c r="B141" i="4"/>
  <c r="AC140" i="4"/>
  <c r="AD140" i="4" s="1"/>
  <c r="AA140" i="4"/>
  <c r="X140" i="4"/>
  <c r="W140" i="4"/>
  <c r="U140" i="4"/>
  <c r="R140" i="4"/>
  <c r="N140" i="4"/>
  <c r="O140" i="4" s="1"/>
  <c r="L140" i="4"/>
  <c r="H140" i="4"/>
  <c r="I140" i="4" s="1"/>
  <c r="F140" i="4"/>
  <c r="C140" i="4"/>
  <c r="AC139" i="4"/>
  <c r="AD139" i="4" s="1"/>
  <c r="AA139" i="4"/>
  <c r="X139" i="4"/>
  <c r="W139" i="4"/>
  <c r="U139" i="4"/>
  <c r="R139" i="4"/>
  <c r="N139" i="4"/>
  <c r="O139" i="4" s="1"/>
  <c r="L139" i="4"/>
  <c r="I139" i="4"/>
  <c r="H139" i="4"/>
  <c r="F139" i="4"/>
  <c r="C139" i="4"/>
  <c r="AC138" i="4"/>
  <c r="AD138" i="4" s="1"/>
  <c r="AA138" i="4"/>
  <c r="X138" i="4"/>
  <c r="W138" i="4"/>
  <c r="U138" i="4"/>
  <c r="R138" i="4"/>
  <c r="O138" i="4"/>
  <c r="N138" i="4"/>
  <c r="L138" i="4"/>
  <c r="I138" i="4"/>
  <c r="H138" i="4"/>
  <c r="F138" i="4"/>
  <c r="C138" i="4"/>
  <c r="AC137" i="4"/>
  <c r="AD137" i="4" s="1"/>
  <c r="AA137" i="4"/>
  <c r="W137" i="4"/>
  <c r="X137" i="4" s="1"/>
  <c r="U137" i="4"/>
  <c r="R137" i="4"/>
  <c r="O137" i="4"/>
  <c r="N137" i="4"/>
  <c r="L137" i="4"/>
  <c r="H137" i="4"/>
  <c r="I137" i="4" s="1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C135" i="4"/>
  <c r="AD135" i="4" s="1"/>
  <c r="AA135" i="4"/>
  <c r="X135" i="4"/>
  <c r="W135" i="4"/>
  <c r="U135" i="4"/>
  <c r="R135" i="4"/>
  <c r="N135" i="4"/>
  <c r="O135" i="4" s="1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O134" i="4"/>
  <c r="N134" i="4"/>
  <c r="L134" i="4"/>
  <c r="H134" i="4"/>
  <c r="I134" i="4" s="1"/>
  <c r="F134" i="4"/>
  <c r="C134" i="4"/>
  <c r="AC133" i="4"/>
  <c r="AD133" i="4" s="1"/>
  <c r="AA133" i="4"/>
  <c r="W133" i="4"/>
  <c r="X133" i="4" s="1"/>
  <c r="U133" i="4"/>
  <c r="R133" i="4"/>
  <c r="O133" i="4"/>
  <c r="N133" i="4"/>
  <c r="L133" i="4"/>
  <c r="H133" i="4"/>
  <c r="I133" i="4" s="1"/>
  <c r="F133" i="4"/>
  <c r="C133" i="4"/>
  <c r="AD132" i="4"/>
  <c r="AC132" i="4"/>
  <c r="AA132" i="4"/>
  <c r="X132" i="4"/>
  <c r="W132" i="4"/>
  <c r="U132" i="4"/>
  <c r="R132" i="4"/>
  <c r="O132" i="4"/>
  <c r="N132" i="4"/>
  <c r="L132" i="4"/>
  <c r="H132" i="4"/>
  <c r="I132" i="4" s="1"/>
  <c r="F132" i="4"/>
  <c r="C132" i="4"/>
  <c r="AD131" i="4"/>
  <c r="AC131" i="4"/>
  <c r="AA131" i="4"/>
  <c r="X131" i="4"/>
  <c r="W131" i="4"/>
  <c r="U131" i="4"/>
  <c r="R131" i="4"/>
  <c r="N131" i="4"/>
  <c r="O131" i="4" s="1"/>
  <c r="L131" i="4"/>
  <c r="H131" i="4"/>
  <c r="I131" i="4" s="1"/>
  <c r="F131" i="4"/>
  <c r="C131" i="4"/>
  <c r="AC130" i="4"/>
  <c r="AD130" i="4" s="1"/>
  <c r="AA130" i="4"/>
  <c r="W130" i="4"/>
  <c r="X130" i="4" s="1"/>
  <c r="U130" i="4"/>
  <c r="R130" i="4"/>
  <c r="O130" i="4"/>
  <c r="N130" i="4"/>
  <c r="L130" i="4"/>
  <c r="H130" i="4"/>
  <c r="I130" i="4" s="1"/>
  <c r="F130" i="4"/>
  <c r="C130" i="4"/>
  <c r="AC129" i="4"/>
  <c r="AD129" i="4" s="1"/>
  <c r="AA129" i="4"/>
  <c r="W129" i="4"/>
  <c r="X129" i="4" s="1"/>
  <c r="U129" i="4"/>
  <c r="R129" i="4"/>
  <c r="O129" i="4"/>
  <c r="N129" i="4"/>
  <c r="L129" i="4"/>
  <c r="H129" i="4"/>
  <c r="I129" i="4" s="1"/>
  <c r="F129" i="4"/>
  <c r="C129" i="4"/>
  <c r="AD127" i="4"/>
  <c r="AC127" i="4"/>
  <c r="AA127" i="4"/>
  <c r="X127" i="4"/>
  <c r="W127" i="4"/>
  <c r="U127" i="4"/>
  <c r="R127" i="4"/>
  <c r="N127" i="4"/>
  <c r="O127" i="4" s="1"/>
  <c r="L127" i="4"/>
  <c r="H127" i="4"/>
  <c r="I127" i="4" s="1"/>
  <c r="F127" i="4"/>
  <c r="C127" i="4"/>
  <c r="Z124" i="4"/>
  <c r="T124" i="4"/>
  <c r="U124" i="4" s="1"/>
  <c r="Q124" i="4"/>
  <c r="W124" i="4" s="1"/>
  <c r="X124" i="4" s="1"/>
  <c r="K124" i="4"/>
  <c r="F124" i="4"/>
  <c r="E124" i="4"/>
  <c r="B124" i="4"/>
  <c r="H124" i="4" s="1"/>
  <c r="I124" i="4" s="1"/>
  <c r="AC123" i="4"/>
  <c r="AD123" i="4" s="1"/>
  <c r="AA123" i="4"/>
  <c r="W123" i="4"/>
  <c r="X123" i="4" s="1"/>
  <c r="U123" i="4"/>
  <c r="R123" i="4"/>
  <c r="O123" i="4"/>
  <c r="N123" i="4"/>
  <c r="L123" i="4"/>
  <c r="H123" i="4"/>
  <c r="I123" i="4" s="1"/>
  <c r="F123" i="4"/>
  <c r="C123" i="4"/>
  <c r="AC122" i="4"/>
  <c r="AD122" i="4" s="1"/>
  <c r="Z122" i="4"/>
  <c r="AA122" i="4" s="1"/>
  <c r="T122" i="4"/>
  <c r="U122" i="4" s="1"/>
  <c r="R122" i="4"/>
  <c r="Q122" i="4"/>
  <c r="K122" i="4"/>
  <c r="L122" i="4" s="1"/>
  <c r="E122" i="4"/>
  <c r="F122" i="4" s="1"/>
  <c r="B122" i="4"/>
  <c r="C122" i="4" s="1"/>
  <c r="AC121" i="4"/>
  <c r="AD121" i="4" s="1"/>
  <c r="AA121" i="4"/>
  <c r="W121" i="4"/>
  <c r="X121" i="4" s="1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H120" i="4"/>
  <c r="I120" i="4" s="1"/>
  <c r="F120" i="4"/>
  <c r="C120" i="4"/>
  <c r="AD119" i="4"/>
  <c r="AC119" i="4"/>
  <c r="AA119" i="4"/>
  <c r="X119" i="4"/>
  <c r="W119" i="4"/>
  <c r="U119" i="4"/>
  <c r="R119" i="4"/>
  <c r="O119" i="4"/>
  <c r="N119" i="4"/>
  <c r="L119" i="4"/>
  <c r="H119" i="4"/>
  <c r="I119" i="4" s="1"/>
  <c r="F119" i="4"/>
  <c r="C119" i="4"/>
  <c r="AC118" i="4"/>
  <c r="AD118" i="4" s="1"/>
  <c r="AA118" i="4"/>
  <c r="Z118" i="4"/>
  <c r="T118" i="4"/>
  <c r="U118" i="4" s="1"/>
  <c r="R118" i="4"/>
  <c r="Q118" i="4"/>
  <c r="W118" i="4" s="1"/>
  <c r="X118" i="4" s="1"/>
  <c r="K118" i="4"/>
  <c r="L118" i="4" s="1"/>
  <c r="F118" i="4"/>
  <c r="E118" i="4"/>
  <c r="B118" i="4"/>
  <c r="AC117" i="4"/>
  <c r="AD117" i="4" s="1"/>
  <c r="AA117" i="4"/>
  <c r="W117" i="4"/>
  <c r="X117" i="4" s="1"/>
  <c r="U117" i="4"/>
  <c r="R117" i="4"/>
  <c r="O117" i="4"/>
  <c r="N117" i="4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O116" i="4"/>
  <c r="N116" i="4"/>
  <c r="L116" i="4"/>
  <c r="H116" i="4"/>
  <c r="I116" i="4" s="1"/>
  <c r="F116" i="4"/>
  <c r="C116" i="4"/>
  <c r="AC115" i="4"/>
  <c r="AD115" i="4" s="1"/>
  <c r="AA115" i="4"/>
  <c r="X115" i="4"/>
  <c r="W115" i="4"/>
  <c r="U115" i="4"/>
  <c r="R115" i="4"/>
  <c r="N115" i="4"/>
  <c r="O115" i="4" s="1"/>
  <c r="L115" i="4"/>
  <c r="H115" i="4"/>
  <c r="I115" i="4" s="1"/>
  <c r="F115" i="4"/>
  <c r="C115" i="4"/>
  <c r="AC114" i="4"/>
  <c r="AD114" i="4" s="1"/>
  <c r="AA114" i="4"/>
  <c r="X114" i="4"/>
  <c r="W114" i="4"/>
  <c r="U114" i="4"/>
  <c r="R114" i="4"/>
  <c r="O114" i="4"/>
  <c r="N114" i="4"/>
  <c r="L114" i="4"/>
  <c r="H114" i="4"/>
  <c r="I114" i="4" s="1"/>
  <c r="F114" i="4"/>
  <c r="C114" i="4"/>
  <c r="AC113" i="4"/>
  <c r="AD113" i="4" s="1"/>
  <c r="AA113" i="4"/>
  <c r="W113" i="4"/>
  <c r="X113" i="4" s="1"/>
  <c r="U113" i="4"/>
  <c r="R113" i="4"/>
  <c r="O113" i="4"/>
  <c r="N113" i="4"/>
  <c r="L113" i="4"/>
  <c r="H113" i="4"/>
  <c r="I113" i="4" s="1"/>
  <c r="F113" i="4"/>
  <c r="C113" i="4"/>
  <c r="AD112" i="4"/>
  <c r="AC112" i="4"/>
  <c r="AA112" i="4"/>
  <c r="X112" i="4"/>
  <c r="W112" i="4"/>
  <c r="U112" i="4"/>
  <c r="R112" i="4"/>
  <c r="O112" i="4"/>
  <c r="N112" i="4"/>
  <c r="L112" i="4"/>
  <c r="H112" i="4"/>
  <c r="I112" i="4" s="1"/>
  <c r="F112" i="4"/>
  <c r="C112" i="4"/>
  <c r="AD111" i="4"/>
  <c r="AC111" i="4"/>
  <c r="AA111" i="4"/>
  <c r="X111" i="4"/>
  <c r="W111" i="4"/>
  <c r="U111" i="4"/>
  <c r="R111" i="4"/>
  <c r="N111" i="4"/>
  <c r="O111" i="4" s="1"/>
  <c r="L111" i="4"/>
  <c r="I111" i="4"/>
  <c r="H111" i="4"/>
  <c r="F111" i="4"/>
  <c r="C111" i="4"/>
  <c r="AC110" i="4"/>
  <c r="AD110" i="4" s="1"/>
  <c r="AA110" i="4"/>
  <c r="W110" i="4"/>
  <c r="X110" i="4" s="1"/>
  <c r="U110" i="4"/>
  <c r="R110" i="4"/>
  <c r="O110" i="4"/>
  <c r="N110" i="4"/>
  <c r="L110" i="4"/>
  <c r="H110" i="4"/>
  <c r="I110" i="4" s="1"/>
  <c r="F110" i="4"/>
  <c r="C110" i="4"/>
  <c r="AC109" i="4"/>
  <c r="AD109" i="4" s="1"/>
  <c r="AA109" i="4"/>
  <c r="W109" i="4"/>
  <c r="X109" i="4" s="1"/>
  <c r="U109" i="4"/>
  <c r="R109" i="4"/>
  <c r="O109" i="4"/>
  <c r="N109" i="4"/>
  <c r="L109" i="4"/>
  <c r="H109" i="4"/>
  <c r="I109" i="4" s="1"/>
  <c r="F109" i="4"/>
  <c r="C109" i="4"/>
  <c r="AD108" i="4"/>
  <c r="AC108" i="4"/>
  <c r="AA108" i="4"/>
  <c r="X108" i="4"/>
  <c r="W108" i="4"/>
  <c r="U108" i="4"/>
  <c r="R108" i="4"/>
  <c r="N108" i="4"/>
  <c r="O108" i="4" s="1"/>
  <c r="L108" i="4"/>
  <c r="H108" i="4"/>
  <c r="I108" i="4" s="1"/>
  <c r="F108" i="4"/>
  <c r="C108" i="4"/>
  <c r="AD107" i="4"/>
  <c r="AC107" i="4"/>
  <c r="AA107" i="4"/>
  <c r="X107" i="4"/>
  <c r="W107" i="4"/>
  <c r="U107" i="4"/>
  <c r="R107" i="4"/>
  <c r="N107" i="4"/>
  <c r="O107" i="4" s="1"/>
  <c r="L107" i="4"/>
  <c r="I107" i="4"/>
  <c r="H107" i="4"/>
  <c r="F107" i="4"/>
  <c r="C107" i="4"/>
  <c r="AC106" i="4"/>
  <c r="AD106" i="4" s="1"/>
  <c r="AA106" i="4"/>
  <c r="X106" i="4"/>
  <c r="W106" i="4"/>
  <c r="U106" i="4"/>
  <c r="R106" i="4"/>
  <c r="O106" i="4"/>
  <c r="N106" i="4"/>
  <c r="L106" i="4"/>
  <c r="I106" i="4"/>
  <c r="H106" i="4"/>
  <c r="F106" i="4"/>
  <c r="C106" i="4"/>
  <c r="AC105" i="4"/>
  <c r="AD105" i="4" s="1"/>
  <c r="AA105" i="4"/>
  <c r="W105" i="4"/>
  <c r="X105" i="4" s="1"/>
  <c r="U105" i="4"/>
  <c r="R105" i="4"/>
  <c r="O105" i="4"/>
  <c r="N105" i="4"/>
  <c r="L105" i="4"/>
  <c r="H105" i="4"/>
  <c r="I105" i="4" s="1"/>
  <c r="F105" i="4"/>
  <c r="C105" i="4"/>
  <c r="AC104" i="4"/>
  <c r="AD104" i="4" s="1"/>
  <c r="AA104" i="4"/>
  <c r="X104" i="4"/>
  <c r="W104" i="4"/>
  <c r="U104" i="4"/>
  <c r="R104" i="4"/>
  <c r="N104" i="4"/>
  <c r="O104" i="4" s="1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N103" i="4"/>
  <c r="O103" i="4" s="1"/>
  <c r="L103" i="4"/>
  <c r="I103" i="4"/>
  <c r="H103" i="4"/>
  <c r="F103" i="4"/>
  <c r="C103" i="4"/>
  <c r="AC102" i="4"/>
  <c r="AD102" i="4" s="1"/>
  <c r="AA102" i="4"/>
  <c r="X102" i="4"/>
  <c r="W102" i="4"/>
  <c r="U102" i="4"/>
  <c r="R102" i="4"/>
  <c r="O102" i="4"/>
  <c r="N102" i="4"/>
  <c r="L102" i="4"/>
  <c r="I102" i="4"/>
  <c r="H102" i="4"/>
  <c r="F102" i="4"/>
  <c r="C102" i="4"/>
  <c r="AC101" i="4"/>
  <c r="AD101" i="4" s="1"/>
  <c r="AA101" i="4"/>
  <c r="W101" i="4"/>
  <c r="X101" i="4" s="1"/>
  <c r="U101" i="4"/>
  <c r="R101" i="4"/>
  <c r="O101" i="4"/>
  <c r="N101" i="4"/>
  <c r="L101" i="4"/>
  <c r="H101" i="4"/>
  <c r="I101" i="4" s="1"/>
  <c r="F101" i="4"/>
  <c r="C101" i="4"/>
  <c r="AD100" i="4"/>
  <c r="AC100" i="4"/>
  <c r="AA100" i="4"/>
  <c r="X100" i="4"/>
  <c r="W100" i="4"/>
  <c r="U100" i="4"/>
  <c r="R100" i="4"/>
  <c r="O100" i="4"/>
  <c r="N100" i="4"/>
  <c r="L100" i="4"/>
  <c r="H100" i="4"/>
  <c r="I100" i="4" s="1"/>
  <c r="F100" i="4"/>
  <c r="C100" i="4"/>
  <c r="AC99" i="4"/>
  <c r="AD99" i="4" s="1"/>
  <c r="AA99" i="4"/>
  <c r="X99" i="4"/>
  <c r="W99" i="4"/>
  <c r="U99" i="4"/>
  <c r="R99" i="4"/>
  <c r="N99" i="4"/>
  <c r="O99" i="4" s="1"/>
  <c r="L99" i="4"/>
  <c r="H99" i="4"/>
  <c r="I99" i="4" s="1"/>
  <c r="F99" i="4"/>
  <c r="C99" i="4"/>
  <c r="AC98" i="4"/>
  <c r="AD98" i="4" s="1"/>
  <c r="AA98" i="4"/>
  <c r="X98" i="4"/>
  <c r="W98" i="4"/>
  <c r="U98" i="4"/>
  <c r="R98" i="4"/>
  <c r="O98" i="4"/>
  <c r="N98" i="4"/>
  <c r="L98" i="4"/>
  <c r="H98" i="4"/>
  <c r="I98" i="4" s="1"/>
  <c r="F98" i="4"/>
  <c r="C98" i="4"/>
  <c r="AC97" i="4"/>
  <c r="AD97" i="4" s="1"/>
  <c r="AA97" i="4"/>
  <c r="W97" i="4"/>
  <c r="X97" i="4" s="1"/>
  <c r="U97" i="4"/>
  <c r="R97" i="4"/>
  <c r="O97" i="4"/>
  <c r="N97" i="4"/>
  <c r="L97" i="4"/>
  <c r="H97" i="4"/>
  <c r="I97" i="4" s="1"/>
  <c r="F97" i="4"/>
  <c r="C97" i="4"/>
  <c r="AD96" i="4"/>
  <c r="AC96" i="4"/>
  <c r="AA96" i="4"/>
  <c r="X96" i="4"/>
  <c r="W96" i="4"/>
  <c r="U96" i="4"/>
  <c r="R96" i="4"/>
  <c r="O96" i="4"/>
  <c r="N96" i="4"/>
  <c r="L96" i="4"/>
  <c r="H96" i="4"/>
  <c r="I96" i="4" s="1"/>
  <c r="F96" i="4"/>
  <c r="C96" i="4"/>
  <c r="AD95" i="4"/>
  <c r="AC95" i="4"/>
  <c r="AA95" i="4"/>
  <c r="X95" i="4"/>
  <c r="W95" i="4"/>
  <c r="U95" i="4"/>
  <c r="R95" i="4"/>
  <c r="N95" i="4"/>
  <c r="O95" i="4" s="1"/>
  <c r="L95" i="4"/>
  <c r="I95" i="4"/>
  <c r="H95" i="4"/>
  <c r="F95" i="4"/>
  <c r="C95" i="4"/>
  <c r="AC94" i="4"/>
  <c r="AD94" i="4" s="1"/>
  <c r="AA94" i="4"/>
  <c r="W94" i="4"/>
  <c r="X94" i="4" s="1"/>
  <c r="U94" i="4"/>
  <c r="R94" i="4"/>
  <c r="O94" i="4"/>
  <c r="N94" i="4"/>
  <c r="L94" i="4"/>
  <c r="H94" i="4"/>
  <c r="I94" i="4" s="1"/>
  <c r="F94" i="4"/>
  <c r="C94" i="4"/>
  <c r="AC92" i="4"/>
  <c r="AD92" i="4" s="1"/>
  <c r="AA92" i="4"/>
  <c r="W92" i="4"/>
  <c r="X92" i="4" s="1"/>
  <c r="U92" i="4"/>
  <c r="R92" i="4"/>
  <c r="O92" i="4"/>
  <c r="N92" i="4"/>
  <c r="L92" i="4"/>
  <c r="H92" i="4"/>
  <c r="I92" i="4" s="1"/>
  <c r="F92" i="4"/>
  <c r="C92" i="4"/>
  <c r="AD91" i="4"/>
  <c r="AC91" i="4"/>
  <c r="AA91" i="4"/>
  <c r="X91" i="4"/>
  <c r="W91" i="4"/>
  <c r="U91" i="4"/>
  <c r="R91" i="4"/>
  <c r="N91" i="4"/>
  <c r="O91" i="4" s="1"/>
  <c r="L91" i="4"/>
  <c r="H91" i="4"/>
  <c r="I91" i="4" s="1"/>
  <c r="F91" i="4"/>
  <c r="C91" i="4"/>
  <c r="AD90" i="4"/>
  <c r="AC90" i="4"/>
  <c r="AA90" i="4"/>
  <c r="X90" i="4"/>
  <c r="W90" i="4"/>
  <c r="U90" i="4"/>
  <c r="R90" i="4"/>
  <c r="N90" i="4"/>
  <c r="O90" i="4" s="1"/>
  <c r="L90" i="4"/>
  <c r="I90" i="4"/>
  <c r="H90" i="4"/>
  <c r="F90" i="4"/>
  <c r="C90" i="4"/>
  <c r="AC89" i="4"/>
  <c r="AD89" i="4" s="1"/>
  <c r="AA89" i="4"/>
  <c r="X89" i="4"/>
  <c r="W89" i="4"/>
  <c r="U89" i="4"/>
  <c r="R89" i="4"/>
  <c r="O89" i="4"/>
  <c r="N89" i="4"/>
  <c r="L89" i="4"/>
  <c r="H89" i="4"/>
  <c r="I89" i="4" s="1"/>
  <c r="F89" i="4"/>
  <c r="C89" i="4"/>
  <c r="Z88" i="4"/>
  <c r="AA88" i="4" s="1"/>
  <c r="T88" i="4"/>
  <c r="U88" i="4" s="1"/>
  <c r="Q88" i="4"/>
  <c r="R88" i="4" s="1"/>
  <c r="L88" i="4"/>
  <c r="K88" i="4"/>
  <c r="E88" i="4"/>
  <c r="F88" i="4" s="1"/>
  <c r="B88" i="4"/>
  <c r="C88" i="4" s="1"/>
  <c r="AD87" i="4"/>
  <c r="AC87" i="4"/>
  <c r="AA87" i="4"/>
  <c r="X87" i="4"/>
  <c r="W87" i="4"/>
  <c r="U87" i="4"/>
  <c r="R87" i="4"/>
  <c r="N87" i="4"/>
  <c r="O87" i="4" s="1"/>
  <c r="L87" i="4"/>
  <c r="I87" i="4"/>
  <c r="H87" i="4"/>
  <c r="F87" i="4"/>
  <c r="C87" i="4"/>
  <c r="AC86" i="4"/>
  <c r="AD86" i="4" s="1"/>
  <c r="AA86" i="4"/>
  <c r="W86" i="4"/>
  <c r="X86" i="4" s="1"/>
  <c r="U86" i="4"/>
  <c r="R86" i="4"/>
  <c r="O86" i="4"/>
  <c r="N86" i="4"/>
  <c r="L86" i="4"/>
  <c r="H86" i="4"/>
  <c r="I86" i="4" s="1"/>
  <c r="F86" i="4"/>
  <c r="C86" i="4"/>
  <c r="AC85" i="4"/>
  <c r="AD85" i="4" s="1"/>
  <c r="AA85" i="4"/>
  <c r="W85" i="4"/>
  <c r="X85" i="4" s="1"/>
  <c r="U85" i="4"/>
  <c r="R85" i="4"/>
  <c r="O85" i="4"/>
  <c r="N85" i="4"/>
  <c r="L85" i="4"/>
  <c r="H85" i="4"/>
  <c r="I85" i="4" s="1"/>
  <c r="F85" i="4"/>
  <c r="C85" i="4"/>
  <c r="AC84" i="4"/>
  <c r="AD84" i="4" s="1"/>
  <c r="AA84" i="4"/>
  <c r="X84" i="4"/>
  <c r="W84" i="4"/>
  <c r="U84" i="4"/>
  <c r="R84" i="4"/>
  <c r="O84" i="4"/>
  <c r="N84" i="4"/>
  <c r="L84" i="4"/>
  <c r="H84" i="4"/>
  <c r="I84" i="4" s="1"/>
  <c r="F84" i="4"/>
  <c r="C84" i="4"/>
  <c r="AD83" i="4"/>
  <c r="AC83" i="4"/>
  <c r="AA83" i="4"/>
  <c r="X83" i="4"/>
  <c r="W83" i="4"/>
  <c r="U83" i="4"/>
  <c r="R83" i="4"/>
  <c r="N83" i="4"/>
  <c r="O83" i="4" s="1"/>
  <c r="L83" i="4"/>
  <c r="H83" i="4"/>
  <c r="I83" i="4" s="1"/>
  <c r="F83" i="4"/>
  <c r="C83" i="4"/>
  <c r="AC82" i="4"/>
  <c r="AD82" i="4" s="1"/>
  <c r="AA82" i="4"/>
  <c r="X82" i="4"/>
  <c r="W82" i="4"/>
  <c r="U82" i="4"/>
  <c r="R82" i="4"/>
  <c r="O82" i="4"/>
  <c r="N82" i="4"/>
  <c r="L82" i="4"/>
  <c r="I82" i="4"/>
  <c r="H82" i="4"/>
  <c r="F82" i="4"/>
  <c r="C82" i="4"/>
  <c r="AC81" i="4"/>
  <c r="AD81" i="4" s="1"/>
  <c r="AA81" i="4"/>
  <c r="W81" i="4"/>
  <c r="X81" i="4" s="1"/>
  <c r="U81" i="4"/>
  <c r="R81" i="4"/>
  <c r="O81" i="4"/>
  <c r="N81" i="4"/>
  <c r="L81" i="4"/>
  <c r="H81" i="4"/>
  <c r="I81" i="4" s="1"/>
  <c r="F81" i="4"/>
  <c r="C81" i="4"/>
  <c r="AC80" i="4"/>
  <c r="AD80" i="4" s="1"/>
  <c r="AA80" i="4"/>
  <c r="X80" i="4"/>
  <c r="W80" i="4"/>
  <c r="U80" i="4"/>
  <c r="R80" i="4"/>
  <c r="N80" i="4"/>
  <c r="O80" i="4" s="1"/>
  <c r="L80" i="4"/>
  <c r="H80" i="4"/>
  <c r="I80" i="4" s="1"/>
  <c r="F80" i="4"/>
  <c r="C80" i="4"/>
  <c r="AD79" i="4"/>
  <c r="AC79" i="4"/>
  <c r="AA79" i="4"/>
  <c r="X79" i="4"/>
  <c r="W79" i="4"/>
  <c r="U79" i="4"/>
  <c r="R79" i="4"/>
  <c r="N79" i="4"/>
  <c r="O79" i="4" s="1"/>
  <c r="L79" i="4"/>
  <c r="H79" i="4"/>
  <c r="I79" i="4" s="1"/>
  <c r="F79" i="4"/>
  <c r="C79" i="4"/>
  <c r="AC78" i="4"/>
  <c r="AD78" i="4" s="1"/>
  <c r="AA78" i="4"/>
  <c r="W78" i="4"/>
  <c r="X78" i="4" s="1"/>
  <c r="U78" i="4"/>
  <c r="R78" i="4"/>
  <c r="O78" i="4"/>
  <c r="N78" i="4"/>
  <c r="L78" i="4"/>
  <c r="I78" i="4"/>
  <c r="H78" i="4"/>
  <c r="F78" i="4"/>
  <c r="C78" i="4"/>
  <c r="AC77" i="4"/>
  <c r="AD77" i="4" s="1"/>
  <c r="AA77" i="4"/>
  <c r="W77" i="4"/>
  <c r="X77" i="4" s="1"/>
  <c r="U77" i="4"/>
  <c r="R77" i="4"/>
  <c r="O77" i="4"/>
  <c r="N77" i="4"/>
  <c r="L77" i="4"/>
  <c r="H77" i="4"/>
  <c r="I77" i="4" s="1"/>
  <c r="F77" i="4"/>
  <c r="C77" i="4"/>
  <c r="AD76" i="4"/>
  <c r="AC76" i="4"/>
  <c r="AA76" i="4"/>
  <c r="X76" i="4"/>
  <c r="W76" i="4"/>
  <c r="U76" i="4"/>
  <c r="R76" i="4"/>
  <c r="O76" i="4"/>
  <c r="N76" i="4"/>
  <c r="L76" i="4"/>
  <c r="H76" i="4"/>
  <c r="I76" i="4" s="1"/>
  <c r="F76" i="4"/>
  <c r="C76" i="4"/>
  <c r="AC75" i="4"/>
  <c r="AD75" i="4" s="1"/>
  <c r="AA75" i="4"/>
  <c r="X75" i="4"/>
  <c r="W75" i="4"/>
  <c r="U75" i="4"/>
  <c r="R75" i="4"/>
  <c r="N75" i="4"/>
  <c r="O75" i="4" s="1"/>
  <c r="L75" i="4"/>
  <c r="H75" i="4"/>
  <c r="I75" i="4" s="1"/>
  <c r="F75" i="4"/>
  <c r="C75" i="4"/>
  <c r="Z73" i="4"/>
  <c r="AA73" i="4" s="1"/>
  <c r="T73" i="4"/>
  <c r="U73" i="4" s="1"/>
  <c r="Q73" i="4"/>
  <c r="R73" i="4" s="1"/>
  <c r="K73" i="4"/>
  <c r="L73" i="4" s="1"/>
  <c r="E73" i="4"/>
  <c r="F73" i="4" s="1"/>
  <c r="B73" i="4"/>
  <c r="H73" i="4" s="1"/>
  <c r="I73" i="4" s="1"/>
  <c r="AD72" i="4"/>
  <c r="AC72" i="4"/>
  <c r="AA72" i="4"/>
  <c r="X72" i="4"/>
  <c r="W72" i="4"/>
  <c r="U72" i="4"/>
  <c r="R72" i="4"/>
  <c r="O72" i="4"/>
  <c r="N72" i="4"/>
  <c r="L72" i="4"/>
  <c r="H72" i="4"/>
  <c r="I72" i="4" s="1"/>
  <c r="F72" i="4"/>
  <c r="C72" i="4"/>
  <c r="AC71" i="4"/>
  <c r="AD71" i="4" s="1"/>
  <c r="AA71" i="4"/>
  <c r="X71" i="4"/>
  <c r="W71" i="4"/>
  <c r="U71" i="4"/>
  <c r="R71" i="4"/>
  <c r="N71" i="4"/>
  <c r="O71" i="4" s="1"/>
  <c r="L71" i="4"/>
  <c r="H71" i="4"/>
  <c r="I71" i="4" s="1"/>
  <c r="F71" i="4"/>
  <c r="C71" i="4"/>
  <c r="AC70" i="4"/>
  <c r="AD70" i="4" s="1"/>
  <c r="AA70" i="4"/>
  <c r="W70" i="4"/>
  <c r="X70" i="4" s="1"/>
  <c r="U70" i="4"/>
  <c r="R70" i="4"/>
  <c r="O70" i="4"/>
  <c r="N70" i="4"/>
  <c r="L70" i="4"/>
  <c r="I70" i="4"/>
  <c r="H70" i="4"/>
  <c r="F70" i="4"/>
  <c r="C70" i="4"/>
  <c r="AC69" i="4"/>
  <c r="AD69" i="4" s="1"/>
  <c r="AA69" i="4"/>
  <c r="W69" i="4"/>
  <c r="X69" i="4" s="1"/>
  <c r="U69" i="4"/>
  <c r="R69" i="4"/>
  <c r="O69" i="4"/>
  <c r="N69" i="4"/>
  <c r="L69" i="4"/>
  <c r="H69" i="4"/>
  <c r="I69" i="4" s="1"/>
  <c r="F69" i="4"/>
  <c r="C69" i="4"/>
  <c r="AC68" i="4"/>
  <c r="AD68" i="4" s="1"/>
  <c r="AA68" i="4"/>
  <c r="X68" i="4"/>
  <c r="W68" i="4"/>
  <c r="U68" i="4"/>
  <c r="R68" i="4"/>
  <c r="O68" i="4"/>
  <c r="N68" i="4"/>
  <c r="L68" i="4"/>
  <c r="H68" i="4"/>
  <c r="I68" i="4" s="1"/>
  <c r="F68" i="4"/>
  <c r="C68" i="4"/>
  <c r="AD67" i="4"/>
  <c r="AC67" i="4"/>
  <c r="AA67" i="4"/>
  <c r="X67" i="4"/>
  <c r="W67" i="4"/>
  <c r="U67" i="4"/>
  <c r="R67" i="4"/>
  <c r="N67" i="4"/>
  <c r="O67" i="4" s="1"/>
  <c r="L67" i="4"/>
  <c r="I67" i="4"/>
  <c r="H67" i="4"/>
  <c r="F67" i="4"/>
  <c r="C67" i="4"/>
  <c r="AC66" i="4"/>
  <c r="AD66" i="4" s="1"/>
  <c r="AA66" i="4"/>
  <c r="W66" i="4"/>
  <c r="X66" i="4" s="1"/>
  <c r="U66" i="4"/>
  <c r="R66" i="4"/>
  <c r="O66" i="4"/>
  <c r="N66" i="4"/>
  <c r="L66" i="4"/>
  <c r="H66" i="4"/>
  <c r="I66" i="4" s="1"/>
  <c r="F66" i="4"/>
  <c r="C66" i="4"/>
  <c r="AC65" i="4"/>
  <c r="AD65" i="4" s="1"/>
  <c r="AA65" i="4"/>
  <c r="W65" i="4"/>
  <c r="X65" i="4" s="1"/>
  <c r="U65" i="4"/>
  <c r="R65" i="4"/>
  <c r="O65" i="4"/>
  <c r="N65" i="4"/>
  <c r="L65" i="4"/>
  <c r="H65" i="4"/>
  <c r="I65" i="4" s="1"/>
  <c r="F65" i="4"/>
  <c r="C65" i="4"/>
  <c r="AC64" i="4"/>
  <c r="AD64" i="4" s="1"/>
  <c r="AA64" i="4"/>
  <c r="X64" i="4"/>
  <c r="W64" i="4"/>
  <c r="U64" i="4"/>
  <c r="R64" i="4"/>
  <c r="O64" i="4"/>
  <c r="N64" i="4"/>
  <c r="L64" i="4"/>
  <c r="H64" i="4"/>
  <c r="I64" i="4" s="1"/>
  <c r="F64" i="4"/>
  <c r="C64" i="4"/>
  <c r="AA62" i="4"/>
  <c r="Z62" i="4"/>
  <c r="T62" i="4"/>
  <c r="U62" i="4" s="1"/>
  <c r="R62" i="4"/>
  <c r="Q62" i="4"/>
  <c r="W62" i="4" s="1"/>
  <c r="X62" i="4" s="1"/>
  <c r="K62" i="4"/>
  <c r="L62" i="4" s="1"/>
  <c r="E62" i="4"/>
  <c r="F62" i="4" s="1"/>
  <c r="B62" i="4"/>
  <c r="H62" i="4" s="1"/>
  <c r="I62" i="4" s="1"/>
  <c r="Z61" i="4"/>
  <c r="AA61" i="4" s="1"/>
  <c r="W61" i="4"/>
  <c r="X61" i="4" s="1"/>
  <c r="T61" i="4"/>
  <c r="U61" i="4" s="1"/>
  <c r="Q61" i="4"/>
  <c r="R61" i="4" s="1"/>
  <c r="L61" i="4"/>
  <c r="K61" i="4"/>
  <c r="E61" i="4"/>
  <c r="B61" i="4"/>
  <c r="C61" i="4" s="1"/>
  <c r="AC60" i="4"/>
  <c r="AD60" i="4" s="1"/>
  <c r="AA60" i="4"/>
  <c r="X60" i="4"/>
  <c r="W60" i="4"/>
  <c r="U60" i="4"/>
  <c r="R60" i="4"/>
  <c r="N60" i="4"/>
  <c r="O60" i="4" s="1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I59" i="4"/>
  <c r="H59" i="4"/>
  <c r="F59" i="4"/>
  <c r="C59" i="4"/>
  <c r="AC58" i="4"/>
  <c r="AD58" i="4" s="1"/>
  <c r="AA58" i="4"/>
  <c r="W58" i="4"/>
  <c r="X58" i="4" s="1"/>
  <c r="U58" i="4"/>
  <c r="R58" i="4"/>
  <c r="O58" i="4"/>
  <c r="N58" i="4"/>
  <c r="L58" i="4"/>
  <c r="H58" i="4"/>
  <c r="I58" i="4" s="1"/>
  <c r="F58" i="4"/>
  <c r="C58" i="4"/>
  <c r="AC57" i="4"/>
  <c r="AD57" i="4" s="1"/>
  <c r="AA57" i="4"/>
  <c r="X57" i="4"/>
  <c r="W57" i="4"/>
  <c r="U57" i="4"/>
  <c r="R57" i="4"/>
  <c r="O57" i="4"/>
  <c r="N57" i="4"/>
  <c r="L57" i="4"/>
  <c r="H57" i="4"/>
  <c r="I57" i="4" s="1"/>
  <c r="F57" i="4"/>
  <c r="C57" i="4"/>
  <c r="AD56" i="4"/>
  <c r="AC56" i="4"/>
  <c r="AA56" i="4"/>
  <c r="X56" i="4"/>
  <c r="W56" i="4"/>
  <c r="U56" i="4"/>
  <c r="R56" i="4"/>
  <c r="N56" i="4"/>
  <c r="O56" i="4" s="1"/>
  <c r="L56" i="4"/>
  <c r="I56" i="4"/>
  <c r="H56" i="4"/>
  <c r="F56" i="4"/>
  <c r="C56" i="4"/>
  <c r="AC55" i="4"/>
  <c r="AD55" i="4" s="1"/>
  <c r="AA55" i="4"/>
  <c r="W55" i="4"/>
  <c r="X55" i="4" s="1"/>
  <c r="U55" i="4"/>
  <c r="R55" i="4"/>
  <c r="O55" i="4"/>
  <c r="N55" i="4"/>
  <c r="L55" i="4"/>
  <c r="H55" i="4"/>
  <c r="I55" i="4" s="1"/>
  <c r="F55" i="4"/>
  <c r="C55" i="4"/>
  <c r="AC54" i="4"/>
  <c r="AD54" i="4" s="1"/>
  <c r="AA54" i="4"/>
  <c r="W54" i="4"/>
  <c r="X54" i="4" s="1"/>
  <c r="U54" i="4"/>
  <c r="R54" i="4"/>
  <c r="O54" i="4"/>
  <c r="N54" i="4"/>
  <c r="L54" i="4"/>
  <c r="H54" i="4"/>
  <c r="I54" i="4" s="1"/>
  <c r="F54" i="4"/>
  <c r="C54" i="4"/>
  <c r="AC53" i="4"/>
  <c r="AD53" i="4" s="1"/>
  <c r="AA53" i="4"/>
  <c r="X53" i="4"/>
  <c r="W53" i="4"/>
  <c r="U53" i="4"/>
  <c r="R53" i="4"/>
  <c r="O53" i="4"/>
  <c r="N53" i="4"/>
  <c r="L53" i="4"/>
  <c r="H53" i="4"/>
  <c r="I53" i="4" s="1"/>
  <c r="F53" i="4"/>
  <c r="C53" i="4"/>
  <c r="AD52" i="4"/>
  <c r="AC52" i="4"/>
  <c r="AA52" i="4"/>
  <c r="X52" i="4"/>
  <c r="W52" i="4"/>
  <c r="U52" i="4"/>
  <c r="R52" i="4"/>
  <c r="N52" i="4"/>
  <c r="O52" i="4" s="1"/>
  <c r="L52" i="4"/>
  <c r="H52" i="4"/>
  <c r="I52" i="4" s="1"/>
  <c r="F52" i="4"/>
  <c r="C52" i="4"/>
  <c r="AC51" i="4"/>
  <c r="AD51" i="4" s="1"/>
  <c r="AA51" i="4"/>
  <c r="X51" i="4"/>
  <c r="W51" i="4"/>
  <c r="U51" i="4"/>
  <c r="R51" i="4"/>
  <c r="O51" i="4"/>
  <c r="N51" i="4"/>
  <c r="L51" i="4"/>
  <c r="H51" i="4"/>
  <c r="I51" i="4" s="1"/>
  <c r="F51" i="4"/>
  <c r="C51" i="4"/>
  <c r="AC50" i="4"/>
  <c r="AD50" i="4" s="1"/>
  <c r="AA50" i="4"/>
  <c r="W50" i="4"/>
  <c r="X50" i="4" s="1"/>
  <c r="U50" i="4"/>
  <c r="R50" i="4"/>
  <c r="O50" i="4"/>
  <c r="N50" i="4"/>
  <c r="L50" i="4"/>
  <c r="H50" i="4"/>
  <c r="I50" i="4" s="1"/>
  <c r="F50" i="4"/>
  <c r="C50" i="4"/>
  <c r="AD49" i="4"/>
  <c r="AC49" i="4"/>
  <c r="AA49" i="4"/>
  <c r="X49" i="4"/>
  <c r="W49" i="4"/>
  <c r="U49" i="4"/>
  <c r="R49" i="4"/>
  <c r="N49" i="4"/>
  <c r="O49" i="4" s="1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O48" i="4" s="1"/>
  <c r="L48" i="4"/>
  <c r="H48" i="4"/>
  <c r="I48" i="4" s="1"/>
  <c r="F48" i="4"/>
  <c r="C48" i="4"/>
  <c r="AC47" i="4"/>
  <c r="AD47" i="4" s="1"/>
  <c r="AA47" i="4"/>
  <c r="W47" i="4"/>
  <c r="X47" i="4" s="1"/>
  <c r="U47" i="4"/>
  <c r="R47" i="4"/>
  <c r="O47" i="4"/>
  <c r="N47" i="4"/>
  <c r="L47" i="4"/>
  <c r="I47" i="4"/>
  <c r="H47" i="4"/>
  <c r="F47" i="4"/>
  <c r="C47" i="4"/>
  <c r="AC46" i="4"/>
  <c r="AD46" i="4" s="1"/>
  <c r="AA46" i="4"/>
  <c r="W46" i="4"/>
  <c r="X46" i="4" s="1"/>
  <c r="U46" i="4"/>
  <c r="R46" i="4"/>
  <c r="O46" i="4"/>
  <c r="N46" i="4"/>
  <c r="L46" i="4"/>
  <c r="H46" i="4"/>
  <c r="I46" i="4" s="1"/>
  <c r="F46" i="4"/>
  <c r="C46" i="4"/>
  <c r="AD44" i="4"/>
  <c r="AC44" i="4"/>
  <c r="AA44" i="4"/>
  <c r="X44" i="4"/>
  <c r="W44" i="4"/>
  <c r="U44" i="4"/>
  <c r="R44" i="4"/>
  <c r="N44" i="4"/>
  <c r="O44" i="4" s="1"/>
  <c r="L44" i="4"/>
  <c r="H44" i="4"/>
  <c r="I44" i="4" s="1"/>
  <c r="F44" i="4"/>
  <c r="C44" i="4"/>
  <c r="AC43" i="4"/>
  <c r="AD43" i="4" s="1"/>
  <c r="AA43" i="4"/>
  <c r="X43" i="4"/>
  <c r="W43" i="4"/>
  <c r="U43" i="4"/>
  <c r="R43" i="4"/>
  <c r="N43" i="4"/>
  <c r="O43" i="4" s="1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O42" i="4"/>
  <c r="N42" i="4"/>
  <c r="L42" i="4"/>
  <c r="I42" i="4"/>
  <c r="H42" i="4"/>
  <c r="F42" i="4"/>
  <c r="C42" i="4"/>
  <c r="Z40" i="4"/>
  <c r="AA40" i="4" s="1"/>
  <c r="U40" i="4"/>
  <c r="T40" i="4"/>
  <c r="Q40" i="4"/>
  <c r="R40" i="4" s="1"/>
  <c r="K40" i="4"/>
  <c r="L40" i="4" s="1"/>
  <c r="I40" i="4"/>
  <c r="H40" i="4"/>
  <c r="E40" i="4"/>
  <c r="F40" i="4" s="1"/>
  <c r="B40" i="4"/>
  <c r="C40" i="4" s="1"/>
  <c r="AC39" i="4"/>
  <c r="AD39" i="4" s="1"/>
  <c r="AA39" i="4"/>
  <c r="X39" i="4"/>
  <c r="W39" i="4"/>
  <c r="U39" i="4"/>
  <c r="R39" i="4"/>
  <c r="N39" i="4"/>
  <c r="O39" i="4" s="1"/>
  <c r="L39" i="4"/>
  <c r="I39" i="4"/>
  <c r="H39" i="4"/>
  <c r="F39" i="4"/>
  <c r="C39" i="4"/>
  <c r="AC38" i="4"/>
  <c r="AD38" i="4" s="1"/>
  <c r="AA38" i="4"/>
  <c r="X38" i="4"/>
  <c r="W38" i="4"/>
  <c r="U38" i="4"/>
  <c r="R38" i="4"/>
  <c r="O38" i="4"/>
  <c r="N38" i="4"/>
  <c r="L38" i="4"/>
  <c r="H38" i="4"/>
  <c r="I38" i="4" s="1"/>
  <c r="F38" i="4"/>
  <c r="C38" i="4"/>
  <c r="AC37" i="4"/>
  <c r="AD37" i="4" s="1"/>
  <c r="AA37" i="4"/>
  <c r="W37" i="4"/>
  <c r="X37" i="4" s="1"/>
  <c r="U37" i="4"/>
  <c r="R37" i="4"/>
  <c r="O37" i="4"/>
  <c r="N37" i="4"/>
  <c r="L37" i="4"/>
  <c r="H37" i="4"/>
  <c r="I37" i="4" s="1"/>
  <c r="F37" i="4"/>
  <c r="C37" i="4"/>
  <c r="AD36" i="4"/>
  <c r="AC36" i="4"/>
  <c r="AA36" i="4"/>
  <c r="X36" i="4"/>
  <c r="W36" i="4"/>
  <c r="U36" i="4"/>
  <c r="R36" i="4"/>
  <c r="O36" i="4"/>
  <c r="N36" i="4"/>
  <c r="L36" i="4"/>
  <c r="H36" i="4"/>
  <c r="I36" i="4" s="1"/>
  <c r="F36" i="4"/>
  <c r="C36" i="4"/>
  <c r="AC35" i="4"/>
  <c r="AD35" i="4" s="1"/>
  <c r="AA35" i="4"/>
  <c r="X35" i="4"/>
  <c r="W35" i="4"/>
  <c r="U35" i="4"/>
  <c r="R35" i="4"/>
  <c r="N35" i="4"/>
  <c r="O35" i="4" s="1"/>
  <c r="L35" i="4"/>
  <c r="H35" i="4"/>
  <c r="I35" i="4" s="1"/>
  <c r="F35" i="4"/>
  <c r="C35" i="4"/>
  <c r="AC34" i="4"/>
  <c r="AD34" i="4" s="1"/>
  <c r="AA34" i="4"/>
  <c r="X34" i="4"/>
  <c r="W34" i="4"/>
  <c r="U34" i="4"/>
  <c r="R34" i="4"/>
  <c r="O34" i="4"/>
  <c r="N34" i="4"/>
  <c r="L34" i="4"/>
  <c r="H34" i="4"/>
  <c r="I34" i="4" s="1"/>
  <c r="F34" i="4"/>
  <c r="C34" i="4"/>
  <c r="AC33" i="4"/>
  <c r="AD33" i="4" s="1"/>
  <c r="AA33" i="4"/>
  <c r="W33" i="4"/>
  <c r="X33" i="4" s="1"/>
  <c r="U33" i="4"/>
  <c r="R33" i="4"/>
  <c r="O33" i="4"/>
  <c r="N33" i="4"/>
  <c r="L33" i="4"/>
  <c r="H33" i="4"/>
  <c r="I33" i="4" s="1"/>
  <c r="F33" i="4"/>
  <c r="C33" i="4"/>
  <c r="AD32" i="4"/>
  <c r="AC32" i="4"/>
  <c r="AA32" i="4"/>
  <c r="X32" i="4"/>
  <c r="W32" i="4"/>
  <c r="U32" i="4"/>
  <c r="R32" i="4"/>
  <c r="N32" i="4"/>
  <c r="O32" i="4" s="1"/>
  <c r="L32" i="4"/>
  <c r="H32" i="4"/>
  <c r="I32" i="4" s="1"/>
  <c r="F32" i="4"/>
  <c r="C32" i="4"/>
  <c r="AD31" i="4"/>
  <c r="AC31" i="4"/>
  <c r="AA31" i="4"/>
  <c r="X31" i="4"/>
  <c r="W31" i="4"/>
  <c r="U31" i="4"/>
  <c r="R31" i="4"/>
  <c r="N31" i="4"/>
  <c r="O31" i="4" s="1"/>
  <c r="L31" i="4"/>
  <c r="I31" i="4"/>
  <c r="H31" i="4"/>
  <c r="F31" i="4"/>
  <c r="C31" i="4"/>
  <c r="AA29" i="4"/>
  <c r="Z29" i="4"/>
  <c r="W29" i="4"/>
  <c r="X29" i="4" s="1"/>
  <c r="T29" i="4"/>
  <c r="U29" i="4" s="1"/>
  <c r="Q29" i="4"/>
  <c r="R29" i="4" s="1"/>
  <c r="L29" i="4"/>
  <c r="K29" i="4"/>
  <c r="N29" i="4" s="1"/>
  <c r="O29" i="4" s="1"/>
  <c r="H29" i="4"/>
  <c r="I29" i="4" s="1"/>
  <c r="E29" i="4"/>
  <c r="F29" i="4" s="1"/>
  <c r="C29" i="4"/>
  <c r="B29" i="4"/>
  <c r="AD28" i="4"/>
  <c r="AC28" i="4"/>
  <c r="AA28" i="4"/>
  <c r="X28" i="4"/>
  <c r="W28" i="4"/>
  <c r="U28" i="4"/>
  <c r="R28" i="4"/>
  <c r="N28" i="4"/>
  <c r="O28" i="4" s="1"/>
  <c r="L28" i="4"/>
  <c r="H28" i="4"/>
  <c r="I28" i="4" s="1"/>
  <c r="F28" i="4"/>
  <c r="C28" i="4"/>
  <c r="AD27" i="4"/>
  <c r="AC27" i="4"/>
  <c r="AA27" i="4"/>
  <c r="X27" i="4"/>
  <c r="W27" i="4"/>
  <c r="U27" i="4"/>
  <c r="R27" i="4"/>
  <c r="N27" i="4"/>
  <c r="O27" i="4" s="1"/>
  <c r="L27" i="4"/>
  <c r="I27" i="4"/>
  <c r="H27" i="4"/>
  <c r="F27" i="4"/>
  <c r="C27" i="4"/>
  <c r="AC26" i="4"/>
  <c r="AD26" i="4" s="1"/>
  <c r="AA26" i="4"/>
  <c r="W26" i="4"/>
  <c r="X26" i="4" s="1"/>
  <c r="U26" i="4"/>
  <c r="R26" i="4"/>
  <c r="O26" i="4"/>
  <c r="N26" i="4"/>
  <c r="L26" i="4"/>
  <c r="I26" i="4"/>
  <c r="H26" i="4"/>
  <c r="F26" i="4"/>
  <c r="C26" i="4"/>
  <c r="AC25" i="4"/>
  <c r="AD25" i="4" s="1"/>
  <c r="AA25" i="4"/>
  <c r="W25" i="4"/>
  <c r="X25" i="4" s="1"/>
  <c r="U25" i="4"/>
  <c r="R25" i="4"/>
  <c r="O25" i="4"/>
  <c r="N25" i="4"/>
  <c r="L25" i="4"/>
  <c r="H25" i="4"/>
  <c r="I25" i="4" s="1"/>
  <c r="F25" i="4"/>
  <c r="C25" i="4"/>
  <c r="AD24" i="4"/>
  <c r="AC24" i="4"/>
  <c r="AA24" i="4"/>
  <c r="X24" i="4"/>
  <c r="W24" i="4"/>
  <c r="U24" i="4"/>
  <c r="R24" i="4"/>
  <c r="N24" i="4"/>
  <c r="O24" i="4" s="1"/>
  <c r="L24" i="4"/>
  <c r="H24" i="4"/>
  <c r="I24" i="4" s="1"/>
  <c r="F24" i="4"/>
  <c r="C24" i="4"/>
  <c r="AC23" i="4"/>
  <c r="AD23" i="4" s="1"/>
  <c r="AA23" i="4"/>
  <c r="X23" i="4"/>
  <c r="W23" i="4"/>
  <c r="U23" i="4"/>
  <c r="R23" i="4"/>
  <c r="N23" i="4"/>
  <c r="O23" i="4" s="1"/>
  <c r="L23" i="4"/>
  <c r="I23" i="4"/>
  <c r="H23" i="4"/>
  <c r="F23" i="4"/>
  <c r="C23" i="4"/>
  <c r="AC22" i="4"/>
  <c r="AD22" i="4" s="1"/>
  <c r="AA22" i="4"/>
  <c r="X22" i="4"/>
  <c r="W22" i="4"/>
  <c r="U22" i="4"/>
  <c r="R22" i="4"/>
  <c r="O22" i="4"/>
  <c r="N22" i="4"/>
  <c r="L22" i="4"/>
  <c r="I22" i="4"/>
  <c r="H22" i="4"/>
  <c r="F22" i="4"/>
  <c r="C22" i="4"/>
  <c r="AC21" i="4"/>
  <c r="AD21" i="4" s="1"/>
  <c r="AA21" i="4"/>
  <c r="W21" i="4"/>
  <c r="X21" i="4" s="1"/>
  <c r="U21" i="4"/>
  <c r="R21" i="4"/>
  <c r="O21" i="4"/>
  <c r="N21" i="4"/>
  <c r="L21" i="4"/>
  <c r="H21" i="4"/>
  <c r="I21" i="4" s="1"/>
  <c r="F21" i="4"/>
  <c r="C21" i="4"/>
  <c r="AD19" i="4"/>
  <c r="AC19" i="4"/>
  <c r="AA19" i="4"/>
  <c r="X19" i="4"/>
  <c r="W19" i="4"/>
  <c r="U19" i="4"/>
  <c r="R19" i="4"/>
  <c r="N19" i="4"/>
  <c r="O19" i="4" s="1"/>
  <c r="L19" i="4"/>
  <c r="H19" i="4"/>
  <c r="I19" i="4" s="1"/>
  <c r="F19" i="4"/>
  <c r="C19" i="4"/>
  <c r="Z18" i="4"/>
  <c r="AA18" i="4" s="1"/>
  <c r="T18" i="4"/>
  <c r="U18" i="4" s="1"/>
  <c r="Q18" i="4"/>
  <c r="N18" i="4"/>
  <c r="O18" i="4" s="1"/>
  <c r="K18" i="4"/>
  <c r="L18" i="4" s="1"/>
  <c r="F18" i="4"/>
  <c r="E18" i="4"/>
  <c r="C18" i="4"/>
  <c r="B18" i="4"/>
  <c r="AC17" i="4"/>
  <c r="AD17" i="4" s="1"/>
  <c r="AA17" i="4"/>
  <c r="W17" i="4"/>
  <c r="X17" i="4" s="1"/>
  <c r="U17" i="4"/>
  <c r="R17" i="4"/>
  <c r="O17" i="4"/>
  <c r="N17" i="4"/>
  <c r="L17" i="4"/>
  <c r="H17" i="4"/>
  <c r="I17" i="4" s="1"/>
  <c r="F17" i="4"/>
  <c r="C17" i="4"/>
  <c r="AC16" i="4"/>
  <c r="AD16" i="4" s="1"/>
  <c r="AA16" i="4"/>
  <c r="X16" i="4"/>
  <c r="W16" i="4"/>
  <c r="U16" i="4"/>
  <c r="R16" i="4"/>
  <c r="O16" i="4"/>
  <c r="N16" i="4"/>
  <c r="L16" i="4"/>
  <c r="H16" i="4"/>
  <c r="I16" i="4" s="1"/>
  <c r="F16" i="4"/>
  <c r="C16" i="4"/>
  <c r="AD15" i="4"/>
  <c r="AC15" i="4"/>
  <c r="AA15" i="4"/>
  <c r="X15" i="4"/>
  <c r="W15" i="4"/>
  <c r="U15" i="4"/>
  <c r="R15" i="4"/>
  <c r="N15" i="4"/>
  <c r="O15" i="4" s="1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O14" i="4"/>
  <c r="N14" i="4"/>
  <c r="L14" i="4"/>
  <c r="I14" i="4"/>
  <c r="H14" i="4"/>
  <c r="F14" i="4"/>
  <c r="C14" i="4"/>
  <c r="AC13" i="4"/>
  <c r="AD13" i="4" s="1"/>
  <c r="AA13" i="4"/>
  <c r="W13" i="4"/>
  <c r="X13" i="4" s="1"/>
  <c r="U13" i="4"/>
  <c r="R13" i="4"/>
  <c r="O13" i="4"/>
  <c r="N13" i="4"/>
  <c r="L13" i="4"/>
  <c r="H13" i="4"/>
  <c r="I13" i="4" s="1"/>
  <c r="F13" i="4"/>
  <c r="C13" i="4"/>
  <c r="AD12" i="4"/>
  <c r="AC12" i="4"/>
  <c r="AA12" i="4"/>
  <c r="X12" i="4"/>
  <c r="W12" i="4"/>
  <c r="U12" i="4"/>
  <c r="R12" i="4"/>
  <c r="O12" i="4"/>
  <c r="N12" i="4"/>
  <c r="L12" i="4"/>
  <c r="H12" i="4"/>
  <c r="I12" i="4" s="1"/>
  <c r="F12" i="4"/>
  <c r="C12" i="4"/>
  <c r="AD11" i="4"/>
  <c r="AC11" i="4"/>
  <c r="AA11" i="4"/>
  <c r="X11" i="4"/>
  <c r="W11" i="4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O10" i="4"/>
  <c r="N10" i="4"/>
  <c r="L10" i="4"/>
  <c r="I10" i="4"/>
  <c r="H10" i="4"/>
  <c r="F10" i="4"/>
  <c r="C10" i="4"/>
  <c r="AC8" i="4"/>
  <c r="AD8" i="4" s="1"/>
  <c r="AA8" i="4"/>
  <c r="W8" i="4"/>
  <c r="X8" i="4" s="1"/>
  <c r="U8" i="4"/>
  <c r="R8" i="4"/>
  <c r="O8" i="4"/>
  <c r="N8" i="4"/>
  <c r="L8" i="4"/>
  <c r="H8" i="4"/>
  <c r="I8" i="4" s="1"/>
  <c r="F8" i="4"/>
  <c r="C8" i="4"/>
  <c r="AC444" i="3"/>
  <c r="W444" i="3"/>
  <c r="N444" i="3"/>
  <c r="H444" i="3"/>
  <c r="I438" i="3" s="1"/>
  <c r="AC442" i="3"/>
  <c r="AD442" i="3" s="1"/>
  <c r="Z442" i="3"/>
  <c r="AA442" i="3" s="1"/>
  <c r="T442" i="3"/>
  <c r="U442" i="3" s="1"/>
  <c r="R442" i="3"/>
  <c r="Q442" i="3"/>
  <c r="W442" i="3" s="1"/>
  <c r="K442" i="3"/>
  <c r="L442" i="3" s="1"/>
  <c r="E442" i="3"/>
  <c r="F442" i="3" s="1"/>
  <c r="B442" i="3"/>
  <c r="C442" i="3" s="1"/>
  <c r="AA441" i="3"/>
  <c r="Z441" i="3"/>
  <c r="W441" i="3"/>
  <c r="T441" i="3"/>
  <c r="U441" i="3" s="1"/>
  <c r="Q441" i="3"/>
  <c r="R441" i="3" s="1"/>
  <c r="L441" i="3"/>
  <c r="K441" i="3"/>
  <c r="E441" i="3"/>
  <c r="F441" i="3" s="1"/>
  <c r="B441" i="3"/>
  <c r="C441" i="3" s="1"/>
  <c r="AC440" i="3"/>
  <c r="AD440" i="3" s="1"/>
  <c r="AA440" i="3"/>
  <c r="W440" i="3"/>
  <c r="U440" i="3"/>
  <c r="R440" i="3"/>
  <c r="N440" i="3"/>
  <c r="O440" i="3" s="1"/>
  <c r="L440" i="3"/>
  <c r="H440" i="3"/>
  <c r="I440" i="3" s="1"/>
  <c r="F440" i="3"/>
  <c r="C440" i="3"/>
  <c r="AD439" i="3"/>
  <c r="AC439" i="3"/>
  <c r="AA439" i="3"/>
  <c r="W439" i="3"/>
  <c r="U439" i="3"/>
  <c r="R439" i="3"/>
  <c r="N439" i="3"/>
  <c r="O439" i="3" s="1"/>
  <c r="L439" i="3"/>
  <c r="H439" i="3"/>
  <c r="I439" i="3" s="1"/>
  <c r="F439" i="3"/>
  <c r="C439" i="3"/>
  <c r="AC438" i="3"/>
  <c r="AD438" i="3" s="1"/>
  <c r="AA438" i="3"/>
  <c r="W438" i="3"/>
  <c r="X438" i="3" s="1"/>
  <c r="U438" i="3"/>
  <c r="R438" i="3"/>
  <c r="O438" i="3"/>
  <c r="N438" i="3"/>
  <c r="L438" i="3"/>
  <c r="H438" i="3"/>
  <c r="F438" i="3"/>
  <c r="C438" i="3"/>
  <c r="AC437" i="3"/>
  <c r="AD437" i="3" s="1"/>
  <c r="AA437" i="3"/>
  <c r="W437" i="3"/>
  <c r="U437" i="3"/>
  <c r="R437" i="3"/>
  <c r="O437" i="3"/>
  <c r="N437" i="3"/>
  <c r="L437" i="3"/>
  <c r="H437" i="3"/>
  <c r="I437" i="3" s="1"/>
  <c r="F437" i="3"/>
  <c r="C437" i="3"/>
  <c r="AD436" i="3"/>
  <c r="AC436" i="3"/>
  <c r="AA436" i="3"/>
  <c r="X436" i="3"/>
  <c r="W436" i="3"/>
  <c r="U436" i="3"/>
  <c r="R436" i="3"/>
  <c r="N436" i="3"/>
  <c r="O436" i="3" s="1"/>
  <c r="L436" i="3"/>
  <c r="H436" i="3"/>
  <c r="F436" i="3"/>
  <c r="C436" i="3"/>
  <c r="AC435" i="3"/>
  <c r="AD435" i="3" s="1"/>
  <c r="AA435" i="3"/>
  <c r="W435" i="3"/>
  <c r="U435" i="3"/>
  <c r="R435" i="3"/>
  <c r="N435" i="3"/>
  <c r="O435" i="3" s="1"/>
  <c r="L435" i="3"/>
  <c r="H435" i="3"/>
  <c r="I435" i="3" s="1"/>
  <c r="F435" i="3"/>
  <c r="C435" i="3"/>
  <c r="AC434" i="3"/>
  <c r="AD434" i="3" s="1"/>
  <c r="AA434" i="3"/>
  <c r="W434" i="3"/>
  <c r="U434" i="3"/>
  <c r="R434" i="3"/>
  <c r="O434" i="3"/>
  <c r="N434" i="3"/>
  <c r="L434" i="3"/>
  <c r="I434" i="3"/>
  <c r="H434" i="3"/>
  <c r="F434" i="3"/>
  <c r="C434" i="3"/>
  <c r="AC433" i="3"/>
  <c r="AD433" i="3" s="1"/>
  <c r="AA433" i="3"/>
  <c r="W433" i="3"/>
  <c r="U433" i="3"/>
  <c r="R433" i="3"/>
  <c r="O433" i="3"/>
  <c r="N433" i="3"/>
  <c r="L433" i="3"/>
  <c r="H433" i="3"/>
  <c r="I433" i="3" s="1"/>
  <c r="F433" i="3"/>
  <c r="C433" i="3"/>
  <c r="AC432" i="3"/>
  <c r="AD432" i="3" s="1"/>
  <c r="AA432" i="3"/>
  <c r="W432" i="3"/>
  <c r="U432" i="3"/>
  <c r="R432" i="3"/>
  <c r="O432" i="3"/>
  <c r="N432" i="3"/>
  <c r="L432" i="3"/>
  <c r="H432" i="3"/>
  <c r="F432" i="3"/>
  <c r="C432" i="3"/>
  <c r="AA429" i="3"/>
  <c r="Z429" i="3"/>
  <c r="W429" i="3"/>
  <c r="X429" i="3" s="1"/>
  <c r="T429" i="3"/>
  <c r="U429" i="3" s="1"/>
  <c r="Q429" i="3"/>
  <c r="R429" i="3" s="1"/>
  <c r="K429" i="3"/>
  <c r="L429" i="3" s="1"/>
  <c r="E429" i="3"/>
  <c r="F429" i="3" s="1"/>
  <c r="B429" i="3"/>
  <c r="N429" i="3" s="1"/>
  <c r="O429" i="3" s="1"/>
  <c r="AC428" i="3"/>
  <c r="AD428" i="3" s="1"/>
  <c r="Z428" i="3"/>
  <c r="AA428" i="3" s="1"/>
  <c r="T428" i="3"/>
  <c r="U428" i="3" s="1"/>
  <c r="Q428" i="3"/>
  <c r="R428" i="3" s="1"/>
  <c r="K428" i="3"/>
  <c r="L428" i="3" s="1"/>
  <c r="H428" i="3"/>
  <c r="I428" i="3" s="1"/>
  <c r="E428" i="3"/>
  <c r="F428" i="3" s="1"/>
  <c r="B428" i="3"/>
  <c r="C428" i="3" s="1"/>
  <c r="AD427" i="3"/>
  <c r="AC427" i="3"/>
  <c r="AA427" i="3"/>
  <c r="W427" i="3"/>
  <c r="U427" i="3"/>
  <c r="R427" i="3"/>
  <c r="N427" i="3"/>
  <c r="O427" i="3" s="1"/>
  <c r="L427" i="3"/>
  <c r="H427" i="3"/>
  <c r="I427" i="3" s="1"/>
  <c r="F427" i="3"/>
  <c r="C427" i="3"/>
  <c r="AC426" i="3"/>
  <c r="AD426" i="3" s="1"/>
  <c r="AA426" i="3"/>
  <c r="W426" i="3"/>
  <c r="X426" i="3" s="1"/>
  <c r="U426" i="3"/>
  <c r="R426" i="3"/>
  <c r="O426" i="3"/>
  <c r="N426" i="3"/>
  <c r="L426" i="3"/>
  <c r="H426" i="3"/>
  <c r="F426" i="3"/>
  <c r="C426" i="3"/>
  <c r="AC425" i="3"/>
  <c r="AD425" i="3" s="1"/>
  <c r="AA425" i="3"/>
  <c r="W425" i="3"/>
  <c r="U425" i="3"/>
  <c r="R425" i="3"/>
  <c r="O425" i="3"/>
  <c r="N425" i="3"/>
  <c r="L425" i="3"/>
  <c r="H425" i="3"/>
  <c r="I425" i="3" s="1"/>
  <c r="F425" i="3"/>
  <c r="C425" i="3"/>
  <c r="AD424" i="3"/>
  <c r="AC424" i="3"/>
  <c r="AA424" i="3"/>
  <c r="X424" i="3"/>
  <c r="W424" i="3"/>
  <c r="U424" i="3"/>
  <c r="R424" i="3"/>
  <c r="O424" i="3"/>
  <c r="N424" i="3"/>
  <c r="L424" i="3"/>
  <c r="H424" i="3"/>
  <c r="F424" i="3"/>
  <c r="C424" i="3"/>
  <c r="AC423" i="3"/>
  <c r="AD423" i="3" s="1"/>
  <c r="AA423" i="3"/>
  <c r="W423" i="3"/>
  <c r="U423" i="3"/>
  <c r="R423" i="3"/>
  <c r="N423" i="3"/>
  <c r="O423" i="3" s="1"/>
  <c r="L423" i="3"/>
  <c r="I423" i="3"/>
  <c r="H423" i="3"/>
  <c r="F423" i="3"/>
  <c r="C423" i="3"/>
  <c r="AC422" i="3"/>
  <c r="AD422" i="3" s="1"/>
  <c r="AA422" i="3"/>
  <c r="W422" i="3"/>
  <c r="X422" i="3" s="1"/>
  <c r="U422" i="3"/>
  <c r="R422" i="3"/>
  <c r="O422" i="3"/>
  <c r="N422" i="3"/>
  <c r="L422" i="3"/>
  <c r="I422" i="3"/>
  <c r="H422" i="3"/>
  <c r="F422" i="3"/>
  <c r="C422" i="3"/>
  <c r="AC421" i="3"/>
  <c r="AD421" i="3" s="1"/>
  <c r="AA421" i="3"/>
  <c r="W421" i="3"/>
  <c r="U421" i="3"/>
  <c r="R421" i="3"/>
  <c r="O421" i="3"/>
  <c r="N421" i="3"/>
  <c r="L421" i="3"/>
  <c r="H421" i="3"/>
  <c r="I421" i="3" s="1"/>
  <c r="F421" i="3"/>
  <c r="C421" i="3"/>
  <c r="AC420" i="3"/>
  <c r="AD420" i="3" s="1"/>
  <c r="AA420" i="3"/>
  <c r="W420" i="3"/>
  <c r="U420" i="3"/>
  <c r="R420" i="3"/>
  <c r="O420" i="3"/>
  <c r="N420" i="3"/>
  <c r="L420" i="3"/>
  <c r="H420" i="3"/>
  <c r="F420" i="3"/>
  <c r="C420" i="3"/>
  <c r="AD419" i="3"/>
  <c r="AC419" i="3"/>
  <c r="AA419" i="3"/>
  <c r="W419" i="3"/>
  <c r="U419" i="3"/>
  <c r="R419" i="3"/>
  <c r="N419" i="3"/>
  <c r="O419" i="3" s="1"/>
  <c r="L419" i="3"/>
  <c r="I419" i="3"/>
  <c r="H419" i="3"/>
  <c r="F419" i="3"/>
  <c r="C419" i="3"/>
  <c r="AC418" i="3"/>
  <c r="AD418" i="3" s="1"/>
  <c r="AA418" i="3"/>
  <c r="W418" i="3"/>
  <c r="X418" i="3" s="1"/>
  <c r="U418" i="3"/>
  <c r="R418" i="3"/>
  <c r="O418" i="3"/>
  <c r="N418" i="3"/>
  <c r="L418" i="3"/>
  <c r="H418" i="3"/>
  <c r="I418" i="3" s="1"/>
  <c r="F418" i="3"/>
  <c r="C418" i="3"/>
  <c r="AC417" i="3"/>
  <c r="AD417" i="3" s="1"/>
  <c r="AA417" i="3"/>
  <c r="W417" i="3"/>
  <c r="X417" i="3" s="1"/>
  <c r="U417" i="3"/>
  <c r="R417" i="3"/>
  <c r="O417" i="3"/>
  <c r="N417" i="3"/>
  <c r="L417" i="3"/>
  <c r="H417" i="3"/>
  <c r="F417" i="3"/>
  <c r="C417" i="3"/>
  <c r="AC416" i="3"/>
  <c r="AD416" i="3" s="1"/>
  <c r="AA416" i="3"/>
  <c r="W416" i="3"/>
  <c r="U416" i="3"/>
  <c r="R416" i="3"/>
  <c r="O416" i="3"/>
  <c r="N416" i="3"/>
  <c r="L416" i="3"/>
  <c r="H416" i="3"/>
  <c r="I416" i="3" s="1"/>
  <c r="F416" i="3"/>
  <c r="C416" i="3"/>
  <c r="AD415" i="3"/>
  <c r="AC415" i="3"/>
  <c r="AA415" i="3"/>
  <c r="W415" i="3"/>
  <c r="U415" i="3"/>
  <c r="R415" i="3"/>
  <c r="N415" i="3"/>
  <c r="O415" i="3" s="1"/>
  <c r="L415" i="3"/>
  <c r="H415" i="3"/>
  <c r="I415" i="3" s="1"/>
  <c r="F415" i="3"/>
  <c r="C415" i="3"/>
  <c r="AC414" i="3"/>
  <c r="AD414" i="3" s="1"/>
  <c r="AA414" i="3"/>
  <c r="W414" i="3"/>
  <c r="U414" i="3"/>
  <c r="R414" i="3"/>
  <c r="O414" i="3"/>
  <c r="N414" i="3"/>
  <c r="L414" i="3"/>
  <c r="H414" i="3"/>
  <c r="I414" i="3" s="1"/>
  <c r="F414" i="3"/>
  <c r="C414" i="3"/>
  <c r="AC413" i="3"/>
  <c r="AD413" i="3" s="1"/>
  <c r="AA413" i="3"/>
  <c r="W413" i="3"/>
  <c r="U413" i="3"/>
  <c r="R413" i="3"/>
  <c r="O413" i="3"/>
  <c r="N413" i="3"/>
  <c r="L413" i="3"/>
  <c r="H413" i="3"/>
  <c r="I413" i="3" s="1"/>
  <c r="F413" i="3"/>
  <c r="C413" i="3"/>
  <c r="AD412" i="3"/>
  <c r="AC412" i="3"/>
  <c r="AA412" i="3"/>
  <c r="W412" i="3"/>
  <c r="U412" i="3"/>
  <c r="R412" i="3"/>
  <c r="N412" i="3"/>
  <c r="O412" i="3" s="1"/>
  <c r="L412" i="3"/>
  <c r="H412" i="3"/>
  <c r="I412" i="3" s="1"/>
  <c r="F412" i="3"/>
  <c r="C412" i="3"/>
  <c r="AD411" i="3"/>
  <c r="AC411" i="3"/>
  <c r="AA411" i="3"/>
  <c r="W411" i="3"/>
  <c r="U411" i="3"/>
  <c r="R411" i="3"/>
  <c r="N411" i="3"/>
  <c r="O411" i="3" s="1"/>
  <c r="L411" i="3"/>
  <c r="H411" i="3"/>
  <c r="I411" i="3" s="1"/>
  <c r="F411" i="3"/>
  <c r="C411" i="3"/>
  <c r="AC410" i="3"/>
  <c r="AD410" i="3" s="1"/>
  <c r="AA410" i="3"/>
  <c r="X410" i="3"/>
  <c r="W410" i="3"/>
  <c r="U410" i="3"/>
  <c r="R410" i="3"/>
  <c r="O410" i="3"/>
  <c r="N410" i="3"/>
  <c r="L410" i="3"/>
  <c r="H410" i="3"/>
  <c r="I410" i="3" s="1"/>
  <c r="F410" i="3"/>
  <c r="C410" i="3"/>
  <c r="AC409" i="3"/>
  <c r="AD409" i="3" s="1"/>
  <c r="AA409" i="3"/>
  <c r="W409" i="3"/>
  <c r="U409" i="3"/>
  <c r="R409" i="3"/>
  <c r="O409" i="3"/>
  <c r="N409" i="3"/>
  <c r="L409" i="3"/>
  <c r="H409" i="3"/>
  <c r="I409" i="3" s="1"/>
  <c r="F409" i="3"/>
  <c r="C409" i="3"/>
  <c r="AC408" i="3"/>
  <c r="AD408" i="3" s="1"/>
  <c r="AA408" i="3"/>
  <c r="W408" i="3"/>
  <c r="U408" i="3"/>
  <c r="R408" i="3"/>
  <c r="O408" i="3"/>
  <c r="N408" i="3"/>
  <c r="L408" i="3"/>
  <c r="H408" i="3"/>
  <c r="F408" i="3"/>
  <c r="C408" i="3"/>
  <c r="AC407" i="3"/>
  <c r="AD407" i="3" s="1"/>
  <c r="AA407" i="3"/>
  <c r="W407" i="3"/>
  <c r="U407" i="3"/>
  <c r="R407" i="3"/>
  <c r="O407" i="3"/>
  <c r="N407" i="3"/>
  <c r="L407" i="3"/>
  <c r="H407" i="3"/>
  <c r="F407" i="3"/>
  <c r="C407" i="3"/>
  <c r="Z403" i="3"/>
  <c r="AA403" i="3" s="1"/>
  <c r="U403" i="3"/>
  <c r="T403" i="3"/>
  <c r="Q403" i="3"/>
  <c r="K403" i="3"/>
  <c r="L403" i="3" s="1"/>
  <c r="I403" i="3"/>
  <c r="H403" i="3"/>
  <c r="F403" i="3"/>
  <c r="E403" i="3"/>
  <c r="B403" i="3"/>
  <c r="C403" i="3" s="1"/>
  <c r="AC402" i="3"/>
  <c r="AD402" i="3" s="1"/>
  <c r="AA402" i="3"/>
  <c r="W402" i="3"/>
  <c r="X402" i="3" s="1"/>
  <c r="U402" i="3"/>
  <c r="R402" i="3"/>
  <c r="O402" i="3"/>
  <c r="N402" i="3"/>
  <c r="L402" i="3"/>
  <c r="H402" i="3"/>
  <c r="I402" i="3" s="1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H401" i="3"/>
  <c r="F401" i="3"/>
  <c r="C401" i="3"/>
  <c r="AC400" i="3"/>
  <c r="AD400" i="3" s="1"/>
  <c r="AA400" i="3"/>
  <c r="W400" i="3"/>
  <c r="U400" i="3"/>
  <c r="R400" i="3"/>
  <c r="O400" i="3"/>
  <c r="N400" i="3"/>
  <c r="L400" i="3"/>
  <c r="H400" i="3"/>
  <c r="I400" i="3" s="1"/>
  <c r="F400" i="3"/>
  <c r="C400" i="3"/>
  <c r="AD399" i="3"/>
  <c r="AC399" i="3"/>
  <c r="AA399" i="3"/>
  <c r="W399" i="3"/>
  <c r="U399" i="3"/>
  <c r="R399" i="3"/>
  <c r="O399" i="3"/>
  <c r="N399" i="3"/>
  <c r="L399" i="3"/>
  <c r="I399" i="3"/>
  <c r="H399" i="3"/>
  <c r="F399" i="3"/>
  <c r="C399" i="3"/>
  <c r="AC398" i="3"/>
  <c r="AD398" i="3" s="1"/>
  <c r="AA398" i="3"/>
  <c r="W398" i="3"/>
  <c r="U398" i="3"/>
  <c r="R398" i="3"/>
  <c r="O398" i="3"/>
  <c r="N398" i="3"/>
  <c r="L398" i="3"/>
  <c r="I398" i="3"/>
  <c r="H398" i="3"/>
  <c r="F398" i="3"/>
  <c r="C398" i="3"/>
  <c r="AC397" i="3"/>
  <c r="AD397" i="3" s="1"/>
  <c r="AA397" i="3"/>
  <c r="W397" i="3"/>
  <c r="U397" i="3"/>
  <c r="R397" i="3"/>
  <c r="O397" i="3"/>
  <c r="N397" i="3"/>
  <c r="L397" i="3"/>
  <c r="H397" i="3"/>
  <c r="I397" i="3" s="1"/>
  <c r="F397" i="3"/>
  <c r="C397" i="3"/>
  <c r="Z396" i="3"/>
  <c r="AA396" i="3" s="1"/>
  <c r="W396" i="3"/>
  <c r="X396" i="3" s="1"/>
  <c r="T396" i="3"/>
  <c r="U396" i="3" s="1"/>
  <c r="R396" i="3"/>
  <c r="Q396" i="3"/>
  <c r="AC396" i="3" s="1"/>
  <c r="AD396" i="3" s="1"/>
  <c r="K396" i="3"/>
  <c r="L396" i="3" s="1"/>
  <c r="H396" i="3"/>
  <c r="I396" i="3" s="1"/>
  <c r="E396" i="3"/>
  <c r="F396" i="3" s="1"/>
  <c r="B396" i="3"/>
  <c r="C396" i="3" s="1"/>
  <c r="AC395" i="3"/>
  <c r="AD395" i="3" s="1"/>
  <c r="AA395" i="3"/>
  <c r="W395" i="3"/>
  <c r="U395" i="3"/>
  <c r="R395" i="3"/>
  <c r="O395" i="3"/>
  <c r="N395" i="3"/>
  <c r="L395" i="3"/>
  <c r="I395" i="3"/>
  <c r="H395" i="3"/>
  <c r="F395" i="3"/>
  <c r="C395" i="3"/>
  <c r="AC394" i="3"/>
  <c r="AD394" i="3" s="1"/>
  <c r="AA394" i="3"/>
  <c r="W394" i="3"/>
  <c r="U394" i="3"/>
  <c r="R394" i="3"/>
  <c r="O394" i="3"/>
  <c r="N394" i="3"/>
  <c r="L394" i="3"/>
  <c r="H394" i="3"/>
  <c r="I394" i="3" s="1"/>
  <c r="F394" i="3"/>
  <c r="C394" i="3"/>
  <c r="Z393" i="3"/>
  <c r="AA393" i="3" s="1"/>
  <c r="W393" i="3"/>
  <c r="X393" i="3" s="1"/>
  <c r="T393" i="3"/>
  <c r="U393" i="3" s="1"/>
  <c r="R393" i="3"/>
  <c r="Q393" i="3"/>
  <c r="AC393" i="3" s="1"/>
  <c r="AD393" i="3" s="1"/>
  <c r="K393" i="3"/>
  <c r="L393" i="3" s="1"/>
  <c r="H393" i="3"/>
  <c r="I393" i="3" s="1"/>
  <c r="E393" i="3"/>
  <c r="F393" i="3" s="1"/>
  <c r="B393" i="3"/>
  <c r="C393" i="3" s="1"/>
  <c r="AC392" i="3"/>
  <c r="AD392" i="3" s="1"/>
  <c r="AA392" i="3"/>
  <c r="W392" i="3"/>
  <c r="U392" i="3"/>
  <c r="R392" i="3"/>
  <c r="O392" i="3"/>
  <c r="N392" i="3"/>
  <c r="L392" i="3"/>
  <c r="I392" i="3"/>
  <c r="H392" i="3"/>
  <c r="F392" i="3"/>
  <c r="C392" i="3"/>
  <c r="AC391" i="3"/>
  <c r="AD391" i="3" s="1"/>
  <c r="AA391" i="3"/>
  <c r="W391" i="3"/>
  <c r="U391" i="3"/>
  <c r="R391" i="3"/>
  <c r="O391" i="3"/>
  <c r="N391" i="3"/>
  <c r="L391" i="3"/>
  <c r="H391" i="3"/>
  <c r="I391" i="3" s="1"/>
  <c r="F391" i="3"/>
  <c r="C391" i="3"/>
  <c r="AD390" i="3"/>
  <c r="AC390" i="3"/>
  <c r="AA390" i="3"/>
  <c r="X390" i="3"/>
  <c r="W390" i="3"/>
  <c r="U390" i="3"/>
  <c r="R390" i="3"/>
  <c r="O390" i="3"/>
  <c r="N390" i="3"/>
  <c r="L390" i="3"/>
  <c r="H390" i="3"/>
  <c r="F390" i="3"/>
  <c r="C390" i="3"/>
  <c r="AC389" i="3"/>
  <c r="AD389" i="3" s="1"/>
  <c r="AA389" i="3"/>
  <c r="W389" i="3"/>
  <c r="U389" i="3"/>
  <c r="R389" i="3"/>
  <c r="N389" i="3"/>
  <c r="O389" i="3" s="1"/>
  <c r="L389" i="3"/>
  <c r="I389" i="3"/>
  <c r="H389" i="3"/>
  <c r="F389" i="3"/>
  <c r="C389" i="3"/>
  <c r="AC388" i="3"/>
  <c r="AD388" i="3" s="1"/>
  <c r="AA388" i="3"/>
  <c r="W388" i="3"/>
  <c r="X388" i="3" s="1"/>
  <c r="U388" i="3"/>
  <c r="R388" i="3"/>
  <c r="O388" i="3"/>
  <c r="N388" i="3"/>
  <c r="L388" i="3"/>
  <c r="H388" i="3"/>
  <c r="I388" i="3" s="1"/>
  <c r="F388" i="3"/>
  <c r="C388" i="3"/>
  <c r="AD386" i="3"/>
  <c r="AC386" i="3"/>
  <c r="AA386" i="3"/>
  <c r="X386" i="3"/>
  <c r="W386" i="3"/>
  <c r="U386" i="3"/>
  <c r="R386" i="3"/>
  <c r="O386" i="3"/>
  <c r="N386" i="3"/>
  <c r="L386" i="3"/>
  <c r="H386" i="3"/>
  <c r="I386" i="3" s="1"/>
  <c r="F386" i="3"/>
  <c r="C386" i="3"/>
  <c r="AD385" i="3"/>
  <c r="AC385" i="3"/>
  <c r="AA385" i="3"/>
  <c r="W385" i="3"/>
  <c r="U385" i="3"/>
  <c r="R385" i="3"/>
  <c r="N385" i="3"/>
  <c r="O385" i="3" s="1"/>
  <c r="L385" i="3"/>
  <c r="I385" i="3"/>
  <c r="H385" i="3"/>
  <c r="F385" i="3"/>
  <c r="C385" i="3"/>
  <c r="AC383" i="3"/>
  <c r="AD383" i="3" s="1"/>
  <c r="AA383" i="3"/>
  <c r="W383" i="3"/>
  <c r="X383" i="3" s="1"/>
  <c r="U383" i="3"/>
  <c r="R383" i="3"/>
  <c r="O383" i="3"/>
  <c r="N383" i="3"/>
  <c r="L383" i="3"/>
  <c r="I383" i="3"/>
  <c r="H383" i="3"/>
  <c r="F383" i="3"/>
  <c r="C383" i="3"/>
  <c r="AC382" i="3"/>
  <c r="AD382" i="3" s="1"/>
  <c r="AA382" i="3"/>
  <c r="W382" i="3"/>
  <c r="X382" i="3" s="1"/>
  <c r="U382" i="3"/>
  <c r="R382" i="3"/>
  <c r="O382" i="3"/>
  <c r="N382" i="3"/>
  <c r="L382" i="3"/>
  <c r="H382" i="3"/>
  <c r="I382" i="3" s="1"/>
  <c r="F382" i="3"/>
  <c r="C382" i="3"/>
  <c r="AD381" i="3"/>
  <c r="AC381" i="3"/>
  <c r="AA381" i="3"/>
  <c r="X381" i="3"/>
  <c r="W381" i="3"/>
  <c r="U381" i="3"/>
  <c r="R381" i="3"/>
  <c r="N381" i="3"/>
  <c r="O381" i="3" s="1"/>
  <c r="L381" i="3"/>
  <c r="H381" i="3"/>
  <c r="I381" i="3" s="1"/>
  <c r="F381" i="3"/>
  <c r="C381" i="3"/>
  <c r="AD380" i="3"/>
  <c r="AC380" i="3"/>
  <c r="AA380" i="3"/>
  <c r="W380" i="3"/>
  <c r="U380" i="3"/>
  <c r="R380" i="3"/>
  <c r="N380" i="3"/>
  <c r="O380" i="3" s="1"/>
  <c r="L380" i="3"/>
  <c r="I380" i="3"/>
  <c r="H380" i="3"/>
  <c r="F380" i="3"/>
  <c r="C380" i="3"/>
  <c r="AC379" i="3"/>
  <c r="AD379" i="3" s="1"/>
  <c r="AA379" i="3"/>
  <c r="W379" i="3"/>
  <c r="X379" i="3" s="1"/>
  <c r="U379" i="3"/>
  <c r="R379" i="3"/>
  <c r="O379" i="3"/>
  <c r="N379" i="3"/>
  <c r="L379" i="3"/>
  <c r="I379" i="3"/>
  <c r="H379" i="3"/>
  <c r="F379" i="3"/>
  <c r="C379" i="3"/>
  <c r="AC378" i="3"/>
  <c r="AD378" i="3" s="1"/>
  <c r="AA378" i="3"/>
  <c r="W378" i="3"/>
  <c r="X378" i="3" s="1"/>
  <c r="U378" i="3"/>
  <c r="R378" i="3"/>
  <c r="O378" i="3"/>
  <c r="N378" i="3"/>
  <c r="L378" i="3"/>
  <c r="H378" i="3"/>
  <c r="I378" i="3" s="1"/>
  <c r="F378" i="3"/>
  <c r="C378" i="3"/>
  <c r="AD377" i="3"/>
  <c r="AC377" i="3"/>
  <c r="AA377" i="3"/>
  <c r="X377" i="3"/>
  <c r="W377" i="3"/>
  <c r="U377" i="3"/>
  <c r="R377" i="3"/>
  <c r="N377" i="3"/>
  <c r="O377" i="3" s="1"/>
  <c r="L377" i="3"/>
  <c r="H377" i="3"/>
  <c r="I377" i="3" s="1"/>
  <c r="F377" i="3"/>
  <c r="C377" i="3"/>
  <c r="AD376" i="3"/>
  <c r="AC376" i="3"/>
  <c r="AA376" i="3"/>
  <c r="W376" i="3"/>
  <c r="U376" i="3"/>
  <c r="R376" i="3"/>
  <c r="N376" i="3"/>
  <c r="O376" i="3" s="1"/>
  <c r="L376" i="3"/>
  <c r="I376" i="3"/>
  <c r="H376" i="3"/>
  <c r="F376" i="3"/>
  <c r="C376" i="3"/>
  <c r="AC375" i="3"/>
  <c r="AD375" i="3" s="1"/>
  <c r="AA375" i="3"/>
  <c r="W375" i="3"/>
  <c r="X375" i="3" s="1"/>
  <c r="U375" i="3"/>
  <c r="R375" i="3"/>
  <c r="O375" i="3"/>
  <c r="N375" i="3"/>
  <c r="L375" i="3"/>
  <c r="I375" i="3"/>
  <c r="H375" i="3"/>
  <c r="F375" i="3"/>
  <c r="C375" i="3"/>
  <c r="AC374" i="3"/>
  <c r="AD374" i="3" s="1"/>
  <c r="AA374" i="3"/>
  <c r="W374" i="3"/>
  <c r="X374" i="3" s="1"/>
  <c r="U374" i="3"/>
  <c r="R374" i="3"/>
  <c r="O374" i="3"/>
  <c r="N374" i="3"/>
  <c r="L374" i="3"/>
  <c r="H374" i="3"/>
  <c r="I374" i="3" s="1"/>
  <c r="F374" i="3"/>
  <c r="C374" i="3"/>
  <c r="AD373" i="3"/>
  <c r="AC373" i="3"/>
  <c r="AA373" i="3"/>
  <c r="X373" i="3"/>
  <c r="W373" i="3"/>
  <c r="U373" i="3"/>
  <c r="R373" i="3"/>
  <c r="N373" i="3"/>
  <c r="O373" i="3" s="1"/>
  <c r="L373" i="3"/>
  <c r="H373" i="3"/>
  <c r="I373" i="3" s="1"/>
  <c r="F373" i="3"/>
  <c r="C373" i="3"/>
  <c r="AD372" i="3"/>
  <c r="AC372" i="3"/>
  <c r="AA372" i="3"/>
  <c r="W372" i="3"/>
  <c r="U372" i="3"/>
  <c r="R372" i="3"/>
  <c r="N372" i="3"/>
  <c r="O372" i="3" s="1"/>
  <c r="L372" i="3"/>
  <c r="I372" i="3"/>
  <c r="H372" i="3"/>
  <c r="F372" i="3"/>
  <c r="C372" i="3"/>
  <c r="AC371" i="3"/>
  <c r="AD371" i="3" s="1"/>
  <c r="AA371" i="3"/>
  <c r="W371" i="3"/>
  <c r="X371" i="3" s="1"/>
  <c r="U371" i="3"/>
  <c r="R371" i="3"/>
  <c r="O371" i="3"/>
  <c r="N371" i="3"/>
  <c r="L371" i="3"/>
  <c r="I371" i="3"/>
  <c r="H371" i="3"/>
  <c r="F371" i="3"/>
  <c r="C371" i="3"/>
  <c r="AC370" i="3"/>
  <c r="AD370" i="3" s="1"/>
  <c r="AA370" i="3"/>
  <c r="W370" i="3"/>
  <c r="X370" i="3" s="1"/>
  <c r="U370" i="3"/>
  <c r="R370" i="3"/>
  <c r="O370" i="3"/>
  <c r="N370" i="3"/>
  <c r="L370" i="3"/>
  <c r="H370" i="3"/>
  <c r="I370" i="3" s="1"/>
  <c r="F370" i="3"/>
  <c r="C370" i="3"/>
  <c r="AD369" i="3"/>
  <c r="AC369" i="3"/>
  <c r="AA369" i="3"/>
  <c r="X369" i="3"/>
  <c r="W369" i="3"/>
  <c r="U369" i="3"/>
  <c r="R369" i="3"/>
  <c r="N369" i="3"/>
  <c r="O369" i="3" s="1"/>
  <c r="L369" i="3"/>
  <c r="H369" i="3"/>
  <c r="I369" i="3" s="1"/>
  <c r="F369" i="3"/>
  <c r="C369" i="3"/>
  <c r="AA368" i="3"/>
  <c r="Z368" i="3"/>
  <c r="W368" i="3"/>
  <c r="X368" i="3" s="1"/>
  <c r="T368" i="3"/>
  <c r="U368" i="3" s="1"/>
  <c r="R368" i="3"/>
  <c r="Q368" i="3"/>
  <c r="AC368" i="3" s="1"/>
  <c r="AD368" i="3" s="1"/>
  <c r="K368" i="3"/>
  <c r="L368" i="3" s="1"/>
  <c r="F368" i="3"/>
  <c r="E368" i="3"/>
  <c r="H368" i="3" s="1"/>
  <c r="I368" i="3" s="1"/>
  <c r="C368" i="3"/>
  <c r="B368" i="3"/>
  <c r="N368" i="3" s="1"/>
  <c r="O368" i="3" s="1"/>
  <c r="AC367" i="3"/>
  <c r="AD367" i="3" s="1"/>
  <c r="AA367" i="3"/>
  <c r="W367" i="3"/>
  <c r="X367" i="3" s="1"/>
  <c r="U367" i="3"/>
  <c r="R367" i="3"/>
  <c r="O367" i="3"/>
  <c r="N367" i="3"/>
  <c r="L367" i="3"/>
  <c r="H367" i="3"/>
  <c r="I367" i="3" s="1"/>
  <c r="F367" i="3"/>
  <c r="C367" i="3"/>
  <c r="AD366" i="3"/>
  <c r="AC366" i="3"/>
  <c r="AA366" i="3"/>
  <c r="X366" i="3"/>
  <c r="W366" i="3"/>
  <c r="U366" i="3"/>
  <c r="R366" i="3"/>
  <c r="N366" i="3"/>
  <c r="O366" i="3" s="1"/>
  <c r="L366" i="3"/>
  <c r="H366" i="3"/>
  <c r="I366" i="3" s="1"/>
  <c r="F366" i="3"/>
  <c r="C366" i="3"/>
  <c r="AC365" i="3"/>
  <c r="AD365" i="3" s="1"/>
  <c r="AA365" i="3"/>
  <c r="W365" i="3"/>
  <c r="U365" i="3"/>
  <c r="R365" i="3"/>
  <c r="N365" i="3"/>
  <c r="O365" i="3" s="1"/>
  <c r="L365" i="3"/>
  <c r="I365" i="3"/>
  <c r="H365" i="3"/>
  <c r="F365" i="3"/>
  <c r="C365" i="3"/>
  <c r="AC364" i="3"/>
  <c r="AD364" i="3" s="1"/>
  <c r="AA364" i="3"/>
  <c r="W364" i="3"/>
  <c r="X364" i="3" s="1"/>
  <c r="U364" i="3"/>
  <c r="R364" i="3"/>
  <c r="O364" i="3"/>
  <c r="N364" i="3"/>
  <c r="L364" i="3"/>
  <c r="H364" i="3"/>
  <c r="I364" i="3" s="1"/>
  <c r="F364" i="3"/>
  <c r="C364" i="3"/>
  <c r="AC363" i="3"/>
  <c r="AD363" i="3" s="1"/>
  <c r="AA363" i="3"/>
  <c r="W363" i="3"/>
  <c r="X363" i="3" s="1"/>
  <c r="U363" i="3"/>
  <c r="R363" i="3"/>
  <c r="O363" i="3"/>
  <c r="N363" i="3"/>
  <c r="L363" i="3"/>
  <c r="H363" i="3"/>
  <c r="I363" i="3" s="1"/>
  <c r="F363" i="3"/>
  <c r="C363" i="3"/>
  <c r="AD362" i="3"/>
  <c r="AC362" i="3"/>
  <c r="AA362" i="3"/>
  <c r="X362" i="3"/>
  <c r="W362" i="3"/>
  <c r="U362" i="3"/>
  <c r="R362" i="3"/>
  <c r="N362" i="3"/>
  <c r="O362" i="3" s="1"/>
  <c r="L362" i="3"/>
  <c r="H362" i="3"/>
  <c r="I362" i="3" s="1"/>
  <c r="F362" i="3"/>
  <c r="C362" i="3"/>
  <c r="AD361" i="3"/>
  <c r="AC361" i="3"/>
  <c r="AA361" i="3"/>
  <c r="W361" i="3"/>
  <c r="U361" i="3"/>
  <c r="R361" i="3"/>
  <c r="N361" i="3"/>
  <c r="O361" i="3" s="1"/>
  <c r="L361" i="3"/>
  <c r="I361" i="3"/>
  <c r="H361" i="3"/>
  <c r="F361" i="3"/>
  <c r="C361" i="3"/>
  <c r="AC360" i="3"/>
  <c r="AD360" i="3" s="1"/>
  <c r="AA360" i="3"/>
  <c r="W360" i="3"/>
  <c r="X360" i="3" s="1"/>
  <c r="U360" i="3"/>
  <c r="R360" i="3"/>
  <c r="O360" i="3"/>
  <c r="N360" i="3"/>
  <c r="L360" i="3"/>
  <c r="I360" i="3"/>
  <c r="H360" i="3"/>
  <c r="F360" i="3"/>
  <c r="C360" i="3"/>
  <c r="Z358" i="3"/>
  <c r="AA358" i="3" s="1"/>
  <c r="U358" i="3"/>
  <c r="T358" i="3"/>
  <c r="Q358" i="3"/>
  <c r="L358" i="3"/>
  <c r="K358" i="3"/>
  <c r="E358" i="3"/>
  <c r="F358" i="3" s="1"/>
  <c r="B358" i="3"/>
  <c r="C358" i="3" s="1"/>
  <c r="AC357" i="3"/>
  <c r="AD357" i="3" s="1"/>
  <c r="AA357" i="3"/>
  <c r="W357" i="3"/>
  <c r="U357" i="3"/>
  <c r="R357" i="3"/>
  <c r="N357" i="3"/>
  <c r="O357" i="3" s="1"/>
  <c r="L357" i="3"/>
  <c r="I357" i="3"/>
  <c r="H357" i="3"/>
  <c r="F357" i="3"/>
  <c r="C357" i="3"/>
  <c r="AC356" i="3"/>
  <c r="AD356" i="3" s="1"/>
  <c r="AA356" i="3"/>
  <c r="W356" i="3"/>
  <c r="X356" i="3" s="1"/>
  <c r="U356" i="3"/>
  <c r="R356" i="3"/>
  <c r="O356" i="3"/>
  <c r="N356" i="3"/>
  <c r="L356" i="3"/>
  <c r="H356" i="3"/>
  <c r="I356" i="3" s="1"/>
  <c r="F356" i="3"/>
  <c r="C356" i="3"/>
  <c r="AC355" i="3"/>
  <c r="AD355" i="3" s="1"/>
  <c r="AA355" i="3"/>
  <c r="W355" i="3"/>
  <c r="X355" i="3" s="1"/>
  <c r="U355" i="3"/>
  <c r="R355" i="3"/>
  <c r="O355" i="3"/>
  <c r="N355" i="3"/>
  <c r="L355" i="3"/>
  <c r="H355" i="3"/>
  <c r="I355" i="3" s="1"/>
  <c r="F355" i="3"/>
  <c r="C355" i="3"/>
  <c r="AD354" i="3"/>
  <c r="AC354" i="3"/>
  <c r="AA354" i="3"/>
  <c r="X354" i="3"/>
  <c r="W354" i="3"/>
  <c r="U354" i="3"/>
  <c r="R354" i="3"/>
  <c r="N354" i="3"/>
  <c r="O354" i="3" s="1"/>
  <c r="L354" i="3"/>
  <c r="H354" i="3"/>
  <c r="I354" i="3" s="1"/>
  <c r="F354" i="3"/>
  <c r="C354" i="3"/>
  <c r="AD353" i="3"/>
  <c r="AC353" i="3"/>
  <c r="AA353" i="3"/>
  <c r="W353" i="3"/>
  <c r="U353" i="3"/>
  <c r="R353" i="3"/>
  <c r="N353" i="3"/>
  <c r="O353" i="3" s="1"/>
  <c r="L353" i="3"/>
  <c r="I353" i="3"/>
  <c r="H353" i="3"/>
  <c r="F353" i="3"/>
  <c r="C353" i="3"/>
  <c r="AC352" i="3"/>
  <c r="AD352" i="3" s="1"/>
  <c r="AA352" i="3"/>
  <c r="W352" i="3"/>
  <c r="X352" i="3" s="1"/>
  <c r="U352" i="3"/>
  <c r="R352" i="3"/>
  <c r="O352" i="3"/>
  <c r="N352" i="3"/>
  <c r="L352" i="3"/>
  <c r="I352" i="3"/>
  <c r="H352" i="3"/>
  <c r="F352" i="3"/>
  <c r="C352" i="3"/>
  <c r="AC351" i="3"/>
  <c r="AD351" i="3" s="1"/>
  <c r="AA351" i="3"/>
  <c r="W351" i="3"/>
  <c r="X351" i="3" s="1"/>
  <c r="U351" i="3"/>
  <c r="R351" i="3"/>
  <c r="O351" i="3"/>
  <c r="N351" i="3"/>
  <c r="L351" i="3"/>
  <c r="H351" i="3"/>
  <c r="I351" i="3" s="1"/>
  <c r="F351" i="3"/>
  <c r="C351" i="3"/>
  <c r="AD350" i="3"/>
  <c r="AC350" i="3"/>
  <c r="AA350" i="3"/>
  <c r="X350" i="3"/>
  <c r="W350" i="3"/>
  <c r="U350" i="3"/>
  <c r="R350" i="3"/>
  <c r="N350" i="3"/>
  <c r="O350" i="3" s="1"/>
  <c r="L350" i="3"/>
  <c r="H350" i="3"/>
  <c r="I350" i="3" s="1"/>
  <c r="F350" i="3"/>
  <c r="C350" i="3"/>
  <c r="AD349" i="3"/>
  <c r="AC349" i="3"/>
  <c r="AA349" i="3"/>
  <c r="W349" i="3"/>
  <c r="U349" i="3"/>
  <c r="R349" i="3"/>
  <c r="O349" i="3"/>
  <c r="N349" i="3"/>
  <c r="L349" i="3"/>
  <c r="I349" i="3"/>
  <c r="H349" i="3"/>
  <c r="F349" i="3"/>
  <c r="C349" i="3"/>
  <c r="AC347" i="3"/>
  <c r="AD347" i="3" s="1"/>
  <c r="AA347" i="3"/>
  <c r="W347" i="3"/>
  <c r="X347" i="3" s="1"/>
  <c r="U347" i="3"/>
  <c r="R347" i="3"/>
  <c r="O347" i="3"/>
  <c r="N347" i="3"/>
  <c r="L347" i="3"/>
  <c r="I347" i="3"/>
  <c r="H347" i="3"/>
  <c r="F347" i="3"/>
  <c r="C347" i="3"/>
  <c r="AA344" i="3"/>
  <c r="Z344" i="3"/>
  <c r="W344" i="3"/>
  <c r="X344" i="3" s="1"/>
  <c r="T344" i="3"/>
  <c r="U344" i="3" s="1"/>
  <c r="Q344" i="3"/>
  <c r="R344" i="3" s="1"/>
  <c r="K344" i="3"/>
  <c r="L344" i="3" s="1"/>
  <c r="E344" i="3"/>
  <c r="H344" i="3" s="1"/>
  <c r="I344" i="3" s="1"/>
  <c r="C344" i="3"/>
  <c r="B344" i="3"/>
  <c r="N344" i="3" s="1"/>
  <c r="O344" i="3" s="1"/>
  <c r="AC343" i="3"/>
  <c r="AD343" i="3" s="1"/>
  <c r="Z343" i="3"/>
  <c r="AA343" i="3" s="1"/>
  <c r="U343" i="3"/>
  <c r="T343" i="3"/>
  <c r="Q343" i="3"/>
  <c r="K343" i="3"/>
  <c r="L343" i="3" s="1"/>
  <c r="E343" i="3"/>
  <c r="F343" i="3" s="1"/>
  <c r="B343" i="3"/>
  <c r="C343" i="3" s="1"/>
  <c r="AA342" i="3"/>
  <c r="Z342" i="3"/>
  <c r="W342" i="3"/>
  <c r="X342" i="3" s="1"/>
  <c r="T342" i="3"/>
  <c r="U342" i="3" s="1"/>
  <c r="Q342" i="3"/>
  <c r="K342" i="3"/>
  <c r="L342" i="3" s="1"/>
  <c r="E342" i="3"/>
  <c r="F342" i="3" s="1"/>
  <c r="C342" i="3"/>
  <c r="B342" i="3"/>
  <c r="N342" i="3" s="1"/>
  <c r="O342" i="3" s="1"/>
  <c r="AC341" i="3"/>
  <c r="AD341" i="3" s="1"/>
  <c r="AA341" i="3"/>
  <c r="X341" i="3"/>
  <c r="W341" i="3"/>
  <c r="U341" i="3"/>
  <c r="R341" i="3"/>
  <c r="O341" i="3"/>
  <c r="N341" i="3"/>
  <c r="L341" i="3"/>
  <c r="H341" i="3"/>
  <c r="I341" i="3" s="1"/>
  <c r="F341" i="3"/>
  <c r="C341" i="3"/>
  <c r="AD340" i="3"/>
  <c r="AC340" i="3"/>
  <c r="AA340" i="3"/>
  <c r="X340" i="3"/>
  <c r="W340" i="3"/>
  <c r="U340" i="3"/>
  <c r="R340" i="3"/>
  <c r="O340" i="3"/>
  <c r="N340" i="3"/>
  <c r="L340" i="3"/>
  <c r="H340" i="3"/>
  <c r="I340" i="3" s="1"/>
  <c r="F340" i="3"/>
  <c r="C340" i="3"/>
  <c r="AC339" i="3"/>
  <c r="AD339" i="3" s="1"/>
  <c r="AA339" i="3"/>
  <c r="W339" i="3"/>
  <c r="U339" i="3"/>
  <c r="R339" i="3"/>
  <c r="N339" i="3"/>
  <c r="O339" i="3" s="1"/>
  <c r="L339" i="3"/>
  <c r="I339" i="3"/>
  <c r="H339" i="3"/>
  <c r="F339" i="3"/>
  <c r="C339" i="3"/>
  <c r="AC338" i="3"/>
  <c r="AD338" i="3" s="1"/>
  <c r="AA338" i="3"/>
  <c r="W338" i="3"/>
  <c r="X338" i="3" s="1"/>
  <c r="U338" i="3"/>
  <c r="R338" i="3"/>
  <c r="O338" i="3"/>
  <c r="N338" i="3"/>
  <c r="L338" i="3"/>
  <c r="H338" i="3"/>
  <c r="I338" i="3" s="1"/>
  <c r="F338" i="3"/>
  <c r="C338" i="3"/>
  <c r="AC337" i="3"/>
  <c r="AD337" i="3" s="1"/>
  <c r="AA337" i="3"/>
  <c r="W337" i="3"/>
  <c r="X337" i="3" s="1"/>
  <c r="U337" i="3"/>
  <c r="R337" i="3"/>
  <c r="O337" i="3"/>
  <c r="N337" i="3"/>
  <c r="L337" i="3"/>
  <c r="H337" i="3"/>
  <c r="I337" i="3" s="1"/>
  <c r="F337" i="3"/>
  <c r="C337" i="3"/>
  <c r="AD335" i="3"/>
  <c r="AC335" i="3"/>
  <c r="AA335" i="3"/>
  <c r="X335" i="3"/>
  <c r="W335" i="3"/>
  <c r="U335" i="3"/>
  <c r="R335" i="3"/>
  <c r="O335" i="3"/>
  <c r="N335" i="3"/>
  <c r="L335" i="3"/>
  <c r="H335" i="3"/>
  <c r="I335" i="3" s="1"/>
  <c r="F335" i="3"/>
  <c r="C335" i="3"/>
  <c r="AD334" i="3"/>
  <c r="AC334" i="3"/>
  <c r="AA334" i="3"/>
  <c r="W334" i="3"/>
  <c r="U334" i="3"/>
  <c r="R334" i="3"/>
  <c r="N334" i="3"/>
  <c r="O334" i="3" s="1"/>
  <c r="L334" i="3"/>
  <c r="I334" i="3"/>
  <c r="H334" i="3"/>
  <c r="F334" i="3"/>
  <c r="C334" i="3"/>
  <c r="AC333" i="3"/>
  <c r="AD333" i="3" s="1"/>
  <c r="AA333" i="3"/>
  <c r="W333" i="3"/>
  <c r="X333" i="3" s="1"/>
  <c r="U333" i="3"/>
  <c r="R333" i="3"/>
  <c r="O333" i="3"/>
  <c r="N333" i="3"/>
  <c r="L333" i="3"/>
  <c r="H333" i="3"/>
  <c r="I333" i="3" s="1"/>
  <c r="F333" i="3"/>
  <c r="C333" i="3"/>
  <c r="AC332" i="3"/>
  <c r="AD332" i="3" s="1"/>
  <c r="AA332" i="3"/>
  <c r="W332" i="3"/>
  <c r="X332" i="3" s="1"/>
  <c r="U332" i="3"/>
  <c r="R332" i="3"/>
  <c r="O332" i="3"/>
  <c r="N332" i="3"/>
  <c r="L332" i="3"/>
  <c r="H332" i="3"/>
  <c r="I332" i="3" s="1"/>
  <c r="F332" i="3"/>
  <c r="C332" i="3"/>
  <c r="AD331" i="3"/>
  <c r="AC331" i="3"/>
  <c r="AA331" i="3"/>
  <c r="X331" i="3"/>
  <c r="W331" i="3"/>
  <c r="U331" i="3"/>
  <c r="R331" i="3"/>
  <c r="O331" i="3"/>
  <c r="N331" i="3"/>
  <c r="L331" i="3"/>
  <c r="H331" i="3"/>
  <c r="I331" i="3" s="1"/>
  <c r="F331" i="3"/>
  <c r="C331" i="3"/>
  <c r="AD330" i="3"/>
  <c r="AC330" i="3"/>
  <c r="AA330" i="3"/>
  <c r="W330" i="3"/>
  <c r="U330" i="3"/>
  <c r="R330" i="3"/>
  <c r="N330" i="3"/>
  <c r="O330" i="3" s="1"/>
  <c r="L330" i="3"/>
  <c r="I330" i="3"/>
  <c r="H330" i="3"/>
  <c r="F330" i="3"/>
  <c r="C330" i="3"/>
  <c r="AC329" i="3"/>
  <c r="AD329" i="3" s="1"/>
  <c r="AA329" i="3"/>
  <c r="X329" i="3"/>
  <c r="W329" i="3"/>
  <c r="U329" i="3"/>
  <c r="R329" i="3"/>
  <c r="O329" i="3"/>
  <c r="N329" i="3"/>
  <c r="L329" i="3"/>
  <c r="H329" i="3"/>
  <c r="I329" i="3" s="1"/>
  <c r="F329" i="3"/>
  <c r="C329" i="3"/>
  <c r="AC328" i="3"/>
  <c r="AD328" i="3" s="1"/>
  <c r="AA328" i="3"/>
  <c r="W328" i="3"/>
  <c r="X328" i="3" s="1"/>
  <c r="U328" i="3"/>
  <c r="R328" i="3"/>
  <c r="O328" i="3"/>
  <c r="N328" i="3"/>
  <c r="L328" i="3"/>
  <c r="H328" i="3"/>
  <c r="I328" i="3" s="1"/>
  <c r="F328" i="3"/>
  <c r="C328" i="3"/>
  <c r="Z325" i="3"/>
  <c r="AA325" i="3" s="1"/>
  <c r="T325" i="3"/>
  <c r="W325" i="3" s="1"/>
  <c r="X325" i="3" s="1"/>
  <c r="R325" i="3"/>
  <c r="Q325" i="3"/>
  <c r="K325" i="3"/>
  <c r="L325" i="3" s="1"/>
  <c r="I325" i="3"/>
  <c r="H325" i="3"/>
  <c r="F325" i="3"/>
  <c r="E325" i="3"/>
  <c r="B325" i="3"/>
  <c r="C325" i="3" s="1"/>
  <c r="AA324" i="3"/>
  <c r="Z324" i="3"/>
  <c r="T324" i="3"/>
  <c r="U324" i="3" s="1"/>
  <c r="Q324" i="3"/>
  <c r="AC324" i="3" s="1"/>
  <c r="AD324" i="3" s="1"/>
  <c r="L324" i="3"/>
  <c r="K324" i="3"/>
  <c r="E324" i="3"/>
  <c r="F324" i="3" s="1"/>
  <c r="B324" i="3"/>
  <c r="H324" i="3" s="1"/>
  <c r="I324" i="3" s="1"/>
  <c r="AD323" i="3"/>
  <c r="AC323" i="3"/>
  <c r="AA323" i="3"/>
  <c r="X323" i="3"/>
  <c r="W323" i="3"/>
  <c r="U323" i="3"/>
  <c r="R323" i="3"/>
  <c r="N323" i="3"/>
  <c r="O323" i="3" s="1"/>
  <c r="L323" i="3"/>
  <c r="H323" i="3"/>
  <c r="I323" i="3" s="1"/>
  <c r="F323" i="3"/>
  <c r="C323" i="3"/>
  <c r="AD322" i="3"/>
  <c r="AC322" i="3"/>
  <c r="AA322" i="3"/>
  <c r="W322" i="3"/>
  <c r="U322" i="3"/>
  <c r="R322" i="3"/>
  <c r="O322" i="3"/>
  <c r="N322" i="3"/>
  <c r="L322" i="3"/>
  <c r="I322" i="3"/>
  <c r="H322" i="3"/>
  <c r="F322" i="3"/>
  <c r="C322" i="3"/>
  <c r="AC321" i="3"/>
  <c r="AD321" i="3" s="1"/>
  <c r="AA321" i="3"/>
  <c r="W321" i="3"/>
  <c r="X321" i="3" s="1"/>
  <c r="U321" i="3"/>
  <c r="R321" i="3"/>
  <c r="O321" i="3"/>
  <c r="N321" i="3"/>
  <c r="L321" i="3"/>
  <c r="I321" i="3"/>
  <c r="H321" i="3"/>
  <c r="F321" i="3"/>
  <c r="C321" i="3"/>
  <c r="AC320" i="3"/>
  <c r="AD320" i="3" s="1"/>
  <c r="AA320" i="3"/>
  <c r="X320" i="3"/>
  <c r="W320" i="3"/>
  <c r="U320" i="3"/>
  <c r="R320" i="3"/>
  <c r="O320" i="3"/>
  <c r="N320" i="3"/>
  <c r="L320" i="3"/>
  <c r="H320" i="3"/>
  <c r="I320" i="3" s="1"/>
  <c r="F320" i="3"/>
  <c r="C320" i="3"/>
  <c r="AD319" i="3"/>
  <c r="AC319" i="3"/>
  <c r="AA319" i="3"/>
  <c r="X319" i="3"/>
  <c r="W319" i="3"/>
  <c r="U319" i="3"/>
  <c r="R319" i="3"/>
  <c r="N319" i="3"/>
  <c r="O319" i="3" s="1"/>
  <c r="L319" i="3"/>
  <c r="H319" i="3"/>
  <c r="I319" i="3" s="1"/>
  <c r="F319" i="3"/>
  <c r="C319" i="3"/>
  <c r="AD318" i="3"/>
  <c r="AC318" i="3"/>
  <c r="AA318" i="3"/>
  <c r="W318" i="3"/>
  <c r="U318" i="3"/>
  <c r="R318" i="3"/>
  <c r="N318" i="3"/>
  <c r="O318" i="3" s="1"/>
  <c r="L318" i="3"/>
  <c r="I318" i="3"/>
  <c r="H318" i="3"/>
  <c r="F318" i="3"/>
  <c r="C318" i="3"/>
  <c r="AC317" i="3"/>
  <c r="AD317" i="3" s="1"/>
  <c r="AA317" i="3"/>
  <c r="W317" i="3"/>
  <c r="X317" i="3" s="1"/>
  <c r="U317" i="3"/>
  <c r="R317" i="3"/>
  <c r="O317" i="3"/>
  <c r="N317" i="3"/>
  <c r="L317" i="3"/>
  <c r="H317" i="3"/>
  <c r="I317" i="3" s="1"/>
  <c r="F317" i="3"/>
  <c r="C317" i="3"/>
  <c r="AC316" i="3"/>
  <c r="AD316" i="3" s="1"/>
  <c r="AA316" i="3"/>
  <c r="W316" i="3"/>
  <c r="X316" i="3" s="1"/>
  <c r="U316" i="3"/>
  <c r="R316" i="3"/>
  <c r="O316" i="3"/>
  <c r="N316" i="3"/>
  <c r="L316" i="3"/>
  <c r="H316" i="3"/>
  <c r="I316" i="3" s="1"/>
  <c r="F316" i="3"/>
  <c r="C316" i="3"/>
  <c r="AD315" i="3"/>
  <c r="AC315" i="3"/>
  <c r="AA315" i="3"/>
  <c r="X315" i="3"/>
  <c r="W315" i="3"/>
  <c r="U315" i="3"/>
  <c r="R315" i="3"/>
  <c r="O315" i="3"/>
  <c r="N315" i="3"/>
  <c r="L315" i="3"/>
  <c r="H315" i="3"/>
  <c r="I315" i="3" s="1"/>
  <c r="F315" i="3"/>
  <c r="C315" i="3"/>
  <c r="AD314" i="3"/>
  <c r="AC314" i="3"/>
  <c r="AA314" i="3"/>
  <c r="W314" i="3"/>
  <c r="U314" i="3"/>
  <c r="R314" i="3"/>
  <c r="O314" i="3"/>
  <c r="N314" i="3"/>
  <c r="L314" i="3"/>
  <c r="I314" i="3"/>
  <c r="H314" i="3"/>
  <c r="F314" i="3"/>
  <c r="C314" i="3"/>
  <c r="AC313" i="3"/>
  <c r="AD313" i="3" s="1"/>
  <c r="AA313" i="3"/>
  <c r="W313" i="3"/>
  <c r="X313" i="3" s="1"/>
  <c r="U313" i="3"/>
  <c r="R313" i="3"/>
  <c r="O313" i="3"/>
  <c r="N313" i="3"/>
  <c r="L313" i="3"/>
  <c r="I313" i="3"/>
  <c r="H313" i="3"/>
  <c r="F313" i="3"/>
  <c r="C313" i="3"/>
  <c r="AC312" i="3"/>
  <c r="AD312" i="3" s="1"/>
  <c r="AA312" i="3"/>
  <c r="W312" i="3"/>
  <c r="X312" i="3" s="1"/>
  <c r="U312" i="3"/>
  <c r="R312" i="3"/>
  <c r="O312" i="3"/>
  <c r="N312" i="3"/>
  <c r="L312" i="3"/>
  <c r="H312" i="3"/>
  <c r="I312" i="3" s="1"/>
  <c r="F312" i="3"/>
  <c r="C312" i="3"/>
  <c r="AD311" i="3"/>
  <c r="AC311" i="3"/>
  <c r="AA311" i="3"/>
  <c r="X311" i="3"/>
  <c r="W311" i="3"/>
  <c r="U311" i="3"/>
  <c r="R311" i="3"/>
  <c r="O311" i="3"/>
  <c r="N311" i="3"/>
  <c r="L311" i="3"/>
  <c r="H311" i="3"/>
  <c r="I311" i="3" s="1"/>
  <c r="F311" i="3"/>
  <c r="C311" i="3"/>
  <c r="AC310" i="3"/>
  <c r="AD310" i="3" s="1"/>
  <c r="AA310" i="3"/>
  <c r="W310" i="3"/>
  <c r="U310" i="3"/>
  <c r="R310" i="3"/>
  <c r="N310" i="3"/>
  <c r="O310" i="3" s="1"/>
  <c r="L310" i="3"/>
  <c r="I310" i="3"/>
  <c r="H310" i="3"/>
  <c r="F310" i="3"/>
  <c r="C310" i="3"/>
  <c r="AC309" i="3"/>
  <c r="AD309" i="3" s="1"/>
  <c r="AA309" i="3"/>
  <c r="X309" i="3"/>
  <c r="W309" i="3"/>
  <c r="U309" i="3"/>
  <c r="R309" i="3"/>
  <c r="O309" i="3"/>
  <c r="N309" i="3"/>
  <c r="L309" i="3"/>
  <c r="H309" i="3"/>
  <c r="I309" i="3" s="1"/>
  <c r="F309" i="3"/>
  <c r="C309" i="3"/>
  <c r="AC308" i="3"/>
  <c r="AD308" i="3" s="1"/>
  <c r="AA308" i="3"/>
  <c r="W308" i="3"/>
  <c r="X308" i="3" s="1"/>
  <c r="U308" i="3"/>
  <c r="R308" i="3"/>
  <c r="O308" i="3"/>
  <c r="N308" i="3"/>
  <c r="L308" i="3"/>
  <c r="H308" i="3"/>
  <c r="I308" i="3" s="1"/>
  <c r="F308" i="3"/>
  <c r="C308" i="3"/>
  <c r="AD307" i="3"/>
  <c r="AC307" i="3"/>
  <c r="AA307" i="3"/>
  <c r="X307" i="3"/>
  <c r="W307" i="3"/>
  <c r="U307" i="3"/>
  <c r="R307" i="3"/>
  <c r="O307" i="3"/>
  <c r="N307" i="3"/>
  <c r="L307" i="3"/>
  <c r="H307" i="3"/>
  <c r="I307" i="3" s="1"/>
  <c r="F307" i="3"/>
  <c r="C307" i="3"/>
  <c r="AD306" i="3"/>
  <c r="AC306" i="3"/>
  <c r="AA306" i="3"/>
  <c r="W306" i="3"/>
  <c r="U306" i="3"/>
  <c r="R306" i="3"/>
  <c r="N306" i="3"/>
  <c r="O306" i="3" s="1"/>
  <c r="L306" i="3"/>
  <c r="I306" i="3"/>
  <c r="H306" i="3"/>
  <c r="F306" i="3"/>
  <c r="C306" i="3"/>
  <c r="AC305" i="3"/>
  <c r="AD305" i="3" s="1"/>
  <c r="AA305" i="3"/>
  <c r="X305" i="3"/>
  <c r="W305" i="3"/>
  <c r="U305" i="3"/>
  <c r="R305" i="3"/>
  <c r="O305" i="3"/>
  <c r="N305" i="3"/>
  <c r="L305" i="3"/>
  <c r="H305" i="3"/>
  <c r="I305" i="3" s="1"/>
  <c r="F305" i="3"/>
  <c r="C305" i="3"/>
  <c r="AC304" i="3"/>
  <c r="AD304" i="3" s="1"/>
  <c r="AA304" i="3"/>
  <c r="X304" i="3"/>
  <c r="W304" i="3"/>
  <c r="U304" i="3"/>
  <c r="R304" i="3"/>
  <c r="O304" i="3"/>
  <c r="N304" i="3"/>
  <c r="L304" i="3"/>
  <c r="H304" i="3"/>
  <c r="I304" i="3" s="1"/>
  <c r="F304" i="3"/>
  <c r="C304" i="3"/>
  <c r="AD303" i="3"/>
  <c r="AC303" i="3"/>
  <c r="AA303" i="3"/>
  <c r="X303" i="3"/>
  <c r="W303" i="3"/>
  <c r="U303" i="3"/>
  <c r="R303" i="3"/>
  <c r="O303" i="3"/>
  <c r="N303" i="3"/>
  <c r="L303" i="3"/>
  <c r="H303" i="3"/>
  <c r="I303" i="3" s="1"/>
  <c r="F303" i="3"/>
  <c r="C303" i="3"/>
  <c r="AC302" i="3"/>
  <c r="AD302" i="3" s="1"/>
  <c r="AA302" i="3"/>
  <c r="W302" i="3"/>
  <c r="U302" i="3"/>
  <c r="R302" i="3"/>
  <c r="N302" i="3"/>
  <c r="O302" i="3" s="1"/>
  <c r="L302" i="3"/>
  <c r="I302" i="3"/>
  <c r="H302" i="3"/>
  <c r="F302" i="3"/>
  <c r="C302" i="3"/>
  <c r="AC301" i="3"/>
  <c r="AD301" i="3" s="1"/>
  <c r="AA301" i="3"/>
  <c r="X301" i="3"/>
  <c r="W301" i="3"/>
  <c r="U301" i="3"/>
  <c r="R301" i="3"/>
  <c r="O301" i="3"/>
  <c r="N301" i="3"/>
  <c r="L301" i="3"/>
  <c r="H301" i="3"/>
  <c r="I301" i="3" s="1"/>
  <c r="F301" i="3"/>
  <c r="C301" i="3"/>
  <c r="AC300" i="3"/>
  <c r="AD300" i="3" s="1"/>
  <c r="AA300" i="3"/>
  <c r="X300" i="3"/>
  <c r="W300" i="3"/>
  <c r="U300" i="3"/>
  <c r="R300" i="3"/>
  <c r="O300" i="3"/>
  <c r="N300" i="3"/>
  <c r="L300" i="3"/>
  <c r="H300" i="3"/>
  <c r="I300" i="3" s="1"/>
  <c r="F300" i="3"/>
  <c r="C300" i="3"/>
  <c r="AD299" i="3"/>
  <c r="AC299" i="3"/>
  <c r="AA299" i="3"/>
  <c r="X299" i="3"/>
  <c r="W299" i="3"/>
  <c r="U299" i="3"/>
  <c r="R299" i="3"/>
  <c r="O299" i="3"/>
  <c r="N299" i="3"/>
  <c r="L299" i="3"/>
  <c r="H299" i="3"/>
  <c r="I299" i="3" s="1"/>
  <c r="F299" i="3"/>
  <c r="C299" i="3"/>
  <c r="AC298" i="3"/>
  <c r="AD298" i="3" s="1"/>
  <c r="AA298" i="3"/>
  <c r="W298" i="3"/>
  <c r="U298" i="3"/>
  <c r="R298" i="3"/>
  <c r="O298" i="3"/>
  <c r="N298" i="3"/>
  <c r="L298" i="3"/>
  <c r="I298" i="3"/>
  <c r="H298" i="3"/>
  <c r="F298" i="3"/>
  <c r="C298" i="3"/>
  <c r="AC297" i="3"/>
  <c r="AD297" i="3" s="1"/>
  <c r="AA297" i="3"/>
  <c r="X297" i="3"/>
  <c r="W297" i="3"/>
  <c r="U297" i="3"/>
  <c r="R297" i="3"/>
  <c r="O297" i="3"/>
  <c r="N297" i="3"/>
  <c r="L297" i="3"/>
  <c r="I297" i="3"/>
  <c r="H297" i="3"/>
  <c r="F297" i="3"/>
  <c r="C297" i="3"/>
  <c r="Z295" i="3"/>
  <c r="AA295" i="3" s="1"/>
  <c r="U295" i="3"/>
  <c r="T295" i="3"/>
  <c r="Q295" i="3"/>
  <c r="R295" i="3" s="1"/>
  <c r="L295" i="3"/>
  <c r="K295" i="3"/>
  <c r="E295" i="3"/>
  <c r="F295" i="3" s="1"/>
  <c r="B295" i="3"/>
  <c r="N295" i="3" s="1"/>
  <c r="O295" i="3" s="1"/>
  <c r="AC294" i="3"/>
  <c r="AD294" i="3" s="1"/>
  <c r="AA294" i="3"/>
  <c r="W294" i="3"/>
  <c r="U294" i="3"/>
  <c r="R294" i="3"/>
  <c r="N294" i="3"/>
  <c r="O294" i="3" s="1"/>
  <c r="L294" i="3"/>
  <c r="I294" i="3"/>
  <c r="H294" i="3"/>
  <c r="F294" i="3"/>
  <c r="C294" i="3"/>
  <c r="AC293" i="3"/>
  <c r="AD293" i="3" s="1"/>
  <c r="AA293" i="3"/>
  <c r="X293" i="3"/>
  <c r="W293" i="3"/>
  <c r="U293" i="3"/>
  <c r="R293" i="3"/>
  <c r="O293" i="3"/>
  <c r="N293" i="3"/>
  <c r="L293" i="3"/>
  <c r="H293" i="3"/>
  <c r="I293" i="3" s="1"/>
  <c r="F293" i="3"/>
  <c r="C293" i="3"/>
  <c r="AC292" i="3"/>
  <c r="AD292" i="3" s="1"/>
  <c r="AA292" i="3"/>
  <c r="W292" i="3"/>
  <c r="X292" i="3" s="1"/>
  <c r="U292" i="3"/>
  <c r="R292" i="3"/>
  <c r="O292" i="3"/>
  <c r="N292" i="3"/>
  <c r="L292" i="3"/>
  <c r="H292" i="3"/>
  <c r="I292" i="3" s="1"/>
  <c r="F292" i="3"/>
  <c r="C292" i="3"/>
  <c r="AD291" i="3"/>
  <c r="AC291" i="3"/>
  <c r="AA291" i="3"/>
  <c r="X291" i="3"/>
  <c r="W291" i="3"/>
  <c r="U291" i="3"/>
  <c r="R291" i="3"/>
  <c r="O291" i="3"/>
  <c r="N291" i="3"/>
  <c r="L291" i="3"/>
  <c r="H291" i="3"/>
  <c r="I291" i="3" s="1"/>
  <c r="F291" i="3"/>
  <c r="C291" i="3"/>
  <c r="AD290" i="3"/>
  <c r="AC290" i="3"/>
  <c r="AA290" i="3"/>
  <c r="W290" i="3"/>
  <c r="U290" i="3"/>
  <c r="R290" i="3"/>
  <c r="N290" i="3"/>
  <c r="O290" i="3" s="1"/>
  <c r="L290" i="3"/>
  <c r="I290" i="3"/>
  <c r="H290" i="3"/>
  <c r="F290" i="3"/>
  <c r="C290" i="3"/>
  <c r="AC289" i="3"/>
  <c r="AD289" i="3" s="1"/>
  <c r="AA289" i="3"/>
  <c r="X289" i="3"/>
  <c r="W289" i="3"/>
  <c r="U289" i="3"/>
  <c r="R289" i="3"/>
  <c r="O289" i="3"/>
  <c r="N289" i="3"/>
  <c r="L289" i="3"/>
  <c r="H289" i="3"/>
  <c r="I289" i="3" s="1"/>
  <c r="F289" i="3"/>
  <c r="C289" i="3"/>
  <c r="AC288" i="3"/>
  <c r="AD288" i="3" s="1"/>
  <c r="AA288" i="3"/>
  <c r="X288" i="3"/>
  <c r="W288" i="3"/>
  <c r="U288" i="3"/>
  <c r="R288" i="3"/>
  <c r="O288" i="3"/>
  <c r="N288" i="3"/>
  <c r="L288" i="3"/>
  <c r="H288" i="3"/>
  <c r="I288" i="3" s="1"/>
  <c r="F288" i="3"/>
  <c r="C288" i="3"/>
  <c r="AD287" i="3"/>
  <c r="AC287" i="3"/>
  <c r="AA287" i="3"/>
  <c r="X287" i="3"/>
  <c r="W287" i="3"/>
  <c r="U287" i="3"/>
  <c r="R287" i="3"/>
  <c r="O287" i="3"/>
  <c r="N287" i="3"/>
  <c r="L287" i="3"/>
  <c r="H287" i="3"/>
  <c r="I287" i="3" s="1"/>
  <c r="F287" i="3"/>
  <c r="C287" i="3"/>
  <c r="AC286" i="3"/>
  <c r="AD286" i="3" s="1"/>
  <c r="AA286" i="3"/>
  <c r="W286" i="3"/>
  <c r="U286" i="3"/>
  <c r="R286" i="3"/>
  <c r="N286" i="3"/>
  <c r="O286" i="3" s="1"/>
  <c r="L286" i="3"/>
  <c r="I286" i="3"/>
  <c r="H286" i="3"/>
  <c r="F286" i="3"/>
  <c r="C286" i="3"/>
  <c r="Z284" i="3"/>
  <c r="AA284" i="3" s="1"/>
  <c r="T284" i="3"/>
  <c r="U284" i="3" s="1"/>
  <c r="Q284" i="3"/>
  <c r="AC284" i="3" s="1"/>
  <c r="AD284" i="3" s="1"/>
  <c r="L284" i="3"/>
  <c r="K284" i="3"/>
  <c r="E284" i="3"/>
  <c r="F284" i="3" s="1"/>
  <c r="C284" i="3"/>
  <c r="B284" i="3"/>
  <c r="N284" i="3" s="1"/>
  <c r="O284" i="3" s="1"/>
  <c r="AD283" i="3"/>
  <c r="AC283" i="3"/>
  <c r="AA283" i="3"/>
  <c r="X283" i="3"/>
  <c r="W283" i="3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W282" i="3"/>
  <c r="U282" i="3"/>
  <c r="R282" i="3"/>
  <c r="N282" i="3"/>
  <c r="O282" i="3" s="1"/>
  <c r="L282" i="3"/>
  <c r="I282" i="3"/>
  <c r="H282" i="3"/>
  <c r="F282" i="3"/>
  <c r="C282" i="3"/>
  <c r="AC281" i="3"/>
  <c r="AD281" i="3" s="1"/>
  <c r="AA281" i="3"/>
  <c r="X281" i="3"/>
  <c r="W281" i="3"/>
  <c r="U281" i="3"/>
  <c r="R281" i="3"/>
  <c r="O281" i="3"/>
  <c r="N281" i="3"/>
  <c r="L281" i="3"/>
  <c r="H281" i="3"/>
  <c r="I281" i="3" s="1"/>
  <c r="F281" i="3"/>
  <c r="C281" i="3"/>
  <c r="AC280" i="3"/>
  <c r="AD280" i="3" s="1"/>
  <c r="AA280" i="3"/>
  <c r="X280" i="3"/>
  <c r="W280" i="3"/>
  <c r="U280" i="3"/>
  <c r="R280" i="3"/>
  <c r="O280" i="3"/>
  <c r="N280" i="3"/>
  <c r="L280" i="3"/>
  <c r="H280" i="3"/>
  <c r="I280" i="3" s="1"/>
  <c r="F280" i="3"/>
  <c r="C280" i="3"/>
  <c r="AD279" i="3"/>
  <c r="AC279" i="3"/>
  <c r="AA279" i="3"/>
  <c r="X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W278" i="3"/>
  <c r="U278" i="3"/>
  <c r="R278" i="3"/>
  <c r="O278" i="3"/>
  <c r="N278" i="3"/>
  <c r="L278" i="3"/>
  <c r="I278" i="3"/>
  <c r="H278" i="3"/>
  <c r="F278" i="3"/>
  <c r="C278" i="3"/>
  <c r="AC277" i="3"/>
  <c r="AD277" i="3" s="1"/>
  <c r="AA277" i="3"/>
  <c r="X277" i="3"/>
  <c r="W277" i="3"/>
  <c r="U277" i="3"/>
  <c r="R277" i="3"/>
  <c r="O277" i="3"/>
  <c r="N277" i="3"/>
  <c r="L277" i="3"/>
  <c r="I277" i="3"/>
  <c r="H277" i="3"/>
  <c r="F277" i="3"/>
  <c r="C277" i="3"/>
  <c r="AC276" i="3"/>
  <c r="AD276" i="3" s="1"/>
  <c r="AA276" i="3"/>
  <c r="X276" i="3"/>
  <c r="W276" i="3"/>
  <c r="U276" i="3"/>
  <c r="R276" i="3"/>
  <c r="O276" i="3"/>
  <c r="N276" i="3"/>
  <c r="L276" i="3"/>
  <c r="H276" i="3"/>
  <c r="I276" i="3" s="1"/>
  <c r="F276" i="3"/>
  <c r="C276" i="3"/>
  <c r="AD275" i="3"/>
  <c r="AC275" i="3"/>
  <c r="AA275" i="3"/>
  <c r="X275" i="3"/>
  <c r="W275" i="3"/>
  <c r="U275" i="3"/>
  <c r="R275" i="3"/>
  <c r="N275" i="3"/>
  <c r="O275" i="3" s="1"/>
  <c r="L275" i="3"/>
  <c r="H275" i="3"/>
  <c r="I275" i="3" s="1"/>
  <c r="F275" i="3"/>
  <c r="C275" i="3"/>
  <c r="AC273" i="3"/>
  <c r="AD273" i="3" s="1"/>
  <c r="AA273" i="3"/>
  <c r="Z273" i="3"/>
  <c r="T273" i="3"/>
  <c r="U273" i="3" s="1"/>
  <c r="R273" i="3"/>
  <c r="Q273" i="3"/>
  <c r="K273" i="3"/>
  <c r="L273" i="3" s="1"/>
  <c r="F273" i="3"/>
  <c r="E273" i="3"/>
  <c r="H273" i="3" s="1"/>
  <c r="I273" i="3" s="1"/>
  <c r="C273" i="3"/>
  <c r="B273" i="3"/>
  <c r="N273" i="3" s="1"/>
  <c r="O273" i="3" s="1"/>
  <c r="AC272" i="3"/>
  <c r="AD272" i="3" s="1"/>
  <c r="AA272" i="3"/>
  <c r="X272" i="3"/>
  <c r="W272" i="3"/>
  <c r="U272" i="3"/>
  <c r="R272" i="3"/>
  <c r="O272" i="3"/>
  <c r="N272" i="3"/>
  <c r="L272" i="3"/>
  <c r="H272" i="3"/>
  <c r="I272" i="3" s="1"/>
  <c r="F272" i="3"/>
  <c r="C272" i="3"/>
  <c r="AD271" i="3"/>
  <c r="AC271" i="3"/>
  <c r="AA271" i="3"/>
  <c r="X271" i="3"/>
  <c r="W271" i="3"/>
  <c r="U271" i="3"/>
  <c r="R271" i="3"/>
  <c r="N271" i="3"/>
  <c r="O271" i="3" s="1"/>
  <c r="L271" i="3"/>
  <c r="H271" i="3"/>
  <c r="I271" i="3" s="1"/>
  <c r="F271" i="3"/>
  <c r="C271" i="3"/>
  <c r="AC270" i="3"/>
  <c r="AD270" i="3" s="1"/>
  <c r="AA270" i="3"/>
  <c r="W270" i="3"/>
  <c r="U270" i="3"/>
  <c r="R270" i="3"/>
  <c r="O270" i="3"/>
  <c r="N270" i="3"/>
  <c r="L270" i="3"/>
  <c r="I270" i="3"/>
  <c r="H270" i="3"/>
  <c r="F270" i="3"/>
  <c r="C270" i="3"/>
  <c r="AC269" i="3"/>
  <c r="AD269" i="3" s="1"/>
  <c r="AA269" i="3"/>
  <c r="X269" i="3"/>
  <c r="W269" i="3"/>
  <c r="U269" i="3"/>
  <c r="R269" i="3"/>
  <c r="O269" i="3"/>
  <c r="N269" i="3"/>
  <c r="L269" i="3"/>
  <c r="I269" i="3"/>
  <c r="H269" i="3"/>
  <c r="F269" i="3"/>
  <c r="C269" i="3"/>
  <c r="Z267" i="3"/>
  <c r="AA267" i="3" s="1"/>
  <c r="W267" i="3"/>
  <c r="X267" i="3" s="1"/>
  <c r="U267" i="3"/>
  <c r="T267" i="3"/>
  <c r="Q267" i="3"/>
  <c r="R267" i="3" s="1"/>
  <c r="K267" i="3"/>
  <c r="L267" i="3" s="1"/>
  <c r="E267" i="3"/>
  <c r="F267" i="3" s="1"/>
  <c r="B267" i="3"/>
  <c r="N267" i="3" s="1"/>
  <c r="O267" i="3" s="1"/>
  <c r="AD266" i="3"/>
  <c r="AC266" i="3"/>
  <c r="AA266" i="3"/>
  <c r="W266" i="3"/>
  <c r="U266" i="3"/>
  <c r="R266" i="3"/>
  <c r="N266" i="3"/>
  <c r="O266" i="3" s="1"/>
  <c r="L266" i="3"/>
  <c r="I266" i="3"/>
  <c r="H266" i="3"/>
  <c r="F266" i="3"/>
  <c r="C266" i="3"/>
  <c r="AC265" i="3"/>
  <c r="AD265" i="3" s="1"/>
  <c r="AA265" i="3"/>
  <c r="X265" i="3"/>
  <c r="W265" i="3"/>
  <c r="U265" i="3"/>
  <c r="R265" i="3"/>
  <c r="O265" i="3"/>
  <c r="N265" i="3"/>
  <c r="L265" i="3"/>
  <c r="H265" i="3"/>
  <c r="I265" i="3" s="1"/>
  <c r="F265" i="3"/>
  <c r="C265" i="3"/>
  <c r="Z263" i="3"/>
  <c r="AA263" i="3" s="1"/>
  <c r="X263" i="3"/>
  <c r="W263" i="3"/>
  <c r="U263" i="3"/>
  <c r="T263" i="3"/>
  <c r="Q263" i="3"/>
  <c r="R263" i="3" s="1"/>
  <c r="L263" i="3"/>
  <c r="K263" i="3"/>
  <c r="E263" i="3"/>
  <c r="F263" i="3" s="1"/>
  <c r="B263" i="3"/>
  <c r="N263" i="3" s="1"/>
  <c r="O263" i="3" s="1"/>
  <c r="AA262" i="3"/>
  <c r="Z262" i="3"/>
  <c r="T262" i="3"/>
  <c r="U262" i="3" s="1"/>
  <c r="Q262" i="3"/>
  <c r="W262" i="3" s="1"/>
  <c r="X262" i="3" s="1"/>
  <c r="K262" i="3"/>
  <c r="L262" i="3" s="1"/>
  <c r="H262" i="3"/>
  <c r="I262" i="3" s="1"/>
  <c r="F262" i="3"/>
  <c r="E262" i="3"/>
  <c r="C262" i="3"/>
  <c r="B262" i="3"/>
  <c r="N262" i="3" s="1"/>
  <c r="O262" i="3" s="1"/>
  <c r="AC261" i="3"/>
  <c r="AD261" i="3" s="1"/>
  <c r="AA261" i="3"/>
  <c r="X261" i="3"/>
  <c r="W261" i="3"/>
  <c r="U261" i="3"/>
  <c r="R261" i="3"/>
  <c r="O261" i="3"/>
  <c r="N261" i="3"/>
  <c r="L261" i="3"/>
  <c r="H261" i="3"/>
  <c r="I261" i="3" s="1"/>
  <c r="F261" i="3"/>
  <c r="C261" i="3"/>
  <c r="AD260" i="3"/>
  <c r="AC260" i="3"/>
  <c r="AA260" i="3"/>
  <c r="X260" i="3"/>
  <c r="W260" i="3"/>
  <c r="U260" i="3"/>
  <c r="R260" i="3"/>
  <c r="N260" i="3"/>
  <c r="O260" i="3" s="1"/>
  <c r="L260" i="3"/>
  <c r="H260" i="3"/>
  <c r="I260" i="3" s="1"/>
  <c r="F260" i="3"/>
  <c r="C260" i="3"/>
  <c r="AD259" i="3"/>
  <c r="AC259" i="3"/>
  <c r="AA259" i="3"/>
  <c r="W259" i="3"/>
  <c r="U259" i="3"/>
  <c r="R259" i="3"/>
  <c r="N259" i="3"/>
  <c r="O259" i="3" s="1"/>
  <c r="L259" i="3"/>
  <c r="I259" i="3"/>
  <c r="H259" i="3"/>
  <c r="F259" i="3"/>
  <c r="C259" i="3"/>
  <c r="AC258" i="3"/>
  <c r="AD258" i="3" s="1"/>
  <c r="AA258" i="3"/>
  <c r="X258" i="3"/>
  <c r="W258" i="3"/>
  <c r="U258" i="3"/>
  <c r="R258" i="3"/>
  <c r="O258" i="3"/>
  <c r="N258" i="3"/>
  <c r="L258" i="3"/>
  <c r="H258" i="3"/>
  <c r="I258" i="3" s="1"/>
  <c r="F258" i="3"/>
  <c r="C258" i="3"/>
  <c r="AC257" i="3"/>
  <c r="AD257" i="3" s="1"/>
  <c r="AA257" i="3"/>
  <c r="W257" i="3"/>
  <c r="X257" i="3" s="1"/>
  <c r="U257" i="3"/>
  <c r="R257" i="3"/>
  <c r="O257" i="3"/>
  <c r="N257" i="3"/>
  <c r="L257" i="3"/>
  <c r="H257" i="3"/>
  <c r="I257" i="3" s="1"/>
  <c r="F257" i="3"/>
  <c r="C257" i="3"/>
  <c r="AD256" i="3"/>
  <c r="AC256" i="3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D255" i="3"/>
  <c r="AC255" i="3"/>
  <c r="AA255" i="3"/>
  <c r="W255" i="3"/>
  <c r="U255" i="3"/>
  <c r="R255" i="3"/>
  <c r="O255" i="3"/>
  <c r="N255" i="3"/>
  <c r="L255" i="3"/>
  <c r="I255" i="3"/>
  <c r="H255" i="3"/>
  <c r="F255" i="3"/>
  <c r="C255" i="3"/>
  <c r="AC254" i="3"/>
  <c r="AD254" i="3" s="1"/>
  <c r="AA254" i="3"/>
  <c r="W254" i="3"/>
  <c r="X254" i="3" s="1"/>
  <c r="U254" i="3"/>
  <c r="R254" i="3"/>
  <c r="O254" i="3"/>
  <c r="N254" i="3"/>
  <c r="L254" i="3"/>
  <c r="I254" i="3"/>
  <c r="H254" i="3"/>
  <c r="F254" i="3"/>
  <c r="C254" i="3"/>
  <c r="AC253" i="3"/>
  <c r="AD253" i="3" s="1"/>
  <c r="AA253" i="3"/>
  <c r="W253" i="3"/>
  <c r="X253" i="3" s="1"/>
  <c r="U253" i="3"/>
  <c r="R253" i="3"/>
  <c r="O253" i="3"/>
  <c r="N253" i="3"/>
  <c r="L253" i="3"/>
  <c r="H253" i="3"/>
  <c r="I253" i="3" s="1"/>
  <c r="F253" i="3"/>
  <c r="C253" i="3"/>
  <c r="AD252" i="3"/>
  <c r="AC252" i="3"/>
  <c r="AA252" i="3"/>
  <c r="X252" i="3"/>
  <c r="W252" i="3"/>
  <c r="U252" i="3"/>
  <c r="R252" i="3"/>
  <c r="O252" i="3"/>
  <c r="N252" i="3"/>
  <c r="L252" i="3"/>
  <c r="H252" i="3"/>
  <c r="I252" i="3" s="1"/>
  <c r="F252" i="3"/>
  <c r="C252" i="3"/>
  <c r="AC251" i="3"/>
  <c r="AD251" i="3" s="1"/>
  <c r="AA251" i="3"/>
  <c r="W251" i="3"/>
  <c r="U251" i="3"/>
  <c r="R251" i="3"/>
  <c r="N251" i="3"/>
  <c r="O251" i="3" s="1"/>
  <c r="L251" i="3"/>
  <c r="I251" i="3"/>
  <c r="H251" i="3"/>
  <c r="F251" i="3"/>
  <c r="C251" i="3"/>
  <c r="AC250" i="3"/>
  <c r="AD250" i="3" s="1"/>
  <c r="AA250" i="3"/>
  <c r="X250" i="3"/>
  <c r="W250" i="3"/>
  <c r="U250" i="3"/>
  <c r="R250" i="3"/>
  <c r="O250" i="3"/>
  <c r="N250" i="3"/>
  <c r="L250" i="3"/>
  <c r="H250" i="3"/>
  <c r="I250" i="3" s="1"/>
  <c r="F250" i="3"/>
  <c r="C250" i="3"/>
  <c r="AC249" i="3"/>
  <c r="AD249" i="3" s="1"/>
  <c r="AA249" i="3"/>
  <c r="W249" i="3"/>
  <c r="X249" i="3" s="1"/>
  <c r="U249" i="3"/>
  <c r="R249" i="3"/>
  <c r="O249" i="3"/>
  <c r="N249" i="3"/>
  <c r="L249" i="3"/>
  <c r="H249" i="3"/>
  <c r="I249" i="3" s="1"/>
  <c r="F249" i="3"/>
  <c r="C249" i="3"/>
  <c r="AD248" i="3"/>
  <c r="AC248" i="3"/>
  <c r="AA248" i="3"/>
  <c r="X248" i="3"/>
  <c r="W248" i="3"/>
  <c r="U248" i="3"/>
  <c r="R248" i="3"/>
  <c r="O248" i="3"/>
  <c r="N248" i="3"/>
  <c r="L248" i="3"/>
  <c r="H248" i="3"/>
  <c r="I248" i="3" s="1"/>
  <c r="F248" i="3"/>
  <c r="C248" i="3"/>
  <c r="AD247" i="3"/>
  <c r="AC247" i="3"/>
  <c r="AA247" i="3"/>
  <c r="W247" i="3"/>
  <c r="U247" i="3"/>
  <c r="R247" i="3"/>
  <c r="N247" i="3"/>
  <c r="O247" i="3" s="1"/>
  <c r="L247" i="3"/>
  <c r="I247" i="3"/>
  <c r="H247" i="3"/>
  <c r="F247" i="3"/>
  <c r="C247" i="3"/>
  <c r="AC246" i="3"/>
  <c r="AD246" i="3" s="1"/>
  <c r="AA246" i="3"/>
  <c r="X246" i="3"/>
  <c r="W246" i="3"/>
  <c r="U246" i="3"/>
  <c r="R246" i="3"/>
  <c r="O246" i="3"/>
  <c r="N246" i="3"/>
  <c r="L246" i="3"/>
  <c r="H246" i="3"/>
  <c r="I246" i="3" s="1"/>
  <c r="F246" i="3"/>
  <c r="C246" i="3"/>
  <c r="AC245" i="3"/>
  <c r="AD245" i="3" s="1"/>
  <c r="AA245" i="3"/>
  <c r="W245" i="3"/>
  <c r="X245" i="3" s="1"/>
  <c r="U245" i="3"/>
  <c r="R245" i="3"/>
  <c r="O245" i="3"/>
  <c r="N245" i="3"/>
  <c r="L245" i="3"/>
  <c r="H245" i="3"/>
  <c r="I245" i="3" s="1"/>
  <c r="F245" i="3"/>
  <c r="C245" i="3"/>
  <c r="AD244" i="3"/>
  <c r="AC244" i="3"/>
  <c r="AA244" i="3"/>
  <c r="X244" i="3"/>
  <c r="W244" i="3"/>
  <c r="U244" i="3"/>
  <c r="R244" i="3"/>
  <c r="N244" i="3"/>
  <c r="O244" i="3" s="1"/>
  <c r="L244" i="3"/>
  <c r="H244" i="3"/>
  <c r="I244" i="3" s="1"/>
  <c r="F244" i="3"/>
  <c r="C244" i="3"/>
  <c r="AC243" i="3"/>
  <c r="AD243" i="3" s="1"/>
  <c r="AA243" i="3"/>
  <c r="W243" i="3"/>
  <c r="U243" i="3"/>
  <c r="R243" i="3"/>
  <c r="N243" i="3"/>
  <c r="O243" i="3" s="1"/>
  <c r="L243" i="3"/>
  <c r="I243" i="3"/>
  <c r="H243" i="3"/>
  <c r="F243" i="3"/>
  <c r="C243" i="3"/>
  <c r="AC242" i="3"/>
  <c r="AD242" i="3" s="1"/>
  <c r="AA242" i="3"/>
  <c r="X242" i="3"/>
  <c r="W242" i="3"/>
  <c r="U242" i="3"/>
  <c r="R242" i="3"/>
  <c r="O242" i="3"/>
  <c r="N242" i="3"/>
  <c r="L242" i="3"/>
  <c r="H242" i="3"/>
  <c r="I242" i="3" s="1"/>
  <c r="F242" i="3"/>
  <c r="C242" i="3"/>
  <c r="AC241" i="3"/>
  <c r="AD241" i="3" s="1"/>
  <c r="AA241" i="3"/>
  <c r="X241" i="3"/>
  <c r="W241" i="3"/>
  <c r="U241" i="3"/>
  <c r="R241" i="3"/>
  <c r="O241" i="3"/>
  <c r="N241" i="3"/>
  <c r="L241" i="3"/>
  <c r="H241" i="3"/>
  <c r="I241" i="3" s="1"/>
  <c r="F241" i="3"/>
  <c r="C241" i="3"/>
  <c r="AD240" i="3"/>
  <c r="AC240" i="3"/>
  <c r="AA240" i="3"/>
  <c r="X240" i="3"/>
  <c r="W240" i="3"/>
  <c r="U240" i="3"/>
  <c r="R240" i="3"/>
  <c r="O240" i="3"/>
  <c r="N240" i="3"/>
  <c r="L240" i="3"/>
  <c r="H240" i="3"/>
  <c r="I240" i="3" s="1"/>
  <c r="F240" i="3"/>
  <c r="C240" i="3"/>
  <c r="AC238" i="3"/>
  <c r="AD238" i="3" s="1"/>
  <c r="AA238" i="3"/>
  <c r="W238" i="3"/>
  <c r="U238" i="3"/>
  <c r="R238" i="3"/>
  <c r="N238" i="3"/>
  <c r="O238" i="3" s="1"/>
  <c r="L238" i="3"/>
  <c r="I238" i="3"/>
  <c r="H238" i="3"/>
  <c r="F238" i="3"/>
  <c r="C238" i="3"/>
  <c r="Z236" i="3"/>
  <c r="AA236" i="3" s="1"/>
  <c r="T236" i="3"/>
  <c r="U236" i="3" s="1"/>
  <c r="Q236" i="3"/>
  <c r="L236" i="3"/>
  <c r="K236" i="3"/>
  <c r="H236" i="3"/>
  <c r="I236" i="3" s="1"/>
  <c r="E236" i="3"/>
  <c r="F236" i="3" s="1"/>
  <c r="C236" i="3"/>
  <c r="B236" i="3"/>
  <c r="N236" i="3" s="1"/>
  <c r="O236" i="3" s="1"/>
  <c r="AD235" i="3"/>
  <c r="AC235" i="3"/>
  <c r="AA235" i="3"/>
  <c r="X235" i="3"/>
  <c r="W235" i="3"/>
  <c r="U235" i="3"/>
  <c r="R235" i="3"/>
  <c r="O235" i="3"/>
  <c r="N235" i="3"/>
  <c r="L235" i="3"/>
  <c r="H235" i="3"/>
  <c r="I235" i="3" s="1"/>
  <c r="F235" i="3"/>
  <c r="C235" i="3"/>
  <c r="AC234" i="3"/>
  <c r="AD234" i="3" s="1"/>
  <c r="AA234" i="3"/>
  <c r="W234" i="3"/>
  <c r="U234" i="3"/>
  <c r="R234" i="3"/>
  <c r="N234" i="3"/>
  <c r="O234" i="3" s="1"/>
  <c r="L234" i="3"/>
  <c r="I234" i="3"/>
  <c r="H234" i="3"/>
  <c r="F234" i="3"/>
  <c r="C234" i="3"/>
  <c r="AC233" i="3"/>
  <c r="AD233" i="3" s="1"/>
  <c r="AA233" i="3"/>
  <c r="W233" i="3"/>
  <c r="X233" i="3" s="1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X232" i="3"/>
  <c r="W232" i="3"/>
  <c r="U232" i="3"/>
  <c r="R232" i="3"/>
  <c r="O232" i="3"/>
  <c r="N232" i="3"/>
  <c r="L232" i="3"/>
  <c r="H232" i="3"/>
  <c r="I232" i="3" s="1"/>
  <c r="F232" i="3"/>
  <c r="C232" i="3"/>
  <c r="AD231" i="3"/>
  <c r="AC231" i="3"/>
  <c r="AA231" i="3"/>
  <c r="X231" i="3"/>
  <c r="W231" i="3"/>
  <c r="U231" i="3"/>
  <c r="R231" i="3"/>
  <c r="N231" i="3"/>
  <c r="O231" i="3" s="1"/>
  <c r="L231" i="3"/>
  <c r="H231" i="3"/>
  <c r="I231" i="3" s="1"/>
  <c r="F231" i="3"/>
  <c r="C231" i="3"/>
  <c r="AC230" i="3"/>
  <c r="AD230" i="3" s="1"/>
  <c r="AA230" i="3"/>
  <c r="W230" i="3"/>
  <c r="U230" i="3"/>
  <c r="R230" i="3"/>
  <c r="O230" i="3"/>
  <c r="N230" i="3"/>
  <c r="L230" i="3"/>
  <c r="I230" i="3"/>
  <c r="H230" i="3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I229" i="3"/>
  <c r="H229" i="3"/>
  <c r="F229" i="3"/>
  <c r="C229" i="3"/>
  <c r="Z227" i="3"/>
  <c r="AA227" i="3" s="1"/>
  <c r="W227" i="3"/>
  <c r="X227" i="3" s="1"/>
  <c r="U227" i="3"/>
  <c r="T227" i="3"/>
  <c r="Q227" i="3"/>
  <c r="R227" i="3" s="1"/>
  <c r="K227" i="3"/>
  <c r="L227" i="3" s="1"/>
  <c r="E227" i="3"/>
  <c r="F227" i="3" s="1"/>
  <c r="B227" i="3"/>
  <c r="N227" i="3" s="1"/>
  <c r="O227" i="3" s="1"/>
  <c r="AD226" i="3"/>
  <c r="AC226" i="3"/>
  <c r="AA226" i="3"/>
  <c r="W226" i="3"/>
  <c r="U226" i="3"/>
  <c r="R226" i="3"/>
  <c r="O226" i="3"/>
  <c r="N226" i="3"/>
  <c r="L226" i="3"/>
  <c r="I226" i="3"/>
  <c r="H226" i="3"/>
  <c r="F226" i="3"/>
  <c r="C226" i="3"/>
  <c r="AC225" i="3"/>
  <c r="AD225" i="3" s="1"/>
  <c r="AA225" i="3"/>
  <c r="X225" i="3"/>
  <c r="W225" i="3"/>
  <c r="U225" i="3"/>
  <c r="R225" i="3"/>
  <c r="O225" i="3"/>
  <c r="N225" i="3"/>
  <c r="L225" i="3"/>
  <c r="H225" i="3"/>
  <c r="I225" i="3" s="1"/>
  <c r="F225" i="3"/>
  <c r="C225" i="3"/>
  <c r="AC224" i="3"/>
  <c r="AD224" i="3" s="1"/>
  <c r="AA224" i="3"/>
  <c r="W224" i="3"/>
  <c r="X224" i="3" s="1"/>
  <c r="U224" i="3"/>
  <c r="R224" i="3"/>
  <c r="O224" i="3"/>
  <c r="N224" i="3"/>
  <c r="L224" i="3"/>
  <c r="H224" i="3"/>
  <c r="I224" i="3" s="1"/>
  <c r="F224" i="3"/>
  <c r="C224" i="3"/>
  <c r="AD223" i="3"/>
  <c r="AC223" i="3"/>
  <c r="AA223" i="3"/>
  <c r="X223" i="3"/>
  <c r="W223" i="3"/>
  <c r="U223" i="3"/>
  <c r="R223" i="3"/>
  <c r="N223" i="3"/>
  <c r="O223" i="3" s="1"/>
  <c r="L223" i="3"/>
  <c r="H223" i="3"/>
  <c r="I223" i="3" s="1"/>
  <c r="F223" i="3"/>
  <c r="C223" i="3"/>
  <c r="AC222" i="3"/>
  <c r="AD222" i="3" s="1"/>
  <c r="AA222" i="3"/>
  <c r="W222" i="3"/>
  <c r="U222" i="3"/>
  <c r="R222" i="3"/>
  <c r="N222" i="3"/>
  <c r="O222" i="3" s="1"/>
  <c r="L222" i="3"/>
  <c r="I222" i="3"/>
  <c r="H222" i="3"/>
  <c r="F222" i="3"/>
  <c r="C222" i="3"/>
  <c r="AC221" i="3"/>
  <c r="AD221" i="3" s="1"/>
  <c r="AA221" i="3"/>
  <c r="X221" i="3"/>
  <c r="W221" i="3"/>
  <c r="U221" i="3"/>
  <c r="R221" i="3"/>
  <c r="O221" i="3"/>
  <c r="N221" i="3"/>
  <c r="L221" i="3"/>
  <c r="H221" i="3"/>
  <c r="I221" i="3" s="1"/>
  <c r="F221" i="3"/>
  <c r="C221" i="3"/>
  <c r="AC220" i="3"/>
  <c r="AD220" i="3" s="1"/>
  <c r="AA220" i="3"/>
  <c r="X220" i="3"/>
  <c r="W220" i="3"/>
  <c r="U220" i="3"/>
  <c r="R220" i="3"/>
  <c r="O220" i="3"/>
  <c r="N220" i="3"/>
  <c r="L220" i="3"/>
  <c r="H220" i="3"/>
  <c r="I220" i="3" s="1"/>
  <c r="F220" i="3"/>
  <c r="C220" i="3"/>
  <c r="AD219" i="3"/>
  <c r="AC219" i="3"/>
  <c r="AA219" i="3"/>
  <c r="X219" i="3"/>
  <c r="W219" i="3"/>
  <c r="U219" i="3"/>
  <c r="R219" i="3"/>
  <c r="O219" i="3"/>
  <c r="N219" i="3"/>
  <c r="L219" i="3"/>
  <c r="H219" i="3"/>
  <c r="I219" i="3" s="1"/>
  <c r="F219" i="3"/>
  <c r="C219" i="3"/>
  <c r="AC218" i="3"/>
  <c r="AD218" i="3" s="1"/>
  <c r="AA218" i="3"/>
  <c r="Z218" i="3"/>
  <c r="T218" i="3"/>
  <c r="U218" i="3" s="1"/>
  <c r="Q218" i="3"/>
  <c r="R218" i="3" s="1"/>
  <c r="K218" i="3"/>
  <c r="L218" i="3" s="1"/>
  <c r="H218" i="3"/>
  <c r="I218" i="3" s="1"/>
  <c r="E218" i="3"/>
  <c r="F218" i="3" s="1"/>
  <c r="C218" i="3"/>
  <c r="B218" i="3"/>
  <c r="AC217" i="3"/>
  <c r="AD217" i="3" s="1"/>
  <c r="AA217" i="3"/>
  <c r="X217" i="3"/>
  <c r="W217" i="3"/>
  <c r="U217" i="3"/>
  <c r="R217" i="3"/>
  <c r="O217" i="3"/>
  <c r="N217" i="3"/>
  <c r="L217" i="3"/>
  <c r="H217" i="3"/>
  <c r="I217" i="3" s="1"/>
  <c r="F217" i="3"/>
  <c r="C217" i="3"/>
  <c r="AD216" i="3"/>
  <c r="AC216" i="3"/>
  <c r="AA216" i="3"/>
  <c r="X216" i="3"/>
  <c r="W216" i="3"/>
  <c r="U216" i="3"/>
  <c r="R216" i="3"/>
  <c r="O216" i="3"/>
  <c r="N216" i="3"/>
  <c r="L216" i="3"/>
  <c r="H216" i="3"/>
  <c r="I216" i="3" s="1"/>
  <c r="F216" i="3"/>
  <c r="C216" i="3"/>
  <c r="AC215" i="3"/>
  <c r="AD215" i="3" s="1"/>
  <c r="AA215" i="3"/>
  <c r="W215" i="3"/>
  <c r="U215" i="3"/>
  <c r="R215" i="3"/>
  <c r="N215" i="3"/>
  <c r="O215" i="3" s="1"/>
  <c r="L215" i="3"/>
  <c r="I215" i="3"/>
  <c r="H215" i="3"/>
  <c r="F215" i="3"/>
  <c r="C215" i="3"/>
  <c r="AC214" i="3"/>
  <c r="AD214" i="3" s="1"/>
  <c r="AA214" i="3"/>
  <c r="X214" i="3"/>
  <c r="W214" i="3"/>
  <c r="U214" i="3"/>
  <c r="R214" i="3"/>
  <c r="O214" i="3"/>
  <c r="N214" i="3"/>
  <c r="L214" i="3"/>
  <c r="H214" i="3"/>
  <c r="I214" i="3" s="1"/>
  <c r="F214" i="3"/>
  <c r="C214" i="3"/>
  <c r="AC213" i="3"/>
  <c r="AD213" i="3" s="1"/>
  <c r="AA213" i="3"/>
  <c r="X213" i="3"/>
  <c r="W213" i="3"/>
  <c r="U213" i="3"/>
  <c r="R213" i="3"/>
  <c r="O213" i="3"/>
  <c r="N213" i="3"/>
  <c r="L213" i="3"/>
  <c r="H213" i="3"/>
  <c r="I213" i="3" s="1"/>
  <c r="F213" i="3"/>
  <c r="C213" i="3"/>
  <c r="AD211" i="3"/>
  <c r="AC211" i="3"/>
  <c r="AA211" i="3"/>
  <c r="X211" i="3"/>
  <c r="W211" i="3"/>
  <c r="U211" i="3"/>
  <c r="R211" i="3"/>
  <c r="N211" i="3"/>
  <c r="O211" i="3" s="1"/>
  <c r="L211" i="3"/>
  <c r="H211" i="3"/>
  <c r="I211" i="3" s="1"/>
  <c r="F211" i="3"/>
  <c r="C211" i="3"/>
  <c r="AA209" i="3"/>
  <c r="Z209" i="3"/>
  <c r="T209" i="3"/>
  <c r="U209" i="3" s="1"/>
  <c r="R209" i="3"/>
  <c r="Q209" i="3"/>
  <c r="AC209" i="3" s="1"/>
  <c r="AD209" i="3" s="1"/>
  <c r="K209" i="3"/>
  <c r="L209" i="3" s="1"/>
  <c r="E209" i="3"/>
  <c r="H209" i="3" s="1"/>
  <c r="I209" i="3" s="1"/>
  <c r="C209" i="3"/>
  <c r="B209" i="3"/>
  <c r="N209" i="3" s="1"/>
  <c r="O209" i="3" s="1"/>
  <c r="AC208" i="3"/>
  <c r="AD208" i="3" s="1"/>
  <c r="AA208" i="3"/>
  <c r="X208" i="3"/>
  <c r="W208" i="3"/>
  <c r="U208" i="3"/>
  <c r="R208" i="3"/>
  <c r="O208" i="3"/>
  <c r="N208" i="3"/>
  <c r="L208" i="3"/>
  <c r="H208" i="3"/>
  <c r="I208" i="3" s="1"/>
  <c r="F208" i="3"/>
  <c r="C208" i="3"/>
  <c r="AD207" i="3"/>
  <c r="AC207" i="3"/>
  <c r="AA207" i="3"/>
  <c r="X207" i="3"/>
  <c r="W207" i="3"/>
  <c r="U207" i="3"/>
  <c r="R207" i="3"/>
  <c r="N207" i="3"/>
  <c r="O207" i="3" s="1"/>
  <c r="L207" i="3"/>
  <c r="H207" i="3"/>
  <c r="I207" i="3" s="1"/>
  <c r="F207" i="3"/>
  <c r="C207" i="3"/>
  <c r="AC206" i="3"/>
  <c r="AD206" i="3" s="1"/>
  <c r="AA206" i="3"/>
  <c r="W206" i="3"/>
  <c r="U206" i="3"/>
  <c r="R206" i="3"/>
  <c r="O206" i="3"/>
  <c r="N206" i="3"/>
  <c r="L206" i="3"/>
  <c r="I206" i="3"/>
  <c r="H206" i="3"/>
  <c r="F206" i="3"/>
  <c r="C206" i="3"/>
  <c r="AC205" i="3"/>
  <c r="AD205" i="3" s="1"/>
  <c r="AA205" i="3"/>
  <c r="X205" i="3"/>
  <c r="W205" i="3"/>
  <c r="U205" i="3"/>
  <c r="R205" i="3"/>
  <c r="O205" i="3"/>
  <c r="N205" i="3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O204" i="3"/>
  <c r="N204" i="3"/>
  <c r="L204" i="3"/>
  <c r="H204" i="3"/>
  <c r="I204" i="3" s="1"/>
  <c r="F204" i="3"/>
  <c r="C204" i="3"/>
  <c r="AD203" i="3"/>
  <c r="AC203" i="3"/>
  <c r="AA203" i="3"/>
  <c r="X203" i="3"/>
  <c r="W203" i="3"/>
  <c r="U203" i="3"/>
  <c r="R203" i="3"/>
  <c r="O203" i="3"/>
  <c r="N203" i="3"/>
  <c r="L203" i="3"/>
  <c r="H203" i="3"/>
  <c r="I203" i="3" s="1"/>
  <c r="F203" i="3"/>
  <c r="C203" i="3"/>
  <c r="AC202" i="3"/>
  <c r="AD202" i="3" s="1"/>
  <c r="AA202" i="3"/>
  <c r="W202" i="3"/>
  <c r="U202" i="3"/>
  <c r="R202" i="3"/>
  <c r="O202" i="3"/>
  <c r="N202" i="3"/>
  <c r="L202" i="3"/>
  <c r="I202" i="3"/>
  <c r="H202" i="3"/>
  <c r="F202" i="3"/>
  <c r="C202" i="3"/>
  <c r="AC201" i="3"/>
  <c r="AD201" i="3" s="1"/>
  <c r="AA201" i="3"/>
  <c r="W201" i="3"/>
  <c r="X201" i="3" s="1"/>
  <c r="U201" i="3"/>
  <c r="R201" i="3"/>
  <c r="O201" i="3"/>
  <c r="N201" i="3"/>
  <c r="L201" i="3"/>
  <c r="I201" i="3"/>
  <c r="H201" i="3"/>
  <c r="F201" i="3"/>
  <c r="C201" i="3"/>
  <c r="AA197" i="3"/>
  <c r="Z197" i="3"/>
  <c r="T197" i="3"/>
  <c r="U197" i="3" s="1"/>
  <c r="R197" i="3"/>
  <c r="Q197" i="3"/>
  <c r="AC197" i="3" s="1"/>
  <c r="AD197" i="3" s="1"/>
  <c r="O197" i="3"/>
  <c r="K197" i="3"/>
  <c r="L197" i="3" s="1"/>
  <c r="E197" i="3"/>
  <c r="H197" i="3" s="1"/>
  <c r="I197" i="3" s="1"/>
  <c r="C197" i="3"/>
  <c r="B197" i="3"/>
  <c r="N197" i="3" s="1"/>
  <c r="Z196" i="3"/>
  <c r="AA196" i="3" s="1"/>
  <c r="U196" i="3"/>
  <c r="T196" i="3"/>
  <c r="Q196" i="3"/>
  <c r="R196" i="3" s="1"/>
  <c r="K196" i="3"/>
  <c r="L196" i="3" s="1"/>
  <c r="E196" i="3"/>
  <c r="F196" i="3" s="1"/>
  <c r="B196" i="3"/>
  <c r="N196" i="3" s="1"/>
  <c r="O196" i="3" s="1"/>
  <c r="AC195" i="3"/>
  <c r="AD195" i="3" s="1"/>
  <c r="AA195" i="3"/>
  <c r="W195" i="3"/>
  <c r="U195" i="3"/>
  <c r="R195" i="3"/>
  <c r="N195" i="3"/>
  <c r="O195" i="3" s="1"/>
  <c r="L195" i="3"/>
  <c r="I195" i="3"/>
  <c r="H195" i="3"/>
  <c r="F195" i="3"/>
  <c r="C195" i="3"/>
  <c r="AC194" i="3"/>
  <c r="AD194" i="3" s="1"/>
  <c r="AA194" i="3"/>
  <c r="W194" i="3"/>
  <c r="X194" i="3" s="1"/>
  <c r="U194" i="3"/>
  <c r="R194" i="3"/>
  <c r="O194" i="3"/>
  <c r="N194" i="3"/>
  <c r="L194" i="3"/>
  <c r="H194" i="3"/>
  <c r="I194" i="3" s="1"/>
  <c r="F194" i="3"/>
  <c r="C194" i="3"/>
  <c r="Z193" i="3"/>
  <c r="AA193" i="3" s="1"/>
  <c r="U193" i="3"/>
  <c r="T193" i="3"/>
  <c r="Q193" i="3"/>
  <c r="R193" i="3" s="1"/>
  <c r="N193" i="3"/>
  <c r="O193" i="3" s="1"/>
  <c r="L193" i="3"/>
  <c r="K193" i="3"/>
  <c r="E193" i="3"/>
  <c r="F193" i="3" s="1"/>
  <c r="B193" i="3"/>
  <c r="AC192" i="3"/>
  <c r="AD192" i="3" s="1"/>
  <c r="AA192" i="3"/>
  <c r="W192" i="3"/>
  <c r="U192" i="3"/>
  <c r="R192" i="3"/>
  <c r="N192" i="3"/>
  <c r="O192" i="3" s="1"/>
  <c r="L192" i="3"/>
  <c r="I192" i="3"/>
  <c r="H192" i="3"/>
  <c r="F192" i="3"/>
  <c r="C192" i="3"/>
  <c r="AC191" i="3"/>
  <c r="AD191" i="3" s="1"/>
  <c r="AA191" i="3"/>
  <c r="X191" i="3"/>
  <c r="W191" i="3"/>
  <c r="U191" i="3"/>
  <c r="R191" i="3"/>
  <c r="O191" i="3"/>
  <c r="N191" i="3"/>
  <c r="L191" i="3"/>
  <c r="H191" i="3"/>
  <c r="I191" i="3" s="1"/>
  <c r="F191" i="3"/>
  <c r="C191" i="3"/>
  <c r="AC190" i="3"/>
  <c r="AD190" i="3" s="1"/>
  <c r="AA190" i="3"/>
  <c r="W190" i="3"/>
  <c r="X190" i="3" s="1"/>
  <c r="U190" i="3"/>
  <c r="R190" i="3"/>
  <c r="O190" i="3"/>
  <c r="N190" i="3"/>
  <c r="L190" i="3"/>
  <c r="H190" i="3"/>
  <c r="I190" i="3" s="1"/>
  <c r="F190" i="3"/>
  <c r="C190" i="3"/>
  <c r="AD189" i="3"/>
  <c r="AC189" i="3"/>
  <c r="AA189" i="3"/>
  <c r="X189" i="3"/>
  <c r="W189" i="3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W188" i="3"/>
  <c r="U188" i="3"/>
  <c r="R188" i="3"/>
  <c r="N188" i="3"/>
  <c r="O188" i="3" s="1"/>
  <c r="L188" i="3"/>
  <c r="I188" i="3"/>
  <c r="H188" i="3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H187" i="3"/>
  <c r="I187" i="3" s="1"/>
  <c r="F187" i="3"/>
  <c r="C187" i="3"/>
  <c r="AC186" i="3"/>
  <c r="AD186" i="3" s="1"/>
  <c r="AA186" i="3"/>
  <c r="W186" i="3"/>
  <c r="X186" i="3" s="1"/>
  <c r="U186" i="3"/>
  <c r="R186" i="3"/>
  <c r="O186" i="3"/>
  <c r="N186" i="3"/>
  <c r="L186" i="3"/>
  <c r="H186" i="3"/>
  <c r="I186" i="3" s="1"/>
  <c r="F186" i="3"/>
  <c r="C186" i="3"/>
  <c r="AD184" i="3"/>
  <c r="AC184" i="3"/>
  <c r="AA184" i="3"/>
  <c r="X184" i="3"/>
  <c r="W184" i="3"/>
  <c r="U184" i="3"/>
  <c r="R184" i="3"/>
  <c r="N184" i="3"/>
  <c r="O184" i="3" s="1"/>
  <c r="L184" i="3"/>
  <c r="H184" i="3"/>
  <c r="I184" i="3" s="1"/>
  <c r="F184" i="3"/>
  <c r="C184" i="3"/>
  <c r="AC183" i="3"/>
  <c r="AD183" i="3" s="1"/>
  <c r="AA183" i="3"/>
  <c r="W183" i="3"/>
  <c r="U183" i="3"/>
  <c r="R183" i="3"/>
  <c r="N183" i="3"/>
  <c r="O183" i="3" s="1"/>
  <c r="L183" i="3"/>
  <c r="I183" i="3"/>
  <c r="H183" i="3"/>
  <c r="F183" i="3"/>
  <c r="C183" i="3"/>
  <c r="Z182" i="3"/>
  <c r="AA182" i="3" s="1"/>
  <c r="T182" i="3"/>
  <c r="U182" i="3" s="1"/>
  <c r="Q182" i="3"/>
  <c r="AC182" i="3" s="1"/>
  <c r="AD182" i="3" s="1"/>
  <c r="L182" i="3"/>
  <c r="K182" i="3"/>
  <c r="E182" i="3"/>
  <c r="F182" i="3" s="1"/>
  <c r="C182" i="3"/>
  <c r="B182" i="3"/>
  <c r="N182" i="3" s="1"/>
  <c r="O182" i="3" s="1"/>
  <c r="AD181" i="3"/>
  <c r="AC181" i="3"/>
  <c r="AA181" i="3"/>
  <c r="X181" i="3"/>
  <c r="W181" i="3"/>
  <c r="U181" i="3"/>
  <c r="R181" i="3"/>
  <c r="N181" i="3"/>
  <c r="O181" i="3" s="1"/>
  <c r="L181" i="3"/>
  <c r="H181" i="3"/>
  <c r="I181" i="3" s="1"/>
  <c r="F181" i="3"/>
  <c r="C181" i="3"/>
  <c r="AC180" i="3"/>
  <c r="AD180" i="3" s="1"/>
  <c r="AA180" i="3"/>
  <c r="W180" i="3"/>
  <c r="U180" i="3"/>
  <c r="R180" i="3"/>
  <c r="N180" i="3"/>
  <c r="O180" i="3" s="1"/>
  <c r="L180" i="3"/>
  <c r="I180" i="3"/>
  <c r="H180" i="3"/>
  <c r="F180" i="3"/>
  <c r="C180" i="3"/>
  <c r="AC179" i="3"/>
  <c r="AD179" i="3" s="1"/>
  <c r="AA179" i="3"/>
  <c r="X179" i="3"/>
  <c r="W179" i="3"/>
  <c r="U179" i="3"/>
  <c r="R179" i="3"/>
  <c r="O179" i="3"/>
  <c r="N179" i="3"/>
  <c r="L179" i="3"/>
  <c r="H179" i="3"/>
  <c r="I179" i="3" s="1"/>
  <c r="F179" i="3"/>
  <c r="C179" i="3"/>
  <c r="AC178" i="3"/>
  <c r="AD178" i="3" s="1"/>
  <c r="AA178" i="3"/>
  <c r="X178" i="3"/>
  <c r="W178" i="3"/>
  <c r="U178" i="3"/>
  <c r="R178" i="3"/>
  <c r="O178" i="3"/>
  <c r="N178" i="3"/>
  <c r="L178" i="3"/>
  <c r="H178" i="3"/>
  <c r="I178" i="3" s="1"/>
  <c r="F178" i="3"/>
  <c r="C178" i="3"/>
  <c r="AD177" i="3"/>
  <c r="AC177" i="3"/>
  <c r="AA177" i="3"/>
  <c r="X177" i="3"/>
  <c r="W177" i="3"/>
  <c r="U177" i="3"/>
  <c r="R177" i="3"/>
  <c r="O177" i="3"/>
  <c r="N177" i="3"/>
  <c r="L177" i="3"/>
  <c r="H177" i="3"/>
  <c r="I177" i="3" s="1"/>
  <c r="F177" i="3"/>
  <c r="C177" i="3"/>
  <c r="AC175" i="3"/>
  <c r="AD175" i="3" s="1"/>
  <c r="AA175" i="3"/>
  <c r="W175" i="3"/>
  <c r="U175" i="3"/>
  <c r="R175" i="3"/>
  <c r="N175" i="3"/>
  <c r="O175" i="3" s="1"/>
  <c r="L175" i="3"/>
  <c r="I175" i="3"/>
  <c r="H175" i="3"/>
  <c r="F175" i="3"/>
  <c r="C175" i="3"/>
  <c r="E172" i="3"/>
  <c r="F172" i="3" s="1"/>
  <c r="Z171" i="3"/>
  <c r="AA171" i="3" s="1"/>
  <c r="T171" i="3"/>
  <c r="U171" i="3" s="1"/>
  <c r="R171" i="3"/>
  <c r="Q171" i="3"/>
  <c r="AC171" i="3" s="1"/>
  <c r="AD171" i="3" s="1"/>
  <c r="K171" i="3"/>
  <c r="L171" i="3" s="1"/>
  <c r="F171" i="3"/>
  <c r="E171" i="3"/>
  <c r="B171" i="3"/>
  <c r="C171" i="3" s="1"/>
  <c r="AC170" i="3"/>
  <c r="AD170" i="3" s="1"/>
  <c r="AA170" i="3"/>
  <c r="Z170" i="3"/>
  <c r="T170" i="3"/>
  <c r="U170" i="3" s="1"/>
  <c r="Q170" i="3"/>
  <c r="N170" i="3"/>
  <c r="O170" i="3" s="1"/>
  <c r="L170" i="3"/>
  <c r="K170" i="3"/>
  <c r="H170" i="3"/>
  <c r="I170" i="3" s="1"/>
  <c r="E170" i="3"/>
  <c r="F170" i="3" s="1"/>
  <c r="C170" i="3"/>
  <c r="B170" i="3"/>
  <c r="AD169" i="3"/>
  <c r="AC169" i="3"/>
  <c r="AA169" i="3"/>
  <c r="X169" i="3"/>
  <c r="W169" i="3"/>
  <c r="U169" i="3"/>
  <c r="R169" i="3"/>
  <c r="N169" i="3"/>
  <c r="O169" i="3" s="1"/>
  <c r="L169" i="3"/>
  <c r="H169" i="3"/>
  <c r="I169" i="3" s="1"/>
  <c r="F169" i="3"/>
  <c r="C169" i="3"/>
  <c r="AC168" i="3"/>
  <c r="AD168" i="3" s="1"/>
  <c r="AA168" i="3"/>
  <c r="W168" i="3"/>
  <c r="U168" i="3"/>
  <c r="R168" i="3"/>
  <c r="O168" i="3"/>
  <c r="N168" i="3"/>
  <c r="L168" i="3"/>
  <c r="I168" i="3"/>
  <c r="H168" i="3"/>
  <c r="F168" i="3"/>
  <c r="C168" i="3"/>
  <c r="AC167" i="3"/>
  <c r="AD167" i="3" s="1"/>
  <c r="AA167" i="3"/>
  <c r="X167" i="3"/>
  <c r="W167" i="3"/>
  <c r="U167" i="3"/>
  <c r="R167" i="3"/>
  <c r="O167" i="3"/>
  <c r="N167" i="3"/>
  <c r="L167" i="3"/>
  <c r="I167" i="3"/>
  <c r="H167" i="3"/>
  <c r="F167" i="3"/>
  <c r="C167" i="3"/>
  <c r="Z166" i="3"/>
  <c r="AA166" i="3" s="1"/>
  <c r="X166" i="3"/>
  <c r="W166" i="3"/>
  <c r="U166" i="3"/>
  <c r="T166" i="3"/>
  <c r="Q166" i="3"/>
  <c r="R166" i="3" s="1"/>
  <c r="K166" i="3"/>
  <c r="L166" i="3" s="1"/>
  <c r="E166" i="3"/>
  <c r="F166" i="3" s="1"/>
  <c r="B166" i="3"/>
  <c r="N166" i="3" s="1"/>
  <c r="O166" i="3" s="1"/>
  <c r="AD165" i="3"/>
  <c r="AC165" i="3"/>
  <c r="AA165" i="3"/>
  <c r="W165" i="3"/>
  <c r="U165" i="3"/>
  <c r="R165" i="3"/>
  <c r="N165" i="3"/>
  <c r="O165" i="3" s="1"/>
  <c r="L165" i="3"/>
  <c r="I165" i="3"/>
  <c r="H165" i="3"/>
  <c r="F165" i="3"/>
  <c r="C165" i="3"/>
  <c r="AC164" i="3"/>
  <c r="AD164" i="3" s="1"/>
  <c r="AA164" i="3"/>
  <c r="X164" i="3"/>
  <c r="W164" i="3"/>
  <c r="U164" i="3"/>
  <c r="R164" i="3"/>
  <c r="O164" i="3"/>
  <c r="N164" i="3"/>
  <c r="L164" i="3"/>
  <c r="H164" i="3"/>
  <c r="I164" i="3" s="1"/>
  <c r="F164" i="3"/>
  <c r="C164" i="3"/>
  <c r="AC163" i="3"/>
  <c r="AD163" i="3" s="1"/>
  <c r="AA163" i="3"/>
  <c r="W163" i="3"/>
  <c r="X163" i="3" s="1"/>
  <c r="U163" i="3"/>
  <c r="R163" i="3"/>
  <c r="O163" i="3"/>
  <c r="N163" i="3"/>
  <c r="L163" i="3"/>
  <c r="H163" i="3"/>
  <c r="I163" i="3" s="1"/>
  <c r="F163" i="3"/>
  <c r="C163" i="3"/>
  <c r="AD162" i="3"/>
  <c r="AC162" i="3"/>
  <c r="AA162" i="3"/>
  <c r="X162" i="3"/>
  <c r="W162" i="3"/>
  <c r="U162" i="3"/>
  <c r="R162" i="3"/>
  <c r="N162" i="3"/>
  <c r="O162" i="3" s="1"/>
  <c r="L162" i="3"/>
  <c r="H162" i="3"/>
  <c r="I162" i="3" s="1"/>
  <c r="F162" i="3"/>
  <c r="C162" i="3"/>
  <c r="AC161" i="3"/>
  <c r="AD161" i="3" s="1"/>
  <c r="AA161" i="3"/>
  <c r="W161" i="3"/>
  <c r="U161" i="3"/>
  <c r="R161" i="3"/>
  <c r="N161" i="3"/>
  <c r="O161" i="3" s="1"/>
  <c r="L161" i="3"/>
  <c r="I161" i="3"/>
  <c r="H161" i="3"/>
  <c r="F161" i="3"/>
  <c r="C161" i="3"/>
  <c r="AC160" i="3"/>
  <c r="AD160" i="3" s="1"/>
  <c r="AA160" i="3"/>
  <c r="X160" i="3"/>
  <c r="W160" i="3"/>
  <c r="U160" i="3"/>
  <c r="R160" i="3"/>
  <c r="O160" i="3"/>
  <c r="N160" i="3"/>
  <c r="L160" i="3"/>
  <c r="H160" i="3"/>
  <c r="I160" i="3" s="1"/>
  <c r="F160" i="3"/>
  <c r="C160" i="3"/>
  <c r="Z158" i="3"/>
  <c r="AA158" i="3" s="1"/>
  <c r="X158" i="3"/>
  <c r="W158" i="3"/>
  <c r="U158" i="3"/>
  <c r="T158" i="3"/>
  <c r="Q158" i="3"/>
  <c r="R158" i="3" s="1"/>
  <c r="K158" i="3"/>
  <c r="N158" i="3" s="1"/>
  <c r="O158" i="3" s="1"/>
  <c r="E158" i="3"/>
  <c r="F158" i="3" s="1"/>
  <c r="B158" i="3"/>
  <c r="AD157" i="3"/>
  <c r="AC157" i="3"/>
  <c r="AA157" i="3"/>
  <c r="W157" i="3"/>
  <c r="U157" i="3"/>
  <c r="R157" i="3"/>
  <c r="O157" i="3"/>
  <c r="N157" i="3"/>
  <c r="L157" i="3"/>
  <c r="I157" i="3"/>
  <c r="H157" i="3"/>
  <c r="F157" i="3"/>
  <c r="C157" i="3"/>
  <c r="AC156" i="3"/>
  <c r="AD156" i="3" s="1"/>
  <c r="AA156" i="3"/>
  <c r="W156" i="3"/>
  <c r="X156" i="3" s="1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W155" i="3"/>
  <c r="X155" i="3" s="1"/>
  <c r="U155" i="3"/>
  <c r="R155" i="3"/>
  <c r="O155" i="3"/>
  <c r="N155" i="3"/>
  <c r="L155" i="3"/>
  <c r="H155" i="3"/>
  <c r="I155" i="3" s="1"/>
  <c r="F155" i="3"/>
  <c r="C155" i="3"/>
  <c r="AD154" i="3"/>
  <c r="AC154" i="3"/>
  <c r="AA154" i="3"/>
  <c r="X154" i="3"/>
  <c r="W154" i="3"/>
  <c r="U154" i="3"/>
  <c r="R154" i="3"/>
  <c r="O154" i="3"/>
  <c r="N154" i="3"/>
  <c r="L154" i="3"/>
  <c r="H154" i="3"/>
  <c r="I154" i="3" s="1"/>
  <c r="F154" i="3"/>
  <c r="C154" i="3"/>
  <c r="AC153" i="3"/>
  <c r="AD153" i="3" s="1"/>
  <c r="AA153" i="3"/>
  <c r="W153" i="3"/>
  <c r="U153" i="3"/>
  <c r="R153" i="3"/>
  <c r="N153" i="3"/>
  <c r="O153" i="3" s="1"/>
  <c r="L153" i="3"/>
  <c r="I153" i="3"/>
  <c r="H153" i="3"/>
  <c r="F153" i="3"/>
  <c r="C153" i="3"/>
  <c r="AC151" i="3"/>
  <c r="AD151" i="3" s="1"/>
  <c r="AA151" i="3"/>
  <c r="W151" i="3"/>
  <c r="X151" i="3" s="1"/>
  <c r="U151" i="3"/>
  <c r="R151" i="3"/>
  <c r="O151" i="3"/>
  <c r="N151" i="3"/>
  <c r="L151" i="3"/>
  <c r="H151" i="3"/>
  <c r="I151" i="3" s="1"/>
  <c r="F151" i="3"/>
  <c r="C151" i="3"/>
  <c r="Z149" i="3"/>
  <c r="AA149" i="3" s="1"/>
  <c r="U149" i="3"/>
  <c r="T149" i="3"/>
  <c r="Q149" i="3"/>
  <c r="R149" i="3" s="1"/>
  <c r="N149" i="3"/>
  <c r="O149" i="3" s="1"/>
  <c r="L149" i="3"/>
  <c r="K149" i="3"/>
  <c r="E149" i="3"/>
  <c r="F149" i="3" s="1"/>
  <c r="B149" i="3"/>
  <c r="AC148" i="3"/>
  <c r="AD148" i="3" s="1"/>
  <c r="AA148" i="3"/>
  <c r="Z148" i="3"/>
  <c r="W148" i="3"/>
  <c r="X148" i="3" s="1"/>
  <c r="T148" i="3"/>
  <c r="U148" i="3" s="1"/>
  <c r="R148" i="3"/>
  <c r="Q148" i="3"/>
  <c r="K148" i="3"/>
  <c r="L148" i="3" s="1"/>
  <c r="H148" i="3"/>
  <c r="I148" i="3" s="1"/>
  <c r="F148" i="3"/>
  <c r="E148" i="3"/>
  <c r="C148" i="3"/>
  <c r="B148" i="3"/>
  <c r="AC147" i="3"/>
  <c r="AD147" i="3" s="1"/>
  <c r="AA147" i="3"/>
  <c r="X147" i="3"/>
  <c r="W147" i="3"/>
  <c r="U147" i="3"/>
  <c r="R147" i="3"/>
  <c r="O147" i="3"/>
  <c r="N147" i="3"/>
  <c r="L147" i="3"/>
  <c r="H147" i="3"/>
  <c r="I147" i="3" s="1"/>
  <c r="F147" i="3"/>
  <c r="C147" i="3"/>
  <c r="AD146" i="3"/>
  <c r="AC146" i="3"/>
  <c r="AA146" i="3"/>
  <c r="X146" i="3"/>
  <c r="W146" i="3"/>
  <c r="U146" i="3"/>
  <c r="R146" i="3"/>
  <c r="O146" i="3"/>
  <c r="N146" i="3"/>
  <c r="L146" i="3"/>
  <c r="H146" i="3"/>
  <c r="I146" i="3" s="1"/>
  <c r="F146" i="3"/>
  <c r="C146" i="3"/>
  <c r="AC145" i="3"/>
  <c r="AD145" i="3" s="1"/>
  <c r="AA145" i="3"/>
  <c r="W145" i="3"/>
  <c r="U145" i="3"/>
  <c r="R145" i="3"/>
  <c r="O145" i="3"/>
  <c r="N145" i="3"/>
  <c r="L145" i="3"/>
  <c r="I145" i="3"/>
  <c r="H145" i="3"/>
  <c r="F145" i="3"/>
  <c r="C145" i="3"/>
  <c r="AC144" i="3"/>
  <c r="AD144" i="3" s="1"/>
  <c r="AA144" i="3"/>
  <c r="W144" i="3"/>
  <c r="X144" i="3" s="1"/>
  <c r="U144" i="3"/>
  <c r="R144" i="3"/>
  <c r="O144" i="3"/>
  <c r="N144" i="3"/>
  <c r="L144" i="3"/>
  <c r="I144" i="3"/>
  <c r="H144" i="3"/>
  <c r="F144" i="3"/>
  <c r="C144" i="3"/>
  <c r="AC143" i="3"/>
  <c r="AD143" i="3" s="1"/>
  <c r="AA143" i="3"/>
  <c r="X143" i="3"/>
  <c r="W143" i="3"/>
  <c r="U143" i="3"/>
  <c r="R143" i="3"/>
  <c r="O143" i="3"/>
  <c r="N143" i="3"/>
  <c r="L143" i="3"/>
  <c r="H143" i="3"/>
  <c r="I143" i="3" s="1"/>
  <c r="F143" i="3"/>
  <c r="C143" i="3"/>
  <c r="AD141" i="3"/>
  <c r="Z141" i="3"/>
  <c r="AA141" i="3" s="1"/>
  <c r="T141" i="3"/>
  <c r="W141" i="3" s="1"/>
  <c r="X141" i="3" s="1"/>
  <c r="R141" i="3"/>
  <c r="Q141" i="3"/>
  <c r="AC141" i="3" s="1"/>
  <c r="K141" i="3"/>
  <c r="L141" i="3" s="1"/>
  <c r="F141" i="3"/>
  <c r="E141" i="3"/>
  <c r="B141" i="3"/>
  <c r="C141" i="3" s="1"/>
  <c r="AC140" i="3"/>
  <c r="AD140" i="3" s="1"/>
  <c r="AA140" i="3"/>
  <c r="X140" i="3"/>
  <c r="W140" i="3"/>
  <c r="U140" i="3"/>
  <c r="R140" i="3"/>
  <c r="O140" i="3"/>
  <c r="N140" i="3"/>
  <c r="L140" i="3"/>
  <c r="H140" i="3"/>
  <c r="I140" i="3" s="1"/>
  <c r="F140" i="3"/>
  <c r="C140" i="3"/>
  <c r="AC139" i="3"/>
  <c r="AD139" i="3" s="1"/>
  <c r="AA139" i="3"/>
  <c r="X139" i="3"/>
  <c r="W139" i="3"/>
  <c r="U139" i="3"/>
  <c r="R139" i="3"/>
  <c r="O139" i="3"/>
  <c r="N139" i="3"/>
  <c r="L139" i="3"/>
  <c r="H139" i="3"/>
  <c r="I139" i="3" s="1"/>
  <c r="F139" i="3"/>
  <c r="C139" i="3"/>
  <c r="AD138" i="3"/>
  <c r="AC138" i="3"/>
  <c r="AA138" i="3"/>
  <c r="X138" i="3"/>
  <c r="W138" i="3"/>
  <c r="U138" i="3"/>
  <c r="R138" i="3"/>
  <c r="O138" i="3"/>
  <c r="N138" i="3"/>
  <c r="L138" i="3"/>
  <c r="H138" i="3"/>
  <c r="I138" i="3" s="1"/>
  <c r="F138" i="3"/>
  <c r="C138" i="3"/>
  <c r="AC137" i="3"/>
  <c r="AD137" i="3" s="1"/>
  <c r="AA137" i="3"/>
  <c r="W137" i="3"/>
  <c r="U137" i="3"/>
  <c r="R137" i="3"/>
  <c r="N137" i="3"/>
  <c r="O137" i="3" s="1"/>
  <c r="L137" i="3"/>
  <c r="I137" i="3"/>
  <c r="H137" i="3"/>
  <c r="F137" i="3"/>
  <c r="C137" i="3"/>
  <c r="AC136" i="3"/>
  <c r="AD136" i="3" s="1"/>
  <c r="AA136" i="3"/>
  <c r="W136" i="3"/>
  <c r="X136" i="3" s="1"/>
  <c r="U136" i="3"/>
  <c r="R136" i="3"/>
  <c r="O136" i="3"/>
  <c r="N136" i="3"/>
  <c r="L136" i="3"/>
  <c r="H136" i="3"/>
  <c r="I136" i="3" s="1"/>
  <c r="F136" i="3"/>
  <c r="C136" i="3"/>
  <c r="AC135" i="3"/>
  <c r="AD135" i="3" s="1"/>
  <c r="AA135" i="3"/>
  <c r="X135" i="3"/>
  <c r="W135" i="3"/>
  <c r="U135" i="3"/>
  <c r="R135" i="3"/>
  <c r="O135" i="3"/>
  <c r="N135" i="3"/>
  <c r="L135" i="3"/>
  <c r="H135" i="3"/>
  <c r="I135" i="3" s="1"/>
  <c r="F135" i="3"/>
  <c r="C135" i="3"/>
  <c r="AD134" i="3"/>
  <c r="AC134" i="3"/>
  <c r="AA134" i="3"/>
  <c r="X134" i="3"/>
  <c r="W134" i="3"/>
  <c r="U134" i="3"/>
  <c r="R134" i="3"/>
  <c r="N134" i="3"/>
  <c r="O134" i="3" s="1"/>
  <c r="L134" i="3"/>
  <c r="H134" i="3"/>
  <c r="I134" i="3" s="1"/>
  <c r="F134" i="3"/>
  <c r="C134" i="3"/>
  <c r="AC133" i="3"/>
  <c r="AD133" i="3" s="1"/>
  <c r="AA133" i="3"/>
  <c r="W133" i="3"/>
  <c r="U133" i="3"/>
  <c r="R133" i="3"/>
  <c r="O133" i="3"/>
  <c r="N133" i="3"/>
  <c r="L133" i="3"/>
  <c r="I133" i="3"/>
  <c r="H133" i="3"/>
  <c r="F133" i="3"/>
  <c r="C133" i="3"/>
  <c r="AC132" i="3"/>
  <c r="AD132" i="3" s="1"/>
  <c r="AA132" i="3"/>
  <c r="X132" i="3"/>
  <c r="W132" i="3"/>
  <c r="U132" i="3"/>
  <c r="R132" i="3"/>
  <c r="O132" i="3"/>
  <c r="N132" i="3"/>
  <c r="L132" i="3"/>
  <c r="I132" i="3"/>
  <c r="H132" i="3"/>
  <c r="F132" i="3"/>
  <c r="C132" i="3"/>
  <c r="AC131" i="3"/>
  <c r="AD131" i="3" s="1"/>
  <c r="AA131" i="3"/>
  <c r="W131" i="3"/>
  <c r="X131" i="3" s="1"/>
  <c r="U131" i="3"/>
  <c r="R131" i="3"/>
  <c r="O131" i="3"/>
  <c r="N131" i="3"/>
  <c r="L131" i="3"/>
  <c r="H131" i="3"/>
  <c r="I131" i="3" s="1"/>
  <c r="F131" i="3"/>
  <c r="C131" i="3"/>
  <c r="AD130" i="3"/>
  <c r="AC130" i="3"/>
  <c r="AA130" i="3"/>
  <c r="X130" i="3"/>
  <c r="W130" i="3"/>
  <c r="U130" i="3"/>
  <c r="R130" i="3"/>
  <c r="O130" i="3"/>
  <c r="N130" i="3"/>
  <c r="L130" i="3"/>
  <c r="H130" i="3"/>
  <c r="I130" i="3" s="1"/>
  <c r="F130" i="3"/>
  <c r="C130" i="3"/>
  <c r="AC129" i="3"/>
  <c r="AD129" i="3" s="1"/>
  <c r="AA129" i="3"/>
  <c r="W129" i="3"/>
  <c r="U129" i="3"/>
  <c r="R129" i="3"/>
  <c r="O129" i="3"/>
  <c r="N129" i="3"/>
  <c r="L129" i="3"/>
  <c r="I129" i="3"/>
  <c r="H129" i="3"/>
  <c r="F129" i="3"/>
  <c r="C129" i="3"/>
  <c r="AC127" i="3"/>
  <c r="AD127" i="3" s="1"/>
  <c r="AA127" i="3"/>
  <c r="W127" i="3"/>
  <c r="X127" i="3" s="1"/>
  <c r="U127" i="3"/>
  <c r="R127" i="3"/>
  <c r="O127" i="3"/>
  <c r="N127" i="3"/>
  <c r="L127" i="3"/>
  <c r="I127" i="3"/>
  <c r="H127" i="3"/>
  <c r="F127" i="3"/>
  <c r="C127" i="3"/>
  <c r="Z124" i="3"/>
  <c r="AA124" i="3" s="1"/>
  <c r="U124" i="3"/>
  <c r="T124" i="3"/>
  <c r="Q124" i="3"/>
  <c r="R124" i="3" s="1"/>
  <c r="K124" i="3"/>
  <c r="K172" i="3" s="1"/>
  <c r="L172" i="3" s="1"/>
  <c r="E124" i="3"/>
  <c r="F124" i="3" s="1"/>
  <c r="B124" i="3"/>
  <c r="AC123" i="3"/>
  <c r="AD123" i="3" s="1"/>
  <c r="AA123" i="3"/>
  <c r="W123" i="3"/>
  <c r="U123" i="3"/>
  <c r="R123" i="3"/>
  <c r="N123" i="3"/>
  <c r="O123" i="3" s="1"/>
  <c r="L123" i="3"/>
  <c r="I123" i="3"/>
  <c r="H123" i="3"/>
  <c r="F123" i="3"/>
  <c r="C123" i="3"/>
  <c r="Z122" i="3"/>
  <c r="AA122" i="3" s="1"/>
  <c r="T122" i="3"/>
  <c r="U122" i="3" s="1"/>
  <c r="Q122" i="3"/>
  <c r="AC122" i="3" s="1"/>
  <c r="AD122" i="3" s="1"/>
  <c r="N122" i="3"/>
  <c r="O122" i="3" s="1"/>
  <c r="L122" i="3"/>
  <c r="K122" i="3"/>
  <c r="E122" i="3"/>
  <c r="F122" i="3" s="1"/>
  <c r="C122" i="3"/>
  <c r="B122" i="3"/>
  <c r="H122" i="3" s="1"/>
  <c r="I122" i="3" s="1"/>
  <c r="AD121" i="3"/>
  <c r="AC121" i="3"/>
  <c r="AA121" i="3"/>
  <c r="X121" i="3"/>
  <c r="W121" i="3"/>
  <c r="U121" i="3"/>
  <c r="R121" i="3"/>
  <c r="O121" i="3"/>
  <c r="N121" i="3"/>
  <c r="L121" i="3"/>
  <c r="H121" i="3"/>
  <c r="I121" i="3" s="1"/>
  <c r="F121" i="3"/>
  <c r="C121" i="3"/>
  <c r="AC120" i="3"/>
  <c r="AD120" i="3" s="1"/>
  <c r="AA120" i="3"/>
  <c r="W120" i="3"/>
  <c r="U120" i="3"/>
  <c r="R120" i="3"/>
  <c r="N120" i="3"/>
  <c r="O120" i="3" s="1"/>
  <c r="L120" i="3"/>
  <c r="I120" i="3"/>
  <c r="H120" i="3"/>
  <c r="F120" i="3"/>
  <c r="C120" i="3"/>
  <c r="AC119" i="3"/>
  <c r="AD119" i="3" s="1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C118" i="3"/>
  <c r="AD118" i="3" s="1"/>
  <c r="Z118" i="3"/>
  <c r="AA118" i="3" s="1"/>
  <c r="X118" i="3"/>
  <c r="W118" i="3"/>
  <c r="U118" i="3"/>
  <c r="T118" i="3"/>
  <c r="Q118" i="3"/>
  <c r="R118" i="3" s="1"/>
  <c r="N118" i="3"/>
  <c r="O118" i="3" s="1"/>
  <c r="L118" i="3"/>
  <c r="K118" i="3"/>
  <c r="E118" i="3"/>
  <c r="F118" i="3" s="1"/>
  <c r="B118" i="3"/>
  <c r="AD117" i="3"/>
  <c r="AC117" i="3"/>
  <c r="AA117" i="3"/>
  <c r="W117" i="3"/>
  <c r="U117" i="3"/>
  <c r="R117" i="3"/>
  <c r="O117" i="3"/>
  <c r="N117" i="3"/>
  <c r="L117" i="3"/>
  <c r="I117" i="3"/>
  <c r="H117" i="3"/>
  <c r="F117" i="3"/>
  <c r="C117" i="3"/>
  <c r="AC116" i="3"/>
  <c r="AD116" i="3" s="1"/>
  <c r="AA116" i="3"/>
  <c r="W116" i="3"/>
  <c r="X116" i="3" s="1"/>
  <c r="U116" i="3"/>
  <c r="R116" i="3"/>
  <c r="O116" i="3"/>
  <c r="N116" i="3"/>
  <c r="L116" i="3"/>
  <c r="I116" i="3"/>
  <c r="H116" i="3"/>
  <c r="F116" i="3"/>
  <c r="C116" i="3"/>
  <c r="AC115" i="3"/>
  <c r="AD115" i="3" s="1"/>
  <c r="AA115" i="3"/>
  <c r="W115" i="3"/>
  <c r="X115" i="3" s="1"/>
  <c r="U115" i="3"/>
  <c r="R115" i="3"/>
  <c r="O115" i="3"/>
  <c r="N115" i="3"/>
  <c r="L115" i="3"/>
  <c r="H115" i="3"/>
  <c r="I115" i="3" s="1"/>
  <c r="F115" i="3"/>
  <c r="C115" i="3"/>
  <c r="AD114" i="3"/>
  <c r="AC114" i="3"/>
  <c r="AA114" i="3"/>
  <c r="X114" i="3"/>
  <c r="W114" i="3"/>
  <c r="U114" i="3"/>
  <c r="R114" i="3"/>
  <c r="O114" i="3"/>
  <c r="N114" i="3"/>
  <c r="L114" i="3"/>
  <c r="H114" i="3"/>
  <c r="I114" i="3" s="1"/>
  <c r="F114" i="3"/>
  <c r="C114" i="3"/>
  <c r="AD113" i="3"/>
  <c r="AC113" i="3"/>
  <c r="AA113" i="3"/>
  <c r="W113" i="3"/>
  <c r="U113" i="3"/>
  <c r="R113" i="3"/>
  <c r="N113" i="3"/>
  <c r="O113" i="3" s="1"/>
  <c r="L113" i="3"/>
  <c r="I113" i="3"/>
  <c r="H113" i="3"/>
  <c r="F113" i="3"/>
  <c r="C113" i="3"/>
  <c r="AC112" i="3"/>
  <c r="AD112" i="3" s="1"/>
  <c r="AA112" i="3"/>
  <c r="X112" i="3"/>
  <c r="W112" i="3"/>
  <c r="U112" i="3"/>
  <c r="R112" i="3"/>
  <c r="O112" i="3"/>
  <c r="N112" i="3"/>
  <c r="L112" i="3"/>
  <c r="H112" i="3"/>
  <c r="I112" i="3" s="1"/>
  <c r="F112" i="3"/>
  <c r="C112" i="3"/>
  <c r="AC111" i="3"/>
  <c r="AD111" i="3" s="1"/>
  <c r="AA111" i="3"/>
  <c r="W111" i="3"/>
  <c r="X111" i="3" s="1"/>
  <c r="U111" i="3"/>
  <c r="R111" i="3"/>
  <c r="O111" i="3"/>
  <c r="N111" i="3"/>
  <c r="L111" i="3"/>
  <c r="H111" i="3"/>
  <c r="I111" i="3" s="1"/>
  <c r="F111" i="3"/>
  <c r="C111" i="3"/>
  <c r="AD110" i="3"/>
  <c r="AC110" i="3"/>
  <c r="AA110" i="3"/>
  <c r="X110" i="3"/>
  <c r="W110" i="3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W109" i="3"/>
  <c r="U109" i="3"/>
  <c r="R109" i="3"/>
  <c r="N109" i="3"/>
  <c r="O109" i="3" s="1"/>
  <c r="L109" i="3"/>
  <c r="I109" i="3"/>
  <c r="H109" i="3"/>
  <c r="F109" i="3"/>
  <c r="C109" i="3"/>
  <c r="AC108" i="3"/>
  <c r="AD108" i="3" s="1"/>
  <c r="AA108" i="3"/>
  <c r="X108" i="3"/>
  <c r="W108" i="3"/>
  <c r="U108" i="3"/>
  <c r="R108" i="3"/>
  <c r="O108" i="3"/>
  <c r="N108" i="3"/>
  <c r="L108" i="3"/>
  <c r="H108" i="3"/>
  <c r="I108" i="3" s="1"/>
  <c r="F108" i="3"/>
  <c r="C108" i="3"/>
  <c r="AC107" i="3"/>
  <c r="AD107" i="3" s="1"/>
  <c r="AA107" i="3"/>
  <c r="X107" i="3"/>
  <c r="W107" i="3"/>
  <c r="U107" i="3"/>
  <c r="R107" i="3"/>
  <c r="O107" i="3"/>
  <c r="N107" i="3"/>
  <c r="L107" i="3"/>
  <c r="H107" i="3"/>
  <c r="I107" i="3" s="1"/>
  <c r="F107" i="3"/>
  <c r="C107" i="3"/>
  <c r="AD106" i="3"/>
  <c r="AC106" i="3"/>
  <c r="AA106" i="3"/>
  <c r="X106" i="3"/>
  <c r="W106" i="3"/>
  <c r="U106" i="3"/>
  <c r="R106" i="3"/>
  <c r="O106" i="3"/>
  <c r="N106" i="3"/>
  <c r="L106" i="3"/>
  <c r="H106" i="3"/>
  <c r="I106" i="3" s="1"/>
  <c r="F106" i="3"/>
  <c r="C106" i="3"/>
  <c r="AC105" i="3"/>
  <c r="AD105" i="3" s="1"/>
  <c r="AA105" i="3"/>
  <c r="W105" i="3"/>
  <c r="U105" i="3"/>
  <c r="R105" i="3"/>
  <c r="N105" i="3"/>
  <c r="O105" i="3" s="1"/>
  <c r="L105" i="3"/>
  <c r="I105" i="3"/>
  <c r="H105" i="3"/>
  <c r="F105" i="3"/>
  <c r="C105" i="3"/>
  <c r="AC104" i="3"/>
  <c r="AD104" i="3" s="1"/>
  <c r="AA104" i="3"/>
  <c r="X104" i="3"/>
  <c r="W104" i="3"/>
  <c r="U104" i="3"/>
  <c r="R104" i="3"/>
  <c r="O104" i="3"/>
  <c r="N104" i="3"/>
  <c r="L104" i="3"/>
  <c r="H104" i="3"/>
  <c r="I104" i="3" s="1"/>
  <c r="F104" i="3"/>
  <c r="C104" i="3"/>
  <c r="AC103" i="3"/>
  <c r="AD103" i="3" s="1"/>
  <c r="AA103" i="3"/>
  <c r="X103" i="3"/>
  <c r="W103" i="3"/>
  <c r="U103" i="3"/>
  <c r="R103" i="3"/>
  <c r="O103" i="3"/>
  <c r="N103" i="3"/>
  <c r="L103" i="3"/>
  <c r="H103" i="3"/>
  <c r="I103" i="3" s="1"/>
  <c r="F103" i="3"/>
  <c r="C103" i="3"/>
  <c r="AD102" i="3"/>
  <c r="AC102" i="3"/>
  <c r="AA102" i="3"/>
  <c r="X102" i="3"/>
  <c r="W102" i="3"/>
  <c r="U102" i="3"/>
  <c r="R102" i="3"/>
  <c r="O102" i="3"/>
  <c r="N102" i="3"/>
  <c r="L102" i="3"/>
  <c r="H102" i="3"/>
  <c r="I102" i="3" s="1"/>
  <c r="F102" i="3"/>
  <c r="C102" i="3"/>
  <c r="AC101" i="3"/>
  <c r="AD101" i="3" s="1"/>
  <c r="AA101" i="3"/>
  <c r="W101" i="3"/>
  <c r="U101" i="3"/>
  <c r="R101" i="3"/>
  <c r="N101" i="3"/>
  <c r="O101" i="3" s="1"/>
  <c r="L101" i="3"/>
  <c r="I101" i="3"/>
  <c r="H101" i="3"/>
  <c r="F101" i="3"/>
  <c r="C101" i="3"/>
  <c r="AC100" i="3"/>
  <c r="AD100" i="3" s="1"/>
  <c r="AA100" i="3"/>
  <c r="X100" i="3"/>
  <c r="W100" i="3"/>
  <c r="U100" i="3"/>
  <c r="R100" i="3"/>
  <c r="O100" i="3"/>
  <c r="N100" i="3"/>
  <c r="L100" i="3"/>
  <c r="H100" i="3"/>
  <c r="I100" i="3" s="1"/>
  <c r="F100" i="3"/>
  <c r="C100" i="3"/>
  <c r="AC99" i="3"/>
  <c r="AD99" i="3" s="1"/>
  <c r="AA99" i="3"/>
  <c r="X99" i="3"/>
  <c r="W99" i="3"/>
  <c r="U99" i="3"/>
  <c r="R99" i="3"/>
  <c r="O99" i="3"/>
  <c r="N99" i="3"/>
  <c r="L99" i="3"/>
  <c r="H99" i="3"/>
  <c r="I99" i="3" s="1"/>
  <c r="F99" i="3"/>
  <c r="C99" i="3"/>
  <c r="AD98" i="3"/>
  <c r="AC98" i="3"/>
  <c r="AA98" i="3"/>
  <c r="X98" i="3"/>
  <c r="W98" i="3"/>
  <c r="U98" i="3"/>
  <c r="R98" i="3"/>
  <c r="N98" i="3"/>
  <c r="O98" i="3" s="1"/>
  <c r="L98" i="3"/>
  <c r="H98" i="3"/>
  <c r="I98" i="3" s="1"/>
  <c r="F98" i="3"/>
  <c r="C98" i="3"/>
  <c r="AC97" i="3"/>
  <c r="AD97" i="3" s="1"/>
  <c r="AA97" i="3"/>
  <c r="W97" i="3"/>
  <c r="U97" i="3"/>
  <c r="R97" i="3"/>
  <c r="O97" i="3"/>
  <c r="N97" i="3"/>
  <c r="L97" i="3"/>
  <c r="I97" i="3"/>
  <c r="H97" i="3"/>
  <c r="F97" i="3"/>
  <c r="C97" i="3"/>
  <c r="AC96" i="3"/>
  <c r="AD96" i="3" s="1"/>
  <c r="AA96" i="3"/>
  <c r="X96" i="3"/>
  <c r="W96" i="3"/>
  <c r="U96" i="3"/>
  <c r="R96" i="3"/>
  <c r="O96" i="3"/>
  <c r="N96" i="3"/>
  <c r="L96" i="3"/>
  <c r="I96" i="3"/>
  <c r="H96" i="3"/>
  <c r="F96" i="3"/>
  <c r="C96" i="3"/>
  <c r="AC95" i="3"/>
  <c r="AD95" i="3" s="1"/>
  <c r="AA95" i="3"/>
  <c r="X95" i="3"/>
  <c r="W95" i="3"/>
  <c r="U95" i="3"/>
  <c r="R95" i="3"/>
  <c r="O95" i="3"/>
  <c r="N95" i="3"/>
  <c r="L95" i="3"/>
  <c r="H95" i="3"/>
  <c r="I95" i="3" s="1"/>
  <c r="F95" i="3"/>
  <c r="C95" i="3"/>
  <c r="AD94" i="3"/>
  <c r="AC94" i="3"/>
  <c r="AA94" i="3"/>
  <c r="X94" i="3"/>
  <c r="W94" i="3"/>
  <c r="U94" i="3"/>
  <c r="R94" i="3"/>
  <c r="N94" i="3"/>
  <c r="O94" i="3" s="1"/>
  <c r="L94" i="3"/>
  <c r="H94" i="3"/>
  <c r="I94" i="3" s="1"/>
  <c r="F94" i="3"/>
  <c r="C94" i="3"/>
  <c r="AD92" i="3"/>
  <c r="AC92" i="3"/>
  <c r="AA92" i="3"/>
  <c r="W92" i="3"/>
  <c r="U92" i="3"/>
  <c r="R92" i="3"/>
  <c r="O92" i="3"/>
  <c r="N92" i="3"/>
  <c r="L92" i="3"/>
  <c r="I92" i="3"/>
  <c r="H92" i="3"/>
  <c r="F92" i="3"/>
  <c r="C92" i="3"/>
  <c r="AC91" i="3"/>
  <c r="AD91" i="3" s="1"/>
  <c r="AA91" i="3"/>
  <c r="W91" i="3"/>
  <c r="X91" i="3" s="1"/>
  <c r="U91" i="3"/>
  <c r="R91" i="3"/>
  <c r="O91" i="3"/>
  <c r="N91" i="3"/>
  <c r="L91" i="3"/>
  <c r="I91" i="3"/>
  <c r="H91" i="3"/>
  <c r="F91" i="3"/>
  <c r="C91" i="3"/>
  <c r="AC90" i="3"/>
  <c r="AD90" i="3" s="1"/>
  <c r="AA90" i="3"/>
  <c r="X90" i="3"/>
  <c r="W90" i="3"/>
  <c r="U90" i="3"/>
  <c r="R90" i="3"/>
  <c r="O90" i="3"/>
  <c r="N90" i="3"/>
  <c r="L90" i="3"/>
  <c r="H90" i="3"/>
  <c r="I90" i="3" s="1"/>
  <c r="F90" i="3"/>
  <c r="C90" i="3"/>
  <c r="AD89" i="3"/>
  <c r="AC89" i="3"/>
  <c r="AA89" i="3"/>
  <c r="X89" i="3"/>
  <c r="W89" i="3"/>
  <c r="U89" i="3"/>
  <c r="R89" i="3"/>
  <c r="N89" i="3"/>
  <c r="O89" i="3" s="1"/>
  <c r="L89" i="3"/>
  <c r="H89" i="3"/>
  <c r="I89" i="3" s="1"/>
  <c r="F89" i="3"/>
  <c r="C89" i="3"/>
  <c r="AA88" i="3"/>
  <c r="Z88" i="3"/>
  <c r="T88" i="3"/>
  <c r="U88" i="3" s="1"/>
  <c r="R88" i="3"/>
  <c r="Q88" i="3"/>
  <c r="W88" i="3" s="1"/>
  <c r="X88" i="3" s="1"/>
  <c r="O88" i="3"/>
  <c r="K88" i="3"/>
  <c r="L88" i="3" s="1"/>
  <c r="H88" i="3"/>
  <c r="I88" i="3" s="1"/>
  <c r="F88" i="3"/>
  <c r="E88" i="3"/>
  <c r="C88" i="3"/>
  <c r="B88" i="3"/>
  <c r="N88" i="3" s="1"/>
  <c r="AC87" i="3"/>
  <c r="AD87" i="3" s="1"/>
  <c r="AA87" i="3"/>
  <c r="X87" i="3"/>
  <c r="W87" i="3"/>
  <c r="U87" i="3"/>
  <c r="R87" i="3"/>
  <c r="O87" i="3"/>
  <c r="N87" i="3"/>
  <c r="L87" i="3"/>
  <c r="H87" i="3"/>
  <c r="I87" i="3" s="1"/>
  <c r="F87" i="3"/>
  <c r="C87" i="3"/>
  <c r="AD86" i="3"/>
  <c r="AC86" i="3"/>
  <c r="AA86" i="3"/>
  <c r="X86" i="3"/>
  <c r="W86" i="3"/>
  <c r="U86" i="3"/>
  <c r="R86" i="3"/>
  <c r="N86" i="3"/>
  <c r="O86" i="3" s="1"/>
  <c r="L86" i="3"/>
  <c r="H86" i="3"/>
  <c r="I86" i="3" s="1"/>
  <c r="F86" i="3"/>
  <c r="C86" i="3"/>
  <c r="AD85" i="3"/>
  <c r="AC85" i="3"/>
  <c r="AA85" i="3"/>
  <c r="W85" i="3"/>
  <c r="U85" i="3"/>
  <c r="R85" i="3"/>
  <c r="N85" i="3"/>
  <c r="O85" i="3" s="1"/>
  <c r="L85" i="3"/>
  <c r="I85" i="3"/>
  <c r="H85" i="3"/>
  <c r="F85" i="3"/>
  <c r="C85" i="3"/>
  <c r="AC84" i="3"/>
  <c r="AD84" i="3" s="1"/>
  <c r="AA84" i="3"/>
  <c r="W84" i="3"/>
  <c r="X84" i="3" s="1"/>
  <c r="U84" i="3"/>
  <c r="R84" i="3"/>
  <c r="O84" i="3"/>
  <c r="N84" i="3"/>
  <c r="L84" i="3"/>
  <c r="H84" i="3"/>
  <c r="I84" i="3" s="1"/>
  <c r="F84" i="3"/>
  <c r="C84" i="3"/>
  <c r="AC83" i="3"/>
  <c r="AD83" i="3" s="1"/>
  <c r="AA83" i="3"/>
  <c r="W83" i="3"/>
  <c r="X83" i="3" s="1"/>
  <c r="U83" i="3"/>
  <c r="R83" i="3"/>
  <c r="O83" i="3"/>
  <c r="N83" i="3"/>
  <c r="L83" i="3"/>
  <c r="H83" i="3"/>
  <c r="I83" i="3" s="1"/>
  <c r="F83" i="3"/>
  <c r="C83" i="3"/>
  <c r="AD82" i="3"/>
  <c r="AC82" i="3"/>
  <c r="AA82" i="3"/>
  <c r="X82" i="3"/>
  <c r="W82" i="3"/>
  <c r="U82" i="3"/>
  <c r="R82" i="3"/>
  <c r="O82" i="3"/>
  <c r="N82" i="3"/>
  <c r="L82" i="3"/>
  <c r="H82" i="3"/>
  <c r="I82" i="3" s="1"/>
  <c r="F82" i="3"/>
  <c r="C82" i="3"/>
  <c r="AD81" i="3"/>
  <c r="AC81" i="3"/>
  <c r="AA81" i="3"/>
  <c r="W81" i="3"/>
  <c r="U81" i="3"/>
  <c r="R81" i="3"/>
  <c r="O81" i="3"/>
  <c r="N81" i="3"/>
  <c r="L81" i="3"/>
  <c r="I81" i="3"/>
  <c r="H81" i="3"/>
  <c r="F81" i="3"/>
  <c r="C81" i="3"/>
  <c r="AC80" i="3"/>
  <c r="AD80" i="3" s="1"/>
  <c r="AA80" i="3"/>
  <c r="W80" i="3"/>
  <c r="X80" i="3" s="1"/>
  <c r="U80" i="3"/>
  <c r="R80" i="3"/>
  <c r="O80" i="3"/>
  <c r="N80" i="3"/>
  <c r="L80" i="3"/>
  <c r="I80" i="3"/>
  <c r="H80" i="3"/>
  <c r="F80" i="3"/>
  <c r="C80" i="3"/>
  <c r="AC79" i="3"/>
  <c r="AD79" i="3" s="1"/>
  <c r="AA79" i="3"/>
  <c r="W79" i="3"/>
  <c r="X79" i="3" s="1"/>
  <c r="U79" i="3"/>
  <c r="R79" i="3"/>
  <c r="O79" i="3"/>
  <c r="N79" i="3"/>
  <c r="L79" i="3"/>
  <c r="H79" i="3"/>
  <c r="I79" i="3" s="1"/>
  <c r="F79" i="3"/>
  <c r="C79" i="3"/>
  <c r="AD78" i="3"/>
  <c r="AC78" i="3"/>
  <c r="AA78" i="3"/>
  <c r="X78" i="3"/>
  <c r="W78" i="3"/>
  <c r="U78" i="3"/>
  <c r="R78" i="3"/>
  <c r="O78" i="3"/>
  <c r="N78" i="3"/>
  <c r="L78" i="3"/>
  <c r="H78" i="3"/>
  <c r="I78" i="3" s="1"/>
  <c r="F78" i="3"/>
  <c r="C78" i="3"/>
  <c r="AC77" i="3"/>
  <c r="AD77" i="3" s="1"/>
  <c r="AA77" i="3"/>
  <c r="W77" i="3"/>
  <c r="U77" i="3"/>
  <c r="R77" i="3"/>
  <c r="N77" i="3"/>
  <c r="O77" i="3" s="1"/>
  <c r="L77" i="3"/>
  <c r="I77" i="3"/>
  <c r="H77" i="3"/>
  <c r="F77" i="3"/>
  <c r="C77" i="3"/>
  <c r="AC76" i="3"/>
  <c r="AD76" i="3" s="1"/>
  <c r="AA76" i="3"/>
  <c r="X76" i="3"/>
  <c r="W76" i="3"/>
  <c r="U76" i="3"/>
  <c r="R76" i="3"/>
  <c r="O76" i="3"/>
  <c r="N76" i="3"/>
  <c r="L76" i="3"/>
  <c r="H76" i="3"/>
  <c r="I76" i="3" s="1"/>
  <c r="F76" i="3"/>
  <c r="C76" i="3"/>
  <c r="AC75" i="3"/>
  <c r="AD75" i="3" s="1"/>
  <c r="AA75" i="3"/>
  <c r="W75" i="3"/>
  <c r="X75" i="3" s="1"/>
  <c r="U75" i="3"/>
  <c r="R75" i="3"/>
  <c r="O75" i="3"/>
  <c r="N75" i="3"/>
  <c r="L75" i="3"/>
  <c r="H75" i="3"/>
  <c r="I75" i="3" s="1"/>
  <c r="F75" i="3"/>
  <c r="C75" i="3"/>
  <c r="Z73" i="3"/>
  <c r="AA73" i="3" s="1"/>
  <c r="T73" i="3"/>
  <c r="W73" i="3" s="1"/>
  <c r="X73" i="3" s="1"/>
  <c r="R73" i="3"/>
  <c r="Q73" i="3"/>
  <c r="N73" i="3"/>
  <c r="O73" i="3" s="1"/>
  <c r="K73" i="3"/>
  <c r="L73" i="3" s="1"/>
  <c r="I73" i="3"/>
  <c r="H73" i="3"/>
  <c r="F73" i="3"/>
  <c r="E73" i="3"/>
  <c r="B73" i="3"/>
  <c r="C73" i="3" s="1"/>
  <c r="AC72" i="3"/>
  <c r="AD72" i="3" s="1"/>
  <c r="AA72" i="3"/>
  <c r="W72" i="3"/>
  <c r="X72" i="3" s="1"/>
  <c r="U72" i="3"/>
  <c r="R72" i="3"/>
  <c r="O72" i="3"/>
  <c r="N72" i="3"/>
  <c r="L72" i="3"/>
  <c r="I72" i="3"/>
  <c r="H72" i="3"/>
  <c r="F72" i="3"/>
  <c r="C72" i="3"/>
  <c r="AC71" i="3"/>
  <c r="AD71" i="3" s="1"/>
  <c r="AA71" i="3"/>
  <c r="X71" i="3"/>
  <c r="W71" i="3"/>
  <c r="U71" i="3"/>
  <c r="R71" i="3"/>
  <c r="O71" i="3"/>
  <c r="N71" i="3"/>
  <c r="L71" i="3"/>
  <c r="H71" i="3"/>
  <c r="I71" i="3" s="1"/>
  <c r="F71" i="3"/>
  <c r="C71" i="3"/>
  <c r="AD70" i="3"/>
  <c r="AC70" i="3"/>
  <c r="AA70" i="3"/>
  <c r="X70" i="3"/>
  <c r="W70" i="3"/>
  <c r="U70" i="3"/>
  <c r="R70" i="3"/>
  <c r="N70" i="3"/>
  <c r="O70" i="3" s="1"/>
  <c r="L70" i="3"/>
  <c r="H70" i="3"/>
  <c r="I70" i="3" s="1"/>
  <c r="F70" i="3"/>
  <c r="C70" i="3"/>
  <c r="AD69" i="3"/>
  <c r="AC69" i="3"/>
  <c r="AA69" i="3"/>
  <c r="W69" i="3"/>
  <c r="U69" i="3"/>
  <c r="R69" i="3"/>
  <c r="N69" i="3"/>
  <c r="O69" i="3" s="1"/>
  <c r="L69" i="3"/>
  <c r="I69" i="3"/>
  <c r="H69" i="3"/>
  <c r="F69" i="3"/>
  <c r="C69" i="3"/>
  <c r="AC68" i="3"/>
  <c r="AD68" i="3" s="1"/>
  <c r="AA68" i="3"/>
  <c r="W68" i="3"/>
  <c r="X68" i="3" s="1"/>
  <c r="U68" i="3"/>
  <c r="R68" i="3"/>
  <c r="O68" i="3"/>
  <c r="N68" i="3"/>
  <c r="L68" i="3"/>
  <c r="H68" i="3"/>
  <c r="I68" i="3" s="1"/>
  <c r="F68" i="3"/>
  <c r="C68" i="3"/>
  <c r="AC67" i="3"/>
  <c r="AD67" i="3" s="1"/>
  <c r="AA67" i="3"/>
  <c r="W67" i="3"/>
  <c r="X67" i="3" s="1"/>
  <c r="U67" i="3"/>
  <c r="R67" i="3"/>
  <c r="O67" i="3"/>
  <c r="N67" i="3"/>
  <c r="L67" i="3"/>
  <c r="H67" i="3"/>
  <c r="I67" i="3" s="1"/>
  <c r="F67" i="3"/>
  <c r="C67" i="3"/>
  <c r="AD66" i="3"/>
  <c r="AC66" i="3"/>
  <c r="AA66" i="3"/>
  <c r="X66" i="3"/>
  <c r="W66" i="3"/>
  <c r="U66" i="3"/>
  <c r="R66" i="3"/>
  <c r="O66" i="3"/>
  <c r="N66" i="3"/>
  <c r="L66" i="3"/>
  <c r="H66" i="3"/>
  <c r="I66" i="3" s="1"/>
  <c r="F66" i="3"/>
  <c r="C66" i="3"/>
  <c r="AD65" i="3"/>
  <c r="AC65" i="3"/>
  <c r="AA65" i="3"/>
  <c r="W65" i="3"/>
  <c r="U65" i="3"/>
  <c r="R65" i="3"/>
  <c r="O65" i="3"/>
  <c r="N65" i="3"/>
  <c r="L65" i="3"/>
  <c r="I65" i="3"/>
  <c r="H65" i="3"/>
  <c r="F65" i="3"/>
  <c r="C65" i="3"/>
  <c r="AC64" i="3"/>
  <c r="AD64" i="3" s="1"/>
  <c r="AA64" i="3"/>
  <c r="W64" i="3"/>
  <c r="X64" i="3" s="1"/>
  <c r="U64" i="3"/>
  <c r="R64" i="3"/>
  <c r="O64" i="3"/>
  <c r="N64" i="3"/>
  <c r="L64" i="3"/>
  <c r="I64" i="3"/>
  <c r="H64" i="3"/>
  <c r="F64" i="3"/>
  <c r="C64" i="3"/>
  <c r="AC62" i="3"/>
  <c r="AD62" i="3" s="1"/>
  <c r="Z62" i="3"/>
  <c r="AA62" i="3" s="1"/>
  <c r="W62" i="3"/>
  <c r="X62" i="3" s="1"/>
  <c r="U62" i="3"/>
  <c r="T62" i="3"/>
  <c r="Q62" i="3"/>
  <c r="R62" i="3" s="1"/>
  <c r="L62" i="3"/>
  <c r="K62" i="3"/>
  <c r="E62" i="3"/>
  <c r="F62" i="3" s="1"/>
  <c r="B62" i="3"/>
  <c r="AC61" i="3"/>
  <c r="AD61" i="3" s="1"/>
  <c r="AA61" i="3"/>
  <c r="Z61" i="3"/>
  <c r="T61" i="3"/>
  <c r="U61" i="3" s="1"/>
  <c r="R61" i="3"/>
  <c r="Q61" i="3"/>
  <c r="K61" i="3"/>
  <c r="L61" i="3" s="1"/>
  <c r="F61" i="3"/>
  <c r="E61" i="3"/>
  <c r="H61" i="3" s="1"/>
  <c r="I61" i="3" s="1"/>
  <c r="C61" i="3"/>
  <c r="B61" i="3"/>
  <c r="N61" i="3" s="1"/>
  <c r="O61" i="3" s="1"/>
  <c r="AC60" i="3"/>
  <c r="AD60" i="3" s="1"/>
  <c r="AA60" i="3"/>
  <c r="X60" i="3"/>
  <c r="W60" i="3"/>
  <c r="U60" i="3"/>
  <c r="R60" i="3"/>
  <c r="O60" i="3"/>
  <c r="N60" i="3"/>
  <c r="L60" i="3"/>
  <c r="H60" i="3"/>
  <c r="I60" i="3" s="1"/>
  <c r="F60" i="3"/>
  <c r="C60" i="3"/>
  <c r="AD59" i="3"/>
  <c r="AC59" i="3"/>
  <c r="AA59" i="3"/>
  <c r="X59" i="3"/>
  <c r="W59" i="3"/>
  <c r="U59" i="3"/>
  <c r="R59" i="3"/>
  <c r="N59" i="3"/>
  <c r="O59" i="3" s="1"/>
  <c r="L59" i="3"/>
  <c r="H59" i="3"/>
  <c r="I59" i="3" s="1"/>
  <c r="F59" i="3"/>
  <c r="C59" i="3"/>
  <c r="AC58" i="3"/>
  <c r="AD58" i="3" s="1"/>
  <c r="AA58" i="3"/>
  <c r="W58" i="3"/>
  <c r="U58" i="3"/>
  <c r="R58" i="3"/>
  <c r="O58" i="3"/>
  <c r="N58" i="3"/>
  <c r="L58" i="3"/>
  <c r="I58" i="3"/>
  <c r="H58" i="3"/>
  <c r="F58" i="3"/>
  <c r="C58" i="3"/>
  <c r="AC57" i="3"/>
  <c r="AD57" i="3" s="1"/>
  <c r="AA57" i="3"/>
  <c r="X57" i="3"/>
  <c r="W57" i="3"/>
  <c r="U57" i="3"/>
  <c r="R57" i="3"/>
  <c r="O57" i="3"/>
  <c r="N57" i="3"/>
  <c r="L57" i="3"/>
  <c r="I57" i="3"/>
  <c r="H57" i="3"/>
  <c r="F57" i="3"/>
  <c r="C57" i="3"/>
  <c r="AC56" i="3"/>
  <c r="AD56" i="3" s="1"/>
  <c r="AA56" i="3"/>
  <c r="W56" i="3"/>
  <c r="X56" i="3" s="1"/>
  <c r="U56" i="3"/>
  <c r="R56" i="3"/>
  <c r="O56" i="3"/>
  <c r="N56" i="3"/>
  <c r="L56" i="3"/>
  <c r="H56" i="3"/>
  <c r="I56" i="3" s="1"/>
  <c r="F56" i="3"/>
  <c r="C56" i="3"/>
  <c r="AD55" i="3"/>
  <c r="AC55" i="3"/>
  <c r="AA55" i="3"/>
  <c r="X55" i="3"/>
  <c r="W55" i="3"/>
  <c r="U55" i="3"/>
  <c r="R55" i="3"/>
  <c r="N55" i="3"/>
  <c r="O55" i="3" s="1"/>
  <c r="L55" i="3"/>
  <c r="H55" i="3"/>
  <c r="I55" i="3" s="1"/>
  <c r="F55" i="3"/>
  <c r="C55" i="3"/>
  <c r="AD54" i="3"/>
  <c r="AC54" i="3"/>
  <c r="AA54" i="3"/>
  <c r="W54" i="3"/>
  <c r="U54" i="3"/>
  <c r="R54" i="3"/>
  <c r="O54" i="3"/>
  <c r="N54" i="3"/>
  <c r="L54" i="3"/>
  <c r="I54" i="3"/>
  <c r="H54" i="3"/>
  <c r="F54" i="3"/>
  <c r="C54" i="3"/>
  <c r="AC53" i="3"/>
  <c r="AD53" i="3" s="1"/>
  <c r="AA53" i="3"/>
  <c r="W53" i="3"/>
  <c r="X53" i="3" s="1"/>
  <c r="U53" i="3"/>
  <c r="R53" i="3"/>
  <c r="O53" i="3"/>
  <c r="N53" i="3"/>
  <c r="L53" i="3"/>
  <c r="I53" i="3"/>
  <c r="H53" i="3"/>
  <c r="F53" i="3"/>
  <c r="C53" i="3"/>
  <c r="AC52" i="3"/>
  <c r="AD52" i="3" s="1"/>
  <c r="AA52" i="3"/>
  <c r="X52" i="3"/>
  <c r="W52" i="3"/>
  <c r="U52" i="3"/>
  <c r="R52" i="3"/>
  <c r="O52" i="3"/>
  <c r="N52" i="3"/>
  <c r="L52" i="3"/>
  <c r="H52" i="3"/>
  <c r="I52" i="3" s="1"/>
  <c r="F52" i="3"/>
  <c r="C52" i="3"/>
  <c r="AD51" i="3"/>
  <c r="AC51" i="3"/>
  <c r="AA51" i="3"/>
  <c r="X51" i="3"/>
  <c r="W51" i="3"/>
  <c r="U51" i="3"/>
  <c r="R51" i="3"/>
  <c r="N51" i="3"/>
  <c r="O51" i="3" s="1"/>
  <c r="L51" i="3"/>
  <c r="H51" i="3"/>
  <c r="I51" i="3" s="1"/>
  <c r="F51" i="3"/>
  <c r="C51" i="3"/>
  <c r="AD50" i="3"/>
  <c r="AC50" i="3"/>
  <c r="AA50" i="3"/>
  <c r="W50" i="3"/>
  <c r="U50" i="3"/>
  <c r="R50" i="3"/>
  <c r="N50" i="3"/>
  <c r="O50" i="3" s="1"/>
  <c r="L50" i="3"/>
  <c r="I50" i="3"/>
  <c r="H50" i="3"/>
  <c r="F50" i="3"/>
  <c r="C50" i="3"/>
  <c r="AC49" i="3"/>
  <c r="AD49" i="3" s="1"/>
  <c r="AA49" i="3"/>
  <c r="W49" i="3"/>
  <c r="X49" i="3" s="1"/>
  <c r="U49" i="3"/>
  <c r="R49" i="3"/>
  <c r="O49" i="3"/>
  <c r="N49" i="3"/>
  <c r="L49" i="3"/>
  <c r="H49" i="3"/>
  <c r="I49" i="3" s="1"/>
  <c r="F49" i="3"/>
  <c r="C49" i="3"/>
  <c r="AC48" i="3"/>
  <c r="AD48" i="3" s="1"/>
  <c r="AA48" i="3"/>
  <c r="W48" i="3"/>
  <c r="X48" i="3" s="1"/>
  <c r="U48" i="3"/>
  <c r="R48" i="3"/>
  <c r="O48" i="3"/>
  <c r="N48" i="3"/>
  <c r="L48" i="3"/>
  <c r="H48" i="3"/>
  <c r="I48" i="3" s="1"/>
  <c r="F48" i="3"/>
  <c r="C48" i="3"/>
  <c r="AD47" i="3"/>
  <c r="AC47" i="3"/>
  <c r="AA47" i="3"/>
  <c r="X47" i="3"/>
  <c r="W47" i="3"/>
  <c r="U47" i="3"/>
  <c r="R47" i="3"/>
  <c r="O47" i="3"/>
  <c r="N47" i="3"/>
  <c r="L47" i="3"/>
  <c r="H47" i="3"/>
  <c r="I47" i="3" s="1"/>
  <c r="F47" i="3"/>
  <c r="C47" i="3"/>
  <c r="AD46" i="3"/>
  <c r="AC46" i="3"/>
  <c r="AA46" i="3"/>
  <c r="W46" i="3"/>
  <c r="U46" i="3"/>
  <c r="R46" i="3"/>
  <c r="O46" i="3"/>
  <c r="N46" i="3"/>
  <c r="L46" i="3"/>
  <c r="I46" i="3"/>
  <c r="H46" i="3"/>
  <c r="F46" i="3"/>
  <c r="C46" i="3"/>
  <c r="AC44" i="3"/>
  <c r="AD44" i="3" s="1"/>
  <c r="AA44" i="3"/>
  <c r="W44" i="3"/>
  <c r="X44" i="3" s="1"/>
  <c r="U44" i="3"/>
  <c r="R44" i="3"/>
  <c r="O44" i="3"/>
  <c r="N44" i="3"/>
  <c r="L44" i="3"/>
  <c r="I44" i="3"/>
  <c r="H44" i="3"/>
  <c r="F44" i="3"/>
  <c r="C44" i="3"/>
  <c r="AC43" i="3"/>
  <c r="AD43" i="3" s="1"/>
  <c r="AA43" i="3"/>
  <c r="W43" i="3"/>
  <c r="X43" i="3" s="1"/>
  <c r="U43" i="3"/>
  <c r="R43" i="3"/>
  <c r="O43" i="3"/>
  <c r="N43" i="3"/>
  <c r="L43" i="3"/>
  <c r="H43" i="3"/>
  <c r="I43" i="3" s="1"/>
  <c r="F43" i="3"/>
  <c r="C43" i="3"/>
  <c r="AD42" i="3"/>
  <c r="AC42" i="3"/>
  <c r="AA42" i="3"/>
  <c r="X42" i="3"/>
  <c r="W42" i="3"/>
  <c r="U42" i="3"/>
  <c r="R42" i="3"/>
  <c r="O42" i="3"/>
  <c r="N42" i="3"/>
  <c r="L42" i="3"/>
  <c r="H42" i="3"/>
  <c r="I42" i="3" s="1"/>
  <c r="F42" i="3"/>
  <c r="C42" i="3"/>
  <c r="AA40" i="3"/>
  <c r="Z40" i="3"/>
  <c r="T40" i="3"/>
  <c r="U40" i="3" s="1"/>
  <c r="Q40" i="3"/>
  <c r="R40" i="3" s="1"/>
  <c r="K40" i="3"/>
  <c r="L40" i="3" s="1"/>
  <c r="H40" i="3"/>
  <c r="I40" i="3" s="1"/>
  <c r="F40" i="3"/>
  <c r="E40" i="3"/>
  <c r="C40" i="3"/>
  <c r="B40" i="3"/>
  <c r="AC39" i="3"/>
  <c r="AD39" i="3" s="1"/>
  <c r="AA39" i="3"/>
  <c r="W39" i="3"/>
  <c r="X39" i="3" s="1"/>
  <c r="U39" i="3"/>
  <c r="R39" i="3"/>
  <c r="O39" i="3"/>
  <c r="N39" i="3"/>
  <c r="L39" i="3"/>
  <c r="H39" i="3"/>
  <c r="I39" i="3" s="1"/>
  <c r="F39" i="3"/>
  <c r="C39" i="3"/>
  <c r="AD38" i="3"/>
  <c r="AC38" i="3"/>
  <c r="AA38" i="3"/>
  <c r="X38" i="3"/>
  <c r="W38" i="3"/>
  <c r="U38" i="3"/>
  <c r="R38" i="3"/>
  <c r="O38" i="3"/>
  <c r="N38" i="3"/>
  <c r="L38" i="3"/>
  <c r="H38" i="3"/>
  <c r="I38" i="3" s="1"/>
  <c r="F38" i="3"/>
  <c r="C38" i="3"/>
  <c r="AC37" i="3"/>
  <c r="AD37" i="3" s="1"/>
  <c r="AA37" i="3"/>
  <c r="W37" i="3"/>
  <c r="U37" i="3"/>
  <c r="R37" i="3"/>
  <c r="N37" i="3"/>
  <c r="O37" i="3" s="1"/>
  <c r="L37" i="3"/>
  <c r="I37" i="3"/>
  <c r="H37" i="3"/>
  <c r="F37" i="3"/>
  <c r="C37" i="3"/>
  <c r="AC36" i="3"/>
  <c r="AD36" i="3" s="1"/>
  <c r="AA36" i="3"/>
  <c r="X36" i="3"/>
  <c r="W36" i="3"/>
  <c r="U36" i="3"/>
  <c r="R36" i="3"/>
  <c r="O36" i="3"/>
  <c r="N36" i="3"/>
  <c r="L36" i="3"/>
  <c r="H36" i="3"/>
  <c r="I36" i="3" s="1"/>
  <c r="F36" i="3"/>
  <c r="C36" i="3"/>
  <c r="AC35" i="3"/>
  <c r="AD35" i="3" s="1"/>
  <c r="AA35" i="3"/>
  <c r="W35" i="3"/>
  <c r="X35" i="3" s="1"/>
  <c r="U35" i="3"/>
  <c r="R35" i="3"/>
  <c r="O35" i="3"/>
  <c r="N35" i="3"/>
  <c r="L35" i="3"/>
  <c r="H35" i="3"/>
  <c r="I35" i="3" s="1"/>
  <c r="F35" i="3"/>
  <c r="C35" i="3"/>
  <c r="AD34" i="3"/>
  <c r="AC34" i="3"/>
  <c r="AA34" i="3"/>
  <c r="X34" i="3"/>
  <c r="W34" i="3"/>
  <c r="U34" i="3"/>
  <c r="R34" i="3"/>
  <c r="O34" i="3"/>
  <c r="N34" i="3"/>
  <c r="L34" i="3"/>
  <c r="H34" i="3"/>
  <c r="I34" i="3" s="1"/>
  <c r="F34" i="3"/>
  <c r="C34" i="3"/>
  <c r="AD33" i="3"/>
  <c r="AC33" i="3"/>
  <c r="AA33" i="3"/>
  <c r="W33" i="3"/>
  <c r="U33" i="3"/>
  <c r="R33" i="3"/>
  <c r="N33" i="3"/>
  <c r="O33" i="3" s="1"/>
  <c r="L33" i="3"/>
  <c r="I33" i="3"/>
  <c r="H33" i="3"/>
  <c r="F33" i="3"/>
  <c r="C33" i="3"/>
  <c r="AC32" i="3"/>
  <c r="AD32" i="3" s="1"/>
  <c r="AA32" i="3"/>
  <c r="X32" i="3"/>
  <c r="W32" i="3"/>
  <c r="U32" i="3"/>
  <c r="R32" i="3"/>
  <c r="O32" i="3"/>
  <c r="N32" i="3"/>
  <c r="L32" i="3"/>
  <c r="H32" i="3"/>
  <c r="I32" i="3" s="1"/>
  <c r="F32" i="3"/>
  <c r="C32" i="3"/>
  <c r="AC31" i="3"/>
  <c r="AD31" i="3" s="1"/>
  <c r="AA31" i="3"/>
  <c r="X31" i="3"/>
  <c r="W31" i="3"/>
  <c r="U31" i="3"/>
  <c r="R31" i="3"/>
  <c r="O31" i="3"/>
  <c r="N31" i="3"/>
  <c r="L31" i="3"/>
  <c r="H31" i="3"/>
  <c r="I31" i="3" s="1"/>
  <c r="F31" i="3"/>
  <c r="C31" i="3"/>
  <c r="Z29" i="3"/>
  <c r="AA29" i="3" s="1"/>
  <c r="T29" i="3"/>
  <c r="W29" i="3" s="1"/>
  <c r="X29" i="3" s="1"/>
  <c r="R29" i="3"/>
  <c r="Q29" i="3"/>
  <c r="N29" i="3"/>
  <c r="O29" i="3" s="1"/>
  <c r="K29" i="3"/>
  <c r="L29" i="3" s="1"/>
  <c r="I29" i="3"/>
  <c r="H29" i="3"/>
  <c r="F29" i="3"/>
  <c r="E29" i="3"/>
  <c r="B29" i="3"/>
  <c r="C29" i="3" s="1"/>
  <c r="AC28" i="3"/>
  <c r="AD28" i="3" s="1"/>
  <c r="AA28" i="3"/>
  <c r="W28" i="3"/>
  <c r="X28" i="3" s="1"/>
  <c r="U28" i="3"/>
  <c r="R28" i="3"/>
  <c r="O28" i="3"/>
  <c r="N28" i="3"/>
  <c r="L28" i="3"/>
  <c r="I28" i="3"/>
  <c r="H28" i="3"/>
  <c r="F28" i="3"/>
  <c r="C28" i="3"/>
  <c r="AC27" i="3"/>
  <c r="AD27" i="3" s="1"/>
  <c r="AA27" i="3"/>
  <c r="W27" i="3"/>
  <c r="X27" i="3" s="1"/>
  <c r="U27" i="3"/>
  <c r="R27" i="3"/>
  <c r="O27" i="3"/>
  <c r="N27" i="3"/>
  <c r="L27" i="3"/>
  <c r="H27" i="3"/>
  <c r="I27" i="3" s="1"/>
  <c r="F27" i="3"/>
  <c r="C27" i="3"/>
  <c r="AD26" i="3"/>
  <c r="AC26" i="3"/>
  <c r="AA26" i="3"/>
  <c r="X26" i="3"/>
  <c r="W26" i="3"/>
  <c r="U26" i="3"/>
  <c r="R26" i="3"/>
  <c r="O26" i="3"/>
  <c r="N26" i="3"/>
  <c r="L26" i="3"/>
  <c r="H26" i="3"/>
  <c r="I26" i="3" s="1"/>
  <c r="F26" i="3"/>
  <c r="C26" i="3"/>
  <c r="AD25" i="3"/>
  <c r="AC25" i="3"/>
  <c r="AA25" i="3"/>
  <c r="W25" i="3"/>
  <c r="U25" i="3"/>
  <c r="R25" i="3"/>
  <c r="O25" i="3"/>
  <c r="N25" i="3"/>
  <c r="L25" i="3"/>
  <c r="I25" i="3"/>
  <c r="H25" i="3"/>
  <c r="F25" i="3"/>
  <c r="C25" i="3"/>
  <c r="AC24" i="3"/>
  <c r="AD24" i="3" s="1"/>
  <c r="AA24" i="3"/>
  <c r="W24" i="3"/>
  <c r="X24" i="3" s="1"/>
  <c r="U24" i="3"/>
  <c r="R24" i="3"/>
  <c r="O24" i="3"/>
  <c r="N24" i="3"/>
  <c r="L24" i="3"/>
  <c r="I24" i="3"/>
  <c r="H24" i="3"/>
  <c r="F24" i="3"/>
  <c r="C24" i="3"/>
  <c r="AC23" i="3"/>
  <c r="AD23" i="3" s="1"/>
  <c r="AA23" i="3"/>
  <c r="W23" i="3"/>
  <c r="X23" i="3" s="1"/>
  <c r="U23" i="3"/>
  <c r="R23" i="3"/>
  <c r="O23" i="3"/>
  <c r="N23" i="3"/>
  <c r="L23" i="3"/>
  <c r="H23" i="3"/>
  <c r="I23" i="3" s="1"/>
  <c r="F23" i="3"/>
  <c r="C23" i="3"/>
  <c r="AD22" i="3"/>
  <c r="AC22" i="3"/>
  <c r="AA22" i="3"/>
  <c r="X22" i="3"/>
  <c r="W22" i="3"/>
  <c r="U22" i="3"/>
  <c r="R22" i="3"/>
  <c r="O22" i="3"/>
  <c r="N22" i="3"/>
  <c r="L22" i="3"/>
  <c r="H22" i="3"/>
  <c r="I22" i="3" s="1"/>
  <c r="F22" i="3"/>
  <c r="C22" i="3"/>
  <c r="AD21" i="3"/>
  <c r="AC21" i="3"/>
  <c r="AA21" i="3"/>
  <c r="W21" i="3"/>
  <c r="U21" i="3"/>
  <c r="R21" i="3"/>
  <c r="N21" i="3"/>
  <c r="O21" i="3" s="1"/>
  <c r="L21" i="3"/>
  <c r="I21" i="3"/>
  <c r="H21" i="3"/>
  <c r="F21" i="3"/>
  <c r="C21" i="3"/>
  <c r="AC19" i="3"/>
  <c r="AD19" i="3" s="1"/>
  <c r="AA19" i="3"/>
  <c r="W19" i="3"/>
  <c r="X19" i="3" s="1"/>
  <c r="U19" i="3"/>
  <c r="R19" i="3"/>
  <c r="O19" i="3"/>
  <c r="N19" i="3"/>
  <c r="L19" i="3"/>
  <c r="H19" i="3"/>
  <c r="I19" i="3" s="1"/>
  <c r="F19" i="3"/>
  <c r="C19" i="3"/>
  <c r="AC18" i="3"/>
  <c r="AD18" i="3" s="1"/>
  <c r="Z18" i="3"/>
  <c r="AA18" i="3" s="1"/>
  <c r="U18" i="3"/>
  <c r="T18" i="3"/>
  <c r="Q18" i="3"/>
  <c r="R18" i="3" s="1"/>
  <c r="N18" i="3"/>
  <c r="O18" i="3" s="1"/>
  <c r="L18" i="3"/>
  <c r="K18" i="3"/>
  <c r="E18" i="3"/>
  <c r="F18" i="3" s="1"/>
  <c r="B18" i="3"/>
  <c r="AC17" i="3"/>
  <c r="AD17" i="3" s="1"/>
  <c r="AA17" i="3"/>
  <c r="W17" i="3"/>
  <c r="U17" i="3"/>
  <c r="R17" i="3"/>
  <c r="O17" i="3"/>
  <c r="N17" i="3"/>
  <c r="L17" i="3"/>
  <c r="I17" i="3"/>
  <c r="H17" i="3"/>
  <c r="F17" i="3"/>
  <c r="C17" i="3"/>
  <c r="AC16" i="3"/>
  <c r="AD16" i="3" s="1"/>
  <c r="AA16" i="3"/>
  <c r="W16" i="3"/>
  <c r="X16" i="3" s="1"/>
  <c r="U16" i="3"/>
  <c r="R16" i="3"/>
  <c r="O16" i="3"/>
  <c r="N16" i="3"/>
  <c r="L16" i="3"/>
  <c r="I16" i="3"/>
  <c r="H16" i="3"/>
  <c r="F16" i="3"/>
  <c r="C16" i="3"/>
  <c r="AC15" i="3"/>
  <c r="AD15" i="3" s="1"/>
  <c r="AA15" i="3"/>
  <c r="X15" i="3"/>
  <c r="W15" i="3"/>
  <c r="U15" i="3"/>
  <c r="R15" i="3"/>
  <c r="O15" i="3"/>
  <c r="N15" i="3"/>
  <c r="L15" i="3"/>
  <c r="H15" i="3"/>
  <c r="I15" i="3" s="1"/>
  <c r="F15" i="3"/>
  <c r="C15" i="3"/>
  <c r="AD14" i="3"/>
  <c r="AC14" i="3"/>
  <c r="AA14" i="3"/>
  <c r="X14" i="3"/>
  <c r="W14" i="3"/>
  <c r="U14" i="3"/>
  <c r="R14" i="3"/>
  <c r="N14" i="3"/>
  <c r="O14" i="3" s="1"/>
  <c r="L14" i="3"/>
  <c r="H14" i="3"/>
  <c r="I14" i="3" s="1"/>
  <c r="F14" i="3"/>
  <c r="C14" i="3"/>
  <c r="AD13" i="3"/>
  <c r="AC13" i="3"/>
  <c r="AA13" i="3"/>
  <c r="W13" i="3"/>
  <c r="U13" i="3"/>
  <c r="R13" i="3"/>
  <c r="O13" i="3"/>
  <c r="N13" i="3"/>
  <c r="L13" i="3"/>
  <c r="I13" i="3"/>
  <c r="H13" i="3"/>
  <c r="F13" i="3"/>
  <c r="C13" i="3"/>
  <c r="AC12" i="3"/>
  <c r="AD12" i="3" s="1"/>
  <c r="AA12" i="3"/>
  <c r="W12" i="3"/>
  <c r="X12" i="3" s="1"/>
  <c r="U12" i="3"/>
  <c r="R12" i="3"/>
  <c r="O12" i="3"/>
  <c r="N12" i="3"/>
  <c r="L12" i="3"/>
  <c r="H12" i="3"/>
  <c r="I12" i="3" s="1"/>
  <c r="F12" i="3"/>
  <c r="C12" i="3"/>
  <c r="AC11" i="3"/>
  <c r="AD11" i="3" s="1"/>
  <c r="AA11" i="3"/>
  <c r="W11" i="3"/>
  <c r="X11" i="3" s="1"/>
  <c r="U11" i="3"/>
  <c r="R11" i="3"/>
  <c r="O11" i="3"/>
  <c r="N11" i="3"/>
  <c r="L11" i="3"/>
  <c r="H11" i="3"/>
  <c r="I11" i="3" s="1"/>
  <c r="F11" i="3"/>
  <c r="C11" i="3"/>
  <c r="AD10" i="3"/>
  <c r="AC10" i="3"/>
  <c r="AA10" i="3"/>
  <c r="X10" i="3"/>
  <c r="W10" i="3"/>
  <c r="U10" i="3"/>
  <c r="R10" i="3"/>
  <c r="N10" i="3"/>
  <c r="O10" i="3" s="1"/>
  <c r="L10" i="3"/>
  <c r="H10" i="3"/>
  <c r="I10" i="3" s="1"/>
  <c r="F10" i="3"/>
  <c r="C10" i="3"/>
  <c r="AD8" i="3"/>
  <c r="AC8" i="3"/>
  <c r="AA8" i="3"/>
  <c r="W8" i="3"/>
  <c r="U8" i="3"/>
  <c r="R8" i="3"/>
  <c r="O8" i="3"/>
  <c r="N8" i="3"/>
  <c r="L8" i="3"/>
  <c r="I8" i="3"/>
  <c r="H8" i="3"/>
  <c r="F8" i="3"/>
  <c r="C8" i="3"/>
  <c r="AC444" i="2"/>
  <c r="W444" i="2"/>
  <c r="N444" i="2"/>
  <c r="H444" i="2"/>
  <c r="I433" i="2" s="1"/>
  <c r="AC442" i="2"/>
  <c r="AD442" i="2" s="1"/>
  <c r="AA442" i="2"/>
  <c r="Z442" i="2"/>
  <c r="T442" i="2"/>
  <c r="U442" i="2" s="1"/>
  <c r="Q442" i="2"/>
  <c r="L442" i="2"/>
  <c r="K442" i="2"/>
  <c r="E442" i="2"/>
  <c r="F442" i="2" s="1"/>
  <c r="B442" i="2"/>
  <c r="C442" i="2" s="1"/>
  <c r="Z441" i="2"/>
  <c r="AA441" i="2" s="1"/>
  <c r="W441" i="2"/>
  <c r="X441" i="2" s="1"/>
  <c r="U441" i="2"/>
  <c r="T441" i="2"/>
  <c r="R441" i="2"/>
  <c r="Q441" i="2"/>
  <c r="N441" i="2"/>
  <c r="O441" i="2" s="1"/>
  <c r="K441" i="2"/>
  <c r="L441" i="2" s="1"/>
  <c r="H441" i="2"/>
  <c r="I441" i="2" s="1"/>
  <c r="F441" i="2"/>
  <c r="E441" i="2"/>
  <c r="B441" i="2"/>
  <c r="C441" i="2" s="1"/>
  <c r="AC440" i="2"/>
  <c r="AD440" i="2" s="1"/>
  <c r="AA440" i="2"/>
  <c r="W440" i="2"/>
  <c r="X440" i="2" s="1"/>
  <c r="U440" i="2"/>
  <c r="R440" i="2"/>
  <c r="O440" i="2"/>
  <c r="N440" i="2"/>
  <c r="L440" i="2"/>
  <c r="I440" i="2"/>
  <c r="H440" i="2"/>
  <c r="F440" i="2"/>
  <c r="C440" i="2"/>
  <c r="AC439" i="2"/>
  <c r="AD439" i="2" s="1"/>
  <c r="AA439" i="2"/>
  <c r="X439" i="2"/>
  <c r="W439" i="2"/>
  <c r="U439" i="2"/>
  <c r="R439" i="2"/>
  <c r="N439" i="2"/>
  <c r="L439" i="2"/>
  <c r="H439" i="2"/>
  <c r="F439" i="2"/>
  <c r="C439" i="2"/>
  <c r="AD438" i="2"/>
  <c r="AC438" i="2"/>
  <c r="AA438" i="2"/>
  <c r="X438" i="2"/>
  <c r="W438" i="2"/>
  <c r="U438" i="2"/>
  <c r="R438" i="2"/>
  <c r="O438" i="2"/>
  <c r="N438" i="2"/>
  <c r="L438" i="2"/>
  <c r="H438" i="2"/>
  <c r="I438" i="2" s="1"/>
  <c r="F438" i="2"/>
  <c r="C438" i="2"/>
  <c r="AD437" i="2"/>
  <c r="AC437" i="2"/>
  <c r="AA437" i="2"/>
  <c r="W437" i="2"/>
  <c r="U437" i="2"/>
  <c r="R437" i="2"/>
  <c r="N437" i="2"/>
  <c r="O437" i="2" s="1"/>
  <c r="L437" i="2"/>
  <c r="H437" i="2"/>
  <c r="F437" i="2"/>
  <c r="C437" i="2"/>
  <c r="AC436" i="2"/>
  <c r="AD436" i="2" s="1"/>
  <c r="AA436" i="2"/>
  <c r="X436" i="2"/>
  <c r="W436" i="2"/>
  <c r="U436" i="2"/>
  <c r="R436" i="2"/>
  <c r="N436" i="2"/>
  <c r="L436" i="2"/>
  <c r="H436" i="2"/>
  <c r="I436" i="2" s="1"/>
  <c r="F436" i="2"/>
  <c r="C436" i="2"/>
  <c r="AC435" i="2"/>
  <c r="AD435" i="2" s="1"/>
  <c r="AA435" i="2"/>
  <c r="W435" i="2"/>
  <c r="X435" i="2" s="1"/>
  <c r="U435" i="2"/>
  <c r="R435" i="2"/>
  <c r="N435" i="2"/>
  <c r="L435" i="2"/>
  <c r="H435" i="2"/>
  <c r="I435" i="2" s="1"/>
  <c r="F435" i="2"/>
  <c r="C435" i="2"/>
  <c r="AD434" i="2"/>
  <c r="AC434" i="2"/>
  <c r="AA434" i="2"/>
  <c r="X434" i="2"/>
  <c r="W434" i="2"/>
  <c r="U434" i="2"/>
  <c r="R434" i="2"/>
  <c r="N434" i="2"/>
  <c r="O434" i="2" s="1"/>
  <c r="L434" i="2"/>
  <c r="H434" i="2"/>
  <c r="I434" i="2" s="1"/>
  <c r="F434" i="2"/>
  <c r="C434" i="2"/>
  <c r="AD433" i="2"/>
  <c r="AC433" i="2"/>
  <c r="AA433" i="2"/>
  <c r="W433" i="2"/>
  <c r="U433" i="2"/>
  <c r="R433" i="2"/>
  <c r="O433" i="2"/>
  <c r="N433" i="2"/>
  <c r="L433" i="2"/>
  <c r="H433" i="2"/>
  <c r="F433" i="2"/>
  <c r="C433" i="2"/>
  <c r="AC432" i="2"/>
  <c r="AD432" i="2" s="1"/>
  <c r="AA432" i="2"/>
  <c r="W432" i="2"/>
  <c r="X432" i="2" s="1"/>
  <c r="U432" i="2"/>
  <c r="R432" i="2"/>
  <c r="O432" i="2"/>
  <c r="N432" i="2"/>
  <c r="L432" i="2"/>
  <c r="H432" i="2"/>
  <c r="F432" i="2"/>
  <c r="C432" i="2"/>
  <c r="Z429" i="2"/>
  <c r="AA429" i="2" s="1"/>
  <c r="W429" i="2"/>
  <c r="X429" i="2" s="1"/>
  <c r="U429" i="2"/>
  <c r="T429" i="2"/>
  <c r="Q429" i="2"/>
  <c r="R429" i="2" s="1"/>
  <c r="K429" i="2"/>
  <c r="L429" i="2" s="1"/>
  <c r="E429" i="2"/>
  <c r="F429" i="2" s="1"/>
  <c r="B429" i="2"/>
  <c r="AC428" i="2"/>
  <c r="AD428" i="2" s="1"/>
  <c r="AA428" i="2"/>
  <c r="Z428" i="2"/>
  <c r="W428" i="2"/>
  <c r="X428" i="2" s="1"/>
  <c r="T428" i="2"/>
  <c r="U428" i="2" s="1"/>
  <c r="R428" i="2"/>
  <c r="Q428" i="2"/>
  <c r="K428" i="2"/>
  <c r="L428" i="2" s="1"/>
  <c r="E428" i="2"/>
  <c r="H428" i="2" s="1"/>
  <c r="I428" i="2" s="1"/>
  <c r="C428" i="2"/>
  <c r="B428" i="2"/>
  <c r="N428" i="2" s="1"/>
  <c r="O428" i="2" s="1"/>
  <c r="AC427" i="2"/>
  <c r="AD427" i="2" s="1"/>
  <c r="AA427" i="2"/>
  <c r="X427" i="2"/>
  <c r="W427" i="2"/>
  <c r="U427" i="2"/>
  <c r="R427" i="2"/>
  <c r="N427" i="2"/>
  <c r="L427" i="2"/>
  <c r="H427" i="2"/>
  <c r="F427" i="2"/>
  <c r="C427" i="2"/>
  <c r="AD426" i="2"/>
  <c r="AC426" i="2"/>
  <c r="AA426" i="2"/>
  <c r="X426" i="2"/>
  <c r="W426" i="2"/>
  <c r="U426" i="2"/>
  <c r="R426" i="2"/>
  <c r="O426" i="2"/>
  <c r="N426" i="2"/>
  <c r="L426" i="2"/>
  <c r="H426" i="2"/>
  <c r="I426" i="2" s="1"/>
  <c r="F426" i="2"/>
  <c r="C426" i="2"/>
  <c r="AD425" i="2"/>
  <c r="AC425" i="2"/>
  <c r="AA425" i="2"/>
  <c r="W425" i="2"/>
  <c r="U425" i="2"/>
  <c r="R425" i="2"/>
  <c r="N425" i="2"/>
  <c r="O425" i="2" s="1"/>
  <c r="L425" i="2"/>
  <c r="H425" i="2"/>
  <c r="F425" i="2"/>
  <c r="C425" i="2"/>
  <c r="AC424" i="2"/>
  <c r="AD424" i="2" s="1"/>
  <c r="AA424" i="2"/>
  <c r="X424" i="2"/>
  <c r="W424" i="2"/>
  <c r="U424" i="2"/>
  <c r="R424" i="2"/>
  <c r="N424" i="2"/>
  <c r="L424" i="2"/>
  <c r="H424" i="2"/>
  <c r="I424" i="2" s="1"/>
  <c r="F424" i="2"/>
  <c r="C424" i="2"/>
  <c r="AC423" i="2"/>
  <c r="AD423" i="2" s="1"/>
  <c r="AA423" i="2"/>
  <c r="W423" i="2"/>
  <c r="X423" i="2" s="1"/>
  <c r="U423" i="2"/>
  <c r="R423" i="2"/>
  <c r="N423" i="2"/>
  <c r="L423" i="2"/>
  <c r="H423" i="2"/>
  <c r="I423" i="2" s="1"/>
  <c r="F423" i="2"/>
  <c r="C423" i="2"/>
  <c r="AD422" i="2"/>
  <c r="AC422" i="2"/>
  <c r="AA422" i="2"/>
  <c r="X422" i="2"/>
  <c r="W422" i="2"/>
  <c r="U422" i="2"/>
  <c r="R422" i="2"/>
  <c r="N422" i="2"/>
  <c r="O422" i="2" s="1"/>
  <c r="L422" i="2"/>
  <c r="H422" i="2"/>
  <c r="I422" i="2" s="1"/>
  <c r="F422" i="2"/>
  <c r="C422" i="2"/>
  <c r="AD421" i="2"/>
  <c r="AC421" i="2"/>
  <c r="AA421" i="2"/>
  <c r="W421" i="2"/>
  <c r="U421" i="2"/>
  <c r="R421" i="2"/>
  <c r="O421" i="2"/>
  <c r="N421" i="2"/>
  <c r="L421" i="2"/>
  <c r="H421" i="2"/>
  <c r="F421" i="2"/>
  <c r="C421" i="2"/>
  <c r="AC420" i="2"/>
  <c r="AD420" i="2" s="1"/>
  <c r="AA420" i="2"/>
  <c r="W420" i="2"/>
  <c r="X420" i="2" s="1"/>
  <c r="U420" i="2"/>
  <c r="R420" i="2"/>
  <c r="O420" i="2"/>
  <c r="N420" i="2"/>
  <c r="L420" i="2"/>
  <c r="H420" i="2"/>
  <c r="F420" i="2"/>
  <c r="C420" i="2"/>
  <c r="AC419" i="2"/>
  <c r="AD419" i="2" s="1"/>
  <c r="AA419" i="2"/>
  <c r="W419" i="2"/>
  <c r="X419" i="2" s="1"/>
  <c r="U419" i="2"/>
  <c r="R419" i="2"/>
  <c r="N419" i="2"/>
  <c r="L419" i="2"/>
  <c r="H419" i="2"/>
  <c r="I419" i="2" s="1"/>
  <c r="F419" i="2"/>
  <c r="C419" i="2"/>
  <c r="AD418" i="2"/>
  <c r="AC418" i="2"/>
  <c r="AA418" i="2"/>
  <c r="X418" i="2"/>
  <c r="W418" i="2"/>
  <c r="U418" i="2"/>
  <c r="R418" i="2"/>
  <c r="N418" i="2"/>
  <c r="O418" i="2" s="1"/>
  <c r="L418" i="2"/>
  <c r="H418" i="2"/>
  <c r="F418" i="2"/>
  <c r="C418" i="2"/>
  <c r="AC417" i="2"/>
  <c r="AD417" i="2" s="1"/>
  <c r="AA417" i="2"/>
  <c r="W417" i="2"/>
  <c r="U417" i="2"/>
  <c r="R417" i="2"/>
  <c r="O417" i="2"/>
  <c r="N417" i="2"/>
  <c r="L417" i="2"/>
  <c r="I417" i="2"/>
  <c r="H417" i="2"/>
  <c r="F417" i="2"/>
  <c r="C417" i="2"/>
  <c r="AC416" i="2"/>
  <c r="AD416" i="2" s="1"/>
  <c r="AA416" i="2"/>
  <c r="W416" i="2"/>
  <c r="X416" i="2" s="1"/>
  <c r="U416" i="2"/>
  <c r="R416" i="2"/>
  <c r="O416" i="2"/>
  <c r="N416" i="2"/>
  <c r="L416" i="2"/>
  <c r="I416" i="2"/>
  <c r="H416" i="2"/>
  <c r="F416" i="2"/>
  <c r="C416" i="2"/>
  <c r="AC415" i="2"/>
  <c r="AD415" i="2" s="1"/>
  <c r="AA415" i="2"/>
  <c r="X415" i="2"/>
  <c r="W415" i="2"/>
  <c r="U415" i="2"/>
  <c r="R415" i="2"/>
  <c r="N415" i="2"/>
  <c r="L415" i="2"/>
  <c r="H415" i="2"/>
  <c r="I415" i="2" s="1"/>
  <c r="F415" i="2"/>
  <c r="C415" i="2"/>
  <c r="AD414" i="2"/>
  <c r="AC414" i="2"/>
  <c r="AA414" i="2"/>
  <c r="X414" i="2"/>
  <c r="W414" i="2"/>
  <c r="U414" i="2"/>
  <c r="R414" i="2"/>
  <c r="O414" i="2"/>
  <c r="N414" i="2"/>
  <c r="L414" i="2"/>
  <c r="H414" i="2"/>
  <c r="F414" i="2"/>
  <c r="C414" i="2"/>
  <c r="AC413" i="2"/>
  <c r="AD413" i="2" s="1"/>
  <c r="AA413" i="2"/>
  <c r="W413" i="2"/>
  <c r="U413" i="2"/>
  <c r="R413" i="2"/>
  <c r="N413" i="2"/>
  <c r="O413" i="2" s="1"/>
  <c r="L413" i="2"/>
  <c r="I413" i="2"/>
  <c r="H413" i="2"/>
  <c r="F413" i="2"/>
  <c r="C413" i="2"/>
  <c r="AC412" i="2"/>
  <c r="AD412" i="2" s="1"/>
  <c r="AA412" i="2"/>
  <c r="X412" i="2"/>
  <c r="W412" i="2"/>
  <c r="U412" i="2"/>
  <c r="R412" i="2"/>
  <c r="O412" i="2"/>
  <c r="N412" i="2"/>
  <c r="L412" i="2"/>
  <c r="H412" i="2"/>
  <c r="I412" i="2" s="1"/>
  <c r="F412" i="2"/>
  <c r="C412" i="2"/>
  <c r="AC411" i="2"/>
  <c r="AD411" i="2" s="1"/>
  <c r="AA411" i="2"/>
  <c r="X411" i="2"/>
  <c r="W411" i="2"/>
  <c r="U411" i="2"/>
  <c r="R411" i="2"/>
  <c r="N411" i="2"/>
  <c r="L411" i="2"/>
  <c r="H411" i="2"/>
  <c r="F411" i="2"/>
  <c r="C411" i="2"/>
  <c r="AD410" i="2"/>
  <c r="AC410" i="2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D409" i="2"/>
  <c r="AC409" i="2"/>
  <c r="AA409" i="2"/>
  <c r="W409" i="2"/>
  <c r="U409" i="2"/>
  <c r="R409" i="2"/>
  <c r="N409" i="2"/>
  <c r="O409" i="2" s="1"/>
  <c r="L409" i="2"/>
  <c r="H409" i="2"/>
  <c r="F409" i="2"/>
  <c r="C409" i="2"/>
  <c r="AC408" i="2"/>
  <c r="AD408" i="2" s="1"/>
  <c r="AA408" i="2"/>
  <c r="X408" i="2"/>
  <c r="W408" i="2"/>
  <c r="U408" i="2"/>
  <c r="R408" i="2"/>
  <c r="N408" i="2"/>
  <c r="L408" i="2"/>
  <c r="H408" i="2"/>
  <c r="I408" i="2" s="1"/>
  <c r="F408" i="2"/>
  <c r="C408" i="2"/>
  <c r="AC407" i="2"/>
  <c r="AD407" i="2" s="1"/>
  <c r="AA407" i="2"/>
  <c r="W407" i="2"/>
  <c r="X407" i="2" s="1"/>
  <c r="U407" i="2"/>
  <c r="R407" i="2"/>
  <c r="N407" i="2"/>
  <c r="L407" i="2"/>
  <c r="H407" i="2"/>
  <c r="I407" i="2" s="1"/>
  <c r="F407" i="2"/>
  <c r="C407" i="2"/>
  <c r="AA403" i="2"/>
  <c r="Z403" i="2"/>
  <c r="T403" i="2"/>
  <c r="U403" i="2" s="1"/>
  <c r="Q403" i="2"/>
  <c r="AC403" i="2" s="1"/>
  <c r="AD403" i="2" s="1"/>
  <c r="L403" i="2"/>
  <c r="K403" i="2"/>
  <c r="E403" i="2"/>
  <c r="F403" i="2" s="1"/>
  <c r="B403" i="2"/>
  <c r="H403" i="2" s="1"/>
  <c r="I403" i="2" s="1"/>
  <c r="AD402" i="2"/>
  <c r="AC402" i="2"/>
  <c r="AA402" i="2"/>
  <c r="X402" i="2"/>
  <c r="W402" i="2"/>
  <c r="U402" i="2"/>
  <c r="R402" i="2"/>
  <c r="O402" i="2"/>
  <c r="N402" i="2"/>
  <c r="L402" i="2"/>
  <c r="H402" i="2"/>
  <c r="F402" i="2"/>
  <c r="C402" i="2"/>
  <c r="AC401" i="2"/>
  <c r="AD401" i="2" s="1"/>
  <c r="AA401" i="2"/>
  <c r="W401" i="2"/>
  <c r="U401" i="2"/>
  <c r="R401" i="2"/>
  <c r="O401" i="2"/>
  <c r="N401" i="2"/>
  <c r="L401" i="2"/>
  <c r="I401" i="2"/>
  <c r="H401" i="2"/>
  <c r="F401" i="2"/>
  <c r="C401" i="2"/>
  <c r="AC400" i="2"/>
  <c r="AD400" i="2" s="1"/>
  <c r="AA400" i="2"/>
  <c r="W400" i="2"/>
  <c r="X400" i="2" s="1"/>
  <c r="U400" i="2"/>
  <c r="R400" i="2"/>
  <c r="O400" i="2"/>
  <c r="N400" i="2"/>
  <c r="L400" i="2"/>
  <c r="I400" i="2"/>
  <c r="H400" i="2"/>
  <c r="F400" i="2"/>
  <c r="C400" i="2"/>
  <c r="AC399" i="2"/>
  <c r="AD399" i="2" s="1"/>
  <c r="AA399" i="2"/>
  <c r="X399" i="2"/>
  <c r="W399" i="2"/>
  <c r="U399" i="2"/>
  <c r="R399" i="2"/>
  <c r="N399" i="2"/>
  <c r="L399" i="2"/>
  <c r="H399" i="2"/>
  <c r="I399" i="2" s="1"/>
  <c r="F399" i="2"/>
  <c r="C399" i="2"/>
  <c r="AD398" i="2"/>
  <c r="AC398" i="2"/>
  <c r="AA398" i="2"/>
  <c r="X398" i="2"/>
  <c r="W398" i="2"/>
  <c r="U398" i="2"/>
  <c r="R398" i="2"/>
  <c r="O398" i="2"/>
  <c r="N398" i="2"/>
  <c r="L398" i="2"/>
  <c r="H398" i="2"/>
  <c r="F398" i="2"/>
  <c r="C398" i="2"/>
  <c r="AD397" i="2"/>
  <c r="AC397" i="2"/>
  <c r="AA397" i="2"/>
  <c r="W397" i="2"/>
  <c r="U397" i="2"/>
  <c r="R397" i="2"/>
  <c r="N397" i="2"/>
  <c r="O397" i="2" s="1"/>
  <c r="L397" i="2"/>
  <c r="I397" i="2"/>
  <c r="H397" i="2"/>
  <c r="F397" i="2"/>
  <c r="C397" i="2"/>
  <c r="Z396" i="2"/>
  <c r="AA396" i="2" s="1"/>
  <c r="T396" i="2"/>
  <c r="U396" i="2" s="1"/>
  <c r="Q396" i="2"/>
  <c r="N396" i="2"/>
  <c r="O396" i="2" s="1"/>
  <c r="L396" i="2"/>
  <c r="K396" i="2"/>
  <c r="E396" i="2"/>
  <c r="F396" i="2" s="1"/>
  <c r="C396" i="2"/>
  <c r="B396" i="2"/>
  <c r="AD395" i="2"/>
  <c r="AC395" i="2"/>
  <c r="AA395" i="2"/>
  <c r="X395" i="2"/>
  <c r="W395" i="2"/>
  <c r="U395" i="2"/>
  <c r="R395" i="2"/>
  <c r="O395" i="2"/>
  <c r="N395" i="2"/>
  <c r="L395" i="2"/>
  <c r="H395" i="2"/>
  <c r="F395" i="2"/>
  <c r="C395" i="2"/>
  <c r="AD394" i="2"/>
  <c r="AC394" i="2"/>
  <c r="AA394" i="2"/>
  <c r="W394" i="2"/>
  <c r="U394" i="2"/>
  <c r="R394" i="2"/>
  <c r="N394" i="2"/>
  <c r="O394" i="2" s="1"/>
  <c r="L394" i="2"/>
  <c r="I394" i="2"/>
  <c r="H394" i="2"/>
  <c r="F394" i="2"/>
  <c r="C394" i="2"/>
  <c r="Z393" i="2"/>
  <c r="AA393" i="2" s="1"/>
  <c r="T393" i="2"/>
  <c r="U393" i="2" s="1"/>
  <c r="Q393" i="2"/>
  <c r="N393" i="2"/>
  <c r="O393" i="2" s="1"/>
  <c r="L393" i="2"/>
  <c r="K393" i="2"/>
  <c r="E393" i="2"/>
  <c r="F393" i="2" s="1"/>
  <c r="C393" i="2"/>
  <c r="B393" i="2"/>
  <c r="AD392" i="2"/>
  <c r="AC392" i="2"/>
  <c r="AA392" i="2"/>
  <c r="X392" i="2"/>
  <c r="W392" i="2"/>
  <c r="U392" i="2"/>
  <c r="R392" i="2"/>
  <c r="O392" i="2"/>
  <c r="N392" i="2"/>
  <c r="L392" i="2"/>
  <c r="H392" i="2"/>
  <c r="F392" i="2"/>
  <c r="C392" i="2"/>
  <c r="AD391" i="2"/>
  <c r="AC391" i="2"/>
  <c r="AA391" i="2"/>
  <c r="W391" i="2"/>
  <c r="U391" i="2"/>
  <c r="R391" i="2"/>
  <c r="N391" i="2"/>
  <c r="O391" i="2" s="1"/>
  <c r="L391" i="2"/>
  <c r="I391" i="2"/>
  <c r="H391" i="2"/>
  <c r="F391" i="2"/>
  <c r="C391" i="2"/>
  <c r="AC390" i="2"/>
  <c r="AD390" i="2" s="1"/>
  <c r="AA390" i="2"/>
  <c r="W390" i="2"/>
  <c r="X390" i="2" s="1"/>
  <c r="U390" i="2"/>
  <c r="R390" i="2"/>
  <c r="O390" i="2"/>
  <c r="N390" i="2"/>
  <c r="L390" i="2"/>
  <c r="H390" i="2"/>
  <c r="I390" i="2" s="1"/>
  <c r="F390" i="2"/>
  <c r="C390" i="2"/>
  <c r="AC389" i="2"/>
  <c r="AD389" i="2" s="1"/>
  <c r="AA389" i="2"/>
  <c r="X389" i="2"/>
  <c r="W389" i="2"/>
  <c r="U389" i="2"/>
  <c r="R389" i="2"/>
  <c r="N389" i="2"/>
  <c r="L389" i="2"/>
  <c r="H389" i="2"/>
  <c r="F389" i="2"/>
  <c r="C389" i="2"/>
  <c r="AD388" i="2"/>
  <c r="AC388" i="2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D386" i="2"/>
  <c r="AC386" i="2"/>
  <c r="AA386" i="2"/>
  <c r="W386" i="2"/>
  <c r="U386" i="2"/>
  <c r="R386" i="2"/>
  <c r="O386" i="2"/>
  <c r="N386" i="2"/>
  <c r="L386" i="2"/>
  <c r="H386" i="2"/>
  <c r="F386" i="2"/>
  <c r="C386" i="2"/>
  <c r="AC385" i="2"/>
  <c r="AD385" i="2" s="1"/>
  <c r="AA385" i="2"/>
  <c r="X385" i="2"/>
  <c r="W385" i="2"/>
  <c r="U385" i="2"/>
  <c r="R385" i="2"/>
  <c r="N385" i="2"/>
  <c r="L385" i="2"/>
  <c r="I385" i="2"/>
  <c r="H385" i="2"/>
  <c r="F385" i="2"/>
  <c r="C385" i="2"/>
  <c r="AC383" i="2"/>
  <c r="AD383" i="2" s="1"/>
  <c r="AA383" i="2"/>
  <c r="W383" i="2"/>
  <c r="X383" i="2" s="1"/>
  <c r="U383" i="2"/>
  <c r="R383" i="2"/>
  <c r="N383" i="2"/>
  <c r="L383" i="2"/>
  <c r="H383" i="2"/>
  <c r="I383" i="2" s="1"/>
  <c r="F383" i="2"/>
  <c r="C383" i="2"/>
  <c r="AD382" i="2"/>
  <c r="AC382" i="2"/>
  <c r="AA382" i="2"/>
  <c r="X382" i="2"/>
  <c r="W382" i="2"/>
  <c r="U382" i="2"/>
  <c r="R382" i="2"/>
  <c r="N382" i="2"/>
  <c r="O382" i="2" s="1"/>
  <c r="L382" i="2"/>
  <c r="H382" i="2"/>
  <c r="I382" i="2" s="1"/>
  <c r="F382" i="2"/>
  <c r="C382" i="2"/>
  <c r="AD381" i="2"/>
  <c r="AC381" i="2"/>
  <c r="AA381" i="2"/>
  <c r="W381" i="2"/>
  <c r="U381" i="2"/>
  <c r="R381" i="2"/>
  <c r="O381" i="2"/>
  <c r="N381" i="2"/>
  <c r="L381" i="2"/>
  <c r="H381" i="2"/>
  <c r="F381" i="2"/>
  <c r="C381" i="2"/>
  <c r="AC380" i="2"/>
  <c r="AD380" i="2" s="1"/>
  <c r="AA380" i="2"/>
  <c r="W380" i="2"/>
  <c r="X380" i="2" s="1"/>
  <c r="U380" i="2"/>
  <c r="R380" i="2"/>
  <c r="O380" i="2"/>
  <c r="N380" i="2"/>
  <c r="L380" i="2"/>
  <c r="H380" i="2"/>
  <c r="F380" i="2"/>
  <c r="C380" i="2"/>
  <c r="AC379" i="2"/>
  <c r="AD379" i="2" s="1"/>
  <c r="AA379" i="2"/>
  <c r="X379" i="2"/>
  <c r="W379" i="2"/>
  <c r="U379" i="2"/>
  <c r="R379" i="2"/>
  <c r="N379" i="2"/>
  <c r="L379" i="2"/>
  <c r="H379" i="2"/>
  <c r="I379" i="2" s="1"/>
  <c r="F379" i="2"/>
  <c r="C379" i="2"/>
  <c r="AD378" i="2"/>
  <c r="AC378" i="2"/>
  <c r="AA378" i="2"/>
  <c r="X378" i="2"/>
  <c r="W378" i="2"/>
  <c r="U378" i="2"/>
  <c r="R378" i="2"/>
  <c r="N378" i="2"/>
  <c r="O378" i="2" s="1"/>
  <c r="L378" i="2"/>
  <c r="H378" i="2"/>
  <c r="F378" i="2"/>
  <c r="C378" i="2"/>
  <c r="AC377" i="2"/>
  <c r="AD377" i="2" s="1"/>
  <c r="AA377" i="2"/>
  <c r="W377" i="2"/>
  <c r="U377" i="2"/>
  <c r="R377" i="2"/>
  <c r="O377" i="2"/>
  <c r="N377" i="2"/>
  <c r="L377" i="2"/>
  <c r="I377" i="2"/>
  <c r="H377" i="2"/>
  <c r="F377" i="2"/>
  <c r="C377" i="2"/>
  <c r="AC376" i="2"/>
  <c r="AD376" i="2" s="1"/>
  <c r="AA376" i="2"/>
  <c r="W376" i="2"/>
  <c r="X376" i="2" s="1"/>
  <c r="U376" i="2"/>
  <c r="R376" i="2"/>
  <c r="O376" i="2"/>
  <c r="N376" i="2"/>
  <c r="L376" i="2"/>
  <c r="I376" i="2"/>
  <c r="H376" i="2"/>
  <c r="F376" i="2"/>
  <c r="C376" i="2"/>
  <c r="AC375" i="2"/>
  <c r="AD375" i="2" s="1"/>
  <c r="AA375" i="2"/>
  <c r="X375" i="2"/>
  <c r="W375" i="2"/>
  <c r="U375" i="2"/>
  <c r="R375" i="2"/>
  <c r="N375" i="2"/>
  <c r="L375" i="2"/>
  <c r="H375" i="2"/>
  <c r="I375" i="2" s="1"/>
  <c r="F375" i="2"/>
  <c r="C375" i="2"/>
  <c r="AD374" i="2"/>
  <c r="AC374" i="2"/>
  <c r="AA374" i="2"/>
  <c r="X374" i="2"/>
  <c r="W374" i="2"/>
  <c r="U374" i="2"/>
  <c r="R374" i="2"/>
  <c r="O374" i="2"/>
  <c r="N374" i="2"/>
  <c r="L374" i="2"/>
  <c r="H374" i="2"/>
  <c r="F374" i="2"/>
  <c r="C374" i="2"/>
  <c r="AC373" i="2"/>
  <c r="AD373" i="2" s="1"/>
  <c r="AA373" i="2"/>
  <c r="W373" i="2"/>
  <c r="U373" i="2"/>
  <c r="R373" i="2"/>
  <c r="N373" i="2"/>
  <c r="O373" i="2" s="1"/>
  <c r="L373" i="2"/>
  <c r="I373" i="2"/>
  <c r="H373" i="2"/>
  <c r="F373" i="2"/>
  <c r="C373" i="2"/>
  <c r="AC372" i="2"/>
  <c r="AD372" i="2" s="1"/>
  <c r="AA372" i="2"/>
  <c r="W372" i="2"/>
  <c r="X372" i="2" s="1"/>
  <c r="U372" i="2"/>
  <c r="R372" i="2"/>
  <c r="O372" i="2"/>
  <c r="N372" i="2"/>
  <c r="L372" i="2"/>
  <c r="H372" i="2"/>
  <c r="I372" i="2" s="1"/>
  <c r="F372" i="2"/>
  <c r="C372" i="2"/>
  <c r="AC371" i="2"/>
  <c r="AD371" i="2" s="1"/>
  <c r="AA371" i="2"/>
  <c r="X371" i="2"/>
  <c r="W371" i="2"/>
  <c r="U371" i="2"/>
  <c r="R371" i="2"/>
  <c r="N371" i="2"/>
  <c r="L371" i="2"/>
  <c r="H371" i="2"/>
  <c r="F371" i="2"/>
  <c r="C371" i="2"/>
  <c r="AD370" i="2"/>
  <c r="AC370" i="2"/>
  <c r="AA370" i="2"/>
  <c r="X370" i="2"/>
  <c r="W370" i="2"/>
  <c r="U370" i="2"/>
  <c r="R370" i="2"/>
  <c r="O370" i="2"/>
  <c r="N370" i="2"/>
  <c r="L370" i="2"/>
  <c r="H370" i="2"/>
  <c r="I370" i="2" s="1"/>
  <c r="F370" i="2"/>
  <c r="C370" i="2"/>
  <c r="AD369" i="2"/>
  <c r="AC369" i="2"/>
  <c r="AA369" i="2"/>
  <c r="W369" i="2"/>
  <c r="U369" i="2"/>
  <c r="R369" i="2"/>
  <c r="N369" i="2"/>
  <c r="O369" i="2" s="1"/>
  <c r="L369" i="2"/>
  <c r="H369" i="2"/>
  <c r="F369" i="2"/>
  <c r="C369" i="2"/>
  <c r="Z368" i="2"/>
  <c r="AC368" i="2" s="1"/>
  <c r="AD368" i="2" s="1"/>
  <c r="T368" i="2"/>
  <c r="U368" i="2" s="1"/>
  <c r="Q368" i="2"/>
  <c r="N368" i="2"/>
  <c r="O368" i="2" s="1"/>
  <c r="L368" i="2"/>
  <c r="K368" i="2"/>
  <c r="H368" i="2"/>
  <c r="I368" i="2" s="1"/>
  <c r="E368" i="2"/>
  <c r="F368" i="2" s="1"/>
  <c r="B368" i="2"/>
  <c r="C368" i="2" s="1"/>
  <c r="AD367" i="2"/>
  <c r="AC367" i="2"/>
  <c r="AA367" i="2"/>
  <c r="X367" i="2"/>
  <c r="W367" i="2"/>
  <c r="U367" i="2"/>
  <c r="R367" i="2"/>
  <c r="O367" i="2"/>
  <c r="N367" i="2"/>
  <c r="L367" i="2"/>
  <c r="H367" i="2"/>
  <c r="I367" i="2" s="1"/>
  <c r="F367" i="2"/>
  <c r="C367" i="2"/>
  <c r="AD366" i="2"/>
  <c r="AC366" i="2"/>
  <c r="AA366" i="2"/>
  <c r="W366" i="2"/>
  <c r="U366" i="2"/>
  <c r="R366" i="2"/>
  <c r="N366" i="2"/>
  <c r="O366" i="2" s="1"/>
  <c r="L366" i="2"/>
  <c r="H366" i="2"/>
  <c r="F366" i="2"/>
  <c r="C366" i="2"/>
  <c r="AC365" i="2"/>
  <c r="AD365" i="2" s="1"/>
  <c r="AA365" i="2"/>
  <c r="X365" i="2"/>
  <c r="W365" i="2"/>
  <c r="U365" i="2"/>
  <c r="R365" i="2"/>
  <c r="O365" i="2"/>
  <c r="N365" i="2"/>
  <c r="L365" i="2"/>
  <c r="H365" i="2"/>
  <c r="I365" i="2" s="1"/>
  <c r="F365" i="2"/>
  <c r="C365" i="2"/>
  <c r="AC364" i="2"/>
  <c r="AD364" i="2" s="1"/>
  <c r="AA364" i="2"/>
  <c r="W364" i="2"/>
  <c r="X364" i="2" s="1"/>
  <c r="U364" i="2"/>
  <c r="R364" i="2"/>
  <c r="N364" i="2"/>
  <c r="L364" i="2"/>
  <c r="H364" i="2"/>
  <c r="I364" i="2" s="1"/>
  <c r="F364" i="2"/>
  <c r="C364" i="2"/>
  <c r="AD363" i="2"/>
  <c r="AC363" i="2"/>
  <c r="AA363" i="2"/>
  <c r="X363" i="2"/>
  <c r="W363" i="2"/>
  <c r="U363" i="2"/>
  <c r="R363" i="2"/>
  <c r="N363" i="2"/>
  <c r="O363" i="2" s="1"/>
  <c r="L363" i="2"/>
  <c r="H363" i="2"/>
  <c r="I363" i="2" s="1"/>
  <c r="F363" i="2"/>
  <c r="C363" i="2"/>
  <c r="AD362" i="2"/>
  <c r="AC362" i="2"/>
  <c r="AA362" i="2"/>
  <c r="W362" i="2"/>
  <c r="U362" i="2"/>
  <c r="R362" i="2"/>
  <c r="O362" i="2"/>
  <c r="N362" i="2"/>
  <c r="L362" i="2"/>
  <c r="H362" i="2"/>
  <c r="F362" i="2"/>
  <c r="C362" i="2"/>
  <c r="AC361" i="2"/>
  <c r="AD361" i="2" s="1"/>
  <c r="AA361" i="2"/>
  <c r="W361" i="2"/>
  <c r="X361" i="2" s="1"/>
  <c r="U361" i="2"/>
  <c r="R361" i="2"/>
  <c r="O361" i="2"/>
  <c r="N361" i="2"/>
  <c r="L361" i="2"/>
  <c r="H361" i="2"/>
  <c r="F361" i="2"/>
  <c r="C361" i="2"/>
  <c r="AC360" i="2"/>
  <c r="AD360" i="2" s="1"/>
  <c r="AA360" i="2"/>
  <c r="W360" i="2"/>
  <c r="X360" i="2" s="1"/>
  <c r="U360" i="2"/>
  <c r="R360" i="2"/>
  <c r="N360" i="2"/>
  <c r="L360" i="2"/>
  <c r="H360" i="2"/>
  <c r="I360" i="2" s="1"/>
  <c r="F360" i="2"/>
  <c r="C360" i="2"/>
  <c r="AD358" i="2"/>
  <c r="Z358" i="2"/>
  <c r="AA358" i="2" s="1"/>
  <c r="W358" i="2"/>
  <c r="X358" i="2" s="1"/>
  <c r="U358" i="2"/>
  <c r="T358" i="2"/>
  <c r="R358" i="2"/>
  <c r="Q358" i="2"/>
  <c r="AC358" i="2" s="1"/>
  <c r="K358" i="2"/>
  <c r="L358" i="2" s="1"/>
  <c r="F358" i="2"/>
  <c r="E358" i="2"/>
  <c r="B358" i="2"/>
  <c r="C358" i="2" s="1"/>
  <c r="AC357" i="2"/>
  <c r="AD357" i="2" s="1"/>
  <c r="AA357" i="2"/>
  <c r="X357" i="2"/>
  <c r="W357" i="2"/>
  <c r="U357" i="2"/>
  <c r="R357" i="2"/>
  <c r="O357" i="2"/>
  <c r="N357" i="2"/>
  <c r="L357" i="2"/>
  <c r="H357" i="2"/>
  <c r="I357" i="2" s="1"/>
  <c r="F357" i="2"/>
  <c r="C357" i="2"/>
  <c r="AC356" i="2"/>
  <c r="AD356" i="2" s="1"/>
  <c r="AA356" i="2"/>
  <c r="W356" i="2"/>
  <c r="X356" i="2" s="1"/>
  <c r="U356" i="2"/>
  <c r="R356" i="2"/>
  <c r="N356" i="2"/>
  <c r="L356" i="2"/>
  <c r="H356" i="2"/>
  <c r="I356" i="2" s="1"/>
  <c r="F356" i="2"/>
  <c r="C356" i="2"/>
  <c r="AD355" i="2"/>
  <c r="AC355" i="2"/>
  <c r="AA355" i="2"/>
  <c r="X355" i="2"/>
  <c r="W355" i="2"/>
  <c r="U355" i="2"/>
  <c r="R355" i="2"/>
  <c r="N355" i="2"/>
  <c r="O355" i="2" s="1"/>
  <c r="L355" i="2"/>
  <c r="H355" i="2"/>
  <c r="I355" i="2" s="1"/>
  <c r="F355" i="2"/>
  <c r="C355" i="2"/>
  <c r="AD354" i="2"/>
  <c r="AC354" i="2"/>
  <c r="AA354" i="2"/>
  <c r="W354" i="2"/>
  <c r="U354" i="2"/>
  <c r="R354" i="2"/>
  <c r="O354" i="2"/>
  <c r="N354" i="2"/>
  <c r="L354" i="2"/>
  <c r="H354" i="2"/>
  <c r="F354" i="2"/>
  <c r="C354" i="2"/>
  <c r="AC353" i="2"/>
  <c r="AD353" i="2" s="1"/>
  <c r="AA353" i="2"/>
  <c r="W353" i="2"/>
  <c r="X353" i="2" s="1"/>
  <c r="U353" i="2"/>
  <c r="R353" i="2"/>
  <c r="O353" i="2"/>
  <c r="N353" i="2"/>
  <c r="L353" i="2"/>
  <c r="H353" i="2"/>
  <c r="F353" i="2"/>
  <c r="C353" i="2"/>
  <c r="AC352" i="2"/>
  <c r="AD352" i="2" s="1"/>
  <c r="AA352" i="2"/>
  <c r="W352" i="2"/>
  <c r="X352" i="2" s="1"/>
  <c r="U352" i="2"/>
  <c r="R352" i="2"/>
  <c r="N352" i="2"/>
  <c r="L352" i="2"/>
  <c r="H352" i="2"/>
  <c r="I352" i="2" s="1"/>
  <c r="F352" i="2"/>
  <c r="C352" i="2"/>
  <c r="AD351" i="2"/>
  <c r="AC351" i="2"/>
  <c r="AA351" i="2"/>
  <c r="X351" i="2"/>
  <c r="W351" i="2"/>
  <c r="U351" i="2"/>
  <c r="R351" i="2"/>
  <c r="N351" i="2"/>
  <c r="O351" i="2" s="1"/>
  <c r="L351" i="2"/>
  <c r="H351" i="2"/>
  <c r="F351" i="2"/>
  <c r="C351" i="2"/>
  <c r="AC350" i="2"/>
  <c r="AD350" i="2" s="1"/>
  <c r="AA350" i="2"/>
  <c r="W350" i="2"/>
  <c r="U350" i="2"/>
  <c r="R350" i="2"/>
  <c r="O350" i="2"/>
  <c r="N350" i="2"/>
  <c r="L350" i="2"/>
  <c r="I350" i="2"/>
  <c r="H350" i="2"/>
  <c r="F350" i="2"/>
  <c r="C350" i="2"/>
  <c r="AC349" i="2"/>
  <c r="AD349" i="2" s="1"/>
  <c r="AA349" i="2"/>
  <c r="W349" i="2"/>
  <c r="X349" i="2" s="1"/>
  <c r="U349" i="2"/>
  <c r="R349" i="2"/>
  <c r="O349" i="2"/>
  <c r="N349" i="2"/>
  <c r="L349" i="2"/>
  <c r="I349" i="2"/>
  <c r="H349" i="2"/>
  <c r="F349" i="2"/>
  <c r="C349" i="2"/>
  <c r="AC347" i="2"/>
  <c r="AD347" i="2" s="1"/>
  <c r="AA347" i="2"/>
  <c r="X347" i="2"/>
  <c r="W347" i="2"/>
  <c r="U347" i="2"/>
  <c r="R347" i="2"/>
  <c r="N347" i="2"/>
  <c r="L347" i="2"/>
  <c r="H347" i="2"/>
  <c r="I347" i="2" s="1"/>
  <c r="F347" i="2"/>
  <c r="C347" i="2"/>
  <c r="Z344" i="2"/>
  <c r="AC344" i="2" s="1"/>
  <c r="AD344" i="2" s="1"/>
  <c r="T344" i="2"/>
  <c r="U344" i="2" s="1"/>
  <c r="Q344" i="2"/>
  <c r="N344" i="2"/>
  <c r="O344" i="2" s="1"/>
  <c r="L344" i="2"/>
  <c r="K344" i="2"/>
  <c r="H344" i="2"/>
  <c r="I344" i="2" s="1"/>
  <c r="E344" i="2"/>
  <c r="F344" i="2" s="1"/>
  <c r="B344" i="2"/>
  <c r="C344" i="2" s="1"/>
  <c r="Z343" i="2"/>
  <c r="AA343" i="2" s="1"/>
  <c r="T343" i="2"/>
  <c r="W343" i="2" s="1"/>
  <c r="X343" i="2" s="1"/>
  <c r="R343" i="2"/>
  <c r="Q343" i="2"/>
  <c r="N343" i="2"/>
  <c r="O343" i="2" s="1"/>
  <c r="K343" i="2"/>
  <c r="L343" i="2" s="1"/>
  <c r="I343" i="2"/>
  <c r="H343" i="2"/>
  <c r="F343" i="2"/>
  <c r="E343" i="2"/>
  <c r="B343" i="2"/>
  <c r="C343" i="2" s="1"/>
  <c r="AA342" i="2"/>
  <c r="Z342" i="2"/>
  <c r="T342" i="2"/>
  <c r="U342" i="2" s="1"/>
  <c r="Q342" i="2"/>
  <c r="AC342" i="2" s="1"/>
  <c r="AD342" i="2" s="1"/>
  <c r="L342" i="2"/>
  <c r="K342" i="2"/>
  <c r="E342" i="2"/>
  <c r="F342" i="2" s="1"/>
  <c r="B342" i="2"/>
  <c r="H342" i="2" s="1"/>
  <c r="I342" i="2" s="1"/>
  <c r="AD341" i="2"/>
  <c r="AC341" i="2"/>
  <c r="AA341" i="2"/>
  <c r="X341" i="2"/>
  <c r="W341" i="2"/>
  <c r="U341" i="2"/>
  <c r="R341" i="2"/>
  <c r="N341" i="2"/>
  <c r="O341" i="2" s="1"/>
  <c r="L341" i="2"/>
  <c r="H341" i="2"/>
  <c r="F341" i="2"/>
  <c r="C341" i="2"/>
  <c r="AD340" i="2"/>
  <c r="AC340" i="2"/>
  <c r="AA340" i="2"/>
  <c r="W340" i="2"/>
  <c r="U340" i="2"/>
  <c r="R340" i="2"/>
  <c r="O340" i="2"/>
  <c r="N340" i="2"/>
  <c r="L340" i="2"/>
  <c r="I340" i="2"/>
  <c r="H340" i="2"/>
  <c r="F340" i="2"/>
  <c r="C340" i="2"/>
  <c r="AC339" i="2"/>
  <c r="AD339" i="2" s="1"/>
  <c r="AA339" i="2"/>
  <c r="W339" i="2"/>
  <c r="X339" i="2" s="1"/>
  <c r="U339" i="2"/>
  <c r="R339" i="2"/>
  <c r="O339" i="2"/>
  <c r="N339" i="2"/>
  <c r="L339" i="2"/>
  <c r="I339" i="2"/>
  <c r="H339" i="2"/>
  <c r="F339" i="2"/>
  <c r="C339" i="2"/>
  <c r="AC338" i="2"/>
  <c r="AD338" i="2" s="1"/>
  <c r="AA338" i="2"/>
  <c r="X338" i="2"/>
  <c r="W338" i="2"/>
  <c r="U338" i="2"/>
  <c r="R338" i="2"/>
  <c r="N338" i="2"/>
  <c r="L338" i="2"/>
  <c r="H338" i="2"/>
  <c r="I338" i="2" s="1"/>
  <c r="F338" i="2"/>
  <c r="C338" i="2"/>
  <c r="AD337" i="2"/>
  <c r="AC337" i="2"/>
  <c r="AA337" i="2"/>
  <c r="X337" i="2"/>
  <c r="W337" i="2"/>
  <c r="U337" i="2"/>
  <c r="R337" i="2"/>
  <c r="O337" i="2"/>
  <c r="N337" i="2"/>
  <c r="L337" i="2"/>
  <c r="H337" i="2"/>
  <c r="F337" i="2"/>
  <c r="C337" i="2"/>
  <c r="AC335" i="2"/>
  <c r="AD335" i="2" s="1"/>
  <c r="AA335" i="2"/>
  <c r="W335" i="2"/>
  <c r="U335" i="2"/>
  <c r="R335" i="2"/>
  <c r="O335" i="2"/>
  <c r="N335" i="2"/>
  <c r="L335" i="2"/>
  <c r="I335" i="2"/>
  <c r="H335" i="2"/>
  <c r="F335" i="2"/>
  <c r="C335" i="2"/>
  <c r="AC334" i="2"/>
  <c r="AD334" i="2" s="1"/>
  <c r="AA334" i="2"/>
  <c r="W334" i="2"/>
  <c r="X334" i="2" s="1"/>
  <c r="U334" i="2"/>
  <c r="R334" i="2"/>
  <c r="O334" i="2"/>
  <c r="N334" i="2"/>
  <c r="L334" i="2"/>
  <c r="I334" i="2"/>
  <c r="H334" i="2"/>
  <c r="F334" i="2"/>
  <c r="C334" i="2"/>
  <c r="AC333" i="2"/>
  <c r="AD333" i="2" s="1"/>
  <c r="AA333" i="2"/>
  <c r="X333" i="2"/>
  <c r="W333" i="2"/>
  <c r="U333" i="2"/>
  <c r="R333" i="2"/>
  <c r="N333" i="2"/>
  <c r="L333" i="2"/>
  <c r="H333" i="2"/>
  <c r="I333" i="2" s="1"/>
  <c r="F333" i="2"/>
  <c r="C333" i="2"/>
  <c r="AD332" i="2"/>
  <c r="AC332" i="2"/>
  <c r="AA332" i="2"/>
  <c r="X332" i="2"/>
  <c r="W332" i="2"/>
  <c r="U332" i="2"/>
  <c r="R332" i="2"/>
  <c r="O332" i="2"/>
  <c r="N332" i="2"/>
  <c r="L332" i="2"/>
  <c r="H332" i="2"/>
  <c r="I332" i="2" s="1"/>
  <c r="F332" i="2"/>
  <c r="C332" i="2"/>
  <c r="AD331" i="2"/>
  <c r="AC331" i="2"/>
  <c r="AA331" i="2"/>
  <c r="W331" i="2"/>
  <c r="U331" i="2"/>
  <c r="R331" i="2"/>
  <c r="N331" i="2"/>
  <c r="O331" i="2" s="1"/>
  <c r="L331" i="2"/>
  <c r="H331" i="2"/>
  <c r="F331" i="2"/>
  <c r="C331" i="2"/>
  <c r="AC330" i="2"/>
  <c r="AD330" i="2" s="1"/>
  <c r="AA330" i="2"/>
  <c r="X330" i="2"/>
  <c r="W330" i="2"/>
  <c r="U330" i="2"/>
  <c r="R330" i="2"/>
  <c r="O330" i="2"/>
  <c r="N330" i="2"/>
  <c r="L330" i="2"/>
  <c r="H330" i="2"/>
  <c r="I330" i="2" s="1"/>
  <c r="F330" i="2"/>
  <c r="C330" i="2"/>
  <c r="AC329" i="2"/>
  <c r="AD329" i="2" s="1"/>
  <c r="AA329" i="2"/>
  <c r="X329" i="2"/>
  <c r="W329" i="2"/>
  <c r="U329" i="2"/>
  <c r="R329" i="2"/>
  <c r="N329" i="2"/>
  <c r="L329" i="2"/>
  <c r="H329" i="2"/>
  <c r="I329" i="2" s="1"/>
  <c r="F329" i="2"/>
  <c r="C329" i="2"/>
  <c r="AD328" i="2"/>
  <c r="AC328" i="2"/>
  <c r="AA328" i="2"/>
  <c r="X328" i="2"/>
  <c r="W328" i="2"/>
  <c r="U328" i="2"/>
  <c r="R328" i="2"/>
  <c r="O328" i="2"/>
  <c r="N328" i="2"/>
  <c r="L328" i="2"/>
  <c r="H328" i="2"/>
  <c r="I328" i="2" s="1"/>
  <c r="F328" i="2"/>
  <c r="C328" i="2"/>
  <c r="AA325" i="2"/>
  <c r="Z325" i="2"/>
  <c r="T325" i="2"/>
  <c r="U325" i="2" s="1"/>
  <c r="R325" i="2"/>
  <c r="Q325" i="2"/>
  <c r="AC325" i="2" s="1"/>
  <c r="AD325" i="2" s="1"/>
  <c r="O325" i="2"/>
  <c r="K325" i="2"/>
  <c r="L325" i="2" s="1"/>
  <c r="E325" i="2"/>
  <c r="H325" i="2" s="1"/>
  <c r="I325" i="2" s="1"/>
  <c r="C325" i="2"/>
  <c r="B325" i="2"/>
  <c r="N325" i="2" s="1"/>
  <c r="Z324" i="2"/>
  <c r="AA324" i="2" s="1"/>
  <c r="U324" i="2"/>
  <c r="T324" i="2"/>
  <c r="Q324" i="2"/>
  <c r="R324" i="2" s="1"/>
  <c r="K324" i="2"/>
  <c r="L324" i="2" s="1"/>
  <c r="E324" i="2"/>
  <c r="F324" i="2" s="1"/>
  <c r="B324" i="2"/>
  <c r="N324" i="2" s="1"/>
  <c r="O324" i="2" s="1"/>
  <c r="AC323" i="2"/>
  <c r="AD323" i="2" s="1"/>
  <c r="AA323" i="2"/>
  <c r="W323" i="2"/>
  <c r="U323" i="2"/>
  <c r="R323" i="2"/>
  <c r="O323" i="2"/>
  <c r="N323" i="2"/>
  <c r="L323" i="2"/>
  <c r="I323" i="2"/>
  <c r="H323" i="2"/>
  <c r="F323" i="2"/>
  <c r="C323" i="2"/>
  <c r="AC322" i="2"/>
  <c r="AD322" i="2" s="1"/>
  <c r="AA322" i="2"/>
  <c r="W322" i="2"/>
  <c r="X322" i="2" s="1"/>
  <c r="U322" i="2"/>
  <c r="R322" i="2"/>
  <c r="O322" i="2"/>
  <c r="N322" i="2"/>
  <c r="L322" i="2"/>
  <c r="I322" i="2"/>
  <c r="H322" i="2"/>
  <c r="F322" i="2"/>
  <c r="C322" i="2"/>
  <c r="AC321" i="2"/>
  <c r="AD321" i="2" s="1"/>
  <c r="AA321" i="2"/>
  <c r="X321" i="2"/>
  <c r="W321" i="2"/>
  <c r="U321" i="2"/>
  <c r="R321" i="2"/>
  <c r="N321" i="2"/>
  <c r="L321" i="2"/>
  <c r="H321" i="2"/>
  <c r="I321" i="2" s="1"/>
  <c r="F321" i="2"/>
  <c r="C321" i="2"/>
  <c r="AD320" i="2"/>
  <c r="AC320" i="2"/>
  <c r="AA320" i="2"/>
  <c r="X320" i="2"/>
  <c r="W320" i="2"/>
  <c r="U320" i="2"/>
  <c r="R320" i="2"/>
  <c r="O320" i="2"/>
  <c r="N320" i="2"/>
  <c r="L320" i="2"/>
  <c r="H320" i="2"/>
  <c r="I320" i="2" s="1"/>
  <c r="F320" i="2"/>
  <c r="C320" i="2"/>
  <c r="AD319" i="2"/>
  <c r="AC319" i="2"/>
  <c r="AA319" i="2"/>
  <c r="W319" i="2"/>
  <c r="U319" i="2"/>
  <c r="R319" i="2"/>
  <c r="N319" i="2"/>
  <c r="O319" i="2" s="1"/>
  <c r="L319" i="2"/>
  <c r="I319" i="2"/>
  <c r="H319" i="2"/>
  <c r="F319" i="2"/>
  <c r="C319" i="2"/>
  <c r="AC318" i="2"/>
  <c r="AD318" i="2" s="1"/>
  <c r="AA318" i="2"/>
  <c r="X318" i="2"/>
  <c r="W318" i="2"/>
  <c r="U318" i="2"/>
  <c r="R318" i="2"/>
  <c r="O318" i="2"/>
  <c r="N318" i="2"/>
  <c r="L318" i="2"/>
  <c r="H318" i="2"/>
  <c r="I318" i="2" s="1"/>
  <c r="F318" i="2"/>
  <c r="C318" i="2"/>
  <c r="AC317" i="2"/>
  <c r="AD317" i="2" s="1"/>
  <c r="AA317" i="2"/>
  <c r="W317" i="2"/>
  <c r="X317" i="2" s="1"/>
  <c r="U317" i="2"/>
  <c r="R317" i="2"/>
  <c r="N317" i="2"/>
  <c r="L317" i="2"/>
  <c r="H317" i="2"/>
  <c r="I317" i="2" s="1"/>
  <c r="F317" i="2"/>
  <c r="C317" i="2"/>
  <c r="AD316" i="2"/>
  <c r="AC316" i="2"/>
  <c r="AA316" i="2"/>
  <c r="X316" i="2"/>
  <c r="W316" i="2"/>
  <c r="U316" i="2"/>
  <c r="R316" i="2"/>
  <c r="N316" i="2"/>
  <c r="O316" i="2" s="1"/>
  <c r="L316" i="2"/>
  <c r="H316" i="2"/>
  <c r="I316" i="2" s="1"/>
  <c r="F316" i="2"/>
  <c r="C316" i="2"/>
  <c r="AD315" i="2"/>
  <c r="AC315" i="2"/>
  <c r="AA315" i="2"/>
  <c r="W315" i="2"/>
  <c r="U315" i="2"/>
  <c r="R315" i="2"/>
  <c r="O315" i="2"/>
  <c r="N315" i="2"/>
  <c r="L315" i="2"/>
  <c r="H315" i="2"/>
  <c r="F315" i="2"/>
  <c r="C315" i="2"/>
  <c r="AC314" i="2"/>
  <c r="AD314" i="2" s="1"/>
  <c r="AA314" i="2"/>
  <c r="W314" i="2"/>
  <c r="X314" i="2" s="1"/>
  <c r="U314" i="2"/>
  <c r="R314" i="2"/>
  <c r="O314" i="2"/>
  <c r="N314" i="2"/>
  <c r="L314" i="2"/>
  <c r="I314" i="2"/>
  <c r="H314" i="2"/>
  <c r="F314" i="2"/>
  <c r="C314" i="2"/>
  <c r="AC313" i="2"/>
  <c r="AD313" i="2" s="1"/>
  <c r="AA313" i="2"/>
  <c r="W313" i="2"/>
  <c r="X313" i="2" s="1"/>
  <c r="U313" i="2"/>
  <c r="R313" i="2"/>
  <c r="N313" i="2"/>
  <c r="L313" i="2"/>
  <c r="H313" i="2"/>
  <c r="I313" i="2" s="1"/>
  <c r="F313" i="2"/>
  <c r="C313" i="2"/>
  <c r="AD312" i="2"/>
  <c r="AC312" i="2"/>
  <c r="AA312" i="2"/>
  <c r="X312" i="2"/>
  <c r="W312" i="2"/>
  <c r="U312" i="2"/>
  <c r="R312" i="2"/>
  <c r="N312" i="2"/>
  <c r="O312" i="2" s="1"/>
  <c r="L312" i="2"/>
  <c r="H312" i="2"/>
  <c r="I312" i="2" s="1"/>
  <c r="F312" i="2"/>
  <c r="C312" i="2"/>
  <c r="AD311" i="2"/>
  <c r="AC311" i="2"/>
  <c r="AA311" i="2"/>
  <c r="W311" i="2"/>
  <c r="U311" i="2"/>
  <c r="R311" i="2"/>
  <c r="O311" i="2"/>
  <c r="N311" i="2"/>
  <c r="L311" i="2"/>
  <c r="I311" i="2"/>
  <c r="H311" i="2"/>
  <c r="F311" i="2"/>
  <c r="C311" i="2"/>
  <c r="AC310" i="2"/>
  <c r="AD310" i="2" s="1"/>
  <c r="AA310" i="2"/>
  <c r="W310" i="2"/>
  <c r="X310" i="2" s="1"/>
  <c r="U310" i="2"/>
  <c r="R310" i="2"/>
  <c r="O310" i="2"/>
  <c r="N310" i="2"/>
  <c r="L310" i="2"/>
  <c r="I310" i="2"/>
  <c r="H310" i="2"/>
  <c r="F310" i="2"/>
  <c r="C310" i="2"/>
  <c r="AC309" i="2"/>
  <c r="AD309" i="2" s="1"/>
  <c r="AA309" i="2"/>
  <c r="X309" i="2"/>
  <c r="W309" i="2"/>
  <c r="U309" i="2"/>
  <c r="R309" i="2"/>
  <c r="N309" i="2"/>
  <c r="L309" i="2"/>
  <c r="H309" i="2"/>
  <c r="I309" i="2" s="1"/>
  <c r="F309" i="2"/>
  <c r="C309" i="2"/>
  <c r="AD308" i="2"/>
  <c r="AC308" i="2"/>
  <c r="AA308" i="2"/>
  <c r="X308" i="2"/>
  <c r="W308" i="2"/>
  <c r="U308" i="2"/>
  <c r="R308" i="2"/>
  <c r="O308" i="2"/>
  <c r="N308" i="2"/>
  <c r="L308" i="2"/>
  <c r="H308" i="2"/>
  <c r="F308" i="2"/>
  <c r="C308" i="2"/>
  <c r="AC307" i="2"/>
  <c r="AD307" i="2" s="1"/>
  <c r="AA307" i="2"/>
  <c r="W307" i="2"/>
  <c r="U307" i="2"/>
  <c r="R307" i="2"/>
  <c r="O307" i="2"/>
  <c r="N307" i="2"/>
  <c r="L307" i="2"/>
  <c r="I307" i="2"/>
  <c r="H307" i="2"/>
  <c r="F307" i="2"/>
  <c r="C307" i="2"/>
  <c r="AC306" i="2"/>
  <c r="AD306" i="2" s="1"/>
  <c r="AA306" i="2"/>
  <c r="W306" i="2"/>
  <c r="X306" i="2" s="1"/>
  <c r="U306" i="2"/>
  <c r="R306" i="2"/>
  <c r="O306" i="2"/>
  <c r="N306" i="2"/>
  <c r="L306" i="2"/>
  <c r="I306" i="2"/>
  <c r="H306" i="2"/>
  <c r="F306" i="2"/>
  <c r="C306" i="2"/>
  <c r="AC305" i="2"/>
  <c r="AD305" i="2" s="1"/>
  <c r="AA305" i="2"/>
  <c r="X305" i="2"/>
  <c r="W305" i="2"/>
  <c r="U305" i="2"/>
  <c r="R305" i="2"/>
  <c r="N305" i="2"/>
  <c r="L305" i="2"/>
  <c r="H305" i="2"/>
  <c r="I305" i="2" s="1"/>
  <c r="F305" i="2"/>
  <c r="C305" i="2"/>
  <c r="AD304" i="2"/>
  <c r="AC304" i="2"/>
  <c r="AA304" i="2"/>
  <c r="X304" i="2"/>
  <c r="W304" i="2"/>
  <c r="U304" i="2"/>
  <c r="R304" i="2"/>
  <c r="O304" i="2"/>
  <c r="N304" i="2"/>
  <c r="L304" i="2"/>
  <c r="H304" i="2"/>
  <c r="I304" i="2" s="1"/>
  <c r="F304" i="2"/>
  <c r="C304" i="2"/>
  <c r="AD303" i="2"/>
  <c r="AC303" i="2"/>
  <c r="AA303" i="2"/>
  <c r="W303" i="2"/>
  <c r="U303" i="2"/>
  <c r="R303" i="2"/>
  <c r="N303" i="2"/>
  <c r="O303" i="2" s="1"/>
  <c r="L303" i="2"/>
  <c r="I303" i="2"/>
  <c r="H303" i="2"/>
  <c r="F303" i="2"/>
  <c r="C303" i="2"/>
  <c r="AC302" i="2"/>
  <c r="AD302" i="2" s="1"/>
  <c r="AA302" i="2"/>
  <c r="X302" i="2"/>
  <c r="W302" i="2"/>
  <c r="U302" i="2"/>
  <c r="R302" i="2"/>
  <c r="O302" i="2"/>
  <c r="N302" i="2"/>
  <c r="L302" i="2"/>
  <c r="H302" i="2"/>
  <c r="I302" i="2" s="1"/>
  <c r="F302" i="2"/>
  <c r="C302" i="2"/>
  <c r="AC301" i="2"/>
  <c r="AD301" i="2" s="1"/>
  <c r="AA301" i="2"/>
  <c r="W301" i="2"/>
  <c r="X301" i="2" s="1"/>
  <c r="U301" i="2"/>
  <c r="R301" i="2"/>
  <c r="N301" i="2"/>
  <c r="L301" i="2"/>
  <c r="H301" i="2"/>
  <c r="I301" i="2" s="1"/>
  <c r="F301" i="2"/>
  <c r="C301" i="2"/>
  <c r="AD300" i="2"/>
  <c r="AC300" i="2"/>
  <c r="AA300" i="2"/>
  <c r="X300" i="2"/>
  <c r="W300" i="2"/>
  <c r="U300" i="2"/>
  <c r="R300" i="2"/>
  <c r="N300" i="2"/>
  <c r="O300" i="2" s="1"/>
  <c r="L300" i="2"/>
  <c r="H300" i="2"/>
  <c r="I300" i="2" s="1"/>
  <c r="F300" i="2"/>
  <c r="C300" i="2"/>
  <c r="AD299" i="2"/>
  <c r="AC299" i="2"/>
  <c r="AA299" i="2"/>
  <c r="W299" i="2"/>
  <c r="U299" i="2"/>
  <c r="R299" i="2"/>
  <c r="O299" i="2"/>
  <c r="N299" i="2"/>
  <c r="L299" i="2"/>
  <c r="H299" i="2"/>
  <c r="F299" i="2"/>
  <c r="C299" i="2"/>
  <c r="AC298" i="2"/>
  <c r="AD298" i="2" s="1"/>
  <c r="AA298" i="2"/>
  <c r="W298" i="2"/>
  <c r="X298" i="2" s="1"/>
  <c r="U298" i="2"/>
  <c r="R298" i="2"/>
  <c r="O298" i="2"/>
  <c r="N298" i="2"/>
  <c r="L298" i="2"/>
  <c r="I298" i="2"/>
  <c r="H298" i="2"/>
  <c r="F298" i="2"/>
  <c r="C298" i="2"/>
  <c r="AC297" i="2"/>
  <c r="AD297" i="2" s="1"/>
  <c r="AA297" i="2"/>
  <c r="W297" i="2"/>
  <c r="X297" i="2" s="1"/>
  <c r="U297" i="2"/>
  <c r="R297" i="2"/>
  <c r="N297" i="2"/>
  <c r="L297" i="2"/>
  <c r="H297" i="2"/>
  <c r="I297" i="2" s="1"/>
  <c r="F297" i="2"/>
  <c r="C297" i="2"/>
  <c r="AD295" i="2"/>
  <c r="Z295" i="2"/>
  <c r="AA295" i="2" s="1"/>
  <c r="W295" i="2"/>
  <c r="X295" i="2" s="1"/>
  <c r="U295" i="2"/>
  <c r="T295" i="2"/>
  <c r="R295" i="2"/>
  <c r="Q295" i="2"/>
  <c r="AC295" i="2" s="1"/>
  <c r="K295" i="2"/>
  <c r="F295" i="2"/>
  <c r="E295" i="2"/>
  <c r="B295" i="2"/>
  <c r="AC294" i="2"/>
  <c r="AD294" i="2" s="1"/>
  <c r="AA294" i="2"/>
  <c r="X294" i="2"/>
  <c r="W294" i="2"/>
  <c r="U294" i="2"/>
  <c r="R294" i="2"/>
  <c r="O294" i="2"/>
  <c r="N294" i="2"/>
  <c r="L294" i="2"/>
  <c r="I294" i="2"/>
  <c r="H294" i="2"/>
  <c r="F294" i="2"/>
  <c r="C294" i="2"/>
  <c r="AC293" i="2"/>
  <c r="AD293" i="2" s="1"/>
  <c r="AA293" i="2"/>
  <c r="W293" i="2"/>
  <c r="X293" i="2" s="1"/>
  <c r="U293" i="2"/>
  <c r="R293" i="2"/>
  <c r="N293" i="2"/>
  <c r="L293" i="2"/>
  <c r="H293" i="2"/>
  <c r="I293" i="2" s="1"/>
  <c r="F293" i="2"/>
  <c r="C293" i="2"/>
  <c r="AD292" i="2"/>
  <c r="AC292" i="2"/>
  <c r="AA292" i="2"/>
  <c r="X292" i="2"/>
  <c r="W292" i="2"/>
  <c r="U292" i="2"/>
  <c r="R292" i="2"/>
  <c r="N292" i="2"/>
  <c r="O292" i="2" s="1"/>
  <c r="L292" i="2"/>
  <c r="H292" i="2"/>
  <c r="I292" i="2" s="1"/>
  <c r="F292" i="2"/>
  <c r="C292" i="2"/>
  <c r="AD291" i="2"/>
  <c r="AC291" i="2"/>
  <c r="AA291" i="2"/>
  <c r="W291" i="2"/>
  <c r="U291" i="2"/>
  <c r="R291" i="2"/>
  <c r="O291" i="2"/>
  <c r="N291" i="2"/>
  <c r="L291" i="2"/>
  <c r="H291" i="2"/>
  <c r="F291" i="2"/>
  <c r="C291" i="2"/>
  <c r="AC290" i="2"/>
  <c r="AD290" i="2" s="1"/>
  <c r="AA290" i="2"/>
  <c r="W290" i="2"/>
  <c r="X290" i="2" s="1"/>
  <c r="U290" i="2"/>
  <c r="R290" i="2"/>
  <c r="O290" i="2"/>
  <c r="N290" i="2"/>
  <c r="L290" i="2"/>
  <c r="I290" i="2"/>
  <c r="H290" i="2"/>
  <c r="F290" i="2"/>
  <c r="C290" i="2"/>
  <c r="AC289" i="2"/>
  <c r="AD289" i="2" s="1"/>
  <c r="AA289" i="2"/>
  <c r="W289" i="2"/>
  <c r="X289" i="2" s="1"/>
  <c r="U289" i="2"/>
  <c r="R289" i="2"/>
  <c r="N289" i="2"/>
  <c r="L289" i="2"/>
  <c r="H289" i="2"/>
  <c r="I289" i="2" s="1"/>
  <c r="F289" i="2"/>
  <c r="C289" i="2"/>
  <c r="AD288" i="2"/>
  <c r="AC288" i="2"/>
  <c r="AA288" i="2"/>
  <c r="X288" i="2"/>
  <c r="W288" i="2"/>
  <c r="U288" i="2"/>
  <c r="R288" i="2"/>
  <c r="N288" i="2"/>
  <c r="O288" i="2" s="1"/>
  <c r="L288" i="2"/>
  <c r="H288" i="2"/>
  <c r="I288" i="2" s="1"/>
  <c r="F288" i="2"/>
  <c r="C288" i="2"/>
  <c r="AD287" i="2"/>
  <c r="AC287" i="2"/>
  <c r="AA287" i="2"/>
  <c r="W287" i="2"/>
  <c r="U287" i="2"/>
  <c r="R287" i="2"/>
  <c r="O287" i="2"/>
  <c r="N287" i="2"/>
  <c r="L287" i="2"/>
  <c r="I287" i="2"/>
  <c r="H287" i="2"/>
  <c r="F287" i="2"/>
  <c r="C287" i="2"/>
  <c r="AC286" i="2"/>
  <c r="AD286" i="2" s="1"/>
  <c r="AA286" i="2"/>
  <c r="W286" i="2"/>
  <c r="X286" i="2" s="1"/>
  <c r="U286" i="2"/>
  <c r="R286" i="2"/>
  <c r="O286" i="2"/>
  <c r="N286" i="2"/>
  <c r="L286" i="2"/>
  <c r="I286" i="2"/>
  <c r="H286" i="2"/>
  <c r="F286" i="2"/>
  <c r="C286" i="2"/>
  <c r="Z284" i="2"/>
  <c r="AA284" i="2" s="1"/>
  <c r="U284" i="2"/>
  <c r="T284" i="2"/>
  <c r="Q284" i="2"/>
  <c r="AC284" i="2" s="1"/>
  <c r="AD284" i="2" s="1"/>
  <c r="N284" i="2"/>
  <c r="O284" i="2" s="1"/>
  <c r="L284" i="2"/>
  <c r="K284" i="2"/>
  <c r="E284" i="2"/>
  <c r="F284" i="2" s="1"/>
  <c r="B284" i="2"/>
  <c r="AC283" i="2"/>
  <c r="AD283" i="2" s="1"/>
  <c r="AA283" i="2"/>
  <c r="X283" i="2"/>
  <c r="W283" i="2"/>
  <c r="U283" i="2"/>
  <c r="R283" i="2"/>
  <c r="O283" i="2"/>
  <c r="N283" i="2"/>
  <c r="L283" i="2"/>
  <c r="H283" i="2"/>
  <c r="I283" i="2" s="1"/>
  <c r="F283" i="2"/>
  <c r="C283" i="2"/>
  <c r="AC282" i="2"/>
  <c r="AD282" i="2" s="1"/>
  <c r="AA282" i="2"/>
  <c r="W282" i="2"/>
  <c r="X282" i="2" s="1"/>
  <c r="U282" i="2"/>
  <c r="R282" i="2"/>
  <c r="O282" i="2"/>
  <c r="N282" i="2"/>
  <c r="L282" i="2"/>
  <c r="I282" i="2"/>
  <c r="H282" i="2"/>
  <c r="F282" i="2"/>
  <c r="C282" i="2"/>
  <c r="AC281" i="2"/>
  <c r="AD281" i="2" s="1"/>
  <c r="AA281" i="2"/>
  <c r="X281" i="2"/>
  <c r="W281" i="2"/>
  <c r="U281" i="2"/>
  <c r="R281" i="2"/>
  <c r="O281" i="2"/>
  <c r="N281" i="2"/>
  <c r="L281" i="2"/>
  <c r="H281" i="2"/>
  <c r="I281" i="2" s="1"/>
  <c r="F281" i="2"/>
  <c r="C281" i="2"/>
  <c r="AD280" i="2"/>
  <c r="AC280" i="2"/>
  <c r="AA280" i="2"/>
  <c r="X280" i="2"/>
  <c r="W280" i="2"/>
  <c r="U280" i="2"/>
  <c r="R280" i="2"/>
  <c r="N280" i="2"/>
  <c r="O280" i="2" s="1"/>
  <c r="L280" i="2"/>
  <c r="H280" i="2"/>
  <c r="I280" i="2" s="1"/>
  <c r="F280" i="2"/>
  <c r="C280" i="2"/>
  <c r="AD279" i="2"/>
  <c r="AC279" i="2"/>
  <c r="AA279" i="2"/>
  <c r="X279" i="2"/>
  <c r="W279" i="2"/>
  <c r="U279" i="2"/>
  <c r="R279" i="2"/>
  <c r="N279" i="2"/>
  <c r="O279" i="2" s="1"/>
  <c r="L279" i="2"/>
  <c r="H279" i="2"/>
  <c r="I279" i="2" s="1"/>
  <c r="F279" i="2"/>
  <c r="C279" i="2"/>
  <c r="AC278" i="2"/>
  <c r="AD278" i="2" s="1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D277" i="2" s="1"/>
  <c r="AA277" i="2"/>
  <c r="X277" i="2"/>
  <c r="W277" i="2"/>
  <c r="U277" i="2"/>
  <c r="R277" i="2"/>
  <c r="O277" i="2"/>
  <c r="N277" i="2"/>
  <c r="L277" i="2"/>
  <c r="H277" i="2"/>
  <c r="F277" i="2"/>
  <c r="C277" i="2"/>
  <c r="AC276" i="2"/>
  <c r="AD276" i="2" s="1"/>
  <c r="AA276" i="2"/>
  <c r="W276" i="2"/>
  <c r="X276" i="2" s="1"/>
  <c r="U276" i="2"/>
  <c r="R276" i="2"/>
  <c r="O276" i="2"/>
  <c r="N276" i="2"/>
  <c r="L276" i="2"/>
  <c r="I276" i="2"/>
  <c r="H276" i="2"/>
  <c r="F276" i="2"/>
  <c r="C276" i="2"/>
  <c r="AD275" i="2"/>
  <c r="AC275" i="2"/>
  <c r="AA275" i="2"/>
  <c r="X275" i="2"/>
  <c r="W275" i="2"/>
  <c r="U275" i="2"/>
  <c r="R275" i="2"/>
  <c r="N275" i="2"/>
  <c r="O275" i="2" s="1"/>
  <c r="L275" i="2"/>
  <c r="I275" i="2"/>
  <c r="H275" i="2"/>
  <c r="F275" i="2"/>
  <c r="C275" i="2"/>
  <c r="Z273" i="2"/>
  <c r="AA273" i="2" s="1"/>
  <c r="W273" i="2"/>
  <c r="X273" i="2" s="1"/>
  <c r="U273" i="2"/>
  <c r="T273" i="2"/>
  <c r="R273" i="2"/>
  <c r="Q273" i="2"/>
  <c r="K273" i="2"/>
  <c r="F273" i="2"/>
  <c r="E273" i="2"/>
  <c r="B273" i="2"/>
  <c r="H273" i="2" s="1"/>
  <c r="I273" i="2" s="1"/>
  <c r="AC272" i="2"/>
  <c r="AD272" i="2" s="1"/>
  <c r="AA272" i="2"/>
  <c r="W272" i="2"/>
  <c r="X272" i="2" s="1"/>
  <c r="U272" i="2"/>
  <c r="R272" i="2"/>
  <c r="N272" i="2"/>
  <c r="O272" i="2" s="1"/>
  <c r="L272" i="2"/>
  <c r="I272" i="2"/>
  <c r="H272" i="2"/>
  <c r="F272" i="2"/>
  <c r="C272" i="2"/>
  <c r="AD271" i="2"/>
  <c r="AC271" i="2"/>
  <c r="AA271" i="2"/>
  <c r="X271" i="2"/>
  <c r="W271" i="2"/>
  <c r="U271" i="2"/>
  <c r="R271" i="2"/>
  <c r="N271" i="2"/>
  <c r="O271" i="2" s="1"/>
  <c r="L271" i="2"/>
  <c r="H271" i="2"/>
  <c r="I271" i="2" s="1"/>
  <c r="F271" i="2"/>
  <c r="C271" i="2"/>
  <c r="AD270" i="2"/>
  <c r="AC270" i="2"/>
  <c r="AA270" i="2"/>
  <c r="X270" i="2"/>
  <c r="W270" i="2"/>
  <c r="U270" i="2"/>
  <c r="R270" i="2"/>
  <c r="N270" i="2"/>
  <c r="O270" i="2" s="1"/>
  <c r="L270" i="2"/>
  <c r="I270" i="2"/>
  <c r="H270" i="2"/>
  <c r="F270" i="2"/>
  <c r="C270" i="2"/>
  <c r="AD269" i="2"/>
  <c r="AC269" i="2"/>
  <c r="AA269" i="2"/>
  <c r="W269" i="2"/>
  <c r="X269" i="2" s="1"/>
  <c r="U269" i="2"/>
  <c r="R269" i="2"/>
  <c r="O269" i="2"/>
  <c r="N269" i="2"/>
  <c r="L269" i="2"/>
  <c r="I269" i="2"/>
  <c r="H269" i="2"/>
  <c r="F269" i="2"/>
  <c r="C269" i="2"/>
  <c r="AA267" i="2"/>
  <c r="Z267" i="2"/>
  <c r="T267" i="2"/>
  <c r="U267" i="2" s="1"/>
  <c r="Q267" i="2"/>
  <c r="L267" i="2"/>
  <c r="K267" i="2"/>
  <c r="E267" i="2"/>
  <c r="H267" i="2" s="1"/>
  <c r="I267" i="2" s="1"/>
  <c r="C267" i="2"/>
  <c r="B267" i="2"/>
  <c r="N267" i="2" s="1"/>
  <c r="O267" i="2" s="1"/>
  <c r="AD266" i="2"/>
  <c r="AC266" i="2"/>
  <c r="AA266" i="2"/>
  <c r="W266" i="2"/>
  <c r="X266" i="2" s="1"/>
  <c r="U266" i="2"/>
  <c r="R266" i="2"/>
  <c r="N266" i="2"/>
  <c r="O266" i="2" s="1"/>
  <c r="L266" i="2"/>
  <c r="I266" i="2"/>
  <c r="H266" i="2"/>
  <c r="F266" i="2"/>
  <c r="C266" i="2"/>
  <c r="AD265" i="2"/>
  <c r="AC265" i="2"/>
  <c r="AA265" i="2"/>
  <c r="W265" i="2"/>
  <c r="X265" i="2" s="1"/>
  <c r="U265" i="2"/>
  <c r="R265" i="2"/>
  <c r="O265" i="2"/>
  <c r="N265" i="2"/>
  <c r="L265" i="2"/>
  <c r="I265" i="2"/>
  <c r="H265" i="2"/>
  <c r="F265" i="2"/>
  <c r="C265" i="2"/>
  <c r="AC263" i="2"/>
  <c r="AD263" i="2" s="1"/>
  <c r="AA263" i="2"/>
  <c r="Z263" i="2"/>
  <c r="T263" i="2"/>
  <c r="U263" i="2" s="1"/>
  <c r="Q263" i="2"/>
  <c r="L263" i="2"/>
  <c r="K263" i="2"/>
  <c r="E263" i="2"/>
  <c r="C263" i="2"/>
  <c r="B263" i="2"/>
  <c r="N263" i="2" s="1"/>
  <c r="O263" i="2" s="1"/>
  <c r="Z262" i="2"/>
  <c r="AA262" i="2" s="1"/>
  <c r="W262" i="2"/>
  <c r="X262" i="2" s="1"/>
  <c r="U262" i="2"/>
  <c r="T262" i="2"/>
  <c r="R262" i="2"/>
  <c r="Q262" i="2"/>
  <c r="K262" i="2"/>
  <c r="N262" i="2" s="1"/>
  <c r="O262" i="2" s="1"/>
  <c r="F262" i="2"/>
  <c r="E262" i="2"/>
  <c r="B262" i="2"/>
  <c r="H262" i="2" s="1"/>
  <c r="I262" i="2" s="1"/>
  <c r="AC261" i="2"/>
  <c r="AD261" i="2" s="1"/>
  <c r="AA261" i="2"/>
  <c r="W261" i="2"/>
  <c r="X261" i="2" s="1"/>
  <c r="U261" i="2"/>
  <c r="R261" i="2"/>
  <c r="N261" i="2"/>
  <c r="O261" i="2" s="1"/>
  <c r="L261" i="2"/>
  <c r="I261" i="2"/>
  <c r="H261" i="2"/>
  <c r="F261" i="2"/>
  <c r="C261" i="2"/>
  <c r="AD260" i="2"/>
  <c r="AC260" i="2"/>
  <c r="AA260" i="2"/>
  <c r="X260" i="2"/>
  <c r="W260" i="2"/>
  <c r="U260" i="2"/>
  <c r="R260" i="2"/>
  <c r="N260" i="2"/>
  <c r="O260" i="2" s="1"/>
  <c r="L260" i="2"/>
  <c r="H260" i="2"/>
  <c r="I260" i="2" s="1"/>
  <c r="F260" i="2"/>
  <c r="C260" i="2"/>
  <c r="AD259" i="2"/>
  <c r="AC259" i="2"/>
  <c r="AA259" i="2"/>
  <c r="X259" i="2"/>
  <c r="W259" i="2"/>
  <c r="U259" i="2"/>
  <c r="R259" i="2"/>
  <c r="N259" i="2"/>
  <c r="O259" i="2" s="1"/>
  <c r="L259" i="2"/>
  <c r="H259" i="2"/>
  <c r="I259" i="2" s="1"/>
  <c r="F259" i="2"/>
  <c r="C259" i="2"/>
  <c r="AD258" i="2"/>
  <c r="AC258" i="2"/>
  <c r="AA258" i="2"/>
  <c r="W258" i="2"/>
  <c r="X258" i="2" s="1"/>
  <c r="U258" i="2"/>
  <c r="R258" i="2"/>
  <c r="O258" i="2"/>
  <c r="N258" i="2"/>
  <c r="L258" i="2"/>
  <c r="I258" i="2"/>
  <c r="H258" i="2"/>
  <c r="F258" i="2"/>
  <c r="C258" i="2"/>
  <c r="AC257" i="2"/>
  <c r="AD257" i="2" s="1"/>
  <c r="AA257" i="2"/>
  <c r="W257" i="2"/>
  <c r="X257" i="2" s="1"/>
  <c r="U257" i="2"/>
  <c r="R257" i="2"/>
  <c r="N257" i="2"/>
  <c r="O257" i="2" s="1"/>
  <c r="L257" i="2"/>
  <c r="I257" i="2"/>
  <c r="H257" i="2"/>
  <c r="F257" i="2"/>
  <c r="C257" i="2"/>
  <c r="AC256" i="2"/>
  <c r="AD256" i="2" s="1"/>
  <c r="AA256" i="2"/>
  <c r="X256" i="2"/>
  <c r="W256" i="2"/>
  <c r="U256" i="2"/>
  <c r="R256" i="2"/>
  <c r="N256" i="2"/>
  <c r="O256" i="2" s="1"/>
  <c r="L256" i="2"/>
  <c r="H256" i="2"/>
  <c r="I256" i="2" s="1"/>
  <c r="F256" i="2"/>
  <c r="C256" i="2"/>
  <c r="AD255" i="2"/>
  <c r="AC255" i="2"/>
  <c r="AA255" i="2"/>
  <c r="W255" i="2"/>
  <c r="X255" i="2" s="1"/>
  <c r="U255" i="2"/>
  <c r="R255" i="2"/>
  <c r="N255" i="2"/>
  <c r="O255" i="2" s="1"/>
  <c r="L255" i="2"/>
  <c r="I255" i="2"/>
  <c r="H255" i="2"/>
  <c r="F255" i="2"/>
  <c r="C255" i="2"/>
  <c r="AD254" i="2"/>
  <c r="AC254" i="2"/>
  <c r="AA254" i="2"/>
  <c r="W254" i="2"/>
  <c r="X254" i="2" s="1"/>
  <c r="U254" i="2"/>
  <c r="R254" i="2"/>
  <c r="O254" i="2"/>
  <c r="N254" i="2"/>
  <c r="L254" i="2"/>
  <c r="I254" i="2"/>
  <c r="H254" i="2"/>
  <c r="F254" i="2"/>
  <c r="C254" i="2"/>
  <c r="AC253" i="2"/>
  <c r="AD253" i="2" s="1"/>
  <c r="AA253" i="2"/>
  <c r="W253" i="2"/>
  <c r="X253" i="2" s="1"/>
  <c r="U253" i="2"/>
  <c r="R253" i="2"/>
  <c r="N253" i="2"/>
  <c r="O253" i="2" s="1"/>
  <c r="L253" i="2"/>
  <c r="I253" i="2"/>
  <c r="H253" i="2"/>
  <c r="F253" i="2"/>
  <c r="C253" i="2"/>
  <c r="AD252" i="2"/>
  <c r="AC252" i="2"/>
  <c r="AA252" i="2"/>
  <c r="X252" i="2"/>
  <c r="W252" i="2"/>
  <c r="U252" i="2"/>
  <c r="R252" i="2"/>
  <c r="N252" i="2"/>
  <c r="O252" i="2" s="1"/>
  <c r="L252" i="2"/>
  <c r="H252" i="2"/>
  <c r="I252" i="2" s="1"/>
  <c r="F252" i="2"/>
  <c r="C252" i="2"/>
  <c r="AD251" i="2"/>
  <c r="AC251" i="2"/>
  <c r="AA251" i="2"/>
  <c r="X251" i="2"/>
  <c r="W251" i="2"/>
  <c r="U251" i="2"/>
  <c r="R251" i="2"/>
  <c r="N251" i="2"/>
  <c r="O251" i="2" s="1"/>
  <c r="L251" i="2"/>
  <c r="H251" i="2"/>
  <c r="I251" i="2" s="1"/>
  <c r="F251" i="2"/>
  <c r="C251" i="2"/>
  <c r="AD250" i="2"/>
  <c r="AC250" i="2"/>
  <c r="AA250" i="2"/>
  <c r="W250" i="2"/>
  <c r="X250" i="2" s="1"/>
  <c r="U250" i="2"/>
  <c r="R250" i="2"/>
  <c r="O250" i="2"/>
  <c r="N250" i="2"/>
  <c r="L250" i="2"/>
  <c r="I250" i="2"/>
  <c r="H250" i="2"/>
  <c r="F250" i="2"/>
  <c r="C250" i="2"/>
  <c r="AC249" i="2"/>
  <c r="AD249" i="2" s="1"/>
  <c r="AA249" i="2"/>
  <c r="W249" i="2"/>
  <c r="X249" i="2" s="1"/>
  <c r="U249" i="2"/>
  <c r="R249" i="2"/>
  <c r="N249" i="2"/>
  <c r="O249" i="2" s="1"/>
  <c r="L249" i="2"/>
  <c r="I249" i="2"/>
  <c r="H249" i="2"/>
  <c r="F249" i="2"/>
  <c r="C249" i="2"/>
  <c r="AC248" i="2"/>
  <c r="AD248" i="2" s="1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D247" i="2"/>
  <c r="AC247" i="2"/>
  <c r="AA247" i="2"/>
  <c r="W247" i="2"/>
  <c r="X247" i="2" s="1"/>
  <c r="U247" i="2"/>
  <c r="R247" i="2"/>
  <c r="N247" i="2"/>
  <c r="O247" i="2" s="1"/>
  <c r="L247" i="2"/>
  <c r="I247" i="2"/>
  <c r="H247" i="2"/>
  <c r="F247" i="2"/>
  <c r="C247" i="2"/>
  <c r="AD246" i="2"/>
  <c r="AC246" i="2"/>
  <c r="AA246" i="2"/>
  <c r="W246" i="2"/>
  <c r="X246" i="2" s="1"/>
  <c r="U246" i="2"/>
  <c r="R246" i="2"/>
  <c r="O246" i="2"/>
  <c r="N246" i="2"/>
  <c r="L246" i="2"/>
  <c r="I246" i="2"/>
  <c r="H246" i="2"/>
  <c r="F246" i="2"/>
  <c r="C246" i="2"/>
  <c r="AC245" i="2"/>
  <c r="AD245" i="2" s="1"/>
  <c r="AA245" i="2"/>
  <c r="W245" i="2"/>
  <c r="X245" i="2" s="1"/>
  <c r="U245" i="2"/>
  <c r="R245" i="2"/>
  <c r="N245" i="2"/>
  <c r="O245" i="2" s="1"/>
  <c r="L245" i="2"/>
  <c r="I245" i="2"/>
  <c r="H245" i="2"/>
  <c r="F245" i="2"/>
  <c r="C245" i="2"/>
  <c r="AD244" i="2"/>
  <c r="AC244" i="2"/>
  <c r="AA244" i="2"/>
  <c r="X244" i="2"/>
  <c r="W244" i="2"/>
  <c r="U244" i="2"/>
  <c r="R244" i="2"/>
  <c r="N244" i="2"/>
  <c r="O244" i="2" s="1"/>
  <c r="L244" i="2"/>
  <c r="H244" i="2"/>
  <c r="I244" i="2" s="1"/>
  <c r="F244" i="2"/>
  <c r="C244" i="2"/>
  <c r="AD243" i="2"/>
  <c r="AC243" i="2"/>
  <c r="AA243" i="2"/>
  <c r="X243" i="2"/>
  <c r="W243" i="2"/>
  <c r="U243" i="2"/>
  <c r="R243" i="2"/>
  <c r="N243" i="2"/>
  <c r="O243" i="2" s="1"/>
  <c r="L243" i="2"/>
  <c r="H243" i="2"/>
  <c r="I243" i="2" s="1"/>
  <c r="F243" i="2"/>
  <c r="C243" i="2"/>
  <c r="AD242" i="2"/>
  <c r="AC242" i="2"/>
  <c r="AA242" i="2"/>
  <c r="W242" i="2"/>
  <c r="X242" i="2" s="1"/>
  <c r="U242" i="2"/>
  <c r="R242" i="2"/>
  <c r="O242" i="2"/>
  <c r="N242" i="2"/>
  <c r="L242" i="2"/>
  <c r="I242" i="2"/>
  <c r="H242" i="2"/>
  <c r="F242" i="2"/>
  <c r="C242" i="2"/>
  <c r="AC241" i="2"/>
  <c r="AD241" i="2" s="1"/>
  <c r="AA241" i="2"/>
  <c r="W241" i="2"/>
  <c r="X241" i="2" s="1"/>
  <c r="U241" i="2"/>
  <c r="R241" i="2"/>
  <c r="N241" i="2"/>
  <c r="O241" i="2" s="1"/>
  <c r="L241" i="2"/>
  <c r="I241" i="2"/>
  <c r="H241" i="2"/>
  <c r="F241" i="2"/>
  <c r="C241" i="2"/>
  <c r="AC240" i="2"/>
  <c r="AD240" i="2" s="1"/>
  <c r="AA240" i="2"/>
  <c r="X240" i="2"/>
  <c r="W240" i="2"/>
  <c r="U240" i="2"/>
  <c r="R240" i="2"/>
  <c r="N240" i="2"/>
  <c r="O240" i="2" s="1"/>
  <c r="L240" i="2"/>
  <c r="H240" i="2"/>
  <c r="I240" i="2" s="1"/>
  <c r="F240" i="2"/>
  <c r="C240" i="2"/>
  <c r="AD238" i="2"/>
  <c r="AC238" i="2"/>
  <c r="AA238" i="2"/>
  <c r="W238" i="2"/>
  <c r="X238" i="2" s="1"/>
  <c r="U238" i="2"/>
  <c r="R238" i="2"/>
  <c r="N238" i="2"/>
  <c r="O238" i="2" s="1"/>
  <c r="L238" i="2"/>
  <c r="I238" i="2"/>
  <c r="H238" i="2"/>
  <c r="F238" i="2"/>
  <c r="C238" i="2"/>
  <c r="AA236" i="2"/>
  <c r="Z236" i="2"/>
  <c r="X236" i="2"/>
  <c r="W236" i="2"/>
  <c r="U236" i="2"/>
  <c r="T236" i="2"/>
  <c r="R236" i="2"/>
  <c r="Q236" i="2"/>
  <c r="AC236" i="2" s="1"/>
  <c r="AD236" i="2" s="1"/>
  <c r="K236" i="2"/>
  <c r="L236" i="2" s="1"/>
  <c r="I236" i="2"/>
  <c r="H236" i="2"/>
  <c r="F236" i="2"/>
  <c r="E236" i="2"/>
  <c r="C236" i="2"/>
  <c r="B236" i="2"/>
  <c r="AC235" i="2"/>
  <c r="AD235" i="2" s="1"/>
  <c r="AA235" i="2"/>
  <c r="X235" i="2"/>
  <c r="W235" i="2"/>
  <c r="U235" i="2"/>
  <c r="R235" i="2"/>
  <c r="N235" i="2"/>
  <c r="O235" i="2" s="1"/>
  <c r="L235" i="2"/>
  <c r="H235" i="2"/>
  <c r="I235" i="2" s="1"/>
  <c r="F235" i="2"/>
  <c r="C235" i="2"/>
  <c r="AD234" i="2"/>
  <c r="AC234" i="2"/>
  <c r="AA234" i="2"/>
  <c r="W234" i="2"/>
  <c r="X234" i="2" s="1"/>
  <c r="U234" i="2"/>
  <c r="R234" i="2"/>
  <c r="N234" i="2"/>
  <c r="O234" i="2" s="1"/>
  <c r="L234" i="2"/>
  <c r="H234" i="2"/>
  <c r="I234" i="2" s="1"/>
  <c r="F234" i="2"/>
  <c r="C234" i="2"/>
  <c r="AD233" i="2"/>
  <c r="AC233" i="2"/>
  <c r="AA233" i="2"/>
  <c r="W233" i="2"/>
  <c r="X233" i="2" s="1"/>
  <c r="U233" i="2"/>
  <c r="R233" i="2"/>
  <c r="O233" i="2"/>
  <c r="N233" i="2"/>
  <c r="L233" i="2"/>
  <c r="I233" i="2"/>
  <c r="H233" i="2"/>
  <c r="F233" i="2"/>
  <c r="C233" i="2"/>
  <c r="AC232" i="2"/>
  <c r="AD232" i="2" s="1"/>
  <c r="AA232" i="2"/>
  <c r="W232" i="2"/>
  <c r="X232" i="2" s="1"/>
  <c r="U232" i="2"/>
  <c r="R232" i="2"/>
  <c r="N232" i="2"/>
  <c r="O232" i="2" s="1"/>
  <c r="L232" i="2"/>
  <c r="I232" i="2"/>
  <c r="H232" i="2"/>
  <c r="F232" i="2"/>
  <c r="C232" i="2"/>
  <c r="AD231" i="2"/>
  <c r="AC231" i="2"/>
  <c r="AA231" i="2"/>
  <c r="X231" i="2"/>
  <c r="W231" i="2"/>
  <c r="U231" i="2"/>
  <c r="R231" i="2"/>
  <c r="N231" i="2"/>
  <c r="O231" i="2" s="1"/>
  <c r="L231" i="2"/>
  <c r="H231" i="2"/>
  <c r="I231" i="2" s="1"/>
  <c r="F231" i="2"/>
  <c r="C231" i="2"/>
  <c r="AD230" i="2"/>
  <c r="AC230" i="2"/>
  <c r="AA230" i="2"/>
  <c r="X230" i="2"/>
  <c r="W230" i="2"/>
  <c r="U230" i="2"/>
  <c r="R230" i="2"/>
  <c r="N230" i="2"/>
  <c r="O230" i="2" s="1"/>
  <c r="L230" i="2"/>
  <c r="I230" i="2"/>
  <c r="H230" i="2"/>
  <c r="F230" i="2"/>
  <c r="C230" i="2"/>
  <c r="AD229" i="2"/>
  <c r="AC229" i="2"/>
  <c r="AA229" i="2"/>
  <c r="W229" i="2"/>
  <c r="X229" i="2" s="1"/>
  <c r="U229" i="2"/>
  <c r="R229" i="2"/>
  <c r="O229" i="2"/>
  <c r="N229" i="2"/>
  <c r="L229" i="2"/>
  <c r="I229" i="2"/>
  <c r="H229" i="2"/>
  <c r="F229" i="2"/>
  <c r="C229" i="2"/>
  <c r="AA227" i="2"/>
  <c r="Z227" i="2"/>
  <c r="T227" i="2"/>
  <c r="U227" i="2" s="1"/>
  <c r="Q227" i="2"/>
  <c r="L227" i="2"/>
  <c r="K227" i="2"/>
  <c r="E227" i="2"/>
  <c r="H227" i="2" s="1"/>
  <c r="I227" i="2" s="1"/>
  <c r="C227" i="2"/>
  <c r="B227" i="2"/>
  <c r="N227" i="2" s="1"/>
  <c r="O227" i="2" s="1"/>
  <c r="AD226" i="2"/>
  <c r="AC226" i="2"/>
  <c r="AA226" i="2"/>
  <c r="W226" i="2"/>
  <c r="X226" i="2" s="1"/>
  <c r="U226" i="2"/>
  <c r="R226" i="2"/>
  <c r="N226" i="2"/>
  <c r="O226" i="2" s="1"/>
  <c r="L226" i="2"/>
  <c r="I226" i="2"/>
  <c r="H226" i="2"/>
  <c r="F226" i="2"/>
  <c r="C226" i="2"/>
  <c r="AD225" i="2"/>
  <c r="AC225" i="2"/>
  <c r="AA225" i="2"/>
  <c r="W225" i="2"/>
  <c r="X225" i="2" s="1"/>
  <c r="U225" i="2"/>
  <c r="R225" i="2"/>
  <c r="O225" i="2"/>
  <c r="N225" i="2"/>
  <c r="L225" i="2"/>
  <c r="I225" i="2"/>
  <c r="H225" i="2"/>
  <c r="F225" i="2"/>
  <c r="C225" i="2"/>
  <c r="AC224" i="2"/>
  <c r="AD224" i="2" s="1"/>
  <c r="AA224" i="2"/>
  <c r="W224" i="2"/>
  <c r="X224" i="2" s="1"/>
  <c r="U224" i="2"/>
  <c r="R224" i="2"/>
  <c r="N224" i="2"/>
  <c r="O224" i="2" s="1"/>
  <c r="L224" i="2"/>
  <c r="I224" i="2"/>
  <c r="H224" i="2"/>
  <c r="F224" i="2"/>
  <c r="C224" i="2"/>
  <c r="AD223" i="2"/>
  <c r="AC223" i="2"/>
  <c r="AA223" i="2"/>
  <c r="X223" i="2"/>
  <c r="W223" i="2"/>
  <c r="U223" i="2"/>
  <c r="R223" i="2"/>
  <c r="N223" i="2"/>
  <c r="O223" i="2" s="1"/>
  <c r="L223" i="2"/>
  <c r="H223" i="2"/>
  <c r="I223" i="2" s="1"/>
  <c r="F223" i="2"/>
  <c r="C223" i="2"/>
  <c r="AD222" i="2"/>
  <c r="AC222" i="2"/>
  <c r="AA222" i="2"/>
  <c r="X222" i="2"/>
  <c r="W222" i="2"/>
  <c r="U222" i="2"/>
  <c r="R222" i="2"/>
  <c r="N222" i="2"/>
  <c r="O222" i="2" s="1"/>
  <c r="L222" i="2"/>
  <c r="H222" i="2"/>
  <c r="I222" i="2" s="1"/>
  <c r="F222" i="2"/>
  <c r="C222" i="2"/>
  <c r="AD221" i="2"/>
  <c r="AC221" i="2"/>
  <c r="AA221" i="2"/>
  <c r="W221" i="2"/>
  <c r="X221" i="2" s="1"/>
  <c r="U221" i="2"/>
  <c r="R221" i="2"/>
  <c r="O221" i="2"/>
  <c r="N221" i="2"/>
  <c r="L221" i="2"/>
  <c r="I221" i="2"/>
  <c r="H221" i="2"/>
  <c r="F221" i="2"/>
  <c r="C221" i="2"/>
  <c r="AC220" i="2"/>
  <c r="AD220" i="2" s="1"/>
  <c r="AA220" i="2"/>
  <c r="W220" i="2"/>
  <c r="X220" i="2" s="1"/>
  <c r="U220" i="2"/>
  <c r="R220" i="2"/>
  <c r="N220" i="2"/>
  <c r="O220" i="2" s="1"/>
  <c r="L220" i="2"/>
  <c r="I220" i="2"/>
  <c r="H220" i="2"/>
  <c r="F220" i="2"/>
  <c r="C220" i="2"/>
  <c r="AC219" i="2"/>
  <c r="AD219" i="2" s="1"/>
  <c r="AA219" i="2"/>
  <c r="X219" i="2"/>
  <c r="W219" i="2"/>
  <c r="U219" i="2"/>
  <c r="R219" i="2"/>
  <c r="N219" i="2"/>
  <c r="O219" i="2" s="1"/>
  <c r="L219" i="2"/>
  <c r="H219" i="2"/>
  <c r="I219" i="2" s="1"/>
  <c r="F219" i="2"/>
  <c r="C219" i="2"/>
  <c r="Z218" i="2"/>
  <c r="AA218" i="2" s="1"/>
  <c r="W218" i="2"/>
  <c r="X218" i="2" s="1"/>
  <c r="U218" i="2"/>
  <c r="T218" i="2"/>
  <c r="R218" i="2"/>
  <c r="Q218" i="2"/>
  <c r="AC218" i="2" s="1"/>
  <c r="AD218" i="2" s="1"/>
  <c r="K218" i="2"/>
  <c r="L218" i="2" s="1"/>
  <c r="F218" i="2"/>
  <c r="E218" i="2"/>
  <c r="B218" i="2"/>
  <c r="AC217" i="2"/>
  <c r="AD217" i="2" s="1"/>
  <c r="AA217" i="2"/>
  <c r="W217" i="2"/>
  <c r="X217" i="2" s="1"/>
  <c r="U217" i="2"/>
  <c r="R217" i="2"/>
  <c r="N217" i="2"/>
  <c r="O217" i="2" s="1"/>
  <c r="L217" i="2"/>
  <c r="I217" i="2"/>
  <c r="H217" i="2"/>
  <c r="F217" i="2"/>
  <c r="C217" i="2"/>
  <c r="AC216" i="2"/>
  <c r="AD216" i="2" s="1"/>
  <c r="AA216" i="2"/>
  <c r="X216" i="2"/>
  <c r="W216" i="2"/>
  <c r="U216" i="2"/>
  <c r="R216" i="2"/>
  <c r="N216" i="2"/>
  <c r="O216" i="2" s="1"/>
  <c r="L216" i="2"/>
  <c r="H216" i="2"/>
  <c r="I216" i="2" s="1"/>
  <c r="F216" i="2"/>
  <c r="C216" i="2"/>
  <c r="AD215" i="2"/>
  <c r="AC215" i="2"/>
  <c r="AA215" i="2"/>
  <c r="W215" i="2"/>
  <c r="X215" i="2" s="1"/>
  <c r="U215" i="2"/>
  <c r="R215" i="2"/>
  <c r="N215" i="2"/>
  <c r="O215" i="2" s="1"/>
  <c r="L215" i="2"/>
  <c r="H215" i="2"/>
  <c r="I215" i="2" s="1"/>
  <c r="F215" i="2"/>
  <c r="C215" i="2"/>
  <c r="AD214" i="2"/>
  <c r="AC214" i="2"/>
  <c r="AA214" i="2"/>
  <c r="W214" i="2"/>
  <c r="X214" i="2" s="1"/>
  <c r="U214" i="2"/>
  <c r="R214" i="2"/>
  <c r="O214" i="2"/>
  <c r="N214" i="2"/>
  <c r="L214" i="2"/>
  <c r="I214" i="2"/>
  <c r="H214" i="2"/>
  <c r="F214" i="2"/>
  <c r="C214" i="2"/>
  <c r="AD213" i="2"/>
  <c r="AC213" i="2"/>
  <c r="AA213" i="2"/>
  <c r="W213" i="2"/>
  <c r="X213" i="2" s="1"/>
  <c r="U213" i="2"/>
  <c r="R213" i="2"/>
  <c r="N213" i="2"/>
  <c r="O213" i="2" s="1"/>
  <c r="L213" i="2"/>
  <c r="I213" i="2"/>
  <c r="H213" i="2"/>
  <c r="F213" i="2"/>
  <c r="C213" i="2"/>
  <c r="AD211" i="2"/>
  <c r="AC211" i="2"/>
  <c r="AA211" i="2"/>
  <c r="X211" i="2"/>
  <c r="W211" i="2"/>
  <c r="U211" i="2"/>
  <c r="R211" i="2"/>
  <c r="N211" i="2"/>
  <c r="O211" i="2" s="1"/>
  <c r="L211" i="2"/>
  <c r="H211" i="2"/>
  <c r="I211" i="2" s="1"/>
  <c r="F211" i="2"/>
  <c r="C211" i="2"/>
  <c r="Z209" i="2"/>
  <c r="AA209" i="2" s="1"/>
  <c r="W209" i="2"/>
  <c r="X209" i="2" s="1"/>
  <c r="U209" i="2"/>
  <c r="T209" i="2"/>
  <c r="R209" i="2"/>
  <c r="Q209" i="2"/>
  <c r="N209" i="2"/>
  <c r="O209" i="2" s="1"/>
  <c r="K209" i="2"/>
  <c r="L209" i="2" s="1"/>
  <c r="F209" i="2"/>
  <c r="E209" i="2"/>
  <c r="B209" i="2"/>
  <c r="H209" i="2" s="1"/>
  <c r="I209" i="2" s="1"/>
  <c r="AC208" i="2"/>
  <c r="AD208" i="2" s="1"/>
  <c r="AA208" i="2"/>
  <c r="W208" i="2"/>
  <c r="X208" i="2" s="1"/>
  <c r="U208" i="2"/>
  <c r="R208" i="2"/>
  <c r="N208" i="2"/>
  <c r="O208" i="2" s="1"/>
  <c r="L208" i="2"/>
  <c r="I208" i="2"/>
  <c r="H208" i="2"/>
  <c r="F208" i="2"/>
  <c r="C208" i="2"/>
  <c r="AC207" i="2"/>
  <c r="AD207" i="2" s="1"/>
  <c r="AA207" i="2"/>
  <c r="X207" i="2"/>
  <c r="W207" i="2"/>
  <c r="U207" i="2"/>
  <c r="R207" i="2"/>
  <c r="N207" i="2"/>
  <c r="O207" i="2" s="1"/>
  <c r="L207" i="2"/>
  <c r="H207" i="2"/>
  <c r="I207" i="2" s="1"/>
  <c r="F207" i="2"/>
  <c r="C207" i="2"/>
  <c r="AD206" i="2"/>
  <c r="AC206" i="2"/>
  <c r="AA206" i="2"/>
  <c r="W206" i="2"/>
  <c r="X206" i="2" s="1"/>
  <c r="U206" i="2"/>
  <c r="R206" i="2"/>
  <c r="N206" i="2"/>
  <c r="O206" i="2" s="1"/>
  <c r="L206" i="2"/>
  <c r="I206" i="2"/>
  <c r="H206" i="2"/>
  <c r="F206" i="2"/>
  <c r="C206" i="2"/>
  <c r="AD205" i="2"/>
  <c r="AC205" i="2"/>
  <c r="AA205" i="2"/>
  <c r="W205" i="2"/>
  <c r="X205" i="2" s="1"/>
  <c r="U205" i="2"/>
  <c r="R205" i="2"/>
  <c r="O205" i="2"/>
  <c r="N205" i="2"/>
  <c r="L205" i="2"/>
  <c r="I205" i="2"/>
  <c r="H205" i="2"/>
  <c r="F205" i="2"/>
  <c r="C205" i="2"/>
  <c r="AC204" i="2"/>
  <c r="AD204" i="2" s="1"/>
  <c r="AA204" i="2"/>
  <c r="W204" i="2"/>
  <c r="X204" i="2" s="1"/>
  <c r="U204" i="2"/>
  <c r="R204" i="2"/>
  <c r="N204" i="2"/>
  <c r="O204" i="2" s="1"/>
  <c r="L204" i="2"/>
  <c r="I204" i="2"/>
  <c r="H204" i="2"/>
  <c r="F204" i="2"/>
  <c r="C204" i="2"/>
  <c r="AD203" i="2"/>
  <c r="AC203" i="2"/>
  <c r="AA203" i="2"/>
  <c r="X203" i="2"/>
  <c r="W203" i="2"/>
  <c r="U203" i="2"/>
  <c r="R203" i="2"/>
  <c r="N203" i="2"/>
  <c r="O203" i="2" s="1"/>
  <c r="L203" i="2"/>
  <c r="H203" i="2"/>
  <c r="I203" i="2" s="1"/>
  <c r="F203" i="2"/>
  <c r="C203" i="2"/>
  <c r="AD202" i="2"/>
  <c r="AC202" i="2"/>
  <c r="AA202" i="2"/>
  <c r="X202" i="2"/>
  <c r="W202" i="2"/>
  <c r="U202" i="2"/>
  <c r="R202" i="2"/>
  <c r="N202" i="2"/>
  <c r="O202" i="2" s="1"/>
  <c r="L202" i="2"/>
  <c r="H202" i="2"/>
  <c r="I202" i="2" s="1"/>
  <c r="F202" i="2"/>
  <c r="C202" i="2"/>
  <c r="AD201" i="2"/>
  <c r="AC201" i="2"/>
  <c r="AA201" i="2"/>
  <c r="W201" i="2"/>
  <c r="X201" i="2" s="1"/>
  <c r="U201" i="2"/>
  <c r="R201" i="2"/>
  <c r="O201" i="2"/>
  <c r="N201" i="2"/>
  <c r="L201" i="2"/>
  <c r="I201" i="2"/>
  <c r="H201" i="2"/>
  <c r="F201" i="2"/>
  <c r="C201" i="2"/>
  <c r="Z197" i="2"/>
  <c r="AA197" i="2" s="1"/>
  <c r="W197" i="2"/>
  <c r="X197" i="2" s="1"/>
  <c r="U197" i="2"/>
  <c r="T197" i="2"/>
  <c r="R197" i="2"/>
  <c r="Q197" i="2"/>
  <c r="AC197" i="2" s="1"/>
  <c r="AD197" i="2" s="1"/>
  <c r="K197" i="2"/>
  <c r="L197" i="2" s="1"/>
  <c r="F197" i="2"/>
  <c r="E197" i="2"/>
  <c r="B197" i="2"/>
  <c r="AA196" i="2"/>
  <c r="Z196" i="2"/>
  <c r="T196" i="2"/>
  <c r="U196" i="2" s="1"/>
  <c r="Q196" i="2"/>
  <c r="L196" i="2"/>
  <c r="K196" i="2"/>
  <c r="E196" i="2"/>
  <c r="H196" i="2" s="1"/>
  <c r="I196" i="2" s="1"/>
  <c r="C196" i="2"/>
  <c r="B196" i="2"/>
  <c r="N196" i="2" s="1"/>
  <c r="O196" i="2" s="1"/>
  <c r="AD195" i="2"/>
  <c r="AC195" i="2"/>
  <c r="AA195" i="2"/>
  <c r="W195" i="2"/>
  <c r="X195" i="2" s="1"/>
  <c r="U195" i="2"/>
  <c r="R195" i="2"/>
  <c r="N195" i="2"/>
  <c r="O195" i="2" s="1"/>
  <c r="L195" i="2"/>
  <c r="I195" i="2"/>
  <c r="H195" i="2"/>
  <c r="F195" i="2"/>
  <c r="C195" i="2"/>
  <c r="AD194" i="2"/>
  <c r="AC194" i="2"/>
  <c r="AA194" i="2"/>
  <c r="W194" i="2"/>
  <c r="X194" i="2" s="1"/>
  <c r="U194" i="2"/>
  <c r="R194" i="2"/>
  <c r="O194" i="2"/>
  <c r="N194" i="2"/>
  <c r="L194" i="2"/>
  <c r="I194" i="2"/>
  <c r="H194" i="2"/>
  <c r="F194" i="2"/>
  <c r="C194" i="2"/>
  <c r="AC193" i="2"/>
  <c r="AD193" i="2" s="1"/>
  <c r="AA193" i="2"/>
  <c r="Z193" i="2"/>
  <c r="T193" i="2"/>
  <c r="U193" i="2" s="1"/>
  <c r="Q193" i="2"/>
  <c r="L193" i="2"/>
  <c r="K193" i="2"/>
  <c r="E193" i="2"/>
  <c r="C193" i="2"/>
  <c r="B193" i="2"/>
  <c r="N193" i="2" s="1"/>
  <c r="O193" i="2" s="1"/>
  <c r="AD192" i="2"/>
  <c r="AC192" i="2"/>
  <c r="AA192" i="2"/>
  <c r="W192" i="2"/>
  <c r="X192" i="2" s="1"/>
  <c r="U192" i="2"/>
  <c r="R192" i="2"/>
  <c r="N192" i="2"/>
  <c r="O192" i="2" s="1"/>
  <c r="L192" i="2"/>
  <c r="H192" i="2"/>
  <c r="I192" i="2" s="1"/>
  <c r="F192" i="2"/>
  <c r="C192" i="2"/>
  <c r="AD191" i="2"/>
  <c r="AC191" i="2"/>
  <c r="AA191" i="2"/>
  <c r="W191" i="2"/>
  <c r="X191" i="2" s="1"/>
  <c r="U191" i="2"/>
  <c r="R191" i="2"/>
  <c r="O191" i="2"/>
  <c r="N191" i="2"/>
  <c r="L191" i="2"/>
  <c r="I191" i="2"/>
  <c r="H191" i="2"/>
  <c r="F191" i="2"/>
  <c r="C191" i="2"/>
  <c r="AC190" i="2"/>
  <c r="AD190" i="2" s="1"/>
  <c r="AA190" i="2"/>
  <c r="W190" i="2"/>
  <c r="X190" i="2" s="1"/>
  <c r="U190" i="2"/>
  <c r="R190" i="2"/>
  <c r="N190" i="2"/>
  <c r="O190" i="2" s="1"/>
  <c r="L190" i="2"/>
  <c r="I190" i="2"/>
  <c r="H190" i="2"/>
  <c r="F190" i="2"/>
  <c r="C190" i="2"/>
  <c r="AD189" i="2"/>
  <c r="AC189" i="2"/>
  <c r="AA189" i="2"/>
  <c r="X189" i="2"/>
  <c r="W189" i="2"/>
  <c r="U189" i="2"/>
  <c r="R189" i="2"/>
  <c r="N189" i="2"/>
  <c r="O189" i="2" s="1"/>
  <c r="L189" i="2"/>
  <c r="H189" i="2"/>
  <c r="I189" i="2" s="1"/>
  <c r="F189" i="2"/>
  <c r="C189" i="2"/>
  <c r="AD188" i="2"/>
  <c r="AC188" i="2"/>
  <c r="AA188" i="2"/>
  <c r="X188" i="2"/>
  <c r="W188" i="2"/>
  <c r="U188" i="2"/>
  <c r="R188" i="2"/>
  <c r="N188" i="2"/>
  <c r="O188" i="2" s="1"/>
  <c r="L188" i="2"/>
  <c r="I188" i="2"/>
  <c r="H188" i="2"/>
  <c r="F188" i="2"/>
  <c r="C188" i="2"/>
  <c r="AD187" i="2"/>
  <c r="AC187" i="2"/>
  <c r="AA187" i="2"/>
  <c r="W187" i="2"/>
  <c r="X187" i="2" s="1"/>
  <c r="U187" i="2"/>
  <c r="R187" i="2"/>
  <c r="O187" i="2"/>
  <c r="N187" i="2"/>
  <c r="L187" i="2"/>
  <c r="I187" i="2"/>
  <c r="H187" i="2"/>
  <c r="F187" i="2"/>
  <c r="C187" i="2"/>
  <c r="AC186" i="2"/>
  <c r="AD186" i="2" s="1"/>
  <c r="AA186" i="2"/>
  <c r="W186" i="2"/>
  <c r="X186" i="2" s="1"/>
  <c r="U186" i="2"/>
  <c r="R186" i="2"/>
  <c r="N186" i="2"/>
  <c r="O186" i="2" s="1"/>
  <c r="L186" i="2"/>
  <c r="I186" i="2"/>
  <c r="H186" i="2"/>
  <c r="F186" i="2"/>
  <c r="C186" i="2"/>
  <c r="AC184" i="2"/>
  <c r="AD184" i="2" s="1"/>
  <c r="AA184" i="2"/>
  <c r="X184" i="2"/>
  <c r="W184" i="2"/>
  <c r="U184" i="2"/>
  <c r="R184" i="2"/>
  <c r="N184" i="2"/>
  <c r="O184" i="2" s="1"/>
  <c r="L184" i="2"/>
  <c r="H184" i="2"/>
  <c r="I184" i="2" s="1"/>
  <c r="F184" i="2"/>
  <c r="C184" i="2"/>
  <c r="AD183" i="2"/>
  <c r="AC183" i="2"/>
  <c r="AA183" i="2"/>
  <c r="W183" i="2"/>
  <c r="X183" i="2" s="1"/>
  <c r="U183" i="2"/>
  <c r="R183" i="2"/>
  <c r="N183" i="2"/>
  <c r="O183" i="2" s="1"/>
  <c r="L183" i="2"/>
  <c r="H183" i="2"/>
  <c r="I183" i="2" s="1"/>
  <c r="F183" i="2"/>
  <c r="C183" i="2"/>
  <c r="AA182" i="2"/>
  <c r="Z182" i="2"/>
  <c r="T182" i="2"/>
  <c r="W182" i="2" s="1"/>
  <c r="X182" i="2" s="1"/>
  <c r="R182" i="2"/>
  <c r="Q182" i="2"/>
  <c r="AC182" i="2" s="1"/>
  <c r="AD182" i="2" s="1"/>
  <c r="L182" i="2"/>
  <c r="K182" i="2"/>
  <c r="I182" i="2"/>
  <c r="H182" i="2"/>
  <c r="F182" i="2"/>
  <c r="E182" i="2"/>
  <c r="C182" i="2"/>
  <c r="B182" i="2"/>
  <c r="N182" i="2" s="1"/>
  <c r="O182" i="2" s="1"/>
  <c r="AD181" i="2"/>
  <c r="AC181" i="2"/>
  <c r="AA181" i="2"/>
  <c r="X181" i="2"/>
  <c r="W181" i="2"/>
  <c r="U181" i="2"/>
  <c r="R181" i="2"/>
  <c r="N181" i="2"/>
  <c r="O181" i="2" s="1"/>
  <c r="L181" i="2"/>
  <c r="H181" i="2"/>
  <c r="I181" i="2" s="1"/>
  <c r="F181" i="2"/>
  <c r="C181" i="2"/>
  <c r="AD180" i="2"/>
  <c r="AC180" i="2"/>
  <c r="AA180" i="2"/>
  <c r="X180" i="2"/>
  <c r="W180" i="2"/>
  <c r="U180" i="2"/>
  <c r="R180" i="2"/>
  <c r="N180" i="2"/>
  <c r="O180" i="2" s="1"/>
  <c r="L180" i="2"/>
  <c r="H180" i="2"/>
  <c r="I180" i="2" s="1"/>
  <c r="F180" i="2"/>
  <c r="C180" i="2"/>
  <c r="AD179" i="2"/>
  <c r="AC179" i="2"/>
  <c r="AA179" i="2"/>
  <c r="W179" i="2"/>
  <c r="X179" i="2" s="1"/>
  <c r="U179" i="2"/>
  <c r="R179" i="2"/>
  <c r="O179" i="2"/>
  <c r="N179" i="2"/>
  <c r="L179" i="2"/>
  <c r="I179" i="2"/>
  <c r="H179" i="2"/>
  <c r="F179" i="2"/>
  <c r="C179" i="2"/>
  <c r="AC178" i="2"/>
  <c r="AD178" i="2" s="1"/>
  <c r="AA178" i="2"/>
  <c r="W178" i="2"/>
  <c r="X178" i="2" s="1"/>
  <c r="U178" i="2"/>
  <c r="R178" i="2"/>
  <c r="O178" i="2"/>
  <c r="N178" i="2"/>
  <c r="L178" i="2"/>
  <c r="I178" i="2"/>
  <c r="H178" i="2"/>
  <c r="F178" i="2"/>
  <c r="C178" i="2"/>
  <c r="AC177" i="2"/>
  <c r="AD177" i="2" s="1"/>
  <c r="AA177" i="2"/>
  <c r="X177" i="2"/>
  <c r="W177" i="2"/>
  <c r="U177" i="2"/>
  <c r="R177" i="2"/>
  <c r="N177" i="2"/>
  <c r="O177" i="2" s="1"/>
  <c r="L177" i="2"/>
  <c r="I177" i="2"/>
  <c r="H177" i="2"/>
  <c r="F177" i="2"/>
  <c r="C177" i="2"/>
  <c r="AD175" i="2"/>
  <c r="AC175" i="2"/>
  <c r="AA175" i="2"/>
  <c r="W175" i="2"/>
  <c r="X175" i="2" s="1"/>
  <c r="U175" i="2"/>
  <c r="R175" i="2"/>
  <c r="N175" i="2"/>
  <c r="O175" i="2" s="1"/>
  <c r="L175" i="2"/>
  <c r="I175" i="2"/>
  <c r="H175" i="2"/>
  <c r="F175" i="2"/>
  <c r="C175" i="2"/>
  <c r="L172" i="2"/>
  <c r="K172" i="2"/>
  <c r="AC171" i="2"/>
  <c r="AD171" i="2" s="1"/>
  <c r="AA171" i="2"/>
  <c r="Z171" i="2"/>
  <c r="U171" i="2"/>
  <c r="T171" i="2"/>
  <c r="Q171" i="2"/>
  <c r="W171" i="2" s="1"/>
  <c r="X171" i="2" s="1"/>
  <c r="N171" i="2"/>
  <c r="O171" i="2" s="1"/>
  <c r="L171" i="2"/>
  <c r="K171" i="2"/>
  <c r="F171" i="2"/>
  <c r="E171" i="2"/>
  <c r="B171" i="2"/>
  <c r="H171" i="2" s="1"/>
  <c r="I171" i="2" s="1"/>
  <c r="AA170" i="2"/>
  <c r="Z170" i="2"/>
  <c r="X170" i="2"/>
  <c r="W170" i="2"/>
  <c r="U170" i="2"/>
  <c r="T170" i="2"/>
  <c r="R170" i="2"/>
  <c r="Q170" i="2"/>
  <c r="AC170" i="2" s="1"/>
  <c r="AD170" i="2" s="1"/>
  <c r="K170" i="2"/>
  <c r="L170" i="2" s="1"/>
  <c r="I170" i="2"/>
  <c r="H170" i="2"/>
  <c r="F170" i="2"/>
  <c r="E170" i="2"/>
  <c r="C170" i="2"/>
  <c r="B170" i="2"/>
  <c r="AC169" i="2"/>
  <c r="AD169" i="2" s="1"/>
  <c r="AA169" i="2"/>
  <c r="X169" i="2"/>
  <c r="W169" i="2"/>
  <c r="U169" i="2"/>
  <c r="R169" i="2"/>
  <c r="N169" i="2"/>
  <c r="O169" i="2" s="1"/>
  <c r="L169" i="2"/>
  <c r="H169" i="2"/>
  <c r="I169" i="2" s="1"/>
  <c r="F169" i="2"/>
  <c r="C169" i="2"/>
  <c r="AD168" i="2"/>
  <c r="AC168" i="2"/>
  <c r="AA168" i="2"/>
  <c r="W168" i="2"/>
  <c r="X168" i="2" s="1"/>
  <c r="U168" i="2"/>
  <c r="R168" i="2"/>
  <c r="N168" i="2"/>
  <c r="O168" i="2" s="1"/>
  <c r="L168" i="2"/>
  <c r="H168" i="2"/>
  <c r="I168" i="2" s="1"/>
  <c r="F168" i="2"/>
  <c r="C168" i="2"/>
  <c r="AD167" i="2"/>
  <c r="AC167" i="2"/>
  <c r="AA167" i="2"/>
  <c r="W167" i="2"/>
  <c r="X167" i="2" s="1"/>
  <c r="U167" i="2"/>
  <c r="R167" i="2"/>
  <c r="O167" i="2"/>
  <c r="N167" i="2"/>
  <c r="L167" i="2"/>
  <c r="I167" i="2"/>
  <c r="H167" i="2"/>
  <c r="F167" i="2"/>
  <c r="C167" i="2"/>
  <c r="AD166" i="2"/>
  <c r="AC166" i="2"/>
  <c r="AA166" i="2"/>
  <c r="Z166" i="2"/>
  <c r="T166" i="2"/>
  <c r="U166" i="2" s="1"/>
  <c r="Q166" i="2"/>
  <c r="W166" i="2" s="1"/>
  <c r="X166" i="2" s="1"/>
  <c r="L166" i="2"/>
  <c r="K166" i="2"/>
  <c r="H166" i="2"/>
  <c r="I166" i="2" s="1"/>
  <c r="E166" i="2"/>
  <c r="F166" i="2" s="1"/>
  <c r="C166" i="2"/>
  <c r="B166" i="2"/>
  <c r="N166" i="2" s="1"/>
  <c r="O166" i="2" s="1"/>
  <c r="AD165" i="2"/>
  <c r="AC165" i="2"/>
  <c r="AA165" i="2"/>
  <c r="X165" i="2"/>
  <c r="W165" i="2"/>
  <c r="U165" i="2"/>
  <c r="R165" i="2"/>
  <c r="N165" i="2"/>
  <c r="O165" i="2" s="1"/>
  <c r="L165" i="2"/>
  <c r="H165" i="2"/>
  <c r="I165" i="2" s="1"/>
  <c r="F165" i="2"/>
  <c r="C165" i="2"/>
  <c r="AD164" i="2"/>
  <c r="AC164" i="2"/>
  <c r="AA164" i="2"/>
  <c r="W164" i="2"/>
  <c r="X164" i="2" s="1"/>
  <c r="U164" i="2"/>
  <c r="R164" i="2"/>
  <c r="O164" i="2"/>
  <c r="N164" i="2"/>
  <c r="L164" i="2"/>
  <c r="I164" i="2"/>
  <c r="H164" i="2"/>
  <c r="F164" i="2"/>
  <c r="C164" i="2"/>
  <c r="AC163" i="2"/>
  <c r="AD163" i="2" s="1"/>
  <c r="AA163" i="2"/>
  <c r="W163" i="2"/>
  <c r="X163" i="2" s="1"/>
  <c r="U163" i="2"/>
  <c r="R163" i="2"/>
  <c r="O163" i="2"/>
  <c r="N163" i="2"/>
  <c r="L163" i="2"/>
  <c r="I163" i="2"/>
  <c r="H163" i="2"/>
  <c r="F163" i="2"/>
  <c r="C163" i="2"/>
  <c r="AC162" i="2"/>
  <c r="AD162" i="2" s="1"/>
  <c r="AA162" i="2"/>
  <c r="X162" i="2"/>
  <c r="W162" i="2"/>
  <c r="U162" i="2"/>
  <c r="R162" i="2"/>
  <c r="N162" i="2"/>
  <c r="O162" i="2" s="1"/>
  <c r="L162" i="2"/>
  <c r="I162" i="2"/>
  <c r="H162" i="2"/>
  <c r="F162" i="2"/>
  <c r="C162" i="2"/>
  <c r="AD161" i="2"/>
  <c r="AC161" i="2"/>
  <c r="AA161" i="2"/>
  <c r="W161" i="2"/>
  <c r="X161" i="2" s="1"/>
  <c r="U161" i="2"/>
  <c r="R161" i="2"/>
  <c r="N161" i="2"/>
  <c r="O161" i="2" s="1"/>
  <c r="L161" i="2"/>
  <c r="I161" i="2"/>
  <c r="H161" i="2"/>
  <c r="F161" i="2"/>
  <c r="C161" i="2"/>
  <c r="AD160" i="2"/>
  <c r="AC160" i="2"/>
  <c r="AA160" i="2"/>
  <c r="W160" i="2"/>
  <c r="X160" i="2" s="1"/>
  <c r="U160" i="2"/>
  <c r="R160" i="2"/>
  <c r="O160" i="2"/>
  <c r="N160" i="2"/>
  <c r="L160" i="2"/>
  <c r="I160" i="2"/>
  <c r="H160" i="2"/>
  <c r="F160" i="2"/>
  <c r="C160" i="2"/>
  <c r="AC158" i="2"/>
  <c r="AD158" i="2" s="1"/>
  <c r="AA158" i="2"/>
  <c r="Z158" i="2"/>
  <c r="T158" i="2"/>
  <c r="U158" i="2" s="1"/>
  <c r="Q158" i="2"/>
  <c r="L158" i="2"/>
  <c r="K158" i="2"/>
  <c r="E158" i="2"/>
  <c r="C158" i="2"/>
  <c r="B158" i="2"/>
  <c r="N158" i="2" s="1"/>
  <c r="O158" i="2" s="1"/>
  <c r="AD157" i="2"/>
  <c r="AC157" i="2"/>
  <c r="AA157" i="2"/>
  <c r="W157" i="2"/>
  <c r="X157" i="2" s="1"/>
  <c r="U157" i="2"/>
  <c r="R157" i="2"/>
  <c r="N157" i="2"/>
  <c r="O157" i="2" s="1"/>
  <c r="L157" i="2"/>
  <c r="H157" i="2"/>
  <c r="I157" i="2" s="1"/>
  <c r="F157" i="2"/>
  <c r="C157" i="2"/>
  <c r="AD156" i="2"/>
  <c r="AC156" i="2"/>
  <c r="AA156" i="2"/>
  <c r="W156" i="2"/>
  <c r="X156" i="2" s="1"/>
  <c r="U156" i="2"/>
  <c r="R156" i="2"/>
  <c r="O156" i="2"/>
  <c r="N156" i="2"/>
  <c r="L156" i="2"/>
  <c r="I156" i="2"/>
  <c r="H156" i="2"/>
  <c r="F156" i="2"/>
  <c r="C156" i="2"/>
  <c r="AD155" i="2"/>
  <c r="AC155" i="2"/>
  <c r="AA155" i="2"/>
  <c r="W155" i="2"/>
  <c r="X155" i="2" s="1"/>
  <c r="U155" i="2"/>
  <c r="R155" i="2"/>
  <c r="N155" i="2"/>
  <c r="O155" i="2" s="1"/>
  <c r="L155" i="2"/>
  <c r="I155" i="2"/>
  <c r="H155" i="2"/>
  <c r="F155" i="2"/>
  <c r="C155" i="2"/>
  <c r="AD154" i="2"/>
  <c r="AC154" i="2"/>
  <c r="AA154" i="2"/>
  <c r="X154" i="2"/>
  <c r="W154" i="2"/>
  <c r="U154" i="2"/>
  <c r="R154" i="2"/>
  <c r="N154" i="2"/>
  <c r="O154" i="2" s="1"/>
  <c r="L154" i="2"/>
  <c r="H154" i="2"/>
  <c r="I154" i="2" s="1"/>
  <c r="F154" i="2"/>
  <c r="C154" i="2"/>
  <c r="AD153" i="2"/>
  <c r="AC153" i="2"/>
  <c r="AA153" i="2"/>
  <c r="X153" i="2"/>
  <c r="W153" i="2"/>
  <c r="U153" i="2"/>
  <c r="R153" i="2"/>
  <c r="N153" i="2"/>
  <c r="O153" i="2" s="1"/>
  <c r="L153" i="2"/>
  <c r="I153" i="2"/>
  <c r="H153" i="2"/>
  <c r="F153" i="2"/>
  <c r="C153" i="2"/>
  <c r="AD151" i="2"/>
  <c r="AC151" i="2"/>
  <c r="AA151" i="2"/>
  <c r="W151" i="2"/>
  <c r="X151" i="2" s="1"/>
  <c r="U151" i="2"/>
  <c r="R151" i="2"/>
  <c r="O151" i="2"/>
  <c r="N151" i="2"/>
  <c r="L151" i="2"/>
  <c r="I151" i="2"/>
  <c r="H151" i="2"/>
  <c r="F151" i="2"/>
  <c r="C151" i="2"/>
  <c r="AA149" i="2"/>
  <c r="Z149" i="2"/>
  <c r="T149" i="2"/>
  <c r="U149" i="2" s="1"/>
  <c r="Q149" i="2"/>
  <c r="L149" i="2"/>
  <c r="K149" i="2"/>
  <c r="E149" i="2"/>
  <c r="H149" i="2" s="1"/>
  <c r="I149" i="2" s="1"/>
  <c r="C149" i="2"/>
  <c r="B149" i="2"/>
  <c r="N149" i="2" s="1"/>
  <c r="O149" i="2" s="1"/>
  <c r="Z148" i="2"/>
  <c r="AA148" i="2" s="1"/>
  <c r="W148" i="2"/>
  <c r="X148" i="2" s="1"/>
  <c r="U148" i="2"/>
  <c r="T148" i="2"/>
  <c r="R148" i="2"/>
  <c r="Q148" i="2"/>
  <c r="AC148" i="2" s="1"/>
  <c r="AD148" i="2" s="1"/>
  <c r="K148" i="2"/>
  <c r="L148" i="2" s="1"/>
  <c r="F148" i="2"/>
  <c r="E148" i="2"/>
  <c r="B148" i="2"/>
  <c r="AC147" i="2"/>
  <c r="AD147" i="2" s="1"/>
  <c r="AA147" i="2"/>
  <c r="W147" i="2"/>
  <c r="X147" i="2" s="1"/>
  <c r="U147" i="2"/>
  <c r="R147" i="2"/>
  <c r="N147" i="2"/>
  <c r="O147" i="2" s="1"/>
  <c r="L147" i="2"/>
  <c r="I147" i="2"/>
  <c r="H147" i="2"/>
  <c r="F147" i="2"/>
  <c r="C147" i="2"/>
  <c r="AC146" i="2"/>
  <c r="AD146" i="2" s="1"/>
  <c r="AA146" i="2"/>
  <c r="X146" i="2"/>
  <c r="W146" i="2"/>
  <c r="U146" i="2"/>
  <c r="R146" i="2"/>
  <c r="N146" i="2"/>
  <c r="O146" i="2" s="1"/>
  <c r="L146" i="2"/>
  <c r="H146" i="2"/>
  <c r="I146" i="2" s="1"/>
  <c r="F146" i="2"/>
  <c r="C146" i="2"/>
  <c r="AD145" i="2"/>
  <c r="AC145" i="2"/>
  <c r="AA145" i="2"/>
  <c r="W145" i="2"/>
  <c r="X145" i="2" s="1"/>
  <c r="U145" i="2"/>
  <c r="R145" i="2"/>
  <c r="N145" i="2"/>
  <c r="O145" i="2" s="1"/>
  <c r="L145" i="2"/>
  <c r="H145" i="2"/>
  <c r="I145" i="2" s="1"/>
  <c r="F145" i="2"/>
  <c r="C145" i="2"/>
  <c r="AD144" i="2"/>
  <c r="AC144" i="2"/>
  <c r="AA144" i="2"/>
  <c r="W144" i="2"/>
  <c r="X144" i="2" s="1"/>
  <c r="U144" i="2"/>
  <c r="R144" i="2"/>
  <c r="O144" i="2"/>
  <c r="N144" i="2"/>
  <c r="L144" i="2"/>
  <c r="I144" i="2"/>
  <c r="H144" i="2"/>
  <c r="F144" i="2"/>
  <c r="C144" i="2"/>
  <c r="AC143" i="2"/>
  <c r="AD143" i="2" s="1"/>
  <c r="AA143" i="2"/>
  <c r="W143" i="2"/>
  <c r="X143" i="2" s="1"/>
  <c r="U143" i="2"/>
  <c r="R143" i="2"/>
  <c r="N143" i="2"/>
  <c r="O143" i="2" s="1"/>
  <c r="L143" i="2"/>
  <c r="I143" i="2"/>
  <c r="H143" i="2"/>
  <c r="F143" i="2"/>
  <c r="C143" i="2"/>
  <c r="Z141" i="2"/>
  <c r="AC141" i="2" s="1"/>
  <c r="AD141" i="2" s="1"/>
  <c r="U141" i="2"/>
  <c r="T141" i="2"/>
  <c r="R141" i="2"/>
  <c r="Q141" i="2"/>
  <c r="W141" i="2" s="1"/>
  <c r="X141" i="2" s="1"/>
  <c r="O141" i="2"/>
  <c r="N141" i="2"/>
  <c r="L141" i="2"/>
  <c r="K141" i="2"/>
  <c r="E141" i="2"/>
  <c r="F141" i="2" s="1"/>
  <c r="C141" i="2"/>
  <c r="B141" i="2"/>
  <c r="AD140" i="2"/>
  <c r="AC140" i="2"/>
  <c r="AA140" i="2"/>
  <c r="W140" i="2"/>
  <c r="X140" i="2" s="1"/>
  <c r="U140" i="2"/>
  <c r="R140" i="2"/>
  <c r="O140" i="2"/>
  <c r="N140" i="2"/>
  <c r="L140" i="2"/>
  <c r="I140" i="2"/>
  <c r="H140" i="2"/>
  <c r="F140" i="2"/>
  <c r="C140" i="2"/>
  <c r="AC139" i="2"/>
  <c r="AD139" i="2" s="1"/>
  <c r="AA139" i="2"/>
  <c r="W139" i="2"/>
  <c r="X139" i="2" s="1"/>
  <c r="U139" i="2"/>
  <c r="R139" i="2"/>
  <c r="N139" i="2"/>
  <c r="O139" i="2" s="1"/>
  <c r="L139" i="2"/>
  <c r="I139" i="2"/>
  <c r="H139" i="2"/>
  <c r="F139" i="2"/>
  <c r="C139" i="2"/>
  <c r="AC138" i="2"/>
  <c r="AD138" i="2" s="1"/>
  <c r="AA138" i="2"/>
  <c r="X138" i="2"/>
  <c r="W138" i="2"/>
  <c r="U138" i="2"/>
  <c r="R138" i="2"/>
  <c r="N138" i="2"/>
  <c r="O138" i="2" s="1"/>
  <c r="L138" i="2"/>
  <c r="H138" i="2"/>
  <c r="I138" i="2" s="1"/>
  <c r="F138" i="2"/>
  <c r="C138" i="2"/>
  <c r="AD137" i="2"/>
  <c r="AC137" i="2"/>
  <c r="AA137" i="2"/>
  <c r="W137" i="2"/>
  <c r="X137" i="2" s="1"/>
  <c r="U137" i="2"/>
  <c r="R137" i="2"/>
  <c r="N137" i="2"/>
  <c r="O137" i="2" s="1"/>
  <c r="L137" i="2"/>
  <c r="I137" i="2"/>
  <c r="H137" i="2"/>
  <c r="F137" i="2"/>
  <c r="C137" i="2"/>
  <c r="AD136" i="2"/>
  <c r="AC136" i="2"/>
  <c r="AA136" i="2"/>
  <c r="W136" i="2"/>
  <c r="X136" i="2" s="1"/>
  <c r="U136" i="2"/>
  <c r="R136" i="2"/>
  <c r="O136" i="2"/>
  <c r="N136" i="2"/>
  <c r="L136" i="2"/>
  <c r="I136" i="2"/>
  <c r="H136" i="2"/>
  <c r="F136" i="2"/>
  <c r="C136" i="2"/>
  <c r="AC135" i="2"/>
  <c r="AD135" i="2" s="1"/>
  <c r="AA135" i="2"/>
  <c r="W135" i="2"/>
  <c r="X135" i="2" s="1"/>
  <c r="U135" i="2"/>
  <c r="R135" i="2"/>
  <c r="N135" i="2"/>
  <c r="O135" i="2" s="1"/>
  <c r="L135" i="2"/>
  <c r="I135" i="2"/>
  <c r="H135" i="2"/>
  <c r="F135" i="2"/>
  <c r="C135" i="2"/>
  <c r="AD134" i="2"/>
  <c r="AC134" i="2"/>
  <c r="AA134" i="2"/>
  <c r="X134" i="2"/>
  <c r="W134" i="2"/>
  <c r="U134" i="2"/>
  <c r="R134" i="2"/>
  <c r="N134" i="2"/>
  <c r="O134" i="2" s="1"/>
  <c r="L134" i="2"/>
  <c r="H134" i="2"/>
  <c r="I134" i="2" s="1"/>
  <c r="F134" i="2"/>
  <c r="C134" i="2"/>
  <c r="AD133" i="2"/>
  <c r="AC133" i="2"/>
  <c r="AA133" i="2"/>
  <c r="X133" i="2"/>
  <c r="W133" i="2"/>
  <c r="U133" i="2"/>
  <c r="R133" i="2"/>
  <c r="N133" i="2"/>
  <c r="O133" i="2" s="1"/>
  <c r="L133" i="2"/>
  <c r="H133" i="2"/>
  <c r="I133" i="2" s="1"/>
  <c r="F133" i="2"/>
  <c r="C133" i="2"/>
  <c r="AD132" i="2"/>
  <c r="AC132" i="2"/>
  <c r="AA132" i="2"/>
  <c r="W132" i="2"/>
  <c r="X132" i="2" s="1"/>
  <c r="U132" i="2"/>
  <c r="R132" i="2"/>
  <c r="O132" i="2"/>
  <c r="N132" i="2"/>
  <c r="L132" i="2"/>
  <c r="I132" i="2"/>
  <c r="H132" i="2"/>
  <c r="F132" i="2"/>
  <c r="C132" i="2"/>
  <c r="AC131" i="2"/>
  <c r="AD131" i="2" s="1"/>
  <c r="AA131" i="2"/>
  <c r="W131" i="2"/>
  <c r="X131" i="2" s="1"/>
  <c r="U131" i="2"/>
  <c r="R131" i="2"/>
  <c r="N131" i="2"/>
  <c r="O131" i="2" s="1"/>
  <c r="L131" i="2"/>
  <c r="I131" i="2"/>
  <c r="H131" i="2"/>
  <c r="F131" i="2"/>
  <c r="C131" i="2"/>
  <c r="AC130" i="2"/>
  <c r="AD130" i="2" s="1"/>
  <c r="AA130" i="2"/>
  <c r="X130" i="2"/>
  <c r="W130" i="2"/>
  <c r="U130" i="2"/>
  <c r="R130" i="2"/>
  <c r="N130" i="2"/>
  <c r="O130" i="2" s="1"/>
  <c r="L130" i="2"/>
  <c r="H130" i="2"/>
  <c r="I130" i="2" s="1"/>
  <c r="F130" i="2"/>
  <c r="C130" i="2"/>
  <c r="AD129" i="2"/>
  <c r="AC129" i="2"/>
  <c r="AA129" i="2"/>
  <c r="W129" i="2"/>
  <c r="X129" i="2" s="1"/>
  <c r="U129" i="2"/>
  <c r="R129" i="2"/>
  <c r="N129" i="2"/>
  <c r="O129" i="2" s="1"/>
  <c r="L129" i="2"/>
  <c r="I129" i="2"/>
  <c r="H129" i="2"/>
  <c r="F129" i="2"/>
  <c r="C129" i="2"/>
  <c r="AD127" i="2"/>
  <c r="AC127" i="2"/>
  <c r="AA127" i="2"/>
  <c r="W127" i="2"/>
  <c r="X127" i="2" s="1"/>
  <c r="U127" i="2"/>
  <c r="R127" i="2"/>
  <c r="O127" i="2"/>
  <c r="N127" i="2"/>
  <c r="L127" i="2"/>
  <c r="I127" i="2"/>
  <c r="H127" i="2"/>
  <c r="F127" i="2"/>
  <c r="C127" i="2"/>
  <c r="AC124" i="2"/>
  <c r="AD124" i="2" s="1"/>
  <c r="AA124" i="2"/>
  <c r="Z124" i="2"/>
  <c r="Z172" i="2" s="1"/>
  <c r="T124" i="2"/>
  <c r="Q124" i="2"/>
  <c r="L124" i="2"/>
  <c r="K124" i="2"/>
  <c r="E124" i="2"/>
  <c r="C124" i="2"/>
  <c r="B124" i="2"/>
  <c r="AD123" i="2"/>
  <c r="AC123" i="2"/>
  <c r="AA123" i="2"/>
  <c r="W123" i="2"/>
  <c r="X123" i="2" s="1"/>
  <c r="U123" i="2"/>
  <c r="R123" i="2"/>
  <c r="N123" i="2"/>
  <c r="O123" i="2" s="1"/>
  <c r="L123" i="2"/>
  <c r="H123" i="2"/>
  <c r="I123" i="2" s="1"/>
  <c r="F123" i="2"/>
  <c r="C123" i="2"/>
  <c r="AA122" i="2"/>
  <c r="Z122" i="2"/>
  <c r="T122" i="2"/>
  <c r="W122" i="2" s="1"/>
  <c r="X122" i="2" s="1"/>
  <c r="R122" i="2"/>
  <c r="Q122" i="2"/>
  <c r="AC122" i="2" s="1"/>
  <c r="AD122" i="2" s="1"/>
  <c r="L122" i="2"/>
  <c r="K122" i="2"/>
  <c r="I122" i="2"/>
  <c r="H122" i="2"/>
  <c r="F122" i="2"/>
  <c r="E122" i="2"/>
  <c r="C122" i="2"/>
  <c r="B122" i="2"/>
  <c r="N122" i="2" s="1"/>
  <c r="O122" i="2" s="1"/>
  <c r="AD121" i="2"/>
  <c r="AC121" i="2"/>
  <c r="AA121" i="2"/>
  <c r="X121" i="2"/>
  <c r="W121" i="2"/>
  <c r="U121" i="2"/>
  <c r="R121" i="2"/>
  <c r="N121" i="2"/>
  <c r="O121" i="2" s="1"/>
  <c r="L121" i="2"/>
  <c r="H121" i="2"/>
  <c r="I121" i="2" s="1"/>
  <c r="F121" i="2"/>
  <c r="C121" i="2"/>
  <c r="AD120" i="2"/>
  <c r="AC120" i="2"/>
  <c r="AA120" i="2"/>
  <c r="X120" i="2"/>
  <c r="W120" i="2"/>
  <c r="U120" i="2"/>
  <c r="R120" i="2"/>
  <c r="N120" i="2"/>
  <c r="O120" i="2" s="1"/>
  <c r="L120" i="2"/>
  <c r="H120" i="2"/>
  <c r="I120" i="2" s="1"/>
  <c r="F120" i="2"/>
  <c r="C120" i="2"/>
  <c r="AD119" i="2"/>
  <c r="AC119" i="2"/>
  <c r="AA119" i="2"/>
  <c r="W119" i="2"/>
  <c r="X119" i="2" s="1"/>
  <c r="U119" i="2"/>
  <c r="R119" i="2"/>
  <c r="O119" i="2"/>
  <c r="N119" i="2"/>
  <c r="L119" i="2"/>
  <c r="I119" i="2"/>
  <c r="H119" i="2"/>
  <c r="F119" i="2"/>
  <c r="C119" i="2"/>
  <c r="AC118" i="2"/>
  <c r="AD118" i="2" s="1"/>
  <c r="AA118" i="2"/>
  <c r="Z118" i="2"/>
  <c r="T118" i="2"/>
  <c r="U118" i="2" s="1"/>
  <c r="R118" i="2"/>
  <c r="Q118" i="2"/>
  <c r="W118" i="2" s="1"/>
  <c r="X118" i="2" s="1"/>
  <c r="L118" i="2"/>
  <c r="K118" i="2"/>
  <c r="E118" i="2"/>
  <c r="F118" i="2" s="1"/>
  <c r="C118" i="2"/>
  <c r="B118" i="2"/>
  <c r="N118" i="2" s="1"/>
  <c r="O118" i="2" s="1"/>
  <c r="AD117" i="2"/>
  <c r="AC117" i="2"/>
  <c r="AA117" i="2"/>
  <c r="X117" i="2"/>
  <c r="W117" i="2"/>
  <c r="U117" i="2"/>
  <c r="R117" i="2"/>
  <c r="N117" i="2"/>
  <c r="O117" i="2" s="1"/>
  <c r="L117" i="2"/>
  <c r="I117" i="2"/>
  <c r="H117" i="2"/>
  <c r="F117" i="2"/>
  <c r="C117" i="2"/>
  <c r="AD116" i="2"/>
  <c r="AC116" i="2"/>
  <c r="AA116" i="2"/>
  <c r="W116" i="2"/>
  <c r="X116" i="2" s="1"/>
  <c r="U116" i="2"/>
  <c r="R116" i="2"/>
  <c r="O116" i="2"/>
  <c r="N116" i="2"/>
  <c r="L116" i="2"/>
  <c r="I116" i="2"/>
  <c r="H116" i="2"/>
  <c r="F116" i="2"/>
  <c r="C116" i="2"/>
  <c r="AC115" i="2"/>
  <c r="AD115" i="2" s="1"/>
  <c r="AA115" i="2"/>
  <c r="W115" i="2"/>
  <c r="X115" i="2" s="1"/>
  <c r="U115" i="2"/>
  <c r="R115" i="2"/>
  <c r="N115" i="2"/>
  <c r="O115" i="2" s="1"/>
  <c r="L115" i="2"/>
  <c r="I115" i="2"/>
  <c r="H115" i="2"/>
  <c r="F115" i="2"/>
  <c r="C115" i="2"/>
  <c r="AC114" i="2"/>
  <c r="AD114" i="2" s="1"/>
  <c r="AA114" i="2"/>
  <c r="X114" i="2"/>
  <c r="W114" i="2"/>
  <c r="U114" i="2"/>
  <c r="R114" i="2"/>
  <c r="N114" i="2"/>
  <c r="O114" i="2" s="1"/>
  <c r="L114" i="2"/>
  <c r="H114" i="2"/>
  <c r="I114" i="2" s="1"/>
  <c r="F114" i="2"/>
  <c r="C114" i="2"/>
  <c r="AD113" i="2"/>
  <c r="AC113" i="2"/>
  <c r="AA113" i="2"/>
  <c r="W113" i="2"/>
  <c r="X113" i="2" s="1"/>
  <c r="U113" i="2"/>
  <c r="R113" i="2"/>
  <c r="N113" i="2"/>
  <c r="O113" i="2" s="1"/>
  <c r="L113" i="2"/>
  <c r="H113" i="2"/>
  <c r="I113" i="2" s="1"/>
  <c r="F113" i="2"/>
  <c r="C113" i="2"/>
  <c r="AD112" i="2"/>
  <c r="AC112" i="2"/>
  <c r="AA112" i="2"/>
  <c r="W112" i="2"/>
  <c r="X112" i="2" s="1"/>
  <c r="U112" i="2"/>
  <c r="R112" i="2"/>
  <c r="O112" i="2"/>
  <c r="N112" i="2"/>
  <c r="L112" i="2"/>
  <c r="I112" i="2"/>
  <c r="H112" i="2"/>
  <c r="F112" i="2"/>
  <c r="C112" i="2"/>
  <c r="AD111" i="2"/>
  <c r="AC111" i="2"/>
  <c r="AA111" i="2"/>
  <c r="W111" i="2"/>
  <c r="X111" i="2" s="1"/>
  <c r="U111" i="2"/>
  <c r="R111" i="2"/>
  <c r="N111" i="2"/>
  <c r="O111" i="2" s="1"/>
  <c r="L111" i="2"/>
  <c r="I111" i="2"/>
  <c r="H111" i="2"/>
  <c r="F111" i="2"/>
  <c r="C111" i="2"/>
  <c r="AD110" i="2"/>
  <c r="AC110" i="2"/>
  <c r="AA110" i="2"/>
  <c r="X110" i="2"/>
  <c r="W110" i="2"/>
  <c r="U110" i="2"/>
  <c r="R110" i="2"/>
  <c r="N110" i="2"/>
  <c r="O110" i="2" s="1"/>
  <c r="L110" i="2"/>
  <c r="H110" i="2"/>
  <c r="I110" i="2" s="1"/>
  <c r="F110" i="2"/>
  <c r="C110" i="2"/>
  <c r="AD109" i="2"/>
  <c r="AC109" i="2"/>
  <c r="AA109" i="2"/>
  <c r="X109" i="2"/>
  <c r="W109" i="2"/>
  <c r="U109" i="2"/>
  <c r="R109" i="2"/>
  <c r="N109" i="2"/>
  <c r="O109" i="2" s="1"/>
  <c r="L109" i="2"/>
  <c r="I109" i="2"/>
  <c r="H109" i="2"/>
  <c r="F109" i="2"/>
  <c r="C109" i="2"/>
  <c r="AD108" i="2"/>
  <c r="AC108" i="2"/>
  <c r="AA108" i="2"/>
  <c r="W108" i="2"/>
  <c r="X108" i="2" s="1"/>
  <c r="U108" i="2"/>
  <c r="R108" i="2"/>
  <c r="O108" i="2"/>
  <c r="N108" i="2"/>
  <c r="L108" i="2"/>
  <c r="I108" i="2"/>
  <c r="H108" i="2"/>
  <c r="F108" i="2"/>
  <c r="C108" i="2"/>
  <c r="AC107" i="2"/>
  <c r="AD107" i="2" s="1"/>
  <c r="AA107" i="2"/>
  <c r="W107" i="2"/>
  <c r="X107" i="2" s="1"/>
  <c r="U107" i="2"/>
  <c r="R107" i="2"/>
  <c r="N107" i="2"/>
  <c r="O107" i="2" s="1"/>
  <c r="L107" i="2"/>
  <c r="I107" i="2"/>
  <c r="H107" i="2"/>
  <c r="F107" i="2"/>
  <c r="C107" i="2"/>
  <c r="AC106" i="2"/>
  <c r="AD106" i="2" s="1"/>
  <c r="AA106" i="2"/>
  <c r="X106" i="2"/>
  <c r="W106" i="2"/>
  <c r="U106" i="2"/>
  <c r="R106" i="2"/>
  <c r="N106" i="2"/>
  <c r="O106" i="2" s="1"/>
  <c r="L106" i="2"/>
  <c r="H106" i="2"/>
  <c r="I106" i="2" s="1"/>
  <c r="F106" i="2"/>
  <c r="C106" i="2"/>
  <c r="AD105" i="2"/>
  <c r="AC105" i="2"/>
  <c r="AA105" i="2"/>
  <c r="W105" i="2"/>
  <c r="X105" i="2" s="1"/>
  <c r="U105" i="2"/>
  <c r="R105" i="2"/>
  <c r="N105" i="2"/>
  <c r="O105" i="2" s="1"/>
  <c r="L105" i="2"/>
  <c r="H105" i="2"/>
  <c r="I105" i="2" s="1"/>
  <c r="F105" i="2"/>
  <c r="C105" i="2"/>
  <c r="AD104" i="2"/>
  <c r="AC104" i="2"/>
  <c r="AA104" i="2"/>
  <c r="W104" i="2"/>
  <c r="X104" i="2" s="1"/>
  <c r="U104" i="2"/>
  <c r="R104" i="2"/>
  <c r="O104" i="2"/>
  <c r="N104" i="2"/>
  <c r="L104" i="2"/>
  <c r="I104" i="2"/>
  <c r="H104" i="2"/>
  <c r="F104" i="2"/>
  <c r="C104" i="2"/>
  <c r="AD103" i="2"/>
  <c r="AC103" i="2"/>
  <c r="AA103" i="2"/>
  <c r="W103" i="2"/>
  <c r="X103" i="2" s="1"/>
  <c r="U103" i="2"/>
  <c r="R103" i="2"/>
  <c r="N103" i="2"/>
  <c r="O103" i="2" s="1"/>
  <c r="L103" i="2"/>
  <c r="I103" i="2"/>
  <c r="H103" i="2"/>
  <c r="F103" i="2"/>
  <c r="C103" i="2"/>
  <c r="AD102" i="2"/>
  <c r="AC102" i="2"/>
  <c r="AA102" i="2"/>
  <c r="X102" i="2"/>
  <c r="W102" i="2"/>
  <c r="U102" i="2"/>
  <c r="R102" i="2"/>
  <c r="N102" i="2"/>
  <c r="O102" i="2" s="1"/>
  <c r="L102" i="2"/>
  <c r="H102" i="2"/>
  <c r="I102" i="2" s="1"/>
  <c r="F102" i="2"/>
  <c r="C102" i="2"/>
  <c r="AD101" i="2"/>
  <c r="AC101" i="2"/>
  <c r="AA101" i="2"/>
  <c r="X101" i="2"/>
  <c r="W101" i="2"/>
  <c r="U101" i="2"/>
  <c r="R101" i="2"/>
  <c r="N101" i="2"/>
  <c r="O101" i="2" s="1"/>
  <c r="L101" i="2"/>
  <c r="I101" i="2"/>
  <c r="H101" i="2"/>
  <c r="F101" i="2"/>
  <c r="C101" i="2"/>
  <c r="AD100" i="2"/>
  <c r="AC100" i="2"/>
  <c r="AA100" i="2"/>
  <c r="W100" i="2"/>
  <c r="X100" i="2" s="1"/>
  <c r="U100" i="2"/>
  <c r="R100" i="2"/>
  <c r="O100" i="2"/>
  <c r="N100" i="2"/>
  <c r="L100" i="2"/>
  <c r="I100" i="2"/>
  <c r="H100" i="2"/>
  <c r="F100" i="2"/>
  <c r="C100" i="2"/>
  <c r="AC99" i="2"/>
  <c r="AD99" i="2" s="1"/>
  <c r="AA99" i="2"/>
  <c r="W99" i="2"/>
  <c r="X99" i="2" s="1"/>
  <c r="U99" i="2"/>
  <c r="R99" i="2"/>
  <c r="N99" i="2"/>
  <c r="O99" i="2" s="1"/>
  <c r="L99" i="2"/>
  <c r="I99" i="2"/>
  <c r="H99" i="2"/>
  <c r="F99" i="2"/>
  <c r="C99" i="2"/>
  <c r="AD98" i="2"/>
  <c r="AC98" i="2"/>
  <c r="AA98" i="2"/>
  <c r="X98" i="2"/>
  <c r="W98" i="2"/>
  <c r="U98" i="2"/>
  <c r="R98" i="2"/>
  <c r="N98" i="2"/>
  <c r="O98" i="2" s="1"/>
  <c r="L98" i="2"/>
  <c r="H98" i="2"/>
  <c r="I98" i="2" s="1"/>
  <c r="F98" i="2"/>
  <c r="C98" i="2"/>
  <c r="AD97" i="2"/>
  <c r="AC97" i="2"/>
  <c r="AA97" i="2"/>
  <c r="X97" i="2"/>
  <c r="W97" i="2"/>
  <c r="U97" i="2"/>
  <c r="R97" i="2"/>
  <c r="N97" i="2"/>
  <c r="O97" i="2" s="1"/>
  <c r="L97" i="2"/>
  <c r="H97" i="2"/>
  <c r="I97" i="2" s="1"/>
  <c r="F97" i="2"/>
  <c r="C97" i="2"/>
  <c r="AD96" i="2"/>
  <c r="AC96" i="2"/>
  <c r="AA96" i="2"/>
  <c r="W96" i="2"/>
  <c r="X96" i="2" s="1"/>
  <c r="U96" i="2"/>
  <c r="R96" i="2"/>
  <c r="O96" i="2"/>
  <c r="N96" i="2"/>
  <c r="L96" i="2"/>
  <c r="I96" i="2"/>
  <c r="H96" i="2"/>
  <c r="F96" i="2"/>
  <c r="C96" i="2"/>
  <c r="AC95" i="2"/>
  <c r="AD95" i="2" s="1"/>
  <c r="AA95" i="2"/>
  <c r="W95" i="2"/>
  <c r="X95" i="2" s="1"/>
  <c r="U95" i="2"/>
  <c r="R95" i="2"/>
  <c r="N95" i="2"/>
  <c r="O95" i="2" s="1"/>
  <c r="L95" i="2"/>
  <c r="I95" i="2"/>
  <c r="H95" i="2"/>
  <c r="F95" i="2"/>
  <c r="C95" i="2"/>
  <c r="AD94" i="2"/>
  <c r="AC94" i="2"/>
  <c r="AA94" i="2"/>
  <c r="X94" i="2"/>
  <c r="W94" i="2"/>
  <c r="U94" i="2"/>
  <c r="R94" i="2"/>
  <c r="N94" i="2"/>
  <c r="O94" i="2" s="1"/>
  <c r="L94" i="2"/>
  <c r="H94" i="2"/>
  <c r="I94" i="2" s="1"/>
  <c r="F94" i="2"/>
  <c r="C94" i="2"/>
  <c r="AD92" i="2"/>
  <c r="AC92" i="2"/>
  <c r="AA92" i="2"/>
  <c r="X92" i="2"/>
  <c r="W92" i="2"/>
  <c r="U92" i="2"/>
  <c r="R92" i="2"/>
  <c r="N92" i="2"/>
  <c r="O92" i="2" s="1"/>
  <c r="L92" i="2"/>
  <c r="I92" i="2"/>
  <c r="H92" i="2"/>
  <c r="F92" i="2"/>
  <c r="C92" i="2"/>
  <c r="AD91" i="2"/>
  <c r="AC91" i="2"/>
  <c r="AA91" i="2"/>
  <c r="W91" i="2"/>
  <c r="X91" i="2" s="1"/>
  <c r="U91" i="2"/>
  <c r="R91" i="2"/>
  <c r="O91" i="2"/>
  <c r="N91" i="2"/>
  <c r="L91" i="2"/>
  <c r="I91" i="2"/>
  <c r="H91" i="2"/>
  <c r="F91" i="2"/>
  <c r="C91" i="2"/>
  <c r="AC90" i="2"/>
  <c r="AD90" i="2" s="1"/>
  <c r="AA90" i="2"/>
  <c r="W90" i="2"/>
  <c r="X90" i="2" s="1"/>
  <c r="U90" i="2"/>
  <c r="R90" i="2"/>
  <c r="N90" i="2"/>
  <c r="O90" i="2" s="1"/>
  <c r="L90" i="2"/>
  <c r="I90" i="2"/>
  <c r="H90" i="2"/>
  <c r="F90" i="2"/>
  <c r="C90" i="2"/>
  <c r="AD89" i="2"/>
  <c r="AC89" i="2"/>
  <c r="AA89" i="2"/>
  <c r="X89" i="2"/>
  <c r="W89" i="2"/>
  <c r="U89" i="2"/>
  <c r="R89" i="2"/>
  <c r="N89" i="2"/>
  <c r="O89" i="2" s="1"/>
  <c r="L89" i="2"/>
  <c r="H89" i="2"/>
  <c r="I89" i="2" s="1"/>
  <c r="F89" i="2"/>
  <c r="C89" i="2"/>
  <c r="Z88" i="2"/>
  <c r="AA88" i="2" s="1"/>
  <c r="W88" i="2"/>
  <c r="X88" i="2" s="1"/>
  <c r="U88" i="2"/>
  <c r="T88" i="2"/>
  <c r="R88" i="2"/>
  <c r="Q88" i="2"/>
  <c r="K88" i="2"/>
  <c r="L88" i="2" s="1"/>
  <c r="F88" i="2"/>
  <c r="E88" i="2"/>
  <c r="B88" i="2"/>
  <c r="H88" i="2" s="1"/>
  <c r="I88" i="2" s="1"/>
  <c r="AC87" i="2"/>
  <c r="AD87" i="2" s="1"/>
  <c r="AA87" i="2"/>
  <c r="W87" i="2"/>
  <c r="X87" i="2" s="1"/>
  <c r="U87" i="2"/>
  <c r="R87" i="2"/>
  <c r="N87" i="2"/>
  <c r="O87" i="2" s="1"/>
  <c r="L87" i="2"/>
  <c r="I87" i="2"/>
  <c r="H87" i="2"/>
  <c r="F87" i="2"/>
  <c r="C87" i="2"/>
  <c r="AD86" i="2"/>
  <c r="AC86" i="2"/>
  <c r="AA86" i="2"/>
  <c r="X86" i="2"/>
  <c r="W86" i="2"/>
  <c r="U86" i="2"/>
  <c r="R86" i="2"/>
  <c r="N86" i="2"/>
  <c r="O86" i="2" s="1"/>
  <c r="L86" i="2"/>
  <c r="H86" i="2"/>
  <c r="I86" i="2" s="1"/>
  <c r="F86" i="2"/>
  <c r="C86" i="2"/>
  <c r="AD85" i="2"/>
  <c r="AC85" i="2"/>
  <c r="AA85" i="2"/>
  <c r="X85" i="2"/>
  <c r="W85" i="2"/>
  <c r="U85" i="2"/>
  <c r="R85" i="2"/>
  <c r="N85" i="2"/>
  <c r="O85" i="2" s="1"/>
  <c r="L85" i="2"/>
  <c r="I85" i="2"/>
  <c r="H85" i="2"/>
  <c r="F85" i="2"/>
  <c r="C85" i="2"/>
  <c r="AD84" i="2"/>
  <c r="AC84" i="2"/>
  <c r="AA84" i="2"/>
  <c r="W84" i="2"/>
  <c r="X84" i="2" s="1"/>
  <c r="U84" i="2"/>
  <c r="R84" i="2"/>
  <c r="O84" i="2"/>
  <c r="N84" i="2"/>
  <c r="L84" i="2"/>
  <c r="I84" i="2"/>
  <c r="H84" i="2"/>
  <c r="F84" i="2"/>
  <c r="C84" i="2"/>
  <c r="AC83" i="2"/>
  <c r="AD83" i="2" s="1"/>
  <c r="AA83" i="2"/>
  <c r="W83" i="2"/>
  <c r="X83" i="2" s="1"/>
  <c r="U83" i="2"/>
  <c r="R83" i="2"/>
  <c r="N83" i="2"/>
  <c r="O83" i="2" s="1"/>
  <c r="L83" i="2"/>
  <c r="I83" i="2"/>
  <c r="H83" i="2"/>
  <c r="F83" i="2"/>
  <c r="C83" i="2"/>
  <c r="AC82" i="2"/>
  <c r="AD82" i="2" s="1"/>
  <c r="AA82" i="2"/>
  <c r="X82" i="2"/>
  <c r="W82" i="2"/>
  <c r="U82" i="2"/>
  <c r="R82" i="2"/>
  <c r="N82" i="2"/>
  <c r="O82" i="2" s="1"/>
  <c r="L82" i="2"/>
  <c r="H82" i="2"/>
  <c r="I82" i="2" s="1"/>
  <c r="F82" i="2"/>
  <c r="C82" i="2"/>
  <c r="AD81" i="2"/>
  <c r="AC81" i="2"/>
  <c r="AA81" i="2"/>
  <c r="W81" i="2"/>
  <c r="X81" i="2" s="1"/>
  <c r="U81" i="2"/>
  <c r="R81" i="2"/>
  <c r="N81" i="2"/>
  <c r="O81" i="2" s="1"/>
  <c r="L81" i="2"/>
  <c r="I81" i="2"/>
  <c r="H81" i="2"/>
  <c r="F81" i="2"/>
  <c r="C81" i="2"/>
  <c r="AD80" i="2"/>
  <c r="AC80" i="2"/>
  <c r="AA80" i="2"/>
  <c r="W80" i="2"/>
  <c r="X80" i="2" s="1"/>
  <c r="U80" i="2"/>
  <c r="R80" i="2"/>
  <c r="O80" i="2"/>
  <c r="N80" i="2"/>
  <c r="L80" i="2"/>
  <c r="I80" i="2"/>
  <c r="H80" i="2"/>
  <c r="F80" i="2"/>
  <c r="C80" i="2"/>
  <c r="AC79" i="2"/>
  <c r="AD79" i="2" s="1"/>
  <c r="AA79" i="2"/>
  <c r="W79" i="2"/>
  <c r="X79" i="2" s="1"/>
  <c r="U79" i="2"/>
  <c r="R79" i="2"/>
  <c r="N79" i="2"/>
  <c r="O79" i="2" s="1"/>
  <c r="L79" i="2"/>
  <c r="I79" i="2"/>
  <c r="H79" i="2"/>
  <c r="F79" i="2"/>
  <c r="C79" i="2"/>
  <c r="AD78" i="2"/>
  <c r="AC78" i="2"/>
  <c r="AA78" i="2"/>
  <c r="X78" i="2"/>
  <c r="W78" i="2"/>
  <c r="U78" i="2"/>
  <c r="R78" i="2"/>
  <c r="N78" i="2"/>
  <c r="O78" i="2" s="1"/>
  <c r="L78" i="2"/>
  <c r="H78" i="2"/>
  <c r="I78" i="2" s="1"/>
  <c r="F78" i="2"/>
  <c r="C78" i="2"/>
  <c r="AD77" i="2"/>
  <c r="AC77" i="2"/>
  <c r="AA77" i="2"/>
  <c r="X77" i="2"/>
  <c r="W77" i="2"/>
  <c r="U77" i="2"/>
  <c r="R77" i="2"/>
  <c r="N77" i="2"/>
  <c r="O77" i="2" s="1"/>
  <c r="L77" i="2"/>
  <c r="I77" i="2"/>
  <c r="H77" i="2"/>
  <c r="F77" i="2"/>
  <c r="C77" i="2"/>
  <c r="AD76" i="2"/>
  <c r="AC76" i="2"/>
  <c r="AA76" i="2"/>
  <c r="W76" i="2"/>
  <c r="X76" i="2" s="1"/>
  <c r="U76" i="2"/>
  <c r="R76" i="2"/>
  <c r="O76" i="2"/>
  <c r="N76" i="2"/>
  <c r="L76" i="2"/>
  <c r="I76" i="2"/>
  <c r="H76" i="2"/>
  <c r="F76" i="2"/>
  <c r="C76" i="2"/>
  <c r="AC75" i="2"/>
  <c r="AD75" i="2" s="1"/>
  <c r="AA75" i="2"/>
  <c r="W75" i="2"/>
  <c r="X75" i="2" s="1"/>
  <c r="U75" i="2"/>
  <c r="R75" i="2"/>
  <c r="O75" i="2"/>
  <c r="N75" i="2"/>
  <c r="L75" i="2"/>
  <c r="I75" i="2"/>
  <c r="H75" i="2"/>
  <c r="F75" i="2"/>
  <c r="C75" i="2"/>
  <c r="AC73" i="2"/>
  <c r="AD73" i="2" s="1"/>
  <c r="AA73" i="2"/>
  <c r="Z73" i="2"/>
  <c r="U73" i="2"/>
  <c r="T73" i="2"/>
  <c r="R73" i="2"/>
  <c r="Q73" i="2"/>
  <c r="W73" i="2" s="1"/>
  <c r="X73" i="2" s="1"/>
  <c r="N73" i="2"/>
  <c r="O73" i="2" s="1"/>
  <c r="L73" i="2"/>
  <c r="K73" i="2"/>
  <c r="F73" i="2"/>
  <c r="E73" i="2"/>
  <c r="C73" i="2"/>
  <c r="B73" i="2"/>
  <c r="AD72" i="2"/>
  <c r="AC72" i="2"/>
  <c r="AA72" i="2"/>
  <c r="W72" i="2"/>
  <c r="X72" i="2" s="1"/>
  <c r="U72" i="2"/>
  <c r="R72" i="2"/>
  <c r="O72" i="2"/>
  <c r="N72" i="2"/>
  <c r="L72" i="2"/>
  <c r="I72" i="2"/>
  <c r="H72" i="2"/>
  <c r="F72" i="2"/>
  <c r="C72" i="2"/>
  <c r="AC71" i="2"/>
  <c r="AD71" i="2" s="1"/>
  <c r="AA71" i="2"/>
  <c r="W71" i="2"/>
  <c r="X71" i="2" s="1"/>
  <c r="U71" i="2"/>
  <c r="R71" i="2"/>
  <c r="N71" i="2"/>
  <c r="O71" i="2" s="1"/>
  <c r="L71" i="2"/>
  <c r="I71" i="2"/>
  <c r="H71" i="2"/>
  <c r="F71" i="2"/>
  <c r="C71" i="2"/>
  <c r="AD70" i="2"/>
  <c r="AC70" i="2"/>
  <c r="AA70" i="2"/>
  <c r="X70" i="2"/>
  <c r="W70" i="2"/>
  <c r="U70" i="2"/>
  <c r="R70" i="2"/>
  <c r="N70" i="2"/>
  <c r="O70" i="2" s="1"/>
  <c r="L70" i="2"/>
  <c r="H70" i="2"/>
  <c r="I70" i="2" s="1"/>
  <c r="F70" i="2"/>
  <c r="C70" i="2"/>
  <c r="AD69" i="2"/>
  <c r="AC69" i="2"/>
  <c r="AA69" i="2"/>
  <c r="X69" i="2"/>
  <c r="W69" i="2"/>
  <c r="U69" i="2"/>
  <c r="R69" i="2"/>
  <c r="N69" i="2"/>
  <c r="O69" i="2" s="1"/>
  <c r="L69" i="2"/>
  <c r="H69" i="2"/>
  <c r="I69" i="2" s="1"/>
  <c r="F69" i="2"/>
  <c r="C69" i="2"/>
  <c r="AD68" i="2"/>
  <c r="AC68" i="2"/>
  <c r="AA68" i="2"/>
  <c r="W68" i="2"/>
  <c r="X68" i="2" s="1"/>
  <c r="U68" i="2"/>
  <c r="R68" i="2"/>
  <c r="O68" i="2"/>
  <c r="N68" i="2"/>
  <c r="L68" i="2"/>
  <c r="I68" i="2"/>
  <c r="H68" i="2"/>
  <c r="F68" i="2"/>
  <c r="C68" i="2"/>
  <c r="AD67" i="2"/>
  <c r="AC67" i="2"/>
  <c r="AA67" i="2"/>
  <c r="W67" i="2"/>
  <c r="X67" i="2" s="1"/>
  <c r="U67" i="2"/>
  <c r="R67" i="2"/>
  <c r="N67" i="2"/>
  <c r="O67" i="2" s="1"/>
  <c r="L67" i="2"/>
  <c r="I67" i="2"/>
  <c r="H67" i="2"/>
  <c r="F67" i="2"/>
  <c r="C67" i="2"/>
  <c r="AD66" i="2"/>
  <c r="AC66" i="2"/>
  <c r="AA66" i="2"/>
  <c r="X66" i="2"/>
  <c r="W66" i="2"/>
  <c r="U66" i="2"/>
  <c r="R66" i="2"/>
  <c r="N66" i="2"/>
  <c r="O66" i="2" s="1"/>
  <c r="L66" i="2"/>
  <c r="H66" i="2"/>
  <c r="I66" i="2" s="1"/>
  <c r="F66" i="2"/>
  <c r="C66" i="2"/>
  <c r="AD65" i="2"/>
  <c r="AC65" i="2"/>
  <c r="AA65" i="2"/>
  <c r="X65" i="2"/>
  <c r="W65" i="2"/>
  <c r="U65" i="2"/>
  <c r="R65" i="2"/>
  <c r="N65" i="2"/>
  <c r="O65" i="2" s="1"/>
  <c r="L65" i="2"/>
  <c r="I65" i="2"/>
  <c r="H65" i="2"/>
  <c r="F65" i="2"/>
  <c r="C65" i="2"/>
  <c r="AD64" i="2"/>
  <c r="AC64" i="2"/>
  <c r="AA64" i="2"/>
  <c r="W64" i="2"/>
  <c r="X64" i="2" s="1"/>
  <c r="U64" i="2"/>
  <c r="R64" i="2"/>
  <c r="O64" i="2"/>
  <c r="N64" i="2"/>
  <c r="L64" i="2"/>
  <c r="I64" i="2"/>
  <c r="H64" i="2"/>
  <c r="F64" i="2"/>
  <c r="C64" i="2"/>
  <c r="AA62" i="2"/>
  <c r="Z62" i="2"/>
  <c r="U62" i="2"/>
  <c r="T62" i="2"/>
  <c r="Q62" i="2"/>
  <c r="L62" i="2"/>
  <c r="K62" i="2"/>
  <c r="F62" i="2"/>
  <c r="E62" i="2"/>
  <c r="H62" i="2" s="1"/>
  <c r="I62" i="2" s="1"/>
  <c r="C62" i="2"/>
  <c r="B62" i="2"/>
  <c r="N62" i="2" s="1"/>
  <c r="O62" i="2" s="1"/>
  <c r="Z61" i="2"/>
  <c r="AA61" i="2" s="1"/>
  <c r="W61" i="2"/>
  <c r="X61" i="2" s="1"/>
  <c r="U61" i="2"/>
  <c r="T61" i="2"/>
  <c r="R61" i="2"/>
  <c r="Q61" i="2"/>
  <c r="AC61" i="2" s="1"/>
  <c r="AD61" i="2" s="1"/>
  <c r="K61" i="2"/>
  <c r="L61" i="2" s="1"/>
  <c r="F61" i="2"/>
  <c r="E61" i="2"/>
  <c r="B61" i="2"/>
  <c r="AC60" i="2"/>
  <c r="AD60" i="2" s="1"/>
  <c r="AA60" i="2"/>
  <c r="W60" i="2"/>
  <c r="X60" i="2" s="1"/>
  <c r="U60" i="2"/>
  <c r="R60" i="2"/>
  <c r="N60" i="2"/>
  <c r="O60" i="2" s="1"/>
  <c r="L60" i="2"/>
  <c r="I60" i="2"/>
  <c r="H60" i="2"/>
  <c r="F60" i="2"/>
  <c r="C60" i="2"/>
  <c r="AD59" i="2"/>
  <c r="AC59" i="2"/>
  <c r="AA59" i="2"/>
  <c r="X59" i="2"/>
  <c r="W59" i="2"/>
  <c r="U59" i="2"/>
  <c r="R59" i="2"/>
  <c r="N59" i="2"/>
  <c r="O59" i="2" s="1"/>
  <c r="L59" i="2"/>
  <c r="H59" i="2"/>
  <c r="I59" i="2" s="1"/>
  <c r="F59" i="2"/>
  <c r="C59" i="2"/>
  <c r="AD58" i="2"/>
  <c r="AC58" i="2"/>
  <c r="AA58" i="2"/>
  <c r="X58" i="2"/>
  <c r="W58" i="2"/>
  <c r="U58" i="2"/>
  <c r="R58" i="2"/>
  <c r="N58" i="2"/>
  <c r="O58" i="2" s="1"/>
  <c r="L58" i="2"/>
  <c r="H58" i="2"/>
  <c r="I58" i="2" s="1"/>
  <c r="F58" i="2"/>
  <c r="C58" i="2"/>
  <c r="AD57" i="2"/>
  <c r="AC57" i="2"/>
  <c r="AA57" i="2"/>
  <c r="W57" i="2"/>
  <c r="X57" i="2" s="1"/>
  <c r="U57" i="2"/>
  <c r="R57" i="2"/>
  <c r="O57" i="2"/>
  <c r="N57" i="2"/>
  <c r="L57" i="2"/>
  <c r="I57" i="2"/>
  <c r="H57" i="2"/>
  <c r="F57" i="2"/>
  <c r="C57" i="2"/>
  <c r="AD56" i="2"/>
  <c r="AC56" i="2"/>
  <c r="AA56" i="2"/>
  <c r="W56" i="2"/>
  <c r="X56" i="2" s="1"/>
  <c r="U56" i="2"/>
  <c r="R56" i="2"/>
  <c r="N56" i="2"/>
  <c r="O56" i="2" s="1"/>
  <c r="L56" i="2"/>
  <c r="I56" i="2"/>
  <c r="H56" i="2"/>
  <c r="F56" i="2"/>
  <c r="C56" i="2"/>
  <c r="AD55" i="2"/>
  <c r="AC55" i="2"/>
  <c r="AA55" i="2"/>
  <c r="X55" i="2"/>
  <c r="W55" i="2"/>
  <c r="U55" i="2"/>
  <c r="R55" i="2"/>
  <c r="N55" i="2"/>
  <c r="O55" i="2" s="1"/>
  <c r="L55" i="2"/>
  <c r="H55" i="2"/>
  <c r="I55" i="2" s="1"/>
  <c r="F55" i="2"/>
  <c r="C55" i="2"/>
  <c r="AD54" i="2"/>
  <c r="AC54" i="2"/>
  <c r="AA54" i="2"/>
  <c r="X54" i="2"/>
  <c r="W54" i="2"/>
  <c r="U54" i="2"/>
  <c r="R54" i="2"/>
  <c r="N54" i="2"/>
  <c r="O54" i="2" s="1"/>
  <c r="L54" i="2"/>
  <c r="I54" i="2"/>
  <c r="H54" i="2"/>
  <c r="F54" i="2"/>
  <c r="C54" i="2"/>
  <c r="AD53" i="2"/>
  <c r="AC53" i="2"/>
  <c r="AA53" i="2"/>
  <c r="W53" i="2"/>
  <c r="X53" i="2" s="1"/>
  <c r="U53" i="2"/>
  <c r="R53" i="2"/>
  <c r="O53" i="2"/>
  <c r="N53" i="2"/>
  <c r="L53" i="2"/>
  <c r="I53" i="2"/>
  <c r="H53" i="2"/>
  <c r="F53" i="2"/>
  <c r="C53" i="2"/>
  <c r="AC52" i="2"/>
  <c r="AD52" i="2" s="1"/>
  <c r="AA52" i="2"/>
  <c r="W52" i="2"/>
  <c r="X52" i="2" s="1"/>
  <c r="U52" i="2"/>
  <c r="R52" i="2"/>
  <c r="N52" i="2"/>
  <c r="O52" i="2" s="1"/>
  <c r="L52" i="2"/>
  <c r="I52" i="2"/>
  <c r="H52" i="2"/>
  <c r="F52" i="2"/>
  <c r="C52" i="2"/>
  <c r="AD51" i="2"/>
  <c r="AC51" i="2"/>
  <c r="AA51" i="2"/>
  <c r="X51" i="2"/>
  <c r="W51" i="2"/>
  <c r="U51" i="2"/>
  <c r="R51" i="2"/>
  <c r="N51" i="2"/>
  <c r="O51" i="2" s="1"/>
  <c r="L51" i="2"/>
  <c r="H51" i="2"/>
  <c r="I51" i="2" s="1"/>
  <c r="F51" i="2"/>
  <c r="C51" i="2"/>
  <c r="AD50" i="2"/>
  <c r="AC50" i="2"/>
  <c r="AA50" i="2"/>
  <c r="X50" i="2"/>
  <c r="W50" i="2"/>
  <c r="U50" i="2"/>
  <c r="R50" i="2"/>
  <c r="N50" i="2"/>
  <c r="O50" i="2" s="1"/>
  <c r="L50" i="2"/>
  <c r="H50" i="2"/>
  <c r="I50" i="2" s="1"/>
  <c r="F50" i="2"/>
  <c r="C50" i="2"/>
  <c r="AD49" i="2"/>
  <c r="AC49" i="2"/>
  <c r="AA49" i="2"/>
  <c r="W49" i="2"/>
  <c r="X49" i="2" s="1"/>
  <c r="U49" i="2"/>
  <c r="R49" i="2"/>
  <c r="O49" i="2"/>
  <c r="N49" i="2"/>
  <c r="L49" i="2"/>
  <c r="I49" i="2"/>
  <c r="H49" i="2"/>
  <c r="F49" i="2"/>
  <c r="C49" i="2"/>
  <c r="AD48" i="2"/>
  <c r="AC48" i="2"/>
  <c r="AA48" i="2"/>
  <c r="W48" i="2"/>
  <c r="X48" i="2" s="1"/>
  <c r="U48" i="2"/>
  <c r="R48" i="2"/>
  <c r="N48" i="2"/>
  <c r="O48" i="2" s="1"/>
  <c r="L48" i="2"/>
  <c r="I48" i="2"/>
  <c r="H48" i="2"/>
  <c r="F48" i="2"/>
  <c r="C48" i="2"/>
  <c r="AD47" i="2"/>
  <c r="AC47" i="2"/>
  <c r="AA47" i="2"/>
  <c r="X47" i="2"/>
  <c r="W47" i="2"/>
  <c r="U47" i="2"/>
  <c r="R47" i="2"/>
  <c r="N47" i="2"/>
  <c r="O47" i="2" s="1"/>
  <c r="L47" i="2"/>
  <c r="H47" i="2"/>
  <c r="I47" i="2" s="1"/>
  <c r="F47" i="2"/>
  <c r="C47" i="2"/>
  <c r="AD46" i="2"/>
  <c r="AC46" i="2"/>
  <c r="AA46" i="2"/>
  <c r="X46" i="2"/>
  <c r="W46" i="2"/>
  <c r="U46" i="2"/>
  <c r="R46" i="2"/>
  <c r="N46" i="2"/>
  <c r="O46" i="2" s="1"/>
  <c r="L46" i="2"/>
  <c r="I46" i="2"/>
  <c r="H46" i="2"/>
  <c r="F46" i="2"/>
  <c r="C46" i="2"/>
  <c r="AD44" i="2"/>
  <c r="AC44" i="2"/>
  <c r="AA44" i="2"/>
  <c r="W44" i="2"/>
  <c r="X44" i="2" s="1"/>
  <c r="U44" i="2"/>
  <c r="R44" i="2"/>
  <c r="O44" i="2"/>
  <c r="N44" i="2"/>
  <c r="L44" i="2"/>
  <c r="I44" i="2"/>
  <c r="H44" i="2"/>
  <c r="F44" i="2"/>
  <c r="C44" i="2"/>
  <c r="AC43" i="2"/>
  <c r="AD43" i="2" s="1"/>
  <c r="AA43" i="2"/>
  <c r="W43" i="2"/>
  <c r="X43" i="2" s="1"/>
  <c r="U43" i="2"/>
  <c r="R43" i="2"/>
  <c r="N43" i="2"/>
  <c r="O43" i="2" s="1"/>
  <c r="L43" i="2"/>
  <c r="I43" i="2"/>
  <c r="H43" i="2"/>
  <c r="F43" i="2"/>
  <c r="C43" i="2"/>
  <c r="AD42" i="2"/>
  <c r="AC42" i="2"/>
  <c r="AA42" i="2"/>
  <c r="X42" i="2"/>
  <c r="W42" i="2"/>
  <c r="U42" i="2"/>
  <c r="R42" i="2"/>
  <c r="N42" i="2"/>
  <c r="O42" i="2" s="1"/>
  <c r="L42" i="2"/>
  <c r="H42" i="2"/>
  <c r="I42" i="2" s="1"/>
  <c r="F42" i="2"/>
  <c r="C42" i="2"/>
  <c r="Z40" i="2"/>
  <c r="AA40" i="2" s="1"/>
  <c r="X40" i="2"/>
  <c r="W40" i="2"/>
  <c r="U40" i="2"/>
  <c r="T40" i="2"/>
  <c r="R40" i="2"/>
  <c r="Q40" i="2"/>
  <c r="AC40" i="2" s="1"/>
  <c r="AD40" i="2" s="1"/>
  <c r="L40" i="2"/>
  <c r="K40" i="2"/>
  <c r="F40" i="2"/>
  <c r="E40" i="2"/>
  <c r="B40" i="2"/>
  <c r="H40" i="2" s="1"/>
  <c r="I40" i="2" s="1"/>
  <c r="AC39" i="2"/>
  <c r="AD39" i="2" s="1"/>
  <c r="AA39" i="2"/>
  <c r="W39" i="2"/>
  <c r="X39" i="2" s="1"/>
  <c r="U39" i="2"/>
  <c r="R39" i="2"/>
  <c r="N39" i="2"/>
  <c r="O39" i="2" s="1"/>
  <c r="L39" i="2"/>
  <c r="I39" i="2"/>
  <c r="H39" i="2"/>
  <c r="F39" i="2"/>
  <c r="C39" i="2"/>
  <c r="AD38" i="2"/>
  <c r="AC38" i="2"/>
  <c r="AA38" i="2"/>
  <c r="X38" i="2"/>
  <c r="W38" i="2"/>
  <c r="U38" i="2"/>
  <c r="R38" i="2"/>
  <c r="N38" i="2"/>
  <c r="O38" i="2" s="1"/>
  <c r="L38" i="2"/>
  <c r="H38" i="2"/>
  <c r="I38" i="2" s="1"/>
  <c r="F38" i="2"/>
  <c r="C38" i="2"/>
  <c r="AD37" i="2"/>
  <c r="AC37" i="2"/>
  <c r="AA37" i="2"/>
  <c r="X37" i="2"/>
  <c r="W37" i="2"/>
  <c r="U37" i="2"/>
  <c r="R37" i="2"/>
  <c r="N37" i="2"/>
  <c r="O37" i="2" s="1"/>
  <c r="L37" i="2"/>
  <c r="I37" i="2"/>
  <c r="H37" i="2"/>
  <c r="F37" i="2"/>
  <c r="C37" i="2"/>
  <c r="AD36" i="2"/>
  <c r="AC36" i="2"/>
  <c r="AA36" i="2"/>
  <c r="W36" i="2"/>
  <c r="X36" i="2" s="1"/>
  <c r="U36" i="2"/>
  <c r="R36" i="2"/>
  <c r="O36" i="2"/>
  <c r="N36" i="2"/>
  <c r="L36" i="2"/>
  <c r="I36" i="2"/>
  <c r="H36" i="2"/>
  <c r="F36" i="2"/>
  <c r="C36" i="2"/>
  <c r="AC35" i="2"/>
  <c r="AD35" i="2" s="1"/>
  <c r="AA35" i="2"/>
  <c r="W35" i="2"/>
  <c r="X35" i="2" s="1"/>
  <c r="U35" i="2"/>
  <c r="R35" i="2"/>
  <c r="O35" i="2"/>
  <c r="N35" i="2"/>
  <c r="L35" i="2"/>
  <c r="I35" i="2"/>
  <c r="H35" i="2"/>
  <c r="F35" i="2"/>
  <c r="C35" i="2"/>
  <c r="AC34" i="2"/>
  <c r="AD34" i="2" s="1"/>
  <c r="AA34" i="2"/>
  <c r="X34" i="2"/>
  <c r="W34" i="2"/>
  <c r="U34" i="2"/>
  <c r="R34" i="2"/>
  <c r="N34" i="2"/>
  <c r="O34" i="2" s="1"/>
  <c r="L34" i="2"/>
  <c r="I34" i="2"/>
  <c r="H34" i="2"/>
  <c r="F34" i="2"/>
  <c r="C34" i="2"/>
  <c r="AD33" i="2"/>
  <c r="AC33" i="2"/>
  <c r="AA33" i="2"/>
  <c r="W33" i="2"/>
  <c r="X33" i="2" s="1"/>
  <c r="U33" i="2"/>
  <c r="R33" i="2"/>
  <c r="N33" i="2"/>
  <c r="O33" i="2" s="1"/>
  <c r="L33" i="2"/>
  <c r="I33" i="2"/>
  <c r="H33" i="2"/>
  <c r="F33" i="2"/>
  <c r="C33" i="2"/>
  <c r="AD32" i="2"/>
  <c r="AC32" i="2"/>
  <c r="AA32" i="2"/>
  <c r="W32" i="2"/>
  <c r="X32" i="2" s="1"/>
  <c r="U32" i="2"/>
  <c r="R32" i="2"/>
  <c r="O32" i="2"/>
  <c r="N32" i="2"/>
  <c r="L32" i="2"/>
  <c r="I32" i="2"/>
  <c r="H32" i="2"/>
  <c r="F32" i="2"/>
  <c r="C32" i="2"/>
  <c r="AC31" i="2"/>
  <c r="AD31" i="2" s="1"/>
  <c r="AA31" i="2"/>
  <c r="W31" i="2"/>
  <c r="X31" i="2" s="1"/>
  <c r="U31" i="2"/>
  <c r="R31" i="2"/>
  <c r="N31" i="2"/>
  <c r="O31" i="2" s="1"/>
  <c r="L31" i="2"/>
  <c r="I31" i="2"/>
  <c r="H31" i="2"/>
  <c r="F31" i="2"/>
  <c r="C31" i="2"/>
  <c r="AA29" i="2"/>
  <c r="Z29" i="2"/>
  <c r="U29" i="2"/>
  <c r="T29" i="2"/>
  <c r="R29" i="2"/>
  <c r="Q29" i="2"/>
  <c r="W29" i="2" s="1"/>
  <c r="X29" i="2" s="1"/>
  <c r="O29" i="2"/>
  <c r="L29" i="2"/>
  <c r="K29" i="2"/>
  <c r="E29" i="2"/>
  <c r="F29" i="2" s="1"/>
  <c r="C29" i="2"/>
  <c r="B29" i="2"/>
  <c r="N29" i="2" s="1"/>
  <c r="AD28" i="2"/>
  <c r="AC28" i="2"/>
  <c r="AA28" i="2"/>
  <c r="W28" i="2"/>
  <c r="X28" i="2" s="1"/>
  <c r="U28" i="2"/>
  <c r="R28" i="2"/>
  <c r="O28" i="2"/>
  <c r="N28" i="2"/>
  <c r="L28" i="2"/>
  <c r="I28" i="2"/>
  <c r="H28" i="2"/>
  <c r="F28" i="2"/>
  <c r="C28" i="2"/>
  <c r="AD27" i="2"/>
  <c r="AC27" i="2"/>
  <c r="AA27" i="2"/>
  <c r="W27" i="2"/>
  <c r="X27" i="2" s="1"/>
  <c r="U27" i="2"/>
  <c r="R27" i="2"/>
  <c r="N27" i="2"/>
  <c r="O27" i="2" s="1"/>
  <c r="L27" i="2"/>
  <c r="I27" i="2"/>
  <c r="H27" i="2"/>
  <c r="F27" i="2"/>
  <c r="C27" i="2"/>
  <c r="AD26" i="2"/>
  <c r="AC26" i="2"/>
  <c r="AA26" i="2"/>
  <c r="X26" i="2"/>
  <c r="W26" i="2"/>
  <c r="U26" i="2"/>
  <c r="R26" i="2"/>
  <c r="N26" i="2"/>
  <c r="O26" i="2" s="1"/>
  <c r="L26" i="2"/>
  <c r="H26" i="2"/>
  <c r="I26" i="2" s="1"/>
  <c r="F26" i="2"/>
  <c r="C26" i="2"/>
  <c r="AD25" i="2"/>
  <c r="AC25" i="2"/>
  <c r="AA25" i="2"/>
  <c r="X25" i="2"/>
  <c r="W25" i="2"/>
  <c r="U25" i="2"/>
  <c r="R25" i="2"/>
  <c r="N25" i="2"/>
  <c r="O25" i="2" s="1"/>
  <c r="L25" i="2"/>
  <c r="I25" i="2"/>
  <c r="H25" i="2"/>
  <c r="F25" i="2"/>
  <c r="C25" i="2"/>
  <c r="AD24" i="2"/>
  <c r="AC24" i="2"/>
  <c r="AA24" i="2"/>
  <c r="W24" i="2"/>
  <c r="X24" i="2" s="1"/>
  <c r="U24" i="2"/>
  <c r="R24" i="2"/>
  <c r="O24" i="2"/>
  <c r="N24" i="2"/>
  <c r="L24" i="2"/>
  <c r="I24" i="2"/>
  <c r="H24" i="2"/>
  <c r="F24" i="2"/>
  <c r="C24" i="2"/>
  <c r="AC23" i="2"/>
  <c r="AD23" i="2" s="1"/>
  <c r="AA23" i="2"/>
  <c r="W23" i="2"/>
  <c r="X23" i="2" s="1"/>
  <c r="U23" i="2"/>
  <c r="R23" i="2"/>
  <c r="N23" i="2"/>
  <c r="O23" i="2" s="1"/>
  <c r="L23" i="2"/>
  <c r="I23" i="2"/>
  <c r="H23" i="2"/>
  <c r="F23" i="2"/>
  <c r="C23" i="2"/>
  <c r="AD22" i="2"/>
  <c r="AC22" i="2"/>
  <c r="AA22" i="2"/>
  <c r="X22" i="2"/>
  <c r="W22" i="2"/>
  <c r="U22" i="2"/>
  <c r="R22" i="2"/>
  <c r="N22" i="2"/>
  <c r="O22" i="2" s="1"/>
  <c r="L22" i="2"/>
  <c r="H22" i="2"/>
  <c r="I22" i="2" s="1"/>
  <c r="F22" i="2"/>
  <c r="C22" i="2"/>
  <c r="AD21" i="2"/>
  <c r="AC21" i="2"/>
  <c r="AA21" i="2"/>
  <c r="X21" i="2"/>
  <c r="W21" i="2"/>
  <c r="U21" i="2"/>
  <c r="R21" i="2"/>
  <c r="N21" i="2"/>
  <c r="O21" i="2" s="1"/>
  <c r="L21" i="2"/>
  <c r="H21" i="2"/>
  <c r="I21" i="2" s="1"/>
  <c r="F21" i="2"/>
  <c r="C21" i="2"/>
  <c r="AD19" i="2"/>
  <c r="AC19" i="2"/>
  <c r="AA19" i="2"/>
  <c r="W19" i="2"/>
  <c r="X19" i="2" s="1"/>
  <c r="U19" i="2"/>
  <c r="R19" i="2"/>
  <c r="O19" i="2"/>
  <c r="N19" i="2"/>
  <c r="L19" i="2"/>
  <c r="I19" i="2"/>
  <c r="H19" i="2"/>
  <c r="F19" i="2"/>
  <c r="C19" i="2"/>
  <c r="AD18" i="2"/>
  <c r="AC18" i="2"/>
  <c r="AA18" i="2"/>
  <c r="Z18" i="2"/>
  <c r="T18" i="2"/>
  <c r="U18" i="2" s="1"/>
  <c r="Q18" i="2"/>
  <c r="L18" i="2"/>
  <c r="K18" i="2"/>
  <c r="H18" i="2"/>
  <c r="I18" i="2" s="1"/>
  <c r="E18" i="2"/>
  <c r="F18" i="2" s="1"/>
  <c r="C18" i="2"/>
  <c r="B18" i="2"/>
  <c r="N18" i="2" s="1"/>
  <c r="O18" i="2" s="1"/>
  <c r="AD17" i="2"/>
  <c r="AC17" i="2"/>
  <c r="AA17" i="2"/>
  <c r="X17" i="2"/>
  <c r="W17" i="2"/>
  <c r="U17" i="2"/>
  <c r="R17" i="2"/>
  <c r="N17" i="2"/>
  <c r="O17" i="2" s="1"/>
  <c r="L17" i="2"/>
  <c r="I17" i="2"/>
  <c r="H17" i="2"/>
  <c r="F17" i="2"/>
  <c r="C17" i="2"/>
  <c r="AD16" i="2"/>
  <c r="AC16" i="2"/>
  <c r="AA16" i="2"/>
  <c r="W16" i="2"/>
  <c r="X16" i="2" s="1"/>
  <c r="U16" i="2"/>
  <c r="R16" i="2"/>
  <c r="O16" i="2"/>
  <c r="N16" i="2"/>
  <c r="L16" i="2"/>
  <c r="I16" i="2"/>
  <c r="H16" i="2"/>
  <c r="F16" i="2"/>
  <c r="C16" i="2"/>
  <c r="AC15" i="2"/>
  <c r="AD15" i="2" s="1"/>
  <c r="AA15" i="2"/>
  <c r="W15" i="2"/>
  <c r="X15" i="2" s="1"/>
  <c r="U15" i="2"/>
  <c r="R15" i="2"/>
  <c r="N15" i="2"/>
  <c r="O15" i="2" s="1"/>
  <c r="L15" i="2"/>
  <c r="I15" i="2"/>
  <c r="H15" i="2"/>
  <c r="F15" i="2"/>
  <c r="C15" i="2"/>
  <c r="AC14" i="2"/>
  <c r="AD14" i="2" s="1"/>
  <c r="AA14" i="2"/>
  <c r="X14" i="2"/>
  <c r="W14" i="2"/>
  <c r="U14" i="2"/>
  <c r="R14" i="2"/>
  <c r="N14" i="2"/>
  <c r="O14" i="2" s="1"/>
  <c r="L14" i="2"/>
  <c r="H14" i="2"/>
  <c r="I14" i="2" s="1"/>
  <c r="F14" i="2"/>
  <c r="C14" i="2"/>
  <c r="AD13" i="2"/>
  <c r="AC13" i="2"/>
  <c r="AA13" i="2"/>
  <c r="W13" i="2"/>
  <c r="X13" i="2" s="1"/>
  <c r="U13" i="2"/>
  <c r="R13" i="2"/>
  <c r="N13" i="2"/>
  <c r="O13" i="2" s="1"/>
  <c r="L13" i="2"/>
  <c r="I13" i="2"/>
  <c r="H13" i="2"/>
  <c r="F13" i="2"/>
  <c r="C13" i="2"/>
  <c r="AD12" i="2"/>
  <c r="AC12" i="2"/>
  <c r="AA12" i="2"/>
  <c r="W12" i="2"/>
  <c r="X12" i="2" s="1"/>
  <c r="U12" i="2"/>
  <c r="R12" i="2"/>
  <c r="O12" i="2"/>
  <c r="N12" i="2"/>
  <c r="L12" i="2"/>
  <c r="I12" i="2"/>
  <c r="H12" i="2"/>
  <c r="F12" i="2"/>
  <c r="C12" i="2"/>
  <c r="AC11" i="2"/>
  <c r="AD11" i="2" s="1"/>
  <c r="AA11" i="2"/>
  <c r="W11" i="2"/>
  <c r="X11" i="2" s="1"/>
  <c r="U11" i="2"/>
  <c r="R11" i="2"/>
  <c r="N11" i="2"/>
  <c r="O11" i="2" s="1"/>
  <c r="L11" i="2"/>
  <c r="I11" i="2"/>
  <c r="H11" i="2"/>
  <c r="F11" i="2"/>
  <c r="C11" i="2"/>
  <c r="AD10" i="2"/>
  <c r="AC10" i="2"/>
  <c r="AA10" i="2"/>
  <c r="X10" i="2"/>
  <c r="W10" i="2"/>
  <c r="U10" i="2"/>
  <c r="R10" i="2"/>
  <c r="N10" i="2"/>
  <c r="O10" i="2" s="1"/>
  <c r="L10" i="2"/>
  <c r="H10" i="2"/>
  <c r="I10" i="2" s="1"/>
  <c r="F10" i="2"/>
  <c r="C10" i="2"/>
  <c r="AD8" i="2"/>
  <c r="AC8" i="2"/>
  <c r="AA8" i="2"/>
  <c r="X8" i="2"/>
  <c r="W8" i="2"/>
  <c r="U8" i="2"/>
  <c r="R8" i="2"/>
  <c r="N8" i="2"/>
  <c r="O8" i="2" s="1"/>
  <c r="L8" i="2"/>
  <c r="I8" i="2"/>
  <c r="H8" i="2"/>
  <c r="F8" i="2"/>
  <c r="C8" i="2"/>
  <c r="AC444" i="1"/>
  <c r="W444" i="1"/>
  <c r="N444" i="1"/>
  <c r="H444" i="1"/>
  <c r="AA442" i="1"/>
  <c r="Z442" i="1"/>
  <c r="W442" i="1"/>
  <c r="X442" i="1" s="1"/>
  <c r="U442" i="1"/>
  <c r="T442" i="1"/>
  <c r="R442" i="1"/>
  <c r="Q442" i="1"/>
  <c r="AC442" i="1" s="1"/>
  <c r="AD442" i="1" s="1"/>
  <c r="L442" i="1"/>
  <c r="K442" i="1"/>
  <c r="H442" i="1"/>
  <c r="I442" i="1" s="1"/>
  <c r="F442" i="1"/>
  <c r="E442" i="1"/>
  <c r="C442" i="1"/>
  <c r="B442" i="1"/>
  <c r="N442" i="1" s="1"/>
  <c r="O442" i="1" s="1"/>
  <c r="Z441" i="1"/>
  <c r="AA441" i="1" s="1"/>
  <c r="U441" i="1"/>
  <c r="T441" i="1"/>
  <c r="R441" i="1"/>
  <c r="Q441" i="1"/>
  <c r="W441" i="1" s="1"/>
  <c r="X441" i="1" s="1"/>
  <c r="L441" i="1"/>
  <c r="K441" i="1"/>
  <c r="F441" i="1"/>
  <c r="E441" i="1"/>
  <c r="C441" i="1"/>
  <c r="B441" i="1"/>
  <c r="AD440" i="1"/>
  <c r="AC440" i="1"/>
  <c r="AA440" i="1"/>
  <c r="W440" i="1"/>
  <c r="X440" i="1" s="1"/>
  <c r="U440" i="1"/>
  <c r="R440" i="1"/>
  <c r="O440" i="1"/>
  <c r="N440" i="1"/>
  <c r="L440" i="1"/>
  <c r="I440" i="1"/>
  <c r="H440" i="1"/>
  <c r="F440" i="1"/>
  <c r="C440" i="1"/>
  <c r="AC439" i="1"/>
  <c r="AD439" i="1" s="1"/>
  <c r="AA439" i="1"/>
  <c r="W439" i="1"/>
  <c r="X439" i="1" s="1"/>
  <c r="U439" i="1"/>
  <c r="R439" i="1"/>
  <c r="N439" i="1"/>
  <c r="O439" i="1" s="1"/>
  <c r="L439" i="1"/>
  <c r="I439" i="1"/>
  <c r="H439" i="1"/>
  <c r="F439" i="1"/>
  <c r="C439" i="1"/>
  <c r="AC438" i="1"/>
  <c r="AD438" i="1" s="1"/>
  <c r="AA438" i="1"/>
  <c r="X438" i="1"/>
  <c r="W438" i="1"/>
  <c r="U438" i="1"/>
  <c r="R438" i="1"/>
  <c r="N438" i="1"/>
  <c r="O438" i="1" s="1"/>
  <c r="L438" i="1"/>
  <c r="H438" i="1"/>
  <c r="I438" i="1" s="1"/>
  <c r="F438" i="1"/>
  <c r="C438" i="1"/>
  <c r="AD437" i="1"/>
  <c r="AC437" i="1"/>
  <c r="AA437" i="1"/>
  <c r="W437" i="1"/>
  <c r="X437" i="1" s="1"/>
  <c r="U437" i="1"/>
  <c r="R437" i="1"/>
  <c r="N437" i="1"/>
  <c r="O437" i="1" s="1"/>
  <c r="L437" i="1"/>
  <c r="I437" i="1"/>
  <c r="H437" i="1"/>
  <c r="F437" i="1"/>
  <c r="C437" i="1"/>
  <c r="AD436" i="1"/>
  <c r="AC436" i="1"/>
  <c r="AA436" i="1"/>
  <c r="W436" i="1"/>
  <c r="X436" i="1" s="1"/>
  <c r="U436" i="1"/>
  <c r="R436" i="1"/>
  <c r="O436" i="1"/>
  <c r="N436" i="1"/>
  <c r="L436" i="1"/>
  <c r="I436" i="1"/>
  <c r="H436" i="1"/>
  <c r="F436" i="1"/>
  <c r="C436" i="1"/>
  <c r="AC435" i="1"/>
  <c r="AD435" i="1" s="1"/>
  <c r="AA435" i="1"/>
  <c r="W435" i="1"/>
  <c r="X435" i="1" s="1"/>
  <c r="U435" i="1"/>
  <c r="R435" i="1"/>
  <c r="N435" i="1"/>
  <c r="O435" i="1" s="1"/>
  <c r="L435" i="1"/>
  <c r="I435" i="1"/>
  <c r="H435" i="1"/>
  <c r="F435" i="1"/>
  <c r="C435" i="1"/>
  <c r="AD434" i="1"/>
  <c r="AC434" i="1"/>
  <c r="AA434" i="1"/>
  <c r="X434" i="1"/>
  <c r="W434" i="1"/>
  <c r="U434" i="1"/>
  <c r="R434" i="1"/>
  <c r="N434" i="1"/>
  <c r="O434" i="1" s="1"/>
  <c r="L434" i="1"/>
  <c r="H434" i="1"/>
  <c r="I434" i="1" s="1"/>
  <c r="F434" i="1"/>
  <c r="C434" i="1"/>
  <c r="AD433" i="1"/>
  <c r="AC433" i="1"/>
  <c r="AA433" i="1"/>
  <c r="X433" i="1"/>
  <c r="W433" i="1"/>
  <c r="U433" i="1"/>
  <c r="R433" i="1"/>
  <c r="N433" i="1"/>
  <c r="O433" i="1" s="1"/>
  <c r="L433" i="1"/>
  <c r="I433" i="1"/>
  <c r="H433" i="1"/>
  <c r="F433" i="1"/>
  <c r="C433" i="1"/>
  <c r="AD432" i="1"/>
  <c r="AC432" i="1"/>
  <c r="AA432" i="1"/>
  <c r="W432" i="1"/>
  <c r="X432" i="1" s="1"/>
  <c r="U432" i="1"/>
  <c r="R432" i="1"/>
  <c r="O432" i="1"/>
  <c r="N432" i="1"/>
  <c r="L432" i="1"/>
  <c r="I432" i="1"/>
  <c r="H432" i="1"/>
  <c r="F432" i="1"/>
  <c r="C432" i="1"/>
  <c r="AA429" i="1"/>
  <c r="Z429" i="1"/>
  <c r="T429" i="1"/>
  <c r="U429" i="1" s="1"/>
  <c r="Q429" i="1"/>
  <c r="L429" i="1"/>
  <c r="K429" i="1"/>
  <c r="H429" i="1"/>
  <c r="I429" i="1" s="1"/>
  <c r="E429" i="1"/>
  <c r="F429" i="1" s="1"/>
  <c r="C429" i="1"/>
  <c r="B429" i="1"/>
  <c r="N429" i="1" s="1"/>
  <c r="O429" i="1" s="1"/>
  <c r="Z428" i="1"/>
  <c r="AA428" i="1" s="1"/>
  <c r="W428" i="1"/>
  <c r="X428" i="1" s="1"/>
  <c r="U428" i="1"/>
  <c r="T428" i="1"/>
  <c r="R428" i="1"/>
  <c r="Q428" i="1"/>
  <c r="N428" i="1"/>
  <c r="O428" i="1" s="1"/>
  <c r="K428" i="1"/>
  <c r="L428" i="1" s="1"/>
  <c r="F428" i="1"/>
  <c r="E428" i="1"/>
  <c r="B428" i="1"/>
  <c r="AC427" i="1"/>
  <c r="AD427" i="1" s="1"/>
  <c r="AA427" i="1"/>
  <c r="W427" i="1"/>
  <c r="X427" i="1" s="1"/>
  <c r="U427" i="1"/>
  <c r="R427" i="1"/>
  <c r="N427" i="1"/>
  <c r="O427" i="1" s="1"/>
  <c r="L427" i="1"/>
  <c r="I427" i="1"/>
  <c r="H427" i="1"/>
  <c r="F427" i="1"/>
  <c r="C427" i="1"/>
  <c r="AC426" i="1"/>
  <c r="AD426" i="1" s="1"/>
  <c r="AA426" i="1"/>
  <c r="X426" i="1"/>
  <c r="W426" i="1"/>
  <c r="U426" i="1"/>
  <c r="R426" i="1"/>
  <c r="N426" i="1"/>
  <c r="O426" i="1" s="1"/>
  <c r="L426" i="1"/>
  <c r="H426" i="1"/>
  <c r="I426" i="1" s="1"/>
  <c r="F426" i="1"/>
  <c r="C426" i="1"/>
  <c r="AD425" i="1"/>
  <c r="AC425" i="1"/>
  <c r="AA425" i="1"/>
  <c r="W425" i="1"/>
  <c r="X425" i="1" s="1"/>
  <c r="U425" i="1"/>
  <c r="R425" i="1"/>
  <c r="N425" i="1"/>
  <c r="O425" i="1" s="1"/>
  <c r="L425" i="1"/>
  <c r="I425" i="1"/>
  <c r="H425" i="1"/>
  <c r="F425" i="1"/>
  <c r="C425" i="1"/>
  <c r="AD424" i="1"/>
  <c r="AC424" i="1"/>
  <c r="AA424" i="1"/>
  <c r="W424" i="1"/>
  <c r="X424" i="1" s="1"/>
  <c r="U424" i="1"/>
  <c r="R424" i="1"/>
  <c r="O424" i="1"/>
  <c r="N424" i="1"/>
  <c r="L424" i="1"/>
  <c r="I424" i="1"/>
  <c r="H424" i="1"/>
  <c r="F424" i="1"/>
  <c r="C424" i="1"/>
  <c r="AC423" i="1"/>
  <c r="AD423" i="1" s="1"/>
  <c r="AA423" i="1"/>
  <c r="W423" i="1"/>
  <c r="X423" i="1" s="1"/>
  <c r="U423" i="1"/>
  <c r="R423" i="1"/>
  <c r="N423" i="1"/>
  <c r="O423" i="1" s="1"/>
  <c r="L423" i="1"/>
  <c r="I423" i="1"/>
  <c r="H423" i="1"/>
  <c r="F423" i="1"/>
  <c r="C423" i="1"/>
  <c r="AD422" i="1"/>
  <c r="AC422" i="1"/>
  <c r="AA422" i="1"/>
  <c r="X422" i="1"/>
  <c r="W422" i="1"/>
  <c r="U422" i="1"/>
  <c r="R422" i="1"/>
  <c r="N422" i="1"/>
  <c r="O422" i="1" s="1"/>
  <c r="L422" i="1"/>
  <c r="H422" i="1"/>
  <c r="I422" i="1" s="1"/>
  <c r="F422" i="1"/>
  <c r="C422" i="1"/>
  <c r="AD421" i="1"/>
  <c r="AC421" i="1"/>
  <c r="AA421" i="1"/>
  <c r="X421" i="1"/>
  <c r="W421" i="1"/>
  <c r="U421" i="1"/>
  <c r="R421" i="1"/>
  <c r="N421" i="1"/>
  <c r="O421" i="1" s="1"/>
  <c r="L421" i="1"/>
  <c r="I421" i="1"/>
  <c r="H421" i="1"/>
  <c r="F421" i="1"/>
  <c r="C421" i="1"/>
  <c r="AD420" i="1"/>
  <c r="AC420" i="1"/>
  <c r="AA420" i="1"/>
  <c r="W420" i="1"/>
  <c r="X420" i="1" s="1"/>
  <c r="U420" i="1"/>
  <c r="R420" i="1"/>
  <c r="O420" i="1"/>
  <c r="N420" i="1"/>
  <c r="L420" i="1"/>
  <c r="I420" i="1"/>
  <c r="H420" i="1"/>
  <c r="F420" i="1"/>
  <c r="C420" i="1"/>
  <c r="AC419" i="1"/>
  <c r="AD419" i="1" s="1"/>
  <c r="AA419" i="1"/>
  <c r="W419" i="1"/>
  <c r="X419" i="1" s="1"/>
  <c r="U419" i="1"/>
  <c r="R419" i="1"/>
  <c r="N419" i="1"/>
  <c r="O419" i="1" s="1"/>
  <c r="L419" i="1"/>
  <c r="I419" i="1"/>
  <c r="H419" i="1"/>
  <c r="F419" i="1"/>
  <c r="C419" i="1"/>
  <c r="AC418" i="1"/>
  <c r="AD418" i="1" s="1"/>
  <c r="AA418" i="1"/>
  <c r="X418" i="1"/>
  <c r="W418" i="1"/>
  <c r="U418" i="1"/>
  <c r="R418" i="1"/>
  <c r="N418" i="1"/>
  <c r="O418" i="1" s="1"/>
  <c r="L418" i="1"/>
  <c r="H418" i="1"/>
  <c r="I418" i="1" s="1"/>
  <c r="F418" i="1"/>
  <c r="C418" i="1"/>
  <c r="AD417" i="1"/>
  <c r="AC417" i="1"/>
  <c r="AA417" i="1"/>
  <c r="W417" i="1"/>
  <c r="X417" i="1" s="1"/>
  <c r="U417" i="1"/>
  <c r="R417" i="1"/>
  <c r="N417" i="1"/>
  <c r="O417" i="1" s="1"/>
  <c r="L417" i="1"/>
  <c r="I417" i="1"/>
  <c r="H417" i="1"/>
  <c r="F417" i="1"/>
  <c r="C417" i="1"/>
  <c r="AD416" i="1"/>
  <c r="AC416" i="1"/>
  <c r="AA416" i="1"/>
  <c r="W416" i="1"/>
  <c r="X416" i="1" s="1"/>
  <c r="U416" i="1"/>
  <c r="R416" i="1"/>
  <c r="O416" i="1"/>
  <c r="N416" i="1"/>
  <c r="L416" i="1"/>
  <c r="I416" i="1"/>
  <c r="H416" i="1"/>
  <c r="F416" i="1"/>
  <c r="C416" i="1"/>
  <c r="AC415" i="1"/>
  <c r="AD415" i="1" s="1"/>
  <c r="AA415" i="1"/>
  <c r="W415" i="1"/>
  <c r="X415" i="1" s="1"/>
  <c r="U415" i="1"/>
  <c r="R415" i="1"/>
  <c r="N415" i="1"/>
  <c r="O415" i="1" s="1"/>
  <c r="L415" i="1"/>
  <c r="I415" i="1"/>
  <c r="H415" i="1"/>
  <c r="F415" i="1"/>
  <c r="C415" i="1"/>
  <c r="AD414" i="1"/>
  <c r="AC414" i="1"/>
  <c r="AA414" i="1"/>
  <c r="X414" i="1"/>
  <c r="W414" i="1"/>
  <c r="U414" i="1"/>
  <c r="R414" i="1"/>
  <c r="N414" i="1"/>
  <c r="O414" i="1" s="1"/>
  <c r="L414" i="1"/>
  <c r="H414" i="1"/>
  <c r="I414" i="1" s="1"/>
  <c r="F414" i="1"/>
  <c r="C414" i="1"/>
  <c r="AD413" i="1"/>
  <c r="AC413" i="1"/>
  <c r="AA413" i="1"/>
  <c r="X413" i="1"/>
  <c r="W413" i="1"/>
  <c r="U413" i="1"/>
  <c r="R413" i="1"/>
  <c r="N413" i="1"/>
  <c r="O413" i="1" s="1"/>
  <c r="L413" i="1"/>
  <c r="I413" i="1"/>
  <c r="H413" i="1"/>
  <c r="F413" i="1"/>
  <c r="C413" i="1"/>
  <c r="AD412" i="1"/>
  <c r="AC412" i="1"/>
  <c r="AA412" i="1"/>
  <c r="W412" i="1"/>
  <c r="X412" i="1" s="1"/>
  <c r="U412" i="1"/>
  <c r="R412" i="1"/>
  <c r="O412" i="1"/>
  <c r="N412" i="1"/>
  <c r="L412" i="1"/>
  <c r="I412" i="1"/>
  <c r="H412" i="1"/>
  <c r="F412" i="1"/>
  <c r="C412" i="1"/>
  <c r="AC411" i="1"/>
  <c r="AD411" i="1" s="1"/>
  <c r="AA411" i="1"/>
  <c r="W411" i="1"/>
  <c r="X411" i="1" s="1"/>
  <c r="U411" i="1"/>
  <c r="R411" i="1"/>
  <c r="N411" i="1"/>
  <c r="O411" i="1" s="1"/>
  <c r="L411" i="1"/>
  <c r="I411" i="1"/>
  <c r="H411" i="1"/>
  <c r="F411" i="1"/>
  <c r="C411" i="1"/>
  <c r="AC410" i="1"/>
  <c r="AD410" i="1" s="1"/>
  <c r="AA410" i="1"/>
  <c r="X410" i="1"/>
  <c r="W410" i="1"/>
  <c r="U410" i="1"/>
  <c r="R410" i="1"/>
  <c r="N410" i="1"/>
  <c r="O410" i="1" s="1"/>
  <c r="L410" i="1"/>
  <c r="H410" i="1"/>
  <c r="I410" i="1" s="1"/>
  <c r="F410" i="1"/>
  <c r="C410" i="1"/>
  <c r="AD409" i="1"/>
  <c r="AC409" i="1"/>
  <c r="AA409" i="1"/>
  <c r="W409" i="1"/>
  <c r="X409" i="1" s="1"/>
  <c r="U409" i="1"/>
  <c r="R409" i="1"/>
  <c r="N409" i="1"/>
  <c r="O409" i="1" s="1"/>
  <c r="L409" i="1"/>
  <c r="I409" i="1"/>
  <c r="H409" i="1"/>
  <c r="F409" i="1"/>
  <c r="C409" i="1"/>
  <c r="AD408" i="1"/>
  <c r="AC408" i="1"/>
  <c r="AA408" i="1"/>
  <c r="W408" i="1"/>
  <c r="X408" i="1" s="1"/>
  <c r="U408" i="1"/>
  <c r="R408" i="1"/>
  <c r="O408" i="1"/>
  <c r="N408" i="1"/>
  <c r="L408" i="1"/>
  <c r="I408" i="1"/>
  <c r="H408" i="1"/>
  <c r="F408" i="1"/>
  <c r="C408" i="1"/>
  <c r="AC407" i="1"/>
  <c r="AD407" i="1" s="1"/>
  <c r="AA407" i="1"/>
  <c r="W407" i="1"/>
  <c r="X407" i="1" s="1"/>
  <c r="U407" i="1"/>
  <c r="R407" i="1"/>
  <c r="N407" i="1"/>
  <c r="O407" i="1" s="1"/>
  <c r="L407" i="1"/>
  <c r="I407" i="1"/>
  <c r="H407" i="1"/>
  <c r="F407" i="1"/>
  <c r="C407" i="1"/>
  <c r="AA403" i="1"/>
  <c r="Z403" i="1"/>
  <c r="X403" i="1"/>
  <c r="W403" i="1"/>
  <c r="U403" i="1"/>
  <c r="T403" i="1"/>
  <c r="Q403" i="1"/>
  <c r="R403" i="1" s="1"/>
  <c r="K403" i="1"/>
  <c r="L403" i="1" s="1"/>
  <c r="H403" i="1"/>
  <c r="I403" i="1" s="1"/>
  <c r="E403" i="1"/>
  <c r="F403" i="1" s="1"/>
  <c r="C403" i="1"/>
  <c r="B403" i="1"/>
  <c r="AD402" i="1"/>
  <c r="AC402" i="1"/>
  <c r="AA402" i="1"/>
  <c r="X402" i="1"/>
  <c r="W402" i="1"/>
  <c r="U402" i="1"/>
  <c r="R402" i="1"/>
  <c r="N402" i="1"/>
  <c r="O402" i="1" s="1"/>
  <c r="L402" i="1"/>
  <c r="H402" i="1"/>
  <c r="I402" i="1" s="1"/>
  <c r="F402" i="1"/>
  <c r="C402" i="1"/>
  <c r="AD401" i="1"/>
  <c r="AC401" i="1"/>
  <c r="AA401" i="1"/>
  <c r="X401" i="1"/>
  <c r="W401" i="1"/>
  <c r="U401" i="1"/>
  <c r="R401" i="1"/>
  <c r="N401" i="1"/>
  <c r="O401" i="1" s="1"/>
  <c r="L401" i="1"/>
  <c r="I401" i="1"/>
  <c r="H401" i="1"/>
  <c r="F401" i="1"/>
  <c r="C401" i="1"/>
  <c r="AC400" i="1"/>
  <c r="AD400" i="1" s="1"/>
  <c r="AA400" i="1"/>
  <c r="W400" i="1"/>
  <c r="X400" i="1" s="1"/>
  <c r="U400" i="1"/>
  <c r="R400" i="1"/>
  <c r="O400" i="1"/>
  <c r="N400" i="1"/>
  <c r="L400" i="1"/>
  <c r="I400" i="1"/>
  <c r="H400" i="1"/>
  <c r="F400" i="1"/>
  <c r="C400" i="1"/>
  <c r="AD399" i="1"/>
  <c r="AC399" i="1"/>
  <c r="AA399" i="1"/>
  <c r="W399" i="1"/>
  <c r="X399" i="1" s="1"/>
  <c r="U399" i="1"/>
  <c r="R399" i="1"/>
  <c r="O399" i="1"/>
  <c r="N399" i="1"/>
  <c r="L399" i="1"/>
  <c r="I399" i="1"/>
  <c r="H399" i="1"/>
  <c r="F399" i="1"/>
  <c r="C399" i="1"/>
  <c r="AC398" i="1"/>
  <c r="AD398" i="1" s="1"/>
  <c r="AA398" i="1"/>
  <c r="X398" i="1"/>
  <c r="W398" i="1"/>
  <c r="U398" i="1"/>
  <c r="R398" i="1"/>
  <c r="N398" i="1"/>
  <c r="O398" i="1" s="1"/>
  <c r="L398" i="1"/>
  <c r="I398" i="1"/>
  <c r="H398" i="1"/>
  <c r="F398" i="1"/>
  <c r="C398" i="1"/>
  <c r="AD397" i="1"/>
  <c r="AC397" i="1"/>
  <c r="AA397" i="1"/>
  <c r="W397" i="1"/>
  <c r="X397" i="1" s="1"/>
  <c r="U397" i="1"/>
  <c r="R397" i="1"/>
  <c r="N397" i="1"/>
  <c r="O397" i="1" s="1"/>
  <c r="L397" i="1"/>
  <c r="H397" i="1"/>
  <c r="I397" i="1" s="1"/>
  <c r="F397" i="1"/>
  <c r="C397" i="1"/>
  <c r="AA396" i="1"/>
  <c r="Z396" i="1"/>
  <c r="T396" i="1"/>
  <c r="U396" i="1" s="1"/>
  <c r="Q396" i="1"/>
  <c r="R396" i="1" s="1"/>
  <c r="L396" i="1"/>
  <c r="K396" i="1"/>
  <c r="I396" i="1"/>
  <c r="H396" i="1"/>
  <c r="E396" i="1"/>
  <c r="F396" i="1" s="1"/>
  <c r="C396" i="1"/>
  <c r="B396" i="1"/>
  <c r="AC395" i="1"/>
  <c r="AD395" i="1" s="1"/>
  <c r="AA395" i="1"/>
  <c r="X395" i="1"/>
  <c r="W395" i="1"/>
  <c r="U395" i="1"/>
  <c r="R395" i="1"/>
  <c r="N395" i="1"/>
  <c r="O395" i="1" s="1"/>
  <c r="L395" i="1"/>
  <c r="I395" i="1"/>
  <c r="H395" i="1"/>
  <c r="F395" i="1"/>
  <c r="C395" i="1"/>
  <c r="AD394" i="1"/>
  <c r="AC394" i="1"/>
  <c r="AA394" i="1"/>
  <c r="W394" i="1"/>
  <c r="X394" i="1" s="1"/>
  <c r="U394" i="1"/>
  <c r="R394" i="1"/>
  <c r="N394" i="1"/>
  <c r="O394" i="1" s="1"/>
  <c r="L394" i="1"/>
  <c r="H394" i="1"/>
  <c r="I394" i="1" s="1"/>
  <c r="F394" i="1"/>
  <c r="C394" i="1"/>
  <c r="AA393" i="1"/>
  <c r="Z393" i="1"/>
  <c r="T393" i="1"/>
  <c r="U393" i="1" s="1"/>
  <c r="Q393" i="1"/>
  <c r="R393" i="1" s="1"/>
  <c r="L393" i="1"/>
  <c r="K393" i="1"/>
  <c r="I393" i="1"/>
  <c r="H393" i="1"/>
  <c r="E393" i="1"/>
  <c r="F393" i="1" s="1"/>
  <c r="C393" i="1"/>
  <c r="B393" i="1"/>
  <c r="AC392" i="1"/>
  <c r="AD392" i="1" s="1"/>
  <c r="AA392" i="1"/>
  <c r="X392" i="1"/>
  <c r="W392" i="1"/>
  <c r="U392" i="1"/>
  <c r="R392" i="1"/>
  <c r="N392" i="1"/>
  <c r="O392" i="1" s="1"/>
  <c r="L392" i="1"/>
  <c r="I392" i="1"/>
  <c r="H392" i="1"/>
  <c r="F392" i="1"/>
  <c r="C392" i="1"/>
  <c r="AD391" i="1"/>
  <c r="AC391" i="1"/>
  <c r="AA391" i="1"/>
  <c r="W391" i="1"/>
  <c r="X391" i="1" s="1"/>
  <c r="U391" i="1"/>
  <c r="R391" i="1"/>
  <c r="N391" i="1"/>
  <c r="O391" i="1" s="1"/>
  <c r="L391" i="1"/>
  <c r="H391" i="1"/>
  <c r="I391" i="1" s="1"/>
  <c r="F391" i="1"/>
  <c r="C391" i="1"/>
  <c r="AC390" i="1"/>
  <c r="AD390" i="1" s="1"/>
  <c r="AA390" i="1"/>
  <c r="W390" i="1"/>
  <c r="X390" i="1" s="1"/>
  <c r="U390" i="1"/>
  <c r="R390" i="1"/>
  <c r="O390" i="1"/>
  <c r="N390" i="1"/>
  <c r="L390" i="1"/>
  <c r="I390" i="1"/>
  <c r="H390" i="1"/>
  <c r="F390" i="1"/>
  <c r="C390" i="1"/>
  <c r="AC389" i="1"/>
  <c r="AD389" i="1" s="1"/>
  <c r="AA389" i="1"/>
  <c r="W389" i="1"/>
  <c r="X389" i="1" s="1"/>
  <c r="U389" i="1"/>
  <c r="R389" i="1"/>
  <c r="N389" i="1"/>
  <c r="O389" i="1" s="1"/>
  <c r="L389" i="1"/>
  <c r="H389" i="1"/>
  <c r="I389" i="1" s="1"/>
  <c r="F389" i="1"/>
  <c r="C389" i="1"/>
  <c r="AC388" i="1"/>
  <c r="AD388" i="1" s="1"/>
  <c r="AA388" i="1"/>
  <c r="X388" i="1"/>
  <c r="W388" i="1"/>
  <c r="U388" i="1"/>
  <c r="R388" i="1"/>
  <c r="N388" i="1"/>
  <c r="O388" i="1" s="1"/>
  <c r="L388" i="1"/>
  <c r="I388" i="1"/>
  <c r="H388" i="1"/>
  <c r="F388" i="1"/>
  <c r="C388" i="1"/>
  <c r="AD386" i="1"/>
  <c r="AC386" i="1"/>
  <c r="AA386" i="1"/>
  <c r="W386" i="1"/>
  <c r="X386" i="1" s="1"/>
  <c r="U386" i="1"/>
  <c r="R386" i="1"/>
  <c r="N386" i="1"/>
  <c r="O386" i="1" s="1"/>
  <c r="L386" i="1"/>
  <c r="H386" i="1"/>
  <c r="I386" i="1" s="1"/>
  <c r="F386" i="1"/>
  <c r="C386" i="1"/>
  <c r="AC385" i="1"/>
  <c r="AD385" i="1" s="1"/>
  <c r="AA385" i="1"/>
  <c r="W385" i="1"/>
  <c r="X385" i="1" s="1"/>
  <c r="U385" i="1"/>
  <c r="R385" i="1"/>
  <c r="O385" i="1"/>
  <c r="N385" i="1"/>
  <c r="L385" i="1"/>
  <c r="I385" i="1"/>
  <c r="H385" i="1"/>
  <c r="F385" i="1"/>
  <c r="C385" i="1"/>
  <c r="AC383" i="1"/>
  <c r="AD383" i="1" s="1"/>
  <c r="AA383" i="1"/>
  <c r="W383" i="1"/>
  <c r="X383" i="1" s="1"/>
  <c r="U383" i="1"/>
  <c r="R383" i="1"/>
  <c r="N383" i="1"/>
  <c r="O383" i="1" s="1"/>
  <c r="L383" i="1"/>
  <c r="H383" i="1"/>
  <c r="I383" i="1" s="1"/>
  <c r="F383" i="1"/>
  <c r="C383" i="1"/>
  <c r="AC382" i="1"/>
  <c r="AD382" i="1" s="1"/>
  <c r="AA382" i="1"/>
  <c r="X382" i="1"/>
  <c r="W382" i="1"/>
  <c r="U382" i="1"/>
  <c r="R382" i="1"/>
  <c r="N382" i="1"/>
  <c r="O382" i="1" s="1"/>
  <c r="L382" i="1"/>
  <c r="I382" i="1"/>
  <c r="H382" i="1"/>
  <c r="F382" i="1"/>
  <c r="C382" i="1"/>
  <c r="AD381" i="1"/>
  <c r="AC381" i="1"/>
  <c r="AA381" i="1"/>
  <c r="W381" i="1"/>
  <c r="X381" i="1" s="1"/>
  <c r="U381" i="1"/>
  <c r="R381" i="1"/>
  <c r="N381" i="1"/>
  <c r="O381" i="1" s="1"/>
  <c r="L381" i="1"/>
  <c r="I381" i="1"/>
  <c r="H381" i="1"/>
  <c r="F381" i="1"/>
  <c r="C381" i="1"/>
  <c r="AC380" i="1"/>
  <c r="AD380" i="1" s="1"/>
  <c r="AA380" i="1"/>
  <c r="W380" i="1"/>
  <c r="X380" i="1" s="1"/>
  <c r="U380" i="1"/>
  <c r="R380" i="1"/>
  <c r="O380" i="1"/>
  <c r="N380" i="1"/>
  <c r="L380" i="1"/>
  <c r="I380" i="1"/>
  <c r="H380" i="1"/>
  <c r="F380" i="1"/>
  <c r="C380" i="1"/>
  <c r="AD379" i="1"/>
  <c r="AC379" i="1"/>
  <c r="AA379" i="1"/>
  <c r="W379" i="1"/>
  <c r="X379" i="1" s="1"/>
  <c r="U379" i="1"/>
  <c r="R379" i="1"/>
  <c r="N379" i="1"/>
  <c r="O379" i="1" s="1"/>
  <c r="L379" i="1"/>
  <c r="H379" i="1"/>
  <c r="I379" i="1" s="1"/>
  <c r="F379" i="1"/>
  <c r="C379" i="1"/>
  <c r="AC378" i="1"/>
  <c r="AD378" i="1" s="1"/>
  <c r="AA378" i="1"/>
  <c r="X378" i="1"/>
  <c r="W378" i="1"/>
  <c r="U378" i="1"/>
  <c r="R378" i="1"/>
  <c r="N378" i="1"/>
  <c r="O378" i="1" s="1"/>
  <c r="L378" i="1"/>
  <c r="H378" i="1"/>
  <c r="I378" i="1" s="1"/>
  <c r="F378" i="1"/>
  <c r="C378" i="1"/>
  <c r="AD377" i="1"/>
  <c r="AC377" i="1"/>
  <c r="AA377" i="1"/>
  <c r="W377" i="1"/>
  <c r="X377" i="1" s="1"/>
  <c r="U377" i="1"/>
  <c r="R377" i="1"/>
  <c r="N377" i="1"/>
  <c r="O377" i="1" s="1"/>
  <c r="L377" i="1"/>
  <c r="H377" i="1"/>
  <c r="I377" i="1" s="1"/>
  <c r="F377" i="1"/>
  <c r="C377" i="1"/>
  <c r="AC376" i="1"/>
  <c r="AD376" i="1" s="1"/>
  <c r="AA376" i="1"/>
  <c r="W376" i="1"/>
  <c r="X376" i="1" s="1"/>
  <c r="U376" i="1"/>
  <c r="R376" i="1"/>
  <c r="O376" i="1"/>
  <c r="N376" i="1"/>
  <c r="L376" i="1"/>
  <c r="I376" i="1"/>
  <c r="H376" i="1"/>
  <c r="F376" i="1"/>
  <c r="C376" i="1"/>
  <c r="AC375" i="1"/>
  <c r="AD375" i="1" s="1"/>
  <c r="AA375" i="1"/>
  <c r="W375" i="1"/>
  <c r="X375" i="1" s="1"/>
  <c r="U375" i="1"/>
  <c r="R375" i="1"/>
  <c r="N375" i="1"/>
  <c r="O375" i="1" s="1"/>
  <c r="L375" i="1"/>
  <c r="H375" i="1"/>
  <c r="I375" i="1" s="1"/>
  <c r="F375" i="1"/>
  <c r="C375" i="1"/>
  <c r="AC374" i="1"/>
  <c r="AD374" i="1" s="1"/>
  <c r="AA374" i="1"/>
  <c r="X374" i="1"/>
  <c r="W374" i="1"/>
  <c r="U374" i="1"/>
  <c r="R374" i="1"/>
  <c r="N374" i="1"/>
  <c r="O374" i="1" s="1"/>
  <c r="L374" i="1"/>
  <c r="I374" i="1"/>
  <c r="H374" i="1"/>
  <c r="F374" i="1"/>
  <c r="C374" i="1"/>
  <c r="AD373" i="1"/>
  <c r="AC373" i="1"/>
  <c r="AA373" i="1"/>
  <c r="W373" i="1"/>
  <c r="X373" i="1" s="1"/>
  <c r="U373" i="1"/>
  <c r="R373" i="1"/>
  <c r="N373" i="1"/>
  <c r="O373" i="1" s="1"/>
  <c r="L373" i="1"/>
  <c r="H373" i="1"/>
  <c r="I373" i="1" s="1"/>
  <c r="F373" i="1"/>
  <c r="C373" i="1"/>
  <c r="AC372" i="1"/>
  <c r="AD372" i="1" s="1"/>
  <c r="AA372" i="1"/>
  <c r="W372" i="1"/>
  <c r="X372" i="1" s="1"/>
  <c r="U372" i="1"/>
  <c r="R372" i="1"/>
  <c r="O372" i="1"/>
  <c r="N372" i="1"/>
  <c r="L372" i="1"/>
  <c r="I372" i="1"/>
  <c r="H372" i="1"/>
  <c r="F372" i="1"/>
  <c r="C372" i="1"/>
  <c r="AC371" i="1"/>
  <c r="AD371" i="1" s="1"/>
  <c r="AA371" i="1"/>
  <c r="W371" i="1"/>
  <c r="X371" i="1" s="1"/>
  <c r="U371" i="1"/>
  <c r="R371" i="1"/>
  <c r="N371" i="1"/>
  <c r="O371" i="1" s="1"/>
  <c r="L371" i="1"/>
  <c r="H371" i="1"/>
  <c r="I371" i="1" s="1"/>
  <c r="F371" i="1"/>
  <c r="C371" i="1"/>
  <c r="AC370" i="1"/>
  <c r="AD370" i="1" s="1"/>
  <c r="AA370" i="1"/>
  <c r="X370" i="1"/>
  <c r="W370" i="1"/>
  <c r="U370" i="1"/>
  <c r="R370" i="1"/>
  <c r="N370" i="1"/>
  <c r="O370" i="1" s="1"/>
  <c r="L370" i="1"/>
  <c r="I370" i="1"/>
  <c r="H370" i="1"/>
  <c r="F370" i="1"/>
  <c r="C370" i="1"/>
  <c r="AD369" i="1"/>
  <c r="AC369" i="1"/>
  <c r="AA369" i="1"/>
  <c r="W369" i="1"/>
  <c r="X369" i="1" s="1"/>
  <c r="U369" i="1"/>
  <c r="R369" i="1"/>
  <c r="N369" i="1"/>
  <c r="O369" i="1" s="1"/>
  <c r="L369" i="1"/>
  <c r="H369" i="1"/>
  <c r="I369" i="1" s="1"/>
  <c r="F369" i="1"/>
  <c r="C369" i="1"/>
  <c r="AA368" i="1"/>
  <c r="Z368" i="1"/>
  <c r="T368" i="1"/>
  <c r="Q368" i="1"/>
  <c r="R368" i="1" s="1"/>
  <c r="L368" i="1"/>
  <c r="K368" i="1"/>
  <c r="I368" i="1"/>
  <c r="H368" i="1"/>
  <c r="E368" i="1"/>
  <c r="F368" i="1" s="1"/>
  <c r="C368" i="1"/>
  <c r="B368" i="1"/>
  <c r="N368" i="1" s="1"/>
  <c r="O368" i="1" s="1"/>
  <c r="AD367" i="1"/>
  <c r="AC367" i="1"/>
  <c r="AA367" i="1"/>
  <c r="X367" i="1"/>
  <c r="W367" i="1"/>
  <c r="U367" i="1"/>
  <c r="R367" i="1"/>
  <c r="N367" i="1"/>
  <c r="O367" i="1" s="1"/>
  <c r="L367" i="1"/>
  <c r="I367" i="1"/>
  <c r="H367" i="1"/>
  <c r="F367" i="1"/>
  <c r="C367" i="1"/>
  <c r="AD366" i="1"/>
  <c r="AC366" i="1"/>
  <c r="AA366" i="1"/>
  <c r="X366" i="1"/>
  <c r="W366" i="1"/>
  <c r="U366" i="1"/>
  <c r="R366" i="1"/>
  <c r="N366" i="1"/>
  <c r="O366" i="1" s="1"/>
  <c r="L366" i="1"/>
  <c r="H366" i="1"/>
  <c r="I366" i="1" s="1"/>
  <c r="F366" i="1"/>
  <c r="C366" i="1"/>
  <c r="AC365" i="1"/>
  <c r="AD365" i="1" s="1"/>
  <c r="AA365" i="1"/>
  <c r="W365" i="1"/>
  <c r="X365" i="1" s="1"/>
  <c r="U365" i="1"/>
  <c r="R365" i="1"/>
  <c r="O365" i="1"/>
  <c r="N365" i="1"/>
  <c r="L365" i="1"/>
  <c r="I365" i="1"/>
  <c r="H365" i="1"/>
  <c r="F365" i="1"/>
  <c r="C365" i="1"/>
  <c r="AC364" i="1"/>
  <c r="AD364" i="1" s="1"/>
  <c r="AA364" i="1"/>
  <c r="W364" i="1"/>
  <c r="X364" i="1" s="1"/>
  <c r="U364" i="1"/>
  <c r="R364" i="1"/>
  <c r="N364" i="1"/>
  <c r="O364" i="1" s="1"/>
  <c r="L364" i="1"/>
  <c r="H364" i="1"/>
  <c r="I364" i="1" s="1"/>
  <c r="F364" i="1"/>
  <c r="C364" i="1"/>
  <c r="AC363" i="1"/>
  <c r="AD363" i="1" s="1"/>
  <c r="AA363" i="1"/>
  <c r="X363" i="1"/>
  <c r="W363" i="1"/>
  <c r="U363" i="1"/>
  <c r="R363" i="1"/>
  <c r="N363" i="1"/>
  <c r="O363" i="1" s="1"/>
  <c r="L363" i="1"/>
  <c r="I363" i="1"/>
  <c r="H363" i="1"/>
  <c r="F363" i="1"/>
  <c r="C363" i="1"/>
  <c r="AD362" i="1"/>
  <c r="AC362" i="1"/>
  <c r="AA362" i="1"/>
  <c r="W362" i="1"/>
  <c r="X362" i="1" s="1"/>
  <c r="U362" i="1"/>
  <c r="R362" i="1"/>
  <c r="N362" i="1"/>
  <c r="O362" i="1" s="1"/>
  <c r="L362" i="1"/>
  <c r="I362" i="1"/>
  <c r="H362" i="1"/>
  <c r="F362" i="1"/>
  <c r="C362" i="1"/>
  <c r="AD361" i="1"/>
  <c r="AC361" i="1"/>
  <c r="AA361" i="1"/>
  <c r="W361" i="1"/>
  <c r="X361" i="1" s="1"/>
  <c r="U361" i="1"/>
  <c r="R361" i="1"/>
  <c r="O361" i="1"/>
  <c r="N361" i="1"/>
  <c r="L361" i="1"/>
  <c r="I361" i="1"/>
  <c r="H361" i="1"/>
  <c r="F361" i="1"/>
  <c r="C361" i="1"/>
  <c r="AD360" i="1"/>
  <c r="AC360" i="1"/>
  <c r="AA360" i="1"/>
  <c r="W360" i="1"/>
  <c r="X360" i="1" s="1"/>
  <c r="U360" i="1"/>
  <c r="R360" i="1"/>
  <c r="N360" i="1"/>
  <c r="O360" i="1" s="1"/>
  <c r="L360" i="1"/>
  <c r="I360" i="1"/>
  <c r="H360" i="1"/>
  <c r="F360" i="1"/>
  <c r="C360" i="1"/>
  <c r="Z358" i="1"/>
  <c r="AC358" i="1" s="1"/>
  <c r="AD358" i="1" s="1"/>
  <c r="U358" i="1"/>
  <c r="T358" i="1"/>
  <c r="Q358" i="1"/>
  <c r="W358" i="1" s="1"/>
  <c r="X358" i="1" s="1"/>
  <c r="N358" i="1"/>
  <c r="O358" i="1" s="1"/>
  <c r="L358" i="1"/>
  <c r="K358" i="1"/>
  <c r="E358" i="1"/>
  <c r="F358" i="1" s="1"/>
  <c r="B358" i="1"/>
  <c r="H358" i="1" s="1"/>
  <c r="I358" i="1" s="1"/>
  <c r="AC357" i="1"/>
  <c r="AD357" i="1" s="1"/>
  <c r="AA357" i="1"/>
  <c r="W357" i="1"/>
  <c r="X357" i="1" s="1"/>
  <c r="U357" i="1"/>
  <c r="R357" i="1"/>
  <c r="O357" i="1"/>
  <c r="N357" i="1"/>
  <c r="L357" i="1"/>
  <c r="I357" i="1"/>
  <c r="H357" i="1"/>
  <c r="F357" i="1"/>
  <c r="C357" i="1"/>
  <c r="AC356" i="1"/>
  <c r="AD356" i="1" s="1"/>
  <c r="AA356" i="1"/>
  <c r="W356" i="1"/>
  <c r="X356" i="1" s="1"/>
  <c r="U356" i="1"/>
  <c r="R356" i="1"/>
  <c r="N356" i="1"/>
  <c r="O356" i="1" s="1"/>
  <c r="L356" i="1"/>
  <c r="H356" i="1"/>
  <c r="I356" i="1" s="1"/>
  <c r="F356" i="1"/>
  <c r="C356" i="1"/>
  <c r="AC355" i="1"/>
  <c r="AD355" i="1" s="1"/>
  <c r="AA355" i="1"/>
  <c r="X355" i="1"/>
  <c r="W355" i="1"/>
  <c r="U355" i="1"/>
  <c r="R355" i="1"/>
  <c r="N355" i="1"/>
  <c r="O355" i="1" s="1"/>
  <c r="L355" i="1"/>
  <c r="I355" i="1"/>
  <c r="H355" i="1"/>
  <c r="F355" i="1"/>
  <c r="C355" i="1"/>
  <c r="AD354" i="1"/>
  <c r="AC354" i="1"/>
  <c r="AA354" i="1"/>
  <c r="W354" i="1"/>
  <c r="X354" i="1" s="1"/>
  <c r="U354" i="1"/>
  <c r="R354" i="1"/>
  <c r="N354" i="1"/>
  <c r="O354" i="1" s="1"/>
  <c r="L354" i="1"/>
  <c r="H354" i="1"/>
  <c r="I354" i="1" s="1"/>
  <c r="F354" i="1"/>
  <c r="C354" i="1"/>
  <c r="AC353" i="1"/>
  <c r="AD353" i="1" s="1"/>
  <c r="AA353" i="1"/>
  <c r="W353" i="1"/>
  <c r="X353" i="1" s="1"/>
  <c r="U353" i="1"/>
  <c r="R353" i="1"/>
  <c r="O353" i="1"/>
  <c r="N353" i="1"/>
  <c r="L353" i="1"/>
  <c r="I353" i="1"/>
  <c r="H353" i="1"/>
  <c r="F353" i="1"/>
  <c r="C353" i="1"/>
  <c r="AC352" i="1"/>
  <c r="AD352" i="1" s="1"/>
  <c r="AA352" i="1"/>
  <c r="W352" i="1"/>
  <c r="X352" i="1" s="1"/>
  <c r="U352" i="1"/>
  <c r="R352" i="1"/>
  <c r="N352" i="1"/>
  <c r="O352" i="1" s="1"/>
  <c r="L352" i="1"/>
  <c r="H352" i="1"/>
  <c r="I352" i="1" s="1"/>
  <c r="F352" i="1"/>
  <c r="C352" i="1"/>
  <c r="AD351" i="1"/>
  <c r="AC351" i="1"/>
  <c r="AA351" i="1"/>
  <c r="X351" i="1"/>
  <c r="W351" i="1"/>
  <c r="U351" i="1"/>
  <c r="R351" i="1"/>
  <c r="N351" i="1"/>
  <c r="O351" i="1" s="1"/>
  <c r="L351" i="1"/>
  <c r="I351" i="1"/>
  <c r="H351" i="1"/>
  <c r="F351" i="1"/>
  <c r="C351" i="1"/>
  <c r="AD350" i="1"/>
  <c r="AC350" i="1"/>
  <c r="AA350" i="1"/>
  <c r="X350" i="1"/>
  <c r="W350" i="1"/>
  <c r="U350" i="1"/>
  <c r="R350" i="1"/>
  <c r="N350" i="1"/>
  <c r="O350" i="1" s="1"/>
  <c r="L350" i="1"/>
  <c r="H350" i="1"/>
  <c r="I350" i="1" s="1"/>
  <c r="F350" i="1"/>
  <c r="C350" i="1"/>
  <c r="AC349" i="1"/>
  <c r="AD349" i="1" s="1"/>
  <c r="AA349" i="1"/>
  <c r="W349" i="1"/>
  <c r="X349" i="1" s="1"/>
  <c r="U349" i="1"/>
  <c r="R349" i="1"/>
  <c r="O349" i="1"/>
  <c r="N349" i="1"/>
  <c r="L349" i="1"/>
  <c r="I349" i="1"/>
  <c r="H349" i="1"/>
  <c r="F349" i="1"/>
  <c r="C349" i="1"/>
  <c r="AC347" i="1"/>
  <c r="AD347" i="1" s="1"/>
  <c r="AA347" i="1"/>
  <c r="W347" i="1"/>
  <c r="X347" i="1" s="1"/>
  <c r="U347" i="1"/>
  <c r="R347" i="1"/>
  <c r="N347" i="1"/>
  <c r="O347" i="1" s="1"/>
  <c r="L347" i="1"/>
  <c r="H347" i="1"/>
  <c r="I347" i="1" s="1"/>
  <c r="F347" i="1"/>
  <c r="C347" i="1"/>
  <c r="AA344" i="1"/>
  <c r="Z344" i="1"/>
  <c r="W344" i="1"/>
  <c r="X344" i="1" s="1"/>
  <c r="T344" i="1"/>
  <c r="U344" i="1" s="1"/>
  <c r="Q344" i="1"/>
  <c r="R344" i="1" s="1"/>
  <c r="K344" i="1"/>
  <c r="L344" i="1" s="1"/>
  <c r="H344" i="1"/>
  <c r="I344" i="1" s="1"/>
  <c r="E344" i="1"/>
  <c r="F344" i="1" s="1"/>
  <c r="C344" i="1"/>
  <c r="B344" i="1"/>
  <c r="Z343" i="1"/>
  <c r="U343" i="1"/>
  <c r="T343" i="1"/>
  <c r="Q343" i="1"/>
  <c r="W343" i="1" s="1"/>
  <c r="X343" i="1" s="1"/>
  <c r="N343" i="1"/>
  <c r="O343" i="1" s="1"/>
  <c r="K343" i="1"/>
  <c r="L343" i="1" s="1"/>
  <c r="E343" i="1"/>
  <c r="F343" i="1" s="1"/>
  <c r="C343" i="1"/>
  <c r="B343" i="1"/>
  <c r="AA342" i="1"/>
  <c r="Z342" i="1"/>
  <c r="T342" i="1"/>
  <c r="W342" i="1" s="1"/>
  <c r="X342" i="1" s="1"/>
  <c r="Q342" i="1"/>
  <c r="R342" i="1" s="1"/>
  <c r="L342" i="1"/>
  <c r="K342" i="1"/>
  <c r="H342" i="1"/>
  <c r="I342" i="1" s="1"/>
  <c r="E342" i="1"/>
  <c r="F342" i="1" s="1"/>
  <c r="C342" i="1"/>
  <c r="B342" i="1"/>
  <c r="N342" i="1" s="1"/>
  <c r="O342" i="1" s="1"/>
  <c r="AD341" i="1"/>
  <c r="AC341" i="1"/>
  <c r="AA341" i="1"/>
  <c r="X341" i="1"/>
  <c r="W341" i="1"/>
  <c r="U341" i="1"/>
  <c r="R341" i="1"/>
  <c r="N341" i="1"/>
  <c r="O341" i="1" s="1"/>
  <c r="L341" i="1"/>
  <c r="I341" i="1"/>
  <c r="H341" i="1"/>
  <c r="F341" i="1"/>
  <c r="C341" i="1"/>
  <c r="AD340" i="1"/>
  <c r="AC340" i="1"/>
  <c r="AA340" i="1"/>
  <c r="X340" i="1"/>
  <c r="W340" i="1"/>
  <c r="U340" i="1"/>
  <c r="R340" i="1"/>
  <c r="N340" i="1"/>
  <c r="O340" i="1" s="1"/>
  <c r="L340" i="1"/>
  <c r="H340" i="1"/>
  <c r="I340" i="1" s="1"/>
  <c r="F340" i="1"/>
  <c r="C340" i="1"/>
  <c r="AC339" i="1"/>
  <c r="AD339" i="1" s="1"/>
  <c r="AA339" i="1"/>
  <c r="W339" i="1"/>
  <c r="X339" i="1" s="1"/>
  <c r="U339" i="1"/>
  <c r="R339" i="1"/>
  <c r="O339" i="1"/>
  <c r="N339" i="1"/>
  <c r="L339" i="1"/>
  <c r="I339" i="1"/>
  <c r="H339" i="1"/>
  <c r="F339" i="1"/>
  <c r="C339" i="1"/>
  <c r="AC338" i="1"/>
  <c r="AD338" i="1" s="1"/>
  <c r="AA338" i="1"/>
  <c r="W338" i="1"/>
  <c r="X338" i="1" s="1"/>
  <c r="U338" i="1"/>
  <c r="R338" i="1"/>
  <c r="N338" i="1"/>
  <c r="O338" i="1" s="1"/>
  <c r="L338" i="1"/>
  <c r="H338" i="1"/>
  <c r="I338" i="1" s="1"/>
  <c r="F338" i="1"/>
  <c r="C338" i="1"/>
  <c r="AC337" i="1"/>
  <c r="AD337" i="1" s="1"/>
  <c r="AA337" i="1"/>
  <c r="X337" i="1"/>
  <c r="W337" i="1"/>
  <c r="U337" i="1"/>
  <c r="R337" i="1"/>
  <c r="N337" i="1"/>
  <c r="O337" i="1" s="1"/>
  <c r="L337" i="1"/>
  <c r="H337" i="1"/>
  <c r="I337" i="1" s="1"/>
  <c r="F337" i="1"/>
  <c r="C337" i="1"/>
  <c r="AD335" i="1"/>
  <c r="AC335" i="1"/>
  <c r="AA335" i="1"/>
  <c r="W335" i="1"/>
  <c r="X335" i="1" s="1"/>
  <c r="U335" i="1"/>
  <c r="R335" i="1"/>
  <c r="N335" i="1"/>
  <c r="O335" i="1" s="1"/>
  <c r="L335" i="1"/>
  <c r="I335" i="1"/>
  <c r="H335" i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I334" i="1"/>
  <c r="H334" i="1"/>
  <c r="F334" i="1"/>
  <c r="C334" i="1"/>
  <c r="AD333" i="1"/>
  <c r="AC333" i="1"/>
  <c r="AA333" i="1"/>
  <c r="W333" i="1"/>
  <c r="X333" i="1" s="1"/>
  <c r="U333" i="1"/>
  <c r="R333" i="1"/>
  <c r="N333" i="1"/>
  <c r="O333" i="1" s="1"/>
  <c r="L333" i="1"/>
  <c r="H333" i="1"/>
  <c r="I333" i="1" s="1"/>
  <c r="F333" i="1"/>
  <c r="C333" i="1"/>
  <c r="AD332" i="1"/>
  <c r="AC332" i="1"/>
  <c r="AA332" i="1"/>
  <c r="X332" i="1"/>
  <c r="W332" i="1"/>
  <c r="U332" i="1"/>
  <c r="R332" i="1"/>
  <c r="N332" i="1"/>
  <c r="O332" i="1" s="1"/>
  <c r="L332" i="1"/>
  <c r="H332" i="1"/>
  <c r="I332" i="1" s="1"/>
  <c r="F332" i="1"/>
  <c r="C332" i="1"/>
  <c r="AD331" i="1"/>
  <c r="AC331" i="1"/>
  <c r="AA331" i="1"/>
  <c r="X331" i="1"/>
  <c r="W331" i="1"/>
  <c r="U331" i="1"/>
  <c r="R331" i="1"/>
  <c r="N331" i="1"/>
  <c r="O331" i="1" s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O330" i="1"/>
  <c r="N330" i="1"/>
  <c r="L330" i="1"/>
  <c r="I330" i="1"/>
  <c r="H330" i="1"/>
  <c r="F330" i="1"/>
  <c r="C330" i="1"/>
  <c r="AC329" i="1"/>
  <c r="AD329" i="1" s="1"/>
  <c r="AA329" i="1"/>
  <c r="W329" i="1"/>
  <c r="X329" i="1" s="1"/>
  <c r="U329" i="1"/>
  <c r="R329" i="1"/>
  <c r="O329" i="1"/>
  <c r="N329" i="1"/>
  <c r="L329" i="1"/>
  <c r="H329" i="1"/>
  <c r="I329" i="1" s="1"/>
  <c r="F329" i="1"/>
  <c r="C329" i="1"/>
  <c r="AD328" i="1"/>
  <c r="AC328" i="1"/>
  <c r="AA328" i="1"/>
  <c r="X328" i="1"/>
  <c r="W328" i="1"/>
  <c r="U328" i="1"/>
  <c r="R328" i="1"/>
  <c r="N328" i="1"/>
  <c r="O328" i="1" s="1"/>
  <c r="L328" i="1"/>
  <c r="H328" i="1"/>
  <c r="I328" i="1" s="1"/>
  <c r="F328" i="1"/>
  <c r="C328" i="1"/>
  <c r="AA325" i="1"/>
  <c r="Z325" i="1"/>
  <c r="W325" i="1"/>
  <c r="X325" i="1" s="1"/>
  <c r="T325" i="1"/>
  <c r="U325" i="1" s="1"/>
  <c r="R325" i="1"/>
  <c r="Q325" i="1"/>
  <c r="N325" i="1"/>
  <c r="O325" i="1" s="1"/>
  <c r="L325" i="1"/>
  <c r="K325" i="1"/>
  <c r="F325" i="1"/>
  <c r="E325" i="1"/>
  <c r="C325" i="1"/>
  <c r="B325" i="1"/>
  <c r="H325" i="1" s="1"/>
  <c r="I325" i="1" s="1"/>
  <c r="AC324" i="1"/>
  <c r="AD324" i="1" s="1"/>
  <c r="Z324" i="1"/>
  <c r="AA324" i="1" s="1"/>
  <c r="T324" i="1"/>
  <c r="U324" i="1" s="1"/>
  <c r="R324" i="1"/>
  <c r="Q324" i="1"/>
  <c r="L324" i="1"/>
  <c r="K324" i="1"/>
  <c r="I324" i="1"/>
  <c r="H324" i="1"/>
  <c r="E324" i="1"/>
  <c r="F324" i="1" s="1"/>
  <c r="B324" i="1"/>
  <c r="C324" i="1" s="1"/>
  <c r="AD323" i="1"/>
  <c r="AC323" i="1"/>
  <c r="AA323" i="1"/>
  <c r="X323" i="1"/>
  <c r="W323" i="1"/>
  <c r="U323" i="1"/>
  <c r="R323" i="1"/>
  <c r="N323" i="1"/>
  <c r="O323" i="1" s="1"/>
  <c r="L323" i="1"/>
  <c r="H323" i="1"/>
  <c r="I323" i="1" s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I322" i="1"/>
  <c r="H322" i="1"/>
  <c r="F322" i="1"/>
  <c r="C322" i="1"/>
  <c r="AC321" i="1"/>
  <c r="AD321" i="1" s="1"/>
  <c r="AA321" i="1"/>
  <c r="W321" i="1"/>
  <c r="X321" i="1" s="1"/>
  <c r="U321" i="1"/>
  <c r="R321" i="1"/>
  <c r="O321" i="1"/>
  <c r="N321" i="1"/>
  <c r="L321" i="1"/>
  <c r="H321" i="1"/>
  <c r="I321" i="1" s="1"/>
  <c r="F321" i="1"/>
  <c r="C321" i="1"/>
  <c r="AD320" i="1"/>
  <c r="AC320" i="1"/>
  <c r="AA320" i="1"/>
  <c r="X320" i="1"/>
  <c r="W320" i="1"/>
  <c r="U320" i="1"/>
  <c r="R320" i="1"/>
  <c r="N320" i="1"/>
  <c r="O320" i="1" s="1"/>
  <c r="L320" i="1"/>
  <c r="I320" i="1"/>
  <c r="H320" i="1"/>
  <c r="F320" i="1"/>
  <c r="C320" i="1"/>
  <c r="AD319" i="1"/>
  <c r="AC319" i="1"/>
  <c r="AA319" i="1"/>
  <c r="X319" i="1"/>
  <c r="W319" i="1"/>
  <c r="U319" i="1"/>
  <c r="R319" i="1"/>
  <c r="N319" i="1"/>
  <c r="O319" i="1" s="1"/>
  <c r="L319" i="1"/>
  <c r="H319" i="1"/>
  <c r="I319" i="1" s="1"/>
  <c r="F319" i="1"/>
  <c r="C319" i="1"/>
  <c r="AC318" i="1"/>
  <c r="AD318" i="1" s="1"/>
  <c r="AA318" i="1"/>
  <c r="W318" i="1"/>
  <c r="X318" i="1" s="1"/>
  <c r="U318" i="1"/>
  <c r="R318" i="1"/>
  <c r="O318" i="1"/>
  <c r="N318" i="1"/>
  <c r="L318" i="1"/>
  <c r="I318" i="1"/>
  <c r="H318" i="1"/>
  <c r="F318" i="1"/>
  <c r="C318" i="1"/>
  <c r="AC317" i="1"/>
  <c r="AD317" i="1" s="1"/>
  <c r="AA317" i="1"/>
  <c r="W317" i="1"/>
  <c r="X317" i="1" s="1"/>
  <c r="U317" i="1"/>
  <c r="R317" i="1"/>
  <c r="N317" i="1"/>
  <c r="O317" i="1" s="1"/>
  <c r="L317" i="1"/>
  <c r="H317" i="1"/>
  <c r="I317" i="1" s="1"/>
  <c r="F317" i="1"/>
  <c r="C317" i="1"/>
  <c r="AD316" i="1"/>
  <c r="AC316" i="1"/>
  <c r="AA316" i="1"/>
  <c r="X316" i="1"/>
  <c r="W316" i="1"/>
  <c r="U316" i="1"/>
  <c r="R316" i="1"/>
  <c r="N316" i="1"/>
  <c r="O316" i="1" s="1"/>
  <c r="L316" i="1"/>
  <c r="H316" i="1"/>
  <c r="I316" i="1" s="1"/>
  <c r="F316" i="1"/>
  <c r="C316" i="1"/>
  <c r="AD315" i="1"/>
  <c r="AC315" i="1"/>
  <c r="AA315" i="1"/>
  <c r="X315" i="1"/>
  <c r="W315" i="1"/>
  <c r="U315" i="1"/>
  <c r="R315" i="1"/>
  <c r="N315" i="1"/>
  <c r="O315" i="1" s="1"/>
  <c r="L315" i="1"/>
  <c r="H315" i="1"/>
  <c r="I315" i="1" s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I314" i="1"/>
  <c r="H314" i="1"/>
  <c r="F314" i="1"/>
  <c r="C314" i="1"/>
  <c r="AC313" i="1"/>
  <c r="AD313" i="1" s="1"/>
  <c r="AA313" i="1"/>
  <c r="W313" i="1"/>
  <c r="X313" i="1" s="1"/>
  <c r="U313" i="1"/>
  <c r="R313" i="1"/>
  <c r="O313" i="1"/>
  <c r="N313" i="1"/>
  <c r="L313" i="1"/>
  <c r="H313" i="1"/>
  <c r="I313" i="1" s="1"/>
  <c r="F313" i="1"/>
  <c r="C313" i="1"/>
  <c r="AC312" i="1"/>
  <c r="AD312" i="1" s="1"/>
  <c r="AA312" i="1"/>
  <c r="X312" i="1"/>
  <c r="W312" i="1"/>
  <c r="U312" i="1"/>
  <c r="R312" i="1"/>
  <c r="N312" i="1"/>
  <c r="O312" i="1" s="1"/>
  <c r="L312" i="1"/>
  <c r="H312" i="1"/>
  <c r="I312" i="1" s="1"/>
  <c r="F312" i="1"/>
  <c r="C312" i="1"/>
  <c r="AD311" i="1"/>
  <c r="AC311" i="1"/>
  <c r="AA311" i="1"/>
  <c r="W311" i="1"/>
  <c r="X311" i="1" s="1"/>
  <c r="U311" i="1"/>
  <c r="R311" i="1"/>
  <c r="N311" i="1"/>
  <c r="O311" i="1" s="1"/>
  <c r="L311" i="1"/>
  <c r="I311" i="1"/>
  <c r="H311" i="1"/>
  <c r="F311" i="1"/>
  <c r="C311" i="1"/>
  <c r="AC310" i="1"/>
  <c r="AD310" i="1" s="1"/>
  <c r="AA310" i="1"/>
  <c r="W310" i="1"/>
  <c r="X310" i="1" s="1"/>
  <c r="U310" i="1"/>
  <c r="R310" i="1"/>
  <c r="O310" i="1"/>
  <c r="N310" i="1"/>
  <c r="L310" i="1"/>
  <c r="I310" i="1"/>
  <c r="H310" i="1"/>
  <c r="F310" i="1"/>
  <c r="C310" i="1"/>
  <c r="AD309" i="1"/>
  <c r="AC309" i="1"/>
  <c r="AA309" i="1"/>
  <c r="W309" i="1"/>
  <c r="X309" i="1" s="1"/>
  <c r="U309" i="1"/>
  <c r="R309" i="1"/>
  <c r="O309" i="1"/>
  <c r="N309" i="1"/>
  <c r="L309" i="1"/>
  <c r="H309" i="1"/>
  <c r="I309" i="1" s="1"/>
  <c r="F309" i="1"/>
  <c r="C309" i="1"/>
  <c r="AC308" i="1"/>
  <c r="AD308" i="1" s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D307" i="1"/>
  <c r="AC307" i="1"/>
  <c r="AA307" i="1"/>
  <c r="W307" i="1"/>
  <c r="X307" i="1" s="1"/>
  <c r="U307" i="1"/>
  <c r="R307" i="1"/>
  <c r="N307" i="1"/>
  <c r="O307" i="1" s="1"/>
  <c r="L307" i="1"/>
  <c r="H307" i="1"/>
  <c r="I307" i="1" s="1"/>
  <c r="F307" i="1"/>
  <c r="C307" i="1"/>
  <c r="AC306" i="1"/>
  <c r="AD306" i="1" s="1"/>
  <c r="AA306" i="1"/>
  <c r="W306" i="1"/>
  <c r="X306" i="1" s="1"/>
  <c r="U306" i="1"/>
  <c r="R306" i="1"/>
  <c r="O306" i="1"/>
  <c r="N306" i="1"/>
  <c r="L306" i="1"/>
  <c r="I306" i="1"/>
  <c r="H306" i="1"/>
  <c r="F306" i="1"/>
  <c r="C306" i="1"/>
  <c r="AC305" i="1"/>
  <c r="AD305" i="1" s="1"/>
  <c r="AA305" i="1"/>
  <c r="W305" i="1"/>
  <c r="X305" i="1" s="1"/>
  <c r="U305" i="1"/>
  <c r="R305" i="1"/>
  <c r="O305" i="1"/>
  <c r="N305" i="1"/>
  <c r="L305" i="1"/>
  <c r="H305" i="1"/>
  <c r="I305" i="1" s="1"/>
  <c r="F305" i="1"/>
  <c r="C305" i="1"/>
  <c r="AC304" i="1"/>
  <c r="AD304" i="1" s="1"/>
  <c r="AA304" i="1"/>
  <c r="X304" i="1"/>
  <c r="W304" i="1"/>
  <c r="U304" i="1"/>
  <c r="R304" i="1"/>
  <c r="N304" i="1"/>
  <c r="O304" i="1" s="1"/>
  <c r="L304" i="1"/>
  <c r="I304" i="1"/>
  <c r="H304" i="1"/>
  <c r="F304" i="1"/>
  <c r="C304" i="1"/>
  <c r="AD303" i="1"/>
  <c r="AC303" i="1"/>
  <c r="AA303" i="1"/>
  <c r="W303" i="1"/>
  <c r="X303" i="1" s="1"/>
  <c r="U303" i="1"/>
  <c r="R303" i="1"/>
  <c r="N303" i="1"/>
  <c r="O303" i="1" s="1"/>
  <c r="L303" i="1"/>
  <c r="I303" i="1"/>
  <c r="H303" i="1"/>
  <c r="F303" i="1"/>
  <c r="C303" i="1"/>
  <c r="AC302" i="1"/>
  <c r="AD302" i="1" s="1"/>
  <c r="AA302" i="1"/>
  <c r="W302" i="1"/>
  <c r="X302" i="1" s="1"/>
  <c r="U302" i="1"/>
  <c r="R302" i="1"/>
  <c r="O302" i="1"/>
  <c r="N302" i="1"/>
  <c r="L302" i="1"/>
  <c r="I302" i="1"/>
  <c r="H302" i="1"/>
  <c r="F302" i="1"/>
  <c r="C302" i="1"/>
  <c r="AD301" i="1"/>
  <c r="AC301" i="1"/>
  <c r="AA301" i="1"/>
  <c r="W301" i="1"/>
  <c r="X301" i="1" s="1"/>
  <c r="U301" i="1"/>
  <c r="R301" i="1"/>
  <c r="N301" i="1"/>
  <c r="O301" i="1" s="1"/>
  <c r="L301" i="1"/>
  <c r="H301" i="1"/>
  <c r="I301" i="1" s="1"/>
  <c r="F301" i="1"/>
  <c r="C301" i="1"/>
  <c r="AD300" i="1"/>
  <c r="AC300" i="1"/>
  <c r="AA300" i="1"/>
  <c r="X300" i="1"/>
  <c r="W300" i="1"/>
  <c r="U300" i="1"/>
  <c r="R300" i="1"/>
  <c r="N300" i="1"/>
  <c r="O300" i="1" s="1"/>
  <c r="L300" i="1"/>
  <c r="H300" i="1"/>
  <c r="I300" i="1" s="1"/>
  <c r="F300" i="1"/>
  <c r="C300" i="1"/>
  <c r="AD299" i="1"/>
  <c r="AC299" i="1"/>
  <c r="AA299" i="1"/>
  <c r="X299" i="1"/>
  <c r="W299" i="1"/>
  <c r="U299" i="1"/>
  <c r="R299" i="1"/>
  <c r="N299" i="1"/>
  <c r="O299" i="1" s="1"/>
  <c r="L299" i="1"/>
  <c r="I299" i="1"/>
  <c r="H299" i="1"/>
  <c r="F299" i="1"/>
  <c r="C299" i="1"/>
  <c r="AC298" i="1"/>
  <c r="AD298" i="1" s="1"/>
  <c r="AA298" i="1"/>
  <c r="W298" i="1"/>
  <c r="X298" i="1" s="1"/>
  <c r="U298" i="1"/>
  <c r="R298" i="1"/>
  <c r="O298" i="1"/>
  <c r="N298" i="1"/>
  <c r="L298" i="1"/>
  <c r="I298" i="1"/>
  <c r="H298" i="1"/>
  <c r="F298" i="1"/>
  <c r="C298" i="1"/>
  <c r="AD297" i="1"/>
  <c r="AC297" i="1"/>
  <c r="AA297" i="1"/>
  <c r="W297" i="1"/>
  <c r="X297" i="1" s="1"/>
  <c r="U297" i="1"/>
  <c r="R297" i="1"/>
  <c r="N297" i="1"/>
  <c r="O297" i="1" s="1"/>
  <c r="L297" i="1"/>
  <c r="H297" i="1"/>
  <c r="I297" i="1" s="1"/>
  <c r="F297" i="1"/>
  <c r="C297" i="1"/>
  <c r="AC295" i="1"/>
  <c r="AD295" i="1" s="1"/>
  <c r="Z295" i="1"/>
  <c r="AA295" i="1" s="1"/>
  <c r="U295" i="1"/>
  <c r="T295" i="1"/>
  <c r="R295" i="1"/>
  <c r="Q295" i="1"/>
  <c r="W295" i="1" s="1"/>
  <c r="X295" i="1" s="1"/>
  <c r="N295" i="1"/>
  <c r="O295" i="1" s="1"/>
  <c r="K295" i="1"/>
  <c r="L295" i="1" s="1"/>
  <c r="E295" i="1"/>
  <c r="F295" i="1" s="1"/>
  <c r="C295" i="1"/>
  <c r="B295" i="1"/>
  <c r="AC294" i="1"/>
  <c r="AD294" i="1" s="1"/>
  <c r="AA294" i="1"/>
  <c r="W294" i="1"/>
  <c r="X294" i="1" s="1"/>
  <c r="U294" i="1"/>
  <c r="R294" i="1"/>
  <c r="O294" i="1"/>
  <c r="N294" i="1"/>
  <c r="L294" i="1"/>
  <c r="I294" i="1"/>
  <c r="H294" i="1"/>
  <c r="F294" i="1"/>
  <c r="C294" i="1"/>
  <c r="AC293" i="1"/>
  <c r="AD293" i="1" s="1"/>
  <c r="AA293" i="1"/>
  <c r="W293" i="1"/>
  <c r="X293" i="1" s="1"/>
  <c r="U293" i="1"/>
  <c r="R293" i="1"/>
  <c r="O293" i="1"/>
  <c r="N293" i="1"/>
  <c r="L293" i="1"/>
  <c r="H293" i="1"/>
  <c r="I293" i="1" s="1"/>
  <c r="F293" i="1"/>
  <c r="C293" i="1"/>
  <c r="AC292" i="1"/>
  <c r="AD292" i="1" s="1"/>
  <c r="AA292" i="1"/>
  <c r="X292" i="1"/>
  <c r="W292" i="1"/>
  <c r="U292" i="1"/>
  <c r="R292" i="1"/>
  <c r="N292" i="1"/>
  <c r="O292" i="1" s="1"/>
  <c r="L292" i="1"/>
  <c r="H292" i="1"/>
  <c r="I292" i="1" s="1"/>
  <c r="F292" i="1"/>
  <c r="C292" i="1"/>
  <c r="AD291" i="1"/>
  <c r="AC291" i="1"/>
  <c r="AA291" i="1"/>
  <c r="W291" i="1"/>
  <c r="X291" i="1" s="1"/>
  <c r="U291" i="1"/>
  <c r="R291" i="1"/>
  <c r="N291" i="1"/>
  <c r="O291" i="1" s="1"/>
  <c r="L291" i="1"/>
  <c r="I291" i="1"/>
  <c r="H291" i="1"/>
  <c r="F291" i="1"/>
  <c r="C291" i="1"/>
  <c r="AC290" i="1"/>
  <c r="AD290" i="1" s="1"/>
  <c r="AA290" i="1"/>
  <c r="W290" i="1"/>
  <c r="X290" i="1" s="1"/>
  <c r="U290" i="1"/>
  <c r="R290" i="1"/>
  <c r="O290" i="1"/>
  <c r="N290" i="1"/>
  <c r="L290" i="1"/>
  <c r="I290" i="1"/>
  <c r="H290" i="1"/>
  <c r="F290" i="1"/>
  <c r="C290" i="1"/>
  <c r="AD289" i="1"/>
  <c r="AC289" i="1"/>
  <c r="AA289" i="1"/>
  <c r="W289" i="1"/>
  <c r="X289" i="1" s="1"/>
  <c r="U289" i="1"/>
  <c r="R289" i="1"/>
  <c r="O289" i="1"/>
  <c r="N289" i="1"/>
  <c r="L289" i="1"/>
  <c r="H289" i="1"/>
  <c r="I289" i="1" s="1"/>
  <c r="F289" i="1"/>
  <c r="C289" i="1"/>
  <c r="AC288" i="1"/>
  <c r="AD288" i="1" s="1"/>
  <c r="AA288" i="1"/>
  <c r="X288" i="1"/>
  <c r="W288" i="1"/>
  <c r="U288" i="1"/>
  <c r="R288" i="1"/>
  <c r="N288" i="1"/>
  <c r="O288" i="1" s="1"/>
  <c r="L288" i="1"/>
  <c r="H288" i="1"/>
  <c r="I288" i="1" s="1"/>
  <c r="F288" i="1"/>
  <c r="C288" i="1"/>
  <c r="AD287" i="1"/>
  <c r="AC287" i="1"/>
  <c r="AA287" i="1"/>
  <c r="W287" i="1"/>
  <c r="X287" i="1" s="1"/>
  <c r="U287" i="1"/>
  <c r="R287" i="1"/>
  <c r="N287" i="1"/>
  <c r="O287" i="1" s="1"/>
  <c r="L287" i="1"/>
  <c r="H287" i="1"/>
  <c r="I287" i="1" s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I286" i="1"/>
  <c r="H286" i="1"/>
  <c r="F286" i="1"/>
  <c r="C286" i="1"/>
  <c r="AC284" i="1"/>
  <c r="AD284" i="1" s="1"/>
  <c r="Z284" i="1"/>
  <c r="AA284" i="1" s="1"/>
  <c r="T284" i="1"/>
  <c r="U284" i="1" s="1"/>
  <c r="R284" i="1"/>
  <c r="Q284" i="1"/>
  <c r="L284" i="1"/>
  <c r="K284" i="1"/>
  <c r="I284" i="1"/>
  <c r="H284" i="1"/>
  <c r="E284" i="1"/>
  <c r="F284" i="1" s="1"/>
  <c r="B284" i="1"/>
  <c r="C284" i="1" s="1"/>
  <c r="AD283" i="1"/>
  <c r="AC283" i="1"/>
  <c r="AA283" i="1"/>
  <c r="X283" i="1"/>
  <c r="W283" i="1"/>
  <c r="U283" i="1"/>
  <c r="R283" i="1"/>
  <c r="N283" i="1"/>
  <c r="O283" i="1" s="1"/>
  <c r="L283" i="1"/>
  <c r="H283" i="1"/>
  <c r="I283" i="1" s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I282" i="1"/>
  <c r="H282" i="1"/>
  <c r="F282" i="1"/>
  <c r="C282" i="1"/>
  <c r="AC281" i="1"/>
  <c r="AD281" i="1" s="1"/>
  <c r="AA281" i="1"/>
  <c r="W281" i="1"/>
  <c r="X281" i="1" s="1"/>
  <c r="U281" i="1"/>
  <c r="R281" i="1"/>
  <c r="O281" i="1"/>
  <c r="N281" i="1"/>
  <c r="L281" i="1"/>
  <c r="H281" i="1"/>
  <c r="I281" i="1" s="1"/>
  <c r="F281" i="1"/>
  <c r="C281" i="1"/>
  <c r="AD280" i="1"/>
  <c r="AC280" i="1"/>
  <c r="AA280" i="1"/>
  <c r="W280" i="1"/>
  <c r="X280" i="1" s="1"/>
  <c r="U280" i="1"/>
  <c r="R280" i="1"/>
  <c r="N280" i="1"/>
  <c r="O280" i="1" s="1"/>
  <c r="L280" i="1"/>
  <c r="I280" i="1"/>
  <c r="H280" i="1"/>
  <c r="F280" i="1"/>
  <c r="C280" i="1"/>
  <c r="AC279" i="1"/>
  <c r="AD279" i="1" s="1"/>
  <c r="AA279" i="1"/>
  <c r="X279" i="1"/>
  <c r="W279" i="1"/>
  <c r="U279" i="1"/>
  <c r="R279" i="1"/>
  <c r="O279" i="1"/>
  <c r="N279" i="1"/>
  <c r="L279" i="1"/>
  <c r="H279" i="1"/>
  <c r="I279" i="1" s="1"/>
  <c r="F279" i="1"/>
  <c r="C279" i="1"/>
  <c r="AC278" i="1"/>
  <c r="AD278" i="1" s="1"/>
  <c r="AA278" i="1"/>
  <c r="W278" i="1"/>
  <c r="X278" i="1" s="1"/>
  <c r="U278" i="1"/>
  <c r="R278" i="1"/>
  <c r="N278" i="1"/>
  <c r="O278" i="1" s="1"/>
  <c r="L278" i="1"/>
  <c r="H278" i="1"/>
  <c r="I278" i="1" s="1"/>
  <c r="F278" i="1"/>
  <c r="C278" i="1"/>
  <c r="AD277" i="1"/>
  <c r="AC277" i="1"/>
  <c r="AA277" i="1"/>
  <c r="W277" i="1"/>
  <c r="X277" i="1" s="1"/>
  <c r="U277" i="1"/>
  <c r="R277" i="1"/>
  <c r="O277" i="1"/>
  <c r="N277" i="1"/>
  <c r="L277" i="1"/>
  <c r="H277" i="1"/>
  <c r="I277" i="1" s="1"/>
  <c r="F277" i="1"/>
  <c r="C277" i="1"/>
  <c r="AD276" i="1"/>
  <c r="AC276" i="1"/>
  <c r="AA276" i="1"/>
  <c r="W276" i="1"/>
  <c r="X276" i="1" s="1"/>
  <c r="U276" i="1"/>
  <c r="R276" i="1"/>
  <c r="N276" i="1"/>
  <c r="O276" i="1" s="1"/>
  <c r="L276" i="1"/>
  <c r="I276" i="1"/>
  <c r="H276" i="1"/>
  <c r="F276" i="1"/>
  <c r="C276" i="1"/>
  <c r="AD275" i="1"/>
  <c r="AC275" i="1"/>
  <c r="AA275" i="1"/>
  <c r="X275" i="1"/>
  <c r="W275" i="1"/>
  <c r="U275" i="1"/>
  <c r="R275" i="1"/>
  <c r="O275" i="1"/>
  <c r="N275" i="1"/>
  <c r="L275" i="1"/>
  <c r="H275" i="1"/>
  <c r="I275" i="1" s="1"/>
  <c r="F275" i="1"/>
  <c r="C275" i="1"/>
  <c r="AC273" i="1"/>
  <c r="AD273" i="1" s="1"/>
  <c r="AA273" i="1"/>
  <c r="Z273" i="1"/>
  <c r="U273" i="1"/>
  <c r="T273" i="1"/>
  <c r="Q273" i="1"/>
  <c r="R273" i="1" s="1"/>
  <c r="N273" i="1"/>
  <c r="O273" i="1" s="1"/>
  <c r="L273" i="1"/>
  <c r="K273" i="1"/>
  <c r="E273" i="1"/>
  <c r="F273" i="1" s="1"/>
  <c r="C273" i="1"/>
  <c r="B273" i="1"/>
  <c r="H273" i="1" s="1"/>
  <c r="I273" i="1" s="1"/>
  <c r="AC272" i="1"/>
  <c r="AD272" i="1" s="1"/>
  <c r="AA272" i="1"/>
  <c r="W272" i="1"/>
  <c r="X272" i="1" s="1"/>
  <c r="U272" i="1"/>
  <c r="R272" i="1"/>
  <c r="O272" i="1"/>
  <c r="N272" i="1"/>
  <c r="L272" i="1"/>
  <c r="I272" i="1"/>
  <c r="H272" i="1"/>
  <c r="F272" i="1"/>
  <c r="C272" i="1"/>
  <c r="AC271" i="1"/>
  <c r="AD271" i="1" s="1"/>
  <c r="AA271" i="1"/>
  <c r="W271" i="1"/>
  <c r="X271" i="1" s="1"/>
  <c r="U271" i="1"/>
  <c r="R271" i="1"/>
  <c r="N271" i="1"/>
  <c r="O271" i="1" s="1"/>
  <c r="L271" i="1"/>
  <c r="H271" i="1"/>
  <c r="I271" i="1" s="1"/>
  <c r="F271" i="1"/>
  <c r="C271" i="1"/>
  <c r="AC270" i="1"/>
  <c r="AD270" i="1" s="1"/>
  <c r="AA270" i="1"/>
  <c r="W270" i="1"/>
  <c r="X270" i="1" s="1"/>
  <c r="U270" i="1"/>
  <c r="R270" i="1"/>
  <c r="N270" i="1"/>
  <c r="O270" i="1" s="1"/>
  <c r="L270" i="1"/>
  <c r="I270" i="1"/>
  <c r="H270" i="1"/>
  <c r="F270" i="1"/>
  <c r="C270" i="1"/>
  <c r="AD269" i="1"/>
  <c r="AC269" i="1"/>
  <c r="AA269" i="1"/>
  <c r="X269" i="1"/>
  <c r="W269" i="1"/>
  <c r="U269" i="1"/>
  <c r="R269" i="1"/>
  <c r="O269" i="1"/>
  <c r="N269" i="1"/>
  <c r="L269" i="1"/>
  <c r="H269" i="1"/>
  <c r="I269" i="1" s="1"/>
  <c r="F269" i="1"/>
  <c r="C269" i="1"/>
  <c r="AC267" i="1"/>
  <c r="AD267" i="1" s="1"/>
  <c r="AA267" i="1"/>
  <c r="Z267" i="1"/>
  <c r="T267" i="1"/>
  <c r="U267" i="1" s="1"/>
  <c r="R267" i="1"/>
  <c r="Q267" i="1"/>
  <c r="K267" i="1"/>
  <c r="L267" i="1" s="1"/>
  <c r="E267" i="1"/>
  <c r="F267" i="1" s="1"/>
  <c r="C267" i="1"/>
  <c r="B267" i="1"/>
  <c r="AC266" i="1"/>
  <c r="AD266" i="1" s="1"/>
  <c r="AA266" i="1"/>
  <c r="W266" i="1"/>
  <c r="X266" i="1" s="1"/>
  <c r="U266" i="1"/>
  <c r="R266" i="1"/>
  <c r="N266" i="1"/>
  <c r="O266" i="1" s="1"/>
  <c r="L266" i="1"/>
  <c r="H266" i="1"/>
  <c r="I266" i="1" s="1"/>
  <c r="F266" i="1"/>
  <c r="C266" i="1"/>
  <c r="AD265" i="1"/>
  <c r="AC265" i="1"/>
  <c r="AA265" i="1"/>
  <c r="W265" i="1"/>
  <c r="X265" i="1" s="1"/>
  <c r="U265" i="1"/>
  <c r="R265" i="1"/>
  <c r="N265" i="1"/>
  <c r="O265" i="1" s="1"/>
  <c r="L265" i="1"/>
  <c r="H265" i="1"/>
  <c r="I265" i="1" s="1"/>
  <c r="F265" i="1"/>
  <c r="C265" i="1"/>
  <c r="AA263" i="1"/>
  <c r="Z263" i="1"/>
  <c r="W263" i="1"/>
  <c r="X263" i="1" s="1"/>
  <c r="U263" i="1"/>
  <c r="T263" i="1"/>
  <c r="Q263" i="1"/>
  <c r="R263" i="1" s="1"/>
  <c r="K263" i="1"/>
  <c r="L263" i="1" s="1"/>
  <c r="H263" i="1"/>
  <c r="I263" i="1" s="1"/>
  <c r="F263" i="1"/>
  <c r="E263" i="1"/>
  <c r="C263" i="1"/>
  <c r="B263" i="1"/>
  <c r="N263" i="1" s="1"/>
  <c r="O263" i="1" s="1"/>
  <c r="Z262" i="1"/>
  <c r="AA262" i="1" s="1"/>
  <c r="U262" i="1"/>
  <c r="T262" i="1"/>
  <c r="Q262" i="1"/>
  <c r="R262" i="1" s="1"/>
  <c r="K262" i="1"/>
  <c r="L262" i="1" s="1"/>
  <c r="E262" i="1"/>
  <c r="F262" i="1" s="1"/>
  <c r="B262" i="1"/>
  <c r="H262" i="1" s="1"/>
  <c r="I262" i="1" s="1"/>
  <c r="AC261" i="1"/>
  <c r="AD261" i="1" s="1"/>
  <c r="AA261" i="1"/>
  <c r="W261" i="1"/>
  <c r="X261" i="1" s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O260" i="1"/>
  <c r="N260" i="1"/>
  <c r="L260" i="1"/>
  <c r="I260" i="1"/>
  <c r="H260" i="1"/>
  <c r="F260" i="1"/>
  <c r="C260" i="1"/>
  <c r="AC259" i="1"/>
  <c r="AD259" i="1" s="1"/>
  <c r="AA259" i="1"/>
  <c r="W259" i="1"/>
  <c r="X259" i="1" s="1"/>
  <c r="U259" i="1"/>
  <c r="R259" i="1"/>
  <c r="N259" i="1"/>
  <c r="O259" i="1" s="1"/>
  <c r="L259" i="1"/>
  <c r="I259" i="1"/>
  <c r="H259" i="1"/>
  <c r="F259" i="1"/>
  <c r="C259" i="1"/>
  <c r="AD258" i="1"/>
  <c r="AC258" i="1"/>
  <c r="AA258" i="1"/>
  <c r="W258" i="1"/>
  <c r="X258" i="1" s="1"/>
  <c r="U258" i="1"/>
  <c r="R258" i="1"/>
  <c r="N258" i="1"/>
  <c r="O258" i="1" s="1"/>
  <c r="L258" i="1"/>
  <c r="H258" i="1"/>
  <c r="I258" i="1" s="1"/>
  <c r="F258" i="1"/>
  <c r="C258" i="1"/>
  <c r="AD257" i="1"/>
  <c r="AC257" i="1"/>
  <c r="AA257" i="1"/>
  <c r="W257" i="1"/>
  <c r="X257" i="1" s="1"/>
  <c r="U257" i="1"/>
  <c r="R257" i="1"/>
  <c r="N257" i="1"/>
  <c r="O257" i="1" s="1"/>
  <c r="L257" i="1"/>
  <c r="I257" i="1"/>
  <c r="H257" i="1"/>
  <c r="F257" i="1"/>
  <c r="C257" i="1"/>
  <c r="AC256" i="1"/>
  <c r="AD256" i="1" s="1"/>
  <c r="AA256" i="1"/>
  <c r="X256" i="1"/>
  <c r="W256" i="1"/>
  <c r="U256" i="1"/>
  <c r="R256" i="1"/>
  <c r="N256" i="1"/>
  <c r="O256" i="1" s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N255" i="1"/>
  <c r="O255" i="1" s="1"/>
  <c r="L255" i="1"/>
  <c r="I255" i="1"/>
  <c r="H255" i="1"/>
  <c r="F255" i="1"/>
  <c r="C255" i="1"/>
  <c r="AD254" i="1"/>
  <c r="AC254" i="1"/>
  <c r="AA254" i="1"/>
  <c r="W254" i="1"/>
  <c r="X254" i="1" s="1"/>
  <c r="U254" i="1"/>
  <c r="R254" i="1"/>
  <c r="N254" i="1"/>
  <c r="O254" i="1" s="1"/>
  <c r="L254" i="1"/>
  <c r="H254" i="1"/>
  <c r="I254" i="1" s="1"/>
  <c r="F254" i="1"/>
  <c r="C254" i="1"/>
  <c r="AC253" i="1"/>
  <c r="AD253" i="1" s="1"/>
  <c r="AA253" i="1"/>
  <c r="W253" i="1"/>
  <c r="X253" i="1" s="1"/>
  <c r="U253" i="1"/>
  <c r="R253" i="1"/>
  <c r="N253" i="1"/>
  <c r="O253" i="1" s="1"/>
  <c r="L253" i="1"/>
  <c r="I253" i="1"/>
  <c r="H253" i="1"/>
  <c r="F253" i="1"/>
  <c r="C253" i="1"/>
  <c r="AC252" i="1"/>
  <c r="AD252" i="1" s="1"/>
  <c r="AA252" i="1"/>
  <c r="W252" i="1"/>
  <c r="X252" i="1" s="1"/>
  <c r="U252" i="1"/>
  <c r="R252" i="1"/>
  <c r="O252" i="1"/>
  <c r="N252" i="1"/>
  <c r="L252" i="1"/>
  <c r="I252" i="1"/>
  <c r="H252" i="1"/>
  <c r="F252" i="1"/>
  <c r="C252" i="1"/>
  <c r="AC251" i="1"/>
  <c r="AD251" i="1" s="1"/>
  <c r="AA251" i="1"/>
  <c r="W251" i="1"/>
  <c r="X251" i="1" s="1"/>
  <c r="U251" i="1"/>
  <c r="R251" i="1"/>
  <c r="N251" i="1"/>
  <c r="O251" i="1" s="1"/>
  <c r="L251" i="1"/>
  <c r="I251" i="1"/>
  <c r="H251" i="1"/>
  <c r="F251" i="1"/>
  <c r="C251" i="1"/>
  <c r="AD250" i="1"/>
  <c r="AC250" i="1"/>
  <c r="AA250" i="1"/>
  <c r="W250" i="1"/>
  <c r="X250" i="1" s="1"/>
  <c r="U250" i="1"/>
  <c r="R250" i="1"/>
  <c r="N250" i="1"/>
  <c r="O250" i="1" s="1"/>
  <c r="L250" i="1"/>
  <c r="H250" i="1"/>
  <c r="I250" i="1" s="1"/>
  <c r="F250" i="1"/>
  <c r="C250" i="1"/>
  <c r="AD249" i="1"/>
  <c r="AC249" i="1"/>
  <c r="AA249" i="1"/>
  <c r="W249" i="1"/>
  <c r="X249" i="1" s="1"/>
  <c r="U249" i="1"/>
  <c r="R249" i="1"/>
  <c r="N249" i="1"/>
  <c r="O249" i="1" s="1"/>
  <c r="L249" i="1"/>
  <c r="I249" i="1"/>
  <c r="H249" i="1"/>
  <c r="F249" i="1"/>
  <c r="C249" i="1"/>
  <c r="AC248" i="1"/>
  <c r="AD248" i="1" s="1"/>
  <c r="AA248" i="1"/>
  <c r="X248" i="1"/>
  <c r="W248" i="1"/>
  <c r="U248" i="1"/>
  <c r="R248" i="1"/>
  <c r="N248" i="1"/>
  <c r="O248" i="1" s="1"/>
  <c r="L248" i="1"/>
  <c r="I248" i="1"/>
  <c r="H248" i="1"/>
  <c r="F248" i="1"/>
  <c r="C248" i="1"/>
  <c r="AC247" i="1"/>
  <c r="AD247" i="1" s="1"/>
  <c r="AA247" i="1"/>
  <c r="W247" i="1"/>
  <c r="X247" i="1" s="1"/>
  <c r="U247" i="1"/>
  <c r="R247" i="1"/>
  <c r="N247" i="1"/>
  <c r="O247" i="1" s="1"/>
  <c r="L247" i="1"/>
  <c r="I247" i="1"/>
  <c r="H247" i="1"/>
  <c r="F247" i="1"/>
  <c r="C247" i="1"/>
  <c r="AD246" i="1"/>
  <c r="AC246" i="1"/>
  <c r="AA246" i="1"/>
  <c r="W246" i="1"/>
  <c r="X246" i="1" s="1"/>
  <c r="U246" i="1"/>
  <c r="R246" i="1"/>
  <c r="N246" i="1"/>
  <c r="O246" i="1" s="1"/>
  <c r="L246" i="1"/>
  <c r="H246" i="1"/>
  <c r="I246" i="1" s="1"/>
  <c r="F246" i="1"/>
  <c r="C246" i="1"/>
  <c r="AC245" i="1"/>
  <c r="AD245" i="1" s="1"/>
  <c r="AA245" i="1"/>
  <c r="W245" i="1"/>
  <c r="X245" i="1" s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W244" i="1"/>
  <c r="X244" i="1" s="1"/>
  <c r="U244" i="1"/>
  <c r="R244" i="1"/>
  <c r="O244" i="1"/>
  <c r="N244" i="1"/>
  <c r="L244" i="1"/>
  <c r="I244" i="1"/>
  <c r="H244" i="1"/>
  <c r="F244" i="1"/>
  <c r="C244" i="1"/>
  <c r="AC243" i="1"/>
  <c r="AD243" i="1" s="1"/>
  <c r="AA243" i="1"/>
  <c r="W243" i="1"/>
  <c r="X243" i="1" s="1"/>
  <c r="U243" i="1"/>
  <c r="R243" i="1"/>
  <c r="N243" i="1"/>
  <c r="O243" i="1" s="1"/>
  <c r="L243" i="1"/>
  <c r="I243" i="1"/>
  <c r="H243" i="1"/>
  <c r="F243" i="1"/>
  <c r="C243" i="1"/>
  <c r="AD242" i="1"/>
  <c r="AC242" i="1"/>
  <c r="AA242" i="1"/>
  <c r="W242" i="1"/>
  <c r="X242" i="1" s="1"/>
  <c r="U242" i="1"/>
  <c r="R242" i="1"/>
  <c r="N242" i="1"/>
  <c r="O242" i="1" s="1"/>
  <c r="L242" i="1"/>
  <c r="H242" i="1"/>
  <c r="I242" i="1" s="1"/>
  <c r="F242" i="1"/>
  <c r="C242" i="1"/>
  <c r="AD241" i="1"/>
  <c r="AC241" i="1"/>
  <c r="AA241" i="1"/>
  <c r="W241" i="1"/>
  <c r="X241" i="1" s="1"/>
  <c r="U241" i="1"/>
  <c r="R241" i="1"/>
  <c r="N241" i="1"/>
  <c r="O241" i="1" s="1"/>
  <c r="L241" i="1"/>
  <c r="I241" i="1"/>
  <c r="H241" i="1"/>
  <c r="F241" i="1"/>
  <c r="C241" i="1"/>
  <c r="AC240" i="1"/>
  <c r="AD240" i="1" s="1"/>
  <c r="AA240" i="1"/>
  <c r="X240" i="1"/>
  <c r="W240" i="1"/>
  <c r="U240" i="1"/>
  <c r="R240" i="1"/>
  <c r="N240" i="1"/>
  <c r="O240" i="1" s="1"/>
  <c r="L240" i="1"/>
  <c r="I240" i="1"/>
  <c r="H240" i="1"/>
  <c r="F240" i="1"/>
  <c r="C240" i="1"/>
  <c r="AC238" i="1"/>
  <c r="AD238" i="1" s="1"/>
  <c r="AA238" i="1"/>
  <c r="W238" i="1"/>
  <c r="X238" i="1" s="1"/>
  <c r="U238" i="1"/>
  <c r="R238" i="1"/>
  <c r="N238" i="1"/>
  <c r="O238" i="1" s="1"/>
  <c r="L238" i="1"/>
  <c r="I238" i="1"/>
  <c r="H238" i="1"/>
  <c r="F238" i="1"/>
  <c r="C238" i="1"/>
  <c r="AD236" i="1"/>
  <c r="Z236" i="1"/>
  <c r="AA236" i="1" s="1"/>
  <c r="U236" i="1"/>
  <c r="T236" i="1"/>
  <c r="W236" i="1" s="1"/>
  <c r="X236" i="1" s="1"/>
  <c r="R236" i="1"/>
  <c r="Q236" i="1"/>
  <c r="AC236" i="1" s="1"/>
  <c r="N236" i="1"/>
  <c r="O236" i="1" s="1"/>
  <c r="L236" i="1"/>
  <c r="K236" i="1"/>
  <c r="F236" i="1"/>
  <c r="E236" i="1"/>
  <c r="B236" i="1"/>
  <c r="C236" i="1" s="1"/>
  <c r="AD235" i="1"/>
  <c r="AC235" i="1"/>
  <c r="AA235" i="1"/>
  <c r="W235" i="1"/>
  <c r="X235" i="1" s="1"/>
  <c r="U235" i="1"/>
  <c r="R235" i="1"/>
  <c r="N235" i="1"/>
  <c r="O235" i="1" s="1"/>
  <c r="L235" i="1"/>
  <c r="H235" i="1"/>
  <c r="I235" i="1" s="1"/>
  <c r="F235" i="1"/>
  <c r="C235" i="1"/>
  <c r="AC234" i="1"/>
  <c r="AD234" i="1" s="1"/>
  <c r="AA234" i="1"/>
  <c r="X234" i="1"/>
  <c r="W234" i="1"/>
  <c r="U234" i="1"/>
  <c r="R234" i="1"/>
  <c r="N234" i="1"/>
  <c r="O234" i="1" s="1"/>
  <c r="L234" i="1"/>
  <c r="H234" i="1"/>
  <c r="I234" i="1" s="1"/>
  <c r="F234" i="1"/>
  <c r="C234" i="1"/>
  <c r="AD233" i="1"/>
  <c r="AC233" i="1"/>
  <c r="AA233" i="1"/>
  <c r="W233" i="1"/>
  <c r="X233" i="1" s="1"/>
  <c r="U233" i="1"/>
  <c r="R233" i="1"/>
  <c r="O233" i="1"/>
  <c r="N233" i="1"/>
  <c r="L233" i="1"/>
  <c r="H233" i="1"/>
  <c r="I233" i="1" s="1"/>
  <c r="F233" i="1"/>
  <c r="C233" i="1"/>
  <c r="AC232" i="1"/>
  <c r="AD232" i="1" s="1"/>
  <c r="AA232" i="1"/>
  <c r="W232" i="1"/>
  <c r="X232" i="1" s="1"/>
  <c r="U232" i="1"/>
  <c r="R232" i="1"/>
  <c r="N232" i="1"/>
  <c r="O232" i="1" s="1"/>
  <c r="L232" i="1"/>
  <c r="I232" i="1"/>
  <c r="H232" i="1"/>
  <c r="F232" i="1"/>
  <c r="C232" i="1"/>
  <c r="AD231" i="1"/>
  <c r="AC231" i="1"/>
  <c r="AA231" i="1"/>
  <c r="W231" i="1"/>
  <c r="X231" i="1" s="1"/>
  <c r="U231" i="1"/>
  <c r="R231" i="1"/>
  <c r="N231" i="1"/>
  <c r="O231" i="1" s="1"/>
  <c r="L231" i="1"/>
  <c r="H231" i="1"/>
  <c r="I231" i="1" s="1"/>
  <c r="F231" i="1"/>
  <c r="C231" i="1"/>
  <c r="AC230" i="1"/>
  <c r="AD230" i="1" s="1"/>
  <c r="AA230" i="1"/>
  <c r="X230" i="1"/>
  <c r="W230" i="1"/>
  <c r="U230" i="1"/>
  <c r="R230" i="1"/>
  <c r="N230" i="1"/>
  <c r="O230" i="1" s="1"/>
  <c r="L230" i="1"/>
  <c r="H230" i="1"/>
  <c r="I230" i="1" s="1"/>
  <c r="F230" i="1"/>
  <c r="C230" i="1"/>
  <c r="AD229" i="1"/>
  <c r="AC229" i="1"/>
  <c r="AA229" i="1"/>
  <c r="X229" i="1"/>
  <c r="W229" i="1"/>
  <c r="U229" i="1"/>
  <c r="R229" i="1"/>
  <c r="N229" i="1"/>
  <c r="O229" i="1" s="1"/>
  <c r="L229" i="1"/>
  <c r="H229" i="1"/>
  <c r="I229" i="1" s="1"/>
  <c r="F229" i="1"/>
  <c r="C229" i="1"/>
  <c r="AC227" i="1"/>
  <c r="AD227" i="1" s="1"/>
  <c r="AA227" i="1"/>
  <c r="Z227" i="1"/>
  <c r="W227" i="1"/>
  <c r="X227" i="1" s="1"/>
  <c r="U227" i="1"/>
  <c r="T227" i="1"/>
  <c r="Q227" i="1"/>
  <c r="R227" i="1" s="1"/>
  <c r="K227" i="1"/>
  <c r="L227" i="1" s="1"/>
  <c r="H227" i="1"/>
  <c r="I227" i="1" s="1"/>
  <c r="F227" i="1"/>
  <c r="E227" i="1"/>
  <c r="C227" i="1"/>
  <c r="B227" i="1"/>
  <c r="AC226" i="1"/>
  <c r="AD226" i="1" s="1"/>
  <c r="AA226" i="1"/>
  <c r="W226" i="1"/>
  <c r="X226" i="1" s="1"/>
  <c r="U226" i="1"/>
  <c r="R226" i="1"/>
  <c r="N226" i="1"/>
  <c r="O226" i="1" s="1"/>
  <c r="L226" i="1"/>
  <c r="I226" i="1"/>
  <c r="H226" i="1"/>
  <c r="F226" i="1"/>
  <c r="C226" i="1"/>
  <c r="AD225" i="1"/>
  <c r="AC225" i="1"/>
  <c r="AA225" i="1"/>
  <c r="W225" i="1"/>
  <c r="X225" i="1" s="1"/>
  <c r="U225" i="1"/>
  <c r="R225" i="1"/>
  <c r="N225" i="1"/>
  <c r="O225" i="1" s="1"/>
  <c r="L225" i="1"/>
  <c r="H225" i="1"/>
  <c r="I225" i="1" s="1"/>
  <c r="F225" i="1"/>
  <c r="C225" i="1"/>
  <c r="AC224" i="1"/>
  <c r="AD224" i="1" s="1"/>
  <c r="AA224" i="1"/>
  <c r="W224" i="1"/>
  <c r="X224" i="1" s="1"/>
  <c r="U224" i="1"/>
  <c r="R224" i="1"/>
  <c r="N224" i="1"/>
  <c r="O224" i="1" s="1"/>
  <c r="L224" i="1"/>
  <c r="I224" i="1"/>
  <c r="H224" i="1"/>
  <c r="F224" i="1"/>
  <c r="C224" i="1"/>
  <c r="AC223" i="1"/>
  <c r="AD223" i="1" s="1"/>
  <c r="AA223" i="1"/>
  <c r="W223" i="1"/>
  <c r="X223" i="1" s="1"/>
  <c r="U223" i="1"/>
  <c r="R223" i="1"/>
  <c r="O223" i="1"/>
  <c r="N223" i="1"/>
  <c r="L223" i="1"/>
  <c r="I223" i="1"/>
  <c r="H223" i="1"/>
  <c r="F223" i="1"/>
  <c r="C223" i="1"/>
  <c r="AC222" i="1"/>
  <c r="AD222" i="1" s="1"/>
  <c r="AA222" i="1"/>
  <c r="W222" i="1"/>
  <c r="X222" i="1" s="1"/>
  <c r="U222" i="1"/>
  <c r="R222" i="1"/>
  <c r="N222" i="1"/>
  <c r="O222" i="1" s="1"/>
  <c r="L222" i="1"/>
  <c r="I222" i="1"/>
  <c r="H222" i="1"/>
  <c r="F222" i="1"/>
  <c r="C222" i="1"/>
  <c r="AD221" i="1"/>
  <c r="AC221" i="1"/>
  <c r="AA221" i="1"/>
  <c r="W221" i="1"/>
  <c r="X221" i="1" s="1"/>
  <c r="U221" i="1"/>
  <c r="R221" i="1"/>
  <c r="N221" i="1"/>
  <c r="O221" i="1" s="1"/>
  <c r="L221" i="1"/>
  <c r="H221" i="1"/>
  <c r="I221" i="1" s="1"/>
  <c r="F221" i="1"/>
  <c r="C221" i="1"/>
  <c r="AD220" i="1"/>
  <c r="AC220" i="1"/>
  <c r="AA220" i="1"/>
  <c r="W220" i="1"/>
  <c r="X220" i="1" s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X219" i="1"/>
  <c r="W219" i="1"/>
  <c r="U219" i="1"/>
  <c r="R219" i="1"/>
  <c r="N219" i="1"/>
  <c r="O219" i="1" s="1"/>
  <c r="L219" i="1"/>
  <c r="I219" i="1"/>
  <c r="H219" i="1"/>
  <c r="F219" i="1"/>
  <c r="C219" i="1"/>
  <c r="AC218" i="1"/>
  <c r="AD218" i="1" s="1"/>
  <c r="Z218" i="1"/>
  <c r="AA218" i="1" s="1"/>
  <c r="W218" i="1"/>
  <c r="X218" i="1" s="1"/>
  <c r="U218" i="1"/>
  <c r="T218" i="1"/>
  <c r="Q218" i="1"/>
  <c r="R218" i="1" s="1"/>
  <c r="K218" i="1"/>
  <c r="N218" i="1" s="1"/>
  <c r="O218" i="1" s="1"/>
  <c r="E218" i="1"/>
  <c r="F218" i="1" s="1"/>
  <c r="B218" i="1"/>
  <c r="AD217" i="1"/>
  <c r="AC217" i="1"/>
  <c r="AA217" i="1"/>
  <c r="W217" i="1"/>
  <c r="X217" i="1" s="1"/>
  <c r="U217" i="1"/>
  <c r="R217" i="1"/>
  <c r="N217" i="1"/>
  <c r="O217" i="1" s="1"/>
  <c r="L217" i="1"/>
  <c r="I217" i="1"/>
  <c r="H217" i="1"/>
  <c r="F217" i="1"/>
  <c r="C217" i="1"/>
  <c r="AD216" i="1"/>
  <c r="AC216" i="1"/>
  <c r="AA216" i="1"/>
  <c r="X216" i="1"/>
  <c r="W216" i="1"/>
  <c r="U216" i="1"/>
  <c r="R216" i="1"/>
  <c r="O216" i="1"/>
  <c r="N216" i="1"/>
  <c r="L216" i="1"/>
  <c r="H216" i="1"/>
  <c r="I216" i="1" s="1"/>
  <c r="F216" i="1"/>
  <c r="C216" i="1"/>
  <c r="AC215" i="1"/>
  <c r="AD215" i="1" s="1"/>
  <c r="AA215" i="1"/>
  <c r="X215" i="1"/>
  <c r="W215" i="1"/>
  <c r="U215" i="1"/>
  <c r="R215" i="1"/>
  <c r="N215" i="1"/>
  <c r="O215" i="1" s="1"/>
  <c r="L215" i="1"/>
  <c r="H215" i="1"/>
  <c r="I215" i="1" s="1"/>
  <c r="F215" i="1"/>
  <c r="C215" i="1"/>
  <c r="AD214" i="1"/>
  <c r="AC214" i="1"/>
  <c r="AA214" i="1"/>
  <c r="W214" i="1"/>
  <c r="X214" i="1" s="1"/>
  <c r="U214" i="1"/>
  <c r="R214" i="1"/>
  <c r="N214" i="1"/>
  <c r="O214" i="1" s="1"/>
  <c r="L214" i="1"/>
  <c r="H214" i="1"/>
  <c r="I214" i="1" s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X211" i="1"/>
  <c r="W211" i="1"/>
  <c r="U211" i="1"/>
  <c r="R211" i="1"/>
  <c r="O211" i="1"/>
  <c r="N211" i="1"/>
  <c r="L211" i="1"/>
  <c r="H211" i="1"/>
  <c r="I211" i="1" s="1"/>
  <c r="F211" i="1"/>
  <c r="C211" i="1"/>
  <c r="AA209" i="1"/>
  <c r="Z209" i="1"/>
  <c r="AC209" i="1" s="1"/>
  <c r="AD209" i="1" s="1"/>
  <c r="W209" i="1"/>
  <c r="X209" i="1" s="1"/>
  <c r="U209" i="1"/>
  <c r="T209" i="1"/>
  <c r="Q209" i="1"/>
  <c r="R209" i="1" s="1"/>
  <c r="N209" i="1"/>
  <c r="O209" i="1" s="1"/>
  <c r="K209" i="1"/>
  <c r="L209" i="1" s="1"/>
  <c r="E209" i="1"/>
  <c r="F209" i="1" s="1"/>
  <c r="C209" i="1"/>
  <c r="B209" i="1"/>
  <c r="AC208" i="1"/>
  <c r="AD208" i="1" s="1"/>
  <c r="AA208" i="1"/>
  <c r="W208" i="1"/>
  <c r="X208" i="1" s="1"/>
  <c r="U208" i="1"/>
  <c r="R208" i="1"/>
  <c r="O208" i="1"/>
  <c r="N208" i="1"/>
  <c r="L208" i="1"/>
  <c r="I208" i="1"/>
  <c r="H208" i="1"/>
  <c r="F208" i="1"/>
  <c r="C208" i="1"/>
  <c r="AD207" i="1"/>
  <c r="AC207" i="1"/>
  <c r="AA207" i="1"/>
  <c r="W207" i="1"/>
  <c r="X207" i="1" s="1"/>
  <c r="U207" i="1"/>
  <c r="R207" i="1"/>
  <c r="N207" i="1"/>
  <c r="O207" i="1" s="1"/>
  <c r="L207" i="1"/>
  <c r="H207" i="1"/>
  <c r="I207" i="1" s="1"/>
  <c r="F207" i="1"/>
  <c r="C207" i="1"/>
  <c r="AC206" i="1"/>
  <c r="AD206" i="1" s="1"/>
  <c r="AA206" i="1"/>
  <c r="X206" i="1"/>
  <c r="W206" i="1"/>
  <c r="U206" i="1"/>
  <c r="R206" i="1"/>
  <c r="N206" i="1"/>
  <c r="O206" i="1" s="1"/>
  <c r="L206" i="1"/>
  <c r="H206" i="1"/>
  <c r="I206" i="1" s="1"/>
  <c r="F206" i="1"/>
  <c r="C206" i="1"/>
  <c r="AD205" i="1"/>
  <c r="AC205" i="1"/>
  <c r="AA205" i="1"/>
  <c r="W205" i="1"/>
  <c r="X205" i="1" s="1"/>
  <c r="U205" i="1"/>
  <c r="R205" i="1"/>
  <c r="O205" i="1"/>
  <c r="N205" i="1"/>
  <c r="L205" i="1"/>
  <c r="H205" i="1"/>
  <c r="I205" i="1" s="1"/>
  <c r="F205" i="1"/>
  <c r="C205" i="1"/>
  <c r="AC204" i="1"/>
  <c r="AD204" i="1" s="1"/>
  <c r="AA204" i="1"/>
  <c r="W204" i="1"/>
  <c r="X204" i="1" s="1"/>
  <c r="U204" i="1"/>
  <c r="R204" i="1"/>
  <c r="N204" i="1"/>
  <c r="O204" i="1" s="1"/>
  <c r="L204" i="1"/>
  <c r="I204" i="1"/>
  <c r="H204" i="1"/>
  <c r="F204" i="1"/>
  <c r="C204" i="1"/>
  <c r="AD203" i="1"/>
  <c r="AC203" i="1"/>
  <c r="AA203" i="1"/>
  <c r="W203" i="1"/>
  <c r="X203" i="1" s="1"/>
  <c r="U203" i="1"/>
  <c r="R203" i="1"/>
  <c r="N203" i="1"/>
  <c r="O203" i="1" s="1"/>
  <c r="L203" i="1"/>
  <c r="H203" i="1"/>
  <c r="I203" i="1" s="1"/>
  <c r="F203" i="1"/>
  <c r="C203" i="1"/>
  <c r="AC202" i="1"/>
  <c r="AD202" i="1" s="1"/>
  <c r="AA202" i="1"/>
  <c r="X202" i="1"/>
  <c r="W202" i="1"/>
  <c r="U202" i="1"/>
  <c r="R202" i="1"/>
  <c r="N202" i="1"/>
  <c r="O202" i="1" s="1"/>
  <c r="L202" i="1"/>
  <c r="H202" i="1"/>
  <c r="I202" i="1" s="1"/>
  <c r="F202" i="1"/>
  <c r="C202" i="1"/>
  <c r="AD201" i="1"/>
  <c r="AC201" i="1"/>
  <c r="AA201" i="1"/>
  <c r="X201" i="1"/>
  <c r="W201" i="1"/>
  <c r="U201" i="1"/>
  <c r="R201" i="1"/>
  <c r="N201" i="1"/>
  <c r="O201" i="1" s="1"/>
  <c r="L201" i="1"/>
  <c r="H201" i="1"/>
  <c r="I201" i="1" s="1"/>
  <c r="F201" i="1"/>
  <c r="C201" i="1"/>
  <c r="T198" i="1"/>
  <c r="T345" i="1" s="1"/>
  <c r="E198" i="1"/>
  <c r="E345" i="1" s="1"/>
  <c r="Z197" i="1"/>
  <c r="AA197" i="1" s="1"/>
  <c r="U197" i="1"/>
  <c r="T197" i="1"/>
  <c r="Q197" i="1"/>
  <c r="R197" i="1" s="1"/>
  <c r="L197" i="1"/>
  <c r="K197" i="1"/>
  <c r="E197" i="1"/>
  <c r="F197" i="1" s="1"/>
  <c r="C197" i="1"/>
  <c r="B197" i="1"/>
  <c r="N197" i="1" s="1"/>
  <c r="O197" i="1" s="1"/>
  <c r="AC196" i="1"/>
  <c r="AD196" i="1" s="1"/>
  <c r="AA196" i="1"/>
  <c r="Z196" i="1"/>
  <c r="T196" i="1"/>
  <c r="W196" i="1" s="1"/>
  <c r="X196" i="1" s="1"/>
  <c r="R196" i="1"/>
  <c r="Q196" i="1"/>
  <c r="K196" i="1"/>
  <c r="L196" i="1" s="1"/>
  <c r="E196" i="1"/>
  <c r="H196" i="1" s="1"/>
  <c r="I196" i="1" s="1"/>
  <c r="C196" i="1"/>
  <c r="B196" i="1"/>
  <c r="AC195" i="1"/>
  <c r="AD195" i="1" s="1"/>
  <c r="AA195" i="1"/>
  <c r="W195" i="1"/>
  <c r="X195" i="1" s="1"/>
  <c r="U195" i="1"/>
  <c r="R195" i="1"/>
  <c r="N195" i="1"/>
  <c r="O195" i="1" s="1"/>
  <c r="L195" i="1"/>
  <c r="H195" i="1"/>
  <c r="I195" i="1" s="1"/>
  <c r="F195" i="1"/>
  <c r="C195" i="1"/>
  <c r="AD194" i="1"/>
  <c r="AC194" i="1"/>
  <c r="AA194" i="1"/>
  <c r="W194" i="1"/>
  <c r="X194" i="1" s="1"/>
  <c r="U194" i="1"/>
  <c r="R194" i="1"/>
  <c r="N194" i="1"/>
  <c r="O194" i="1" s="1"/>
  <c r="L194" i="1"/>
  <c r="H194" i="1"/>
  <c r="I194" i="1" s="1"/>
  <c r="F194" i="1"/>
  <c r="C194" i="1"/>
  <c r="AA193" i="1"/>
  <c r="Z193" i="1"/>
  <c r="W193" i="1"/>
  <c r="X193" i="1" s="1"/>
  <c r="U193" i="1"/>
  <c r="T193" i="1"/>
  <c r="Q193" i="1"/>
  <c r="R193" i="1" s="1"/>
  <c r="K193" i="1"/>
  <c r="L193" i="1" s="1"/>
  <c r="H193" i="1"/>
  <c r="I193" i="1" s="1"/>
  <c r="F193" i="1"/>
  <c r="E193" i="1"/>
  <c r="C193" i="1"/>
  <c r="B193" i="1"/>
  <c r="N193" i="1" s="1"/>
  <c r="O193" i="1" s="1"/>
  <c r="AC192" i="1"/>
  <c r="AD192" i="1" s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D191" i="1"/>
  <c r="AC191" i="1"/>
  <c r="AA191" i="1"/>
  <c r="X191" i="1"/>
  <c r="W191" i="1"/>
  <c r="U191" i="1"/>
  <c r="R191" i="1"/>
  <c r="O191" i="1"/>
  <c r="N191" i="1"/>
  <c r="L191" i="1"/>
  <c r="H191" i="1"/>
  <c r="I191" i="1" s="1"/>
  <c r="F191" i="1"/>
  <c r="C191" i="1"/>
  <c r="AC190" i="1"/>
  <c r="AD190" i="1" s="1"/>
  <c r="AA190" i="1"/>
  <c r="W190" i="1"/>
  <c r="X190" i="1" s="1"/>
  <c r="U190" i="1"/>
  <c r="R190" i="1"/>
  <c r="O190" i="1"/>
  <c r="N190" i="1"/>
  <c r="L190" i="1"/>
  <c r="I190" i="1"/>
  <c r="H190" i="1"/>
  <c r="F190" i="1"/>
  <c r="C190" i="1"/>
  <c r="AC189" i="1"/>
  <c r="AD189" i="1" s="1"/>
  <c r="AA189" i="1"/>
  <c r="W189" i="1"/>
  <c r="X189" i="1" s="1"/>
  <c r="U189" i="1"/>
  <c r="R189" i="1"/>
  <c r="N189" i="1"/>
  <c r="O189" i="1" s="1"/>
  <c r="L189" i="1"/>
  <c r="H189" i="1"/>
  <c r="I189" i="1" s="1"/>
  <c r="F189" i="1"/>
  <c r="C189" i="1"/>
  <c r="AC188" i="1"/>
  <c r="AD188" i="1" s="1"/>
  <c r="AA188" i="1"/>
  <c r="W188" i="1"/>
  <c r="X188" i="1" s="1"/>
  <c r="U188" i="1"/>
  <c r="R188" i="1"/>
  <c r="N188" i="1"/>
  <c r="O188" i="1" s="1"/>
  <c r="L188" i="1"/>
  <c r="I188" i="1"/>
  <c r="H188" i="1"/>
  <c r="F188" i="1"/>
  <c r="C188" i="1"/>
  <c r="AD187" i="1"/>
  <c r="AC187" i="1"/>
  <c r="AA187" i="1"/>
  <c r="X187" i="1"/>
  <c r="W187" i="1"/>
  <c r="U187" i="1"/>
  <c r="R187" i="1"/>
  <c r="O187" i="1"/>
  <c r="N187" i="1"/>
  <c r="L187" i="1"/>
  <c r="H187" i="1"/>
  <c r="I187" i="1" s="1"/>
  <c r="F187" i="1"/>
  <c r="C187" i="1"/>
  <c r="AC186" i="1"/>
  <c r="AD186" i="1" s="1"/>
  <c r="AA186" i="1"/>
  <c r="W186" i="1"/>
  <c r="X186" i="1" s="1"/>
  <c r="U186" i="1"/>
  <c r="R186" i="1"/>
  <c r="O186" i="1"/>
  <c r="N186" i="1"/>
  <c r="L186" i="1"/>
  <c r="I186" i="1"/>
  <c r="H186" i="1"/>
  <c r="F186" i="1"/>
  <c r="C186" i="1"/>
  <c r="AC184" i="1"/>
  <c r="AD184" i="1" s="1"/>
  <c r="AA184" i="1"/>
  <c r="W184" i="1"/>
  <c r="X184" i="1" s="1"/>
  <c r="U184" i="1"/>
  <c r="R184" i="1"/>
  <c r="N184" i="1"/>
  <c r="O184" i="1" s="1"/>
  <c r="L184" i="1"/>
  <c r="I184" i="1"/>
  <c r="H184" i="1"/>
  <c r="F184" i="1"/>
  <c r="C184" i="1"/>
  <c r="AC183" i="1"/>
  <c r="AD183" i="1" s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Z182" i="1"/>
  <c r="AA182" i="1" s="1"/>
  <c r="W182" i="1"/>
  <c r="X182" i="1" s="1"/>
  <c r="T182" i="1"/>
  <c r="U182" i="1" s="1"/>
  <c r="R182" i="1"/>
  <c r="Q182" i="1"/>
  <c r="AC182" i="1" s="1"/>
  <c r="AD182" i="1" s="1"/>
  <c r="K182" i="1"/>
  <c r="L182" i="1" s="1"/>
  <c r="F182" i="1"/>
  <c r="E182" i="1"/>
  <c r="B182" i="1"/>
  <c r="C182" i="1" s="1"/>
  <c r="AD181" i="1"/>
  <c r="AC181" i="1"/>
  <c r="AA181" i="1"/>
  <c r="X181" i="1"/>
  <c r="W181" i="1"/>
  <c r="U181" i="1"/>
  <c r="R181" i="1"/>
  <c r="O181" i="1"/>
  <c r="N181" i="1"/>
  <c r="L181" i="1"/>
  <c r="H181" i="1"/>
  <c r="I181" i="1" s="1"/>
  <c r="F181" i="1"/>
  <c r="C181" i="1"/>
  <c r="AC180" i="1"/>
  <c r="AD180" i="1" s="1"/>
  <c r="AA180" i="1"/>
  <c r="X180" i="1"/>
  <c r="W180" i="1"/>
  <c r="U180" i="1"/>
  <c r="R180" i="1"/>
  <c r="N180" i="1"/>
  <c r="O180" i="1" s="1"/>
  <c r="L180" i="1"/>
  <c r="H180" i="1"/>
  <c r="I180" i="1" s="1"/>
  <c r="F180" i="1"/>
  <c r="C180" i="1"/>
  <c r="AD179" i="1"/>
  <c r="AC179" i="1"/>
  <c r="AA179" i="1"/>
  <c r="W179" i="1"/>
  <c r="X179" i="1" s="1"/>
  <c r="U179" i="1"/>
  <c r="R179" i="1"/>
  <c r="N179" i="1"/>
  <c r="O179" i="1" s="1"/>
  <c r="L179" i="1"/>
  <c r="H179" i="1"/>
  <c r="I179" i="1" s="1"/>
  <c r="F179" i="1"/>
  <c r="C179" i="1"/>
  <c r="AD178" i="1"/>
  <c r="AC178" i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H177" i="1"/>
  <c r="I177" i="1" s="1"/>
  <c r="F177" i="1"/>
  <c r="C177" i="1"/>
  <c r="AC175" i="1"/>
  <c r="AD175" i="1" s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T172" i="1"/>
  <c r="U172" i="1" s="1"/>
  <c r="K172" i="1"/>
  <c r="K198" i="1" s="1"/>
  <c r="B172" i="1"/>
  <c r="N172" i="1" s="1"/>
  <c r="O172" i="1" s="1"/>
  <c r="Z171" i="1"/>
  <c r="Z172" i="1" s="1"/>
  <c r="T171" i="1"/>
  <c r="U171" i="1" s="1"/>
  <c r="Q171" i="1"/>
  <c r="W171" i="1" s="1"/>
  <c r="X171" i="1" s="1"/>
  <c r="L171" i="1"/>
  <c r="K171" i="1"/>
  <c r="E171" i="1"/>
  <c r="F171" i="1" s="1"/>
  <c r="C171" i="1"/>
  <c r="B171" i="1"/>
  <c r="H171" i="1" s="1"/>
  <c r="I171" i="1" s="1"/>
  <c r="Z170" i="1"/>
  <c r="AA170" i="1" s="1"/>
  <c r="X170" i="1"/>
  <c r="W170" i="1"/>
  <c r="T170" i="1"/>
  <c r="U170" i="1" s="1"/>
  <c r="R170" i="1"/>
  <c r="Q170" i="1"/>
  <c r="K170" i="1"/>
  <c r="L170" i="1" s="1"/>
  <c r="F170" i="1"/>
  <c r="E170" i="1"/>
  <c r="B170" i="1"/>
  <c r="C170" i="1" s="1"/>
  <c r="AC169" i="1"/>
  <c r="AD169" i="1" s="1"/>
  <c r="AA169" i="1"/>
  <c r="X169" i="1"/>
  <c r="W169" i="1"/>
  <c r="U169" i="1"/>
  <c r="R169" i="1"/>
  <c r="O169" i="1"/>
  <c r="N169" i="1"/>
  <c r="L169" i="1"/>
  <c r="I169" i="1"/>
  <c r="H169" i="1"/>
  <c r="F169" i="1"/>
  <c r="C169" i="1"/>
  <c r="AC168" i="1"/>
  <c r="AD168" i="1" s="1"/>
  <c r="AA168" i="1"/>
  <c r="W168" i="1"/>
  <c r="X168" i="1" s="1"/>
  <c r="U168" i="1"/>
  <c r="R168" i="1"/>
  <c r="N168" i="1"/>
  <c r="O168" i="1" s="1"/>
  <c r="L168" i="1"/>
  <c r="I168" i="1"/>
  <c r="H168" i="1"/>
  <c r="F168" i="1"/>
  <c r="C168" i="1"/>
  <c r="AD167" i="1"/>
  <c r="AC167" i="1"/>
  <c r="AA167" i="1"/>
  <c r="W167" i="1"/>
  <c r="X167" i="1" s="1"/>
  <c r="U167" i="1"/>
  <c r="R167" i="1"/>
  <c r="N167" i="1"/>
  <c r="O167" i="1" s="1"/>
  <c r="L167" i="1"/>
  <c r="H167" i="1"/>
  <c r="I167" i="1" s="1"/>
  <c r="F167" i="1"/>
  <c r="C167" i="1"/>
  <c r="AC166" i="1"/>
  <c r="AD166" i="1" s="1"/>
  <c r="AA166" i="1"/>
  <c r="Z166" i="1"/>
  <c r="W166" i="1"/>
  <c r="X166" i="1" s="1"/>
  <c r="T166" i="1"/>
  <c r="U166" i="1" s="1"/>
  <c r="R166" i="1"/>
  <c r="Q166" i="1"/>
  <c r="K166" i="1"/>
  <c r="L166" i="1" s="1"/>
  <c r="I166" i="1"/>
  <c r="H166" i="1"/>
  <c r="E166" i="1"/>
  <c r="F166" i="1" s="1"/>
  <c r="C166" i="1"/>
  <c r="B166" i="1"/>
  <c r="AC165" i="1"/>
  <c r="AD165" i="1" s="1"/>
  <c r="AA165" i="1"/>
  <c r="X165" i="1"/>
  <c r="W165" i="1"/>
  <c r="U165" i="1"/>
  <c r="R165" i="1"/>
  <c r="N165" i="1"/>
  <c r="O165" i="1" s="1"/>
  <c r="L165" i="1"/>
  <c r="H165" i="1"/>
  <c r="I165" i="1" s="1"/>
  <c r="F165" i="1"/>
  <c r="C165" i="1"/>
  <c r="AD164" i="1"/>
  <c r="AC164" i="1"/>
  <c r="AA164" i="1"/>
  <c r="W164" i="1"/>
  <c r="X164" i="1" s="1"/>
  <c r="U164" i="1"/>
  <c r="R164" i="1"/>
  <c r="O164" i="1"/>
  <c r="N164" i="1"/>
  <c r="L164" i="1"/>
  <c r="H164" i="1"/>
  <c r="I164" i="1" s="1"/>
  <c r="F164" i="1"/>
  <c r="C164" i="1"/>
  <c r="AC163" i="1"/>
  <c r="AD163" i="1" s="1"/>
  <c r="AA163" i="1"/>
  <c r="W163" i="1"/>
  <c r="X163" i="1" s="1"/>
  <c r="U163" i="1"/>
  <c r="R163" i="1"/>
  <c r="N163" i="1"/>
  <c r="O163" i="1" s="1"/>
  <c r="L163" i="1"/>
  <c r="I163" i="1"/>
  <c r="H163" i="1"/>
  <c r="F163" i="1"/>
  <c r="C163" i="1"/>
  <c r="AD162" i="1"/>
  <c r="AC162" i="1"/>
  <c r="AA162" i="1"/>
  <c r="W162" i="1"/>
  <c r="X162" i="1" s="1"/>
  <c r="U162" i="1"/>
  <c r="R162" i="1"/>
  <c r="N162" i="1"/>
  <c r="O162" i="1" s="1"/>
  <c r="L162" i="1"/>
  <c r="H162" i="1"/>
  <c r="I162" i="1" s="1"/>
  <c r="F162" i="1"/>
  <c r="C162" i="1"/>
  <c r="AC161" i="1"/>
  <c r="AD161" i="1" s="1"/>
  <c r="AA161" i="1"/>
  <c r="X161" i="1"/>
  <c r="W161" i="1"/>
  <c r="U161" i="1"/>
  <c r="R161" i="1"/>
  <c r="N161" i="1"/>
  <c r="O161" i="1" s="1"/>
  <c r="L161" i="1"/>
  <c r="H161" i="1"/>
  <c r="I161" i="1" s="1"/>
  <c r="F161" i="1"/>
  <c r="C161" i="1"/>
  <c r="AD160" i="1"/>
  <c r="AC160" i="1"/>
  <c r="AA160" i="1"/>
  <c r="X160" i="1"/>
  <c r="W160" i="1"/>
  <c r="U160" i="1"/>
  <c r="R160" i="1"/>
  <c r="N160" i="1"/>
  <c r="O160" i="1" s="1"/>
  <c r="L160" i="1"/>
  <c r="H160" i="1"/>
  <c r="I160" i="1" s="1"/>
  <c r="F160" i="1"/>
  <c r="C160" i="1"/>
  <c r="AC158" i="1"/>
  <c r="AD158" i="1" s="1"/>
  <c r="AA158" i="1"/>
  <c r="Z158" i="1"/>
  <c r="W158" i="1"/>
  <c r="X158" i="1" s="1"/>
  <c r="U158" i="1"/>
  <c r="T158" i="1"/>
  <c r="Q158" i="1"/>
  <c r="R158" i="1" s="1"/>
  <c r="K158" i="1"/>
  <c r="L158" i="1" s="1"/>
  <c r="H158" i="1"/>
  <c r="I158" i="1" s="1"/>
  <c r="F158" i="1"/>
  <c r="E158" i="1"/>
  <c r="C158" i="1"/>
  <c r="B158" i="1"/>
  <c r="AC157" i="1"/>
  <c r="AD157" i="1" s="1"/>
  <c r="AA157" i="1"/>
  <c r="W157" i="1"/>
  <c r="X157" i="1" s="1"/>
  <c r="U157" i="1"/>
  <c r="R157" i="1"/>
  <c r="N157" i="1"/>
  <c r="O157" i="1" s="1"/>
  <c r="L157" i="1"/>
  <c r="I157" i="1"/>
  <c r="H157" i="1"/>
  <c r="F157" i="1"/>
  <c r="C157" i="1"/>
  <c r="AD156" i="1"/>
  <c r="AC156" i="1"/>
  <c r="AA156" i="1"/>
  <c r="W156" i="1"/>
  <c r="X156" i="1" s="1"/>
  <c r="U156" i="1"/>
  <c r="R156" i="1"/>
  <c r="N156" i="1"/>
  <c r="O156" i="1" s="1"/>
  <c r="L156" i="1"/>
  <c r="H156" i="1"/>
  <c r="I156" i="1" s="1"/>
  <c r="F156" i="1"/>
  <c r="C156" i="1"/>
  <c r="AC155" i="1"/>
  <c r="AD155" i="1" s="1"/>
  <c r="AA155" i="1"/>
  <c r="W155" i="1"/>
  <c r="X155" i="1" s="1"/>
  <c r="U155" i="1"/>
  <c r="R155" i="1"/>
  <c r="N155" i="1"/>
  <c r="O155" i="1" s="1"/>
  <c r="L155" i="1"/>
  <c r="I155" i="1"/>
  <c r="H155" i="1"/>
  <c r="F155" i="1"/>
  <c r="C155" i="1"/>
  <c r="AC154" i="1"/>
  <c r="AD154" i="1" s="1"/>
  <c r="AA154" i="1"/>
  <c r="W154" i="1"/>
  <c r="X154" i="1" s="1"/>
  <c r="U154" i="1"/>
  <c r="R154" i="1"/>
  <c r="O154" i="1"/>
  <c r="N154" i="1"/>
  <c r="L154" i="1"/>
  <c r="I154" i="1"/>
  <c r="H154" i="1"/>
  <c r="F154" i="1"/>
  <c r="C154" i="1"/>
  <c r="AC153" i="1"/>
  <c r="AD153" i="1" s="1"/>
  <c r="AA153" i="1"/>
  <c r="W153" i="1"/>
  <c r="X153" i="1" s="1"/>
  <c r="U153" i="1"/>
  <c r="R153" i="1"/>
  <c r="N153" i="1"/>
  <c r="O153" i="1" s="1"/>
  <c r="L153" i="1"/>
  <c r="I153" i="1"/>
  <c r="H153" i="1"/>
  <c r="F153" i="1"/>
  <c r="C153" i="1"/>
  <c r="AD151" i="1"/>
  <c r="AC151" i="1"/>
  <c r="AA151" i="1"/>
  <c r="W151" i="1"/>
  <c r="X151" i="1" s="1"/>
  <c r="U151" i="1"/>
  <c r="R151" i="1"/>
  <c r="N151" i="1"/>
  <c r="O151" i="1" s="1"/>
  <c r="L151" i="1"/>
  <c r="H151" i="1"/>
  <c r="I151" i="1" s="1"/>
  <c r="F151" i="1"/>
  <c r="C151" i="1"/>
  <c r="AA149" i="1"/>
  <c r="Z149" i="1"/>
  <c r="T149" i="1"/>
  <c r="U149" i="1" s="1"/>
  <c r="R149" i="1"/>
  <c r="Q149" i="1"/>
  <c r="AC149" i="1" s="1"/>
  <c r="AD149" i="1" s="1"/>
  <c r="K149" i="1"/>
  <c r="L149" i="1" s="1"/>
  <c r="E149" i="1"/>
  <c r="H149" i="1" s="1"/>
  <c r="I149" i="1" s="1"/>
  <c r="C149" i="1"/>
  <c r="B149" i="1"/>
  <c r="N149" i="1" s="1"/>
  <c r="O149" i="1" s="1"/>
  <c r="Z148" i="1"/>
  <c r="AA148" i="1" s="1"/>
  <c r="U148" i="1"/>
  <c r="T148" i="1"/>
  <c r="Q148" i="1"/>
  <c r="R148" i="1" s="1"/>
  <c r="L148" i="1"/>
  <c r="K148" i="1"/>
  <c r="E148" i="1"/>
  <c r="F148" i="1" s="1"/>
  <c r="C148" i="1"/>
  <c r="B148" i="1"/>
  <c r="N148" i="1" s="1"/>
  <c r="O148" i="1" s="1"/>
  <c r="AC147" i="1"/>
  <c r="AD147" i="1" s="1"/>
  <c r="AA147" i="1"/>
  <c r="W147" i="1"/>
  <c r="X147" i="1" s="1"/>
  <c r="U147" i="1"/>
  <c r="R147" i="1"/>
  <c r="O147" i="1"/>
  <c r="N147" i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N146" i="1"/>
  <c r="O146" i="1" s="1"/>
  <c r="L146" i="1"/>
  <c r="I146" i="1"/>
  <c r="H146" i="1"/>
  <c r="F146" i="1"/>
  <c r="C146" i="1"/>
  <c r="AC145" i="1"/>
  <c r="AD145" i="1" s="1"/>
  <c r="AA145" i="1"/>
  <c r="W145" i="1"/>
  <c r="X145" i="1" s="1"/>
  <c r="U145" i="1"/>
  <c r="R145" i="1"/>
  <c r="N145" i="1"/>
  <c r="O145" i="1" s="1"/>
  <c r="L145" i="1"/>
  <c r="H145" i="1"/>
  <c r="I145" i="1" s="1"/>
  <c r="F145" i="1"/>
  <c r="C145" i="1"/>
  <c r="AD144" i="1"/>
  <c r="AC144" i="1"/>
  <c r="AA144" i="1"/>
  <c r="X144" i="1"/>
  <c r="W144" i="1"/>
  <c r="U144" i="1"/>
  <c r="R144" i="1"/>
  <c r="O144" i="1"/>
  <c r="N144" i="1"/>
  <c r="L144" i="1"/>
  <c r="H144" i="1"/>
  <c r="I144" i="1" s="1"/>
  <c r="F144" i="1"/>
  <c r="C144" i="1"/>
  <c r="AC143" i="1"/>
  <c r="AD143" i="1" s="1"/>
  <c r="AA143" i="1"/>
  <c r="W143" i="1"/>
  <c r="X143" i="1" s="1"/>
  <c r="U143" i="1"/>
  <c r="R143" i="1"/>
  <c r="O143" i="1"/>
  <c r="N143" i="1"/>
  <c r="L143" i="1"/>
  <c r="I143" i="1"/>
  <c r="H143" i="1"/>
  <c r="F143" i="1"/>
  <c r="C143" i="1"/>
  <c r="AC141" i="1"/>
  <c r="AD141" i="1" s="1"/>
  <c r="Z141" i="1"/>
  <c r="AA141" i="1" s="1"/>
  <c r="T141" i="1"/>
  <c r="U141" i="1" s="1"/>
  <c r="R141" i="1"/>
  <c r="Q141" i="1"/>
  <c r="N141" i="1"/>
  <c r="O141" i="1" s="1"/>
  <c r="L141" i="1"/>
  <c r="K141" i="1"/>
  <c r="H141" i="1"/>
  <c r="I141" i="1" s="1"/>
  <c r="F141" i="1"/>
  <c r="E141" i="1"/>
  <c r="B141" i="1"/>
  <c r="C141" i="1" s="1"/>
  <c r="AD140" i="1"/>
  <c r="AC140" i="1"/>
  <c r="AA140" i="1"/>
  <c r="W140" i="1"/>
  <c r="X140" i="1" s="1"/>
  <c r="U140" i="1"/>
  <c r="R140" i="1"/>
  <c r="N140" i="1"/>
  <c r="O140" i="1" s="1"/>
  <c r="L140" i="1"/>
  <c r="H140" i="1"/>
  <c r="I140" i="1" s="1"/>
  <c r="F140" i="1"/>
  <c r="C140" i="1"/>
  <c r="AD139" i="1"/>
  <c r="AC139" i="1"/>
  <c r="AA139" i="1"/>
  <c r="W139" i="1"/>
  <c r="X139" i="1" s="1"/>
  <c r="U139" i="1"/>
  <c r="R139" i="1"/>
  <c r="N139" i="1"/>
  <c r="O139" i="1" s="1"/>
  <c r="L139" i="1"/>
  <c r="I139" i="1"/>
  <c r="H139" i="1"/>
  <c r="F139" i="1"/>
  <c r="C139" i="1"/>
  <c r="AC138" i="1"/>
  <c r="AD138" i="1" s="1"/>
  <c r="AA138" i="1"/>
  <c r="X138" i="1"/>
  <c r="W138" i="1"/>
  <c r="U138" i="1"/>
  <c r="R138" i="1"/>
  <c r="N138" i="1"/>
  <c r="O138" i="1" s="1"/>
  <c r="L138" i="1"/>
  <c r="I138" i="1"/>
  <c r="H138" i="1"/>
  <c r="F138" i="1"/>
  <c r="C138" i="1"/>
  <c r="AC137" i="1"/>
  <c r="AD137" i="1" s="1"/>
  <c r="AA137" i="1"/>
  <c r="W137" i="1"/>
  <c r="X137" i="1" s="1"/>
  <c r="U137" i="1"/>
  <c r="R137" i="1"/>
  <c r="N137" i="1"/>
  <c r="O137" i="1" s="1"/>
  <c r="L137" i="1"/>
  <c r="I137" i="1"/>
  <c r="H137" i="1"/>
  <c r="F137" i="1"/>
  <c r="C137" i="1"/>
  <c r="AD136" i="1"/>
  <c r="AC136" i="1"/>
  <c r="AA136" i="1"/>
  <c r="W136" i="1"/>
  <c r="X136" i="1" s="1"/>
  <c r="U136" i="1"/>
  <c r="R136" i="1"/>
  <c r="N136" i="1"/>
  <c r="O136" i="1" s="1"/>
  <c r="L136" i="1"/>
  <c r="H136" i="1"/>
  <c r="I136" i="1" s="1"/>
  <c r="F136" i="1"/>
  <c r="C136" i="1"/>
  <c r="AC135" i="1"/>
  <c r="AD135" i="1" s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I134" i="1"/>
  <c r="H134" i="1"/>
  <c r="F134" i="1"/>
  <c r="C134" i="1"/>
  <c r="AC133" i="1"/>
  <c r="AD133" i="1" s="1"/>
  <c r="AA133" i="1"/>
  <c r="W133" i="1"/>
  <c r="X133" i="1" s="1"/>
  <c r="U133" i="1"/>
  <c r="R133" i="1"/>
  <c r="N133" i="1"/>
  <c r="O133" i="1" s="1"/>
  <c r="L133" i="1"/>
  <c r="I133" i="1"/>
  <c r="H133" i="1"/>
  <c r="F133" i="1"/>
  <c r="C133" i="1"/>
  <c r="AD132" i="1"/>
  <c r="AC132" i="1"/>
  <c r="AA132" i="1"/>
  <c r="W132" i="1"/>
  <c r="X132" i="1" s="1"/>
  <c r="U132" i="1"/>
  <c r="R132" i="1"/>
  <c r="N132" i="1"/>
  <c r="O132" i="1" s="1"/>
  <c r="L132" i="1"/>
  <c r="H132" i="1"/>
  <c r="I132" i="1" s="1"/>
  <c r="F132" i="1"/>
  <c r="C132" i="1"/>
  <c r="AD131" i="1"/>
  <c r="AC131" i="1"/>
  <c r="AA131" i="1"/>
  <c r="W131" i="1"/>
  <c r="X131" i="1" s="1"/>
  <c r="U131" i="1"/>
  <c r="R131" i="1"/>
  <c r="N131" i="1"/>
  <c r="O131" i="1" s="1"/>
  <c r="L131" i="1"/>
  <c r="I131" i="1"/>
  <c r="H131" i="1"/>
  <c r="F131" i="1"/>
  <c r="C131" i="1"/>
  <c r="AC130" i="1"/>
  <c r="AD130" i="1" s="1"/>
  <c r="AA130" i="1"/>
  <c r="X130" i="1"/>
  <c r="W130" i="1"/>
  <c r="U130" i="1"/>
  <c r="R130" i="1"/>
  <c r="N130" i="1"/>
  <c r="O130" i="1" s="1"/>
  <c r="L130" i="1"/>
  <c r="I130" i="1"/>
  <c r="H130" i="1"/>
  <c r="F130" i="1"/>
  <c r="C130" i="1"/>
  <c r="AC129" i="1"/>
  <c r="AD129" i="1" s="1"/>
  <c r="AA129" i="1"/>
  <c r="W129" i="1"/>
  <c r="X129" i="1" s="1"/>
  <c r="U129" i="1"/>
  <c r="R129" i="1"/>
  <c r="N129" i="1"/>
  <c r="O129" i="1" s="1"/>
  <c r="L129" i="1"/>
  <c r="I129" i="1"/>
  <c r="H129" i="1"/>
  <c r="F129" i="1"/>
  <c r="C129" i="1"/>
  <c r="AD127" i="1"/>
  <c r="AC127" i="1"/>
  <c r="AA127" i="1"/>
  <c r="W127" i="1"/>
  <c r="X127" i="1" s="1"/>
  <c r="U127" i="1"/>
  <c r="R127" i="1"/>
  <c r="N127" i="1"/>
  <c r="O127" i="1" s="1"/>
  <c r="L127" i="1"/>
  <c r="H127" i="1"/>
  <c r="I127" i="1" s="1"/>
  <c r="F127" i="1"/>
  <c r="C127" i="1"/>
  <c r="AA124" i="1"/>
  <c r="Z124" i="1"/>
  <c r="W124" i="1"/>
  <c r="X124" i="1" s="1"/>
  <c r="T124" i="1"/>
  <c r="U124" i="1" s="1"/>
  <c r="R124" i="1"/>
  <c r="Q124" i="1"/>
  <c r="AC124" i="1" s="1"/>
  <c r="AD124" i="1" s="1"/>
  <c r="K124" i="1"/>
  <c r="L124" i="1" s="1"/>
  <c r="I124" i="1"/>
  <c r="H124" i="1"/>
  <c r="E124" i="1"/>
  <c r="E172" i="1" s="1"/>
  <c r="F172" i="1" s="1"/>
  <c r="C124" i="1"/>
  <c r="B124" i="1"/>
  <c r="AC123" i="1"/>
  <c r="AD123" i="1" s="1"/>
  <c r="AA123" i="1"/>
  <c r="X123" i="1"/>
  <c r="W123" i="1"/>
  <c r="U123" i="1"/>
  <c r="R123" i="1"/>
  <c r="N123" i="1"/>
  <c r="O123" i="1" s="1"/>
  <c r="L123" i="1"/>
  <c r="H123" i="1"/>
  <c r="I123" i="1" s="1"/>
  <c r="F123" i="1"/>
  <c r="C123" i="1"/>
  <c r="Z122" i="1"/>
  <c r="AA122" i="1" s="1"/>
  <c r="T122" i="1"/>
  <c r="W122" i="1" s="1"/>
  <c r="X122" i="1" s="1"/>
  <c r="R122" i="1"/>
  <c r="Q122" i="1"/>
  <c r="AC122" i="1" s="1"/>
  <c r="AD122" i="1" s="1"/>
  <c r="K122" i="1"/>
  <c r="L122" i="1" s="1"/>
  <c r="F122" i="1"/>
  <c r="E122" i="1"/>
  <c r="B122" i="1"/>
  <c r="C122" i="1" s="1"/>
  <c r="AC121" i="1"/>
  <c r="AD121" i="1" s="1"/>
  <c r="AA121" i="1"/>
  <c r="W121" i="1"/>
  <c r="X121" i="1" s="1"/>
  <c r="U121" i="1"/>
  <c r="R121" i="1"/>
  <c r="O121" i="1"/>
  <c r="N121" i="1"/>
  <c r="L121" i="1"/>
  <c r="I121" i="1"/>
  <c r="H121" i="1"/>
  <c r="F121" i="1"/>
  <c r="C121" i="1"/>
  <c r="AC120" i="1"/>
  <c r="AD120" i="1" s="1"/>
  <c r="AA120" i="1"/>
  <c r="W120" i="1"/>
  <c r="X120" i="1" s="1"/>
  <c r="U120" i="1"/>
  <c r="R120" i="1"/>
  <c r="N120" i="1"/>
  <c r="O120" i="1" s="1"/>
  <c r="L120" i="1"/>
  <c r="I120" i="1"/>
  <c r="H120" i="1"/>
  <c r="F120" i="1"/>
  <c r="C120" i="1"/>
  <c r="AD119" i="1"/>
  <c r="AC119" i="1"/>
  <c r="AA119" i="1"/>
  <c r="W119" i="1"/>
  <c r="X119" i="1" s="1"/>
  <c r="U119" i="1"/>
  <c r="R119" i="1"/>
  <c r="N119" i="1"/>
  <c r="O119" i="1" s="1"/>
  <c r="L119" i="1"/>
  <c r="H119" i="1"/>
  <c r="I119" i="1" s="1"/>
  <c r="F119" i="1"/>
  <c r="C119" i="1"/>
  <c r="AA118" i="1"/>
  <c r="Z118" i="1"/>
  <c r="T118" i="1"/>
  <c r="U118" i="1" s="1"/>
  <c r="R118" i="1"/>
  <c r="Q118" i="1"/>
  <c r="AC118" i="1" s="1"/>
  <c r="AD118" i="1" s="1"/>
  <c r="K118" i="1"/>
  <c r="L118" i="1" s="1"/>
  <c r="E118" i="1"/>
  <c r="H118" i="1" s="1"/>
  <c r="I118" i="1" s="1"/>
  <c r="C118" i="1"/>
  <c r="B118" i="1"/>
  <c r="N118" i="1" s="1"/>
  <c r="O118" i="1" s="1"/>
  <c r="AC117" i="1"/>
  <c r="AD117" i="1" s="1"/>
  <c r="AA117" i="1"/>
  <c r="X117" i="1"/>
  <c r="W117" i="1"/>
  <c r="U117" i="1"/>
  <c r="R117" i="1"/>
  <c r="N117" i="1"/>
  <c r="O117" i="1" s="1"/>
  <c r="L117" i="1"/>
  <c r="H117" i="1"/>
  <c r="I117" i="1" s="1"/>
  <c r="F117" i="1"/>
  <c r="C117" i="1"/>
  <c r="AD116" i="1"/>
  <c r="AC116" i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C115" i="1"/>
  <c r="AD115" i="1" s="1"/>
  <c r="AA115" i="1"/>
  <c r="W115" i="1"/>
  <c r="X115" i="1" s="1"/>
  <c r="U115" i="1"/>
  <c r="R115" i="1"/>
  <c r="O115" i="1"/>
  <c r="N115" i="1"/>
  <c r="L115" i="1"/>
  <c r="I115" i="1"/>
  <c r="H115" i="1"/>
  <c r="F115" i="1"/>
  <c r="C115" i="1"/>
  <c r="AD114" i="1"/>
  <c r="AC114" i="1"/>
  <c r="AA114" i="1"/>
  <c r="W114" i="1"/>
  <c r="X114" i="1" s="1"/>
  <c r="U114" i="1"/>
  <c r="R114" i="1"/>
  <c r="N114" i="1"/>
  <c r="O114" i="1" s="1"/>
  <c r="L114" i="1"/>
  <c r="H114" i="1"/>
  <c r="I114" i="1" s="1"/>
  <c r="F114" i="1"/>
  <c r="C114" i="1"/>
  <c r="AC113" i="1"/>
  <c r="AD113" i="1" s="1"/>
  <c r="AA113" i="1"/>
  <c r="X113" i="1"/>
  <c r="W113" i="1"/>
  <c r="U113" i="1"/>
  <c r="R113" i="1"/>
  <c r="N113" i="1"/>
  <c r="O113" i="1" s="1"/>
  <c r="L113" i="1"/>
  <c r="H113" i="1"/>
  <c r="I113" i="1" s="1"/>
  <c r="F113" i="1"/>
  <c r="C113" i="1"/>
  <c r="AD112" i="1"/>
  <c r="AC112" i="1"/>
  <c r="AA112" i="1"/>
  <c r="W112" i="1"/>
  <c r="X112" i="1" s="1"/>
  <c r="U112" i="1"/>
  <c r="R112" i="1"/>
  <c r="O112" i="1"/>
  <c r="N112" i="1"/>
  <c r="L112" i="1"/>
  <c r="H112" i="1"/>
  <c r="I112" i="1" s="1"/>
  <c r="F112" i="1"/>
  <c r="C112" i="1"/>
  <c r="AC111" i="1"/>
  <c r="AD111" i="1" s="1"/>
  <c r="AA111" i="1"/>
  <c r="W111" i="1"/>
  <c r="X111" i="1" s="1"/>
  <c r="U111" i="1"/>
  <c r="R111" i="1"/>
  <c r="N111" i="1"/>
  <c r="O111" i="1" s="1"/>
  <c r="L111" i="1"/>
  <c r="I111" i="1"/>
  <c r="H111" i="1"/>
  <c r="F111" i="1"/>
  <c r="C111" i="1"/>
  <c r="AD110" i="1"/>
  <c r="AC110" i="1"/>
  <c r="AA110" i="1"/>
  <c r="W110" i="1"/>
  <c r="X110" i="1" s="1"/>
  <c r="U110" i="1"/>
  <c r="R110" i="1"/>
  <c r="N110" i="1"/>
  <c r="O110" i="1" s="1"/>
  <c r="L110" i="1"/>
  <c r="H110" i="1"/>
  <c r="I110" i="1" s="1"/>
  <c r="F110" i="1"/>
  <c r="C110" i="1"/>
  <c r="AC109" i="1"/>
  <c r="AD109" i="1" s="1"/>
  <c r="AA109" i="1"/>
  <c r="X109" i="1"/>
  <c r="W109" i="1"/>
  <c r="U109" i="1"/>
  <c r="R109" i="1"/>
  <c r="N109" i="1"/>
  <c r="O109" i="1" s="1"/>
  <c r="L109" i="1"/>
  <c r="H109" i="1"/>
  <c r="I109" i="1" s="1"/>
  <c r="F109" i="1"/>
  <c r="C109" i="1"/>
  <c r="AD108" i="1"/>
  <c r="AC108" i="1"/>
  <c r="AA108" i="1"/>
  <c r="X108" i="1"/>
  <c r="W108" i="1"/>
  <c r="U108" i="1"/>
  <c r="R108" i="1"/>
  <c r="N108" i="1"/>
  <c r="O108" i="1" s="1"/>
  <c r="L108" i="1"/>
  <c r="H108" i="1"/>
  <c r="I108" i="1" s="1"/>
  <c r="F108" i="1"/>
  <c r="C108" i="1"/>
  <c r="AC107" i="1"/>
  <c r="AD107" i="1" s="1"/>
  <c r="AA107" i="1"/>
  <c r="W107" i="1"/>
  <c r="X107" i="1" s="1"/>
  <c r="U107" i="1"/>
  <c r="R107" i="1"/>
  <c r="O107" i="1"/>
  <c r="N107" i="1"/>
  <c r="L107" i="1"/>
  <c r="I107" i="1"/>
  <c r="H107" i="1"/>
  <c r="F107" i="1"/>
  <c r="C107" i="1"/>
  <c r="AD106" i="1"/>
  <c r="AC106" i="1"/>
  <c r="AA106" i="1"/>
  <c r="W106" i="1"/>
  <c r="X106" i="1" s="1"/>
  <c r="U106" i="1"/>
  <c r="R106" i="1"/>
  <c r="N106" i="1"/>
  <c r="O106" i="1" s="1"/>
  <c r="L106" i="1"/>
  <c r="H106" i="1"/>
  <c r="I106" i="1" s="1"/>
  <c r="F106" i="1"/>
  <c r="C106" i="1"/>
  <c r="AC105" i="1"/>
  <c r="AD105" i="1" s="1"/>
  <c r="AA105" i="1"/>
  <c r="X105" i="1"/>
  <c r="W105" i="1"/>
  <c r="U105" i="1"/>
  <c r="R105" i="1"/>
  <c r="N105" i="1"/>
  <c r="O105" i="1" s="1"/>
  <c r="L105" i="1"/>
  <c r="H105" i="1"/>
  <c r="I105" i="1" s="1"/>
  <c r="F105" i="1"/>
  <c r="C105" i="1"/>
  <c r="AD104" i="1"/>
  <c r="AC104" i="1"/>
  <c r="AA104" i="1"/>
  <c r="W104" i="1"/>
  <c r="X104" i="1" s="1"/>
  <c r="U104" i="1"/>
  <c r="R104" i="1"/>
  <c r="O104" i="1"/>
  <c r="N104" i="1"/>
  <c r="L104" i="1"/>
  <c r="H104" i="1"/>
  <c r="I104" i="1" s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I103" i="1"/>
  <c r="H103" i="1"/>
  <c r="F103" i="1"/>
  <c r="C103" i="1"/>
  <c r="AD102" i="1"/>
  <c r="AC102" i="1"/>
  <c r="AA102" i="1"/>
  <c r="W102" i="1"/>
  <c r="X102" i="1" s="1"/>
  <c r="U102" i="1"/>
  <c r="R102" i="1"/>
  <c r="N102" i="1"/>
  <c r="O102" i="1" s="1"/>
  <c r="L102" i="1"/>
  <c r="H102" i="1"/>
  <c r="I102" i="1" s="1"/>
  <c r="F102" i="1"/>
  <c r="C102" i="1"/>
  <c r="AC101" i="1"/>
  <c r="AD101" i="1" s="1"/>
  <c r="AA101" i="1"/>
  <c r="X101" i="1"/>
  <c r="W101" i="1"/>
  <c r="U101" i="1"/>
  <c r="R101" i="1"/>
  <c r="N101" i="1"/>
  <c r="O101" i="1" s="1"/>
  <c r="L101" i="1"/>
  <c r="H101" i="1"/>
  <c r="I101" i="1" s="1"/>
  <c r="F101" i="1"/>
  <c r="C101" i="1"/>
  <c r="AD100" i="1"/>
  <c r="AC100" i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C99" i="1"/>
  <c r="AD99" i="1" s="1"/>
  <c r="AA99" i="1"/>
  <c r="W99" i="1"/>
  <c r="X99" i="1" s="1"/>
  <c r="U99" i="1"/>
  <c r="R99" i="1"/>
  <c r="O99" i="1"/>
  <c r="N99" i="1"/>
  <c r="L99" i="1"/>
  <c r="I99" i="1"/>
  <c r="H99" i="1"/>
  <c r="F99" i="1"/>
  <c r="C99" i="1"/>
  <c r="AD98" i="1"/>
  <c r="AC98" i="1"/>
  <c r="AA98" i="1"/>
  <c r="W98" i="1"/>
  <c r="X98" i="1" s="1"/>
  <c r="U98" i="1"/>
  <c r="R98" i="1"/>
  <c r="N98" i="1"/>
  <c r="O98" i="1" s="1"/>
  <c r="L98" i="1"/>
  <c r="H98" i="1"/>
  <c r="I98" i="1" s="1"/>
  <c r="F98" i="1"/>
  <c r="C98" i="1"/>
  <c r="AC97" i="1"/>
  <c r="AD97" i="1" s="1"/>
  <c r="AA97" i="1"/>
  <c r="X97" i="1"/>
  <c r="W97" i="1"/>
  <c r="U97" i="1"/>
  <c r="R97" i="1"/>
  <c r="N97" i="1"/>
  <c r="O97" i="1" s="1"/>
  <c r="L97" i="1"/>
  <c r="H97" i="1"/>
  <c r="I97" i="1" s="1"/>
  <c r="F97" i="1"/>
  <c r="C97" i="1"/>
  <c r="AD96" i="1"/>
  <c r="AC96" i="1"/>
  <c r="AA96" i="1"/>
  <c r="W96" i="1"/>
  <c r="X96" i="1" s="1"/>
  <c r="U96" i="1"/>
  <c r="R96" i="1"/>
  <c r="O96" i="1"/>
  <c r="N96" i="1"/>
  <c r="L96" i="1"/>
  <c r="H96" i="1"/>
  <c r="I96" i="1" s="1"/>
  <c r="F96" i="1"/>
  <c r="C96" i="1"/>
  <c r="AC95" i="1"/>
  <c r="AD95" i="1" s="1"/>
  <c r="AA95" i="1"/>
  <c r="W95" i="1"/>
  <c r="X95" i="1" s="1"/>
  <c r="U95" i="1"/>
  <c r="R95" i="1"/>
  <c r="N95" i="1"/>
  <c r="O95" i="1" s="1"/>
  <c r="L95" i="1"/>
  <c r="I95" i="1"/>
  <c r="H95" i="1"/>
  <c r="F95" i="1"/>
  <c r="C95" i="1"/>
  <c r="AD94" i="1"/>
  <c r="AC94" i="1"/>
  <c r="AA94" i="1"/>
  <c r="W94" i="1"/>
  <c r="X94" i="1" s="1"/>
  <c r="U94" i="1"/>
  <c r="R94" i="1"/>
  <c r="N94" i="1"/>
  <c r="O94" i="1" s="1"/>
  <c r="L94" i="1"/>
  <c r="H94" i="1"/>
  <c r="I94" i="1" s="1"/>
  <c r="F94" i="1"/>
  <c r="C94" i="1"/>
  <c r="AC92" i="1"/>
  <c r="AD92" i="1" s="1"/>
  <c r="AA92" i="1"/>
  <c r="X92" i="1"/>
  <c r="W92" i="1"/>
  <c r="U92" i="1"/>
  <c r="R92" i="1"/>
  <c r="N92" i="1"/>
  <c r="O92" i="1" s="1"/>
  <c r="L92" i="1"/>
  <c r="H92" i="1"/>
  <c r="I92" i="1" s="1"/>
  <c r="F92" i="1"/>
  <c r="C92" i="1"/>
  <c r="AD91" i="1"/>
  <c r="AC91" i="1"/>
  <c r="AA91" i="1"/>
  <c r="X91" i="1"/>
  <c r="W91" i="1"/>
  <c r="U91" i="1"/>
  <c r="R91" i="1"/>
  <c r="N91" i="1"/>
  <c r="O91" i="1" s="1"/>
  <c r="L91" i="1"/>
  <c r="H91" i="1"/>
  <c r="I91" i="1" s="1"/>
  <c r="F91" i="1"/>
  <c r="C91" i="1"/>
  <c r="AC90" i="1"/>
  <c r="AD90" i="1" s="1"/>
  <c r="AA90" i="1"/>
  <c r="W90" i="1"/>
  <c r="X90" i="1" s="1"/>
  <c r="U90" i="1"/>
  <c r="R90" i="1"/>
  <c r="O90" i="1"/>
  <c r="N90" i="1"/>
  <c r="L90" i="1"/>
  <c r="I90" i="1"/>
  <c r="H90" i="1"/>
  <c r="F90" i="1"/>
  <c r="C90" i="1"/>
  <c r="AD89" i="1"/>
  <c r="AC89" i="1"/>
  <c r="AA89" i="1"/>
  <c r="W89" i="1"/>
  <c r="X89" i="1" s="1"/>
  <c r="U89" i="1"/>
  <c r="R89" i="1"/>
  <c r="N89" i="1"/>
  <c r="O89" i="1" s="1"/>
  <c r="L89" i="1"/>
  <c r="H89" i="1"/>
  <c r="I89" i="1" s="1"/>
  <c r="F89" i="1"/>
  <c r="C89" i="1"/>
  <c r="Z88" i="1"/>
  <c r="AA88" i="1" s="1"/>
  <c r="U88" i="1"/>
  <c r="T88" i="1"/>
  <c r="Q88" i="1"/>
  <c r="R88" i="1" s="1"/>
  <c r="N88" i="1"/>
  <c r="O88" i="1" s="1"/>
  <c r="L88" i="1"/>
  <c r="K88" i="1"/>
  <c r="E88" i="1"/>
  <c r="F88" i="1" s="1"/>
  <c r="C88" i="1"/>
  <c r="B88" i="1"/>
  <c r="H88" i="1" s="1"/>
  <c r="I88" i="1" s="1"/>
  <c r="AC87" i="1"/>
  <c r="AD87" i="1" s="1"/>
  <c r="AA87" i="1"/>
  <c r="W87" i="1"/>
  <c r="X87" i="1" s="1"/>
  <c r="U87" i="1"/>
  <c r="R87" i="1"/>
  <c r="O87" i="1"/>
  <c r="N87" i="1"/>
  <c r="L87" i="1"/>
  <c r="I87" i="1"/>
  <c r="H87" i="1"/>
  <c r="F87" i="1"/>
  <c r="C87" i="1"/>
  <c r="AC86" i="1"/>
  <c r="AD86" i="1" s="1"/>
  <c r="AA86" i="1"/>
  <c r="W86" i="1"/>
  <c r="X86" i="1" s="1"/>
  <c r="U86" i="1"/>
  <c r="R86" i="1"/>
  <c r="N86" i="1"/>
  <c r="O86" i="1" s="1"/>
  <c r="L86" i="1"/>
  <c r="I86" i="1"/>
  <c r="H86" i="1"/>
  <c r="F86" i="1"/>
  <c r="C86" i="1"/>
  <c r="AC85" i="1"/>
  <c r="AD85" i="1" s="1"/>
  <c r="AA85" i="1"/>
  <c r="W85" i="1"/>
  <c r="X85" i="1" s="1"/>
  <c r="U85" i="1"/>
  <c r="R85" i="1"/>
  <c r="N85" i="1"/>
  <c r="O85" i="1" s="1"/>
  <c r="L85" i="1"/>
  <c r="I85" i="1"/>
  <c r="H85" i="1"/>
  <c r="F85" i="1"/>
  <c r="C85" i="1"/>
  <c r="AD84" i="1"/>
  <c r="AC84" i="1"/>
  <c r="AA84" i="1"/>
  <c r="X84" i="1"/>
  <c r="W84" i="1"/>
  <c r="U84" i="1"/>
  <c r="R84" i="1"/>
  <c r="O84" i="1"/>
  <c r="N84" i="1"/>
  <c r="L84" i="1"/>
  <c r="H84" i="1"/>
  <c r="I84" i="1" s="1"/>
  <c r="F84" i="1"/>
  <c r="C84" i="1"/>
  <c r="AC83" i="1"/>
  <c r="AD83" i="1" s="1"/>
  <c r="AA83" i="1"/>
  <c r="W83" i="1"/>
  <c r="X83" i="1" s="1"/>
  <c r="U83" i="1"/>
  <c r="R83" i="1"/>
  <c r="O83" i="1"/>
  <c r="N83" i="1"/>
  <c r="L83" i="1"/>
  <c r="I83" i="1"/>
  <c r="H83" i="1"/>
  <c r="F83" i="1"/>
  <c r="C83" i="1"/>
  <c r="AC82" i="1"/>
  <c r="AD82" i="1" s="1"/>
  <c r="AA82" i="1"/>
  <c r="W82" i="1"/>
  <c r="X82" i="1" s="1"/>
  <c r="U82" i="1"/>
  <c r="R82" i="1"/>
  <c r="N82" i="1"/>
  <c r="O82" i="1" s="1"/>
  <c r="L82" i="1"/>
  <c r="I82" i="1"/>
  <c r="H82" i="1"/>
  <c r="F82" i="1"/>
  <c r="C82" i="1"/>
  <c r="AC81" i="1"/>
  <c r="AD81" i="1" s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D80" i="1"/>
  <c r="AC80" i="1"/>
  <c r="AA80" i="1"/>
  <c r="X80" i="1"/>
  <c r="W80" i="1"/>
  <c r="U80" i="1"/>
  <c r="R80" i="1"/>
  <c r="O80" i="1"/>
  <c r="N80" i="1"/>
  <c r="L80" i="1"/>
  <c r="H80" i="1"/>
  <c r="I80" i="1" s="1"/>
  <c r="F80" i="1"/>
  <c r="C80" i="1"/>
  <c r="AC79" i="1"/>
  <c r="AD79" i="1" s="1"/>
  <c r="AA79" i="1"/>
  <c r="W79" i="1"/>
  <c r="X79" i="1" s="1"/>
  <c r="U79" i="1"/>
  <c r="R79" i="1"/>
  <c r="O79" i="1"/>
  <c r="N79" i="1"/>
  <c r="L79" i="1"/>
  <c r="I79" i="1"/>
  <c r="H79" i="1"/>
  <c r="F79" i="1"/>
  <c r="C79" i="1"/>
  <c r="AC78" i="1"/>
  <c r="AD78" i="1" s="1"/>
  <c r="AA78" i="1"/>
  <c r="W78" i="1"/>
  <c r="X78" i="1" s="1"/>
  <c r="U78" i="1"/>
  <c r="R78" i="1"/>
  <c r="N78" i="1"/>
  <c r="O78" i="1" s="1"/>
  <c r="L78" i="1"/>
  <c r="I78" i="1"/>
  <c r="H78" i="1"/>
  <c r="F78" i="1"/>
  <c r="C78" i="1"/>
  <c r="AC77" i="1"/>
  <c r="AD77" i="1" s="1"/>
  <c r="AA77" i="1"/>
  <c r="W77" i="1"/>
  <c r="X77" i="1" s="1"/>
  <c r="U77" i="1"/>
  <c r="R77" i="1"/>
  <c r="N77" i="1"/>
  <c r="O77" i="1" s="1"/>
  <c r="L77" i="1"/>
  <c r="I77" i="1"/>
  <c r="H77" i="1"/>
  <c r="F77" i="1"/>
  <c r="C77" i="1"/>
  <c r="AD76" i="1"/>
  <c r="AC76" i="1"/>
  <c r="AA76" i="1"/>
  <c r="X76" i="1"/>
  <c r="W76" i="1"/>
  <c r="U76" i="1"/>
  <c r="R76" i="1"/>
  <c r="O76" i="1"/>
  <c r="N76" i="1"/>
  <c r="L76" i="1"/>
  <c r="H76" i="1"/>
  <c r="I76" i="1" s="1"/>
  <c r="F76" i="1"/>
  <c r="C76" i="1"/>
  <c r="AC75" i="1"/>
  <c r="AD75" i="1" s="1"/>
  <c r="AA75" i="1"/>
  <c r="W75" i="1"/>
  <c r="X75" i="1" s="1"/>
  <c r="U75" i="1"/>
  <c r="R75" i="1"/>
  <c r="O75" i="1"/>
  <c r="N75" i="1"/>
  <c r="L75" i="1"/>
  <c r="I75" i="1"/>
  <c r="H75" i="1"/>
  <c r="F75" i="1"/>
  <c r="C75" i="1"/>
  <c r="AC73" i="1"/>
  <c r="AD73" i="1" s="1"/>
  <c r="AA73" i="1"/>
  <c r="Z73" i="1"/>
  <c r="T73" i="1"/>
  <c r="U73" i="1" s="1"/>
  <c r="R73" i="1"/>
  <c r="Q73" i="1"/>
  <c r="N73" i="1"/>
  <c r="O73" i="1" s="1"/>
  <c r="L73" i="1"/>
  <c r="K73" i="1"/>
  <c r="F73" i="1"/>
  <c r="E73" i="1"/>
  <c r="B73" i="1"/>
  <c r="H73" i="1" s="1"/>
  <c r="I73" i="1" s="1"/>
  <c r="AD72" i="1"/>
  <c r="AC72" i="1"/>
  <c r="AA72" i="1"/>
  <c r="W72" i="1"/>
  <c r="X72" i="1" s="1"/>
  <c r="U72" i="1"/>
  <c r="R72" i="1"/>
  <c r="N72" i="1"/>
  <c r="O72" i="1" s="1"/>
  <c r="L72" i="1"/>
  <c r="H72" i="1"/>
  <c r="I72" i="1" s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X70" i="1"/>
  <c r="W70" i="1"/>
  <c r="U70" i="1"/>
  <c r="R70" i="1"/>
  <c r="O70" i="1"/>
  <c r="N70" i="1"/>
  <c r="L70" i="1"/>
  <c r="I70" i="1"/>
  <c r="H70" i="1"/>
  <c r="F70" i="1"/>
  <c r="C70" i="1"/>
  <c r="AC69" i="1"/>
  <c r="AD69" i="1" s="1"/>
  <c r="AA69" i="1"/>
  <c r="W69" i="1"/>
  <c r="X69" i="1" s="1"/>
  <c r="U69" i="1"/>
  <c r="R69" i="1"/>
  <c r="N69" i="1"/>
  <c r="O69" i="1" s="1"/>
  <c r="L69" i="1"/>
  <c r="I69" i="1"/>
  <c r="H69" i="1"/>
  <c r="F69" i="1"/>
  <c r="C69" i="1"/>
  <c r="AD68" i="1"/>
  <c r="AC68" i="1"/>
  <c r="AA68" i="1"/>
  <c r="W68" i="1"/>
  <c r="X68" i="1" s="1"/>
  <c r="U68" i="1"/>
  <c r="R68" i="1"/>
  <c r="N68" i="1"/>
  <c r="O68" i="1" s="1"/>
  <c r="L68" i="1"/>
  <c r="H68" i="1"/>
  <c r="I68" i="1" s="1"/>
  <c r="F68" i="1"/>
  <c r="C68" i="1"/>
  <c r="AD67" i="1"/>
  <c r="AC67" i="1"/>
  <c r="AA67" i="1"/>
  <c r="W67" i="1"/>
  <c r="X67" i="1" s="1"/>
  <c r="U67" i="1"/>
  <c r="R67" i="1"/>
  <c r="N67" i="1"/>
  <c r="O67" i="1" s="1"/>
  <c r="L67" i="1"/>
  <c r="I67" i="1"/>
  <c r="H67" i="1"/>
  <c r="F67" i="1"/>
  <c r="C67" i="1"/>
  <c r="AC66" i="1"/>
  <c r="AD66" i="1" s="1"/>
  <c r="AA66" i="1"/>
  <c r="X66" i="1"/>
  <c r="W66" i="1"/>
  <c r="U66" i="1"/>
  <c r="R66" i="1"/>
  <c r="O66" i="1"/>
  <c r="N66" i="1"/>
  <c r="L66" i="1"/>
  <c r="I66" i="1"/>
  <c r="H66" i="1"/>
  <c r="F66" i="1"/>
  <c r="C66" i="1"/>
  <c r="AC65" i="1"/>
  <c r="AD65" i="1" s="1"/>
  <c r="AA65" i="1"/>
  <c r="W65" i="1"/>
  <c r="X65" i="1" s="1"/>
  <c r="U65" i="1"/>
  <c r="R65" i="1"/>
  <c r="N65" i="1"/>
  <c r="O65" i="1" s="1"/>
  <c r="L65" i="1"/>
  <c r="I65" i="1"/>
  <c r="H65" i="1"/>
  <c r="F65" i="1"/>
  <c r="C65" i="1"/>
  <c r="AD64" i="1"/>
  <c r="AC64" i="1"/>
  <c r="AA64" i="1"/>
  <c r="W64" i="1"/>
  <c r="X64" i="1" s="1"/>
  <c r="U64" i="1"/>
  <c r="R64" i="1"/>
  <c r="N64" i="1"/>
  <c r="O64" i="1" s="1"/>
  <c r="L64" i="1"/>
  <c r="H64" i="1"/>
  <c r="I64" i="1" s="1"/>
  <c r="F64" i="1"/>
  <c r="C64" i="1"/>
  <c r="AA62" i="1"/>
  <c r="Z62" i="1"/>
  <c r="W62" i="1"/>
  <c r="X62" i="1" s="1"/>
  <c r="T62" i="1"/>
  <c r="U62" i="1" s="1"/>
  <c r="R62" i="1"/>
  <c r="Q62" i="1"/>
  <c r="AC62" i="1" s="1"/>
  <c r="AD62" i="1" s="1"/>
  <c r="K62" i="1"/>
  <c r="L62" i="1" s="1"/>
  <c r="I62" i="1"/>
  <c r="H62" i="1"/>
  <c r="E62" i="1"/>
  <c r="F62" i="1" s="1"/>
  <c r="C62" i="1"/>
  <c r="B62" i="1"/>
  <c r="Z61" i="1"/>
  <c r="AA61" i="1" s="1"/>
  <c r="U61" i="1"/>
  <c r="T61" i="1"/>
  <c r="Q61" i="1"/>
  <c r="R61" i="1" s="1"/>
  <c r="N61" i="1"/>
  <c r="O61" i="1" s="1"/>
  <c r="L61" i="1"/>
  <c r="K61" i="1"/>
  <c r="E61" i="1"/>
  <c r="F61" i="1" s="1"/>
  <c r="C61" i="1"/>
  <c r="B61" i="1"/>
  <c r="H61" i="1" s="1"/>
  <c r="I61" i="1" s="1"/>
  <c r="AC60" i="1"/>
  <c r="AD60" i="1" s="1"/>
  <c r="AA60" i="1"/>
  <c r="W60" i="1"/>
  <c r="X60" i="1" s="1"/>
  <c r="U60" i="1"/>
  <c r="R60" i="1"/>
  <c r="O60" i="1"/>
  <c r="N60" i="1"/>
  <c r="L60" i="1"/>
  <c r="I60" i="1"/>
  <c r="H60" i="1"/>
  <c r="F60" i="1"/>
  <c r="C60" i="1"/>
  <c r="AC59" i="1"/>
  <c r="AD59" i="1" s="1"/>
  <c r="AA59" i="1"/>
  <c r="W59" i="1"/>
  <c r="X59" i="1" s="1"/>
  <c r="U59" i="1"/>
  <c r="R59" i="1"/>
  <c r="N59" i="1"/>
  <c r="O59" i="1" s="1"/>
  <c r="L59" i="1"/>
  <c r="I59" i="1"/>
  <c r="H59" i="1"/>
  <c r="F59" i="1"/>
  <c r="C59" i="1"/>
  <c r="AC58" i="1"/>
  <c r="AD58" i="1" s="1"/>
  <c r="AA58" i="1"/>
  <c r="W58" i="1"/>
  <c r="X58" i="1" s="1"/>
  <c r="U58" i="1"/>
  <c r="R58" i="1"/>
  <c r="N58" i="1"/>
  <c r="O58" i="1" s="1"/>
  <c r="L58" i="1"/>
  <c r="I58" i="1"/>
  <c r="H58" i="1"/>
  <c r="F58" i="1"/>
  <c r="C58" i="1"/>
  <c r="AD57" i="1"/>
  <c r="AC57" i="1"/>
  <c r="AA57" i="1"/>
  <c r="X57" i="1"/>
  <c r="W57" i="1"/>
  <c r="U57" i="1"/>
  <c r="R57" i="1"/>
  <c r="O57" i="1"/>
  <c r="N57" i="1"/>
  <c r="L57" i="1"/>
  <c r="H57" i="1"/>
  <c r="I57" i="1" s="1"/>
  <c r="F57" i="1"/>
  <c r="C57" i="1"/>
  <c r="AC56" i="1"/>
  <c r="AD56" i="1" s="1"/>
  <c r="AA56" i="1"/>
  <c r="W56" i="1"/>
  <c r="X56" i="1" s="1"/>
  <c r="U56" i="1"/>
  <c r="R56" i="1"/>
  <c r="O56" i="1"/>
  <c r="N56" i="1"/>
  <c r="L56" i="1"/>
  <c r="I56" i="1"/>
  <c r="H56" i="1"/>
  <c r="F56" i="1"/>
  <c r="C56" i="1"/>
  <c r="AC55" i="1"/>
  <c r="AD55" i="1" s="1"/>
  <c r="AA55" i="1"/>
  <c r="W55" i="1"/>
  <c r="X55" i="1" s="1"/>
  <c r="U55" i="1"/>
  <c r="R55" i="1"/>
  <c r="N55" i="1"/>
  <c r="O55" i="1" s="1"/>
  <c r="L55" i="1"/>
  <c r="I55" i="1"/>
  <c r="H55" i="1"/>
  <c r="F55" i="1"/>
  <c r="C55" i="1"/>
  <c r="AC54" i="1"/>
  <c r="AD54" i="1" s="1"/>
  <c r="AA54" i="1"/>
  <c r="W54" i="1"/>
  <c r="X54" i="1" s="1"/>
  <c r="U54" i="1"/>
  <c r="R54" i="1"/>
  <c r="N54" i="1"/>
  <c r="O54" i="1" s="1"/>
  <c r="L54" i="1"/>
  <c r="I54" i="1"/>
  <c r="H54" i="1"/>
  <c r="F54" i="1"/>
  <c r="C54" i="1"/>
  <c r="AD53" i="1"/>
  <c r="AC53" i="1"/>
  <c r="AA53" i="1"/>
  <c r="X53" i="1"/>
  <c r="W53" i="1"/>
  <c r="U53" i="1"/>
  <c r="R53" i="1"/>
  <c r="O53" i="1"/>
  <c r="N53" i="1"/>
  <c r="L53" i="1"/>
  <c r="H53" i="1"/>
  <c r="I53" i="1" s="1"/>
  <c r="F53" i="1"/>
  <c r="C53" i="1"/>
  <c r="AC52" i="1"/>
  <c r="AD52" i="1" s="1"/>
  <c r="AA52" i="1"/>
  <c r="W52" i="1"/>
  <c r="X52" i="1" s="1"/>
  <c r="U52" i="1"/>
  <c r="R52" i="1"/>
  <c r="O52" i="1"/>
  <c r="N52" i="1"/>
  <c r="L52" i="1"/>
  <c r="I52" i="1"/>
  <c r="H52" i="1"/>
  <c r="F52" i="1"/>
  <c r="C52" i="1"/>
  <c r="AC51" i="1"/>
  <c r="AD51" i="1" s="1"/>
  <c r="AA51" i="1"/>
  <c r="W51" i="1"/>
  <c r="X51" i="1" s="1"/>
  <c r="U51" i="1"/>
  <c r="R51" i="1"/>
  <c r="N51" i="1"/>
  <c r="O51" i="1" s="1"/>
  <c r="L51" i="1"/>
  <c r="H51" i="1"/>
  <c r="I51" i="1" s="1"/>
  <c r="F51" i="1"/>
  <c r="C51" i="1"/>
  <c r="AC50" i="1"/>
  <c r="AD50" i="1" s="1"/>
  <c r="AA50" i="1"/>
  <c r="W50" i="1"/>
  <c r="X50" i="1" s="1"/>
  <c r="U50" i="1"/>
  <c r="R50" i="1"/>
  <c r="N50" i="1"/>
  <c r="O50" i="1" s="1"/>
  <c r="L50" i="1"/>
  <c r="I50" i="1"/>
  <c r="H50" i="1"/>
  <c r="F50" i="1"/>
  <c r="C50" i="1"/>
  <c r="AD49" i="1"/>
  <c r="AC49" i="1"/>
  <c r="AA49" i="1"/>
  <c r="X49" i="1"/>
  <c r="W49" i="1"/>
  <c r="U49" i="1"/>
  <c r="R49" i="1"/>
  <c r="O49" i="1"/>
  <c r="N49" i="1"/>
  <c r="L49" i="1"/>
  <c r="H49" i="1"/>
  <c r="I49" i="1" s="1"/>
  <c r="F49" i="1"/>
  <c r="C49" i="1"/>
  <c r="AC48" i="1"/>
  <c r="AD48" i="1" s="1"/>
  <c r="AA48" i="1"/>
  <c r="W48" i="1"/>
  <c r="X48" i="1" s="1"/>
  <c r="U48" i="1"/>
  <c r="R48" i="1"/>
  <c r="O48" i="1"/>
  <c r="N48" i="1"/>
  <c r="L48" i="1"/>
  <c r="I48" i="1"/>
  <c r="H48" i="1"/>
  <c r="F48" i="1"/>
  <c r="C48" i="1"/>
  <c r="AC47" i="1"/>
  <c r="AD47" i="1" s="1"/>
  <c r="AA47" i="1"/>
  <c r="W47" i="1"/>
  <c r="X47" i="1" s="1"/>
  <c r="U47" i="1"/>
  <c r="R47" i="1"/>
  <c r="N47" i="1"/>
  <c r="O47" i="1" s="1"/>
  <c r="L47" i="1"/>
  <c r="I47" i="1"/>
  <c r="H47" i="1"/>
  <c r="F47" i="1"/>
  <c r="C47" i="1"/>
  <c r="AC46" i="1"/>
  <c r="AD46" i="1" s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D44" i="1"/>
  <c r="AC44" i="1"/>
  <c r="AA44" i="1"/>
  <c r="X44" i="1"/>
  <c r="W44" i="1"/>
  <c r="U44" i="1"/>
  <c r="R44" i="1"/>
  <c r="O44" i="1"/>
  <c r="N44" i="1"/>
  <c r="L44" i="1"/>
  <c r="H44" i="1"/>
  <c r="I44" i="1" s="1"/>
  <c r="F44" i="1"/>
  <c r="C44" i="1"/>
  <c r="AC43" i="1"/>
  <c r="AD43" i="1" s="1"/>
  <c r="AA43" i="1"/>
  <c r="W43" i="1"/>
  <c r="X43" i="1" s="1"/>
  <c r="U43" i="1"/>
  <c r="R43" i="1"/>
  <c r="O43" i="1"/>
  <c r="N43" i="1"/>
  <c r="L43" i="1"/>
  <c r="I43" i="1"/>
  <c r="H43" i="1"/>
  <c r="F43" i="1"/>
  <c r="C43" i="1"/>
  <c r="AC42" i="1"/>
  <c r="AD42" i="1" s="1"/>
  <c r="AA42" i="1"/>
  <c r="W42" i="1"/>
  <c r="X42" i="1" s="1"/>
  <c r="U42" i="1"/>
  <c r="R42" i="1"/>
  <c r="N42" i="1"/>
  <c r="O42" i="1" s="1"/>
  <c r="L42" i="1"/>
  <c r="H42" i="1"/>
  <c r="I42" i="1" s="1"/>
  <c r="F42" i="1"/>
  <c r="C42" i="1"/>
  <c r="Z40" i="1"/>
  <c r="AA40" i="1" s="1"/>
  <c r="U40" i="1"/>
  <c r="T40" i="1"/>
  <c r="Q40" i="1"/>
  <c r="R40" i="1" s="1"/>
  <c r="K40" i="1"/>
  <c r="L40" i="1" s="1"/>
  <c r="E40" i="1"/>
  <c r="F40" i="1" s="1"/>
  <c r="B40" i="1"/>
  <c r="H40" i="1" s="1"/>
  <c r="I40" i="1" s="1"/>
  <c r="AD39" i="1"/>
  <c r="AC39" i="1"/>
  <c r="AA39" i="1"/>
  <c r="W39" i="1"/>
  <c r="X39" i="1" s="1"/>
  <c r="U39" i="1"/>
  <c r="R39" i="1"/>
  <c r="N39" i="1"/>
  <c r="O39" i="1" s="1"/>
  <c r="L39" i="1"/>
  <c r="I39" i="1"/>
  <c r="H39" i="1"/>
  <c r="F39" i="1"/>
  <c r="C39" i="1"/>
  <c r="AC38" i="1"/>
  <c r="AD38" i="1" s="1"/>
  <c r="AA38" i="1"/>
  <c r="X38" i="1"/>
  <c r="W38" i="1"/>
  <c r="U38" i="1"/>
  <c r="R38" i="1"/>
  <c r="N38" i="1"/>
  <c r="O38" i="1" s="1"/>
  <c r="L38" i="1"/>
  <c r="I38" i="1"/>
  <c r="H38" i="1"/>
  <c r="F38" i="1"/>
  <c r="C38" i="1"/>
  <c r="AC37" i="1"/>
  <c r="AD37" i="1" s="1"/>
  <c r="AA37" i="1"/>
  <c r="W37" i="1"/>
  <c r="X37" i="1" s="1"/>
  <c r="U37" i="1"/>
  <c r="R37" i="1"/>
  <c r="N37" i="1"/>
  <c r="O37" i="1" s="1"/>
  <c r="L37" i="1"/>
  <c r="I37" i="1"/>
  <c r="H37" i="1"/>
  <c r="F37" i="1"/>
  <c r="C37" i="1"/>
  <c r="AD36" i="1"/>
  <c r="AC36" i="1"/>
  <c r="AA36" i="1"/>
  <c r="W36" i="1"/>
  <c r="X36" i="1" s="1"/>
  <c r="U36" i="1"/>
  <c r="R36" i="1"/>
  <c r="N36" i="1"/>
  <c r="O36" i="1" s="1"/>
  <c r="L36" i="1"/>
  <c r="H36" i="1"/>
  <c r="I36" i="1" s="1"/>
  <c r="F36" i="1"/>
  <c r="C36" i="1"/>
  <c r="AC35" i="1"/>
  <c r="AD35" i="1" s="1"/>
  <c r="AA35" i="1"/>
  <c r="W35" i="1"/>
  <c r="X35" i="1" s="1"/>
  <c r="U35" i="1"/>
  <c r="R35" i="1"/>
  <c r="N35" i="1"/>
  <c r="O35" i="1" s="1"/>
  <c r="L35" i="1"/>
  <c r="I35" i="1"/>
  <c r="H35" i="1"/>
  <c r="F35" i="1"/>
  <c r="C35" i="1"/>
  <c r="AC34" i="1"/>
  <c r="AD34" i="1" s="1"/>
  <c r="AA34" i="1"/>
  <c r="W34" i="1"/>
  <c r="X34" i="1" s="1"/>
  <c r="U34" i="1"/>
  <c r="R34" i="1"/>
  <c r="O34" i="1"/>
  <c r="N34" i="1"/>
  <c r="L34" i="1"/>
  <c r="I34" i="1"/>
  <c r="H34" i="1"/>
  <c r="F34" i="1"/>
  <c r="C34" i="1"/>
  <c r="AC33" i="1"/>
  <c r="AD33" i="1" s="1"/>
  <c r="AA33" i="1"/>
  <c r="W33" i="1"/>
  <c r="X33" i="1" s="1"/>
  <c r="U33" i="1"/>
  <c r="R33" i="1"/>
  <c r="N33" i="1"/>
  <c r="O33" i="1" s="1"/>
  <c r="L33" i="1"/>
  <c r="I33" i="1"/>
  <c r="H33" i="1"/>
  <c r="F33" i="1"/>
  <c r="C33" i="1"/>
  <c r="AD32" i="1"/>
  <c r="AC32" i="1"/>
  <c r="AA32" i="1"/>
  <c r="W32" i="1"/>
  <c r="X32" i="1" s="1"/>
  <c r="U32" i="1"/>
  <c r="R32" i="1"/>
  <c r="N32" i="1"/>
  <c r="O32" i="1" s="1"/>
  <c r="L32" i="1"/>
  <c r="H32" i="1"/>
  <c r="I32" i="1" s="1"/>
  <c r="F32" i="1"/>
  <c r="C32" i="1"/>
  <c r="AD31" i="1"/>
  <c r="AC31" i="1"/>
  <c r="AA31" i="1"/>
  <c r="W31" i="1"/>
  <c r="X31" i="1" s="1"/>
  <c r="U31" i="1"/>
  <c r="R31" i="1"/>
  <c r="N31" i="1"/>
  <c r="O31" i="1" s="1"/>
  <c r="L31" i="1"/>
  <c r="I31" i="1"/>
  <c r="H31" i="1"/>
  <c r="F31" i="1"/>
  <c r="C31" i="1"/>
  <c r="AC29" i="1"/>
  <c r="AD29" i="1" s="1"/>
  <c r="AA29" i="1"/>
  <c r="Z29" i="1"/>
  <c r="T29" i="1"/>
  <c r="U29" i="1" s="1"/>
  <c r="R29" i="1"/>
  <c r="Q29" i="1"/>
  <c r="W29" i="1" s="1"/>
  <c r="X29" i="1" s="1"/>
  <c r="N29" i="1"/>
  <c r="O29" i="1" s="1"/>
  <c r="L29" i="1"/>
  <c r="K29" i="1"/>
  <c r="E29" i="1"/>
  <c r="F29" i="1" s="1"/>
  <c r="B29" i="1"/>
  <c r="H29" i="1" s="1"/>
  <c r="I29" i="1" s="1"/>
  <c r="AD28" i="1"/>
  <c r="AC28" i="1"/>
  <c r="AA28" i="1"/>
  <c r="W28" i="1"/>
  <c r="X28" i="1" s="1"/>
  <c r="U28" i="1"/>
  <c r="R28" i="1"/>
  <c r="N28" i="1"/>
  <c r="O28" i="1" s="1"/>
  <c r="L28" i="1"/>
  <c r="H28" i="1"/>
  <c r="I28" i="1" s="1"/>
  <c r="F28" i="1"/>
  <c r="C28" i="1"/>
  <c r="AD27" i="1"/>
  <c r="AC27" i="1"/>
  <c r="AA27" i="1"/>
  <c r="W27" i="1"/>
  <c r="X27" i="1" s="1"/>
  <c r="U27" i="1"/>
  <c r="R27" i="1"/>
  <c r="N27" i="1"/>
  <c r="O27" i="1" s="1"/>
  <c r="L27" i="1"/>
  <c r="I27" i="1"/>
  <c r="H27" i="1"/>
  <c r="F27" i="1"/>
  <c r="C27" i="1"/>
  <c r="AD26" i="1"/>
  <c r="AC26" i="1"/>
  <c r="AA26" i="1"/>
  <c r="X26" i="1"/>
  <c r="W26" i="1"/>
  <c r="U26" i="1"/>
  <c r="R26" i="1"/>
  <c r="O26" i="1"/>
  <c r="N26" i="1"/>
  <c r="L26" i="1"/>
  <c r="H26" i="1"/>
  <c r="I26" i="1" s="1"/>
  <c r="F26" i="1"/>
  <c r="C26" i="1"/>
  <c r="AC25" i="1"/>
  <c r="AD25" i="1" s="1"/>
  <c r="AA25" i="1"/>
  <c r="X25" i="1"/>
  <c r="W25" i="1"/>
  <c r="U25" i="1"/>
  <c r="R25" i="1"/>
  <c r="N25" i="1"/>
  <c r="O25" i="1" s="1"/>
  <c r="L25" i="1"/>
  <c r="H25" i="1"/>
  <c r="I25" i="1" s="1"/>
  <c r="F25" i="1"/>
  <c r="C25" i="1"/>
  <c r="AD24" i="1"/>
  <c r="AC24" i="1"/>
  <c r="AA24" i="1"/>
  <c r="W24" i="1"/>
  <c r="X24" i="1" s="1"/>
  <c r="U24" i="1"/>
  <c r="R24" i="1"/>
  <c r="N24" i="1"/>
  <c r="O24" i="1" s="1"/>
  <c r="L24" i="1"/>
  <c r="H24" i="1"/>
  <c r="I24" i="1" s="1"/>
  <c r="F24" i="1"/>
  <c r="C24" i="1"/>
  <c r="AD23" i="1"/>
  <c r="AC23" i="1"/>
  <c r="AA23" i="1"/>
  <c r="W23" i="1"/>
  <c r="X23" i="1" s="1"/>
  <c r="U23" i="1"/>
  <c r="R23" i="1"/>
  <c r="N23" i="1"/>
  <c r="O23" i="1" s="1"/>
  <c r="L23" i="1"/>
  <c r="I23" i="1"/>
  <c r="H23" i="1"/>
  <c r="F23" i="1"/>
  <c r="C23" i="1"/>
  <c r="AC22" i="1"/>
  <c r="AD22" i="1" s="1"/>
  <c r="AA22" i="1"/>
  <c r="X22" i="1"/>
  <c r="W22" i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X21" i="1"/>
  <c r="W21" i="1"/>
  <c r="U21" i="1"/>
  <c r="R21" i="1"/>
  <c r="N21" i="1"/>
  <c r="O21" i="1" s="1"/>
  <c r="L21" i="1"/>
  <c r="H21" i="1"/>
  <c r="I21" i="1" s="1"/>
  <c r="F21" i="1"/>
  <c r="C21" i="1"/>
  <c r="AD19" i="1"/>
  <c r="AC19" i="1"/>
  <c r="AA19" i="1"/>
  <c r="W19" i="1"/>
  <c r="X19" i="1" s="1"/>
  <c r="U19" i="1"/>
  <c r="R19" i="1"/>
  <c r="N19" i="1"/>
  <c r="O19" i="1" s="1"/>
  <c r="L19" i="1"/>
  <c r="H19" i="1"/>
  <c r="I19" i="1" s="1"/>
  <c r="F19" i="1"/>
  <c r="C19" i="1"/>
  <c r="AA18" i="1"/>
  <c r="Z18" i="1"/>
  <c r="W18" i="1"/>
  <c r="X18" i="1" s="1"/>
  <c r="U18" i="1"/>
  <c r="T18" i="1"/>
  <c r="Q18" i="1"/>
  <c r="R18" i="1" s="1"/>
  <c r="K18" i="1"/>
  <c r="L18" i="1" s="1"/>
  <c r="H18" i="1"/>
  <c r="I18" i="1" s="1"/>
  <c r="F18" i="1"/>
  <c r="E18" i="1"/>
  <c r="C18" i="1"/>
  <c r="B18" i="1"/>
  <c r="N18" i="1" s="1"/>
  <c r="O18" i="1" s="1"/>
  <c r="AC17" i="1"/>
  <c r="AD17" i="1" s="1"/>
  <c r="AA17" i="1"/>
  <c r="W17" i="1"/>
  <c r="X17" i="1" s="1"/>
  <c r="U17" i="1"/>
  <c r="R17" i="1"/>
  <c r="N17" i="1"/>
  <c r="O17" i="1" s="1"/>
  <c r="L17" i="1"/>
  <c r="H17" i="1"/>
  <c r="I17" i="1" s="1"/>
  <c r="F17" i="1"/>
  <c r="C17" i="1"/>
  <c r="AD16" i="1"/>
  <c r="AC16" i="1"/>
  <c r="AA16" i="1"/>
  <c r="X16" i="1"/>
  <c r="W16" i="1"/>
  <c r="U16" i="1"/>
  <c r="R16" i="1"/>
  <c r="O16" i="1"/>
  <c r="N16" i="1"/>
  <c r="L16" i="1"/>
  <c r="H16" i="1"/>
  <c r="I16" i="1" s="1"/>
  <c r="F16" i="1"/>
  <c r="C16" i="1"/>
  <c r="AC15" i="1"/>
  <c r="AD15" i="1" s="1"/>
  <c r="AA15" i="1"/>
  <c r="W15" i="1"/>
  <c r="X15" i="1" s="1"/>
  <c r="U15" i="1"/>
  <c r="R15" i="1"/>
  <c r="O15" i="1"/>
  <c r="N15" i="1"/>
  <c r="L15" i="1"/>
  <c r="I15" i="1"/>
  <c r="H15" i="1"/>
  <c r="F15" i="1"/>
  <c r="C15" i="1"/>
  <c r="AC14" i="1"/>
  <c r="AD14" i="1" s="1"/>
  <c r="AA14" i="1"/>
  <c r="W14" i="1"/>
  <c r="X14" i="1" s="1"/>
  <c r="U14" i="1"/>
  <c r="R14" i="1"/>
  <c r="N14" i="1"/>
  <c r="O14" i="1" s="1"/>
  <c r="L14" i="1"/>
  <c r="H14" i="1"/>
  <c r="I14" i="1" s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I13" i="1"/>
  <c r="H13" i="1"/>
  <c r="F13" i="1"/>
  <c r="C13" i="1"/>
  <c r="AD12" i="1"/>
  <c r="AC12" i="1"/>
  <c r="AA12" i="1"/>
  <c r="X12" i="1"/>
  <c r="W12" i="1"/>
  <c r="U12" i="1"/>
  <c r="R12" i="1"/>
  <c r="O12" i="1"/>
  <c r="N12" i="1"/>
  <c r="L12" i="1"/>
  <c r="H12" i="1"/>
  <c r="I12" i="1" s="1"/>
  <c r="F12" i="1"/>
  <c r="C12" i="1"/>
  <c r="AC11" i="1"/>
  <c r="AD11" i="1" s="1"/>
  <c r="AA11" i="1"/>
  <c r="W11" i="1"/>
  <c r="X11" i="1" s="1"/>
  <c r="U11" i="1"/>
  <c r="R11" i="1"/>
  <c r="O11" i="1"/>
  <c r="N11" i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N10" i="1"/>
  <c r="O10" i="1" s="1"/>
  <c r="L10" i="1"/>
  <c r="I10" i="1"/>
  <c r="H10" i="1"/>
  <c r="F10" i="1"/>
  <c r="C10" i="1"/>
  <c r="AC8" i="1"/>
  <c r="AD8" i="1" s="1"/>
  <c r="AA8" i="1"/>
  <c r="W8" i="1"/>
  <c r="X8" i="1" s="1"/>
  <c r="U8" i="1"/>
  <c r="R8" i="1"/>
  <c r="N8" i="1"/>
  <c r="O8" i="1" s="1"/>
  <c r="L8" i="1"/>
  <c r="I8" i="1"/>
  <c r="H8" i="1"/>
  <c r="F8" i="1"/>
  <c r="C8" i="1"/>
  <c r="K345" i="1" l="1"/>
  <c r="L198" i="1"/>
  <c r="Z198" i="1"/>
  <c r="AA172" i="1"/>
  <c r="E404" i="1"/>
  <c r="F345" i="1"/>
  <c r="T404" i="1"/>
  <c r="U345" i="1"/>
  <c r="W368" i="1"/>
  <c r="X368" i="1" s="1"/>
  <c r="U368" i="1"/>
  <c r="W429" i="1"/>
  <c r="X429" i="1" s="1"/>
  <c r="R429" i="1"/>
  <c r="W149" i="2"/>
  <c r="X149" i="2" s="1"/>
  <c r="R149" i="2"/>
  <c r="AC149" i="2"/>
  <c r="AD149" i="2" s="1"/>
  <c r="H158" i="2"/>
  <c r="I158" i="2" s="1"/>
  <c r="F158" i="2"/>
  <c r="H263" i="2"/>
  <c r="I263" i="2" s="1"/>
  <c r="F263" i="2"/>
  <c r="L295" i="2"/>
  <c r="N295" i="2"/>
  <c r="O295" i="2" s="1"/>
  <c r="AA171" i="1"/>
  <c r="F196" i="1"/>
  <c r="U196" i="1"/>
  <c r="U198" i="1"/>
  <c r="E172" i="2"/>
  <c r="H124" i="2"/>
  <c r="I124" i="2" s="1"/>
  <c r="F124" i="2"/>
  <c r="H148" i="2"/>
  <c r="I148" i="2" s="1"/>
  <c r="C148" i="2"/>
  <c r="N148" i="2"/>
  <c r="O148" i="2" s="1"/>
  <c r="AC61" i="1"/>
  <c r="AD61" i="1" s="1"/>
  <c r="C73" i="1"/>
  <c r="W73" i="1"/>
  <c r="X73" i="1" s="1"/>
  <c r="AC88" i="1"/>
  <c r="AD88" i="1" s="1"/>
  <c r="F118" i="1"/>
  <c r="H122" i="1"/>
  <c r="I122" i="1" s="1"/>
  <c r="U122" i="1"/>
  <c r="W148" i="1"/>
  <c r="X148" i="1" s="1"/>
  <c r="F149" i="1"/>
  <c r="N170" i="1"/>
  <c r="O170" i="1" s="1"/>
  <c r="N171" i="1"/>
  <c r="O171" i="1" s="1"/>
  <c r="AC171" i="1"/>
  <c r="AD171" i="1" s="1"/>
  <c r="W197" i="1"/>
  <c r="X197" i="1" s="1"/>
  <c r="L218" i="1"/>
  <c r="N262" i="1"/>
  <c r="O262" i="1" s="1"/>
  <c r="H267" i="1"/>
  <c r="I267" i="1" s="1"/>
  <c r="W267" i="1"/>
  <c r="X267" i="1" s="1"/>
  <c r="C40" i="1"/>
  <c r="L172" i="1"/>
  <c r="F198" i="1"/>
  <c r="AC343" i="1"/>
  <c r="AD343" i="1" s="1"/>
  <c r="AA343" i="1"/>
  <c r="H193" i="2"/>
  <c r="I193" i="2" s="1"/>
  <c r="F193" i="2"/>
  <c r="AC18" i="1"/>
  <c r="AD18" i="1" s="1"/>
  <c r="C29" i="1"/>
  <c r="W40" i="1"/>
  <c r="X40" i="1" s="1"/>
  <c r="N62" i="1"/>
  <c r="O62" i="1" s="1"/>
  <c r="W118" i="1"/>
  <c r="X118" i="1" s="1"/>
  <c r="N124" i="1"/>
  <c r="O124" i="1" s="1"/>
  <c r="Q172" i="1"/>
  <c r="W149" i="1"/>
  <c r="X149" i="1" s="1"/>
  <c r="N166" i="1"/>
  <c r="O166" i="1" s="1"/>
  <c r="AC170" i="1"/>
  <c r="AD170" i="1" s="1"/>
  <c r="H182" i="1"/>
  <c r="I182" i="1" s="1"/>
  <c r="AC193" i="1"/>
  <c r="AD193" i="1" s="1"/>
  <c r="AC262" i="1"/>
  <c r="AD262" i="1" s="1"/>
  <c r="AC263" i="1"/>
  <c r="AD263" i="1" s="1"/>
  <c r="H197" i="2"/>
  <c r="I197" i="2" s="1"/>
  <c r="C197" i="2"/>
  <c r="N197" i="2"/>
  <c r="O197" i="2" s="1"/>
  <c r="AC428" i="1"/>
  <c r="AD428" i="1" s="1"/>
  <c r="AC429" i="1"/>
  <c r="AD429" i="1" s="1"/>
  <c r="H61" i="2"/>
  <c r="I61" i="2" s="1"/>
  <c r="C61" i="2"/>
  <c r="N61" i="2"/>
  <c r="O61" i="2" s="1"/>
  <c r="W62" i="2"/>
  <c r="X62" i="2" s="1"/>
  <c r="R62" i="2"/>
  <c r="AC62" i="2"/>
  <c r="AD62" i="2" s="1"/>
  <c r="C262" i="1"/>
  <c r="W273" i="1"/>
  <c r="X273" i="1" s="1"/>
  <c r="U342" i="1"/>
  <c r="AA358" i="1"/>
  <c r="U124" i="2"/>
  <c r="T172" i="2"/>
  <c r="W227" i="2"/>
  <c r="X227" i="2" s="1"/>
  <c r="R227" i="2"/>
  <c r="AC227" i="2"/>
  <c r="AD227" i="2" s="1"/>
  <c r="B198" i="1"/>
  <c r="C172" i="1"/>
  <c r="H236" i="1"/>
  <c r="I236" i="1" s="1"/>
  <c r="N158" i="1"/>
  <c r="O158" i="1" s="1"/>
  <c r="R171" i="1"/>
  <c r="H218" i="1"/>
  <c r="I218" i="1" s="1"/>
  <c r="N227" i="1"/>
  <c r="O227" i="1" s="1"/>
  <c r="N40" i="1"/>
  <c r="O40" i="1" s="1"/>
  <c r="W61" i="1"/>
  <c r="X61" i="1" s="1"/>
  <c r="W88" i="1"/>
  <c r="X88" i="1" s="1"/>
  <c r="N122" i="1"/>
  <c r="O122" i="1" s="1"/>
  <c r="F124" i="1"/>
  <c r="W141" i="1"/>
  <c r="X141" i="1" s="1"/>
  <c r="AC148" i="1"/>
  <c r="AD148" i="1" s="1"/>
  <c r="H170" i="1"/>
  <c r="I170" i="1" s="1"/>
  <c r="H172" i="1"/>
  <c r="I172" i="1" s="1"/>
  <c r="N196" i="1"/>
  <c r="O196" i="1" s="1"/>
  <c r="AC197" i="1"/>
  <c r="AD197" i="1" s="1"/>
  <c r="H209" i="1"/>
  <c r="I209" i="1" s="1"/>
  <c r="C218" i="1"/>
  <c r="N267" i="1"/>
  <c r="O267" i="1" s="1"/>
  <c r="W267" i="2"/>
  <c r="X267" i="2" s="1"/>
  <c r="R267" i="2"/>
  <c r="AC267" i="2"/>
  <c r="AD267" i="2" s="1"/>
  <c r="N273" i="2"/>
  <c r="O273" i="2" s="1"/>
  <c r="L273" i="2"/>
  <c r="AC40" i="1"/>
  <c r="AD40" i="1" s="1"/>
  <c r="H148" i="1"/>
  <c r="I148" i="1" s="1"/>
  <c r="N182" i="1"/>
  <c r="O182" i="1" s="1"/>
  <c r="H197" i="1"/>
  <c r="I197" i="1" s="1"/>
  <c r="W262" i="1"/>
  <c r="X262" i="1" s="1"/>
  <c r="H428" i="1"/>
  <c r="I428" i="1" s="1"/>
  <c r="C428" i="1"/>
  <c r="W196" i="2"/>
  <c r="X196" i="2" s="1"/>
  <c r="R196" i="2"/>
  <c r="AC196" i="2"/>
  <c r="AD196" i="2" s="1"/>
  <c r="H218" i="2"/>
  <c r="I218" i="2" s="1"/>
  <c r="C218" i="2"/>
  <c r="N218" i="2"/>
  <c r="O218" i="2" s="1"/>
  <c r="N344" i="1"/>
  <c r="O344" i="1" s="1"/>
  <c r="W393" i="1"/>
  <c r="X393" i="1" s="1"/>
  <c r="W396" i="1"/>
  <c r="X396" i="1" s="1"/>
  <c r="AC88" i="2"/>
  <c r="AD88" i="2" s="1"/>
  <c r="H118" i="2"/>
  <c r="I118" i="2" s="1"/>
  <c r="B172" i="2"/>
  <c r="W124" i="2"/>
  <c r="X124" i="2" s="1"/>
  <c r="Q172" i="2"/>
  <c r="W158" i="2"/>
  <c r="X158" i="2" s="1"/>
  <c r="W193" i="2"/>
  <c r="X193" i="2" s="1"/>
  <c r="AC262" i="2"/>
  <c r="AD262" i="2" s="1"/>
  <c r="W263" i="2"/>
  <c r="X263" i="2" s="1"/>
  <c r="H343" i="1"/>
  <c r="I343" i="1" s="1"/>
  <c r="R343" i="1"/>
  <c r="N403" i="1"/>
  <c r="O403" i="1" s="1"/>
  <c r="H441" i="1"/>
  <c r="I441" i="1" s="1"/>
  <c r="AC29" i="2"/>
  <c r="AD29" i="2" s="1"/>
  <c r="C40" i="2"/>
  <c r="C88" i="2"/>
  <c r="R124" i="2"/>
  <c r="H141" i="2"/>
  <c r="I141" i="2" s="1"/>
  <c r="R158" i="2"/>
  <c r="R193" i="2"/>
  <c r="C262" i="2"/>
  <c r="R263" i="2"/>
  <c r="H29" i="2"/>
  <c r="I29" i="2" s="1"/>
  <c r="Z198" i="2"/>
  <c r="AA172" i="2"/>
  <c r="AC209" i="2"/>
  <c r="AD209" i="2" s="1"/>
  <c r="R284" i="2"/>
  <c r="W284" i="2"/>
  <c r="X284" i="2" s="1"/>
  <c r="F149" i="2"/>
  <c r="N170" i="2"/>
  <c r="O170" i="2" s="1"/>
  <c r="F196" i="2"/>
  <c r="C209" i="2"/>
  <c r="F227" i="2"/>
  <c r="N236" i="2"/>
  <c r="O236" i="2" s="1"/>
  <c r="L262" i="2"/>
  <c r="F267" i="2"/>
  <c r="N393" i="1"/>
  <c r="O393" i="1" s="1"/>
  <c r="N396" i="1"/>
  <c r="O396" i="1" s="1"/>
  <c r="W18" i="2"/>
  <c r="X18" i="2" s="1"/>
  <c r="N40" i="2"/>
  <c r="O40" i="2" s="1"/>
  <c r="N88" i="2"/>
  <c r="O88" i="2" s="1"/>
  <c r="U122" i="2"/>
  <c r="AA141" i="2"/>
  <c r="C171" i="2"/>
  <c r="R171" i="2"/>
  <c r="U182" i="2"/>
  <c r="AC273" i="2"/>
  <c r="AD273" i="2" s="1"/>
  <c r="W284" i="1"/>
  <c r="X284" i="1" s="1"/>
  <c r="H295" i="1"/>
  <c r="I295" i="1" s="1"/>
  <c r="W324" i="1"/>
  <c r="X324" i="1" s="1"/>
  <c r="AC325" i="1"/>
  <c r="AD325" i="1" s="1"/>
  <c r="C358" i="1"/>
  <c r="R358" i="1"/>
  <c r="N441" i="1"/>
  <c r="O441" i="1" s="1"/>
  <c r="AC441" i="1"/>
  <c r="AD441" i="1" s="1"/>
  <c r="R18" i="2"/>
  <c r="H73" i="2"/>
  <c r="I73" i="2" s="1"/>
  <c r="R166" i="2"/>
  <c r="K198" i="2"/>
  <c r="C273" i="2"/>
  <c r="C295" i="2"/>
  <c r="H295" i="2"/>
  <c r="I295" i="2" s="1"/>
  <c r="C284" i="2"/>
  <c r="H284" i="2"/>
  <c r="I284" i="2" s="1"/>
  <c r="R344" i="2"/>
  <c r="W344" i="2"/>
  <c r="X344" i="2" s="1"/>
  <c r="R368" i="2"/>
  <c r="W368" i="2"/>
  <c r="X368" i="2" s="1"/>
  <c r="W18" i="3"/>
  <c r="X18" i="3" s="1"/>
  <c r="C124" i="3"/>
  <c r="H124" i="3"/>
  <c r="I124" i="3" s="1"/>
  <c r="N148" i="3"/>
  <c r="O148" i="3" s="1"/>
  <c r="W149" i="3"/>
  <c r="X149" i="3" s="1"/>
  <c r="H171" i="3"/>
  <c r="I171" i="3" s="1"/>
  <c r="W171" i="3"/>
  <c r="X171" i="3" s="1"/>
  <c r="H182" i="3"/>
  <c r="I182" i="3" s="1"/>
  <c r="W218" i="3"/>
  <c r="X218" i="3" s="1"/>
  <c r="AC263" i="3"/>
  <c r="AD263" i="3" s="1"/>
  <c r="H284" i="3"/>
  <c r="I284" i="3" s="1"/>
  <c r="N325" i="3"/>
  <c r="O325" i="3" s="1"/>
  <c r="X415" i="3"/>
  <c r="X399" i="3"/>
  <c r="X432" i="3"/>
  <c r="X420" i="3"/>
  <c r="X408" i="3"/>
  <c r="X439" i="3"/>
  <c r="X427" i="3"/>
  <c r="X411" i="3"/>
  <c r="X397" i="3"/>
  <c r="X394" i="3"/>
  <c r="X391" i="3"/>
  <c r="X416" i="3"/>
  <c r="X400" i="3"/>
  <c r="X435" i="3"/>
  <c r="X423" i="3"/>
  <c r="X414" i="3"/>
  <c r="X409" i="3"/>
  <c r="X389" i="3"/>
  <c r="X440" i="3"/>
  <c r="X412" i="3"/>
  <c r="X398" i="3"/>
  <c r="X395" i="3"/>
  <c r="X392" i="3"/>
  <c r="X385" i="3"/>
  <c r="X380" i="3"/>
  <c r="X376" i="3"/>
  <c r="X372" i="3"/>
  <c r="X365" i="3"/>
  <c r="X361" i="3"/>
  <c r="X357" i="3"/>
  <c r="X353" i="3"/>
  <c r="X349" i="3"/>
  <c r="X339" i="3"/>
  <c r="X334" i="3"/>
  <c r="X330" i="3"/>
  <c r="X322" i="3"/>
  <c r="X318" i="3"/>
  <c r="X314" i="3"/>
  <c r="X310" i="3"/>
  <c r="X306" i="3"/>
  <c r="X302" i="3"/>
  <c r="X298" i="3"/>
  <c r="X294" i="3"/>
  <c r="X290" i="3"/>
  <c r="X286" i="3"/>
  <c r="X282" i="3"/>
  <c r="X278" i="3"/>
  <c r="X270" i="3"/>
  <c r="X266" i="3"/>
  <c r="X259" i="3"/>
  <c r="X255" i="3"/>
  <c r="X251" i="3"/>
  <c r="X247" i="3"/>
  <c r="X243" i="3"/>
  <c r="X238" i="3"/>
  <c r="X234" i="3"/>
  <c r="X230" i="3"/>
  <c r="X226" i="3"/>
  <c r="X222" i="3"/>
  <c r="X215" i="3"/>
  <c r="X206" i="3"/>
  <c r="X202" i="3"/>
  <c r="X195" i="3"/>
  <c r="X192" i="3"/>
  <c r="X188" i="3"/>
  <c r="X183" i="3"/>
  <c r="X180" i="3"/>
  <c r="X175" i="3"/>
  <c r="X168" i="3"/>
  <c r="X165" i="3"/>
  <c r="X161" i="3"/>
  <c r="X157" i="3"/>
  <c r="X153" i="3"/>
  <c r="X145" i="3"/>
  <c r="X137" i="3"/>
  <c r="X133" i="3"/>
  <c r="X129" i="3"/>
  <c r="X123" i="3"/>
  <c r="X120" i="3"/>
  <c r="X117" i="3"/>
  <c r="X113" i="3"/>
  <c r="X109" i="3"/>
  <c r="X105" i="3"/>
  <c r="X101" i="3"/>
  <c r="X97" i="3"/>
  <c r="X92" i="3"/>
  <c r="X85" i="3"/>
  <c r="X81" i="3"/>
  <c r="X77" i="3"/>
  <c r="X69" i="3"/>
  <c r="X65" i="3"/>
  <c r="X58" i="3"/>
  <c r="X54" i="3"/>
  <c r="X50" i="3"/>
  <c r="X46" i="3"/>
  <c r="X37" i="3"/>
  <c r="X33" i="3"/>
  <c r="X25" i="3"/>
  <c r="X21" i="3"/>
  <c r="X17" i="3"/>
  <c r="X13" i="3"/>
  <c r="X8" i="3"/>
  <c r="X419" i="3"/>
  <c r="X407" i="3"/>
  <c r="W324" i="4"/>
  <c r="X324" i="4" s="1"/>
  <c r="U324" i="4"/>
  <c r="N284" i="1"/>
  <c r="O284" i="1" s="1"/>
  <c r="N324" i="1"/>
  <c r="O324" i="1" s="1"/>
  <c r="AC342" i="1"/>
  <c r="AD342" i="1" s="1"/>
  <c r="AC344" i="1"/>
  <c r="AD344" i="1" s="1"/>
  <c r="AC368" i="1"/>
  <c r="AD368" i="1" s="1"/>
  <c r="AC393" i="1"/>
  <c r="AD393" i="1" s="1"/>
  <c r="AC396" i="1"/>
  <c r="AD396" i="1" s="1"/>
  <c r="AC403" i="1"/>
  <c r="AD403" i="1" s="1"/>
  <c r="N124" i="2"/>
  <c r="O124" i="2" s="1"/>
  <c r="AC324" i="2"/>
  <c r="AD324" i="2" s="1"/>
  <c r="I331" i="2"/>
  <c r="I341" i="2"/>
  <c r="AC343" i="2"/>
  <c r="AD343" i="2" s="1"/>
  <c r="I351" i="2"/>
  <c r="H358" i="2"/>
  <c r="I358" i="2" s="1"/>
  <c r="I366" i="2"/>
  <c r="I369" i="2"/>
  <c r="I378" i="2"/>
  <c r="I386" i="2"/>
  <c r="I402" i="2"/>
  <c r="I409" i="2"/>
  <c r="I418" i="2"/>
  <c r="I425" i="2"/>
  <c r="I437" i="2"/>
  <c r="H442" i="2"/>
  <c r="I442" i="2" s="1"/>
  <c r="O439" i="2"/>
  <c r="O435" i="2"/>
  <c r="O427" i="2"/>
  <c r="O423" i="2"/>
  <c r="O419" i="2"/>
  <c r="O415" i="2"/>
  <c r="O411" i="2"/>
  <c r="O407" i="2"/>
  <c r="O399" i="2"/>
  <c r="O389" i="2"/>
  <c r="O383" i="2"/>
  <c r="O379" i="2"/>
  <c r="O375" i="2"/>
  <c r="O371" i="2"/>
  <c r="O364" i="2"/>
  <c r="O360" i="2"/>
  <c r="O356" i="2"/>
  <c r="O352" i="2"/>
  <c r="O347" i="2"/>
  <c r="O338" i="2"/>
  <c r="O333" i="2"/>
  <c r="O329" i="2"/>
  <c r="O321" i="2"/>
  <c r="O317" i="2"/>
  <c r="O313" i="2"/>
  <c r="O309" i="2"/>
  <c r="O305" i="2"/>
  <c r="O301" i="2"/>
  <c r="O297" i="2"/>
  <c r="O293" i="2"/>
  <c r="O289" i="2"/>
  <c r="U29" i="3"/>
  <c r="W40" i="3"/>
  <c r="X40" i="3" s="1"/>
  <c r="AC73" i="3"/>
  <c r="AD73" i="3" s="1"/>
  <c r="C118" i="3"/>
  <c r="H118" i="3"/>
  <c r="I118" i="3" s="1"/>
  <c r="W124" i="3"/>
  <c r="X124" i="3" s="1"/>
  <c r="N141" i="3"/>
  <c r="O141" i="3" s="1"/>
  <c r="C158" i="3"/>
  <c r="H158" i="3"/>
  <c r="I158" i="3" s="1"/>
  <c r="AC196" i="3"/>
  <c r="AD196" i="3" s="1"/>
  <c r="AC325" i="3"/>
  <c r="AD325" i="3" s="1"/>
  <c r="R342" i="3"/>
  <c r="AC342" i="3"/>
  <c r="AD342" i="3" s="1"/>
  <c r="W343" i="3"/>
  <c r="X343" i="3" s="1"/>
  <c r="R343" i="3"/>
  <c r="X441" i="3"/>
  <c r="N342" i="2"/>
  <c r="O342" i="2" s="1"/>
  <c r="I353" i="2"/>
  <c r="I361" i="2"/>
  <c r="I371" i="2"/>
  <c r="I380" i="2"/>
  <c r="I389" i="2"/>
  <c r="R393" i="2"/>
  <c r="W393" i="2"/>
  <c r="X393" i="2" s="1"/>
  <c r="R396" i="2"/>
  <c r="W396" i="2"/>
  <c r="X396" i="2" s="1"/>
  <c r="N403" i="2"/>
  <c r="O403" i="2" s="1"/>
  <c r="I411" i="2"/>
  <c r="I420" i="2"/>
  <c r="I427" i="2"/>
  <c r="C429" i="2"/>
  <c r="H429" i="2"/>
  <c r="I429" i="2" s="1"/>
  <c r="I432" i="2"/>
  <c r="I439" i="2"/>
  <c r="X437" i="2"/>
  <c r="X433" i="2"/>
  <c r="X425" i="2"/>
  <c r="X421" i="2"/>
  <c r="X417" i="2"/>
  <c r="X413" i="2"/>
  <c r="X409" i="2"/>
  <c r="X401" i="2"/>
  <c r="X397" i="2"/>
  <c r="X394" i="2"/>
  <c r="X391" i="2"/>
  <c r="X386" i="2"/>
  <c r="X381" i="2"/>
  <c r="X377" i="2"/>
  <c r="X373" i="2"/>
  <c r="X369" i="2"/>
  <c r="X366" i="2"/>
  <c r="X362" i="2"/>
  <c r="X354" i="2"/>
  <c r="X350" i="2"/>
  <c r="X340" i="2"/>
  <c r="X335" i="2"/>
  <c r="X331" i="2"/>
  <c r="X323" i="2"/>
  <c r="X319" i="2"/>
  <c r="X315" i="2"/>
  <c r="X311" i="2"/>
  <c r="X307" i="2"/>
  <c r="X303" i="2"/>
  <c r="X299" i="2"/>
  <c r="X291" i="2"/>
  <c r="X287" i="2"/>
  <c r="C62" i="3"/>
  <c r="H62" i="3"/>
  <c r="I62" i="3" s="1"/>
  <c r="AC88" i="3"/>
  <c r="AD88" i="3" s="1"/>
  <c r="Q172" i="3"/>
  <c r="AC193" i="3"/>
  <c r="AD193" i="3" s="1"/>
  <c r="E198" i="3"/>
  <c r="R236" i="3"/>
  <c r="W236" i="3"/>
  <c r="X236" i="3" s="1"/>
  <c r="AC262" i="3"/>
  <c r="AD262" i="3" s="1"/>
  <c r="AC295" i="3"/>
  <c r="AD295" i="3" s="1"/>
  <c r="N324" i="3"/>
  <c r="O324" i="3" s="1"/>
  <c r="AC18" i="4"/>
  <c r="AD18" i="4" s="1"/>
  <c r="W18" i="4"/>
  <c r="X18" i="4" s="1"/>
  <c r="R18" i="4"/>
  <c r="H118" i="4"/>
  <c r="I118" i="4" s="1"/>
  <c r="N118" i="4"/>
  <c r="O118" i="4" s="1"/>
  <c r="C118" i="4"/>
  <c r="Z172" i="4"/>
  <c r="AA124" i="4"/>
  <c r="U141" i="4"/>
  <c r="W141" i="4"/>
  <c r="X141" i="4" s="1"/>
  <c r="C324" i="4"/>
  <c r="N324" i="4"/>
  <c r="O324" i="4" s="1"/>
  <c r="H324" i="4"/>
  <c r="I324" i="4" s="1"/>
  <c r="W158" i="5"/>
  <c r="X158" i="5" s="1"/>
  <c r="AC158" i="5"/>
  <c r="AD158" i="5" s="1"/>
  <c r="R158" i="5"/>
  <c r="AC149" i="3"/>
  <c r="AD149" i="3" s="1"/>
  <c r="C166" i="3"/>
  <c r="H166" i="3"/>
  <c r="I166" i="3" s="1"/>
  <c r="N171" i="3"/>
  <c r="O171" i="3" s="1"/>
  <c r="B172" i="3"/>
  <c r="T172" i="3"/>
  <c r="C227" i="3"/>
  <c r="H227" i="3"/>
  <c r="I227" i="3" s="1"/>
  <c r="C267" i="3"/>
  <c r="H267" i="3"/>
  <c r="I267" i="3" s="1"/>
  <c r="W358" i="3"/>
  <c r="X358" i="3" s="1"/>
  <c r="R358" i="3"/>
  <c r="AC149" i="4"/>
  <c r="AD149" i="4" s="1"/>
  <c r="W149" i="4"/>
  <c r="X149" i="4" s="1"/>
  <c r="R149" i="4"/>
  <c r="H358" i="4"/>
  <c r="I358" i="4" s="1"/>
  <c r="C358" i="4"/>
  <c r="N358" i="4"/>
  <c r="O358" i="4" s="1"/>
  <c r="W62" i="5"/>
  <c r="X62" i="5" s="1"/>
  <c r="AC62" i="5"/>
  <c r="AD62" i="5" s="1"/>
  <c r="R62" i="5"/>
  <c r="W325" i="2"/>
  <c r="X325" i="2" s="1"/>
  <c r="R342" i="2"/>
  <c r="W342" i="2"/>
  <c r="X342" i="2" s="1"/>
  <c r="U343" i="2"/>
  <c r="AA344" i="2"/>
  <c r="N358" i="2"/>
  <c r="O358" i="2" s="1"/>
  <c r="AA368" i="2"/>
  <c r="R403" i="2"/>
  <c r="W403" i="2"/>
  <c r="X403" i="2" s="1"/>
  <c r="N442" i="2"/>
  <c r="O442" i="2" s="1"/>
  <c r="AC40" i="3"/>
  <c r="AD40" i="3" s="1"/>
  <c r="U73" i="3"/>
  <c r="L124" i="3"/>
  <c r="AC124" i="3"/>
  <c r="AD124" i="3" s="1"/>
  <c r="W197" i="3"/>
  <c r="X197" i="3" s="1"/>
  <c r="K198" i="3"/>
  <c r="C263" i="3"/>
  <c r="H263" i="3"/>
  <c r="I263" i="3" s="1"/>
  <c r="R324" i="3"/>
  <c r="W324" i="3"/>
  <c r="X324" i="3" s="1"/>
  <c r="U325" i="3"/>
  <c r="F61" i="4"/>
  <c r="H61" i="4"/>
  <c r="I61" i="4" s="1"/>
  <c r="H170" i="4"/>
  <c r="I170" i="4" s="1"/>
  <c r="F170" i="4"/>
  <c r="E345" i="4"/>
  <c r="F198" i="4"/>
  <c r="C324" i="2"/>
  <c r="H324" i="2"/>
  <c r="I324" i="2" s="1"/>
  <c r="F325" i="2"/>
  <c r="C342" i="2"/>
  <c r="H393" i="2"/>
  <c r="I393" i="2" s="1"/>
  <c r="H396" i="2"/>
  <c r="I396" i="2" s="1"/>
  <c r="C403" i="2"/>
  <c r="W61" i="3"/>
  <c r="X61" i="3" s="1"/>
  <c r="R122" i="3"/>
  <c r="W122" i="3"/>
  <c r="X122" i="3" s="1"/>
  <c r="N124" i="3"/>
  <c r="O124" i="3" s="1"/>
  <c r="U141" i="3"/>
  <c r="L158" i="3"/>
  <c r="AC158" i="3"/>
  <c r="AD158" i="3" s="1"/>
  <c r="Z172" i="3"/>
  <c r="R182" i="3"/>
  <c r="W182" i="3"/>
  <c r="X182" i="3" s="1"/>
  <c r="C196" i="3"/>
  <c r="H196" i="3"/>
  <c r="I196" i="3" s="1"/>
  <c r="F197" i="3"/>
  <c r="W209" i="3"/>
  <c r="X209" i="3" s="1"/>
  <c r="R262" i="3"/>
  <c r="W273" i="3"/>
  <c r="X273" i="3" s="1"/>
  <c r="R284" i="3"/>
  <c r="W284" i="3"/>
  <c r="X284" i="3" s="1"/>
  <c r="C324" i="3"/>
  <c r="L343" i="4"/>
  <c r="N343" i="4"/>
  <c r="O343" i="4" s="1"/>
  <c r="W324" i="2"/>
  <c r="X324" i="2" s="1"/>
  <c r="F428" i="2"/>
  <c r="AC429" i="2"/>
  <c r="AD429" i="2" s="1"/>
  <c r="R442" i="2"/>
  <c r="W442" i="2"/>
  <c r="X442" i="2" s="1"/>
  <c r="AC29" i="3"/>
  <c r="AD29" i="3" s="1"/>
  <c r="H141" i="3"/>
  <c r="I141" i="3" s="1"/>
  <c r="C193" i="3"/>
  <c r="H193" i="3"/>
  <c r="I193" i="3" s="1"/>
  <c r="W196" i="3"/>
  <c r="X196" i="3" s="1"/>
  <c r="F209" i="3"/>
  <c r="N218" i="3"/>
  <c r="O218" i="3" s="1"/>
  <c r="C295" i="3"/>
  <c r="H295" i="3"/>
  <c r="I295" i="3" s="1"/>
  <c r="AC403" i="3"/>
  <c r="AD403" i="3" s="1"/>
  <c r="W403" i="3"/>
  <c r="X403" i="3" s="1"/>
  <c r="R403" i="3"/>
  <c r="I277" i="2"/>
  <c r="I291" i="2"/>
  <c r="I299" i="2"/>
  <c r="I308" i="2"/>
  <c r="I315" i="2"/>
  <c r="I337" i="2"/>
  <c r="I354" i="2"/>
  <c r="I362" i="2"/>
  <c r="I374" i="2"/>
  <c r="I381" i="2"/>
  <c r="O385" i="2"/>
  <c r="I392" i="2"/>
  <c r="AC393" i="2"/>
  <c r="AD393" i="2" s="1"/>
  <c r="I395" i="2"/>
  <c r="AC396" i="2"/>
  <c r="AD396" i="2" s="1"/>
  <c r="I398" i="2"/>
  <c r="O408" i="2"/>
  <c r="I414" i="2"/>
  <c r="I421" i="2"/>
  <c r="O424" i="2"/>
  <c r="N429" i="2"/>
  <c r="O429" i="2" s="1"/>
  <c r="O436" i="2"/>
  <c r="AC441" i="2"/>
  <c r="AD441" i="2" s="1"/>
  <c r="C18" i="3"/>
  <c r="H18" i="3"/>
  <c r="I18" i="3" s="1"/>
  <c r="N40" i="3"/>
  <c r="O40" i="3" s="1"/>
  <c r="N62" i="3"/>
  <c r="O62" i="3" s="1"/>
  <c r="C149" i="3"/>
  <c r="H149" i="3"/>
  <c r="I149" i="3" s="1"/>
  <c r="AC166" i="3"/>
  <c r="AD166" i="3" s="1"/>
  <c r="R170" i="3"/>
  <c r="W170" i="3"/>
  <c r="X170" i="3" s="1"/>
  <c r="W193" i="3"/>
  <c r="X193" i="3" s="1"/>
  <c r="AC227" i="3"/>
  <c r="AD227" i="3" s="1"/>
  <c r="AC236" i="3"/>
  <c r="AD236" i="3" s="1"/>
  <c r="AC267" i="3"/>
  <c r="AD267" i="3" s="1"/>
  <c r="W295" i="3"/>
  <c r="X295" i="3" s="1"/>
  <c r="H342" i="3"/>
  <c r="I342" i="3" s="1"/>
  <c r="AC358" i="3"/>
  <c r="AD358" i="3" s="1"/>
  <c r="X434" i="3"/>
  <c r="AC295" i="4"/>
  <c r="AD295" i="4" s="1"/>
  <c r="W295" i="4"/>
  <c r="X295" i="4" s="1"/>
  <c r="R295" i="4"/>
  <c r="I390" i="3"/>
  <c r="I424" i="3"/>
  <c r="I436" i="3"/>
  <c r="H441" i="3"/>
  <c r="I441" i="3" s="1"/>
  <c r="H18" i="4"/>
  <c r="I18" i="4" s="1"/>
  <c r="W40" i="4"/>
  <c r="X40" i="4" s="1"/>
  <c r="N62" i="4"/>
  <c r="O62" i="4" s="1"/>
  <c r="AC62" i="4"/>
  <c r="AD62" i="4" s="1"/>
  <c r="AC88" i="4"/>
  <c r="AD88" i="4" s="1"/>
  <c r="K172" i="4"/>
  <c r="L124" i="4"/>
  <c r="H149" i="4"/>
  <c r="I149" i="4" s="1"/>
  <c r="Q172" i="4"/>
  <c r="W182" i="4"/>
  <c r="X182" i="4" s="1"/>
  <c r="W193" i="4"/>
  <c r="X193" i="4" s="1"/>
  <c r="AC197" i="4"/>
  <c r="AD197" i="4" s="1"/>
  <c r="AC218" i="4"/>
  <c r="AD218" i="4" s="1"/>
  <c r="H295" i="4"/>
  <c r="I295" i="4" s="1"/>
  <c r="N325" i="4"/>
  <c r="O325" i="4" s="1"/>
  <c r="L325" i="4"/>
  <c r="W393" i="4"/>
  <c r="X393" i="4" s="1"/>
  <c r="U393" i="4"/>
  <c r="T198" i="5"/>
  <c r="U172" i="5"/>
  <c r="H343" i="3"/>
  <c r="I343" i="3" s="1"/>
  <c r="H358" i="3"/>
  <c r="I358" i="3" s="1"/>
  <c r="I401" i="3"/>
  <c r="I407" i="3"/>
  <c r="I417" i="3"/>
  <c r="X421" i="3"/>
  <c r="I426" i="3"/>
  <c r="W428" i="3"/>
  <c r="X428" i="3" s="1"/>
  <c r="X433" i="3"/>
  <c r="N442" i="3"/>
  <c r="O442" i="3" s="1"/>
  <c r="N73" i="4"/>
  <c r="O73" i="4" s="1"/>
  <c r="N122" i="4"/>
  <c r="O122" i="4" s="1"/>
  <c r="N124" i="4"/>
  <c r="O124" i="4" s="1"/>
  <c r="AC124" i="4"/>
  <c r="AD124" i="4" s="1"/>
  <c r="H158" i="4"/>
  <c r="I158" i="4" s="1"/>
  <c r="N236" i="4"/>
  <c r="O236" i="4" s="1"/>
  <c r="W262" i="4"/>
  <c r="X262" i="4" s="1"/>
  <c r="N267" i="4"/>
  <c r="O267" i="4" s="1"/>
  <c r="AC267" i="4"/>
  <c r="AD267" i="4" s="1"/>
  <c r="AC273" i="4"/>
  <c r="AD273" i="4" s="1"/>
  <c r="N284" i="4"/>
  <c r="O284" i="4" s="1"/>
  <c r="AC358" i="4"/>
  <c r="AD358" i="4" s="1"/>
  <c r="N88" i="5"/>
  <c r="O88" i="5" s="1"/>
  <c r="H88" i="5"/>
  <c r="I88" i="5" s="1"/>
  <c r="C88" i="5"/>
  <c r="N393" i="3"/>
  <c r="O393" i="3" s="1"/>
  <c r="N396" i="3"/>
  <c r="O396" i="3" s="1"/>
  <c r="AC429" i="3"/>
  <c r="AD429" i="3" s="1"/>
  <c r="X442" i="3"/>
  <c r="AC61" i="4"/>
  <c r="AD61" i="4" s="1"/>
  <c r="W122" i="4"/>
  <c r="X122" i="4" s="1"/>
  <c r="H166" i="4"/>
  <c r="I166" i="4" s="1"/>
  <c r="N171" i="4"/>
  <c r="O171" i="4" s="1"/>
  <c r="B172" i="4"/>
  <c r="T172" i="4"/>
  <c r="AC196" i="4"/>
  <c r="AD196" i="4" s="1"/>
  <c r="AC227" i="4"/>
  <c r="AD227" i="4" s="1"/>
  <c r="W236" i="4"/>
  <c r="X236" i="4" s="1"/>
  <c r="AC263" i="4"/>
  <c r="AD263" i="4" s="1"/>
  <c r="W284" i="4"/>
  <c r="X284" i="4" s="1"/>
  <c r="F172" i="5"/>
  <c r="E198" i="5"/>
  <c r="C158" i="5"/>
  <c r="N158" i="5"/>
  <c r="O158" i="5" s="1"/>
  <c r="H158" i="5"/>
  <c r="I158" i="5" s="1"/>
  <c r="N209" i="5"/>
  <c r="O209" i="5" s="1"/>
  <c r="H209" i="5"/>
  <c r="I209" i="5" s="1"/>
  <c r="C209" i="5"/>
  <c r="U218" i="5"/>
  <c r="W218" i="5"/>
  <c r="X218" i="5" s="1"/>
  <c r="AC344" i="3"/>
  <c r="AD344" i="3" s="1"/>
  <c r="X425" i="3"/>
  <c r="X437" i="3"/>
  <c r="N441" i="3"/>
  <c r="O441" i="3" s="1"/>
  <c r="AC40" i="4"/>
  <c r="AD40" i="4" s="1"/>
  <c r="C166" i="4"/>
  <c r="F182" i="4"/>
  <c r="N193" i="4"/>
  <c r="O193" i="4" s="1"/>
  <c r="AC193" i="4"/>
  <c r="AD193" i="4" s="1"/>
  <c r="U209" i="4"/>
  <c r="F122" i="5"/>
  <c r="H122" i="5"/>
  <c r="I122" i="5" s="1"/>
  <c r="AC368" i="5"/>
  <c r="AD368" i="5" s="1"/>
  <c r="AA368" i="5"/>
  <c r="F344" i="3"/>
  <c r="C62" i="4"/>
  <c r="C73" i="4"/>
  <c r="R124" i="4"/>
  <c r="R267" i="4"/>
  <c r="W325" i="4"/>
  <c r="X325" i="4" s="1"/>
  <c r="N343" i="3"/>
  <c r="O343" i="3" s="1"/>
  <c r="N358" i="3"/>
  <c r="O358" i="3" s="1"/>
  <c r="X413" i="3"/>
  <c r="H429" i="3"/>
  <c r="I429" i="3" s="1"/>
  <c r="W73" i="4"/>
  <c r="X73" i="4" s="1"/>
  <c r="W88" i="4"/>
  <c r="X88" i="4" s="1"/>
  <c r="C124" i="4"/>
  <c r="H148" i="4"/>
  <c r="I148" i="4" s="1"/>
  <c r="N149" i="4"/>
  <c r="O149" i="4" s="1"/>
  <c r="AA158" i="4"/>
  <c r="W170" i="4"/>
  <c r="X170" i="4" s="1"/>
  <c r="AC182" i="4"/>
  <c r="AD182" i="4" s="1"/>
  <c r="H196" i="4"/>
  <c r="I196" i="4" s="1"/>
  <c r="W197" i="4"/>
  <c r="X197" i="4" s="1"/>
  <c r="H209" i="4"/>
  <c r="I209" i="4" s="1"/>
  <c r="W218" i="4"/>
  <c r="X218" i="4" s="1"/>
  <c r="H227" i="4"/>
  <c r="I227" i="4" s="1"/>
  <c r="H263" i="4"/>
  <c r="I263" i="4" s="1"/>
  <c r="C267" i="4"/>
  <c r="N295" i="4"/>
  <c r="O295" i="4" s="1"/>
  <c r="R342" i="4"/>
  <c r="AC342" i="4"/>
  <c r="AD342" i="4" s="1"/>
  <c r="R344" i="4"/>
  <c r="W344" i="4"/>
  <c r="X344" i="4" s="1"/>
  <c r="U197" i="5"/>
  <c r="W197" i="5"/>
  <c r="X197" i="5" s="1"/>
  <c r="N403" i="3"/>
  <c r="O403" i="3" s="1"/>
  <c r="I408" i="3"/>
  <c r="I420" i="3"/>
  <c r="C429" i="3"/>
  <c r="I432" i="3"/>
  <c r="H442" i="3"/>
  <c r="I442" i="3" s="1"/>
  <c r="H88" i="4"/>
  <c r="I88" i="4" s="1"/>
  <c r="H122" i="4"/>
  <c r="I122" i="4" s="1"/>
  <c r="N158" i="4"/>
  <c r="O158" i="4" s="1"/>
  <c r="R170" i="4"/>
  <c r="W171" i="4"/>
  <c r="X171" i="4" s="1"/>
  <c r="C196" i="4"/>
  <c r="H197" i="4"/>
  <c r="I197" i="4" s="1"/>
  <c r="H218" i="4"/>
  <c r="I218" i="4" s="1"/>
  <c r="C227" i="4"/>
  <c r="H236" i="4"/>
  <c r="I236" i="4" s="1"/>
  <c r="C263" i="4"/>
  <c r="W273" i="4"/>
  <c r="X273" i="4" s="1"/>
  <c r="H284" i="4"/>
  <c r="I284" i="4" s="1"/>
  <c r="R358" i="4"/>
  <c r="W403" i="4"/>
  <c r="X403" i="4" s="1"/>
  <c r="U403" i="4"/>
  <c r="X330" i="4"/>
  <c r="X338" i="4"/>
  <c r="W343" i="4"/>
  <c r="X343" i="4" s="1"/>
  <c r="X355" i="4"/>
  <c r="X361" i="4"/>
  <c r="W368" i="4"/>
  <c r="X368" i="4" s="1"/>
  <c r="X382" i="4"/>
  <c r="W396" i="4"/>
  <c r="X396" i="4" s="1"/>
  <c r="X408" i="4"/>
  <c r="X422" i="4"/>
  <c r="W429" i="4"/>
  <c r="X429" i="4" s="1"/>
  <c r="X434" i="4"/>
  <c r="W441" i="4"/>
  <c r="X441" i="4" s="1"/>
  <c r="H18" i="5"/>
  <c r="I18" i="5" s="1"/>
  <c r="N40" i="5"/>
  <c r="O40" i="5" s="1"/>
  <c r="N61" i="5"/>
  <c r="O61" i="5" s="1"/>
  <c r="AC170" i="5"/>
  <c r="AD170" i="5" s="1"/>
  <c r="AC182" i="5"/>
  <c r="AD182" i="5" s="1"/>
  <c r="H193" i="5"/>
  <c r="I193" i="5" s="1"/>
  <c r="H196" i="5"/>
  <c r="I196" i="5" s="1"/>
  <c r="H197" i="5"/>
  <c r="I197" i="5" s="1"/>
  <c r="AC209" i="5"/>
  <c r="AD209" i="5" s="1"/>
  <c r="H218" i="5"/>
  <c r="I218" i="5" s="1"/>
  <c r="F267" i="5"/>
  <c r="H267" i="5"/>
  <c r="I267" i="5" s="1"/>
  <c r="H343" i="5"/>
  <c r="I343" i="5" s="1"/>
  <c r="C343" i="5"/>
  <c r="N343" i="5"/>
  <c r="O343" i="5" s="1"/>
  <c r="N368" i="5"/>
  <c r="O368" i="5" s="1"/>
  <c r="N428" i="4"/>
  <c r="O428" i="4" s="1"/>
  <c r="AC442" i="4"/>
  <c r="AD442" i="4" s="1"/>
  <c r="AC18" i="5"/>
  <c r="AD18" i="5" s="1"/>
  <c r="N118" i="5"/>
  <c r="O118" i="5" s="1"/>
  <c r="N148" i="5"/>
  <c r="O148" i="5" s="1"/>
  <c r="N149" i="5"/>
  <c r="O149" i="5" s="1"/>
  <c r="H295" i="5"/>
  <c r="I295" i="5" s="1"/>
  <c r="R358" i="5"/>
  <c r="W358" i="5"/>
  <c r="X358" i="5" s="1"/>
  <c r="AC358" i="5"/>
  <c r="AD358" i="5" s="1"/>
  <c r="H393" i="4"/>
  <c r="I393" i="4" s="1"/>
  <c r="H403" i="4"/>
  <c r="I403" i="4" s="1"/>
  <c r="AA441" i="4"/>
  <c r="B172" i="5"/>
  <c r="C124" i="5"/>
  <c r="W149" i="5"/>
  <c r="X149" i="5" s="1"/>
  <c r="N170" i="5"/>
  <c r="O170" i="5" s="1"/>
  <c r="C171" i="5"/>
  <c r="N182" i="5"/>
  <c r="O182" i="5" s="1"/>
  <c r="AC193" i="5"/>
  <c r="AD193" i="5" s="1"/>
  <c r="AC196" i="5"/>
  <c r="AD196" i="5" s="1"/>
  <c r="W393" i="5"/>
  <c r="X393" i="5" s="1"/>
  <c r="R393" i="5"/>
  <c r="AC393" i="5"/>
  <c r="AD393" i="5" s="1"/>
  <c r="C29" i="5"/>
  <c r="C40" i="5"/>
  <c r="C61" i="5"/>
  <c r="R118" i="5"/>
  <c r="AC122" i="5"/>
  <c r="AD122" i="5" s="1"/>
  <c r="R124" i="5"/>
  <c r="C148" i="5"/>
  <c r="R149" i="5"/>
  <c r="N166" i="5"/>
  <c r="O166" i="5" s="1"/>
  <c r="N197" i="5"/>
  <c r="O197" i="5" s="1"/>
  <c r="W209" i="5"/>
  <c r="X209" i="5" s="1"/>
  <c r="R263" i="5"/>
  <c r="W263" i="5"/>
  <c r="X263" i="5" s="1"/>
  <c r="AC263" i="5"/>
  <c r="AD263" i="5" s="1"/>
  <c r="C428" i="4"/>
  <c r="H429" i="4"/>
  <c r="I429" i="4" s="1"/>
  <c r="W61" i="5"/>
  <c r="X61" i="5" s="1"/>
  <c r="W170" i="5"/>
  <c r="X170" i="5" s="1"/>
  <c r="K345" i="5"/>
  <c r="L198" i="5"/>
  <c r="W182" i="5"/>
  <c r="X182" i="5" s="1"/>
  <c r="C344" i="5"/>
  <c r="N344" i="5"/>
  <c r="O344" i="5" s="1"/>
  <c r="N403" i="5"/>
  <c r="O403" i="5" s="1"/>
  <c r="L403" i="5"/>
  <c r="L40" i="6"/>
  <c r="N40" i="6"/>
  <c r="O40" i="6" s="1"/>
  <c r="N428" i="3"/>
  <c r="O428" i="3" s="1"/>
  <c r="AC441" i="3"/>
  <c r="AD441" i="3" s="1"/>
  <c r="AC29" i="4"/>
  <c r="AD29" i="4" s="1"/>
  <c r="N40" i="4"/>
  <c r="O40" i="4" s="1"/>
  <c r="N61" i="4"/>
  <c r="O61" i="4" s="1"/>
  <c r="AC73" i="4"/>
  <c r="AD73" i="4" s="1"/>
  <c r="N88" i="4"/>
  <c r="O88" i="4" s="1"/>
  <c r="AC141" i="4"/>
  <c r="AD141" i="4" s="1"/>
  <c r="N148" i="4"/>
  <c r="O148" i="4" s="1"/>
  <c r="AC171" i="4"/>
  <c r="AD171" i="4" s="1"/>
  <c r="N197" i="4"/>
  <c r="O197" i="4" s="1"/>
  <c r="N209" i="4"/>
  <c r="O209" i="4" s="1"/>
  <c r="N218" i="4"/>
  <c r="O218" i="4" s="1"/>
  <c r="N262" i="4"/>
  <c r="O262" i="4" s="1"/>
  <c r="N273" i="4"/>
  <c r="O273" i="4" s="1"/>
  <c r="X341" i="4"/>
  <c r="X349" i="4"/>
  <c r="X356" i="4"/>
  <c r="X376" i="4"/>
  <c r="X383" i="4"/>
  <c r="X416" i="4"/>
  <c r="X423" i="4"/>
  <c r="W428" i="4"/>
  <c r="X428" i="4" s="1"/>
  <c r="AC429" i="4"/>
  <c r="AD429" i="4" s="1"/>
  <c r="X435" i="4"/>
  <c r="R18" i="5"/>
  <c r="H73" i="5"/>
  <c r="I73" i="5" s="1"/>
  <c r="H124" i="5"/>
  <c r="I124" i="5" s="1"/>
  <c r="H149" i="5"/>
  <c r="I149" i="5" s="1"/>
  <c r="R166" i="5"/>
  <c r="H170" i="5"/>
  <c r="I170" i="5" s="1"/>
  <c r="L172" i="5"/>
  <c r="H182" i="5"/>
  <c r="I182" i="5" s="1"/>
  <c r="W193" i="5"/>
  <c r="X193" i="5" s="1"/>
  <c r="W196" i="5"/>
  <c r="X196" i="5" s="1"/>
  <c r="AC197" i="5"/>
  <c r="AD197" i="5" s="1"/>
  <c r="AC218" i="5"/>
  <c r="AD218" i="5" s="1"/>
  <c r="L273" i="5"/>
  <c r="N273" i="5"/>
  <c r="O273" i="5" s="1"/>
  <c r="H396" i="5"/>
  <c r="I396" i="5" s="1"/>
  <c r="F396" i="5"/>
  <c r="AC324" i="4"/>
  <c r="AD324" i="4" s="1"/>
  <c r="X333" i="4"/>
  <c r="X351" i="4"/>
  <c r="X364" i="4"/>
  <c r="X378" i="4"/>
  <c r="W442" i="4"/>
  <c r="X442" i="4" s="1"/>
  <c r="C73" i="5"/>
  <c r="H118" i="5"/>
  <c r="I118" i="5" s="1"/>
  <c r="Z172" i="5"/>
  <c r="AA124" i="5"/>
  <c r="N141" i="5"/>
  <c r="O141" i="5" s="1"/>
  <c r="N171" i="5"/>
  <c r="O171" i="5" s="1"/>
  <c r="Q172" i="5"/>
  <c r="R193" i="5"/>
  <c r="R196" i="5"/>
  <c r="L262" i="5"/>
  <c r="N262" i="5"/>
  <c r="O262" i="5" s="1"/>
  <c r="U403" i="5"/>
  <c r="W403" i="5"/>
  <c r="X403" i="5" s="1"/>
  <c r="W227" i="5"/>
  <c r="X227" i="5" s="1"/>
  <c r="X233" i="5"/>
  <c r="X243" i="5"/>
  <c r="I246" i="5"/>
  <c r="X251" i="5"/>
  <c r="I254" i="5"/>
  <c r="X259" i="5"/>
  <c r="X270" i="5"/>
  <c r="I275" i="5"/>
  <c r="X277" i="5"/>
  <c r="I283" i="5"/>
  <c r="N295" i="5"/>
  <c r="O295" i="5" s="1"/>
  <c r="X298" i="5"/>
  <c r="I301" i="5"/>
  <c r="X306" i="5"/>
  <c r="I309" i="5"/>
  <c r="X314" i="5"/>
  <c r="I317" i="5"/>
  <c r="X322" i="5"/>
  <c r="I350" i="5"/>
  <c r="X352" i="5"/>
  <c r="X367" i="5"/>
  <c r="X372" i="5"/>
  <c r="X390" i="5"/>
  <c r="I393" i="5"/>
  <c r="AC396" i="5"/>
  <c r="AD396" i="5" s="1"/>
  <c r="R396" i="5"/>
  <c r="X397" i="5"/>
  <c r="X399" i="5"/>
  <c r="X409" i="5"/>
  <c r="I416" i="5"/>
  <c r="I418" i="5"/>
  <c r="X420" i="5"/>
  <c r="I423" i="5"/>
  <c r="X427" i="5"/>
  <c r="I441" i="5"/>
  <c r="W442" i="5"/>
  <c r="X442" i="5" s="1"/>
  <c r="W118" i="6"/>
  <c r="X118" i="6" s="1"/>
  <c r="AC118" i="6"/>
  <c r="AD118" i="6" s="1"/>
  <c r="H141" i="6"/>
  <c r="I141" i="6" s="1"/>
  <c r="C141" i="6"/>
  <c r="N141" i="6"/>
  <c r="O141" i="6" s="1"/>
  <c r="R171" i="6"/>
  <c r="W171" i="6"/>
  <c r="X171" i="6" s="1"/>
  <c r="AC171" i="6"/>
  <c r="AD171" i="6" s="1"/>
  <c r="AC284" i="5"/>
  <c r="AD284" i="5" s="1"/>
  <c r="C325" i="5"/>
  <c r="H325" i="5"/>
  <c r="I325" i="5" s="1"/>
  <c r="AC441" i="5"/>
  <c r="AD441" i="5" s="1"/>
  <c r="N29" i="6"/>
  <c r="O29" i="6" s="1"/>
  <c r="N61" i="6"/>
  <c r="O61" i="6" s="1"/>
  <c r="R267" i="5"/>
  <c r="W267" i="5"/>
  <c r="X267" i="5" s="1"/>
  <c r="N284" i="5"/>
  <c r="O284" i="5" s="1"/>
  <c r="R295" i="5"/>
  <c r="W295" i="5"/>
  <c r="X295" i="5" s="1"/>
  <c r="W396" i="5"/>
  <c r="X396" i="5" s="1"/>
  <c r="AC403" i="5"/>
  <c r="AD403" i="5" s="1"/>
  <c r="W429" i="5"/>
  <c r="X429" i="5" s="1"/>
  <c r="AA62" i="6"/>
  <c r="W124" i="6"/>
  <c r="X124" i="6" s="1"/>
  <c r="Q172" i="6"/>
  <c r="R124" i="6"/>
  <c r="N148" i="6"/>
  <c r="O148" i="6" s="1"/>
  <c r="W149" i="6"/>
  <c r="X149" i="6" s="1"/>
  <c r="AC149" i="6"/>
  <c r="AD149" i="6" s="1"/>
  <c r="R149" i="6"/>
  <c r="R343" i="5"/>
  <c r="W343" i="5"/>
  <c r="X343" i="5" s="1"/>
  <c r="C368" i="5"/>
  <c r="H368" i="5"/>
  <c r="I368" i="5" s="1"/>
  <c r="W428" i="5"/>
  <c r="X428" i="5" s="1"/>
  <c r="AC429" i="5"/>
  <c r="AD429" i="5" s="1"/>
  <c r="R441" i="5"/>
  <c r="H442" i="5"/>
  <c r="I442" i="5" s="1"/>
  <c r="X437" i="5"/>
  <c r="X423" i="5"/>
  <c r="X415" i="5"/>
  <c r="X407" i="5"/>
  <c r="X401" i="5"/>
  <c r="X389" i="5"/>
  <c r="X379" i="5"/>
  <c r="X394" i="5"/>
  <c r="X369" i="5"/>
  <c r="N18" i="6"/>
  <c r="O18" i="6" s="1"/>
  <c r="C88" i="6"/>
  <c r="N88" i="6"/>
  <c r="O88" i="6" s="1"/>
  <c r="H88" i="6"/>
  <c r="I88" i="6" s="1"/>
  <c r="Z198" i="6"/>
  <c r="AA172" i="6"/>
  <c r="H171" i="6"/>
  <c r="I171" i="6" s="1"/>
  <c r="N171" i="6"/>
  <c r="O171" i="6" s="1"/>
  <c r="C171" i="6"/>
  <c r="AC325" i="4"/>
  <c r="AD325" i="4" s="1"/>
  <c r="N342" i="4"/>
  <c r="O342" i="4" s="1"/>
  <c r="N344" i="4"/>
  <c r="O344" i="4" s="1"/>
  <c r="N368" i="4"/>
  <c r="O368" i="4" s="1"/>
  <c r="N393" i="4"/>
  <c r="O393" i="4" s="1"/>
  <c r="N396" i="4"/>
  <c r="O396" i="4" s="1"/>
  <c r="N403" i="4"/>
  <c r="O403" i="4" s="1"/>
  <c r="AC428" i="4"/>
  <c r="AD428" i="4" s="1"/>
  <c r="N442" i="4"/>
  <c r="O442" i="4" s="1"/>
  <c r="AC40" i="5"/>
  <c r="AD40" i="5" s="1"/>
  <c r="AC61" i="5"/>
  <c r="AD61" i="5" s="1"/>
  <c r="AC88" i="5"/>
  <c r="AD88" i="5" s="1"/>
  <c r="N122" i="5"/>
  <c r="O122" i="5" s="1"/>
  <c r="X266" i="5"/>
  <c r="F284" i="5"/>
  <c r="X286" i="5"/>
  <c r="I289" i="5"/>
  <c r="X294" i="5"/>
  <c r="X330" i="5"/>
  <c r="I333" i="5"/>
  <c r="X339" i="5"/>
  <c r="X361" i="5"/>
  <c r="I364" i="5"/>
  <c r="I369" i="5"/>
  <c r="X380" i="5"/>
  <c r="X391" i="5"/>
  <c r="C393" i="5"/>
  <c r="N393" i="5"/>
  <c r="O393" i="5" s="1"/>
  <c r="I394" i="5"/>
  <c r="I398" i="5"/>
  <c r="I408" i="5"/>
  <c r="I410" i="5"/>
  <c r="X412" i="5"/>
  <c r="I415" i="5"/>
  <c r="X419" i="5"/>
  <c r="X421" i="5"/>
  <c r="H428" i="5"/>
  <c r="I428" i="5" s="1"/>
  <c r="X439" i="5"/>
  <c r="C441" i="5"/>
  <c r="N441" i="5"/>
  <c r="O441" i="5" s="1"/>
  <c r="AC442" i="5"/>
  <c r="AD442" i="5" s="1"/>
  <c r="W29" i="6"/>
  <c r="X29" i="6" s="1"/>
  <c r="N62" i="6"/>
  <c r="O62" i="6" s="1"/>
  <c r="R141" i="6"/>
  <c r="W141" i="6"/>
  <c r="X141" i="6" s="1"/>
  <c r="AC141" i="6"/>
  <c r="AD141" i="6" s="1"/>
  <c r="I179" i="5"/>
  <c r="I187" i="5"/>
  <c r="I191" i="5"/>
  <c r="I194" i="5"/>
  <c r="I201" i="5"/>
  <c r="I205" i="5"/>
  <c r="I214" i="5"/>
  <c r="I221" i="5"/>
  <c r="I225" i="5"/>
  <c r="X234" i="5"/>
  <c r="X241" i="5"/>
  <c r="I244" i="5"/>
  <c r="X246" i="5"/>
  <c r="X249" i="5"/>
  <c r="I252" i="5"/>
  <c r="X254" i="5"/>
  <c r="X257" i="5"/>
  <c r="I260" i="5"/>
  <c r="AC262" i="5"/>
  <c r="AD262" i="5" s="1"/>
  <c r="I266" i="5"/>
  <c r="I271" i="5"/>
  <c r="AC273" i="5"/>
  <c r="AD273" i="5" s="1"/>
  <c r="X275" i="5"/>
  <c r="X278" i="5"/>
  <c r="I281" i="5"/>
  <c r="X283" i="5"/>
  <c r="I286" i="5"/>
  <c r="I294" i="5"/>
  <c r="I299" i="5"/>
  <c r="X301" i="5"/>
  <c r="X304" i="5"/>
  <c r="I307" i="5"/>
  <c r="X309" i="5"/>
  <c r="X312" i="5"/>
  <c r="I315" i="5"/>
  <c r="X317" i="5"/>
  <c r="X320" i="5"/>
  <c r="I323" i="5"/>
  <c r="I330" i="5"/>
  <c r="I339" i="5"/>
  <c r="I347" i="5"/>
  <c r="X350" i="5"/>
  <c r="X353" i="5"/>
  <c r="I356" i="5"/>
  <c r="I361" i="5"/>
  <c r="X373" i="5"/>
  <c r="I376" i="5"/>
  <c r="X382" i="5"/>
  <c r="I391" i="5"/>
  <c r="X395" i="5"/>
  <c r="I402" i="5"/>
  <c r="X414" i="5"/>
  <c r="X416" i="5"/>
  <c r="I419" i="5"/>
  <c r="X425" i="5"/>
  <c r="X432" i="5"/>
  <c r="I439" i="5"/>
  <c r="H29" i="6"/>
  <c r="I29" i="6" s="1"/>
  <c r="H61" i="6"/>
  <c r="I61" i="6" s="1"/>
  <c r="E172" i="6"/>
  <c r="F124" i="6"/>
  <c r="AC124" i="6"/>
  <c r="AD124" i="6" s="1"/>
  <c r="W166" i="6"/>
  <c r="X166" i="6" s="1"/>
  <c r="AC166" i="6"/>
  <c r="AD166" i="6" s="1"/>
  <c r="R166" i="6"/>
  <c r="C262" i="6"/>
  <c r="H262" i="6"/>
  <c r="I262" i="6" s="1"/>
  <c r="N262" i="6"/>
  <c r="O262" i="6" s="1"/>
  <c r="H227" i="6"/>
  <c r="I227" i="6" s="1"/>
  <c r="F227" i="6"/>
  <c r="U236" i="6"/>
  <c r="I378" i="5"/>
  <c r="I388" i="5"/>
  <c r="I400" i="5"/>
  <c r="H403" i="5"/>
  <c r="I403" i="5" s="1"/>
  <c r="I414" i="5"/>
  <c r="I422" i="5"/>
  <c r="I436" i="5"/>
  <c r="W18" i="6"/>
  <c r="X18" i="6" s="1"/>
  <c r="W40" i="6"/>
  <c r="X40" i="6" s="1"/>
  <c r="W62" i="6"/>
  <c r="X62" i="6" s="1"/>
  <c r="R73" i="6"/>
  <c r="AC73" i="6"/>
  <c r="AD73" i="6" s="1"/>
  <c r="W73" i="6"/>
  <c r="X73" i="6" s="1"/>
  <c r="B172" i="6"/>
  <c r="U124" i="6"/>
  <c r="T172" i="6"/>
  <c r="W263" i="6"/>
  <c r="X263" i="6" s="1"/>
  <c r="AC263" i="6"/>
  <c r="AD263" i="6" s="1"/>
  <c r="H429" i="6"/>
  <c r="I429" i="6" s="1"/>
  <c r="N429" i="6"/>
  <c r="O429" i="6" s="1"/>
  <c r="C429" i="6"/>
  <c r="C218" i="6"/>
  <c r="H218" i="6"/>
  <c r="I218" i="6" s="1"/>
  <c r="N218" i="6"/>
  <c r="O218" i="6" s="1"/>
  <c r="W193" i="6"/>
  <c r="X193" i="6" s="1"/>
  <c r="AC193" i="6"/>
  <c r="AD193" i="6" s="1"/>
  <c r="R193" i="6"/>
  <c r="N284" i="6"/>
  <c r="O284" i="6" s="1"/>
  <c r="L284" i="6"/>
  <c r="W267" i="6"/>
  <c r="X267" i="6" s="1"/>
  <c r="AC267" i="6"/>
  <c r="AD267" i="6" s="1"/>
  <c r="AD371" i="5"/>
  <c r="AD377" i="5"/>
  <c r="AD386" i="5"/>
  <c r="I395" i="5"/>
  <c r="AD399" i="5"/>
  <c r="AD413" i="5"/>
  <c r="AD421" i="5"/>
  <c r="AD435" i="5"/>
  <c r="H158" i="6"/>
  <c r="I158" i="6" s="1"/>
  <c r="F158" i="6"/>
  <c r="N236" i="6"/>
  <c r="O236" i="6" s="1"/>
  <c r="H263" i="6"/>
  <c r="I263" i="6" s="1"/>
  <c r="R267" i="6"/>
  <c r="C148" i="6"/>
  <c r="H148" i="6"/>
  <c r="I148" i="6" s="1"/>
  <c r="W196" i="6"/>
  <c r="X196" i="6" s="1"/>
  <c r="C197" i="6"/>
  <c r="H197" i="6"/>
  <c r="I197" i="6" s="1"/>
  <c r="C209" i="6"/>
  <c r="H209" i="6"/>
  <c r="I209" i="6" s="1"/>
  <c r="C441" i="6"/>
  <c r="H441" i="6"/>
  <c r="I441" i="6" s="1"/>
  <c r="N441" i="6"/>
  <c r="O441" i="6" s="1"/>
  <c r="R196" i="6"/>
  <c r="AC218" i="6"/>
  <c r="AD218" i="6" s="1"/>
  <c r="AC273" i="6"/>
  <c r="AD273" i="6" s="1"/>
  <c r="R284" i="6"/>
  <c r="AC284" i="6"/>
  <c r="AD284" i="6" s="1"/>
  <c r="C343" i="6"/>
  <c r="H343" i="6"/>
  <c r="I343" i="6" s="1"/>
  <c r="N343" i="6"/>
  <c r="O343" i="6" s="1"/>
  <c r="AC344" i="6"/>
  <c r="AD344" i="6" s="1"/>
  <c r="W344" i="6"/>
  <c r="X344" i="6" s="1"/>
  <c r="R344" i="6"/>
  <c r="H403" i="6"/>
  <c r="I403" i="6" s="1"/>
  <c r="F403" i="6"/>
  <c r="W295" i="6"/>
  <c r="X295" i="6" s="1"/>
  <c r="AC295" i="6"/>
  <c r="AD295" i="6" s="1"/>
  <c r="R295" i="6"/>
  <c r="R429" i="6"/>
  <c r="W429" i="6"/>
  <c r="X429" i="6" s="1"/>
  <c r="AC429" i="6"/>
  <c r="AD429" i="6" s="1"/>
  <c r="C295" i="6"/>
  <c r="N295" i="6"/>
  <c r="O295" i="6" s="1"/>
  <c r="W158" i="6"/>
  <c r="X158" i="6" s="1"/>
  <c r="K198" i="6"/>
  <c r="L172" i="6"/>
  <c r="W227" i="6"/>
  <c r="X227" i="6" s="1"/>
  <c r="H273" i="6"/>
  <c r="I273" i="6" s="1"/>
  <c r="N124" i="6"/>
  <c r="O124" i="6" s="1"/>
  <c r="O297" i="6"/>
  <c r="H324" i="6"/>
  <c r="I324" i="6" s="1"/>
  <c r="O329" i="6"/>
  <c r="X330" i="6"/>
  <c r="X339" i="6"/>
  <c r="AC368" i="6"/>
  <c r="AD368" i="6" s="1"/>
  <c r="O374" i="6"/>
  <c r="X380" i="6"/>
  <c r="AC396" i="6"/>
  <c r="AD396" i="6" s="1"/>
  <c r="X400" i="6"/>
  <c r="X412" i="6"/>
  <c r="C29" i="7"/>
  <c r="H29" i="7"/>
  <c r="I29" i="7" s="1"/>
  <c r="C358" i="6"/>
  <c r="H358" i="6"/>
  <c r="I358" i="6" s="1"/>
  <c r="F344" i="6"/>
  <c r="R368" i="6"/>
  <c r="R393" i="6"/>
  <c r="U428" i="6"/>
  <c r="N18" i="7"/>
  <c r="O18" i="7" s="1"/>
  <c r="R396" i="6"/>
  <c r="O439" i="6"/>
  <c r="O435" i="6"/>
  <c r="O427" i="6"/>
  <c r="O423" i="6"/>
  <c r="O419" i="6"/>
  <c r="O415" i="6"/>
  <c r="O411" i="6"/>
  <c r="O407" i="6"/>
  <c r="O399" i="6"/>
  <c r="O389" i="6"/>
  <c r="O383" i="6"/>
  <c r="O379" i="6"/>
  <c r="R61" i="7"/>
  <c r="W61" i="7"/>
  <c r="X61" i="7" s="1"/>
  <c r="AC61" i="7"/>
  <c r="AD61" i="7" s="1"/>
  <c r="N325" i="6"/>
  <c r="O325" i="6" s="1"/>
  <c r="F368" i="6"/>
  <c r="X437" i="6"/>
  <c r="X433" i="6"/>
  <c r="X425" i="6"/>
  <c r="X421" i="6"/>
  <c r="X417" i="6"/>
  <c r="X413" i="6"/>
  <c r="X409" i="6"/>
  <c r="X401" i="6"/>
  <c r="X397" i="6"/>
  <c r="X394" i="6"/>
  <c r="X391" i="6"/>
  <c r="X386" i="6"/>
  <c r="X381" i="6"/>
  <c r="X377" i="6"/>
  <c r="R18" i="7"/>
  <c r="W18" i="7"/>
  <c r="X18" i="7" s="1"/>
  <c r="N40" i="7"/>
  <c r="O40" i="7" s="1"/>
  <c r="X303" i="6"/>
  <c r="O304" i="6"/>
  <c r="X311" i="6"/>
  <c r="O312" i="6"/>
  <c r="X319" i="6"/>
  <c r="O320" i="6"/>
  <c r="AC343" i="6"/>
  <c r="AD343" i="6" s="1"/>
  <c r="O347" i="6"/>
  <c r="X349" i="6"/>
  <c r="O356" i="6"/>
  <c r="X357" i="6"/>
  <c r="X362" i="6"/>
  <c r="O363" i="6"/>
  <c r="O382" i="6"/>
  <c r="F396" i="6"/>
  <c r="O402" i="6"/>
  <c r="W403" i="6"/>
  <c r="X403" i="6" s="1"/>
  <c r="O414" i="6"/>
  <c r="O442" i="6"/>
  <c r="C18" i="7"/>
  <c r="L29" i="7"/>
  <c r="X275" i="6"/>
  <c r="O289" i="6"/>
  <c r="O301" i="6"/>
  <c r="R324" i="6"/>
  <c r="W324" i="6"/>
  <c r="X324" i="6" s="1"/>
  <c r="AC325" i="6"/>
  <c r="AD325" i="6" s="1"/>
  <c r="X331" i="6"/>
  <c r="O332" i="6"/>
  <c r="X340" i="6"/>
  <c r="O341" i="6"/>
  <c r="N342" i="6"/>
  <c r="O342" i="6" s="1"/>
  <c r="O375" i="6"/>
  <c r="X376" i="6"/>
  <c r="R403" i="6"/>
  <c r="X408" i="6"/>
  <c r="X424" i="6"/>
  <c r="O438" i="6"/>
  <c r="AC441" i="6"/>
  <c r="AD441" i="6" s="1"/>
  <c r="L166" i="7"/>
  <c r="N166" i="7"/>
  <c r="O166" i="7" s="1"/>
  <c r="H62" i="7"/>
  <c r="I62" i="7" s="1"/>
  <c r="W124" i="7"/>
  <c r="X124" i="7" s="1"/>
  <c r="W182" i="7"/>
  <c r="X182" i="7" s="1"/>
  <c r="C197" i="7"/>
  <c r="H197" i="7"/>
  <c r="I197" i="7" s="1"/>
  <c r="N197" i="7"/>
  <c r="O197" i="7" s="1"/>
  <c r="Z172" i="7"/>
  <c r="AA124" i="7"/>
  <c r="N73" i="7"/>
  <c r="O73" i="7" s="1"/>
  <c r="R73" i="7"/>
  <c r="N88" i="7"/>
  <c r="O88" i="7" s="1"/>
  <c r="L124" i="7"/>
  <c r="K172" i="7"/>
  <c r="R148" i="7"/>
  <c r="W148" i="7"/>
  <c r="X148" i="7" s="1"/>
  <c r="C122" i="7"/>
  <c r="H122" i="7"/>
  <c r="I122" i="7" s="1"/>
  <c r="Q198" i="7"/>
  <c r="R172" i="7"/>
  <c r="W172" i="7"/>
  <c r="X172" i="7" s="1"/>
  <c r="AC62" i="7"/>
  <c r="AD62" i="7" s="1"/>
  <c r="R88" i="7"/>
  <c r="W88" i="7"/>
  <c r="X88" i="7" s="1"/>
  <c r="W122" i="7"/>
  <c r="X122" i="7" s="1"/>
  <c r="AC124" i="7"/>
  <c r="AD124" i="7" s="1"/>
  <c r="C141" i="7"/>
  <c r="H141" i="7"/>
  <c r="I141" i="7" s="1"/>
  <c r="W141" i="7"/>
  <c r="X141" i="7" s="1"/>
  <c r="U141" i="7"/>
  <c r="N182" i="7"/>
  <c r="O182" i="7" s="1"/>
  <c r="L182" i="7"/>
  <c r="F73" i="7"/>
  <c r="B172" i="7"/>
  <c r="C124" i="7"/>
  <c r="N193" i="7"/>
  <c r="O193" i="7" s="1"/>
  <c r="H193" i="7"/>
  <c r="I193" i="7" s="1"/>
  <c r="C193" i="7"/>
  <c r="U172" i="7"/>
  <c r="T198" i="7"/>
  <c r="H148" i="7"/>
  <c r="I148" i="7" s="1"/>
  <c r="F148" i="7"/>
  <c r="AC148" i="7"/>
  <c r="AD148" i="7" s="1"/>
  <c r="H196" i="7"/>
  <c r="I196" i="7" s="1"/>
  <c r="N196" i="7"/>
  <c r="O196" i="7" s="1"/>
  <c r="C196" i="7"/>
  <c r="AC209" i="7"/>
  <c r="AD209" i="7" s="1"/>
  <c r="AA209" i="7"/>
  <c r="R263" i="7"/>
  <c r="W263" i="7"/>
  <c r="X263" i="7" s="1"/>
  <c r="AC263" i="7"/>
  <c r="AD263" i="7" s="1"/>
  <c r="R267" i="7"/>
  <c r="AC267" i="7"/>
  <c r="AD267" i="7" s="1"/>
  <c r="N273" i="7"/>
  <c r="O273" i="7" s="1"/>
  <c r="H273" i="7"/>
  <c r="I273" i="7" s="1"/>
  <c r="C273" i="7"/>
  <c r="E198" i="7"/>
  <c r="F172" i="7"/>
  <c r="N158" i="7"/>
  <c r="O158" i="7" s="1"/>
  <c r="C166" i="7"/>
  <c r="AC166" i="7"/>
  <c r="AD166" i="7" s="1"/>
  <c r="R236" i="7"/>
  <c r="W262" i="7"/>
  <c r="X262" i="7" s="1"/>
  <c r="R262" i="7"/>
  <c r="N227" i="7"/>
  <c r="O227" i="7" s="1"/>
  <c r="W193" i="7"/>
  <c r="X193" i="7" s="1"/>
  <c r="C209" i="7"/>
  <c r="H209" i="7"/>
  <c r="I209" i="7" s="1"/>
  <c r="W218" i="7"/>
  <c r="X218" i="7" s="1"/>
  <c r="AC227" i="7"/>
  <c r="AD227" i="7" s="1"/>
  <c r="H262" i="7"/>
  <c r="I262" i="7" s="1"/>
  <c r="C262" i="7"/>
  <c r="AC236" i="7"/>
  <c r="AD236" i="7" s="1"/>
  <c r="C263" i="7"/>
  <c r="H263" i="7"/>
  <c r="I263" i="7" s="1"/>
  <c r="N263" i="7"/>
  <c r="O263" i="7" s="1"/>
  <c r="H149" i="7"/>
  <c r="I149" i="7" s="1"/>
  <c r="AC149" i="7"/>
  <c r="AD149" i="7" s="1"/>
  <c r="R149" i="7"/>
  <c r="AC170" i="7"/>
  <c r="AD170" i="7" s="1"/>
  <c r="W171" i="7"/>
  <c r="X171" i="7" s="1"/>
  <c r="AC196" i="7"/>
  <c r="AD196" i="7" s="1"/>
  <c r="U227" i="7"/>
  <c r="H236" i="7"/>
  <c r="I236" i="7" s="1"/>
  <c r="N324" i="7"/>
  <c r="O324" i="7" s="1"/>
  <c r="C325" i="7"/>
  <c r="N325" i="7"/>
  <c r="O325" i="7" s="1"/>
  <c r="H325" i="7"/>
  <c r="I325" i="7" s="1"/>
  <c r="W342" i="7"/>
  <c r="X342" i="7" s="1"/>
  <c r="AC342" i="7"/>
  <c r="AD342" i="7" s="1"/>
  <c r="R342" i="7"/>
  <c r="R295" i="7"/>
  <c r="AC295" i="7"/>
  <c r="AD295" i="7" s="1"/>
  <c r="L344" i="7"/>
  <c r="N344" i="7"/>
  <c r="O344" i="7" s="1"/>
  <c r="AA273" i="7"/>
  <c r="W368" i="7"/>
  <c r="X368" i="7" s="1"/>
  <c r="AC368" i="7"/>
  <c r="AD368" i="7" s="1"/>
  <c r="R368" i="7"/>
  <c r="H170" i="7"/>
  <c r="I170" i="7" s="1"/>
  <c r="AC193" i="7"/>
  <c r="AD193" i="7" s="1"/>
  <c r="N284" i="7"/>
  <c r="O284" i="7" s="1"/>
  <c r="W295" i="7"/>
  <c r="X295" i="7" s="1"/>
  <c r="H324" i="7"/>
  <c r="I324" i="7" s="1"/>
  <c r="W325" i="7"/>
  <c r="X325" i="7" s="1"/>
  <c r="AC325" i="7"/>
  <c r="AD325" i="7" s="1"/>
  <c r="C170" i="7"/>
  <c r="H182" i="7"/>
  <c r="I182" i="7" s="1"/>
  <c r="W197" i="7"/>
  <c r="X197" i="7" s="1"/>
  <c r="W209" i="7"/>
  <c r="X209" i="7" s="1"/>
  <c r="N267" i="7"/>
  <c r="O267" i="7" s="1"/>
  <c r="H295" i="7"/>
  <c r="I295" i="7" s="1"/>
  <c r="R325" i="7"/>
  <c r="C343" i="7"/>
  <c r="H342" i="7"/>
  <c r="I342" i="7" s="1"/>
  <c r="N342" i="7"/>
  <c r="O342" i="7" s="1"/>
  <c r="N358" i="7"/>
  <c r="O358" i="7" s="1"/>
  <c r="C358" i="7"/>
  <c r="C342" i="7"/>
  <c r="AC343" i="7"/>
  <c r="AD343" i="7" s="1"/>
  <c r="N343" i="7"/>
  <c r="O343" i="7" s="1"/>
  <c r="C344" i="7"/>
  <c r="H344" i="7"/>
  <c r="I344" i="7" s="1"/>
  <c r="H358" i="7"/>
  <c r="I358" i="7" s="1"/>
  <c r="R396" i="7"/>
  <c r="W396" i="7"/>
  <c r="X396" i="7" s="1"/>
  <c r="H393" i="7"/>
  <c r="I393" i="7" s="1"/>
  <c r="R403" i="7"/>
  <c r="W403" i="7"/>
  <c r="X403" i="7" s="1"/>
  <c r="AC284" i="7"/>
  <c r="AD284" i="7" s="1"/>
  <c r="N295" i="7"/>
  <c r="O295" i="7" s="1"/>
  <c r="AC324" i="7"/>
  <c r="AD324" i="7" s="1"/>
  <c r="AC396" i="7"/>
  <c r="AD396" i="7" s="1"/>
  <c r="W429" i="7"/>
  <c r="X429" i="7" s="1"/>
  <c r="R429" i="7"/>
  <c r="R393" i="7"/>
  <c r="W393" i="7"/>
  <c r="X393" i="7" s="1"/>
  <c r="H396" i="7"/>
  <c r="I396" i="7" s="1"/>
  <c r="H441" i="7"/>
  <c r="I441" i="7" s="1"/>
  <c r="C441" i="7"/>
  <c r="N428" i="7"/>
  <c r="O428" i="7" s="1"/>
  <c r="H429" i="7"/>
  <c r="I429" i="7" s="1"/>
  <c r="AC441" i="7"/>
  <c r="AD441" i="7" s="1"/>
  <c r="W442" i="7"/>
  <c r="X442" i="7" s="1"/>
  <c r="X432" i="7"/>
  <c r="O434" i="7"/>
  <c r="X436" i="7"/>
  <c r="N429" i="7"/>
  <c r="O429" i="7" s="1"/>
  <c r="AC442" i="7"/>
  <c r="AD442" i="7" s="1"/>
  <c r="Z198" i="7" l="1"/>
  <c r="AA172" i="7"/>
  <c r="AC198" i="7"/>
  <c r="AD198" i="7" s="1"/>
  <c r="Q345" i="7"/>
  <c r="R198" i="7"/>
  <c r="W198" i="7"/>
  <c r="X198" i="7" s="1"/>
  <c r="E345" i="7"/>
  <c r="F198" i="7"/>
  <c r="H172" i="7"/>
  <c r="I172" i="7" s="1"/>
  <c r="B198" i="7"/>
  <c r="N172" i="7"/>
  <c r="O172" i="7" s="1"/>
  <c r="C172" i="7"/>
  <c r="K404" i="5"/>
  <c r="L345" i="5"/>
  <c r="T198" i="3"/>
  <c r="U172" i="3"/>
  <c r="R172" i="2"/>
  <c r="AC172" i="2"/>
  <c r="AD172" i="2" s="1"/>
  <c r="Q198" i="2"/>
  <c r="W172" i="2"/>
  <c r="X172" i="2" s="1"/>
  <c r="AC172" i="7"/>
  <c r="AD172" i="7" s="1"/>
  <c r="T345" i="7"/>
  <c r="U198" i="7"/>
  <c r="W172" i="4"/>
  <c r="X172" i="4" s="1"/>
  <c r="AC172" i="4"/>
  <c r="AD172" i="4" s="1"/>
  <c r="R172" i="4"/>
  <c r="Q198" i="4"/>
  <c r="K345" i="3"/>
  <c r="L198" i="3"/>
  <c r="H172" i="3"/>
  <c r="I172" i="3" s="1"/>
  <c r="C172" i="3"/>
  <c r="B198" i="3"/>
  <c r="N172" i="3"/>
  <c r="O172" i="3" s="1"/>
  <c r="T443" i="1"/>
  <c r="U443" i="1" s="1"/>
  <c r="U404" i="1"/>
  <c r="R172" i="5"/>
  <c r="AC172" i="5"/>
  <c r="AD172" i="5" s="1"/>
  <c r="Q198" i="5"/>
  <c r="W172" i="5"/>
  <c r="X172" i="5" s="1"/>
  <c r="K345" i="2"/>
  <c r="L198" i="2"/>
  <c r="N172" i="2"/>
  <c r="O172" i="2" s="1"/>
  <c r="B198" i="2"/>
  <c r="C172" i="2"/>
  <c r="H172" i="2"/>
  <c r="I172" i="2" s="1"/>
  <c r="T198" i="2"/>
  <c r="U172" i="2"/>
  <c r="AC172" i="1"/>
  <c r="AD172" i="1" s="1"/>
  <c r="Q198" i="1"/>
  <c r="W172" i="1"/>
  <c r="X172" i="1" s="1"/>
  <c r="R172" i="1"/>
  <c r="Z345" i="6"/>
  <c r="AA198" i="6"/>
  <c r="F198" i="3"/>
  <c r="E345" i="3"/>
  <c r="E443" i="1"/>
  <c r="F443" i="1" s="1"/>
  <c r="F404" i="1"/>
  <c r="T198" i="4"/>
  <c r="U172" i="4"/>
  <c r="N172" i="6"/>
  <c r="O172" i="6" s="1"/>
  <c r="B198" i="6"/>
  <c r="C172" i="6"/>
  <c r="H172" i="6"/>
  <c r="I172" i="6" s="1"/>
  <c r="E345" i="5"/>
  <c r="F198" i="5"/>
  <c r="C172" i="4"/>
  <c r="H172" i="4"/>
  <c r="I172" i="4" s="1"/>
  <c r="B198" i="4"/>
  <c r="N172" i="4"/>
  <c r="O172" i="4" s="1"/>
  <c r="L172" i="4"/>
  <c r="K198" i="4"/>
  <c r="U172" i="6"/>
  <c r="T198" i="6"/>
  <c r="K198" i="7"/>
  <c r="L172" i="7"/>
  <c r="K345" i="6"/>
  <c r="L198" i="6"/>
  <c r="E198" i="6"/>
  <c r="F172" i="6"/>
  <c r="C172" i="5"/>
  <c r="N172" i="5"/>
  <c r="O172" i="5" s="1"/>
  <c r="B198" i="5"/>
  <c r="H172" i="5"/>
  <c r="I172" i="5" s="1"/>
  <c r="R172" i="3"/>
  <c r="W172" i="3"/>
  <c r="X172" i="3" s="1"/>
  <c r="Q198" i="3"/>
  <c r="AC172" i="3"/>
  <c r="AD172" i="3" s="1"/>
  <c r="AA198" i="2"/>
  <c r="Z345" i="2"/>
  <c r="Z345" i="1"/>
  <c r="AA198" i="1"/>
  <c r="AC172" i="6"/>
  <c r="AD172" i="6" s="1"/>
  <c r="Q198" i="6"/>
  <c r="W172" i="6"/>
  <c r="X172" i="6" s="1"/>
  <c r="R172" i="6"/>
  <c r="AA172" i="5"/>
  <c r="Z198" i="5"/>
  <c r="N198" i="1"/>
  <c r="O198" i="1" s="1"/>
  <c r="B345" i="1"/>
  <c r="C198" i="1"/>
  <c r="H198" i="1"/>
  <c r="I198" i="1" s="1"/>
  <c r="F172" i="2"/>
  <c r="E198" i="2"/>
  <c r="T345" i="5"/>
  <c r="U198" i="5"/>
  <c r="AA172" i="3"/>
  <c r="Z198" i="3"/>
  <c r="F345" i="4"/>
  <c r="E404" i="4"/>
  <c r="AA172" i="4"/>
  <c r="Z198" i="4"/>
  <c r="L345" i="1"/>
  <c r="K404" i="1"/>
  <c r="Z345" i="5" l="1"/>
  <c r="AA198" i="5"/>
  <c r="T404" i="5"/>
  <c r="U345" i="5"/>
  <c r="E404" i="5"/>
  <c r="F345" i="5"/>
  <c r="L345" i="2"/>
  <c r="K404" i="2"/>
  <c r="C198" i="3"/>
  <c r="B345" i="3"/>
  <c r="H198" i="3"/>
  <c r="I198" i="3" s="1"/>
  <c r="N198" i="3"/>
  <c r="O198" i="3" s="1"/>
  <c r="AA198" i="4"/>
  <c r="Z345" i="4"/>
  <c r="K345" i="4"/>
  <c r="L198" i="4"/>
  <c r="E404" i="3"/>
  <c r="F345" i="3"/>
  <c r="T345" i="3"/>
  <c r="U198" i="3"/>
  <c r="F345" i="7"/>
  <c r="E404" i="7"/>
  <c r="L404" i="1"/>
  <c r="K443" i="1"/>
  <c r="L443" i="1" s="1"/>
  <c r="R198" i="3"/>
  <c r="AC198" i="3"/>
  <c r="AD198" i="3" s="1"/>
  <c r="W198" i="3"/>
  <c r="X198" i="3" s="1"/>
  <c r="Q345" i="3"/>
  <c r="E345" i="6"/>
  <c r="F198" i="6"/>
  <c r="T345" i="2"/>
  <c r="U198" i="2"/>
  <c r="W198" i="5"/>
  <c r="X198" i="5" s="1"/>
  <c r="Q345" i="5"/>
  <c r="R198" i="5"/>
  <c r="AC198" i="5"/>
  <c r="AD198" i="5" s="1"/>
  <c r="T404" i="7"/>
  <c r="U345" i="7"/>
  <c r="E345" i="2"/>
  <c r="F198" i="2"/>
  <c r="K443" i="5"/>
  <c r="L443" i="5" s="1"/>
  <c r="L404" i="5"/>
  <c r="L345" i="6"/>
  <c r="K404" i="6"/>
  <c r="H198" i="4"/>
  <c r="I198" i="4" s="1"/>
  <c r="N198" i="4"/>
  <c r="O198" i="4" s="1"/>
  <c r="B345" i="4"/>
  <c r="C198" i="4"/>
  <c r="L345" i="3"/>
  <c r="K404" i="3"/>
  <c r="R345" i="7"/>
  <c r="Q404" i="7"/>
  <c r="AC345" i="7"/>
  <c r="AD345" i="7" s="1"/>
  <c r="W345" i="7"/>
  <c r="X345" i="7" s="1"/>
  <c r="B345" i="6"/>
  <c r="N198" i="6"/>
  <c r="O198" i="6" s="1"/>
  <c r="C198" i="6"/>
  <c r="H198" i="6"/>
  <c r="I198" i="6" s="1"/>
  <c r="AA345" i="6"/>
  <c r="Z404" i="6"/>
  <c r="AA198" i="3"/>
  <c r="Z345" i="3"/>
  <c r="H345" i="1"/>
  <c r="I345" i="1" s="1"/>
  <c r="B404" i="1"/>
  <c r="C345" i="1"/>
  <c r="N345" i="1"/>
  <c r="O345" i="1" s="1"/>
  <c r="B345" i="2"/>
  <c r="C198" i="2"/>
  <c r="N198" i="2"/>
  <c r="O198" i="2" s="1"/>
  <c r="H198" i="2"/>
  <c r="I198" i="2" s="1"/>
  <c r="Q345" i="4"/>
  <c r="AC198" i="4"/>
  <c r="AD198" i="4" s="1"/>
  <c r="W198" i="4"/>
  <c r="X198" i="4" s="1"/>
  <c r="R198" i="4"/>
  <c r="Q345" i="2"/>
  <c r="W198" i="2"/>
  <c r="X198" i="2" s="1"/>
  <c r="R198" i="2"/>
  <c r="AC198" i="2"/>
  <c r="AD198" i="2" s="1"/>
  <c r="E443" i="4"/>
  <c r="F443" i="4" s="1"/>
  <c r="F404" i="4"/>
  <c r="W198" i="6"/>
  <c r="X198" i="6" s="1"/>
  <c r="Q345" i="6"/>
  <c r="AC198" i="6"/>
  <c r="AD198" i="6" s="1"/>
  <c r="R198" i="6"/>
  <c r="Z404" i="1"/>
  <c r="AA345" i="1"/>
  <c r="B345" i="5"/>
  <c r="C198" i="5"/>
  <c r="N198" i="5"/>
  <c r="O198" i="5" s="1"/>
  <c r="H198" i="5"/>
  <c r="I198" i="5" s="1"/>
  <c r="K345" i="7"/>
  <c r="L198" i="7"/>
  <c r="T345" i="4"/>
  <c r="U198" i="4"/>
  <c r="B345" i="7"/>
  <c r="N198" i="7"/>
  <c r="O198" i="7" s="1"/>
  <c r="C198" i="7"/>
  <c r="H198" i="7"/>
  <c r="I198" i="7" s="1"/>
  <c r="AA345" i="2"/>
  <c r="Z404" i="2"/>
  <c r="T345" i="6"/>
  <c r="U198" i="6"/>
  <c r="R198" i="1"/>
  <c r="AC198" i="1"/>
  <c r="AD198" i="1" s="1"/>
  <c r="W198" i="1"/>
  <c r="X198" i="1" s="1"/>
  <c r="Q345" i="1"/>
  <c r="Z345" i="7"/>
  <c r="AA198" i="7"/>
  <c r="L404" i="2" l="1"/>
  <c r="K443" i="2"/>
  <c r="L443" i="2" s="1"/>
  <c r="N345" i="7"/>
  <c r="O345" i="7" s="1"/>
  <c r="B404" i="7"/>
  <c r="H345" i="7"/>
  <c r="I345" i="7" s="1"/>
  <c r="C345" i="7"/>
  <c r="C345" i="5"/>
  <c r="B404" i="5"/>
  <c r="N345" i="5"/>
  <c r="O345" i="5" s="1"/>
  <c r="H345" i="5"/>
  <c r="I345" i="5" s="1"/>
  <c r="AC345" i="4"/>
  <c r="AD345" i="4" s="1"/>
  <c r="Q404" i="4"/>
  <c r="W345" i="4"/>
  <c r="X345" i="4" s="1"/>
  <c r="R345" i="4"/>
  <c r="C345" i="6"/>
  <c r="H345" i="6"/>
  <c r="I345" i="6" s="1"/>
  <c r="N345" i="6"/>
  <c r="O345" i="6" s="1"/>
  <c r="B404" i="6"/>
  <c r="H345" i="4"/>
  <c r="I345" i="4" s="1"/>
  <c r="B404" i="4"/>
  <c r="N345" i="4"/>
  <c r="O345" i="4" s="1"/>
  <c r="C345" i="4"/>
  <c r="E404" i="2"/>
  <c r="F345" i="2"/>
  <c r="U345" i="2"/>
  <c r="T404" i="2"/>
  <c r="L345" i="4"/>
  <c r="K404" i="4"/>
  <c r="F404" i="7"/>
  <c r="E443" i="7"/>
  <c r="F443" i="7" s="1"/>
  <c r="AA345" i="4"/>
  <c r="Z404" i="4"/>
  <c r="U404" i="7"/>
  <c r="T443" i="7"/>
  <c r="U443" i="7" s="1"/>
  <c r="E404" i="6"/>
  <c r="F345" i="6"/>
  <c r="F404" i="5"/>
  <c r="E443" i="5"/>
  <c r="F443" i="5" s="1"/>
  <c r="R404" i="7"/>
  <c r="Q443" i="7"/>
  <c r="W404" i="7"/>
  <c r="X404" i="7" s="1"/>
  <c r="K443" i="6"/>
  <c r="L443" i="6" s="1"/>
  <c r="L404" i="6"/>
  <c r="W345" i="3"/>
  <c r="X345" i="3" s="1"/>
  <c r="R345" i="3"/>
  <c r="Q404" i="3"/>
  <c r="AC345" i="3"/>
  <c r="AD345" i="3" s="1"/>
  <c r="AA345" i="3"/>
  <c r="Z404" i="3"/>
  <c r="Z443" i="1"/>
  <c r="AA443" i="1" s="1"/>
  <c r="AA404" i="1"/>
  <c r="AA404" i="2"/>
  <c r="Z443" i="2"/>
  <c r="AA443" i="2" s="1"/>
  <c r="C345" i="2"/>
  <c r="N345" i="2"/>
  <c r="O345" i="2" s="1"/>
  <c r="B404" i="2"/>
  <c r="H345" i="2"/>
  <c r="I345" i="2" s="1"/>
  <c r="U345" i="3"/>
  <c r="T404" i="3"/>
  <c r="U404" i="5"/>
  <c r="T443" i="5"/>
  <c r="U443" i="5" s="1"/>
  <c r="T404" i="6"/>
  <c r="U345" i="6"/>
  <c r="U345" i="4"/>
  <c r="T404" i="4"/>
  <c r="AA404" i="6"/>
  <c r="Z443" i="6"/>
  <c r="AA443" i="6" s="1"/>
  <c r="AA345" i="7"/>
  <c r="Z404" i="7"/>
  <c r="K404" i="7"/>
  <c r="L345" i="7"/>
  <c r="Q404" i="2"/>
  <c r="AC345" i="2"/>
  <c r="AD345" i="2" s="1"/>
  <c r="W345" i="2"/>
  <c r="X345" i="2" s="1"/>
  <c r="R345" i="2"/>
  <c r="W345" i="1"/>
  <c r="X345" i="1" s="1"/>
  <c r="Q404" i="1"/>
  <c r="R345" i="1"/>
  <c r="AC345" i="1"/>
  <c r="AD345" i="1" s="1"/>
  <c r="Q404" i="6"/>
  <c r="AC345" i="6"/>
  <c r="AD345" i="6" s="1"/>
  <c r="W345" i="6"/>
  <c r="X345" i="6" s="1"/>
  <c r="R345" i="6"/>
  <c r="K443" i="3"/>
  <c r="L443" i="3" s="1"/>
  <c r="L404" i="3"/>
  <c r="R345" i="5"/>
  <c r="W345" i="5"/>
  <c r="X345" i="5" s="1"/>
  <c r="AC345" i="5"/>
  <c r="AD345" i="5" s="1"/>
  <c r="Q404" i="5"/>
  <c r="C345" i="3"/>
  <c r="N345" i="3"/>
  <c r="O345" i="3" s="1"/>
  <c r="H345" i="3"/>
  <c r="I345" i="3" s="1"/>
  <c r="B404" i="3"/>
  <c r="H404" i="1"/>
  <c r="I404" i="1" s="1"/>
  <c r="N404" i="1"/>
  <c r="O404" i="1" s="1"/>
  <c r="B443" i="1"/>
  <c r="C404" i="1"/>
  <c r="F404" i="3"/>
  <c r="E443" i="3"/>
  <c r="F443" i="3" s="1"/>
  <c r="Z404" i="5"/>
  <c r="AA345" i="5"/>
  <c r="C404" i="5" l="1"/>
  <c r="B443" i="5"/>
  <c r="H404" i="5"/>
  <c r="I404" i="5" s="1"/>
  <c r="N404" i="5"/>
  <c r="O404" i="5" s="1"/>
  <c r="W443" i="7"/>
  <c r="X443" i="7" s="1"/>
  <c r="R443" i="7"/>
  <c r="T443" i="6"/>
  <c r="U443" i="6" s="1"/>
  <c r="U404" i="6"/>
  <c r="R404" i="3"/>
  <c r="Q443" i="3"/>
  <c r="AC404" i="3"/>
  <c r="AD404" i="3" s="1"/>
  <c r="W404" i="3"/>
  <c r="X404" i="3" s="1"/>
  <c r="E443" i="2"/>
  <c r="F443" i="2" s="1"/>
  <c r="F404" i="2"/>
  <c r="N404" i="3"/>
  <c r="O404" i="3" s="1"/>
  <c r="H404" i="3"/>
  <c r="I404" i="3" s="1"/>
  <c r="B443" i="3"/>
  <c r="C404" i="3"/>
  <c r="U404" i="3"/>
  <c r="T443" i="3"/>
  <c r="U443" i="3" s="1"/>
  <c r="L404" i="4"/>
  <c r="K443" i="4"/>
  <c r="L443" i="4" s="1"/>
  <c r="H404" i="4"/>
  <c r="I404" i="4" s="1"/>
  <c r="C404" i="4"/>
  <c r="B443" i="4"/>
  <c r="N404" i="4"/>
  <c r="O404" i="4" s="1"/>
  <c r="W404" i="4"/>
  <c r="X404" i="4" s="1"/>
  <c r="R404" i="4"/>
  <c r="Q443" i="4"/>
  <c r="AC404" i="4"/>
  <c r="AD404" i="4" s="1"/>
  <c r="H404" i="7"/>
  <c r="I404" i="7" s="1"/>
  <c r="C404" i="7"/>
  <c r="N404" i="7"/>
  <c r="O404" i="7" s="1"/>
  <c r="B443" i="7"/>
  <c r="E443" i="6"/>
  <c r="F443" i="6" s="1"/>
  <c r="F404" i="6"/>
  <c r="AC404" i="5"/>
  <c r="AD404" i="5" s="1"/>
  <c r="Q443" i="5"/>
  <c r="R404" i="5"/>
  <c r="W404" i="5"/>
  <c r="X404" i="5" s="1"/>
  <c r="U404" i="4"/>
  <c r="T443" i="4"/>
  <c r="U443" i="4" s="1"/>
  <c r="AA404" i="3"/>
  <c r="Z443" i="3"/>
  <c r="AA443" i="3" s="1"/>
  <c r="T443" i="2"/>
  <c r="U443" i="2" s="1"/>
  <c r="U404" i="2"/>
  <c r="C404" i="6"/>
  <c r="H404" i="6"/>
  <c r="I404" i="6" s="1"/>
  <c r="B443" i="6"/>
  <c r="N404" i="6"/>
  <c r="O404" i="6" s="1"/>
  <c r="Z443" i="4"/>
  <c r="AA443" i="4" s="1"/>
  <c r="AA404" i="4"/>
  <c r="L404" i="7"/>
  <c r="K443" i="7"/>
  <c r="L443" i="7" s="1"/>
  <c r="W404" i="1"/>
  <c r="X404" i="1" s="1"/>
  <c r="Q443" i="1"/>
  <c r="R404" i="1"/>
  <c r="AC404" i="1"/>
  <c r="AD404" i="1" s="1"/>
  <c r="AA404" i="7"/>
  <c r="Z443" i="7"/>
  <c r="AA443" i="7" s="1"/>
  <c r="AA404" i="5"/>
  <c r="Z443" i="5"/>
  <c r="AA443" i="5" s="1"/>
  <c r="H443" i="1"/>
  <c r="I443" i="1" s="1"/>
  <c r="N443" i="1"/>
  <c r="O443" i="1" s="1"/>
  <c r="C443" i="1"/>
  <c r="Q443" i="6"/>
  <c r="AC404" i="6"/>
  <c r="AD404" i="6" s="1"/>
  <c r="W404" i="6"/>
  <c r="X404" i="6" s="1"/>
  <c r="R404" i="6"/>
  <c r="Q443" i="2"/>
  <c r="AC404" i="2"/>
  <c r="AD404" i="2" s="1"/>
  <c r="W404" i="2"/>
  <c r="X404" i="2" s="1"/>
  <c r="R404" i="2"/>
  <c r="C404" i="2"/>
  <c r="N404" i="2"/>
  <c r="O404" i="2" s="1"/>
  <c r="B443" i="2"/>
  <c r="H404" i="2"/>
  <c r="I404" i="2" s="1"/>
  <c r="AC404" i="7"/>
  <c r="AD404" i="7" s="1"/>
  <c r="AC443" i="2" l="1"/>
  <c r="AD443" i="2" s="1"/>
  <c r="W443" i="2"/>
  <c r="X443" i="2" s="1"/>
  <c r="R443" i="2"/>
  <c r="R443" i="5"/>
  <c r="W443" i="5"/>
  <c r="X443" i="5" s="1"/>
  <c r="AC443" i="5"/>
  <c r="AD443" i="5" s="1"/>
  <c r="AC443" i="7"/>
  <c r="AD443" i="7" s="1"/>
  <c r="AC443" i="4"/>
  <c r="AD443" i="4" s="1"/>
  <c r="W443" i="4"/>
  <c r="X443" i="4" s="1"/>
  <c r="R443" i="4"/>
  <c r="C443" i="2"/>
  <c r="H443" i="2"/>
  <c r="I443" i="2" s="1"/>
  <c r="N443" i="2"/>
  <c r="O443" i="2" s="1"/>
  <c r="H443" i="7"/>
  <c r="I443" i="7" s="1"/>
  <c r="C443" i="7"/>
  <c r="N443" i="7"/>
  <c r="O443" i="7" s="1"/>
  <c r="R443" i="3"/>
  <c r="AC443" i="3"/>
  <c r="AD443" i="3" s="1"/>
  <c r="W443" i="3"/>
  <c r="X443" i="3" s="1"/>
  <c r="C443" i="6"/>
  <c r="H443" i="6"/>
  <c r="I443" i="6" s="1"/>
  <c r="N443" i="6"/>
  <c r="O443" i="6" s="1"/>
  <c r="H443" i="4"/>
  <c r="I443" i="4" s="1"/>
  <c r="C443" i="4"/>
  <c r="N443" i="4"/>
  <c r="O443" i="4" s="1"/>
  <c r="N443" i="3"/>
  <c r="O443" i="3" s="1"/>
  <c r="H443" i="3"/>
  <c r="I443" i="3" s="1"/>
  <c r="C443" i="3"/>
  <c r="C443" i="5"/>
  <c r="H443" i="5"/>
  <c r="I443" i="5" s="1"/>
  <c r="N443" i="5"/>
  <c r="O443" i="5" s="1"/>
  <c r="AC443" i="6"/>
  <c r="AD443" i="6" s="1"/>
  <c r="W443" i="6"/>
  <c r="X443" i="6" s="1"/>
  <c r="R443" i="6"/>
  <c r="W443" i="1"/>
  <c r="X443" i="1" s="1"/>
  <c r="AC443" i="1"/>
  <c r="AD443" i="1" s="1"/>
  <c r="R443" i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<sst xmlns="http://schemas.openxmlformats.org/spreadsheetml/2006/main" count="3934" uniqueCount="417">
  <si>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</si>
  <si>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03/29/2026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</si>
  <si>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</si>
  <si>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</si>
  <si>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</si>
  <si>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</si>
  <si>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</si>
  <si>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</si>
  <si>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</si>
  <si>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</si>
  <si>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</si>
  <si>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</si>
  <si>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</si>
  <si>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</si>
  <si>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</si>
  <si>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</si>
  <si>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</si>
  <si>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</si>
  <si>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</si>
  <si>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</si>
  <si>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</si>
  <si>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</si>
  <si>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</si>
  <si>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</si>
  <si>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</si>
  <si>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</si>
  <si>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</si>
  <si>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</si>
  <si>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</si>
  <si>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</si>
  <si>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</si>
  <si>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</si>
  <si>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</si>
  <si>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</si>
  <si>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</si>
  <si>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</si>
  <si>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</si>
  <si>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</si>
  <si>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</si>
  <si>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</si>
  <si>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</si>
  <si>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</si>
  <si>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</si>
  <si>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</si>
  <si>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</si>
  <si>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</si>
  <si>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</si>
  <si>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</si>
  <si>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</si>
  <si>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</si>
  <si>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</si>
  <si>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</si>
  <si>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</si>
  <si>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</si>
  <si>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</si>
  <si>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</si>
  <si>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</si>
  <si>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</si>
  <si>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</si>
  <si>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</si>
  <si>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</si>
  <si>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</si>
  <si>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</si>
  <si>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</si>
  <si>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</si>
  <si>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</si>
  <si>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</si>
  <si>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</si>
  <si>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</si>
  <si>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</si>
  <si>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</si>
  <si>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</si>
  <si>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</si>
  <si>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</si>
  <si>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</si>
  <si>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</si>
  <si>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</si>
  <si>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</si>
  <si>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</si>
  <si>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</si>
  <si>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</si>
  <si>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</si>
  <si>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</si>
  <si>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</si>
  <si>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</si>
  <si>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</si>
  <si>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</si>
  <si>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</si>
  <si>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</si>
  <si>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</si>
  <si>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</si>
  <si>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</si>
  <si>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</si>
  <si>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</si>
  <si>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</si>
  <si>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</si>
  <si>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</si>
  <si>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</si>
  <si>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</si>
  <si>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</si>
  <si>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</si>
  <si>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</si>
  <si>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</si>
  <si>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</si>
  <si>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</si>
  <si>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</si>
  <si>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</si>
  <si>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</si>
  <si>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</si>
  <si>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</si>
  <si>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</si>
  <si>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</si>
  <si>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</si>
  <si>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</si>
  <si>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</si>
  <si>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</si>
  <si>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</si>
  <si>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</si>
  <si>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</si>
  <si>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</si>
  <si>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</si>
  <si>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</si>
  <si>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</si>
  <si>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</si>
  <si>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</si>
  <si>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</si>
  <si>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</si>
  <si>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</si>
  <si>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</si>
  <si>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</si>
  <si>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</si>
  <si>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</si>
  <si>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</si>
  <si>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</si>
  <si>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</si>
  <si>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</si>
  <si>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</si>
  <si>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</si>
  <si>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</si>
  <si>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</si>
  <si>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</si>
  <si>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</si>
  <si>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</si>
  <si>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</si>
  <si>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</si>
  <si>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</si>
  <si>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</si>
  <si>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</si>
  <si>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</si>
  <si>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</si>
  <si>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</si>
  <si>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</si>
  <si>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</si>
  <si>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</si>
  <si>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</si>
  <si>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</si>
  <si>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</si>
  <si>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</si>
  <si>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</si>
  <si>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</si>
  <si>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</si>
  <si>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</si>
  <si>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</si>
  <si>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</si>
  <si>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</si>
  <si>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</si>
  <si>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</si>
  <si>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</si>
  <si>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</si>
  <si>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</si>
  <si>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</si>
  <si>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</si>
  <si>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</si>
  <si>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</si>
  <si>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</si>
  <si>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</si>
  <si>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</si>
  <si>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</si>
  <si>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</si>
  <si>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</si>
  <si>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</si>
  <si>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</si>
  <si>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</si>
  <si>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</si>
  <si>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</si>
  <si>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</si>
  <si>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</si>
  <si>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</si>
  <si>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</si>
  <si>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</si>
  <si>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</si>
  <si>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</si>
  <si>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</si>
  <si>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</si>
  <si>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</si>
  <si>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</si>
  <si>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</si>
  <si>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</si>
  <si>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</si>
  <si>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</si>
  <si>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</si>
  <si>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</si>
  <si>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</si>
  <si>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</si>
  <si>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</si>
  <si>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</si>
  <si>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</si>
  <si>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</si>
  <si>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</si>
  <si>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</si>
  <si>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</si>
  <si>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</si>
  <si>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</si>
  <si>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</si>
  <si>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</si>
  <si>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</si>
  <si>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</si>
  <si>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</si>
  <si>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</si>
  <si>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</si>
  <si>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</si>
  <si>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</si>
  <si>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</si>
  <si>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</si>
  <si>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</si>
  <si>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</si>
  <si>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</si>
  <si>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</si>
  <si>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</si>
  <si>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</si>
  <si>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</si>
  <si>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</si>
  <si>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</si>
  <si>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</si>
  <si>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</si>
  <si>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</si>
  <si>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</si>
  <si>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</si>
  <si>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</si>
  <si>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</si>
  <si>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</si>
  <si>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</si>
  <si>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</si>
  <si>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</si>
  <si>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</si>
  <si>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</si>
  <si>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</si>
  <si>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</si>
  <si>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</si>
  <si>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</si>
  <si>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</si>
  <si>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</si>
  <si>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</si>
  <si>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</si>
  <si>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</si>
  <si>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</si>
  <si>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</si>
  <si>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</si>
  <si>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</si>
  <si>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</si>
  <si>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</si>
  <si>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</si>
  <si>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</si>
  <si>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</si>
  <si>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</si>
  <si>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</si>
  <si>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</si>
  <si>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</si>
  <si>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</si>
  <si>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</si>
  <si>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</si>
  <si>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</si>
  <si>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</si>
  <si>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</si>
  <si>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</si>
  <si>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</si>
  <si>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</si>
  <si>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</si>
  <si>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</si>
  <si>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</si>
  <si>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</si>
  <si>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</si>
  <si>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</si>
  <si>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</si>
  <si>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</si>
  <si>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</si>
  <si>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</si>
  <si>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</si>
  <si>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</si>
  <si>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</si>
  <si>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</si>
  <si>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</si>
  <si>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</si>
  <si>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</si>
  <si>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</si>
  <si>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</si>
  <si>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</si>
  <si>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</si>
  <si>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</si>
  <si>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</si>
  <si>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</si>
  <si>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</si>
  <si>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</si>
  <si>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</si>
  <si>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</si>
  <si>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</si>
  <si>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</si>
  <si>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</si>
  <si>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</si>
  <si>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</si>
  <si>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</si>
  <si>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</si>
  <si>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</si>
  <si>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</si>
  <si>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</si>
  <si>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</si>
  <si>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</si>
  <si>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</si>
  <si>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</si>
  <si>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</si>
  <si>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</si>
  <si>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</si>
  <si>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</si>
  <si>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</si>
  <si>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</si>
  <si>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</si>
  <si>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</si>
  <si>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</si>
  <si>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</si>
  <si>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</si>
  <si>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</si>
  <si>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</si>
  <si>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</si>
  <si>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</si>
  <si>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</si>
  <si>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</si>
  <si>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</si>
  <si>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</si>
  <si>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</si>
  <si>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</si>
  <si>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</si>
  <si>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</si>
  <si>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</si>
  <si>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</si>
  <si>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</si>
  <si>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</si>
  <si>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</si>
  <si>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</si>
  <si>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</si>
  <si>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</si>
  <si>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</si>
  <si>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</si>
  <si>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</si>
  <si>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</si>
  <si>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</si>
  <si>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</si>
  <si>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</si>
  <si>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</si>
  <si>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</si>
  <si>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</si>
  <si>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</si>
  <si>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</si>
  <si>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</si>
  <si>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</si>
  <si>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</si>
  <si>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</si>
  <si>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</si>
  <si>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</si>
  <si>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</si>
  <si>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</si>
  <si>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</si>
  <si>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</si>
  <si>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</si>
  <si>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</si>
  <si>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</si>
  <si>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</si>
  <si>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</si>
  <si>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</si>
  <si>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</si>
  <si>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</si>
  <si>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</si>
  <si>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</si>
  <si>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</si>
  <si>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</si>
  <si>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</si>
  <si>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</si>
  <si>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</si>
  <si>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</si>
  <si>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</si>
  <si>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</si>
  <si>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</si>
  <si>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</si>
  <si>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</si>
  <si>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</si>
  <si>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</si>
  <si>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</si>
  <si>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</si>
  <si>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</si>
  <si>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</si>
  <si>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</si>
  <si>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</si>
  <si>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</si>
  <si>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</si>
  <si>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</si>
  <si>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</si>
  <si>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</si>
  <si>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</si>
  <si>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</si>
  <si>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</si>
  <si>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</si>
  <si>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04/14/2026 07:01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</si>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</sst>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340470.79000000004</v>
      </c>
      <c r="F10" s="8">
        <f>IFERROR(E10/E444, "NA")</f>
        <v>0.42238418602834715</v>
      </c>
      <c r="G10" s="9"/>
      <c r="H10" s="10">
        <f t="shared" ref="H10:H19" si="0">IFERROR(B10-E10, "NA")</f>
        <v>-340470.79000000004</v>
      </c>
      <c r="I10" s="8">
        <f>IFERROR(H10/H444, "NA")</f>
        <v>20.355281856656735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736995.91999999993</v>
      </c>
      <c r="U10" s="8">
        <f>IFERROR(T10/T444, "NA")</f>
        <v>0.41932175712879094</v>
      </c>
      <c r="V10" s="9"/>
      <c r="W10" s="10">
        <f t="shared" ref="W10:W19" si="2">IFERROR(Q10-T10, "NA")</f>
        <v>-736995.91999999993</v>
      </c>
      <c r="X10" s="8">
        <f>IFERROR(W10/W444, "NA")</f>
        <v>14.370731435281396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272529.78000000003</v>
      </c>
      <c r="C11" s="8">
        <f>IFERROR(B11/B444, "NA")</f>
        <v>0.34526172837732544</v>
      </c>
      <c r="D11" s="9"/>
      <c r="E11" s="7">
        <v>0</v>
      </c>
      <c r="F11" s="8">
        <f>IFERROR(E11/E444, "NA")</f>
        <v>0</v>
      </c>
      <c r="G11" s="9"/>
      <c r="H11" s="10">
        <f t="shared" si="0"/>
        <v>272529.78000000003</v>
      </c>
      <c r="I11" s="8">
        <f>IFERROR(H11/H444, "NA")</f>
        <v>-16.293381544515611</v>
      </c>
      <c r="J11" s="9"/>
      <c r="K11" s="7">
        <v>308410.74000000005</v>
      </c>
      <c r="L11" s="8">
        <f>IFERROR(K11/K444, "NA")</f>
        <v>0.41375364750245924</v>
      </c>
      <c r="M11" s="9"/>
      <c r="N11" s="10">
        <f t="shared" si="1"/>
        <v>-35880.960000000021</v>
      </c>
      <c r="O11" s="8">
        <f>IFERROR(N11/N444, "NA")</f>
        <v>-0.81648695180443775</v>
      </c>
      <c r="P11" s="9"/>
      <c r="Q11" s="7">
        <v>596069.3600000001</v>
      </c>
      <c r="R11" s="8">
        <f>IFERROR(Q11/Q444, "NA")</f>
        <v>0.34933322479476792</v>
      </c>
      <c r="S11" s="9"/>
      <c r="T11" s="7">
        <v>0</v>
      </c>
      <c r="U11" s="8">
        <f>IFERROR(T11/T444, "NA")</f>
        <v>0</v>
      </c>
      <c r="V11" s="9"/>
      <c r="W11" s="10">
        <f t="shared" si="2"/>
        <v>596069.3600000001</v>
      </c>
      <c r="X11" s="8">
        <f>IFERROR(W11/W444, "NA")</f>
        <v>-11.622795265081068</v>
      </c>
      <c r="Y11" s="9"/>
      <c r="Z11" s="7">
        <v>641437.48</v>
      </c>
      <c r="AA11" s="8">
        <f>IFERROR(Z11/Z444, "NA")</f>
        <v>0.38661911203974636</v>
      </c>
      <c r="AB11" s="9"/>
      <c r="AC11" s="10">
        <f t="shared" si="3"/>
        <v>-45368.119999999879</v>
      </c>
      <c r="AD11" s="8">
        <f>IFERROR(AC11/AC444, "NA")</f>
        <v>-0.96094732108683201</v>
      </c>
    </row>
    <row r="12" spans="1:30" ht="16.5" customHeight="1" x14ac:dyDescent="0.45">
      <c r="A12" s="12" t="s">
        <v>14</v>
      </c>
      <c r="B12" s="7">
        <v>27853.300000000003</v>
      </c>
      <c r="C12" s="8">
        <f>IFERROR(B12/B444, "NA")</f>
        <v>3.5286707012393871E-2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27853.300000000003</v>
      </c>
      <c r="I12" s="8">
        <f>IFERROR(H12/H444, "NA")</f>
        <v>-1.6652288207690797</v>
      </c>
      <c r="J12" s="9"/>
      <c r="K12" s="7">
        <v>33861.29</v>
      </c>
      <c r="L12" s="8">
        <f>IFERROR(K12/K444, "NA")</f>
        <v>4.5427186636362103E-2</v>
      </c>
      <c r="M12" s="9"/>
      <c r="N12" s="10">
        <f t="shared" si="1"/>
        <v>-6007.989999999998</v>
      </c>
      <c r="O12" s="8">
        <f>IFERROR(N12/N444, "NA")</f>
        <v>-0.13671444246674391</v>
      </c>
      <c r="P12" s="9"/>
      <c r="Q12" s="7">
        <v>59059.75</v>
      </c>
      <c r="R12" s="8">
        <f>IFERROR(Q12/Q444, "NA")</f>
        <v>3.4612637903536581E-2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59059.75</v>
      </c>
      <c r="X12" s="8">
        <f>IFERROR(W12/W444, "NA")</f>
        <v>-1.1516099110628191</v>
      </c>
      <c r="Y12" s="9"/>
      <c r="Z12" s="7">
        <v>65850.89</v>
      </c>
      <c r="AA12" s="8">
        <f>IFERROR(Z12/Z444, "NA")</f>
        <v>3.9690871538761684E-2</v>
      </c>
      <c r="AB12" s="9"/>
      <c r="AC12" s="10">
        <f t="shared" si="3"/>
        <v>-6791.1399999999994</v>
      </c>
      <c r="AD12" s="8">
        <f>IFERROR(AC12/AC444, "NA")</f>
        <v>-0.14384391044031899</v>
      </c>
    </row>
    <row r="13" spans="1:30" ht="16.5" customHeight="1" x14ac:dyDescent="0.45">
      <c r="A13" s="12" t="s">
        <v>15</v>
      </c>
      <c r="B13" s="7">
        <v>1003</v>
      </c>
      <c r="C13" s="8">
        <f>IFERROR(B13/B444, "NA")</f>
        <v>1.2706776982774411E-3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1003</v>
      </c>
      <c r="I13" s="8">
        <f>IFERROR(H13/H444, "NA")</f>
        <v>-5.9965049284335672E-2</v>
      </c>
      <c r="J13" s="9"/>
      <c r="K13" s="7">
        <v>1578.5</v>
      </c>
      <c r="L13" s="8">
        <f>IFERROR(K13/K444, "NA")</f>
        <v>2.1176633880604541E-3</v>
      </c>
      <c r="M13" s="9"/>
      <c r="N13" s="10">
        <f t="shared" si="1"/>
        <v>-575.5</v>
      </c>
      <c r="O13" s="8">
        <f>IFERROR(N13/N444, "NA")</f>
        <v>-1.3095754426956627E-2</v>
      </c>
      <c r="P13" s="9"/>
      <c r="Q13" s="7">
        <v>1861.5</v>
      </c>
      <c r="R13" s="8">
        <f>IFERROR(Q13/Q444, "NA")</f>
        <v>1.0909532373136247E-3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1861.5</v>
      </c>
      <c r="X13" s="8">
        <f>IFERROR(W13/W444, "NA")</f>
        <v>-3.6297509715896827E-2</v>
      </c>
      <c r="Y13" s="9"/>
      <c r="Z13" s="7">
        <v>2602.5</v>
      </c>
      <c r="AA13" s="8">
        <f>IFERROR(Z13/Z444, "NA")</f>
        <v>1.5686271389745419E-3</v>
      </c>
      <c r="AB13" s="9"/>
      <c r="AC13" s="10">
        <f t="shared" si="3"/>
        <v>-741</v>
      </c>
      <c r="AD13" s="8">
        <f>IFERROR(AC13/AC444, "NA")</f>
        <v>-1.5695205464219025E-2</v>
      </c>
    </row>
    <row r="14" spans="1:30" ht="16.5" customHeight="1" x14ac:dyDescent="0.45">
      <c r="A14" s="12" t="s">
        <v>16</v>
      </c>
      <c r="B14" s="7">
        <v>201</v>
      </c>
      <c r="C14" s="8">
        <f>IFERROR(B14/B444, "NA")</f>
        <v>2.5464229048231872E-4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201</v>
      </c>
      <c r="I14" s="8">
        <f>IFERROR(H14/H444, "NA")</f>
        <v>-1.2016924133750219E-2</v>
      </c>
      <c r="J14" s="9"/>
      <c r="K14" s="7">
        <v>2595</v>
      </c>
      <c r="L14" s="8">
        <f>IFERROR(K14/K444, "NA")</f>
        <v>3.4813661653575411E-3</v>
      </c>
      <c r="M14" s="9"/>
      <c r="N14" s="10">
        <f t="shared" si="1"/>
        <v>-2394</v>
      </c>
      <c r="O14" s="8">
        <f>IFERROR(N14/N444, "NA")</f>
        <v>-5.4476517981119313E-2</v>
      </c>
      <c r="P14" s="9"/>
      <c r="Q14" s="7">
        <v>376</v>
      </c>
      <c r="R14" s="8">
        <f>IFERROR(Q14/Q444, "NA")</f>
        <v>2.2035907452587852E-4</v>
      </c>
      <c r="S14" s="9"/>
      <c r="T14" s="7">
        <v>0</v>
      </c>
      <c r="U14" s="8">
        <f>IFERROR(T14/T444, "NA")</f>
        <v>0</v>
      </c>
      <c r="V14" s="9"/>
      <c r="W14" s="10">
        <f t="shared" si="2"/>
        <v>376</v>
      </c>
      <c r="X14" s="8">
        <f>IFERROR(W14/W444, "NA")</f>
        <v>-7.3316484841134608E-3</v>
      </c>
      <c r="Y14" s="9"/>
      <c r="Z14" s="7">
        <v>4885</v>
      </c>
      <c r="AA14" s="8">
        <f>IFERROR(Z14/Z444, "NA")</f>
        <v>2.944377934251926E-3</v>
      </c>
      <c r="AB14" s="9"/>
      <c r="AC14" s="10">
        <f t="shared" si="3"/>
        <v>-4509</v>
      </c>
      <c r="AD14" s="8">
        <f>IFERROR(AC14/AC444, "NA")</f>
        <v>-9.5505642966482562E-2</v>
      </c>
    </row>
    <row r="15" spans="1:30" ht="16.5" customHeight="1" x14ac:dyDescent="0.45">
      <c r="A15" s="12" t="s">
        <v>17</v>
      </c>
      <c r="B15" s="7">
        <v>251</v>
      </c>
      <c r="C15" s="8">
        <f>IFERROR(B15/B444, "NA")</f>
        <v>3.1798614383612934E-4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251</v>
      </c>
      <c r="I15" s="8">
        <f>IFERROR(H15/H444, "NA")</f>
        <v>-1.5006208744135847E-2</v>
      </c>
      <c r="J15" s="9"/>
      <c r="K15" s="7">
        <v>292.5</v>
      </c>
      <c r="L15" s="8">
        <f>IFERROR(K15/K444, "NA")</f>
        <v>3.9240832499694826E-4</v>
      </c>
      <c r="M15" s="9"/>
      <c r="N15" s="10">
        <f t="shared" si="1"/>
        <v>-41.5</v>
      </c>
      <c r="O15" s="8">
        <f>IFERROR(N15/N444, "NA")</f>
        <v>-9.443506667570808E-4</v>
      </c>
      <c r="P15" s="9"/>
      <c r="Q15" s="7">
        <v>639</v>
      </c>
      <c r="R15" s="8">
        <f>IFERROR(Q15/Q444, "NA")</f>
        <v>3.7449321442030952E-4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639</v>
      </c>
      <c r="X15" s="8">
        <f>IFERROR(W15/W444, "NA")</f>
        <v>-1.2459902609969419E-2</v>
      </c>
      <c r="Y15" s="9"/>
      <c r="Z15" s="7">
        <v>669</v>
      </c>
      <c r="AA15" s="8">
        <f>IFERROR(Z15/Z444, "NA")</f>
        <v>4.0323210604187071E-4</v>
      </c>
      <c r="AB15" s="9"/>
      <c r="AC15" s="10">
        <f t="shared" si="3"/>
        <v>-30</v>
      </c>
      <c r="AD15" s="8">
        <f>IFERROR(AC15/AC444, "NA")</f>
        <v>-6.3543341960400912E-4</v>
      </c>
    </row>
    <row r="16" spans="1:30" ht="16.5" customHeight="1" x14ac:dyDescent="0.45">
      <c r="A16" s="12" t="s">
        <v>18</v>
      </c>
      <c r="B16" s="7">
        <v>1.1700000000000002</v>
      </c>
      <c r="C16" s="8">
        <f>IFERROR(B16/B444, "NA")</f>
        <v>1.4822461684791688E-6</v>
      </c>
      <c r="D16" s="9"/>
      <c r="E16" s="7">
        <v>0</v>
      </c>
      <c r="F16" s="8">
        <f>IFERROR(E16/E444, "NA")</f>
        <v>0</v>
      </c>
      <c r="G16" s="9"/>
      <c r="H16" s="10">
        <f t="shared" si="0"/>
        <v>1.1700000000000002</v>
      </c>
      <c r="I16" s="8">
        <f>IFERROR(H16/H444, "NA")</f>
        <v>-6.9949259883023674E-5</v>
      </c>
      <c r="J16" s="9"/>
      <c r="K16" s="7">
        <v>1.35</v>
      </c>
      <c r="L16" s="8">
        <f>IFERROR(K16/K444, "NA")</f>
        <v>1.8111153461397614E-6</v>
      </c>
      <c r="M16" s="9"/>
      <c r="N16" s="10">
        <f t="shared" si="1"/>
        <v>-0.17999999999999994</v>
      </c>
      <c r="O16" s="8">
        <f>IFERROR(N16/N444, "NA")</f>
        <v>-4.0959787955728794E-6</v>
      </c>
      <c r="P16" s="9"/>
      <c r="Q16" s="7">
        <v>3.54</v>
      </c>
      <c r="R16" s="8">
        <f>IFERROR(Q16/Q444, "NA")</f>
        <v>2.0746572442064094E-6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3.54</v>
      </c>
      <c r="X16" s="8">
        <f>IFERROR(W16/W444, "NA")</f>
        <v>-6.9026690515323549E-5</v>
      </c>
      <c r="Y16" s="9"/>
      <c r="Z16" s="7">
        <v>3.0500000000000003</v>
      </c>
      <c r="AA16" s="8">
        <f>IFERROR(Z16/Z444, "NA")</f>
        <v>1.8383526508635364E-6</v>
      </c>
      <c r="AB16" s="9"/>
      <c r="AC16" s="10">
        <f t="shared" si="3"/>
        <v>0.48999999999999977</v>
      </c>
      <c r="AD16" s="8">
        <f>IFERROR(AC16/AC444, "NA")</f>
        <v>1.0378745853532144E-5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301839.25</v>
      </c>
      <c r="C18" s="15">
        <f>IFERROR(B18/B444, "NA")</f>
        <v>0.38239322376848367</v>
      </c>
      <c r="D18" s="2"/>
      <c r="E18" s="14">
        <f>IFERROR(E10+E11+E12+E13+E14+E15+E16+E17, "NA")</f>
        <v>340470.79000000004</v>
      </c>
      <c r="F18" s="15">
        <f>IFERROR(E18/E444, "NA")</f>
        <v>0.42238418602834715</v>
      </c>
      <c r="G18" s="2"/>
      <c r="H18" s="14">
        <f t="shared" si="0"/>
        <v>-38631.540000000037</v>
      </c>
      <c r="I18" s="15">
        <f>IFERROR(H18/H444, "NA")</f>
        <v>2.3096133599499371</v>
      </c>
      <c r="J18" s="2"/>
      <c r="K18" s="14">
        <f>IFERROR(K10+K11+K12+K13+K14+K15+K16+K17, "NA")</f>
        <v>346739.38</v>
      </c>
      <c r="L18" s="15">
        <f>IFERROR(K18/K444, "NA")</f>
        <v>0.46517408313258235</v>
      </c>
      <c r="M18" s="2"/>
      <c r="N18" s="14">
        <f t="shared" si="1"/>
        <v>-44900.130000000005</v>
      </c>
      <c r="O18" s="15">
        <f>IFERROR(N18/N444, "NA")</f>
        <v>-1.02172211332481</v>
      </c>
      <c r="P18" s="2"/>
      <c r="Q18" s="14">
        <f>IFERROR(Q10+Q11+Q12+Q13+Q14+Q15+Q16+Q17, "NA")</f>
        <v>658009.15000000014</v>
      </c>
      <c r="R18" s="15">
        <f>IFERROR(Q18/Q444, "NA")</f>
        <v>0.38563374288180857</v>
      </c>
      <c r="S18" s="2"/>
      <c r="T18" s="14">
        <f>IFERROR(T10+T11+T12+T13+T14+T15+T16+T17, "NA")</f>
        <v>736995.91999999993</v>
      </c>
      <c r="U18" s="15">
        <f>IFERROR(T18/T444, "NA")</f>
        <v>0.41932175712879094</v>
      </c>
      <c r="V18" s="2"/>
      <c r="W18" s="14">
        <f t="shared" si="2"/>
        <v>-78986.769999999786</v>
      </c>
      <c r="X18" s="15">
        <f>IFERROR(W18/W444, "NA")</f>
        <v>1.5401681716370135</v>
      </c>
      <c r="Y18" s="2"/>
      <c r="Z18" s="14">
        <f>IFERROR(Z10+Z11+Z12+Z13+Z14+Z15+Z16+Z17, "NA")</f>
        <v>715447.92</v>
      </c>
      <c r="AA18" s="15">
        <f>IFERROR(Z18/Z444, "NA")</f>
        <v>0.43122805911042733</v>
      </c>
      <c r="AB18" s="2"/>
      <c r="AC18" s="14">
        <f t="shared" si="3"/>
        <v>-57438.769999999902</v>
      </c>
      <c r="AD18" s="15">
        <f>IFERROR(AC18/AC444, "NA")</f>
        <v>-1.2166171346316035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75264.009999999995</v>
      </c>
      <c r="F21" s="8">
        <f>IFERROR(E21/E444, "NA")</f>
        <v>9.3371673972617072E-2</v>
      </c>
      <c r="G21" s="9"/>
      <c r="H21" s="10">
        <f t="shared" ref="H21:H29" si="4">IFERROR(B21-E21, "NA")</f>
        <v>-75264.009999999995</v>
      </c>
      <c r="I21" s="8">
        <f>IFERROR(H21/H444, "NA")</f>
        <v>4.4997109361781975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164241.79</v>
      </c>
      <c r="U21" s="8">
        <f>IFERROR(T21/T444, "NA")</f>
        <v>9.3447133298618396E-2</v>
      </c>
      <c r="V21" s="9"/>
      <c r="W21" s="10">
        <f t="shared" ref="W21:W29" si="6">IFERROR(Q21-T21, "NA")</f>
        <v>-164241.79</v>
      </c>
      <c r="X21" s="8">
        <f>IFERROR(W21/W444, "NA")</f>
        <v>3.2025613581956955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44842.100000000006</v>
      </c>
      <c r="L22" s="8">
        <f>IFERROR(K22/K444, "NA")</f>
        <v>6.0158678120839845E-2</v>
      </c>
      <c r="M22" s="9"/>
      <c r="N22" s="10">
        <f t="shared" si="5"/>
        <v>-44842.100000000006</v>
      </c>
      <c r="O22" s="8">
        <f>IFERROR(N22/N444, "NA")</f>
        <v>-1.0204016152719928</v>
      </c>
      <c r="P22" s="9"/>
      <c r="Q22" s="7">
        <v>16536.61</v>
      </c>
      <c r="R22" s="8">
        <f>IFERROR(Q22/Q444, "NA")</f>
        <v>9.6914682856260332E-3</v>
      </c>
      <c r="S22" s="9"/>
      <c r="T22" s="7">
        <v>0</v>
      </c>
      <c r="U22" s="8">
        <f>IFERROR(T22/T444, "NA")</f>
        <v>0</v>
      </c>
      <c r="V22" s="9"/>
      <c r="W22" s="10">
        <f t="shared" si="6"/>
        <v>16536.61</v>
      </c>
      <c r="X22" s="8">
        <f>IFERROR(W22/W444, "NA")</f>
        <v>-0.32244843520977529</v>
      </c>
      <c r="Y22" s="9"/>
      <c r="Z22" s="7">
        <v>105276.95000000001</v>
      </c>
      <c r="AA22" s="8">
        <f>IFERROR(Z22/Z444, "NA")</f>
        <v>6.3454478723714097E-2</v>
      </c>
      <c r="AB22" s="9"/>
      <c r="AC22" s="10">
        <f t="shared" si="7"/>
        <v>-88740.340000000011</v>
      </c>
      <c r="AD22" s="8">
        <f>IFERROR(AC22/AC444, "NA")</f>
        <v>-1.8796192567674146</v>
      </c>
    </row>
    <row r="23" spans="1:30" ht="16.5" customHeight="1" x14ac:dyDescent="0.45">
      <c r="A23" s="12" t="s">
        <v>24</v>
      </c>
      <c r="B23" s="7">
        <v>37639.769999999997</v>
      </c>
      <c r="C23" s="8">
        <f>IFERROR(B23/B444, "NA")</f>
        <v>4.7684961423023205E-2</v>
      </c>
      <c r="D23" s="9"/>
      <c r="E23" s="7">
        <v>0</v>
      </c>
      <c r="F23" s="8">
        <f>IFERROR(E23/E444, "NA")</f>
        <v>0</v>
      </c>
      <c r="G23" s="9"/>
      <c r="H23" s="10">
        <f t="shared" si="4"/>
        <v>37639.769999999997</v>
      </c>
      <c r="I23" s="8">
        <f>IFERROR(H23/H444, "NA")</f>
        <v>-2.2503197039890916</v>
      </c>
      <c r="J23" s="9"/>
      <c r="K23" s="7">
        <v>0</v>
      </c>
      <c r="L23" s="8">
        <f>IFERROR(K23/K444, "NA")</f>
        <v>0</v>
      </c>
      <c r="M23" s="9"/>
      <c r="N23" s="10">
        <f t="shared" si="5"/>
        <v>37639.769999999997</v>
      </c>
      <c r="O23" s="8">
        <f>IFERROR(N23/N444, "NA")</f>
        <v>0.85650944327911238</v>
      </c>
      <c r="P23" s="9"/>
      <c r="Q23" s="7">
        <v>74359.83</v>
      </c>
      <c r="R23" s="8">
        <f>IFERROR(Q23/Q444, "NA")</f>
        <v>4.3579423725270371E-2</v>
      </c>
      <c r="S23" s="9"/>
      <c r="T23" s="7">
        <v>0</v>
      </c>
      <c r="U23" s="8">
        <f>IFERROR(T23/T444, "NA")</f>
        <v>0</v>
      </c>
      <c r="V23" s="9"/>
      <c r="W23" s="10">
        <f t="shared" si="6"/>
        <v>74359.83</v>
      </c>
      <c r="X23" s="8">
        <f>IFERROR(W23/W444, "NA")</f>
        <v>-1.449947167283071</v>
      </c>
      <c r="Y23" s="9"/>
      <c r="Z23" s="7">
        <v>0</v>
      </c>
      <c r="AA23" s="8">
        <f>IFERROR(Z23/Z444, "NA")</f>
        <v>0</v>
      </c>
      <c r="AB23" s="9"/>
      <c r="AC23" s="10">
        <f t="shared" si="7"/>
        <v>74359.83</v>
      </c>
      <c r="AD23" s="8">
        <f>IFERROR(AC23/AC444, "NA")</f>
        <v>1.5750240352690927</v>
      </c>
    </row>
    <row r="24" spans="1:30" ht="16.5" customHeight="1" x14ac:dyDescent="0.45">
      <c r="A24" s="12" t="s">
        <v>25</v>
      </c>
      <c r="B24" s="7">
        <v>5351.3499999999995</v>
      </c>
      <c r="C24" s="8">
        <f>IFERROR(B24/B444, "NA")</f>
        <v>6.7795025928982884E-3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5351.3499999999995</v>
      </c>
      <c r="I24" s="8">
        <f>IFERROR(H24/H444, "NA")</f>
        <v>-0.31993416399574243</v>
      </c>
      <c r="J24" s="9"/>
      <c r="K24" s="7">
        <v>8204.48</v>
      </c>
      <c r="L24" s="8">
        <f>IFERROR(K24/K444, "NA")</f>
        <v>1.1006858988960554E-2</v>
      </c>
      <c r="M24" s="9"/>
      <c r="N24" s="10">
        <f t="shared" si="5"/>
        <v>-2853.13</v>
      </c>
      <c r="O24" s="8">
        <f>IFERROR(N24/N444, "NA")</f>
        <v>-6.4924222116738067E-2</v>
      </c>
      <c r="P24" s="9"/>
      <c r="Q24" s="7">
        <v>13369.25</v>
      </c>
      <c r="R24" s="8">
        <f>IFERROR(Q24/Q444, "NA")</f>
        <v>7.8352009497476109E-3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13369.25</v>
      </c>
      <c r="X24" s="8">
        <f>IFERROR(W24/W444, "NA")</f>
        <v>-0.26068787631977097</v>
      </c>
      <c r="Y24" s="9"/>
      <c r="Z24" s="7">
        <v>18521.510000000002</v>
      </c>
      <c r="AA24" s="8">
        <f>IFERROR(Z24/Z444, "NA")</f>
        <v>1.1163628526719836E-2</v>
      </c>
      <c r="AB24" s="9"/>
      <c r="AC24" s="10">
        <f t="shared" si="7"/>
        <v>-5152.260000000002</v>
      </c>
      <c r="AD24" s="8">
        <f>IFERROR(AC24/AC444, "NA")</f>
        <v>-0.10913060634963177</v>
      </c>
    </row>
    <row r="25" spans="1:30" ht="16.5" customHeight="1" x14ac:dyDescent="0.45">
      <c r="A25" s="12" t="s">
        <v>26</v>
      </c>
      <c r="B25" s="7">
        <v>1153.54</v>
      </c>
      <c r="C25" s="8">
        <f>IFERROR(B25/B444, "NA")</f>
        <v>1.461393371955094E-3</v>
      </c>
      <c r="D25" s="9"/>
      <c r="E25" s="7">
        <v>0</v>
      </c>
      <c r="F25" s="8">
        <f>IFERROR(E25/E444, "NA")</f>
        <v>0</v>
      </c>
      <c r="G25" s="9"/>
      <c r="H25" s="10">
        <f t="shared" si="4"/>
        <v>1153.54</v>
      </c>
      <c r="I25" s="8">
        <f>IFERROR(H25/H444, "NA")</f>
        <v>-6.8965187389284713E-2</v>
      </c>
      <c r="J25" s="9"/>
      <c r="K25" s="7">
        <v>0</v>
      </c>
      <c r="L25" s="8">
        <f>IFERROR(K25/K444, "NA")</f>
        <v>0</v>
      </c>
      <c r="M25" s="9"/>
      <c r="N25" s="10">
        <f t="shared" si="5"/>
        <v>1153.54</v>
      </c>
      <c r="O25" s="8">
        <f>IFERROR(N25/N444, "NA")</f>
        <v>2.6249307665806337E-2</v>
      </c>
      <c r="P25" s="9"/>
      <c r="Q25" s="7">
        <v>2347.89</v>
      </c>
      <c r="R25" s="8">
        <f>IFERROR(Q25/Q444, "NA")</f>
        <v>1.3760076262993748E-3</v>
      </c>
      <c r="S25" s="9"/>
      <c r="T25" s="7">
        <v>0</v>
      </c>
      <c r="U25" s="8">
        <f>IFERROR(T25/T444, "NA")</f>
        <v>0</v>
      </c>
      <c r="V25" s="9"/>
      <c r="W25" s="10">
        <f t="shared" si="6"/>
        <v>2347.89</v>
      </c>
      <c r="X25" s="8">
        <f>IFERROR(W25/W444, "NA")</f>
        <v>-4.5781659998311575E-2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2347.89</v>
      </c>
      <c r="AD25" s="8">
        <f>IFERROR(AC25/AC444, "NA")</f>
        <v>4.9730925718468565E-2</v>
      </c>
    </row>
    <row r="26" spans="1:30" ht="16.5" customHeight="1" x14ac:dyDescent="0.45">
      <c r="A26" s="12" t="s">
        <v>27</v>
      </c>
      <c r="B26" s="7">
        <v>16702.170000000002</v>
      </c>
      <c r="C26" s="8">
        <f>IFERROR(B26/B444, "NA")</f>
        <v>2.1159596143408305E-2</v>
      </c>
      <c r="D26" s="9"/>
      <c r="E26" s="7">
        <v>0</v>
      </c>
      <c r="F26" s="8">
        <f>IFERROR(E26/E444, "NA")</f>
        <v>0</v>
      </c>
      <c r="G26" s="9"/>
      <c r="H26" s="10">
        <f t="shared" si="4"/>
        <v>16702.170000000002</v>
      </c>
      <c r="I26" s="8">
        <f>IFERROR(H26/H444, "NA")</f>
        <v>-0.99855079482089015</v>
      </c>
      <c r="J26" s="9"/>
      <c r="K26" s="7">
        <v>4938.16</v>
      </c>
      <c r="L26" s="8">
        <f>IFERROR(K26/K444, "NA")</f>
        <v>6.6248721168100169E-3</v>
      </c>
      <c r="M26" s="9"/>
      <c r="N26" s="10">
        <f t="shared" si="5"/>
        <v>11764.010000000002</v>
      </c>
      <c r="O26" s="8">
        <f>IFERROR(N26/N444, "NA")</f>
        <v>0.26769519728281849</v>
      </c>
      <c r="P26" s="9"/>
      <c r="Q26" s="7">
        <v>26836.589999999997</v>
      </c>
      <c r="R26" s="8">
        <f>IFERROR(Q26/Q444, "NA")</f>
        <v>1.5727888659123525E-2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26836.589999999997</v>
      </c>
      <c r="X26" s="8">
        <f>IFERROR(W26/W444, "NA")</f>
        <v>-0.52328841593690012</v>
      </c>
      <c r="Y26" s="9"/>
      <c r="Z26" s="7">
        <v>9994.74</v>
      </c>
      <c r="AA26" s="8">
        <f>IFERROR(Z26/Z444, "NA")</f>
        <v>6.024215335636662E-3</v>
      </c>
      <c r="AB26" s="9"/>
      <c r="AC26" s="10">
        <f t="shared" si="7"/>
        <v>16841.849999999999</v>
      </c>
      <c r="AD26" s="8">
        <f>IFERROR(AC26/AC444, "NA")</f>
        <v>0.35672914459859267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4336.76</v>
      </c>
      <c r="C28" s="8">
        <f>IFERROR(B28/B444, "NA")</f>
        <v>5.4941417894134358E-3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4336.76</v>
      </c>
      <c r="I28" s="8">
        <f>IFERROR(H28/H444, "NA")</f>
        <v>-0.25927619853871942</v>
      </c>
      <c r="J28" s="9"/>
      <c r="K28" s="7">
        <v>4461.2299999999996</v>
      </c>
      <c r="L28" s="8">
        <f>IFERROR(K28/K444, "NA")</f>
        <v>5.9850386041919159E-3</v>
      </c>
      <c r="M28" s="9"/>
      <c r="N28" s="10">
        <f t="shared" si="5"/>
        <v>-124.46999999999935</v>
      </c>
      <c r="O28" s="8">
        <f>IFERROR(N28/N444, "NA")</f>
        <v>-2.8323693371386321E-3</v>
      </c>
      <c r="P28" s="9"/>
      <c r="Q28" s="7">
        <v>12099.800000000001</v>
      </c>
      <c r="R28" s="8">
        <f>IFERROR(Q28/Q444, "NA")</f>
        <v>7.0912253456069819E-3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12099.800000000001</v>
      </c>
      <c r="X28" s="8">
        <f>IFERROR(W28/W444, "NA")</f>
        <v>-0.23593478810658527</v>
      </c>
      <c r="Y28" s="9"/>
      <c r="Z28" s="7">
        <v>12433.919999999998</v>
      </c>
      <c r="AA28" s="8">
        <f>IFERROR(Z28/Z444, "NA")</f>
        <v>7.4944032106967666E-3</v>
      </c>
      <c r="AB28" s="9"/>
      <c r="AC28" s="10">
        <f t="shared" si="7"/>
        <v>-334.11999999999716</v>
      </c>
      <c r="AD28" s="8">
        <f>IFERROR(AC28/AC444, "NA")</f>
        <v>-7.0770338052696573E-3</v>
      </c>
    </row>
    <row r="29" spans="1:30" ht="16.5" customHeight="1" x14ac:dyDescent="0.45">
      <c r="A29" s="13" t="s">
        <v>30</v>
      </c>
      <c r="B29" s="14">
        <f>IFERROR(B21+B22+B23+B24+B25+B26+B27+B28, "NA")</f>
        <v>65183.590000000004</v>
      </c>
      <c r="C29" s="15">
        <f>IFERROR(B29/B444, "NA")</f>
        <v>8.2579595320698335E-2</v>
      </c>
      <c r="D29" s="2"/>
      <c r="E29" s="14">
        <f>IFERROR(E21+E22+E23+E24+E25+E26+E27+E28, "NA")</f>
        <v>75264.009999999995</v>
      </c>
      <c r="F29" s="15">
        <f>IFERROR(E29/E444, "NA")</f>
        <v>9.3371673972617072E-2</v>
      </c>
      <c r="G29" s="2"/>
      <c r="H29" s="14">
        <f t="shared" si="4"/>
        <v>-10080.419999999991</v>
      </c>
      <c r="I29" s="15">
        <f>IFERROR(H29/H444, "NA")</f>
        <v>0.602664887444469</v>
      </c>
      <c r="J29" s="2"/>
      <c r="K29" s="14">
        <f>IFERROR(K21+K22+K23+K24+K25+K26+K27+K28, "NA")</f>
        <v>62445.97</v>
      </c>
      <c r="L29" s="15">
        <f>IFERROR(K29/K444, "NA")</f>
        <v>8.3775447830802333E-2</v>
      </c>
      <c r="M29" s="2"/>
      <c r="N29" s="14">
        <f t="shared" si="5"/>
        <v>2737.6200000000026</v>
      </c>
      <c r="O29" s="15">
        <f>IFERROR(N29/N444, "NA")</f>
        <v>6.2295741501868E-2</v>
      </c>
      <c r="P29" s="2"/>
      <c r="Q29" s="14">
        <f>IFERROR(Q21+Q22+Q23+Q24+Q25+Q26+Q27+Q28, "NA")</f>
        <v>145549.96999999997</v>
      </c>
      <c r="R29" s="15">
        <f>IFERROR(Q29/Q444, "NA")</f>
        <v>8.5301214591673877E-2</v>
      </c>
      <c r="S29" s="2"/>
      <c r="T29" s="14">
        <f>IFERROR(T21+T22+T23+T24+T25+T26+T27+T28, "NA")</f>
        <v>164241.79</v>
      </c>
      <c r="U29" s="15">
        <f>IFERROR(T29/T444, "NA")</f>
        <v>9.3447133298618396E-2</v>
      </c>
      <c r="V29" s="2"/>
      <c r="W29" s="14">
        <f t="shared" si="6"/>
        <v>-18691.820000000036</v>
      </c>
      <c r="X29" s="15">
        <f>IFERROR(W29/W444, "NA")</f>
        <v>0.36447301534128174</v>
      </c>
      <c r="Y29" s="2"/>
      <c r="Z29" s="14">
        <f>IFERROR(Z21+Z22+Z23+Z24+Z25+Z26+Z27+Z28, "NA")</f>
        <v>146227.12</v>
      </c>
      <c r="AA29" s="15">
        <f>IFERROR(Z29/Z444, "NA")</f>
        <v>8.8136725796767346E-2</v>
      </c>
      <c r="AB29" s="2"/>
      <c r="AC29" s="14">
        <f t="shared" si="7"/>
        <v>-677.15000000002328</v>
      </c>
      <c r="AD29" s="15">
        <f>IFERROR(AC29/AC444, "NA")</f>
        <v>-1.4342791336162319E-2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163572.19</v>
      </c>
      <c r="F31" s="8">
        <f>IFERROR(E31/E444, "NA")</f>
        <v>0.20292579674756869</v>
      </c>
      <c r="G31" s="9"/>
      <c r="H31" s="10">
        <f t="shared" ref="H31:H40" si="8">IFERROR(B31-E31, "NA")</f>
        <v>-163572.19</v>
      </c>
      <c r="I31" s="8">
        <f>IFERROR(H31/H444, "NA")</f>
        <v>9.7792766050814741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357619.88</v>
      </c>
      <c r="U31" s="8">
        <f>IFERROR(T31/T444, "NA")</f>
        <v>0.20347167792433285</v>
      </c>
      <c r="V31" s="9"/>
      <c r="W31" s="10">
        <f t="shared" ref="W31:W40" si="10">IFERROR(Q31-T31, "NA")</f>
        <v>-357619.88</v>
      </c>
      <c r="X31" s="8">
        <f>IFERROR(W31/W444, "NA")</f>
        <v>6.9732533273692496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70946.25</v>
      </c>
      <c r="C33" s="8">
        <f>IFERROR(B33/B444, "NA")</f>
        <v>8.9880177120055735E-2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70946.25</v>
      </c>
      <c r="I33" s="8">
        <f>IFERROR(H33/H444, "NA")</f>
        <v>-4.2415706657914258</v>
      </c>
      <c r="J33" s="9"/>
      <c r="K33" s="7">
        <v>67598.209999999992</v>
      </c>
      <c r="L33" s="8">
        <f>IFERROR(K33/K444, "NA")</f>
        <v>9.0687522594502412E-2</v>
      </c>
      <c r="M33" s="9"/>
      <c r="N33" s="10">
        <f t="shared" si="9"/>
        <v>3348.0400000000081</v>
      </c>
      <c r="O33" s="8">
        <f>IFERROR(N33/N444, "NA")</f>
        <v>7.6186115815165892E-2</v>
      </c>
      <c r="P33" s="9"/>
      <c r="Q33" s="7">
        <v>181057.74</v>
      </c>
      <c r="R33" s="8">
        <f>IFERROR(Q33/Q444, "NA")</f>
        <v>0.1061109468674126</v>
      </c>
      <c r="S33" s="9"/>
      <c r="T33" s="7">
        <v>0</v>
      </c>
      <c r="U33" s="8">
        <f>IFERROR(T33/T444, "NA")</f>
        <v>0</v>
      </c>
      <c r="V33" s="9"/>
      <c r="W33" s="10">
        <f t="shared" si="10"/>
        <v>181057.74</v>
      </c>
      <c r="X33" s="8">
        <f>IFERROR(W33/W444, "NA")</f>
        <v>-3.5304566622553435</v>
      </c>
      <c r="Y33" s="9"/>
      <c r="Z33" s="7">
        <v>166857.87</v>
      </c>
      <c r="AA33" s="8">
        <f>IFERROR(Z33/Z444, "NA")</f>
        <v>0.10057167463342404</v>
      </c>
      <c r="AB33" s="9"/>
      <c r="AC33" s="10">
        <f t="shared" si="11"/>
        <v>14199.869999999995</v>
      </c>
      <c r="AD33" s="8">
        <f>IFERROR(AC33/AC444, "NA")</f>
        <v>0.30076906506774592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5336.6900000000005</v>
      </c>
      <c r="C35" s="8">
        <f>IFERROR(B35/B444, "NA")</f>
        <v>6.7609301750949525E-3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5336.6900000000005</v>
      </c>
      <c r="I35" s="8">
        <f>IFERROR(H35/H444, "NA")</f>
        <v>-0.31905770574797743</v>
      </c>
      <c r="J35" s="9"/>
      <c r="K35" s="7">
        <v>8776.2900000000009</v>
      </c>
      <c r="L35" s="8">
        <f>IFERROR(K35/K444, "NA")</f>
        <v>1.1773980371239204E-2</v>
      </c>
      <c r="M35" s="9"/>
      <c r="N35" s="10">
        <f t="shared" si="9"/>
        <v>-3439.6000000000004</v>
      </c>
      <c r="O35" s="8">
        <f>IFERROR(N35/N444, "NA")</f>
        <v>-7.8269603695847123E-2</v>
      </c>
      <c r="P35" s="9"/>
      <c r="Q35" s="7">
        <v>12286.02</v>
      </c>
      <c r="R35" s="8">
        <f>IFERROR(Q35/Q444, "NA")</f>
        <v>7.2003616936341334E-3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12286.02</v>
      </c>
      <c r="X35" s="8">
        <f>IFERROR(W35/W444, "NA")</f>
        <v>-0.23956590401273317</v>
      </c>
      <c r="Y35" s="9"/>
      <c r="Z35" s="7">
        <v>19593.669999999998</v>
      </c>
      <c r="AA35" s="8">
        <f>IFERROR(Z35/Z444, "NA")</f>
        <v>1.1809860716277161E-2</v>
      </c>
      <c r="AB35" s="9"/>
      <c r="AC35" s="10">
        <f t="shared" si="11"/>
        <v>-7307.6499999999978</v>
      </c>
      <c r="AD35" s="8">
        <f>IFERROR(AC35/AC444, "NA")</f>
        <v>-0.15478416762564118</v>
      </c>
    </row>
    <row r="36" spans="1:30" ht="16.5" customHeight="1" x14ac:dyDescent="0.45">
      <c r="A36" s="12" t="s">
        <v>36</v>
      </c>
      <c r="B36" s="7">
        <v>102362.02</v>
      </c>
      <c r="C36" s="8">
        <f>IFERROR(B36/B444, "NA")</f>
        <v>0.12968009567759661</v>
      </c>
      <c r="D36" s="9"/>
      <c r="E36" s="7">
        <v>0</v>
      </c>
      <c r="F36" s="8">
        <f>IFERROR(E36/E444, "NA")</f>
        <v>0</v>
      </c>
      <c r="G36" s="9"/>
      <c r="H36" s="10">
        <f t="shared" si="8"/>
        <v>102362.02</v>
      </c>
      <c r="I36" s="8">
        <f>IFERROR(H36/H444, "NA")</f>
        <v>-6.1197842214797147</v>
      </c>
      <c r="J36" s="9"/>
      <c r="K36" s="7">
        <v>101424.36</v>
      </c>
      <c r="L36" s="8">
        <f>IFERROR(K36/K444, "NA")</f>
        <v>0.13606756656918798</v>
      </c>
      <c r="M36" s="9"/>
      <c r="N36" s="10">
        <f t="shared" si="9"/>
        <v>937.66000000000349</v>
      </c>
      <c r="O36" s="8">
        <f>IFERROR(N36/N444, "NA")</f>
        <v>2.1336863763649343E-2</v>
      </c>
      <c r="P36" s="9"/>
      <c r="Q36" s="7">
        <v>203601.19</v>
      </c>
      <c r="R36" s="8">
        <f>IFERROR(Q36/Q444, "NA")</f>
        <v>0.11932279202331797</v>
      </c>
      <c r="S36" s="9"/>
      <c r="T36" s="7">
        <v>0</v>
      </c>
      <c r="U36" s="8">
        <f>IFERROR(T36/T444, "NA")</f>
        <v>0</v>
      </c>
      <c r="V36" s="9"/>
      <c r="W36" s="10">
        <f t="shared" si="10"/>
        <v>203601.19</v>
      </c>
      <c r="X36" s="8">
        <f>IFERROR(W36/W444, "NA")</f>
        <v>-3.9700328617744596</v>
      </c>
      <c r="Y36" s="9"/>
      <c r="Z36" s="7">
        <v>227974.18</v>
      </c>
      <c r="AA36" s="8">
        <f>IFERROR(Z36/Z444, "NA")</f>
        <v>0.13740883217424293</v>
      </c>
      <c r="AB36" s="9"/>
      <c r="AC36" s="10">
        <f t="shared" si="11"/>
        <v>-24372.989999999991</v>
      </c>
      <c r="AD36" s="8">
        <f>IFERROR(AC36/AC444, "NA")</f>
        <v>-0.51624707938914371</v>
      </c>
    </row>
    <row r="37" spans="1:30" ht="16.5" customHeight="1" x14ac:dyDescent="0.45">
      <c r="A37" s="12" t="s">
        <v>37</v>
      </c>
      <c r="B37" s="7">
        <v>7542.619999999999</v>
      </c>
      <c r="C37" s="8">
        <f>IFERROR(B37/B444, "NA")</f>
        <v>9.5555723036703805E-3</v>
      </c>
      <c r="D37" s="9"/>
      <c r="E37" s="7">
        <v>0</v>
      </c>
      <c r="F37" s="8">
        <f>IFERROR(E37/E444, "NA")</f>
        <v>0</v>
      </c>
      <c r="G37" s="9"/>
      <c r="H37" s="10">
        <f t="shared" si="8"/>
        <v>7542.619999999999</v>
      </c>
      <c r="I37" s="8">
        <f>IFERROR(H37/H444, "NA")</f>
        <v>-0.45094075775973663</v>
      </c>
      <c r="J37" s="9"/>
      <c r="K37" s="7">
        <v>0</v>
      </c>
      <c r="L37" s="8">
        <f>IFERROR(K37/K444, "NA")</f>
        <v>0</v>
      </c>
      <c r="M37" s="9"/>
      <c r="N37" s="10">
        <f t="shared" si="9"/>
        <v>7542.619999999999</v>
      </c>
      <c r="O37" s="8">
        <f>IFERROR(N37/N444, "NA")</f>
        <v>0.17163561990591064</v>
      </c>
      <c r="P37" s="9"/>
      <c r="Q37" s="7">
        <v>13261.490000000002</v>
      </c>
      <c r="R37" s="8">
        <f>IFERROR(Q37/Q444, "NA")</f>
        <v>7.7720469766866841E-3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13261.490000000002</v>
      </c>
      <c r="X37" s="8">
        <f>IFERROR(W37/W444, "NA")</f>
        <v>-0.25858665706272826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13261.490000000002</v>
      </c>
      <c r="AD37" s="8">
        <f>IFERROR(AC37/AC444, "NA")</f>
        <v>0.28089313132481236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7386.6</v>
      </c>
      <c r="L39" s="8">
        <f>IFERROR(K39/K444, "NA")</f>
        <v>9.9096182339229334E-3</v>
      </c>
      <c r="M39" s="9"/>
      <c r="N39" s="10">
        <f t="shared" si="9"/>
        <v>-7386.6</v>
      </c>
      <c r="O39" s="8">
        <f>IFERROR(N39/N444, "NA")</f>
        <v>-0.16808531650765912</v>
      </c>
      <c r="P39" s="9"/>
      <c r="Q39" s="7">
        <v>1679.9900000000002</v>
      </c>
      <c r="R39" s="8">
        <f>IFERROR(Q39/Q444, "NA")</f>
        <v>9.8457723833173059E-4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1679.9900000000002</v>
      </c>
      <c r="X39" s="8">
        <f>IFERROR(W39/W444, "NA")</f>
        <v>-3.2758234406451529E-2</v>
      </c>
      <c r="Y39" s="9"/>
      <c r="Z39" s="7">
        <v>16193.48</v>
      </c>
      <c r="AA39" s="8">
        <f>IFERROR(Z39/Z444, "NA")</f>
        <v>9.7604350441657887E-3</v>
      </c>
      <c r="AB39" s="9"/>
      <c r="AC39" s="10">
        <f t="shared" si="11"/>
        <v>-14513.49</v>
      </c>
      <c r="AD39" s="8">
        <f>IFERROR(AC39/AC444, "NA")</f>
        <v>-0.30741188603628633</v>
      </c>
    </row>
    <row r="40" spans="1:30" ht="16.5" customHeight="1" x14ac:dyDescent="0.45">
      <c r="A40" s="13" t="s">
        <v>40</v>
      </c>
      <c r="B40" s="14">
        <f>IFERROR(B31+B32+B33+B34+B35+B36+B37+B38+B39, "NA")</f>
        <v>186187.58000000002</v>
      </c>
      <c r="C40" s="15">
        <f>IFERROR(B40/B444, "NA")</f>
        <v>0.23587677527641771</v>
      </c>
      <c r="D40" s="2"/>
      <c r="E40" s="14">
        <f>IFERROR(E31+E32+E33+E34+E35+E36+E37+E38+E39, "NA")</f>
        <v>163572.19</v>
      </c>
      <c r="F40" s="15">
        <f>IFERROR(E40/E444, "NA")</f>
        <v>0.20292579674756869</v>
      </c>
      <c r="G40" s="2"/>
      <c r="H40" s="14">
        <f t="shared" si="8"/>
        <v>22615.390000000014</v>
      </c>
      <c r="I40" s="15">
        <f>IFERROR(H40/H444, "NA")</f>
        <v>-1.3520767456973808</v>
      </c>
      <c r="J40" s="2"/>
      <c r="K40" s="14">
        <f>IFERROR(K31+K32+K33+K34+K35+K36+K37+K38+K39, "NA")</f>
        <v>185185.46</v>
      </c>
      <c r="L40" s="15">
        <f>IFERROR(K40/K444, "NA")</f>
        <v>0.2484386877688525</v>
      </c>
      <c r="M40" s="2"/>
      <c r="N40" s="14">
        <f t="shared" si="9"/>
        <v>1002.1200000000244</v>
      </c>
      <c r="O40" s="15">
        <f>IFERROR(N40/N444, "NA")</f>
        <v>2.2803679281219975E-2</v>
      </c>
      <c r="P40" s="2"/>
      <c r="Q40" s="14">
        <f>IFERROR(Q31+Q32+Q33+Q34+Q35+Q36+Q37+Q38+Q39, "NA")</f>
        <v>411886.42999999993</v>
      </c>
      <c r="R40" s="15">
        <f>IFERROR(Q40/Q444, "NA")</f>
        <v>0.24139072479938306</v>
      </c>
      <c r="S40" s="2"/>
      <c r="T40" s="14">
        <f>IFERROR(T31+T32+T33+T34+T35+T36+T37+T38+T39, "NA")</f>
        <v>357619.88</v>
      </c>
      <c r="U40" s="15">
        <f>IFERROR(T40/T444, "NA")</f>
        <v>0.20347167792433285</v>
      </c>
      <c r="V40" s="2"/>
      <c r="W40" s="14">
        <f t="shared" si="10"/>
        <v>54266.54999999993</v>
      </c>
      <c r="X40" s="15">
        <f>IFERROR(W40/W444, "NA")</f>
        <v>-1.0581469921424649</v>
      </c>
      <c r="Y40" s="2"/>
      <c r="Z40" s="14">
        <f>IFERROR(Z31+Z32+Z33+Z34+Z35+Z36+Z37+Z38+Z39, "NA")</f>
        <v>430619.19999999995</v>
      </c>
      <c r="AA40" s="15">
        <f>IFERROR(Z40/Z444, "NA")</f>
        <v>0.25955080256810992</v>
      </c>
      <c r="AB40" s="2"/>
      <c r="AC40" s="14">
        <f t="shared" si="11"/>
        <v>-18732.770000000019</v>
      </c>
      <c r="AD40" s="15">
        <f>IFERROR(AC40/AC444, "NA")</f>
        <v>-0.39678093665851349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191015.09</v>
      </c>
      <c r="F42" s="8">
        <f>IFERROR(E42/E444, "NA")</f>
        <v>0.23697114606742464</v>
      </c>
      <c r="G42" s="9"/>
      <c r="H42" s="10">
        <f>IFERROR(B42-E42, "NA")</f>
        <v>-191015.09</v>
      </c>
      <c r="I42" s="8">
        <f>IFERROR(H42/H444, "NA")</f>
        <v>11.419969377768508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418478.93000000005</v>
      </c>
      <c r="U42" s="8">
        <f>IFERROR(T42/T444, "NA")</f>
        <v>0.23809808913050204</v>
      </c>
      <c r="V42" s="9"/>
      <c r="W42" s="10">
        <f>IFERROR(Q42-T42, "NA")</f>
        <v>-418478.93000000005</v>
      </c>
      <c r="X42" s="8">
        <f>IFERROR(W42/W444, "NA")</f>
        <v>8.1599479062976688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33540.679999999993</v>
      </c>
      <c r="C43" s="8">
        <f>IFERROR(B43/B444, "NA")</f>
        <v>4.2491918306141768E-2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33540.679999999993</v>
      </c>
      <c r="I43" s="8">
        <f>IFERROR(H43/H444, "NA")</f>
        <v>-2.0052527709173793</v>
      </c>
      <c r="J43" s="9"/>
      <c r="K43" s="7">
        <v>39593.4</v>
      </c>
      <c r="L43" s="8">
        <f>IFERROR(K43/K444, "NA")</f>
        <v>5.3117195811740757E-2</v>
      </c>
      <c r="M43" s="9"/>
      <c r="N43" s="10">
        <f>IFERROR(B43-K43, "NA")</f>
        <v>-6052.7200000000084</v>
      </c>
      <c r="O43" s="8">
        <f>IFERROR(N43/N444, "NA")</f>
        <v>-0.13773229319744401</v>
      </c>
      <c r="P43" s="9"/>
      <c r="Q43" s="7">
        <v>65948.680000000008</v>
      </c>
      <c r="R43" s="8">
        <f>IFERROR(Q43/Q444, "NA")</f>
        <v>3.8649973646285418E-2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65948.680000000008</v>
      </c>
      <c r="X43" s="8">
        <f>IFERROR(W43/W444, "NA")</f>
        <v>-1.2859376057214995</v>
      </c>
      <c r="Y43" s="9"/>
      <c r="Z43" s="7">
        <v>85607.07</v>
      </c>
      <c r="AA43" s="8">
        <f>IFERROR(Z43/Z444, "NA")</f>
        <v>5.1598683300708305E-2</v>
      </c>
      <c r="AB43" s="9"/>
      <c r="AC43" s="10">
        <f>IFERROR(Q43-Z43, "NA")</f>
        <v>-19658.39</v>
      </c>
      <c r="AD43" s="8">
        <f>IFERROR(AC43/AC444, "NA")</f>
        <v>-0.4163865993869752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453.02</v>
      </c>
      <c r="C47" s="8">
        <f>IFERROR(B47/B444, "NA")</f>
        <v>5.739206489268657E-4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453.02</v>
      </c>
      <c r="I47" s="8">
        <f>IFERROR(H47/H444, "NA")</f>
        <v>-2.7084114283937932E-2</v>
      </c>
      <c r="J47" s="9"/>
      <c r="K47" s="7">
        <v>581.64</v>
      </c>
      <c r="L47" s="8">
        <f>IFERROR(K47/K444, "NA")</f>
        <v>7.8030898513239304E-4</v>
      </c>
      <c r="M47" s="9"/>
      <c r="N47" s="10">
        <f t="shared" si="13"/>
        <v>-128.62</v>
      </c>
      <c r="O47" s="8">
        <f>IFERROR(N47/N444, "NA")</f>
        <v>-2.9268044038143551E-3</v>
      </c>
      <c r="P47" s="9"/>
      <c r="Q47" s="7">
        <v>1100.2</v>
      </c>
      <c r="R47" s="8">
        <f>IFERROR(Q47/Q444, "NA")</f>
        <v>6.4478471753556268E-4</v>
      </c>
      <c r="S47" s="9"/>
      <c r="T47" s="7">
        <v>0</v>
      </c>
      <c r="U47" s="8">
        <f>IFERROR(T47/T444, "NA")</f>
        <v>0</v>
      </c>
      <c r="V47" s="9"/>
      <c r="W47" s="10">
        <f t="shared" si="14"/>
        <v>1100.2</v>
      </c>
      <c r="X47" s="8">
        <f>IFERROR(W47/W444, "NA")</f>
        <v>-2.1452871442078802E-2</v>
      </c>
      <c r="Y47" s="9"/>
      <c r="Z47" s="7">
        <v>3454.79</v>
      </c>
      <c r="AA47" s="8">
        <f>IFERROR(Z47/Z444, "NA")</f>
        <v>2.0823351982547002E-3</v>
      </c>
      <c r="AB47" s="9"/>
      <c r="AC47" s="10">
        <f t="shared" si="15"/>
        <v>-2354.59</v>
      </c>
      <c r="AD47" s="8">
        <f>IFERROR(AC47/AC444, "NA")</f>
        <v>-4.9872839182180127E-2</v>
      </c>
    </row>
    <row r="48" spans="1:30" ht="16.5" customHeight="1" x14ac:dyDescent="0.45">
      <c r="A48" s="17" t="s">
        <v>46</v>
      </c>
      <c r="B48" s="7">
        <v>111735.71</v>
      </c>
      <c r="C48" s="8">
        <f>IFERROR(B48/B444, "NA")</f>
        <v>0.14155540857247823</v>
      </c>
      <c r="D48" s="9"/>
      <c r="E48" s="7">
        <v>0</v>
      </c>
      <c r="F48" s="8">
        <f>IFERROR(E48/E444, "NA")</f>
        <v>0</v>
      </c>
      <c r="G48" s="9"/>
      <c r="H48" s="10">
        <f t="shared" si="12"/>
        <v>111735.71</v>
      </c>
      <c r="I48" s="8">
        <f>IFERROR(H48/H444, "NA")</f>
        <v>-6.6801967666702282</v>
      </c>
      <c r="J48" s="9"/>
      <c r="K48" s="7">
        <v>106851.69</v>
      </c>
      <c r="L48" s="8">
        <f>IFERROR(K48/K444, "NA")</f>
        <v>0.1433486929777544</v>
      </c>
      <c r="M48" s="9"/>
      <c r="N48" s="10">
        <f t="shared" si="13"/>
        <v>4884.0200000000041</v>
      </c>
      <c r="O48" s="8">
        <f>IFERROR(N48/N444, "NA")</f>
        <v>0.11113801309529932</v>
      </c>
      <c r="P48" s="9"/>
      <c r="Q48" s="7">
        <v>247644.36999999997</v>
      </c>
      <c r="R48" s="8">
        <f>IFERROR(Q48/Q444, "NA")</f>
        <v>0.14513479836368146</v>
      </c>
      <c r="S48" s="9"/>
      <c r="T48" s="7">
        <v>0</v>
      </c>
      <c r="U48" s="8">
        <f>IFERROR(T48/T444, "NA")</f>
        <v>0</v>
      </c>
      <c r="V48" s="9"/>
      <c r="W48" s="10">
        <f t="shared" si="14"/>
        <v>247644.36999999997</v>
      </c>
      <c r="X48" s="8">
        <f>IFERROR(W48/W444, "NA")</f>
        <v>-4.828833696568438</v>
      </c>
      <c r="Y48" s="9"/>
      <c r="Z48" s="7">
        <v>257883.45</v>
      </c>
      <c r="AA48" s="8">
        <f>IFERROR(Z48/Z444, "NA")</f>
        <v>0.15543630292502761</v>
      </c>
      <c r="AB48" s="9"/>
      <c r="AC48" s="10">
        <f t="shared" si="15"/>
        <v>-10239.080000000045</v>
      </c>
      <c r="AD48" s="8">
        <f>IFERROR(AC48/AC444, "NA")</f>
        <v>-0.21687512059996822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1925</v>
      </c>
      <c r="C50" s="8">
        <f>IFERROR(B50/B444, "NA")</f>
        <v>2.4387383541217091E-3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1925</v>
      </c>
      <c r="I50" s="8">
        <f>IFERROR(H50/H444, "NA")</f>
        <v>-0.11508745749984663</v>
      </c>
      <c r="J50" s="9"/>
      <c r="K50" s="7">
        <v>4368.5</v>
      </c>
      <c r="L50" s="8">
        <f>IFERROR(K50/K444, "NA")</f>
        <v>5.8606351034159601E-3</v>
      </c>
      <c r="M50" s="9"/>
      <c r="N50" s="10">
        <f t="shared" si="13"/>
        <v>-2443.5</v>
      </c>
      <c r="O50" s="8">
        <f>IFERROR(N50/N444, "NA")</f>
        <v>-5.5602912149901852E-2</v>
      </c>
      <c r="P50" s="9"/>
      <c r="Q50" s="7">
        <v>7804</v>
      </c>
      <c r="R50" s="8">
        <f>IFERROR(Q50/Q444, "NA")</f>
        <v>4.573622919148819E-3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7804</v>
      </c>
      <c r="X50" s="8">
        <f>IFERROR(W50/W444, "NA")</f>
        <v>-0.15217070417558898</v>
      </c>
      <c r="Y50" s="9"/>
      <c r="Z50" s="7">
        <v>5644.67</v>
      </c>
      <c r="AA50" s="8">
        <f>IFERROR(Z50/Z444, "NA")</f>
        <v>3.4022603468032383E-3</v>
      </c>
      <c r="AB50" s="9"/>
      <c r="AC50" s="10">
        <f t="shared" si="15"/>
        <v>2159.33</v>
      </c>
      <c r="AD50" s="8">
        <f>IFERROR(AC50/AC444, "NA")</f>
        <v>4.5737014865117498E-2</v>
      </c>
    </row>
    <row r="51" spans="1:30" ht="16.5" customHeight="1" x14ac:dyDescent="0.45">
      <c r="A51" s="17" t="s">
        <v>49</v>
      </c>
      <c r="B51" s="7">
        <v>2413.15</v>
      </c>
      <c r="C51" s="8">
        <f>IFERROR(B51/B444, "NA")</f>
        <v>3.0571643944149623E-3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2413.15</v>
      </c>
      <c r="I51" s="8">
        <f>IFERROR(H51/H444, "NA")</f>
        <v>-0.1442718431510415</v>
      </c>
      <c r="J51" s="9"/>
      <c r="K51" s="7">
        <v>3787.64</v>
      </c>
      <c r="L51" s="8">
        <f>IFERROR(K51/K444, "NA")</f>
        <v>5.0813725404835587E-3</v>
      </c>
      <c r="M51" s="9"/>
      <c r="N51" s="10">
        <f t="shared" si="13"/>
        <v>-1374.4899999999998</v>
      </c>
      <c r="O51" s="8">
        <f>IFERROR(N51/N444, "NA")</f>
        <v>-3.1277121637372042E-2</v>
      </c>
      <c r="P51" s="9"/>
      <c r="Q51" s="7">
        <v>6911.74</v>
      </c>
      <c r="R51" s="8">
        <f>IFERROR(Q51/Q444, "NA")</f>
        <v>4.0507038025624879E-3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6911.74</v>
      </c>
      <c r="X51" s="8">
        <f>IFERROR(W51/W444, "NA")</f>
        <v>-0.1347724683340063</v>
      </c>
      <c r="Y51" s="9"/>
      <c r="Z51" s="7">
        <v>10567.08</v>
      </c>
      <c r="AA51" s="8">
        <f>IFERROR(Z51/Z444, "NA")</f>
        <v>6.3691867311105104E-3</v>
      </c>
      <c r="AB51" s="9"/>
      <c r="AC51" s="10">
        <f t="shared" si="15"/>
        <v>-3655.34</v>
      </c>
      <c r="AD51" s="8">
        <f>IFERROR(AC51/AC444, "NA")</f>
        <v>-7.7424173200510621E-2</v>
      </c>
    </row>
    <row r="52" spans="1:30" ht="16.5" customHeight="1" x14ac:dyDescent="0.45">
      <c r="A52" s="17" t="s">
        <v>50</v>
      </c>
      <c r="B52" s="7">
        <v>21300</v>
      </c>
      <c r="C52" s="8">
        <f>IFERROR(B52/B444, "NA")</f>
        <v>2.6984481528723327E-2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21300</v>
      </c>
      <c r="I52" s="8">
        <f>IFERROR(H52/H444, "NA")</f>
        <v>-1.2734352440242769</v>
      </c>
      <c r="J52" s="9"/>
      <c r="K52" s="7">
        <v>0</v>
      </c>
      <c r="L52" s="8">
        <f>IFERROR(K52/K444, "NA")</f>
        <v>0</v>
      </c>
      <c r="M52" s="9"/>
      <c r="N52" s="10">
        <f t="shared" si="13"/>
        <v>21300</v>
      </c>
      <c r="O52" s="8">
        <f>IFERROR(N52/N444, "NA")</f>
        <v>0.48469082414279085</v>
      </c>
      <c r="P52" s="9"/>
      <c r="Q52" s="7">
        <v>28300</v>
      </c>
      <c r="R52" s="8">
        <f>IFERROR(Q52/Q444, "NA")</f>
        <v>1.6585536726282879E-2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28300</v>
      </c>
      <c r="X52" s="8">
        <f>IFERROR(W52/W444, "NA")</f>
        <v>-0.55182354282024193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28300</v>
      </c>
      <c r="AD52" s="8">
        <f>IFERROR(AC52/AC444, "NA")</f>
        <v>0.59942552582644859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817.54</v>
      </c>
      <c r="C55" s="8">
        <f>IFERROR(B55/B444, "NA")</f>
        <v>1.0357226774174867E-3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817.54</v>
      </c>
      <c r="I55" s="8">
        <f>IFERROR(H55/H444, "NA")</f>
        <v>-4.88771948074933E-2</v>
      </c>
      <c r="J55" s="9"/>
      <c r="K55" s="7">
        <v>467.61</v>
      </c>
      <c r="L55" s="8">
        <f>IFERROR(K55/K444, "NA")</f>
        <v>6.2733010889512127E-4</v>
      </c>
      <c r="M55" s="9"/>
      <c r="N55" s="10">
        <f t="shared" si="13"/>
        <v>349.92999999999995</v>
      </c>
      <c r="O55" s="8">
        <f>IFERROR(N55/N444, "NA")</f>
        <v>7.9628103329712104E-3</v>
      </c>
      <c r="P55" s="9"/>
      <c r="Q55" s="7">
        <v>5978.64</v>
      </c>
      <c r="R55" s="8">
        <f>IFERROR(Q55/Q444, "NA")</f>
        <v>3.5038499396898896E-3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5978.64</v>
      </c>
      <c r="X55" s="8">
        <f>IFERROR(W55/W444, "NA")</f>
        <v>-0.1165778906730322</v>
      </c>
      <c r="Y55" s="9"/>
      <c r="Z55" s="7">
        <v>993.17000000000007</v>
      </c>
      <c r="AA55" s="8">
        <f>IFERROR(Z55/Z444, "NA")</f>
        <v>5.9862186959283223E-4</v>
      </c>
      <c r="AB55" s="9"/>
      <c r="AC55" s="10">
        <f t="shared" si="15"/>
        <v>4985.47</v>
      </c>
      <c r="AD55" s="8">
        <f>IFERROR(AC55/AC444, "NA")</f>
        <v>0.10559780834777331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1767.38</v>
      </c>
      <c r="L57" s="8">
        <f>IFERROR(K57/K444, "NA")</f>
        <v>2.3710585484892528E-3</v>
      </c>
      <c r="M57" s="9"/>
      <c r="N57" s="10">
        <f t="shared" si="13"/>
        <v>-1767.38</v>
      </c>
      <c r="O57" s="8">
        <f>IFERROR(N57/N444, "NA")</f>
        <v>-4.0217505576219989E-2</v>
      </c>
      <c r="P57" s="9"/>
      <c r="Q57" s="7">
        <v>3735.79</v>
      </c>
      <c r="R57" s="8">
        <f>IFERROR(Q57/Q444, "NA")</f>
        <v>2.1894021995293397E-3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-7.2844412474644224E-2</v>
      </c>
      <c r="Y57" s="9"/>
      <c r="Z57" s="7">
        <v>1767.38</v>
      </c>
      <c r="AA57" s="8">
        <f>IFERROR(Z57/Z444, "NA")</f>
        <v>1.0652681010108842E-3</v>
      </c>
      <c r="AB57" s="9"/>
      <c r="AC57" s="10">
        <f t="shared" si="15"/>
        <v>1968.4099999999999</v>
      </c>
      <c r="AD57" s="8">
        <f>IFERROR(AC57/AC444, "NA")</f>
        <v>4.1693116582757581E-2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47.5</v>
      </c>
      <c r="L58" s="8">
        <f>IFERROR(K58/K444, "NA")</f>
        <v>6.3724428845658259E-5</v>
      </c>
      <c r="M58" s="9"/>
      <c r="N58" s="10">
        <f t="shared" si="13"/>
        <v>-47.5</v>
      </c>
      <c r="O58" s="8">
        <f>IFERROR(N58/N444, "NA")</f>
        <v>-1.0808832932761769E-3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47.5</v>
      </c>
      <c r="AA58" s="8">
        <f>IFERROR(Z58/Z444, "NA")</f>
        <v>2.8630082267546876E-5</v>
      </c>
      <c r="AB58" s="9"/>
      <c r="AC58" s="10">
        <f t="shared" si="15"/>
        <v>-47.5</v>
      </c>
      <c r="AD58" s="8">
        <f>IFERROR(AC58/AC444, "NA")</f>
        <v>-1.0061029143730144E-3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661.07</v>
      </c>
      <c r="R60" s="8">
        <f>IFERROR(Q60/Q444, "NA")</f>
        <v>3.874275888213365E-4</v>
      </c>
      <c r="S60" s="9"/>
      <c r="T60" s="7">
        <v>0</v>
      </c>
      <c r="U60" s="8">
        <f>IFERROR(T60/T444, "NA")</f>
        <v>0</v>
      </c>
      <c r="V60" s="9"/>
      <c r="W60" s="10">
        <f t="shared" si="14"/>
        <v>661.07</v>
      </c>
      <c r="X60" s="8">
        <f>IFERROR(W60/W444, "NA")</f>
        <v>-1.289024697710874E-2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661.07</v>
      </c>
      <c r="AD60" s="8">
        <f>IFERROR(AC60/AC444, "NA")</f>
        <v>1.4002199023254077E-2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138644.42000000001</v>
      </c>
      <c r="C61" s="15">
        <f>IFERROR(B61/B444, "NA")</f>
        <v>0.17564543617608258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138644.42000000001</v>
      </c>
      <c r="I61" s="15">
        <f>IFERROR(H61/H444, "NA")</f>
        <v>-8.2889526204368238</v>
      </c>
      <c r="J61" s="2"/>
      <c r="K61" s="14">
        <f>IFERROR(K46+K47+K48+K49+K50+K51+K52+K53+K54+K55+K56+K57+K58+K59+K60, "NA")</f>
        <v>117871.96</v>
      </c>
      <c r="L61" s="15">
        <f>IFERROR(K61/K444, "NA")</f>
        <v>0.15813312269301635</v>
      </c>
      <c r="M61" s="2"/>
      <c r="N61" s="14">
        <f t="shared" si="13"/>
        <v>20772.460000000006</v>
      </c>
      <c r="O61" s="15">
        <f>IFERROR(N61/N444, "NA")</f>
        <v>0.47268642051047705</v>
      </c>
      <c r="P61" s="2"/>
      <c r="Q61" s="14">
        <f>IFERROR(Q46+Q47+Q48+Q49+Q50+Q51+Q52+Q53+Q54+Q55+Q56+Q57+Q58+Q59+Q60, "NA")</f>
        <v>302135.81</v>
      </c>
      <c r="R61" s="15">
        <f>IFERROR(Q61/Q444, "NA")</f>
        <v>0.1770701262572518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302135.81</v>
      </c>
      <c r="X61" s="15">
        <f>IFERROR(W61/W444, "NA")</f>
        <v>-5.89136583346514</v>
      </c>
      <c r="Y61" s="2"/>
      <c r="Z61" s="14">
        <f>IFERROR(Z46+Z47+Z48+Z49+Z50+Z51+Z52+Z53+Z54+Z55+Z56+Z57+Z58+Z59+Z60, "NA")</f>
        <v>280358.04000000004</v>
      </c>
      <c r="AA61" s="15">
        <f>IFERROR(Z61/Z444, "NA")</f>
        <v>0.16898260525406733</v>
      </c>
      <c r="AB61" s="2"/>
      <c r="AC61" s="14">
        <f t="shared" si="15"/>
        <v>21777.76999999996</v>
      </c>
      <c r="AD61" s="15">
        <f>IFERROR(AC61/AC444, "NA")</f>
        <v>0.46127742874831923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172185.1</v>
      </c>
      <c r="C62" s="15">
        <f>IFERROR(B62/B444, "NA")</f>
        <v>0.21813735448222435</v>
      </c>
      <c r="D62" s="2"/>
      <c r="E62" s="14">
        <f>IFERROR(E42+E43+E44+E46+E47+E48+E49+E50+E51+E52+E53+E54+E55+E56+E57+E58+E59+E60, "NA")</f>
        <v>191015.09</v>
      </c>
      <c r="F62" s="15">
        <f>IFERROR(E62/E444, "NA")</f>
        <v>0.23697114606742464</v>
      </c>
      <c r="G62" s="2"/>
      <c r="H62" s="14">
        <f t="shared" si="12"/>
        <v>-18829.989999999991</v>
      </c>
      <c r="I62" s="15">
        <f>IFERROR(H62/H444, "NA")</f>
        <v>1.1257639864143043</v>
      </c>
      <c r="J62" s="2"/>
      <c r="K62" s="14">
        <f>IFERROR(K42+K43+K44+K46+K47+K48+K49+K50+K51+K52+K53+K54+K55+K56+K57+K58+K59+K60, "NA")</f>
        <v>157465.36000000002</v>
      </c>
      <c r="L62" s="15">
        <f>IFERROR(K62/K444, "NA")</f>
        <v>0.21125031850475715</v>
      </c>
      <c r="M62" s="2"/>
      <c r="N62" s="14">
        <f t="shared" si="13"/>
        <v>14719.739999999991</v>
      </c>
      <c r="O62" s="15">
        <f>IFERROR(N62/N444, "NA")</f>
        <v>0.33495412731303287</v>
      </c>
      <c r="P62" s="2"/>
      <c r="Q62" s="14">
        <f>IFERROR(Q42+Q43+Q44+Q46+Q47+Q48+Q49+Q50+Q51+Q52+Q53+Q54+Q55+Q56+Q57+Q58+Q59+Q60, "NA")</f>
        <v>368084.49</v>
      </c>
      <c r="R62" s="15">
        <f>IFERROR(Q62/Q444, "NA")</f>
        <v>0.21572009990353719</v>
      </c>
      <c r="S62" s="2"/>
      <c r="T62" s="14">
        <f>IFERROR(T42+T43+T44+T46+T47+T48+T49+T50+T51+T52+T53+T54+T55+T56+T57+T58+T59+T60, "NA")</f>
        <v>418478.93000000005</v>
      </c>
      <c r="U62" s="15">
        <f>IFERROR(T62/T444, "NA")</f>
        <v>0.23809808913050204</v>
      </c>
      <c r="V62" s="2"/>
      <c r="W62" s="14">
        <f t="shared" si="14"/>
        <v>-50394.440000000061</v>
      </c>
      <c r="X62" s="15">
        <f>IFERROR(W62/W444, "NA")</f>
        <v>0.98264446711102982</v>
      </c>
      <c r="Y62" s="2"/>
      <c r="Z62" s="14">
        <f>IFERROR(Z42+Z43+Z44+Z46+Z47+Z48+Z49+Z50+Z51+Z52+Z53+Z54+Z55+Z56+Z57+Z58+Z59+Z60, "NA")</f>
        <v>365965.11</v>
      </c>
      <c r="AA62" s="15">
        <f>IFERROR(Z62/Z444, "NA")</f>
        <v>0.2205812885547756</v>
      </c>
      <c r="AB62" s="2"/>
      <c r="AC62" s="14">
        <f t="shared" si="15"/>
        <v>2119.3800000000047</v>
      </c>
      <c r="AD62" s="15">
        <f>IFERROR(AC62/AC444, "NA")</f>
        <v>4.4890829361344926E-2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62463.849999999991</v>
      </c>
      <c r="F64" s="8">
        <f>IFERROR(E64/E444, "NA")</f>
        <v>7.7491941198382291E-2</v>
      </c>
      <c r="G64" s="9"/>
      <c r="H64" s="10">
        <f t="shared" ref="H64:H73" si="16">IFERROR(B64-E64, "NA")</f>
        <v>-62463.849999999991</v>
      </c>
      <c r="I64" s="8">
        <f>IFERROR(H64/H444, "NA")</f>
        <v>3.734444510208724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137943.77000000002</v>
      </c>
      <c r="U64" s="8">
        <f>IFERROR(T64/T444, "NA")</f>
        <v>7.8484591911132717E-2</v>
      </c>
      <c r="V64" s="9"/>
      <c r="W64" s="10">
        <f t="shared" ref="W64:W73" si="18">IFERROR(Q64-T64, "NA")</f>
        <v>-137943.77000000002</v>
      </c>
      <c r="X64" s="8">
        <f>IFERROR(W64/W444, "NA")</f>
        <v>2.6897745537590323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27009.09</v>
      </c>
      <c r="C65" s="8">
        <f>IFERROR(B65/B444, "NA")</f>
        <v>3.4217196723597458E-2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27009.09</v>
      </c>
      <c r="I65" s="8">
        <f>IFERROR(H65/H444, "NA")</f>
        <v>-1.6147571415504065</v>
      </c>
      <c r="J65" s="9"/>
      <c r="K65" s="7">
        <v>3208.27</v>
      </c>
      <c r="L65" s="8">
        <f>IFERROR(K65/K444, "NA")</f>
        <v>4.3041089122665271E-3</v>
      </c>
      <c r="M65" s="9"/>
      <c r="N65" s="10">
        <f t="shared" si="17"/>
        <v>23800.82</v>
      </c>
      <c r="O65" s="8">
        <f>IFERROR(N65/N444, "NA")</f>
        <v>0.54159807798470516</v>
      </c>
      <c r="P65" s="9"/>
      <c r="Q65" s="7">
        <v>58763.93</v>
      </c>
      <c r="R65" s="8">
        <f>IFERROR(Q65/Q444, "NA")</f>
        <v>3.4439269229530611E-2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58763.93</v>
      </c>
      <c r="X65" s="8">
        <f>IFERROR(W65/W444, "NA")</f>
        <v>-1.1458416976198127</v>
      </c>
      <c r="Y65" s="9"/>
      <c r="Z65" s="7">
        <v>6667.98</v>
      </c>
      <c r="AA65" s="8">
        <f>IFERROR(Z65/Z444, "NA")</f>
        <v>4.0190487570180462E-3</v>
      </c>
      <c r="AB65" s="9"/>
      <c r="AC65" s="10">
        <f t="shared" si="19"/>
        <v>52095.95</v>
      </c>
      <c r="AD65" s="8">
        <f>IFERROR(AC65/AC444, "NA")</f>
        <v>1.1034502552006491</v>
      </c>
    </row>
    <row r="66" spans="1:30" ht="16.5" customHeight="1" x14ac:dyDescent="0.45">
      <c r="A66" s="12" t="s">
        <v>63</v>
      </c>
      <c r="B66" s="7">
        <v>20754.87</v>
      </c>
      <c r="C66" s="8">
        <f>IFERROR(B66/B444, "NA")</f>
        <v>2.6293868833148069E-2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20754.87</v>
      </c>
      <c r="I66" s="8">
        <f>IFERROR(H66/H444, "NA")</f>
        <v>-1.2408442696310866</v>
      </c>
      <c r="J66" s="9"/>
      <c r="K66" s="7">
        <v>16298.79</v>
      </c>
      <c r="L66" s="8">
        <f>IFERROR(K66/K444, "NA")</f>
        <v>2.1865917550006875E-2</v>
      </c>
      <c r="M66" s="9"/>
      <c r="N66" s="10">
        <f t="shared" si="17"/>
        <v>4456.0799999999981</v>
      </c>
      <c r="O66" s="8">
        <f>IFERROR(N66/N444, "NA")</f>
        <v>0.10140005106320218</v>
      </c>
      <c r="P66" s="9"/>
      <c r="Q66" s="7">
        <v>50156.7</v>
      </c>
      <c r="R66" s="8">
        <f>IFERROR(Q66/Q444, "NA")</f>
        <v>2.9394904237425881E-2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50156.7</v>
      </c>
      <c r="X66" s="8">
        <f>IFERROR(W66/W444, "NA")</f>
        <v>-0.97800875937003617</v>
      </c>
      <c r="Y66" s="9"/>
      <c r="Z66" s="7">
        <v>41023.730000000003</v>
      </c>
      <c r="AA66" s="8">
        <f>IFERROR(Z66/Z444, "NA")</f>
        <v>2.472658452256065E-2</v>
      </c>
      <c r="AB66" s="9"/>
      <c r="AC66" s="10">
        <f t="shared" si="19"/>
        <v>9132.9699999999939</v>
      </c>
      <c r="AD66" s="8">
        <f>IFERROR(AC66/AC444, "NA")</f>
        <v>0.19344647860802744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5.9567146427283975E-3</v>
      </c>
      <c r="AB67" s="9"/>
      <c r="AC67" s="10">
        <f t="shared" si="19"/>
        <v>-9882.75</v>
      </c>
      <c r="AD67" s="8">
        <f>IFERROR(AC67/AC444, "NA")</f>
        <v>-0.20932765425305069</v>
      </c>
    </row>
    <row r="68" spans="1:30" ht="16.5" customHeight="1" x14ac:dyDescent="0.45">
      <c r="A68" s="12" t="s">
        <v>65</v>
      </c>
      <c r="B68" s="7">
        <v>7119.4</v>
      </c>
      <c r="C68" s="8">
        <f>IFERROR(B68/B444, "NA")</f>
        <v>9.0194045913423865E-3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7119.4</v>
      </c>
      <c r="I68" s="8">
        <f>IFERROR(H68/H444, "NA")</f>
        <v>-0.4256382571035886</v>
      </c>
      <c r="J68" s="9"/>
      <c r="K68" s="7">
        <v>0</v>
      </c>
      <c r="L68" s="8">
        <f>IFERROR(K68/K444, "NA")</f>
        <v>0</v>
      </c>
      <c r="M68" s="9"/>
      <c r="N68" s="10">
        <f t="shared" si="17"/>
        <v>7119.4</v>
      </c>
      <c r="O68" s="8">
        <f>IFERROR(N68/N444, "NA")</f>
        <v>0.16200506354000868</v>
      </c>
      <c r="P68" s="9"/>
      <c r="Q68" s="7">
        <v>9609.66</v>
      </c>
      <c r="R68" s="8">
        <f>IFERROR(Q68/Q444, "NA")</f>
        <v>5.6318504896498769E-3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9609.66</v>
      </c>
      <c r="X68" s="8">
        <f>IFERROR(W68/W444, "NA")</f>
        <v>-0.18737938609533447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9609.66</v>
      </c>
      <c r="AD68" s="8">
        <f>IFERROR(AC68/AC444, "NA")</f>
        <v>0.20354330383439539</v>
      </c>
    </row>
    <row r="69" spans="1:30" ht="16.5" customHeight="1" x14ac:dyDescent="0.45">
      <c r="A69" s="12" t="s">
        <v>66</v>
      </c>
      <c r="B69" s="7">
        <v>9880</v>
      </c>
      <c r="C69" s="8">
        <f>IFERROR(B69/B444, "NA")</f>
        <v>1.2516745422712978E-2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9880</v>
      </c>
      <c r="I69" s="8">
        <f>IFERROR(H69/H444, "NA")</f>
        <v>-0.59068263901219986</v>
      </c>
      <c r="J69" s="9"/>
      <c r="K69" s="7">
        <v>0</v>
      </c>
      <c r="L69" s="8">
        <f>IFERROR(K69/K444, "NA")</f>
        <v>0</v>
      </c>
      <c r="M69" s="9"/>
      <c r="N69" s="10">
        <f t="shared" si="17"/>
        <v>9880</v>
      </c>
      <c r="O69" s="8">
        <f>IFERROR(N69/N444, "NA")</f>
        <v>0.22482372500144479</v>
      </c>
      <c r="P69" s="9"/>
      <c r="Q69" s="7">
        <v>17807.150000000001</v>
      </c>
      <c r="R69" s="8">
        <f>IFERROR(Q69/Q444, "NA")</f>
        <v>1.0436082696658239E-2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17807.150000000001</v>
      </c>
      <c r="X69" s="8">
        <f>IFERROR(W69/W444, "NA")</f>
        <v>-0.34722277740393892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17807.150000000001</v>
      </c>
      <c r="AD69" s="8">
        <f>IFERROR(AC69/AC444, "NA")</f>
        <v>0.37717527393005107</v>
      </c>
    </row>
    <row r="70" spans="1:30" ht="16.5" customHeight="1" x14ac:dyDescent="0.45">
      <c r="A70" s="12" t="s">
        <v>67</v>
      </c>
      <c r="B70" s="7">
        <v>5319</v>
      </c>
      <c r="C70" s="8">
        <f>IFERROR(B70/B444, "NA")</f>
        <v>6.738519119778374E-3</v>
      </c>
      <c r="D70" s="9"/>
      <c r="E70" s="7">
        <v>0</v>
      </c>
      <c r="F70" s="8">
        <f>IFERROR(E70/E444, "NA")</f>
        <v>0</v>
      </c>
      <c r="G70" s="9"/>
      <c r="H70" s="10">
        <f t="shared" si="16"/>
        <v>5319</v>
      </c>
      <c r="I70" s="8">
        <f>IFERROR(H70/H444, "NA")</f>
        <v>-0.31800009685282299</v>
      </c>
      <c r="J70" s="9"/>
      <c r="K70" s="7">
        <v>0</v>
      </c>
      <c r="L70" s="8">
        <f>IFERROR(K70/K444, "NA")</f>
        <v>0</v>
      </c>
      <c r="M70" s="9"/>
      <c r="N70" s="10">
        <f t="shared" si="17"/>
        <v>5319</v>
      </c>
      <c r="O70" s="8">
        <f>IFERROR(N70/N444, "NA")</f>
        <v>0.12103617340917862</v>
      </c>
      <c r="P70" s="9"/>
      <c r="Q70" s="7">
        <v>14100.5</v>
      </c>
      <c r="R70" s="8">
        <f>IFERROR(Q70/Q444, "NA")</f>
        <v>8.2637583254046541E-3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14100.5</v>
      </c>
      <c r="X70" s="8">
        <f>IFERROR(W70/W444, "NA")</f>
        <v>-0.27494656768681347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14100.5</v>
      </c>
      <c r="AD70" s="8">
        <f>IFERROR(AC70/AC444, "NA")</f>
        <v>0.29866429777087766</v>
      </c>
    </row>
    <row r="71" spans="1:30" ht="16.5" customHeight="1" x14ac:dyDescent="0.45">
      <c r="A71" s="12" t="s">
        <v>68</v>
      </c>
      <c r="B71" s="7">
        <v>5101.76</v>
      </c>
      <c r="C71" s="8">
        <f>IFERROR(B71/B444, "NA")</f>
        <v>6.4633027457267379E-3</v>
      </c>
      <c r="D71" s="9"/>
      <c r="E71" s="7">
        <v>0</v>
      </c>
      <c r="F71" s="8">
        <f>IFERROR(E71/E444, "NA")</f>
        <v>0</v>
      </c>
      <c r="G71" s="9"/>
      <c r="H71" s="10">
        <f t="shared" si="16"/>
        <v>5101.76</v>
      </c>
      <c r="I71" s="8">
        <f>IFERROR(H71/H444, "NA")</f>
        <v>-0.30501225307761953</v>
      </c>
      <c r="J71" s="9"/>
      <c r="K71" s="7">
        <v>0</v>
      </c>
      <c r="L71" s="8">
        <f>IFERROR(K71/K444, "NA")</f>
        <v>0</v>
      </c>
      <c r="M71" s="9"/>
      <c r="N71" s="10">
        <f t="shared" si="17"/>
        <v>5101.76</v>
      </c>
      <c r="O71" s="8">
        <f>IFERROR(N71/N444, "NA")</f>
        <v>0.11609278211167723</v>
      </c>
      <c r="P71" s="9"/>
      <c r="Q71" s="7">
        <v>7267.89</v>
      </c>
      <c r="R71" s="8">
        <f>IFERROR(Q71/Q444, "NA")</f>
        <v>4.259429558925232E-3</v>
      </c>
      <c r="S71" s="9"/>
      <c r="T71" s="7">
        <v>0</v>
      </c>
      <c r="U71" s="8">
        <f>IFERROR(T71/T444, "NA")</f>
        <v>0</v>
      </c>
      <c r="V71" s="9"/>
      <c r="W71" s="10">
        <f t="shared" si="18"/>
        <v>7267.89</v>
      </c>
      <c r="X71" s="8">
        <f>IFERROR(W71/W444, "NA")</f>
        <v>-0.14171706037554091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7267.89</v>
      </c>
      <c r="AD71" s="8">
        <f>IFERROR(AC71/AC444, "NA")</f>
        <v>0.15394200653352608</v>
      </c>
    </row>
    <row r="72" spans="1:30" ht="16.5" customHeight="1" x14ac:dyDescent="0.45">
      <c r="A72" s="12" t="s">
        <v>69</v>
      </c>
      <c r="B72" s="7">
        <v>1353.8</v>
      </c>
      <c r="C72" s="8">
        <f>IFERROR(B72/B444, "NA")</f>
        <v>1.7150981734077764E-3</v>
      </c>
      <c r="D72" s="9"/>
      <c r="E72" s="7">
        <v>0</v>
      </c>
      <c r="F72" s="8">
        <f>IFERROR(E72/E444, "NA")</f>
        <v>0</v>
      </c>
      <c r="G72" s="9"/>
      <c r="H72" s="10">
        <f t="shared" si="16"/>
        <v>1353.8</v>
      </c>
      <c r="I72" s="8">
        <f>IFERROR(H72/H444, "NA")</f>
        <v>-8.0937870110801224E-2</v>
      </c>
      <c r="J72" s="9"/>
      <c r="K72" s="7">
        <v>0</v>
      </c>
      <c r="L72" s="8">
        <f>IFERROR(K72/K444, "NA")</f>
        <v>0</v>
      </c>
      <c r="M72" s="9"/>
      <c r="N72" s="10">
        <f t="shared" si="17"/>
        <v>1353.8</v>
      </c>
      <c r="O72" s="8">
        <f>IFERROR(N72/N444, "NA")</f>
        <v>3.0806311630258699E-2</v>
      </c>
      <c r="P72" s="9"/>
      <c r="Q72" s="7">
        <v>2707.6</v>
      </c>
      <c r="R72" s="8">
        <f>IFERROR(Q72/Q444, "NA")</f>
        <v>1.5868197611336933E-3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2707.6</v>
      </c>
      <c r="X72" s="8">
        <f>IFERROR(W72/W444, "NA")</f>
        <v>-5.279566871166385E-2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2707.6</v>
      </c>
      <c r="AD72" s="8">
        <f>IFERROR(AC72/AC444, "NA")</f>
        <v>5.7349984230660497E-2</v>
      </c>
    </row>
    <row r="73" spans="1:30" ht="16.5" customHeight="1" x14ac:dyDescent="0.45">
      <c r="A73" s="13" t="s">
        <v>70</v>
      </c>
      <c r="B73" s="14">
        <f>IFERROR(B64+B65+B66+B67+B68+B69+B70+B71+B72, "NA")</f>
        <v>76537.919999999998</v>
      </c>
      <c r="C73" s="15">
        <f>IFERROR(B73/B444, "NA")</f>
        <v>9.6964135609713786E-2</v>
      </c>
      <c r="D73" s="2"/>
      <c r="E73" s="14">
        <f>IFERROR(E64+E65+E66+E67+E68+E69+E70+E71+E72, "NA")</f>
        <v>62463.849999999991</v>
      </c>
      <c r="F73" s="15">
        <f>IFERROR(E73/E444, "NA")</f>
        <v>7.7491941198382291E-2</v>
      </c>
      <c r="G73" s="2"/>
      <c r="H73" s="14">
        <f t="shared" si="16"/>
        <v>14074.070000000007</v>
      </c>
      <c r="I73" s="15">
        <f>IFERROR(H73/H444, "NA")</f>
        <v>-0.8414280171298012</v>
      </c>
      <c r="J73" s="2"/>
      <c r="K73" s="14">
        <f>IFERROR(K64+K65+K66+K67+K68+K69+K70+K71+K72, "NA")</f>
        <v>19507.060000000001</v>
      </c>
      <c r="L73" s="15">
        <f>IFERROR(K73/K444, "NA")</f>
        <v>2.6170026462273403E-2</v>
      </c>
      <c r="M73" s="2"/>
      <c r="N73" s="14">
        <f t="shared" si="17"/>
        <v>57030.86</v>
      </c>
      <c r="O73" s="15">
        <f>IFERROR(N73/N444, "NA")</f>
        <v>1.2977621847404754</v>
      </c>
      <c r="P73" s="2"/>
      <c r="Q73" s="14">
        <f>IFERROR(Q64+Q65+Q66+Q67+Q68+Q69+Q70+Q71+Q72, "NA")</f>
        <v>160413.43000000002</v>
      </c>
      <c r="R73" s="15">
        <f>IFERROR(Q73/Q444, "NA")</f>
        <v>9.4012114298728203E-2</v>
      </c>
      <c r="S73" s="2"/>
      <c r="T73" s="14">
        <f>IFERROR(T64+T65+T66+T67+T68+T69+T70+T71+T72, "NA")</f>
        <v>137943.77000000002</v>
      </c>
      <c r="U73" s="15">
        <f>IFERROR(T73/T444, "NA")</f>
        <v>7.8484591911132717E-2</v>
      </c>
      <c r="V73" s="2"/>
      <c r="W73" s="14">
        <f t="shared" si="18"/>
        <v>22469.660000000003</v>
      </c>
      <c r="X73" s="15">
        <f>IFERROR(W73/W444, "NA")</f>
        <v>-0.43813736350410876</v>
      </c>
      <c r="Y73" s="2"/>
      <c r="Z73" s="14">
        <f>IFERROR(Z64+Z65+Z66+Z67+Z68+Z69+Z70+Z71+Z72, "NA")</f>
        <v>57574.460000000006</v>
      </c>
      <c r="AA73" s="15">
        <f>IFERROR(Z73/Z444, "NA")</f>
        <v>3.4702347922307093E-2</v>
      </c>
      <c r="AB73" s="2"/>
      <c r="AC73" s="14">
        <f t="shared" si="19"/>
        <v>102838.97000000002</v>
      </c>
      <c r="AD73" s="15">
        <f>IFERROR(AC73/AC444, "NA")</f>
        <v>2.178243945855137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14286.919999999998</v>
      </c>
      <c r="F75" s="8">
        <f>IFERROR(E75/E444, "NA")</f>
        <v>1.7724190304407941E-2</v>
      </c>
      <c r="G75" s="9"/>
      <c r="H75" s="10">
        <f t="shared" ref="H75:H92" si="20">IFERROR(B75-E75, "NA")</f>
        <v>-14286.919999999998</v>
      </c>
      <c r="I75" s="8">
        <f>IFERROR(H75/H444, "NA")</f>
        <v>0.85415340171621223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31263.550000000003</v>
      </c>
      <c r="U75" s="8">
        <f>IFERROR(T75/T444, "NA")</f>
        <v>1.7787733099097501E-2</v>
      </c>
      <c r="V75" s="9"/>
      <c r="W75" s="10">
        <f t="shared" ref="W75:W92" si="22">IFERROR(Q75-T75, "NA")</f>
        <v>-31263.550000000003</v>
      </c>
      <c r="X75" s="8">
        <f>IFERROR(W75/W444, "NA")</f>
        <v>0.60960999724868459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2679.04</v>
      </c>
      <c r="C77" s="8">
        <f>IFERROR(B77/B444, "NA")</f>
        <v>3.3940143377798561E-3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2679.04</v>
      </c>
      <c r="I77" s="8">
        <f>IFERROR(H77/H444, "NA")</f>
        <v>-0.16016826085215019</v>
      </c>
      <c r="J77" s="9"/>
      <c r="K77" s="7">
        <v>3707.88</v>
      </c>
      <c r="L77" s="8">
        <f>IFERROR(K77/K444, "NA")</f>
        <v>4.9743691626997766E-3</v>
      </c>
      <c r="M77" s="9"/>
      <c r="N77" s="10">
        <f t="shared" si="21"/>
        <v>-1028.8400000000001</v>
      </c>
      <c r="O77" s="8">
        <f>IFERROR(N77/N444, "NA")</f>
        <v>-2.3411704577984461E-2</v>
      </c>
      <c r="P77" s="9"/>
      <c r="Q77" s="7">
        <v>5538.12</v>
      </c>
      <c r="R77" s="8">
        <f>IFERROR(Q77/Q444, "NA")</f>
        <v>3.2456781856735595E-3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5538.12</v>
      </c>
      <c r="X77" s="8">
        <f>IFERROR(W77/W444, "NA")</f>
        <v>-0.10798816250754904</v>
      </c>
      <c r="Y77" s="9"/>
      <c r="Z77" s="7">
        <v>6856.8300000000008</v>
      </c>
      <c r="AA77" s="8">
        <f>IFERROR(Z77/Z444, "NA")</f>
        <v>4.132875936728073E-3</v>
      </c>
      <c r="AB77" s="9"/>
      <c r="AC77" s="10">
        <f t="shared" si="23"/>
        <v>-1318.7100000000009</v>
      </c>
      <c r="AD77" s="8">
        <f>IFERROR(AC77/AC444, "NA")</f>
        <v>-2.7931746825533448E-2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75</v>
      </c>
      <c r="L78" s="8">
        <f>IFERROR(K78/K444, "NA")</f>
        <v>1.0061751922998673E-4</v>
      </c>
      <c r="M78" s="9"/>
      <c r="N78" s="10">
        <f t="shared" si="21"/>
        <v>-75</v>
      </c>
      <c r="O78" s="8">
        <f>IFERROR(N78/N444, "NA")</f>
        <v>-1.7066578314887003E-3</v>
      </c>
      <c r="P78" s="9"/>
      <c r="Q78" s="7">
        <v>50</v>
      </c>
      <c r="R78" s="8">
        <f>IFERROR(Q78/Q444, "NA")</f>
        <v>2.9303068420994484E-5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-9.749532558661517E-4</v>
      </c>
      <c r="Y78" s="9"/>
      <c r="Z78" s="7">
        <v>200</v>
      </c>
      <c r="AA78" s="8">
        <f>IFERROR(Z78/Z444, "NA")</f>
        <v>1.2054771481072368E-4</v>
      </c>
      <c r="AB78" s="9"/>
      <c r="AC78" s="10">
        <f t="shared" si="23"/>
        <v>-150</v>
      </c>
      <c r="AD78" s="8">
        <f>IFERROR(AC78/AC444, "NA")</f>
        <v>-3.1771670980200455E-3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11225.38</v>
      </c>
      <c r="C80" s="8">
        <f>IFERROR(B80/B444, "NA")</f>
        <v>1.4221176491215973E-2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11225.38</v>
      </c>
      <c r="I80" s="8">
        <f>IFERROR(H80/H444, "NA")</f>
        <v>-0.67111711359461212</v>
      </c>
      <c r="J80" s="9"/>
      <c r="K80" s="7">
        <v>7463.8499999999995</v>
      </c>
      <c r="L80" s="8">
        <f>IFERROR(K80/K444, "NA")</f>
        <v>1.001325427872982E-2</v>
      </c>
      <c r="M80" s="9"/>
      <c r="N80" s="10">
        <f t="shared" si="21"/>
        <v>3761.5299999999997</v>
      </c>
      <c r="O80" s="8">
        <f>IFERROR(N80/N444, "NA")</f>
        <v>8.55952617717292E-2</v>
      </c>
      <c r="P80" s="9"/>
      <c r="Q80" s="7">
        <v>24446.35</v>
      </c>
      <c r="R80" s="8">
        <f>IFERROR(Q80/Q444, "NA")</f>
        <v>1.432706133387157E-2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24446.35</v>
      </c>
      <c r="X80" s="8">
        <f>IFERROR(W80/W444, "NA")</f>
        <v>-0.47668097053086994</v>
      </c>
      <c r="Y80" s="9"/>
      <c r="Z80" s="7">
        <v>22805.72</v>
      </c>
      <c r="AA80" s="8">
        <f>IFERROR(Z80/Z444, "NA")</f>
        <v>1.3745887153066088E-2</v>
      </c>
      <c r="AB80" s="9"/>
      <c r="AC80" s="10">
        <f t="shared" si="23"/>
        <v>1640.6299999999974</v>
      </c>
      <c r="AD80" s="8">
        <f>IFERROR(AC80/AC444, "NA")</f>
        <v>3.4750371040164124E-2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1.506846435134046E-5</v>
      </c>
      <c r="AB82" s="9"/>
      <c r="AC82" s="10">
        <f t="shared" si="23"/>
        <v>-25</v>
      </c>
      <c r="AD82" s="8">
        <f>IFERROR(AC82/AC444, "NA")</f>
        <v>-5.2952784967000754E-4</v>
      </c>
    </row>
    <row r="83" spans="1:30" ht="16.5" customHeight="1" x14ac:dyDescent="0.45">
      <c r="A83" s="12" t="s">
        <v>79</v>
      </c>
      <c r="B83" s="7">
        <v>168.45</v>
      </c>
      <c r="C83" s="8">
        <f>IFERROR(B83/B444, "NA")</f>
        <v>2.1340544194898797E-4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168.45</v>
      </c>
      <c r="I83" s="8">
        <f>IFERROR(H83/H444, "NA")</f>
        <v>-1.0070899852389176E-2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168.45</v>
      </c>
      <c r="O83" s="8">
        <f>IFERROR(N83/N444, "NA")</f>
        <v>3.8331534895236206E-3</v>
      </c>
      <c r="P83" s="9"/>
      <c r="Q83" s="7">
        <v>402.97</v>
      </c>
      <c r="R83" s="8">
        <f>IFERROR(Q83/Q444, "NA")</f>
        <v>2.3616514963216296E-4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402.97</v>
      </c>
      <c r="X83" s="8">
        <f>IFERROR(W83/W444, "NA")</f>
        <v>-7.8575382703276637E-3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402.97</v>
      </c>
      <c r="AD83" s="8">
        <f>IFERROR(AC83/AC444, "NA")</f>
        <v>8.535353503260918E-3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25</v>
      </c>
      <c r="L86" s="8">
        <f>IFERROR(K86/K444, "NA")</f>
        <v>3.3539173076662247E-5</v>
      </c>
      <c r="M86" s="9"/>
      <c r="N86" s="10">
        <f t="shared" si="21"/>
        <v>-25</v>
      </c>
      <c r="O86" s="8">
        <f>IFERROR(N86/N444, "NA")</f>
        <v>-5.6888594382956679E-4</v>
      </c>
      <c r="P86" s="9"/>
      <c r="Q86" s="7">
        <v>50</v>
      </c>
      <c r="R86" s="8">
        <f>IFERROR(Q86/Q444, "NA")</f>
        <v>2.9303068420994484E-5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-9.749532558661517E-4</v>
      </c>
      <c r="Y86" s="9"/>
      <c r="Z86" s="7">
        <v>25</v>
      </c>
      <c r="AA86" s="8">
        <f>IFERROR(Z86/Z444, "NA")</f>
        <v>1.506846435134046E-5</v>
      </c>
      <c r="AB86" s="9"/>
      <c r="AC86" s="10">
        <f t="shared" si="23"/>
        <v>25</v>
      </c>
      <c r="AD86" s="8">
        <f>IFERROR(AC86/AC444, "NA")</f>
        <v>5.2952784967000754E-4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5.9567447796571001E-4</v>
      </c>
      <c r="AB87" s="9"/>
      <c r="AC87" s="10">
        <f t="shared" si="23"/>
        <v>-988.28</v>
      </c>
      <c r="AD87" s="8">
        <f>IFERROR(AC87/AC444, "NA")</f>
        <v>-2.0932871330875003E-2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14072.869999999999</v>
      </c>
      <c r="C88" s="15">
        <f>IFERROR(B88/B444, "NA")</f>
        <v>1.7828596270944817E-2</v>
      </c>
      <c r="D88" s="2"/>
      <c r="E88" s="14">
        <f>IFERROR(E75+E76+E77+E78+E79+E80+E81+E82+E83+E84+E85+E86+E87, "NA")</f>
        <v>14286.919999999998</v>
      </c>
      <c r="F88" s="15">
        <f>IFERROR(E88/E444, "NA")</f>
        <v>1.7724190304407941E-2</v>
      </c>
      <c r="G88" s="2"/>
      <c r="H88" s="14">
        <f t="shared" si="20"/>
        <v>-214.04999999999927</v>
      </c>
      <c r="I88" s="15">
        <f>IFERROR(H88/H444, "NA")</f>
        <v>1.2797127417060825E-2</v>
      </c>
      <c r="J88" s="2"/>
      <c r="K88" s="14">
        <f>IFERROR(K75+K76+K77+K78+K79+K80+K81+K82+K83+K84+K85+K86+K87, "NA")</f>
        <v>11271.73</v>
      </c>
      <c r="L88" s="15">
        <f>IFERROR(K88/K444, "NA")</f>
        <v>1.5121780133736244E-2</v>
      </c>
      <c r="M88" s="2"/>
      <c r="N88" s="14">
        <f t="shared" si="21"/>
        <v>2801.1399999999994</v>
      </c>
      <c r="O88" s="15">
        <f>IFERROR(N88/N444, "NA")</f>
        <v>6.3741166907950092E-2</v>
      </c>
      <c r="P88" s="2"/>
      <c r="Q88" s="14">
        <f>IFERROR(Q75+Q76+Q77+Q78+Q79+Q80+Q81+Q82+Q83+Q84+Q85+Q86+Q87, "NA")</f>
        <v>30487.439999999999</v>
      </c>
      <c r="R88" s="15">
        <f>IFERROR(Q88/Q444, "NA")</f>
        <v>1.7867510806019282E-2</v>
      </c>
      <c r="S88" s="2"/>
      <c r="T88" s="14">
        <f>IFERROR(T75+T76+T77+T78+T79+T80+T81+T82+T83+T84+T85+T86+T87, "NA")</f>
        <v>31263.550000000003</v>
      </c>
      <c r="U88" s="15">
        <f>IFERROR(T88/T444, "NA")</f>
        <v>1.7787733099097501E-2</v>
      </c>
      <c r="V88" s="2"/>
      <c r="W88" s="14">
        <f t="shared" si="22"/>
        <v>-776.11000000000422</v>
      </c>
      <c r="X88" s="15">
        <f>IFERROR(W88/W444, "NA")</f>
        <v>1.5133419428205662E-2</v>
      </c>
      <c r="Y88" s="2"/>
      <c r="Z88" s="14">
        <f>IFERROR(Z75+Z76+Z77+Z78+Z79+Z80+Z81+Z82+Z83+Z84+Z85+Z86+Z87, "NA")</f>
        <v>30900.83</v>
      </c>
      <c r="AA88" s="15">
        <f>IFERROR(Z88/Z444, "NA")</f>
        <v>1.8625122211273274E-2</v>
      </c>
      <c r="AB88" s="2"/>
      <c r="AC88" s="14">
        <f t="shared" si="23"/>
        <v>-413.39000000000306</v>
      </c>
      <c r="AD88" s="15">
        <f>IFERROR(AC88/AC444, "NA")</f>
        <v>-8.7560607110034414E-3</v>
      </c>
    </row>
    <row r="89" spans="1:30" ht="16.5" customHeight="1" x14ac:dyDescent="0.45">
      <c r="A89" s="6" t="s">
        <v>85</v>
      </c>
      <c r="B89" s="7">
        <v>-37.129999999999995</v>
      </c>
      <c r="C89" s="8">
        <f>IFERROR(B89/B444, "NA")</f>
        <v>-4.7039145500539759E-5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-37.129999999999995</v>
      </c>
      <c r="I89" s="8">
        <f>IFERROR(H89/H444, "NA")</f>
        <v>2.2198427516723659E-3</v>
      </c>
      <c r="J89" s="9"/>
      <c r="K89" s="7">
        <v>-134.09000000000003</v>
      </c>
      <c r="L89" s="8">
        <f>IFERROR(K89/K444, "NA")</f>
        <v>-1.7989070871398565E-4</v>
      </c>
      <c r="M89" s="9"/>
      <c r="N89" s="10">
        <f t="shared" si="21"/>
        <v>96.960000000000036</v>
      </c>
      <c r="O89" s="8">
        <f>IFERROR(N89/N444, "NA")</f>
        <v>2.2063672445485926E-3</v>
      </c>
      <c r="P89" s="9"/>
      <c r="Q89" s="7">
        <v>-55.230000000000004</v>
      </c>
      <c r="R89" s="8">
        <f>IFERROR(Q89/Q444, "NA")</f>
        <v>-3.2368169377830513E-5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-55.230000000000004</v>
      </c>
      <c r="X89" s="8">
        <f>IFERROR(W89/W444, "NA")</f>
        <v>1.0769333664297513E-3</v>
      </c>
      <c r="Y89" s="9"/>
      <c r="Z89" s="7">
        <v>-266.67</v>
      </c>
      <c r="AA89" s="8">
        <f>IFERROR(Z89/Z444, "NA")</f>
        <v>-1.6073229554287844E-4</v>
      </c>
      <c r="AB89" s="9"/>
      <c r="AC89" s="10">
        <f t="shared" si="23"/>
        <v>211.44</v>
      </c>
      <c r="AD89" s="8">
        <f>IFERROR(AC89/AC444, "NA")</f>
        <v>4.4785347413690557E-3</v>
      </c>
    </row>
    <row r="90" spans="1:30" ht="16.5" customHeight="1" x14ac:dyDescent="0.45">
      <c r="A90" s="6" t="s">
        <v>86</v>
      </c>
      <c r="B90" s="7">
        <v>117.48</v>
      </c>
      <c r="C90" s="8">
        <f>IFERROR(B90/B444, "NA")</f>
        <v>1.4883271784011344E-4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117.48</v>
      </c>
      <c r="I90" s="8">
        <f>IFERROR(H90/H444, "NA")</f>
        <v>-7.0236231205620687E-3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117.48</v>
      </c>
      <c r="O90" s="8">
        <f>IFERROR(N90/N444, "NA")</f>
        <v>2.6733088272439002E-3</v>
      </c>
      <c r="P90" s="9"/>
      <c r="Q90" s="7">
        <v>-1756.23</v>
      </c>
      <c r="R90" s="8">
        <f>IFERROR(Q90/Q444, "NA")</f>
        <v>-1.0292585570600629E-3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-1756.23</v>
      </c>
      <c r="X90" s="8">
        <f>IFERROR(W90/W444, "NA")</f>
        <v>3.4244843130996232E-2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-1756.23</v>
      </c>
      <c r="AD90" s="8">
        <f>IFERROR(AC90/AC444, "NA")</f>
        <v>-3.7198907817038294E-2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-41003.869999999995</v>
      </c>
      <c r="F94" s="8">
        <f>IFERROR(E94/E444, "NA")</f>
        <v>-5.0868934318747755E-2</v>
      </c>
      <c r="G94" s="9"/>
      <c r="H94" s="10">
        <f t="shared" ref="H94:H124" si="24">IFERROR(B94-E94, "NA")</f>
        <v>41003.869999999995</v>
      </c>
      <c r="I94" s="8">
        <f>IFERROR(H94/H444, "NA")</f>
        <v>-2.4514447511450577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-88953.37999999999</v>
      </c>
      <c r="U94" s="8">
        <f>IFERROR(T94/T444, "NA")</f>
        <v>-5.061098249247438E-2</v>
      </c>
      <c r="V94" s="9"/>
      <c r="W94" s="10">
        <f t="shared" ref="W94:W124" si="26">IFERROR(Q94-T94, "NA")</f>
        <v>88953.37999999999</v>
      </c>
      <c r="X94" s="8">
        <f>IFERROR(W94/W444, "NA")</f>
        <v>-1.7345077490259804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-7934.6</v>
      </c>
      <c r="C96" s="8">
        <f>IFERROR(B96/B444, "NA")</f>
        <v>-1.0052162776422915E-2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-7934.6</v>
      </c>
      <c r="I96" s="8">
        <f>IFERROR(H96/H444, "NA")</f>
        <v>0.47437555339131587</v>
      </c>
      <c r="J96" s="9"/>
      <c r="K96" s="7">
        <v>-10614.289999999999</v>
      </c>
      <c r="L96" s="8">
        <f>IFERROR(K96/K444, "NA")</f>
        <v>-1.423978037583541E-2</v>
      </c>
      <c r="M96" s="9"/>
      <c r="N96" s="10">
        <f t="shared" si="25"/>
        <v>2679.6899999999987</v>
      </c>
      <c r="O96" s="8">
        <f>IFERROR(N96/N444, "NA")</f>
        <v>6.0977518992826038E-2</v>
      </c>
      <c r="P96" s="9"/>
      <c r="Q96" s="7">
        <v>-19480.97</v>
      </c>
      <c r="R96" s="8">
        <f>IFERROR(Q96/Q444, "NA")</f>
        <v>-1.141704393634682E-2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-19480.97</v>
      </c>
      <c r="X96" s="8">
        <f>IFERROR(W96/W444, "NA")</f>
        <v>0.37986070257861654</v>
      </c>
      <c r="Y96" s="9"/>
      <c r="Z96" s="7">
        <v>-25336.71</v>
      </c>
      <c r="AA96" s="8">
        <f>IFERROR(Z96/Z444, "NA")</f>
        <v>-1.5271412456610055E-2</v>
      </c>
      <c r="AB96" s="9"/>
      <c r="AC96" s="10">
        <f t="shared" si="27"/>
        <v>5855.739999999998</v>
      </c>
      <c r="AD96" s="8">
        <f>IFERROR(AC96/AC444, "NA")</f>
        <v>0.12403109641706596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-6560.2999999999993</v>
      </c>
      <c r="C98" s="8">
        <f>IFERROR(B98/B444, "NA")</f>
        <v>-8.3110936231400763E-3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-6560.2999999999993</v>
      </c>
      <c r="I98" s="8">
        <f>IFERROR(H98/H444, "NA")</f>
        <v>0.39221207659025648</v>
      </c>
      <c r="J98" s="9"/>
      <c r="K98" s="7">
        <v>-12363.710000000001</v>
      </c>
      <c r="L98" s="8">
        <f>IFERROR(K98/K444, "NA")</f>
        <v>-1.658674438238639E-2</v>
      </c>
      <c r="M98" s="9"/>
      <c r="N98" s="10">
        <f t="shared" si="25"/>
        <v>5803.4100000000017</v>
      </c>
      <c r="O98" s="8">
        <f>IFERROR(N98/N444, "NA")</f>
        <v>0.13205913501119787</v>
      </c>
      <c r="P98" s="9"/>
      <c r="Q98" s="7">
        <v>-21420.25</v>
      </c>
      <c r="R98" s="8">
        <f>IFERROR(Q98/Q444, "NA")</f>
        <v>-1.2553581026896143E-2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-21420.25</v>
      </c>
      <c r="X98" s="8">
        <f>IFERROR(W98/W444, "NA")</f>
        <v>0.41767484957933876</v>
      </c>
      <c r="Y98" s="9"/>
      <c r="Z98" s="7">
        <v>-27907.93</v>
      </c>
      <c r="AA98" s="8">
        <f>IFERROR(Z98/Z444, "NA")</f>
        <v>-1.68211859329882E-2</v>
      </c>
      <c r="AB98" s="9"/>
      <c r="AC98" s="10">
        <f t="shared" si="27"/>
        <v>6487.68</v>
      </c>
      <c r="AD98" s="8">
        <f>IFERROR(AC98/AC444, "NA")</f>
        <v>0.13741628958988461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-1340.1899999999998</v>
      </c>
      <c r="C100" s="8">
        <f>IFERROR(B100/B444, "NA")</f>
        <v>-1.6978559765248688E-3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-1340.1899999999998</v>
      </c>
      <c r="I100" s="8">
        <f>IFERROR(H100/H444, "NA")</f>
        <v>8.0124186839854256E-2</v>
      </c>
      <c r="J100" s="9"/>
      <c r="K100" s="7">
        <v>-1390.35</v>
      </c>
      <c r="L100" s="8">
        <f>IFERROR(K100/K444, "NA")</f>
        <v>-1.8652475714854939E-3</v>
      </c>
      <c r="M100" s="9"/>
      <c r="N100" s="10">
        <f t="shared" si="25"/>
        <v>50.160000000000082</v>
      </c>
      <c r="O100" s="8">
        <f>IFERROR(N100/N444, "NA")</f>
        <v>1.1414127576996446E-3</v>
      </c>
      <c r="P100" s="9"/>
      <c r="Q100" s="7">
        <v>-2935.1400000000003</v>
      </c>
      <c r="R100" s="8">
        <f>IFERROR(Q100/Q444, "NA")</f>
        <v>-1.7201721649039551E-3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-2935.1400000000003</v>
      </c>
      <c r="X100" s="8">
        <f>IFERROR(W100/W444, "NA")</f>
        <v>5.7232485988459536E-2</v>
      </c>
      <c r="Y100" s="9"/>
      <c r="Z100" s="7">
        <v>-5496.05</v>
      </c>
      <c r="AA100" s="8">
        <f>IFERROR(Z100/Z444, "NA")</f>
        <v>-3.3126813399273897E-3</v>
      </c>
      <c r="AB100" s="9"/>
      <c r="AC100" s="10">
        <f t="shared" si="27"/>
        <v>2560.91</v>
      </c>
      <c r="AD100" s="8">
        <f>IFERROR(AC100/AC444, "NA")</f>
        <v>5.4242926619936759E-2</v>
      </c>
    </row>
    <row r="101" spans="1:30" ht="16.5" customHeight="1" x14ac:dyDescent="0.45">
      <c r="A101" s="12" t="s">
        <v>96</v>
      </c>
      <c r="B101" s="7">
        <v>-98.5</v>
      </c>
      <c r="C101" s="8">
        <f>IFERROR(B101/B444, "NA")</f>
        <v>-1.2478739110700693E-4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-98.5</v>
      </c>
      <c r="I101" s="8">
        <f>IFERROR(H101/H444, "NA")</f>
        <v>5.888890682459685E-3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-98.5</v>
      </c>
      <c r="O101" s="8">
        <f>IFERROR(N101/N444, "NA")</f>
        <v>-2.2414106186884929E-3</v>
      </c>
      <c r="P101" s="9"/>
      <c r="Q101" s="7">
        <v>-394.36</v>
      </c>
      <c r="R101" s="8">
        <f>IFERROR(Q101/Q444, "NA")</f>
        <v>-2.3111916125006772E-4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-394.36</v>
      </c>
      <c r="X101" s="8">
        <f>IFERROR(W101/W444, "NA")</f>
        <v>7.6896513196675126E-3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-394.36</v>
      </c>
      <c r="AD101" s="8">
        <f>IFERROR(AC101/AC444, "NA")</f>
        <v>-8.3529841118345684E-3</v>
      </c>
    </row>
    <row r="102" spans="1:30" ht="16.5" customHeight="1" x14ac:dyDescent="0.45">
      <c r="A102" s="12" t="s">
        <v>97</v>
      </c>
      <c r="B102" s="7">
        <v>-6213.88</v>
      </c>
      <c r="C102" s="8">
        <f>IFERROR(B102/B444, "NA")</f>
        <v>-7.8722220695635354E-3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-6213.88</v>
      </c>
      <c r="I102" s="8">
        <f>IFERROR(H102/H444, "NA")</f>
        <v>0.37150111709566075</v>
      </c>
      <c r="J102" s="9"/>
      <c r="K102" s="7">
        <v>-6382.92</v>
      </c>
      <c r="L102" s="8">
        <f>IFERROR(K102/K444, "NA")</f>
        <v>-8.5631143445795595E-3</v>
      </c>
      <c r="M102" s="9"/>
      <c r="N102" s="10">
        <f t="shared" si="25"/>
        <v>169.03999999999996</v>
      </c>
      <c r="O102" s="8">
        <f>IFERROR(N102/N444, "NA")</f>
        <v>3.8465791977979977E-3</v>
      </c>
      <c r="P102" s="9"/>
      <c r="Q102" s="7">
        <v>-14522.89</v>
      </c>
      <c r="R102" s="8">
        <f>IFERROR(Q102/Q444, "NA")</f>
        <v>-8.5113047868115316E-3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-14522.89</v>
      </c>
      <c r="X102" s="8">
        <f>IFERROR(W102/W444, "NA")</f>
        <v>0.28318277780171952</v>
      </c>
      <c r="Y102" s="9"/>
      <c r="Z102" s="7">
        <v>-16136.61</v>
      </c>
      <c r="AA102" s="8">
        <f>IFERROR(Z102/Z444, "NA")</f>
        <v>-9.7261573014593601E-3</v>
      </c>
      <c r="AB102" s="9"/>
      <c r="AC102" s="10">
        <f t="shared" si="27"/>
        <v>1613.7200000000012</v>
      </c>
      <c r="AD102" s="8">
        <f>IFERROR(AC102/AC444, "NA")</f>
        <v>3.4180387262779409E-2</v>
      </c>
    </row>
    <row r="103" spans="1:30" ht="16.5" customHeight="1" x14ac:dyDescent="0.45">
      <c r="A103" s="12" t="s">
        <v>98</v>
      </c>
      <c r="B103" s="7">
        <v>-61</v>
      </c>
      <c r="C103" s="8">
        <f>IFERROR(B103/B444, "NA")</f>
        <v>-7.7279501091648959E-5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-61</v>
      </c>
      <c r="I103" s="8">
        <f>IFERROR(H103/H444, "NA")</f>
        <v>3.6469272246704644E-3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-61</v>
      </c>
      <c r="O103" s="8">
        <f>IFERROR(N103/N444, "NA")</f>
        <v>-1.3880817029441428E-3</v>
      </c>
      <c r="P103" s="9"/>
      <c r="Q103" s="7">
        <v>-284</v>
      </c>
      <c r="R103" s="8">
        <f>IFERROR(Q103/Q444, "NA")</f>
        <v>-1.6644142863124869E-4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-284</v>
      </c>
      <c r="X103" s="8">
        <f>IFERROR(W103/W444, "NA")</f>
        <v>5.5377344933197417E-3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-284</v>
      </c>
      <c r="AD103" s="8">
        <f>IFERROR(AC103/AC444, "NA")</f>
        <v>-6.0154363722512861E-3</v>
      </c>
    </row>
    <row r="104" spans="1:30" ht="16.5" customHeight="1" x14ac:dyDescent="0.45">
      <c r="A104" s="12" t="s">
        <v>99</v>
      </c>
      <c r="B104" s="7">
        <v>-3933.45</v>
      </c>
      <c r="C104" s="8">
        <f>IFERROR(B104/B444, "NA")</f>
        <v>-4.9831975994909274E-3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-3933.45</v>
      </c>
      <c r="I104" s="8">
        <f>IFERROR(H104/H444, "NA")</f>
        <v>0.23516403101442684</v>
      </c>
      <c r="J104" s="9"/>
      <c r="K104" s="7">
        <v>-4603.57</v>
      </c>
      <c r="L104" s="8">
        <f>IFERROR(K104/K444, "NA")</f>
        <v>-6.1759972400211999E-3</v>
      </c>
      <c r="M104" s="9"/>
      <c r="N104" s="10">
        <f t="shared" si="25"/>
        <v>670.11999999999989</v>
      </c>
      <c r="O104" s="8">
        <f>IFERROR(N104/N444, "NA")</f>
        <v>1.5248873947162768E-2</v>
      </c>
      <c r="P104" s="9"/>
      <c r="Q104" s="7">
        <v>-6382.88</v>
      </c>
      <c r="R104" s="8">
        <f>IFERROR(Q104/Q444, "NA")</f>
        <v>-3.7407593872599457E-3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-6382.88</v>
      </c>
      <c r="X104" s="8">
        <f>IFERROR(W104/W444, "NA")</f>
        <v>0.12446019275605885</v>
      </c>
      <c r="Y104" s="9"/>
      <c r="Z104" s="7">
        <v>-9588.82</v>
      </c>
      <c r="AA104" s="8">
        <f>IFERROR(Z104/Z444, "NA")</f>
        <v>-5.7795516936568177E-3</v>
      </c>
      <c r="AB104" s="9"/>
      <c r="AC104" s="10">
        <f t="shared" si="27"/>
        <v>3205.9399999999996</v>
      </c>
      <c r="AD104" s="8">
        <f>IFERROR(AC104/AC444, "NA")</f>
        <v>6.790538057484255E-2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-602.16999999999996</v>
      </c>
      <c r="C106" s="8">
        <f>IFERROR(B106/B444, "NA")</f>
        <v>-7.6287536348128282E-4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-602.16999999999996</v>
      </c>
      <c r="I106" s="8">
        <f>IFERROR(H106/H444, "NA")</f>
        <v>3.6001150276718255E-2</v>
      </c>
      <c r="J106" s="9"/>
      <c r="K106" s="7">
        <v>-1729</v>
      </c>
      <c r="L106" s="8">
        <f>IFERROR(K106/K444, "NA")</f>
        <v>-2.3195692099819607E-3</v>
      </c>
      <c r="M106" s="9"/>
      <c r="N106" s="10">
        <f t="shared" si="25"/>
        <v>1126.83</v>
      </c>
      <c r="O106" s="8">
        <f>IFERROR(N106/N444, "NA")</f>
        <v>2.5641509923418827E-2</v>
      </c>
      <c r="P106" s="9"/>
      <c r="Q106" s="7">
        <v>-893.01</v>
      </c>
      <c r="R106" s="8">
        <f>IFERROR(Q106/Q444, "NA")</f>
        <v>-5.2335866261264566E-4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-893.01</v>
      </c>
      <c r="X106" s="8">
        <f>IFERROR(W106/W444, "NA")</f>
        <v>1.7412860140420643E-2</v>
      </c>
      <c r="Y106" s="9"/>
      <c r="Z106" s="7">
        <v>-2907.77</v>
      </c>
      <c r="AA106" s="8">
        <f>IFERROR(Z106/Z444, "NA")</f>
        <v>-1.7526251434758901E-3</v>
      </c>
      <c r="AB106" s="9"/>
      <c r="AC106" s="10">
        <f t="shared" si="27"/>
        <v>2014.76</v>
      </c>
      <c r="AD106" s="8">
        <f>IFERROR(AC106/AC444, "NA")</f>
        <v>4.267486121604578E-2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-26744.09</v>
      </c>
      <c r="C118" s="15">
        <f>IFERROR(B118/B444, "NA")</f>
        <v>-3.3881474300822265E-2</v>
      </c>
      <c r="D118" s="2"/>
      <c r="E118" s="14">
        <f>IFERROR(E94+E95+E96+E97+E98+E99+E100+E101+E102+E103+E104+E105+E106+E107+E108+E109+E110+E111+E112+E113+E114+E115+E116+E117, "NA")</f>
        <v>-41003.869999999995</v>
      </c>
      <c r="F118" s="15">
        <f>IFERROR(E118/E444, "NA")</f>
        <v>-5.0868934318747755E-2</v>
      </c>
      <c r="G118" s="2"/>
      <c r="H118" s="14">
        <f t="shared" si="24"/>
        <v>14259.779999999995</v>
      </c>
      <c r="I118" s="15">
        <f>IFERROR(H118/H444, "NA")</f>
        <v>-0.85253081802969477</v>
      </c>
      <c r="J118" s="2"/>
      <c r="K118" s="14">
        <f>IFERROR(K94+K95+K96+K97+K98+K99+K100+K101+K102+K103+K104+K105+K106+K107+K108+K109+K110+K111+K112+K113+K114+K115+K116+K117, "NA")</f>
        <v>-37083.839999999997</v>
      </c>
      <c r="L118" s="15">
        <f>IFERROR(K118/K444, "NA")</f>
        <v>-4.9750453124290009E-2</v>
      </c>
      <c r="M118" s="2"/>
      <c r="N118" s="14">
        <f t="shared" si="25"/>
        <v>10339.749999999996</v>
      </c>
      <c r="O118" s="15">
        <f>IFERROR(N118/N444, "NA")</f>
        <v>0.23528553750847042</v>
      </c>
      <c r="P118" s="2"/>
      <c r="Q118" s="14">
        <f>IFERROR(Q94+Q95+Q96+Q97+Q98+Q99+Q100+Q101+Q102+Q103+Q104+Q105+Q106+Q107+Q108+Q109+Q110+Q111+Q112+Q113+Q114+Q115+Q116+Q117, "NA")</f>
        <v>-66313.5</v>
      </c>
      <c r="R118" s="15">
        <f>IFERROR(Q118/Q444, "NA")</f>
        <v>-3.8863780554712353E-2</v>
      </c>
      <c r="S118" s="2"/>
      <c r="T118" s="14">
        <f>IFERROR(T94+T95+T96+T97+T98+T99+T100+T101+T102+T103+T104+T105+T106+T107+T108+T109+T110+T111+T112+T113+T114+T115+T116+T117, "NA")</f>
        <v>-88953.37999999999</v>
      </c>
      <c r="U118" s="15">
        <f>IFERROR(T118/T444, "NA")</f>
        <v>-5.061098249247438E-2</v>
      </c>
      <c r="V118" s="2"/>
      <c r="W118" s="14">
        <f t="shared" si="26"/>
        <v>22639.87999999999</v>
      </c>
      <c r="X118" s="15">
        <f>IFERROR(W118/W444, "NA")</f>
        <v>-0.44145649436837925</v>
      </c>
      <c r="Y118" s="2"/>
      <c r="Z118" s="14">
        <f>IFERROR(Z94+Z95+Z96+Z97+Z98+Z99+Z100+Z101+Z102+Z103+Z104+Z105+Z106+Z107+Z108+Z109+Z110+Z111+Z112+Z113+Z114+Z115+Z116+Z117, "NA")</f>
        <v>-87373.89</v>
      </c>
      <c r="AA118" s="15">
        <f>IFERROR(Z118/Z444, "NA")</f>
        <v>-5.2663613868117715E-2</v>
      </c>
      <c r="AB118" s="2"/>
      <c r="AC118" s="14">
        <f t="shared" si="27"/>
        <v>21060.39</v>
      </c>
      <c r="AD118" s="15">
        <f>IFERROR(AC118/AC444, "NA")</f>
        <v>0.44608252119646924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789342.57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806068.98</v>
      </c>
      <c r="F122" s="15">
        <f>IFERROR(E122/E444, "NA")</f>
        <v>1</v>
      </c>
      <c r="G122" s="2"/>
      <c r="H122" s="14">
        <f t="shared" si="24"/>
        <v>-16726.410000000033</v>
      </c>
      <c r="I122" s="15">
        <f>IFERROR(H122/H444, "NA")</f>
        <v>1.0000000000000069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745397.03000000014</v>
      </c>
      <c r="L122" s="15">
        <f>IFERROR(K122/K444, "NA")</f>
        <v>1.0000000000000002</v>
      </c>
      <c r="M122" s="2"/>
      <c r="N122" s="14">
        <f t="shared" si="25"/>
        <v>43945.539999999804</v>
      </c>
      <c r="O122" s="15">
        <f>IFERROR(N122/N444, "NA")</f>
        <v>0.99999999999999467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1706305.95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1757590.4600000002</v>
      </c>
      <c r="U122" s="15">
        <f>IFERROR(T122/T444, "NA")</f>
        <v>1.0000000000000002</v>
      </c>
      <c r="V122" s="2"/>
      <c r="W122" s="14">
        <f t="shared" si="26"/>
        <v>-51284.510000000242</v>
      </c>
      <c r="X122" s="15">
        <f>IFERROR(W122/W444, "NA")</f>
        <v>1.0000000000000091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1659094.08</v>
      </c>
      <c r="AA122" s="15">
        <f>IFERROR(Z122/Z444, "NA")</f>
        <v>1</v>
      </c>
      <c r="AB122" s="2"/>
      <c r="AC122" s="14">
        <f t="shared" si="27"/>
        <v>47211.869999999879</v>
      </c>
      <c r="AD122" s="15">
        <f>IFERROR(AC122/AC444, "NA")</f>
        <v>0.99999999999999512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789342.57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806068.98</v>
      </c>
      <c r="F124" s="15">
        <f>IFERROR(E124/E444, "NA")</f>
        <v>1</v>
      </c>
      <c r="G124" s="2"/>
      <c r="H124" s="14">
        <f t="shared" si="24"/>
        <v>-16726.410000000033</v>
      </c>
      <c r="I124" s="15">
        <f>IFERROR(H124/H444, "NA")</f>
        <v>1.0000000000000069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745397.03000000014</v>
      </c>
      <c r="L124" s="15">
        <f>IFERROR(K124/K444, "NA")</f>
        <v>1.0000000000000002</v>
      </c>
      <c r="M124" s="2"/>
      <c r="N124" s="14">
        <f t="shared" si="25"/>
        <v>43945.539999999804</v>
      </c>
      <c r="O124" s="15">
        <f>IFERROR(N124/N444, "NA")</f>
        <v>0.99999999999999467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1706305.95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1757590.4600000002</v>
      </c>
      <c r="U124" s="15">
        <f>IFERROR(T124/T444, "NA")</f>
        <v>1.0000000000000002</v>
      </c>
      <c r="V124" s="2"/>
      <c r="W124" s="14">
        <f t="shared" si="26"/>
        <v>-51284.510000000242</v>
      </c>
      <c r="X124" s="15">
        <f>IFERROR(W124/W444, "NA")</f>
        <v>1.0000000000000091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1659094.08</v>
      </c>
      <c r="AA124" s="15">
        <f>IFERROR(Z124/Z444, "NA")</f>
        <v>1</v>
      </c>
      <c r="AB124" s="2"/>
      <c r="AC124" s="14">
        <f t="shared" si="27"/>
        <v>47211.869999999879</v>
      </c>
      <c r="AD124" s="15">
        <f>IFERROR(AC124/AC444, "NA")</f>
        <v>0.99999999999999512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169619.25</v>
      </c>
      <c r="F129" s="8">
        <f>IFERROR(E129/E444, "NA")</f>
        <v>0.21042771054159659</v>
      </c>
      <c r="G129" s="9"/>
      <c r="H129" s="10">
        <f t="shared" ref="H129:H141" si="28">IFERROR(-(B129-E129), "NA")</f>
        <v>169619.25</v>
      </c>
      <c r="I129" s="8">
        <f>IFERROR(H129/H444, "NA")</f>
        <v>-10.140804273003043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374489.33</v>
      </c>
      <c r="U129" s="8">
        <f>IFERROR(T129/T444, "NA")</f>
        <v>0.21306973297977505</v>
      </c>
      <c r="V129" s="9"/>
      <c r="W129" s="10">
        <f t="shared" ref="W129:W141" si="30">IFERROR(-(Q129-T129), "NA")</f>
        <v>374489.33</v>
      </c>
      <c r="X129" s="8">
        <f>IFERROR(W129/W444, "NA")</f>
        <v>-7.3021918314126752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38410.86</v>
      </c>
      <c r="C130" s="8">
        <f>IFERROR(B130/B444, "NA")</f>
        <v>4.8661837660675007E-2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-38410.86</v>
      </c>
      <c r="I130" s="8">
        <f>IFERROR(H130/H444, "NA")</f>
        <v>2.2964198533935369</v>
      </c>
      <c r="J130" s="9"/>
      <c r="K130" s="7">
        <v>41080.93</v>
      </c>
      <c r="L130" s="8">
        <f>IFERROR(K130/K444, "NA")</f>
        <v>5.5112816856809854E-2</v>
      </c>
      <c r="M130" s="9"/>
      <c r="N130" s="10">
        <f t="shared" si="29"/>
        <v>2670.0699999999997</v>
      </c>
      <c r="O130" s="8">
        <f>IFERROR(N130/N444, "NA")</f>
        <v>6.0758611681640443E-2</v>
      </c>
      <c r="P130" s="9"/>
      <c r="Q130" s="7">
        <v>82650.820000000007</v>
      </c>
      <c r="R130" s="8">
        <f>IFERROR(Q130/Q444, "NA")</f>
        <v>4.8438452670225993E-2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-82650.820000000007</v>
      </c>
      <c r="X130" s="8">
        <f>IFERROR(W130/W444, "NA")</f>
        <v>1.6116137211801451</v>
      </c>
      <c r="Y130" s="9"/>
      <c r="Z130" s="7">
        <v>93777.7</v>
      </c>
      <c r="AA130" s="8">
        <f>IFERROR(Z130/Z444, "NA")</f>
        <v>5.6523437176028014E-2</v>
      </c>
      <c r="AB130" s="9"/>
      <c r="AC130" s="10">
        <f t="shared" si="31"/>
        <v>11126.87999999999</v>
      </c>
      <c r="AD130" s="8">
        <f>IFERROR(AC130/AC444, "NA")</f>
        <v>0.23567971359744835</v>
      </c>
    </row>
    <row r="131" spans="1:30" ht="16.5" customHeight="1" x14ac:dyDescent="0.45">
      <c r="A131" s="12" t="s">
        <v>123</v>
      </c>
      <c r="B131" s="7">
        <v>20960.149999999998</v>
      </c>
      <c r="C131" s="8">
        <f>IFERROR(B131/B444, "NA")</f>
        <v>2.6553933357477473E-2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-20960.149999999998</v>
      </c>
      <c r="I131" s="8">
        <f>IFERROR(H131/H444, "NA")</f>
        <v>1.2531170765274857</v>
      </c>
      <c r="J131" s="9"/>
      <c r="K131" s="7">
        <v>23511.760000000002</v>
      </c>
      <c r="L131" s="8">
        <f>IFERROR(K131/K444, "NA")</f>
        <v>3.1542599519077771E-2</v>
      </c>
      <c r="M131" s="9"/>
      <c r="N131" s="10">
        <f t="shared" si="29"/>
        <v>2551.6100000000042</v>
      </c>
      <c r="O131" s="8">
        <f>IFERROR(N131/N444, "NA")</f>
        <v>5.8063002525398526E-2</v>
      </c>
      <c r="P131" s="9"/>
      <c r="Q131" s="7">
        <v>46969.109999999993</v>
      </c>
      <c r="R131" s="8">
        <f>IFERROR(Q131/Q444, "NA")</f>
        <v>2.7526780880064321E-2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-46969.109999999993</v>
      </c>
      <c r="X131" s="8">
        <f>IFERROR(W131/W444, "NA")</f>
        <v>0.91585373439270845</v>
      </c>
      <c r="Y131" s="9"/>
      <c r="Z131" s="7">
        <v>51903.630000000005</v>
      </c>
      <c r="AA131" s="8">
        <f>IFERROR(Z131/Z444, "NA")</f>
        <v>3.1284319934406613E-2</v>
      </c>
      <c r="AB131" s="9"/>
      <c r="AC131" s="10">
        <f t="shared" si="31"/>
        <v>4934.5200000000114</v>
      </c>
      <c r="AD131" s="8">
        <f>IFERROR(AC131/AC444, "NA")</f>
        <v>0.10451863059014607</v>
      </c>
    </row>
    <row r="132" spans="1:30" ht="16.5" customHeight="1" x14ac:dyDescent="0.45">
      <c r="A132" s="12" t="s">
        <v>124</v>
      </c>
      <c r="B132" s="7">
        <v>30332.989999999998</v>
      </c>
      <c r="C132" s="8">
        <f>IFERROR(B132/B444, "NA")</f>
        <v>3.8428169406852078E-2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-30332.989999999998</v>
      </c>
      <c r="I132" s="8">
        <f>IFERROR(H132/H444, "NA")</f>
        <v>1.8134788038796221</v>
      </c>
      <c r="J132" s="9"/>
      <c r="K132" s="7">
        <v>26510.670000000002</v>
      </c>
      <c r="L132" s="8">
        <f>IFERROR(K132/K444, "NA")</f>
        <v>3.5565837980331104E-2</v>
      </c>
      <c r="M132" s="9"/>
      <c r="N132" s="10">
        <f t="shared" si="29"/>
        <v>-3822.3199999999961</v>
      </c>
      <c r="O132" s="8">
        <f>IFERROR(N132/N444, "NA")</f>
        <v>-8.6978564832745089E-2</v>
      </c>
      <c r="P132" s="9"/>
      <c r="Q132" s="7">
        <v>59528.200000000004</v>
      </c>
      <c r="R132" s="8">
        <f>IFERROR(Q132/Q444, "NA")</f>
        <v>3.488717835157288E-2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-59528.200000000004</v>
      </c>
      <c r="X132" s="8">
        <f>IFERROR(W132/W444, "NA")</f>
        <v>1.1607442481170291</v>
      </c>
      <c r="Y132" s="9"/>
      <c r="Z132" s="7">
        <v>61069.17</v>
      </c>
      <c r="AA132" s="8">
        <f>IFERROR(Z132/Z444, "NA")</f>
        <v>3.6808744444438012E-2</v>
      </c>
      <c r="AB132" s="9"/>
      <c r="AC132" s="10">
        <f t="shared" si="31"/>
        <v>1540.9699999999939</v>
      </c>
      <c r="AD132" s="8">
        <f>IFERROR(AC132/AC444, "NA")</f>
        <v>3.2639461220239536E-2</v>
      </c>
    </row>
    <row r="133" spans="1:30" ht="16.5" customHeight="1" x14ac:dyDescent="0.45">
      <c r="A133" s="12" t="s">
        <v>125</v>
      </c>
      <c r="B133" s="7">
        <v>17251.02</v>
      </c>
      <c r="C133" s="8">
        <f>IFERROR(B133/B444, "NA")</f>
        <v>2.1854921621673084E-2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-17251.02</v>
      </c>
      <c r="I133" s="8">
        <f>IFERROR(H133/H444, "NA")</f>
        <v>1.0313641719890931</v>
      </c>
      <c r="J133" s="9"/>
      <c r="K133" s="7">
        <v>17434.8</v>
      </c>
      <c r="L133" s="8">
        <f>IFERROR(K133/K444, "NA")</f>
        <v>2.3389950990279636E-2</v>
      </c>
      <c r="M133" s="9"/>
      <c r="N133" s="10">
        <f t="shared" si="29"/>
        <v>183.77999999999884</v>
      </c>
      <c r="O133" s="8">
        <f>IFERROR(N133/N444, "NA")</f>
        <v>4.1819943502798846E-3</v>
      </c>
      <c r="P133" s="9"/>
      <c r="Q133" s="7">
        <v>37814.67</v>
      </c>
      <c r="R133" s="8">
        <f>IFERROR(Q133/Q444, "NA")</f>
        <v>2.2161717246546548E-2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-37814.67</v>
      </c>
      <c r="X133" s="8">
        <f>IFERROR(W133/W444, "NA")</f>
        <v>0.73735071272008179</v>
      </c>
      <c r="Y133" s="9"/>
      <c r="Z133" s="7">
        <v>38318.869999999995</v>
      </c>
      <c r="AA133" s="8">
        <f>IFERROR(Z133/Z444, "NA")</f>
        <v>2.3096261063145974E-2</v>
      </c>
      <c r="AB133" s="9"/>
      <c r="AC133" s="10">
        <f t="shared" si="31"/>
        <v>504.19999999999709</v>
      </c>
      <c r="AD133" s="8">
        <f>IFERROR(AC133/AC444, "NA")</f>
        <v>1.0679517672144652E-2</v>
      </c>
    </row>
    <row r="134" spans="1:30" ht="16.5" customHeight="1" x14ac:dyDescent="0.45">
      <c r="A134" s="12" t="s">
        <v>126</v>
      </c>
      <c r="B134" s="7">
        <v>8017.7999999999993</v>
      </c>
      <c r="C134" s="8">
        <f>IFERROR(B134/B444, "NA")</f>
        <v>1.0157566948403656E-2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-8017.7999999999993</v>
      </c>
      <c r="I134" s="8">
        <f>IFERROR(H134/H444, "NA")</f>
        <v>0.47934972298299749</v>
      </c>
      <c r="J134" s="9"/>
      <c r="K134" s="7">
        <v>6957.49</v>
      </c>
      <c r="L134" s="8">
        <f>IFERROR(K134/K444, "NA")</f>
        <v>9.3339384515658715E-3</v>
      </c>
      <c r="M134" s="9"/>
      <c r="N134" s="10">
        <f t="shared" si="29"/>
        <v>-1060.3099999999995</v>
      </c>
      <c r="O134" s="8">
        <f>IFERROR(N134/N444, "NA")</f>
        <v>-2.4127818204077105E-2</v>
      </c>
      <c r="P134" s="9"/>
      <c r="Q134" s="7">
        <v>18449.580000000002</v>
      </c>
      <c r="R134" s="8">
        <f>IFERROR(Q134/Q444, "NA")</f>
        <v>1.0812586101572229E-2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-18449.580000000002</v>
      </c>
      <c r="X134" s="8">
        <f>IFERROR(W134/W444, "NA")</f>
        <v>0.35974956180726075</v>
      </c>
      <c r="Y134" s="9"/>
      <c r="Z134" s="7">
        <v>14496.94</v>
      </c>
      <c r="AA134" s="8">
        <f>IFERROR(Z134/Z444, "NA")</f>
        <v>8.7378649437408629E-3</v>
      </c>
      <c r="AB134" s="9"/>
      <c r="AC134" s="10">
        <f t="shared" si="31"/>
        <v>-3952.6400000000012</v>
      </c>
      <c r="AD134" s="8">
        <f>IFERROR(AC134/AC444, "NA")</f>
        <v>-8.3721318388786381E-2</v>
      </c>
    </row>
    <row r="135" spans="1:30" ht="16.5" customHeight="1" x14ac:dyDescent="0.45">
      <c r="A135" s="12" t="s">
        <v>127</v>
      </c>
      <c r="B135" s="7">
        <v>6102.41</v>
      </c>
      <c r="C135" s="8">
        <f>IFERROR(B135/B444, "NA")</f>
        <v>7.7310032828965492E-3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-6102.41</v>
      </c>
      <c r="I135" s="8">
        <f>IFERROR(H135/H444, "NA")</f>
        <v>0.36483680598526702</v>
      </c>
      <c r="J135" s="9"/>
      <c r="K135" s="7">
        <v>6110.16</v>
      </c>
      <c r="L135" s="8">
        <f>IFERROR(K135/K444, "NA")</f>
        <v>8.197188550643943E-3</v>
      </c>
      <c r="M135" s="9"/>
      <c r="N135" s="10">
        <f t="shared" si="29"/>
        <v>7.75</v>
      </c>
      <c r="O135" s="8">
        <f>IFERROR(N135/N444, "NA")</f>
        <v>1.763546425871657E-4</v>
      </c>
      <c r="P135" s="9"/>
      <c r="Q135" s="7">
        <v>13860.56</v>
      </c>
      <c r="R135" s="8">
        <f>IFERROR(Q135/Q444, "NA")</f>
        <v>8.1231387606659853E-3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-13860.56</v>
      </c>
      <c r="X135" s="8">
        <f>IFERROR(W135/W444, "NA")</f>
        <v>0.27026796200256298</v>
      </c>
      <c r="Y135" s="9"/>
      <c r="Z135" s="7">
        <v>14358.349999999999</v>
      </c>
      <c r="AA135" s="8">
        <f>IFERROR(Z135/Z444, "NA")</f>
        <v>8.6543314047627714E-3</v>
      </c>
      <c r="AB135" s="9"/>
      <c r="AC135" s="10">
        <f t="shared" si="31"/>
        <v>497.78999999999905</v>
      </c>
      <c r="AD135" s="8">
        <f>IFERROR(AC135/AC444, "NA")</f>
        <v>1.0543746731489303E-2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6986.4</v>
      </c>
      <c r="L136" s="8">
        <f>IFERROR(K136/K444, "NA")</f>
        <v>9.372723151311723E-3</v>
      </c>
      <c r="M136" s="9"/>
      <c r="N136" s="10">
        <f t="shared" si="29"/>
        <v>6986.4</v>
      </c>
      <c r="O136" s="8">
        <f>IFERROR(N136/N444, "NA")</f>
        <v>0.15897859031883541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13904.960000000001</v>
      </c>
      <c r="AA136" s="8">
        <f>IFERROR(Z136/Z444, "NA")</f>
        <v>8.3810557626726023E-3</v>
      </c>
      <c r="AB136" s="9"/>
      <c r="AC136" s="10">
        <f t="shared" si="31"/>
        <v>13904.960000000001</v>
      </c>
      <c r="AD136" s="8">
        <f>IFERROR(AC136/AC444, "NA")</f>
        <v>0.29452254274189876</v>
      </c>
    </row>
    <row r="137" spans="1:30" ht="16.5" customHeight="1" x14ac:dyDescent="0.45">
      <c r="A137" s="12" t="s">
        <v>129</v>
      </c>
      <c r="B137" s="7">
        <v>3565.34</v>
      </c>
      <c r="C137" s="8">
        <f>IFERROR(B137/B444, "NA")</f>
        <v>4.5168474823295036E-3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-3565.34</v>
      </c>
      <c r="I137" s="8">
        <f>IFERROR(H137/H444, "NA")</f>
        <v>0.21315631985584582</v>
      </c>
      <c r="J137" s="9"/>
      <c r="K137" s="7">
        <v>3634.1199999999994</v>
      </c>
      <c r="L137" s="8">
        <f>IFERROR(K137/K444, "NA")</f>
        <v>4.8754151864543911E-3</v>
      </c>
      <c r="M137" s="9"/>
      <c r="N137" s="10">
        <f t="shared" si="29"/>
        <v>68.779999999999291</v>
      </c>
      <c r="O137" s="8">
        <f>IFERROR(N137/N444, "NA")</f>
        <v>1.565119008663888E-3</v>
      </c>
      <c r="P137" s="9"/>
      <c r="Q137" s="7">
        <v>8266.5300000000007</v>
      </c>
      <c r="R137" s="8">
        <f>IFERROR(Q137/Q444, "NA")</f>
        <v>4.8446938838840716E-3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-8266.5300000000007</v>
      </c>
      <c r="X137" s="8">
        <f>IFERROR(W137/W444, "NA")</f>
        <v>0.16118960676430441</v>
      </c>
      <c r="Y137" s="9"/>
      <c r="Z137" s="7">
        <v>8430</v>
      </c>
      <c r="AA137" s="8">
        <f>IFERROR(Z137/Z444, "NA")</f>
        <v>5.0810861792720038E-3</v>
      </c>
      <c r="AB137" s="9"/>
      <c r="AC137" s="10">
        <f t="shared" si="31"/>
        <v>163.46999999999935</v>
      </c>
      <c r="AD137" s="8">
        <f>IFERROR(AC137/AC444, "NA")</f>
        <v>3.4624767034222318E-3</v>
      </c>
    </row>
    <row r="138" spans="1:30" ht="16.5" customHeight="1" x14ac:dyDescent="0.45">
      <c r="A138" s="12" t="s">
        <v>130</v>
      </c>
      <c r="B138" s="7">
        <v>49449.03</v>
      </c>
      <c r="C138" s="8">
        <f>IFERROR(B138/B444, "NA")</f>
        <v>6.264584209616364E-2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-49449.03</v>
      </c>
      <c r="I138" s="8">
        <f>IFERROR(H138/H444, "NA")</f>
        <v>2.9563444875499432</v>
      </c>
      <c r="J138" s="9"/>
      <c r="K138" s="7">
        <v>43042.19</v>
      </c>
      <c r="L138" s="8">
        <f>IFERROR(K138/K444, "NA")</f>
        <v>5.7743978400343239E-2</v>
      </c>
      <c r="M138" s="9"/>
      <c r="N138" s="10">
        <f t="shared" si="29"/>
        <v>-6406.8399999999965</v>
      </c>
      <c r="O138" s="8">
        <f>IFERROR(N138/N444, "NA")</f>
        <v>-0.14579044881460076</v>
      </c>
      <c r="P138" s="9"/>
      <c r="Q138" s="7">
        <v>115455.88999999998</v>
      </c>
      <c r="R138" s="8">
        <f>IFERROR(Q138/Q444, "NA")</f>
        <v>6.7664236885536244E-2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-115455.88999999998</v>
      </c>
      <c r="X138" s="8">
        <f>IFERROR(W138/W444, "NA")</f>
        <v>2.2512819172884853</v>
      </c>
      <c r="Y138" s="9"/>
      <c r="Z138" s="7">
        <v>90935.22</v>
      </c>
      <c r="AA138" s="8">
        <f>IFERROR(Z138/Z444, "NA")</f>
        <v>5.4810164834052086E-2</v>
      </c>
      <c r="AB138" s="9"/>
      <c r="AC138" s="10">
        <f t="shared" si="31"/>
        <v>-24520.669999999984</v>
      </c>
      <c r="AD138" s="8">
        <f>IFERROR(AC138/AC444, "NA")</f>
        <v>-0.51937510630271422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19.8</v>
      </c>
      <c r="L140" s="8">
        <f>IFERROR(K140/K444, "NA")</f>
        <v>2.6563025076716497E-5</v>
      </c>
      <c r="M140" s="9"/>
      <c r="N140" s="10">
        <f t="shared" si="29"/>
        <v>19.8</v>
      </c>
      <c r="O140" s="8">
        <f>IFERROR(N140/N444, "NA")</f>
        <v>4.505576675130169E-4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41.86</v>
      </c>
      <c r="AA140" s="8">
        <f>IFERROR(Z140/Z444, "NA")</f>
        <v>2.5230636709884466E-5</v>
      </c>
      <c r="AB140" s="9"/>
      <c r="AC140" s="10">
        <f t="shared" si="31"/>
        <v>41.86</v>
      </c>
      <c r="AD140" s="8">
        <f>IFERROR(AC140/AC444, "NA")</f>
        <v>8.8664143148746064E-4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174089.60000000001</v>
      </c>
      <c r="C141" s="15">
        <f>IFERROR(B141/B444, "NA")</f>
        <v>0.22055012185647099</v>
      </c>
      <c r="D141" s="2"/>
      <c r="E141" s="14">
        <f>IFERROR(E129+E130+E131+E132+E133+E134+E135+E136+E137+E138+E139+E140, "NA")</f>
        <v>169619.25</v>
      </c>
      <c r="F141" s="15">
        <f>IFERROR(E141/E444, "NA")</f>
        <v>0.21042771054159659</v>
      </c>
      <c r="G141" s="2"/>
      <c r="H141" s="14">
        <f t="shared" si="28"/>
        <v>-4470.3500000000058</v>
      </c>
      <c r="I141" s="15">
        <f>IFERROR(H141/H444, "NA")</f>
        <v>0.2672629691607481</v>
      </c>
      <c r="J141" s="2"/>
      <c r="K141" s="14">
        <f>IFERROR(K129+K130+K131+K132+K133+K134+K135+K136+K137+K138+K139+K140, "NA")</f>
        <v>175288.32000000001</v>
      </c>
      <c r="L141" s="15">
        <f>IFERROR(K141/K444, "NA")</f>
        <v>0.23516101211189425</v>
      </c>
      <c r="M141" s="2"/>
      <c r="N141" s="14">
        <f t="shared" si="29"/>
        <v>1198.7200000000012</v>
      </c>
      <c r="O141" s="15">
        <f>IFERROR(N141/N444, "NA")</f>
        <v>2.7277398343495157E-2</v>
      </c>
      <c r="P141" s="2"/>
      <c r="Q141" s="14">
        <f>IFERROR(Q129+Q130+Q131+Q132+Q133+Q134+Q135+Q136+Q137+Q138+Q139+Q140, "NA")</f>
        <v>382995.36</v>
      </c>
      <c r="R141" s="15">
        <f>IFERROR(Q141/Q444, "NA")</f>
        <v>0.22445878478006828</v>
      </c>
      <c r="S141" s="2"/>
      <c r="T141" s="14">
        <f>IFERROR(T129+T130+T131+T132+T133+T134+T135+T136+T137+T138+T139+T140, "NA")</f>
        <v>374489.33</v>
      </c>
      <c r="U141" s="15">
        <f>IFERROR(T141/T444, "NA")</f>
        <v>0.21306973297977505</v>
      </c>
      <c r="V141" s="2"/>
      <c r="W141" s="14">
        <f t="shared" si="30"/>
        <v>-8506.0299999999697</v>
      </c>
      <c r="X141" s="15">
        <f>IFERROR(W141/W444, "NA")</f>
        <v>0.16585963285990266</v>
      </c>
      <c r="Y141" s="2"/>
      <c r="Z141" s="14">
        <f>IFERROR(Z129+Z130+Z131+Z132+Z133+Z134+Z135+Z136+Z137+Z138+Z139+Z140, "NA")</f>
        <v>387236.69999999995</v>
      </c>
      <c r="AA141" s="15">
        <f>IFERROR(Z141/Z444, "NA")</f>
        <v>0.2334024963792288</v>
      </c>
      <c r="AB141" s="2"/>
      <c r="AC141" s="14">
        <f t="shared" si="31"/>
        <v>4241.3399999999674</v>
      </c>
      <c r="AD141" s="15">
        <f>IFERROR(AC141/AC444, "NA")</f>
        <v>8.9836305996774904E-2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8623.91</v>
      </c>
      <c r="F143" s="8">
        <f>IFERROR(E143/E444, "NA")</f>
        <v>1.0698724568212511E-2</v>
      </c>
      <c r="G143" s="9"/>
      <c r="H143" s="10">
        <f t="shared" ref="H143:H149" si="32">IFERROR(-(B143-E143), "NA")</f>
        <v>8623.91</v>
      </c>
      <c r="I143" s="8">
        <f>IFERROR(H143/H444, "NA")</f>
        <v>-0.51558642888701423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18791.899999999998</v>
      </c>
      <c r="U143" s="8">
        <f>IFERROR(T143/T444, "NA")</f>
        <v>1.069185366424895E-2</v>
      </c>
      <c r="V143" s="9"/>
      <c r="W143" s="10">
        <f t="shared" ref="W143:W149" si="34">IFERROR(-(Q143-T143), "NA")</f>
        <v>18791.899999999998</v>
      </c>
      <c r="X143" s="8">
        <f>IFERROR(W143/W444, "NA")</f>
        <v>-0.36642448177822268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8853.17</v>
      </c>
      <c r="C144" s="8">
        <f>IFERROR(B144/B444, "NA")</f>
        <v>1.1215878043927112E-2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-8853.17</v>
      </c>
      <c r="I144" s="8">
        <f>IFERROR(H144/H444, "NA")</f>
        <v>0.52929289668255441</v>
      </c>
      <c r="J144" s="9"/>
      <c r="K144" s="7">
        <v>8316.24</v>
      </c>
      <c r="L144" s="8">
        <f>IFERROR(K144/K444, "NA")</f>
        <v>1.1156792508282465E-2</v>
      </c>
      <c r="M144" s="9"/>
      <c r="N144" s="10">
        <f t="shared" si="33"/>
        <v>-536.93000000000029</v>
      </c>
      <c r="O144" s="8">
        <f>IFERROR(N144/N444, "NA")</f>
        <v>-1.2218077192816378E-2</v>
      </c>
      <c r="P144" s="9"/>
      <c r="Q144" s="7">
        <v>19502.579999999998</v>
      </c>
      <c r="R144" s="8">
        <f>IFERROR(Q144/Q444, "NA")</f>
        <v>1.1429708722518372E-2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-19502.579999999998</v>
      </c>
      <c r="X144" s="8">
        <f>IFERROR(W144/W444, "NA")</f>
        <v>0.38028207737580183</v>
      </c>
      <c r="Y144" s="9"/>
      <c r="Z144" s="7">
        <v>19203.97</v>
      </c>
      <c r="AA144" s="8">
        <f>IFERROR(Z144/Z444, "NA")</f>
        <v>1.1574973493968467E-2</v>
      </c>
      <c r="AB144" s="9"/>
      <c r="AC144" s="10">
        <f t="shared" si="35"/>
        <v>-298.60999999999694</v>
      </c>
      <c r="AD144" s="8">
        <f>IFERROR(AC144/AC444, "NA")</f>
        <v>-6.3248924475983737E-3</v>
      </c>
    </row>
    <row r="145" spans="1:30" ht="16.5" customHeight="1" x14ac:dyDescent="0.45">
      <c r="A145" s="12" t="s">
        <v>136</v>
      </c>
      <c r="B145" s="7">
        <v>311.59000000000003</v>
      </c>
      <c r="C145" s="8">
        <f>IFERROR(B145/B444, "NA")</f>
        <v>3.9474622533027708E-4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-311.59000000000003</v>
      </c>
      <c r="I145" s="8">
        <f>IFERROR(H145/H444, "NA")</f>
        <v>1.8628623835001152E-2</v>
      </c>
      <c r="J145" s="9"/>
      <c r="K145" s="7">
        <v>1858.3600000000001</v>
      </c>
      <c r="L145" s="8">
        <f>IFERROR(K145/K444, "NA")</f>
        <v>2.4931143071498423E-3</v>
      </c>
      <c r="M145" s="9"/>
      <c r="N145" s="10">
        <f t="shared" si="33"/>
        <v>1546.77</v>
      </c>
      <c r="O145" s="8">
        <f>IFERROR(N145/N444, "NA")</f>
        <v>3.5197428453490359E-2</v>
      </c>
      <c r="P145" s="9"/>
      <c r="Q145" s="7">
        <v>583.57000000000005</v>
      </c>
      <c r="R145" s="8">
        <f>IFERROR(Q145/Q444, "NA")</f>
        <v>3.4200783276879508E-4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-583.57000000000005</v>
      </c>
      <c r="X145" s="8">
        <f>IFERROR(W145/W444, "NA")</f>
        <v>1.1379069430516205E-2</v>
      </c>
      <c r="Y145" s="9"/>
      <c r="Z145" s="7">
        <v>1236.32</v>
      </c>
      <c r="AA145" s="8">
        <f>IFERROR(Z145/Z444, "NA")</f>
        <v>7.4517775387396951E-4</v>
      </c>
      <c r="AB145" s="9"/>
      <c r="AC145" s="10">
        <f t="shared" si="35"/>
        <v>652.74999999999989</v>
      </c>
      <c r="AD145" s="8">
        <f>IFERROR(AC145/AC444, "NA")</f>
        <v>1.3825972154883896E-2</v>
      </c>
    </row>
    <row r="146" spans="1:30" ht="16.5" customHeight="1" x14ac:dyDescent="0.45">
      <c r="A146" s="12" t="s">
        <v>137</v>
      </c>
      <c r="B146" s="7">
        <v>136.30000000000001</v>
      </c>
      <c r="C146" s="8">
        <f>IFERROR(B146/B444, "NA")</f>
        <v>1.7267534424248777E-4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-136.30000000000001</v>
      </c>
      <c r="I146" s="8">
        <f>IFERROR(H146/H444, "NA")</f>
        <v>8.1487898479112187E-3</v>
      </c>
      <c r="J146" s="9"/>
      <c r="K146" s="7">
        <v>-542.77000000000021</v>
      </c>
      <c r="L146" s="8">
        <f>IFERROR(K146/K444, "NA")</f>
        <v>-7.2816227883279894E-4</v>
      </c>
      <c r="M146" s="9"/>
      <c r="N146" s="10">
        <f t="shared" si="33"/>
        <v>-679.07000000000016</v>
      </c>
      <c r="O146" s="8">
        <f>IFERROR(N146/N444, "NA")</f>
        <v>-1.545253511505376E-2</v>
      </c>
      <c r="P146" s="9"/>
      <c r="Q146" s="7">
        <v>298.25</v>
      </c>
      <c r="R146" s="8">
        <f>IFERROR(Q146/Q444, "NA")</f>
        <v>1.7479280313123209E-4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-298.25</v>
      </c>
      <c r="X146" s="8">
        <f>IFERROR(W146/W444, "NA")</f>
        <v>5.8155961712415948E-3</v>
      </c>
      <c r="Y146" s="9"/>
      <c r="Z146" s="7">
        <v>564.88</v>
      </c>
      <c r="AA146" s="8">
        <f>IFERROR(Z146/Z444, "NA")</f>
        <v>3.4047496571140798E-4</v>
      </c>
      <c r="AB146" s="9"/>
      <c r="AC146" s="10">
        <f t="shared" si="35"/>
        <v>266.63</v>
      </c>
      <c r="AD146" s="8">
        <f>IFERROR(AC146/AC444, "NA")</f>
        <v>5.6475204223005648E-3</v>
      </c>
    </row>
    <row r="147" spans="1:30" ht="16.5" customHeight="1" x14ac:dyDescent="0.45">
      <c r="A147" s="12" t="s">
        <v>138</v>
      </c>
      <c r="B147" s="7">
        <v>102.28</v>
      </c>
      <c r="C147" s="8">
        <f>IFERROR(B147/B444, "NA")</f>
        <v>1.29576186420555E-4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-102.28</v>
      </c>
      <c r="I147" s="8">
        <f>IFERROR(H147/H444, "NA")</f>
        <v>6.1148805990048384E-3</v>
      </c>
      <c r="J147" s="9"/>
      <c r="K147" s="7">
        <v>425.11</v>
      </c>
      <c r="L147" s="8">
        <f>IFERROR(K147/K444, "NA")</f>
        <v>5.7031351466479551E-4</v>
      </c>
      <c r="M147" s="9"/>
      <c r="N147" s="10">
        <f t="shared" si="33"/>
        <v>322.83000000000004</v>
      </c>
      <c r="O147" s="8">
        <f>IFERROR(N147/N444, "NA")</f>
        <v>7.3461379698599623E-3</v>
      </c>
      <c r="P147" s="9"/>
      <c r="Q147" s="7">
        <v>174.94</v>
      </c>
      <c r="R147" s="8">
        <f>IFERROR(Q147/Q444, "NA")</f>
        <v>1.025255757913755E-4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-174.94</v>
      </c>
      <c r="X147" s="8">
        <f>IFERROR(W147/W444, "NA")</f>
        <v>3.4111664516244915E-3</v>
      </c>
      <c r="Y147" s="9"/>
      <c r="Z147" s="7">
        <v>552.61999999999989</v>
      </c>
      <c r="AA147" s="8">
        <f>IFERROR(Z147/Z444, "NA")</f>
        <v>3.3308539079351056E-4</v>
      </c>
      <c r="AB147" s="9"/>
      <c r="AC147" s="10">
        <f t="shared" si="35"/>
        <v>377.67999999999989</v>
      </c>
      <c r="AD147" s="8">
        <f>IFERROR(AC147/AC444, "NA")</f>
        <v>7.9996831305347363E-3</v>
      </c>
    </row>
    <row r="148" spans="1:30" ht="16.5" customHeight="1" x14ac:dyDescent="0.45">
      <c r="A148" s="13" t="s">
        <v>139</v>
      </c>
      <c r="B148" s="14">
        <f>IFERROR(B143+B144+B145+B146+B147, "NA")</f>
        <v>9403.34</v>
      </c>
      <c r="C148" s="15">
        <f>IFERROR(B148/B444, "NA")</f>
        <v>1.1912875799920432E-2</v>
      </c>
      <c r="D148" s="2"/>
      <c r="E148" s="14">
        <f>IFERROR(E143+E144+E145+E146+E147, "NA")</f>
        <v>8623.91</v>
      </c>
      <c r="F148" s="15">
        <f>IFERROR(E148/E444, "NA")</f>
        <v>1.0698724568212511E-2</v>
      </c>
      <c r="G148" s="2"/>
      <c r="H148" s="14">
        <f t="shared" si="32"/>
        <v>-779.43000000000029</v>
      </c>
      <c r="I148" s="15">
        <f>IFERROR(H148/H444, "NA")</f>
        <v>4.6598762077457397E-2</v>
      </c>
      <c r="J148" s="2"/>
      <c r="K148" s="14">
        <f>IFERROR(K143+K144+K145+K146+K147, "NA")</f>
        <v>10056.94</v>
      </c>
      <c r="L148" s="15">
        <f>IFERROR(K148/K444, "NA")</f>
        <v>1.3492058051264305E-2</v>
      </c>
      <c r="M148" s="2"/>
      <c r="N148" s="14">
        <f t="shared" si="33"/>
        <v>653.60000000000036</v>
      </c>
      <c r="O148" s="15">
        <f>IFERROR(N148/N444, "NA")</f>
        <v>1.4872954115480201E-2</v>
      </c>
      <c r="P148" s="2"/>
      <c r="Q148" s="14">
        <f>IFERROR(Q143+Q144+Q145+Q146+Q147, "NA")</f>
        <v>20559.339999999997</v>
      </c>
      <c r="R148" s="15">
        <f>IFERROR(Q148/Q444, "NA")</f>
        <v>1.2049034934209772E-2</v>
      </c>
      <c r="S148" s="2"/>
      <c r="T148" s="14">
        <f>IFERROR(T143+T144+T145+T146+T147, "NA")</f>
        <v>18791.899999999998</v>
      </c>
      <c r="U148" s="15">
        <f>IFERROR(T148/T444, "NA")</f>
        <v>1.069185366424895E-2</v>
      </c>
      <c r="V148" s="2"/>
      <c r="W148" s="14">
        <f t="shared" si="34"/>
        <v>-1767.4399999999987</v>
      </c>
      <c r="X148" s="15">
        <f>IFERROR(W148/W444, "NA")</f>
        <v>3.4463427650961401E-2</v>
      </c>
      <c r="Y148" s="2"/>
      <c r="Z148" s="14">
        <f>IFERROR(Z143+Z144+Z145+Z146+Z147, "NA")</f>
        <v>21557.79</v>
      </c>
      <c r="AA148" s="15">
        <f>IFERROR(Z148/Z444, "NA")</f>
        <v>1.2993711604347355E-2</v>
      </c>
      <c r="AB148" s="2"/>
      <c r="AC148" s="14">
        <f t="shared" si="35"/>
        <v>998.45000000000437</v>
      </c>
      <c r="AD148" s="15">
        <f>IFERROR(AC148/AC444, "NA")</f>
        <v>2.1148283260120856E-2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183492.94</v>
      </c>
      <c r="C149" s="15">
        <f>IFERROR(B149/B444, "NA")</f>
        <v>0.23246299765639142</v>
      </c>
      <c r="D149" s="2"/>
      <c r="E149" s="14">
        <f>IFERROR(E127+E129+E130+E131+E132+E133+E134+E135+E136+E137+E138+E139+E140+E143+E144+E145+E146+E147, "NA")</f>
        <v>178243.16</v>
      </c>
      <c r="F149" s="15">
        <f>IFERROR(E149/E444, "NA")</f>
        <v>0.22112643510980909</v>
      </c>
      <c r="G149" s="2"/>
      <c r="H149" s="14">
        <f t="shared" si="32"/>
        <v>-5249.7799999999988</v>
      </c>
      <c r="I149" s="15">
        <f>IFERROR(H149/H444, "NA")</f>
        <v>0.31386173123820504</v>
      </c>
      <c r="J149" s="2"/>
      <c r="K149" s="14">
        <f>IFERROR(K127+K129+K130+K131+K132+K133+K134+K135+K136+K137+K138+K139+K140+K143+K144+K145+K146+K147, "NA")</f>
        <v>185345.25999999998</v>
      </c>
      <c r="L149" s="15">
        <f>IFERROR(K149/K444, "NA")</f>
        <v>0.24865307016315852</v>
      </c>
      <c r="M149" s="2"/>
      <c r="N149" s="14">
        <f t="shared" si="33"/>
        <v>1852.3199999999779</v>
      </c>
      <c r="O149" s="15">
        <f>IFERROR(N149/N444, "NA")</f>
        <v>4.2150352458974819E-2</v>
      </c>
      <c r="P149" s="2"/>
      <c r="Q149" s="14">
        <f>IFERROR(Q127+Q129+Q130+Q131+Q132+Q133+Q134+Q135+Q136+Q137+Q138+Q139+Q140+Q143+Q144+Q145+Q146+Q147, "NA")</f>
        <v>403554.7</v>
      </c>
      <c r="R149" s="15">
        <f>IFERROR(Q149/Q444, "NA")</f>
        <v>0.23650781971427806</v>
      </c>
      <c r="S149" s="2"/>
      <c r="T149" s="14">
        <f>IFERROR(T127+T129+T130+T131+T132+T133+T134+T135+T136+T137+T138+T139+T140+T143+T144+T145+T146+T147, "NA")</f>
        <v>393281.23000000004</v>
      </c>
      <c r="U149" s="15">
        <f>IFERROR(T149/T444, "NA")</f>
        <v>0.22376158664402404</v>
      </c>
      <c r="V149" s="2"/>
      <c r="W149" s="14">
        <f t="shared" si="34"/>
        <v>-10273.469999999972</v>
      </c>
      <c r="X149" s="15">
        <f>IFERROR(W149/W444, "NA")</f>
        <v>0.20032306051086413</v>
      </c>
      <c r="Y149" s="2"/>
      <c r="Z149" s="14">
        <f>IFERROR(Z127+Z129+Z130+Z131+Z132+Z133+Z134+Z135+Z136+Z137+Z138+Z139+Z140+Z143+Z144+Z145+Z146+Z147, "NA")</f>
        <v>408794.48999999993</v>
      </c>
      <c r="AA149" s="15">
        <f>IFERROR(Z149/Z444, "NA")</f>
        <v>0.24639620798357614</v>
      </c>
      <c r="AB149" s="2"/>
      <c r="AC149" s="14">
        <f t="shared" si="35"/>
        <v>5239.7899999999208</v>
      </c>
      <c r="AD149" s="15">
        <f>IFERROR(AC149/AC444, "NA")</f>
        <v>0.11098458925689468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33098.04</v>
      </c>
      <c r="F153" s="8">
        <f>IFERROR(E153/E444, "NA")</f>
        <v>4.1061051623646407E-2</v>
      </c>
      <c r="G153" s="9"/>
      <c r="H153" s="10">
        <f t="shared" ref="H153:H158" si="36">IFERROR(-(B153-E153), "NA")</f>
        <v>33098.04</v>
      </c>
      <c r="I153" s="8">
        <f>IFERROR(H153/H444, "NA")</f>
        <v>-1.9787892321185578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72120.62000000001</v>
      </c>
      <c r="U153" s="8">
        <f>IFERROR(T153/T444, "NA")</f>
        <v>4.1033802607235367E-2</v>
      </c>
      <c r="V153" s="9"/>
      <c r="W153" s="10">
        <f t="shared" ref="W153:W158" si="38">IFERROR(-(Q153-T153), "NA")</f>
        <v>72120.62000000001</v>
      </c>
      <c r="X153" s="8">
        <f>IFERROR(W153/W444, "NA")</f>
        <v>-1.4062846656817103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21481.410000000003</v>
      </c>
      <c r="C154" s="8">
        <f>IFERROR(B154/B444, "NA")</f>
        <v>2.7214305697461624E-2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-21481.410000000003</v>
      </c>
      <c r="I154" s="8">
        <f>IFERROR(H154/H444, "NA")</f>
        <v>1.2842809664476784</v>
      </c>
      <c r="J154" s="9"/>
      <c r="K154" s="7">
        <v>24134.93</v>
      </c>
      <c r="L154" s="8">
        <f>IFERROR(K154/K444, "NA")</f>
        <v>3.2378623778525115E-2</v>
      </c>
      <c r="M154" s="9"/>
      <c r="N154" s="10">
        <f t="shared" si="37"/>
        <v>2653.5199999999968</v>
      </c>
      <c r="O154" s="8">
        <f>IFERROR(N154/N444, "NA")</f>
        <v>6.0382009186825208E-2</v>
      </c>
      <c r="P154" s="9"/>
      <c r="Q154" s="7">
        <v>49123.490000000005</v>
      </c>
      <c r="R154" s="8">
        <f>IFERROR(Q154/Q444, "NA")</f>
        <v>2.8789379770960771E-2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-49123.490000000005</v>
      </c>
      <c r="X154" s="8">
        <f>IFERROR(W154/W444, "NA")</f>
        <v>0.95786213030016698</v>
      </c>
      <c r="Y154" s="9"/>
      <c r="Z154" s="7">
        <v>52583.939999999995</v>
      </c>
      <c r="AA154" s="8">
        <f>IFERROR(Z154/Z444, "NA")</f>
        <v>3.1694369013721024E-2</v>
      </c>
      <c r="AB154" s="9"/>
      <c r="AC154" s="10">
        <f t="shared" si="39"/>
        <v>3460.4499999999898</v>
      </c>
      <c r="AD154" s="8">
        <f>IFERROR(AC154/AC444, "NA")</f>
        <v>7.3296185895622895E-2</v>
      </c>
    </row>
    <row r="155" spans="1:30" ht="16.5" customHeight="1" x14ac:dyDescent="0.45">
      <c r="A155" s="12" t="s">
        <v>144</v>
      </c>
      <c r="B155" s="7">
        <v>10458.08</v>
      </c>
      <c r="C155" s="8">
        <f>IFERROR(B155/B444, "NA")</f>
        <v>1.3249101717648397E-2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-10458.08</v>
      </c>
      <c r="I155" s="8">
        <f>IFERROR(H155/H444, "NA")</f>
        <v>0.62524355196363435</v>
      </c>
      <c r="J155" s="9"/>
      <c r="K155" s="7">
        <v>9122.11</v>
      </c>
      <c r="L155" s="8">
        <f>IFERROR(K155/K444, "NA")</f>
        <v>1.2237921044574059E-2</v>
      </c>
      <c r="M155" s="9"/>
      <c r="N155" s="10">
        <f t="shared" si="37"/>
        <v>-1335.9699999999993</v>
      </c>
      <c r="O155" s="8">
        <f>IFERROR(N155/N444, "NA")</f>
        <v>-3.0400582175119435E-2</v>
      </c>
      <c r="P155" s="9"/>
      <c r="Q155" s="7">
        <v>23100.79</v>
      </c>
      <c r="R155" s="8">
        <f>IFERROR(Q155/Q444, "NA")</f>
        <v>1.3538480598980504E-2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-23100.79</v>
      </c>
      <c r="X155" s="8">
        <f>IFERROR(W155/W444, "NA")</f>
        <v>0.45044380847160481</v>
      </c>
      <c r="Y155" s="9"/>
      <c r="Z155" s="7">
        <v>19514.97</v>
      </c>
      <c r="AA155" s="8">
        <f>IFERROR(Z155/Z444, "NA")</f>
        <v>1.1762425190499142E-2</v>
      </c>
      <c r="AB155" s="9"/>
      <c r="AC155" s="10">
        <f t="shared" si="39"/>
        <v>-3585.8199999999997</v>
      </c>
      <c r="AD155" s="8">
        <f>IFERROR(AC155/AC444, "NA")</f>
        <v>-7.5951662156148264E-2</v>
      </c>
    </row>
    <row r="156" spans="1:30" ht="16.5" customHeight="1" x14ac:dyDescent="0.45">
      <c r="A156" s="12" t="s">
        <v>145</v>
      </c>
      <c r="B156" s="7">
        <v>168.72</v>
      </c>
      <c r="C156" s="8">
        <f>IFERROR(B156/B444, "NA")</f>
        <v>2.1374749875709855E-4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-168.72</v>
      </c>
      <c r="I156" s="8">
        <f>IFERROR(H156/H444, "NA")</f>
        <v>1.0087041989285259E-2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-168.72</v>
      </c>
      <c r="O156" s="8">
        <f>IFERROR(N156/N444, "NA")</f>
        <v>-3.83929745771698E-3</v>
      </c>
      <c r="P156" s="9"/>
      <c r="Q156" s="7">
        <v>271.11</v>
      </c>
      <c r="R156" s="8">
        <f>IFERROR(Q156/Q444, "NA")</f>
        <v>1.5888709759231631E-4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-271.11</v>
      </c>
      <c r="X156" s="8">
        <f>IFERROR(W156/W444, "NA")</f>
        <v>5.2863915439574482E-3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-271.11</v>
      </c>
      <c r="AD156" s="8">
        <f>IFERROR(AC156/AC444, "NA")</f>
        <v>-5.7424118129614302E-3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32108.210000000006</v>
      </c>
      <c r="C158" s="15">
        <f>IFERROR(B158/B444, "NA")</f>
        <v>4.0677154913867121E-2</v>
      </c>
      <c r="D158" s="2"/>
      <c r="E158" s="14">
        <f>IFERROR(E153+E154+E155+E156+E157, "NA")</f>
        <v>33098.04</v>
      </c>
      <c r="F158" s="15">
        <f>IFERROR(E158/E444, "NA")</f>
        <v>4.1061051623646407E-2</v>
      </c>
      <c r="G158" s="2"/>
      <c r="H158" s="14">
        <f t="shared" si="36"/>
        <v>989.82999999999447</v>
      </c>
      <c r="I158" s="15">
        <f>IFERROR(H158/H444, "NA")</f>
        <v>-5.9177671717959769E-2</v>
      </c>
      <c r="J158" s="2"/>
      <c r="K158" s="14">
        <f>IFERROR(K153+K154+K155+K156+K157, "NA")</f>
        <v>33257.040000000001</v>
      </c>
      <c r="L158" s="15">
        <f>IFERROR(K158/K444, "NA")</f>
        <v>4.4616544823099173E-2</v>
      </c>
      <c r="M158" s="2"/>
      <c r="N158" s="14">
        <f t="shared" si="37"/>
        <v>1148.8299999999945</v>
      </c>
      <c r="O158" s="15">
        <f>IFERROR(N158/N444, "NA")</f>
        <v>2.614212955398872E-2</v>
      </c>
      <c r="P158" s="2"/>
      <c r="Q158" s="14">
        <f>IFERROR(Q153+Q154+Q155+Q156+Q157, "NA")</f>
        <v>72495.39</v>
      </c>
      <c r="R158" s="15">
        <f>IFERROR(Q158/Q444, "NA")</f>
        <v>4.2486747467533587E-2</v>
      </c>
      <c r="S158" s="2"/>
      <c r="T158" s="14">
        <f>IFERROR(T153+T154+T155+T156+T157, "NA")</f>
        <v>72120.62000000001</v>
      </c>
      <c r="U158" s="15">
        <f>IFERROR(T158/T444, "NA")</f>
        <v>4.1033802607235367E-2</v>
      </c>
      <c r="V158" s="2"/>
      <c r="W158" s="14">
        <f t="shared" si="38"/>
        <v>-374.76999999998952</v>
      </c>
      <c r="X158" s="15">
        <f>IFERROR(W158/W444, "NA")</f>
        <v>7.3076646340189495E-3</v>
      </c>
      <c r="Y158" s="2"/>
      <c r="Z158" s="14">
        <f>IFERROR(Z153+Z154+Z155+Z156+Z157, "NA")</f>
        <v>72098.91</v>
      </c>
      <c r="AA158" s="15">
        <f>IFERROR(Z158/Z444, "NA")</f>
        <v>4.3456794204220175E-2</v>
      </c>
      <c r="AB158" s="2"/>
      <c r="AC158" s="14">
        <f t="shared" si="39"/>
        <v>-396.47999999999593</v>
      </c>
      <c r="AD158" s="15">
        <f>IFERROR(AC158/AC444, "NA")</f>
        <v>-8.3978880734864973E-3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1817.9100000000003</v>
      </c>
      <c r="C161" s="8">
        <f>IFERROR(B161/B444, "NA")</f>
        <v>2.3030684890085178E-3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-1817.9100000000003</v>
      </c>
      <c r="I161" s="8">
        <f>IFERROR(H161/H444, "NA")</f>
        <v>0.10868500772132271</v>
      </c>
      <c r="J161" s="9"/>
      <c r="K161" s="7">
        <v>1824.29</v>
      </c>
      <c r="L161" s="8">
        <f>IFERROR(K161/K444, "NA")</f>
        <v>2.4474071220809664E-3</v>
      </c>
      <c r="M161" s="9"/>
      <c r="N161" s="10">
        <f t="shared" si="41"/>
        <v>6.3799999999996544</v>
      </c>
      <c r="O161" s="8">
        <f>IFERROR(N161/N444, "NA")</f>
        <v>1.4517969286529758E-4</v>
      </c>
      <c r="P161" s="9"/>
      <c r="Q161" s="7">
        <v>4243.12</v>
      </c>
      <c r="R161" s="8">
        <f>IFERROR(Q161/Q444, "NA")</f>
        <v>2.4867287135698023E-3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-4243.12</v>
      </c>
      <c r="X161" s="8">
        <f>IFERROR(W161/W444, "NA")</f>
        <v>8.2736873180615719E-2</v>
      </c>
      <c r="Y161" s="9"/>
      <c r="Z161" s="7">
        <v>4585.8600000000006</v>
      </c>
      <c r="AA161" s="8">
        <f>IFERROR(Z161/Z444, "NA")</f>
        <v>2.7640747172095271E-3</v>
      </c>
      <c r="AB161" s="9"/>
      <c r="AC161" s="10">
        <f t="shared" si="43"/>
        <v>342.74000000000069</v>
      </c>
      <c r="AD161" s="8">
        <f>IFERROR(AC161/AC444, "NA")</f>
        <v>7.2596150078359503E-3</v>
      </c>
    </row>
    <row r="162" spans="1:30" ht="16.5" customHeight="1" x14ac:dyDescent="0.45">
      <c r="A162" s="12" t="s">
        <v>150</v>
      </c>
      <c r="B162" s="7">
        <v>9.61</v>
      </c>
      <c r="C162" s="8">
        <f>IFERROR(B162/B444, "NA")</f>
        <v>1.2174688614602401E-5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-9.61</v>
      </c>
      <c r="I162" s="8">
        <f>IFERROR(H162/H444, "NA")</f>
        <v>5.7454050211611747E-4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-9.61</v>
      </c>
      <c r="O162" s="8">
        <f>IFERROR(N162/N444, "NA")</f>
        <v>-2.1867975680808544E-4</v>
      </c>
      <c r="P162" s="9"/>
      <c r="Q162" s="7">
        <v>13.11</v>
      </c>
      <c r="R162" s="8">
        <f>IFERROR(Q162/Q444, "NA")</f>
        <v>7.6832645399847537E-6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-13.11</v>
      </c>
      <c r="X162" s="8">
        <f>IFERROR(W162/W444, "NA")</f>
        <v>2.5563274368810496E-4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-13.11</v>
      </c>
      <c r="AD162" s="8">
        <f>IFERROR(AC162/AC444, "NA")</f>
        <v>-2.7768440436695197E-4</v>
      </c>
    </row>
    <row r="163" spans="1:30" ht="16.5" customHeight="1" x14ac:dyDescent="0.45">
      <c r="A163" s="12" t="s">
        <v>151</v>
      </c>
      <c r="B163" s="7">
        <v>1.4</v>
      </c>
      <c r="C163" s="8">
        <f>IFERROR(B163/B444, "NA")</f>
        <v>1.7736278939066972E-6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-1.4</v>
      </c>
      <c r="I163" s="8">
        <f>IFERROR(H163/H444, "NA")</f>
        <v>8.3699969090797544E-5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-1.4</v>
      </c>
      <c r="O163" s="8">
        <f>IFERROR(N163/N444, "NA")</f>
        <v>-3.1857612854455738E-5</v>
      </c>
      <c r="P163" s="9"/>
      <c r="Q163" s="7">
        <v>1.4</v>
      </c>
      <c r="R163" s="8">
        <f>IFERROR(Q163/Q444, "NA")</f>
        <v>8.2048591578784553E-7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2.7298691164252247E-5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-2.9653559581520422E-5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1828.9200000000003</v>
      </c>
      <c r="C166" s="15">
        <f>IFERROR(B166/B444, "NA")</f>
        <v>2.3170168055170266E-3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-1828.9200000000003</v>
      </c>
      <c r="I166" s="15">
        <f>IFERROR(H166/H444, "NA")</f>
        <v>0.10934324819252962</v>
      </c>
      <c r="J166" s="2"/>
      <c r="K166" s="14">
        <f>IFERROR(K160+K161+K162+K163+K164+K165, "NA")</f>
        <v>1824.29</v>
      </c>
      <c r="L166" s="15">
        <f>IFERROR(K166/K444, "NA")</f>
        <v>2.4474071220809664E-3</v>
      </c>
      <c r="M166" s="2"/>
      <c r="N166" s="14">
        <f t="shared" si="41"/>
        <v>-4.6300000000003365</v>
      </c>
      <c r="O166" s="15">
        <f>IFERROR(N166/N444, "NA")</f>
        <v>-1.0535767679724343E-4</v>
      </c>
      <c r="P166" s="2"/>
      <c r="Q166" s="14">
        <f>IFERROR(Q160+Q161+Q162+Q163+Q164+Q165, "NA")</f>
        <v>4257.6299999999992</v>
      </c>
      <c r="R166" s="15">
        <f>IFERROR(Q166/Q444, "NA")</f>
        <v>2.4952324640255745E-3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-4257.6299999999992</v>
      </c>
      <c r="X166" s="15">
        <f>IFERROR(W166/W444, "NA")</f>
        <v>8.3019804615468054E-2</v>
      </c>
      <c r="Y166" s="2"/>
      <c r="Z166" s="14">
        <f>IFERROR(Z160+Z161+Z162+Z163+Z164+Z165, "NA")</f>
        <v>4585.8600000000006</v>
      </c>
      <c r="AA166" s="15">
        <f>IFERROR(Z166/Z444, "NA")</f>
        <v>2.7640747172095271E-3</v>
      </c>
      <c r="AB166" s="2"/>
      <c r="AC166" s="14">
        <f t="shared" si="43"/>
        <v>328.23000000000138</v>
      </c>
      <c r="AD166" s="15">
        <f>IFERROR(AC166/AC444, "NA")</f>
        <v>6.9522770438874932E-3</v>
      </c>
    </row>
    <row r="167" spans="1:30" ht="16.5" customHeight="1" x14ac:dyDescent="0.45">
      <c r="A167" s="6" t="s">
        <v>155</v>
      </c>
      <c r="B167" s="7">
        <v>1049.82</v>
      </c>
      <c r="C167" s="8">
        <f>IFERROR(B167/B444, "NA")</f>
        <v>1.3299928825579494E-3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-1049.82</v>
      </c>
      <c r="I167" s="8">
        <f>IFERROR(H167/H444, "NA")</f>
        <v>6.2764215393500772E-2</v>
      </c>
      <c r="J167" s="9"/>
      <c r="K167" s="7">
        <v>987.49</v>
      </c>
      <c r="L167" s="8">
        <f>IFERROR(K167/K444, "NA")</f>
        <v>1.3247839208589279E-3</v>
      </c>
      <c r="M167" s="9"/>
      <c r="N167" s="10">
        <f t="shared" si="41"/>
        <v>-62.329999999999927</v>
      </c>
      <c r="O167" s="8">
        <f>IFERROR(N167/N444, "NA")</f>
        <v>-1.4183464351558742E-3</v>
      </c>
      <c r="P167" s="9"/>
      <c r="Q167" s="7">
        <v>2509.46</v>
      </c>
      <c r="R167" s="8">
        <f>IFERROR(Q167/Q444, "NA")</f>
        <v>1.4706975615949764E-3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-2509.46</v>
      </c>
      <c r="X167" s="8">
        <f>IFERROR(W167/W444, "NA")</f>
        <v>4.8932123949317466E-2</v>
      </c>
      <c r="Y167" s="9"/>
      <c r="Z167" s="7">
        <v>2277.4300000000003</v>
      </c>
      <c r="AA167" s="8">
        <f>IFERROR(Z167/Z444, "NA")</f>
        <v>1.3726949107069324E-3</v>
      </c>
      <c r="AB167" s="9"/>
      <c r="AC167" s="10">
        <f t="shared" si="43"/>
        <v>-232.02999999999975</v>
      </c>
      <c r="AD167" s="8">
        <f>IFERROR(AC167/AC444, "NA")</f>
        <v>-4.9146538783572686E-3</v>
      </c>
    </row>
    <row r="168" spans="1:30" ht="16.5" customHeight="1" x14ac:dyDescent="0.45">
      <c r="A168" s="6" t="s">
        <v>156</v>
      </c>
      <c r="B168" s="7">
        <v>980.97</v>
      </c>
      <c r="C168" s="8">
        <f>IFERROR(B168/B444, "NA")</f>
        <v>1.2427683964897521E-3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-980.97</v>
      </c>
      <c r="I168" s="8">
        <f>IFERROR(H168/H444, "NA")</f>
        <v>5.8647970484999763E-2</v>
      </c>
      <c r="J168" s="9"/>
      <c r="K168" s="7">
        <v>241.2</v>
      </c>
      <c r="L168" s="8">
        <f>IFERROR(K168/K444, "NA")</f>
        <v>3.235859418436373E-4</v>
      </c>
      <c r="M168" s="9"/>
      <c r="N168" s="10">
        <f t="shared" si="41"/>
        <v>-739.77</v>
      </c>
      <c r="O168" s="8">
        <f>IFERROR(N168/N444, "NA")</f>
        <v>-1.6833790186671943E-2</v>
      </c>
      <c r="P168" s="9"/>
      <c r="Q168" s="7">
        <v>1271.76</v>
      </c>
      <c r="R168" s="8">
        <f>IFERROR(Q168/Q444, "NA")</f>
        <v>7.4532940590167889E-4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-1271.76</v>
      </c>
      <c r="X168" s="8">
        <f>IFERROR(W168/W444, "NA")</f>
        <v>2.4798131053606742E-2</v>
      </c>
      <c r="Y168" s="9"/>
      <c r="Z168" s="7">
        <v>632.79999999999995</v>
      </c>
      <c r="AA168" s="8">
        <f>IFERROR(Z168/Z444, "NA")</f>
        <v>3.8141296966112974E-4</v>
      </c>
      <c r="AB168" s="9"/>
      <c r="AC168" s="10">
        <f t="shared" si="43"/>
        <v>-638.96</v>
      </c>
      <c r="AD168" s="8">
        <f>IFERROR(AC168/AC444, "NA")</f>
        <v>-1.3533884593005923E-2</v>
      </c>
    </row>
    <row r="169" spans="1:30" ht="16.5" customHeight="1" x14ac:dyDescent="0.45">
      <c r="A169" s="6" t="s">
        <v>157</v>
      </c>
      <c r="B169" s="7">
        <v>-6369.38</v>
      </c>
      <c r="C169" s="8">
        <f>IFERROR(B169/B444, "NA")</f>
        <v>-8.0692214534938862E-3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6369.38</v>
      </c>
      <c r="I169" s="8">
        <f>IFERROR(H169/H444, "NA")</f>
        <v>-0.38079779223396004</v>
      </c>
      <c r="J169" s="9"/>
      <c r="K169" s="7">
        <v>-17044.59</v>
      </c>
      <c r="L169" s="8">
        <f>IFERROR(K169/K444, "NA")</f>
        <v>-2.2866458161229862E-2</v>
      </c>
      <c r="M169" s="9"/>
      <c r="N169" s="10">
        <f t="shared" si="41"/>
        <v>-10675.21</v>
      </c>
      <c r="O169" s="8">
        <f>IFERROR(N169/N444, "NA")</f>
        <v>-0.24291907665715315</v>
      </c>
      <c r="P169" s="9"/>
      <c r="Q169" s="7">
        <v>-15802.880000000001</v>
      </c>
      <c r="R169" s="8">
        <f>IFERROR(Q169/Q444, "NA")</f>
        <v>-9.2614574777753079E-3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15802.880000000001</v>
      </c>
      <c r="X169" s="8">
        <f>IFERROR(W169/W444, "NA")</f>
        <v>-0.30814138616124187</v>
      </c>
      <c r="Y169" s="9"/>
      <c r="Z169" s="7">
        <v>-40184.239999999998</v>
      </c>
      <c r="AA169" s="8">
        <f>IFERROR(Z169/Z444, "NA")</f>
        <v>-2.4220591517028375E-2</v>
      </c>
      <c r="AB169" s="9"/>
      <c r="AC169" s="10">
        <f t="shared" si="43"/>
        <v>-24381.359999999997</v>
      </c>
      <c r="AD169" s="8">
        <f>IFERROR(AC169/AC444, "NA")</f>
        <v>-0.51642436531321334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29598.540000000012</v>
      </c>
      <c r="C170" s="15">
        <f>IFERROR(B170/B444, "NA")</f>
        <v>3.7497711544937973E-2</v>
      </c>
      <c r="D170" s="2"/>
      <c r="E170" s="14">
        <f>IFERROR(E151+E153+E154+E155+E156+E157+E160+E161+E162+E163+E164+E165+E167+E168+E169, "NA")</f>
        <v>33098.04</v>
      </c>
      <c r="F170" s="15">
        <f>IFERROR(E170/E444, "NA")</f>
        <v>4.1061051623646407E-2</v>
      </c>
      <c r="G170" s="2"/>
      <c r="H170" s="14">
        <f t="shared" si="40"/>
        <v>3499.4999999999891</v>
      </c>
      <c r="I170" s="15">
        <f>IFERROR(H170/H444, "NA")</f>
        <v>-0.20922002988088936</v>
      </c>
      <c r="J170" s="2"/>
      <c r="K170" s="14">
        <f>IFERROR(K151+K153+K154+K155+K156+K157+K160+K161+K162+K163+K164+K165+K167+K168+K169, "NA")</f>
        <v>19265.429999999997</v>
      </c>
      <c r="L170" s="15">
        <f>IFERROR(K170/K444, "NA")</f>
        <v>2.5845863646652839E-2</v>
      </c>
      <c r="M170" s="2"/>
      <c r="N170" s="14">
        <f t="shared" si="41"/>
        <v>-10333.110000000015</v>
      </c>
      <c r="O170" s="15">
        <f>IFERROR(N170/N444, "NA")</f>
        <v>-0.23513444140178971</v>
      </c>
      <c r="P170" s="2"/>
      <c r="Q170" s="14">
        <f>IFERROR(Q151+Q153+Q154+Q155+Q156+Q157+Q160+Q161+Q162+Q163+Q164+Q165+Q167+Q168+Q169, "NA")</f>
        <v>64731.359999999986</v>
      </c>
      <c r="R170" s="15">
        <f>IFERROR(Q170/Q444, "NA")</f>
        <v>3.7936549421280504E-2</v>
      </c>
      <c r="S170" s="2"/>
      <c r="T170" s="14">
        <f>IFERROR(T151+T153+T154+T155+T156+T157+T160+T161+T162+T163+T164+T165+T167+T168+T169, "NA")</f>
        <v>72120.62000000001</v>
      </c>
      <c r="U170" s="15">
        <f>IFERROR(T170/T444, "NA")</f>
        <v>4.1033802607235367E-2</v>
      </c>
      <c r="V170" s="2"/>
      <c r="W170" s="14">
        <f t="shared" si="42"/>
        <v>7389.2600000000239</v>
      </c>
      <c r="X170" s="15">
        <f>IFERROR(W170/W444, "NA")</f>
        <v>-0.14408366190883087</v>
      </c>
      <c r="Y170" s="2"/>
      <c r="Z170" s="14">
        <f>IFERROR(Z151+Z153+Z154+Z155+Z156+Z157+Z160+Z161+Z162+Z163+Z164+Z165+Z167+Z168+Z169, "NA")</f>
        <v>39410.760000000017</v>
      </c>
      <c r="AA170" s="15">
        <f>IFERROR(Z170/Z444, "NA")</f>
        <v>2.3754385284769395E-2</v>
      </c>
      <c r="AB170" s="2"/>
      <c r="AC170" s="14">
        <f t="shared" si="43"/>
        <v>-25320.599999999969</v>
      </c>
      <c r="AD170" s="15">
        <f>IFERROR(AC170/AC444, "NA")</f>
        <v>-0.53631851481417514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213091.47999999998</v>
      </c>
      <c r="C171" s="15">
        <f>IFERROR(B171/B444, "NA")</f>
        <v>0.26996070920132936</v>
      </c>
      <c r="D171" s="2"/>
      <c r="E171" s="14">
        <f>IFERROR(E127+E129+E130+E131+E132+E133+E134+E135+E136+E137+E138+E139+E140+E143+E144+E145+E146+E147+E151+E153+E154+E155+E156+E157+E160+E161+E162+E163+E164+E165+E167+E168+E169, "NA")</f>
        <v>211341.2</v>
      </c>
      <c r="F171" s="15">
        <f>IFERROR(E171/E444, "NA")</f>
        <v>0.26218748673345549</v>
      </c>
      <c r="G171" s="2"/>
      <c r="H171" s="14">
        <f t="shared" si="40"/>
        <v>-1750.2799999999697</v>
      </c>
      <c r="I171" s="15">
        <f>IFERROR(H171/H444, "NA")</f>
        <v>0.10464170135731328</v>
      </c>
      <c r="J171" s="2"/>
      <c r="K171" s="14">
        <f>IFERROR(K127+K129+K130+K131+K132+K133+K134+K135+K136+K137+K138+K139+K140+K143+K144+K145+K146+K147+K151+K153+K154+K155+K156+K157+K160+K161+K162+K163+K164+K165+K167+K168+K169, "NA")</f>
        <v>204610.69</v>
      </c>
      <c r="L171" s="15">
        <f>IFERROR(K171/K444, "NA")</f>
        <v>0.27449893380981139</v>
      </c>
      <c r="M171" s="2"/>
      <c r="N171" s="14">
        <f t="shared" si="41"/>
        <v>-8480.789999999979</v>
      </c>
      <c r="O171" s="15">
        <f>IFERROR(N171/N444, "NA")</f>
        <v>-0.19298408894281358</v>
      </c>
      <c r="P171" s="2"/>
      <c r="Q171" s="14">
        <f>IFERROR(Q127+Q129+Q130+Q131+Q132+Q133+Q134+Q135+Q136+Q137+Q138+Q139+Q140+Q143+Q144+Q145+Q146+Q147+Q151+Q153+Q154+Q155+Q156+Q157+Q160+Q161+Q162+Q163+Q164+Q165+Q167+Q168+Q169, "NA")</f>
        <v>468286.06</v>
      </c>
      <c r="R171" s="15">
        <f>IFERROR(Q171/Q444, "NA")</f>
        <v>0.27444436913555859</v>
      </c>
      <c r="S171" s="2"/>
      <c r="T171" s="14">
        <f>IFERROR(T127+T129+T130+T131+T132+T133+T134+T135+T136+T137+T138+T139+T140+T143+T144+T145+T146+T147+T151+T153+T154+T155+T156+T157+T160+T161+T162+T163+T164+T165+T167+T168+T169, "NA")</f>
        <v>465401.85000000003</v>
      </c>
      <c r="U171" s="15">
        <f>IFERROR(T171/T444, "NA")</f>
        <v>0.26479538925125939</v>
      </c>
      <c r="V171" s="2"/>
      <c r="W171" s="14">
        <f t="shared" si="42"/>
        <v>-2884.2099999999627</v>
      </c>
      <c r="X171" s="15">
        <f>IFERROR(W171/W444, "NA")</f>
        <v>5.6239398602033544E-2</v>
      </c>
      <c r="Y171" s="2"/>
      <c r="Z171" s="14">
        <f>IFERROR(Z127+Z129+Z130+Z131+Z132+Z133+Z134+Z135+Z136+Z137+Z138+Z139+Z140+Z143+Z144+Z145+Z146+Z147+Z151+Z153+Z154+Z155+Z156+Z157+Z160+Z161+Z162+Z163+Z164+Z165+Z167+Z168+Z169, "NA")</f>
        <v>448205.24999999988</v>
      </c>
      <c r="AA171" s="15">
        <f>IFERROR(Z171/Z444, "NA")</f>
        <v>0.27015059326834551</v>
      </c>
      <c r="AB171" s="2"/>
      <c r="AC171" s="14">
        <f t="shared" si="43"/>
        <v>-20080.810000000114</v>
      </c>
      <c r="AD171" s="15">
        <f>IFERROR(AC171/AC444, "NA")</f>
        <v>-0.42533392555728183</v>
      </c>
    </row>
    <row r="172" spans="1:30" ht="16.5" customHeight="1" x14ac:dyDescent="0.45">
      <c r="A172" s="22" t="s">
        <v>160</v>
      </c>
      <c r="B172" s="23">
        <f>IFERROR(B124-B171, "NA")</f>
        <v>576251.09</v>
      </c>
      <c r="C172" s="24">
        <f>IFERROR(B172/B444, "NA")</f>
        <v>0.73003929079867047</v>
      </c>
      <c r="D172" s="25"/>
      <c r="E172" s="23">
        <f>IFERROR(E124-E171, "NA")</f>
        <v>594727.78</v>
      </c>
      <c r="F172" s="24">
        <f>IFERROR(E172/E444, "NA")</f>
        <v>0.73781251326654451</v>
      </c>
      <c r="G172" s="25"/>
      <c r="H172" s="23">
        <f>IFERROR(B172-E172, "NA")</f>
        <v>-18476.690000000061</v>
      </c>
      <c r="I172" s="24">
        <f>IFERROR(H172/H444, "NA")</f>
        <v>1.1046417013573238</v>
      </c>
      <c r="J172" s="25"/>
      <c r="K172" s="23">
        <f>IFERROR(K124-K171, "NA")</f>
        <v>540786.34000000008</v>
      </c>
      <c r="L172" s="24">
        <f>IFERROR(K172/K444, "NA")</f>
        <v>0.72550106619018873</v>
      </c>
      <c r="M172" s="25"/>
      <c r="N172" s="23">
        <f>IFERROR(B172-K172, "NA")</f>
        <v>35464.749999999884</v>
      </c>
      <c r="O172" s="24">
        <f>IFERROR(N172/N444, "NA")</f>
        <v>0.8070159110571824</v>
      </c>
      <c r="P172" s="25"/>
      <c r="Q172" s="23">
        <f>IFERROR(Q124-Q171, "NA")</f>
        <v>1238019.8899999999</v>
      </c>
      <c r="R172" s="24">
        <f>IFERROR(Q172/Q444, "NA")</f>
        <v>0.7255556308644413</v>
      </c>
      <c r="S172" s="25"/>
      <c r="T172" s="23">
        <f>IFERROR(T124-T171, "NA")</f>
        <v>1292188.6100000001</v>
      </c>
      <c r="U172" s="24">
        <f>IFERROR(T172/T444, "NA")</f>
        <v>0.73520461074874066</v>
      </c>
      <c r="V172" s="25"/>
      <c r="W172" s="23">
        <f>IFERROR(Q172-T172, "NA")</f>
        <v>-54168.720000000205</v>
      </c>
      <c r="X172" s="24">
        <f>IFERROR(W172/W444, "NA")</f>
        <v>1.0562393986020426</v>
      </c>
      <c r="Y172" s="25"/>
      <c r="Z172" s="23">
        <f>IFERROR(Z124-Z171, "NA")</f>
        <v>1210888.83</v>
      </c>
      <c r="AA172" s="24">
        <f>IFERROR(Z172/Z444, "NA")</f>
        <v>0.72984940673165444</v>
      </c>
      <c r="AB172" s="25"/>
      <c r="AC172" s="23">
        <f>IFERROR(Q172-Z172, "NA")</f>
        <v>27131.059999999823</v>
      </c>
      <c r="AD172" s="24">
        <f>IFERROR(AC172/AC444, "NA")</f>
        <v>0.57466607444271445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39363.32</v>
      </c>
      <c r="C178" s="8">
        <f>IFERROR(B178/B444, "NA")</f>
        <v>4.9868487391982415E-2</v>
      </c>
      <c r="D178" s="9"/>
      <c r="E178" s="7">
        <v>39213.5</v>
      </c>
      <c r="F178" s="8">
        <f>IFERROR(E178/E444, "NA")</f>
        <v>4.8647821678983356E-2</v>
      </c>
      <c r="G178" s="9"/>
      <c r="H178" s="10">
        <f t="shared" si="44"/>
        <v>-149.81999999999971</v>
      </c>
      <c r="I178" s="8">
        <f>IFERROR(H178/H444, "NA")</f>
        <v>8.9570924065594752E-3</v>
      </c>
      <c r="J178" s="9"/>
      <c r="K178" s="7">
        <v>39213.5</v>
      </c>
      <c r="L178" s="8">
        <f>IFERROR(K178/K444, "NA")</f>
        <v>5.2607534537667797E-2</v>
      </c>
      <c r="M178" s="9"/>
      <c r="N178" s="10">
        <f t="shared" si="45"/>
        <v>-149.81999999999971</v>
      </c>
      <c r="O178" s="8">
        <f>IFERROR(N178/N444, "NA")</f>
        <v>-3.4092196841818208E-3</v>
      </c>
      <c r="P178" s="9"/>
      <c r="Q178" s="7">
        <v>103027.95999999999</v>
      </c>
      <c r="R178" s="8">
        <f>IFERROR(Q178/Q444, "NA")</f>
        <v>6.0380707223109654E-2</v>
      </c>
      <c r="S178" s="9"/>
      <c r="T178" s="7">
        <v>101955.1</v>
      </c>
      <c r="U178" s="8">
        <f>IFERROR(T178/T444, "NA")</f>
        <v>5.8008450956202849E-2</v>
      </c>
      <c r="V178" s="9"/>
      <c r="W178" s="10">
        <f t="shared" si="46"/>
        <v>-1072.859999999986</v>
      </c>
      <c r="X178" s="8">
        <f>IFERROR(W178/W444, "NA")</f>
        <v>2.0919767001770919E-2</v>
      </c>
      <c r="Y178" s="9"/>
      <c r="Z178" s="7">
        <v>101955.1</v>
      </c>
      <c r="AA178" s="8">
        <f>IFERROR(Z178/Z444, "NA")</f>
        <v>6.1452271591494079E-2</v>
      </c>
      <c r="AB178" s="9"/>
      <c r="AC178" s="10">
        <f t="shared" si="47"/>
        <v>-1072.859999999986</v>
      </c>
      <c r="AD178" s="8">
        <f>IFERROR(AC178/AC444, "NA")</f>
        <v>-2.2724369951878279E-2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130369.2</v>
      </c>
      <c r="C180" s="8">
        <f>IFERROR(B180/B444, "NA")</f>
        <v>0.16516174973307216</v>
      </c>
      <c r="D180" s="9"/>
      <c r="E180" s="7">
        <v>139198.17000000001</v>
      </c>
      <c r="F180" s="8">
        <f>IFERROR(E180/E444, "NA")</f>
        <v>0.17268766501844546</v>
      </c>
      <c r="G180" s="9"/>
      <c r="H180" s="10">
        <f t="shared" si="44"/>
        <v>8828.9700000000157</v>
      </c>
      <c r="I180" s="8">
        <f>IFERROR(H180/H444, "NA")</f>
        <v>-0.52784608293112867</v>
      </c>
      <c r="J180" s="9"/>
      <c r="K180" s="7">
        <v>131414.47</v>
      </c>
      <c r="L180" s="8">
        <f>IFERROR(K180/K444, "NA")</f>
        <v>0.17630130616431353</v>
      </c>
      <c r="M180" s="9"/>
      <c r="N180" s="10">
        <f t="shared" si="45"/>
        <v>1045.2700000000041</v>
      </c>
      <c r="O180" s="8">
        <f>IFERROR(N180/N444, "NA")</f>
        <v>2.3785576420269343E-2</v>
      </c>
      <c r="P180" s="9"/>
      <c r="Q180" s="7">
        <v>304399.49</v>
      </c>
      <c r="R180" s="8">
        <f>IFERROR(Q180/Q444, "NA")</f>
        <v>0.17839678165571651</v>
      </c>
      <c r="S180" s="9"/>
      <c r="T180" s="7">
        <v>319343.85000000003</v>
      </c>
      <c r="U180" s="8">
        <f>IFERROR(T180/T444, "NA")</f>
        <v>0.18169411889047238</v>
      </c>
      <c r="V180" s="9"/>
      <c r="W180" s="10">
        <f t="shared" si="46"/>
        <v>14944.360000000044</v>
      </c>
      <c r="X180" s="8">
        <f>IFERROR(W180/W444, "NA")</f>
        <v>-0.29140104877671852</v>
      </c>
      <c r="Y180" s="9"/>
      <c r="Z180" s="7">
        <v>308960.14</v>
      </c>
      <c r="AA180" s="8">
        <f>IFERROR(Z180/Z444, "NA")</f>
        <v>0.18622219422300632</v>
      </c>
      <c r="AB180" s="9"/>
      <c r="AC180" s="10">
        <f t="shared" si="47"/>
        <v>4560.6500000000233</v>
      </c>
      <c r="AD180" s="8">
        <f>IFERROR(AC180/AC444, "NA")</f>
        <v>9.6599647503901293E-2</v>
      </c>
    </row>
    <row r="181" spans="1:30" ht="16.5" customHeight="1" x14ac:dyDescent="0.45">
      <c r="A181" s="12" t="s">
        <v>166</v>
      </c>
      <c r="B181" s="7">
        <v>2554.23</v>
      </c>
      <c r="C181" s="8">
        <f>IFERROR(B181/B444, "NA")</f>
        <v>3.2358954110380742E-3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-2554.23</v>
      </c>
      <c r="I181" s="8">
        <f>IFERROR(H181/H444, "NA")</f>
        <v>0.1527064086077056</v>
      </c>
      <c r="J181" s="9"/>
      <c r="K181" s="7">
        <v>1390.6999999999998</v>
      </c>
      <c r="L181" s="8">
        <f>IFERROR(K181/K444, "NA")</f>
        <v>1.865717119908567E-3</v>
      </c>
      <c r="M181" s="9"/>
      <c r="N181" s="10">
        <f t="shared" si="45"/>
        <v>-1163.5300000000002</v>
      </c>
      <c r="O181" s="8">
        <f>IFERROR(N181/N444, "NA")</f>
        <v>-2.6476634488960638E-2</v>
      </c>
      <c r="P181" s="9"/>
      <c r="Q181" s="7">
        <v>3109.87</v>
      </c>
      <c r="R181" s="8">
        <f>IFERROR(Q181/Q444, "NA")</f>
        <v>1.8225746678079623E-3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-3109.87</v>
      </c>
      <c r="X181" s="8">
        <f>IFERROR(W181/W444, "NA")</f>
        <v>6.0639557636409387E-2</v>
      </c>
      <c r="Y181" s="9"/>
      <c r="Z181" s="7">
        <v>1765.31</v>
      </c>
      <c r="AA181" s="8">
        <f>IFERROR(Z181/Z444, "NA")</f>
        <v>1.0640204321625932E-3</v>
      </c>
      <c r="AB181" s="9"/>
      <c r="AC181" s="10">
        <f t="shared" si="47"/>
        <v>-1344.56</v>
      </c>
      <c r="AD181" s="8">
        <f>IFERROR(AC181/AC444, "NA")</f>
        <v>-2.8479278622092215E-2</v>
      </c>
    </row>
    <row r="182" spans="1:30" ht="16.5" customHeight="1" x14ac:dyDescent="0.45">
      <c r="A182" s="13" t="s">
        <v>167</v>
      </c>
      <c r="B182" s="14">
        <f>IFERROR(B177+B178+B179+B180+B181, "NA")</f>
        <v>172286.75</v>
      </c>
      <c r="C182" s="15">
        <f>IFERROR(B182/B444, "NA")</f>
        <v>0.21826613253609264</v>
      </c>
      <c r="D182" s="2"/>
      <c r="E182" s="14">
        <f>IFERROR(E177+E178+E179+E180+E181, "NA")</f>
        <v>178411.67</v>
      </c>
      <c r="F182" s="15">
        <f>IFERROR(E182/E444, "NA")</f>
        <v>0.22133548669742881</v>
      </c>
      <c r="G182" s="2"/>
      <c r="H182" s="14">
        <f t="shared" si="44"/>
        <v>6124.9200000000128</v>
      </c>
      <c r="I182" s="15">
        <f>IFERROR(H182/H444, "NA")</f>
        <v>-0.36618258191686343</v>
      </c>
      <c r="J182" s="2"/>
      <c r="K182" s="14">
        <f>IFERROR(K177+K178+K179+K180+K181, "NA")</f>
        <v>172018.67</v>
      </c>
      <c r="L182" s="15">
        <f>IFERROR(K182/K444, "NA")</f>
        <v>0.23077455782188991</v>
      </c>
      <c r="M182" s="2"/>
      <c r="N182" s="14">
        <f t="shared" si="45"/>
        <v>-268.07999999998719</v>
      </c>
      <c r="O182" s="15">
        <f>IFERROR(N182/N444, "NA")</f>
        <v>-6.1002777528729188E-3</v>
      </c>
      <c r="P182" s="2"/>
      <c r="Q182" s="14">
        <f>IFERROR(Q177+Q178+Q179+Q180+Q181, "NA")</f>
        <v>410537.31999999995</v>
      </c>
      <c r="R182" s="15">
        <f>IFERROR(Q182/Q444, "NA")</f>
        <v>0.24060006354663413</v>
      </c>
      <c r="S182" s="2"/>
      <c r="T182" s="14">
        <f>IFERROR(T177+T178+T179+T180+T181, "NA")</f>
        <v>421298.95000000007</v>
      </c>
      <c r="U182" s="15">
        <f>IFERROR(T182/T444, "NA")</f>
        <v>0.23970256984667526</v>
      </c>
      <c r="V182" s="2"/>
      <c r="W182" s="14">
        <f t="shared" si="46"/>
        <v>10761.630000000121</v>
      </c>
      <c r="X182" s="15">
        <f>IFERROR(W182/W444, "NA")</f>
        <v>-0.20984172413853946</v>
      </c>
      <c r="Y182" s="2"/>
      <c r="Z182" s="14">
        <f>IFERROR(Z177+Z178+Z179+Z180+Z181, "NA")</f>
        <v>412680.55</v>
      </c>
      <c r="AA182" s="15">
        <f>IFERROR(Z182/Z444, "NA")</f>
        <v>0.24873848624666298</v>
      </c>
      <c r="AB182" s="2"/>
      <c r="AC182" s="14">
        <f t="shared" si="47"/>
        <v>2143.2300000000396</v>
      </c>
      <c r="AD182" s="15">
        <f>IFERROR(AC182/AC444, "NA")</f>
        <v>4.5395998929930854E-2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-4326</v>
      </c>
      <c r="C184" s="8">
        <f>IFERROR(B184/B444, "NA")</f>
        <v>-5.4805101921716953E-3</v>
      </c>
      <c r="D184" s="9"/>
      <c r="E184" s="7">
        <v>2722.5</v>
      </c>
      <c r="F184" s="8">
        <f>IFERROR(E184/E444, "NA")</f>
        <v>3.3775025060510332E-3</v>
      </c>
      <c r="G184" s="9"/>
      <c r="H184" s="10">
        <f t="shared" si="44"/>
        <v>7048.5</v>
      </c>
      <c r="I184" s="8">
        <f>IFERROR(H184/H444, "NA")</f>
        <v>-0.42139945152606179</v>
      </c>
      <c r="J184" s="9"/>
      <c r="K184" s="7">
        <v>2950</v>
      </c>
      <c r="L184" s="8">
        <f>IFERROR(K184/K444, "NA")</f>
        <v>3.957622423046145E-3</v>
      </c>
      <c r="M184" s="9"/>
      <c r="N184" s="10">
        <f t="shared" si="45"/>
        <v>7276</v>
      </c>
      <c r="O184" s="8">
        <f>IFERROR(N184/N444, "NA")</f>
        <v>0.16556856509215712</v>
      </c>
      <c r="P184" s="9"/>
      <c r="Q184" s="7">
        <v>-334</v>
      </c>
      <c r="R184" s="8">
        <f>IFERROR(Q184/Q444, "NA")</f>
        <v>-1.9574449705224317E-4</v>
      </c>
      <c r="S184" s="9"/>
      <c r="T184" s="7">
        <v>6712.5</v>
      </c>
      <c r="U184" s="8">
        <f>IFERROR(T184/T444, "NA")</f>
        <v>3.8191490866421748E-3</v>
      </c>
      <c r="V184" s="9"/>
      <c r="W184" s="10">
        <f t="shared" si="46"/>
        <v>7046.5</v>
      </c>
      <c r="X184" s="8">
        <f>IFERROR(W184/W444, "NA")</f>
        <v>-0.13740016234921676</v>
      </c>
      <c r="Y184" s="9"/>
      <c r="Z184" s="7">
        <v>8850</v>
      </c>
      <c r="AA184" s="8">
        <f>IFERROR(Z184/Z444, "NA")</f>
        <v>5.3342363803745236E-3</v>
      </c>
      <c r="AB184" s="9"/>
      <c r="AC184" s="10">
        <f t="shared" si="47"/>
        <v>9184</v>
      </c>
      <c r="AD184" s="8">
        <f>IFERROR(AC184/AC444, "NA")</f>
        <v>0.19452735085477399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17677.18</v>
      </c>
      <c r="C186" s="8">
        <f>IFERROR(B186/B444, "NA")</f>
        <v>2.2394813952578283E-2</v>
      </c>
      <c r="D186" s="9"/>
      <c r="E186" s="7">
        <v>20144.900000000001</v>
      </c>
      <c r="F186" s="8">
        <f>IFERROR(E186/E444, "NA")</f>
        <v>2.4991533602992638E-2</v>
      </c>
      <c r="G186" s="9"/>
      <c r="H186" s="10">
        <f t="shared" ref="H186:H197" si="48">IFERROR(-(B186-E186), "NA")</f>
        <v>2467.7200000000012</v>
      </c>
      <c r="I186" s="8">
        <f>IFERROR(H186/H444, "NA")</f>
        <v>-0.14753434837481644</v>
      </c>
      <c r="J186" s="9"/>
      <c r="K186" s="7">
        <v>18623.46</v>
      </c>
      <c r="L186" s="8">
        <f>IFERROR(K186/K444, "NA")</f>
        <v>2.498461792905185E-2</v>
      </c>
      <c r="M186" s="9"/>
      <c r="N186" s="10">
        <f t="shared" ref="N186:N197" si="49">IFERROR(-(B186-K186), "NA")</f>
        <v>946.27999999999884</v>
      </c>
      <c r="O186" s="8">
        <f>IFERROR(N186/N444, "NA")</f>
        <v>2.1533015637081671E-2</v>
      </c>
      <c r="P186" s="9"/>
      <c r="Q186" s="7">
        <v>42909.03</v>
      </c>
      <c r="R186" s="8">
        <f>IFERROR(Q186/Q444, "NA")</f>
        <v>2.51473248393701E-2</v>
      </c>
      <c r="S186" s="9"/>
      <c r="T186" s="7">
        <v>48278.93</v>
      </c>
      <c r="U186" s="8">
        <f>IFERROR(T186/T444, "NA")</f>
        <v>2.7468816597923502E-2</v>
      </c>
      <c r="V186" s="9"/>
      <c r="W186" s="10">
        <f t="shared" ref="W186:W197" si="50">IFERROR(-(Q186-T186), "NA")</f>
        <v>5369.9000000000015</v>
      </c>
      <c r="X186" s="8">
        <f>IFERROR(W186/W444, "NA")</f>
        <v>-0.104708029773513</v>
      </c>
      <c r="Y186" s="9"/>
      <c r="Z186" s="7">
        <v>45647.64</v>
      </c>
      <c r="AA186" s="8">
        <f>IFERROR(Z186/Z444, "NA")</f>
        <v>2.7513593442512915E-2</v>
      </c>
      <c r="AB186" s="9"/>
      <c r="AC186" s="10">
        <f t="shared" ref="AC186:AC197" si="51">IFERROR(-(Q186-Z186), "NA")</f>
        <v>2738.6100000000006</v>
      </c>
      <c r="AD186" s="8">
        <f>IFERROR(AC186/AC444, "NA")</f>
        <v>5.8006810575391192E-2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17677.18</v>
      </c>
      <c r="C193" s="15">
        <f>IFERROR(B193/B444, "NA")</f>
        <v>2.2394813952578283E-2</v>
      </c>
      <c r="D193" s="2"/>
      <c r="E193" s="14">
        <f>IFERROR(E186+E187+E188+E189+E190+E191+E192, "NA")</f>
        <v>20144.900000000001</v>
      </c>
      <c r="F193" s="15">
        <f>IFERROR(E193/E444, "NA")</f>
        <v>2.4991533602992638E-2</v>
      </c>
      <c r="G193" s="2"/>
      <c r="H193" s="14">
        <f t="shared" si="48"/>
        <v>2467.7200000000012</v>
      </c>
      <c r="I193" s="15">
        <f>IFERROR(H193/H444, "NA")</f>
        <v>-0.14753434837481644</v>
      </c>
      <c r="J193" s="2"/>
      <c r="K193" s="14">
        <f>IFERROR(K186+K187+K188+K189+K190+K191+K192, "NA")</f>
        <v>18623.46</v>
      </c>
      <c r="L193" s="15">
        <f>IFERROR(K193/K444, "NA")</f>
        <v>2.498461792905185E-2</v>
      </c>
      <c r="M193" s="2"/>
      <c r="N193" s="14">
        <f t="shared" si="49"/>
        <v>946.27999999999884</v>
      </c>
      <c r="O193" s="15">
        <f>IFERROR(N193/N444, "NA")</f>
        <v>2.1533015637081671E-2</v>
      </c>
      <c r="P193" s="2"/>
      <c r="Q193" s="14">
        <f>IFERROR(Q186+Q187+Q188+Q189+Q190+Q191+Q192, "NA")</f>
        <v>42909.03</v>
      </c>
      <c r="R193" s="15">
        <f>IFERROR(Q193/Q444, "NA")</f>
        <v>2.51473248393701E-2</v>
      </c>
      <c r="S193" s="2"/>
      <c r="T193" s="14">
        <f>IFERROR(T186+T187+T188+T189+T190+T191+T192, "NA")</f>
        <v>48278.93</v>
      </c>
      <c r="U193" s="15">
        <f>IFERROR(T193/T444, "NA")</f>
        <v>2.7468816597923502E-2</v>
      </c>
      <c r="V193" s="2"/>
      <c r="W193" s="14">
        <f t="shared" si="50"/>
        <v>5369.9000000000015</v>
      </c>
      <c r="X193" s="15">
        <f>IFERROR(W193/W444, "NA")</f>
        <v>-0.104708029773513</v>
      </c>
      <c r="Y193" s="2"/>
      <c r="Z193" s="14">
        <f>IFERROR(Z186+Z187+Z188+Z189+Z190+Z191+Z192, "NA")</f>
        <v>45647.64</v>
      </c>
      <c r="AA193" s="15">
        <f>IFERROR(Z193/Z444, "NA")</f>
        <v>2.7513593442512915E-2</v>
      </c>
      <c r="AB193" s="2"/>
      <c r="AC193" s="14">
        <f t="shared" si="51"/>
        <v>2738.6100000000006</v>
      </c>
      <c r="AD193" s="15">
        <f>IFERROR(AC193/AC444, "NA")</f>
        <v>5.8006810575391192E-2</v>
      </c>
    </row>
    <row r="194" spans="1:30" ht="16.5" customHeight="1" x14ac:dyDescent="0.45">
      <c r="A194" s="6" t="s">
        <v>178</v>
      </c>
      <c r="B194" s="7">
        <v>1131.8499999999999</v>
      </c>
      <c r="C194" s="8">
        <f>IFERROR(B194/B444, "NA")</f>
        <v>1.4339148083702109E-3</v>
      </c>
      <c r="D194" s="9"/>
      <c r="E194" s="7">
        <v>1449.07</v>
      </c>
      <c r="F194" s="8">
        <f>IFERROR(E194/E444, "NA")</f>
        <v>1.7976997452500902E-3</v>
      </c>
      <c r="G194" s="9"/>
      <c r="H194" s="10">
        <f t="shared" si="48"/>
        <v>317.22000000000003</v>
      </c>
      <c r="I194" s="8">
        <f>IFERROR(H194/H444, "NA")</f>
        <v>-1.8965217282130572E-2</v>
      </c>
      <c r="J194" s="9"/>
      <c r="K194" s="7">
        <v>1173.04</v>
      </c>
      <c r="L194" s="8">
        <f>IFERROR(K194/K444, "NA")</f>
        <v>1.573711663433915E-3</v>
      </c>
      <c r="M194" s="9"/>
      <c r="N194" s="10">
        <f t="shared" si="49"/>
        <v>41.190000000000055</v>
      </c>
      <c r="O194" s="8">
        <f>IFERROR(N194/N444, "NA")</f>
        <v>9.372964810535954E-4</v>
      </c>
      <c r="P194" s="9"/>
      <c r="Q194" s="7">
        <v>4215.9500000000007</v>
      </c>
      <c r="R194" s="8">
        <f>IFERROR(Q194/Q444, "NA")</f>
        <v>2.4708054261898343E-3</v>
      </c>
      <c r="S194" s="9"/>
      <c r="T194" s="7">
        <v>3424.09</v>
      </c>
      <c r="U194" s="8">
        <f>IFERROR(T194/T444, "NA")</f>
        <v>1.9481728411293267E-3</v>
      </c>
      <c r="V194" s="9"/>
      <c r="W194" s="10">
        <f t="shared" si="50"/>
        <v>-791.86000000000058</v>
      </c>
      <c r="X194" s="8">
        <f>IFERROR(W194/W444, "NA")</f>
        <v>1.544052970380343E-2</v>
      </c>
      <c r="Y194" s="9"/>
      <c r="Z194" s="7">
        <v>4067.68</v>
      </c>
      <c r="AA194" s="8">
        <f>IFERROR(Z194/Z444, "NA")</f>
        <v>2.4517476429064228E-3</v>
      </c>
      <c r="AB194" s="9"/>
      <c r="AC194" s="10">
        <f t="shared" si="51"/>
        <v>-148.27000000000089</v>
      </c>
      <c r="AD194" s="8">
        <f>IFERROR(AC194/AC444, "NA")</f>
        <v>-3.1405237708229E-3</v>
      </c>
    </row>
    <row r="195" spans="1:30" ht="16.5" customHeight="1" x14ac:dyDescent="0.45">
      <c r="A195" s="6" t="s">
        <v>179</v>
      </c>
      <c r="B195" s="7">
        <v>1614.19</v>
      </c>
      <c r="C195" s="8">
        <f>IFERROR(B195/B444, "NA")</f>
        <v>2.0449802929037512E-3</v>
      </c>
      <c r="D195" s="9"/>
      <c r="E195" s="7">
        <v>2643.9700000000003</v>
      </c>
      <c r="F195" s="8">
        <f>IFERROR(E195/E444, "NA")</f>
        <v>3.2800790820656568E-3</v>
      </c>
      <c r="G195" s="9"/>
      <c r="H195" s="10">
        <f t="shared" si="48"/>
        <v>1029.7800000000002</v>
      </c>
      <c r="I195" s="8">
        <f>IFERROR(H195/H444, "NA")</f>
        <v>-6.1566110121658225E-2</v>
      </c>
      <c r="J195" s="9"/>
      <c r="K195" s="7">
        <v>982.42000000000007</v>
      </c>
      <c r="L195" s="8">
        <f>IFERROR(K195/K444, "NA")</f>
        <v>1.3179821765589811E-3</v>
      </c>
      <c r="M195" s="9"/>
      <c r="N195" s="10">
        <f t="shared" si="49"/>
        <v>-631.77</v>
      </c>
      <c r="O195" s="8">
        <f>IFERROR(N195/N444, "NA")</f>
        <v>-1.4376202909328215E-2</v>
      </c>
      <c r="P195" s="9"/>
      <c r="Q195" s="7">
        <v>5381.4100000000008</v>
      </c>
      <c r="R195" s="8">
        <f>IFERROR(Q195/Q444, "NA")</f>
        <v>3.1538365086284789E-3</v>
      </c>
      <c r="S195" s="9"/>
      <c r="T195" s="7">
        <v>5742.54</v>
      </c>
      <c r="U195" s="8">
        <f>IFERROR(T195/T444, "NA")</f>
        <v>3.267279910019539E-3</v>
      </c>
      <c r="V195" s="9"/>
      <c r="W195" s="10">
        <f t="shared" si="50"/>
        <v>361.1299999999992</v>
      </c>
      <c r="X195" s="8">
        <f>IFERROR(W195/W444, "NA")</f>
        <v>-7.0416973858188521E-3</v>
      </c>
      <c r="Y195" s="9"/>
      <c r="Z195" s="7">
        <v>4040.15</v>
      </c>
      <c r="AA195" s="8">
        <f>IFERROR(Z195/Z444, "NA")</f>
        <v>2.4351542499627264E-3</v>
      </c>
      <c r="AB195" s="9"/>
      <c r="AC195" s="10">
        <f t="shared" si="51"/>
        <v>-1341.2600000000007</v>
      </c>
      <c r="AD195" s="8">
        <f>IFERROR(AC195/AC444, "NA")</f>
        <v>-2.8409380945935789E-2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188383.97</v>
      </c>
      <c r="C196" s="15">
        <f>IFERROR(B196/B444, "NA")</f>
        <v>0.23865933139777321</v>
      </c>
      <c r="D196" s="2"/>
      <c r="E196" s="14">
        <f>IFERROR(E175+E177+E178+E179+E180+E181+E183+E184+E186+E187+E188+E189+E190+E191+E192+E194+E195, "NA")</f>
        <v>205372.11000000002</v>
      </c>
      <c r="F196" s="15">
        <f>IFERROR(E196/E444, "NA")</f>
        <v>0.25478230163378823</v>
      </c>
      <c r="G196" s="2"/>
      <c r="H196" s="14">
        <f t="shared" si="48"/>
        <v>16988.140000000014</v>
      </c>
      <c r="I196" s="15">
        <f>IFERROR(H196/H444, "NA")</f>
        <v>-1.0156477092215304</v>
      </c>
      <c r="J196" s="2"/>
      <c r="K196" s="14">
        <f>IFERROR(K175+K177+K178+K179+K180+K181+K183+K184+K186+K187+K188+K189+K190+K191+K192+K194+K195, "NA")</f>
        <v>195747.59000000003</v>
      </c>
      <c r="L196" s="15">
        <f>IFERROR(K196/K444, "NA")</f>
        <v>0.26260849201398079</v>
      </c>
      <c r="M196" s="2"/>
      <c r="N196" s="14">
        <f t="shared" si="49"/>
        <v>7363.6200000000244</v>
      </c>
      <c r="O196" s="15">
        <f>IFERROR(N196/N444, "NA")</f>
        <v>0.16756239654809152</v>
      </c>
      <c r="P196" s="2"/>
      <c r="Q196" s="14">
        <f>IFERROR(Q175+Q177+Q178+Q179+Q180+Q181+Q183+Q184+Q186+Q187+Q188+Q189+Q190+Q191+Q192+Q194+Q195, "NA")</f>
        <v>462709.70999999996</v>
      </c>
      <c r="R196" s="15">
        <f>IFERROR(Q196/Q444, "NA")</f>
        <v>0.27117628582377029</v>
      </c>
      <c r="S196" s="2"/>
      <c r="T196" s="14">
        <f>IFERROR(T175+T177+T178+T179+T180+T181+T183+T184+T186+T187+T188+T189+T190+T191+T192+T194+T195, "NA")</f>
        <v>485457.01000000007</v>
      </c>
      <c r="U196" s="15">
        <f>IFERROR(T196/T444, "NA")</f>
        <v>0.27620598828238979</v>
      </c>
      <c r="V196" s="2"/>
      <c r="W196" s="14">
        <f t="shared" si="50"/>
        <v>22747.300000000105</v>
      </c>
      <c r="X196" s="15">
        <f>IFERROR(W196/W444, "NA")</f>
        <v>-0.4435510839432843</v>
      </c>
      <c r="Y196" s="2"/>
      <c r="Z196" s="14">
        <f>IFERROR(Z175+Z177+Z178+Z179+Z180+Z181+Z183+Z184+Z186+Z187+Z188+Z189+Z190+Z191+Z192+Z194+Z195, "NA")</f>
        <v>475286.02</v>
      </c>
      <c r="AA196" s="15">
        <f>IFERROR(Z196/Z444, "NA")</f>
        <v>0.28647321796241959</v>
      </c>
      <c r="AB196" s="2"/>
      <c r="AC196" s="14">
        <f t="shared" si="51"/>
        <v>12576.310000000056</v>
      </c>
      <c r="AD196" s="15">
        <f>IFERROR(AC196/AC444, "NA")</f>
        <v>0.26638025564333773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188383.97</v>
      </c>
      <c r="C197" s="15">
        <f>IFERROR(B197/B444, "NA")</f>
        <v>0.23865933139777321</v>
      </c>
      <c r="D197" s="2"/>
      <c r="E197" s="14">
        <f>IFERROR(E175+E177+E178+E179+E180+E181+E183+E184+E186+E187+E188+E189+E190+E191+E192+E194+E195, "NA")</f>
        <v>205372.11000000002</v>
      </c>
      <c r="F197" s="15">
        <f>IFERROR(E197/E444, "NA")</f>
        <v>0.25478230163378823</v>
      </c>
      <c r="G197" s="2"/>
      <c r="H197" s="14">
        <f t="shared" si="48"/>
        <v>16988.140000000014</v>
      </c>
      <c r="I197" s="15">
        <f>IFERROR(H197/H444, "NA")</f>
        <v>-1.0156477092215304</v>
      </c>
      <c r="J197" s="2"/>
      <c r="K197" s="14">
        <f>IFERROR(K175+K177+K178+K179+K180+K181+K183+K184+K186+K187+K188+K189+K190+K191+K192+K194+K195, "NA")</f>
        <v>195747.59000000003</v>
      </c>
      <c r="L197" s="15">
        <f>IFERROR(K197/K444, "NA")</f>
        <v>0.26260849201398079</v>
      </c>
      <c r="M197" s="2"/>
      <c r="N197" s="14">
        <f t="shared" si="49"/>
        <v>7363.6200000000244</v>
      </c>
      <c r="O197" s="15">
        <f>IFERROR(N197/N444, "NA")</f>
        <v>0.16756239654809152</v>
      </c>
      <c r="P197" s="2"/>
      <c r="Q197" s="14">
        <f>IFERROR(Q175+Q177+Q178+Q179+Q180+Q181+Q183+Q184+Q186+Q187+Q188+Q189+Q190+Q191+Q192+Q194+Q195, "NA")</f>
        <v>462709.70999999996</v>
      </c>
      <c r="R197" s="15">
        <f>IFERROR(Q197/Q444, "NA")</f>
        <v>0.27117628582377029</v>
      </c>
      <c r="S197" s="2"/>
      <c r="T197" s="14">
        <f>IFERROR(T175+T177+T178+T179+T180+T181+T183+T184+T186+T187+T188+T189+T190+T191+T192+T194+T195, "NA")</f>
        <v>485457.01000000007</v>
      </c>
      <c r="U197" s="15">
        <f>IFERROR(T197/T444, "NA")</f>
        <v>0.27620598828238979</v>
      </c>
      <c r="V197" s="2"/>
      <c r="W197" s="14">
        <f t="shared" si="50"/>
        <v>22747.300000000105</v>
      </c>
      <c r="X197" s="15">
        <f>IFERROR(W197/W444, "NA")</f>
        <v>-0.4435510839432843</v>
      </c>
      <c r="Y197" s="2"/>
      <c r="Z197" s="14">
        <f>IFERROR(Z175+Z177+Z178+Z179+Z180+Z181+Z183+Z184+Z186+Z187+Z188+Z189+Z190+Z191+Z192+Z194+Z195, "NA")</f>
        <v>475286.02</v>
      </c>
      <c r="AA197" s="15">
        <f>IFERROR(Z197/Z444, "NA")</f>
        <v>0.28647321796241959</v>
      </c>
      <c r="AB197" s="2"/>
      <c r="AC197" s="14">
        <f t="shared" si="51"/>
        <v>12576.310000000056</v>
      </c>
      <c r="AD197" s="15">
        <f>IFERROR(AC197/AC444, "NA")</f>
        <v>0.26638025564333773</v>
      </c>
    </row>
    <row r="198" spans="1:30" ht="16.5" customHeight="1" x14ac:dyDescent="0.45">
      <c r="A198" s="22" t="s">
        <v>181</v>
      </c>
      <c r="B198" s="23">
        <f>IFERROR(B172-B197, "NA")</f>
        <v>387867.12</v>
      </c>
      <c r="C198" s="24">
        <f>IFERROR(B198/B444, "NA")</f>
        <v>0.49137995940089735</v>
      </c>
      <c r="D198" s="25"/>
      <c r="E198" s="23">
        <f>IFERROR(E172-E197, "NA")</f>
        <v>389355.67000000004</v>
      </c>
      <c r="F198" s="24">
        <f>IFERROR(E198/E444, "NA")</f>
        <v>0.48303021163275633</v>
      </c>
      <c r="G198" s="25"/>
      <c r="H198" s="23">
        <f>IFERROR(B198-E198, "NA")</f>
        <v>-1488.5500000000466</v>
      </c>
      <c r="I198" s="24">
        <f>IFERROR(H198/H444, "NA")</f>
        <v>8.8993992135793273E-2</v>
      </c>
      <c r="J198" s="25"/>
      <c r="K198" s="23">
        <f>IFERROR(K172-K197, "NA")</f>
        <v>345038.75000000006</v>
      </c>
      <c r="L198" s="24">
        <f>IFERROR(K198/K444, "NA")</f>
        <v>0.46289257417620788</v>
      </c>
      <c r="M198" s="25"/>
      <c r="N198" s="23">
        <f>IFERROR(B198-K198, "NA")</f>
        <v>42828.369999999937</v>
      </c>
      <c r="O198" s="24">
        <f>IFERROR(N198/N444, "NA")</f>
        <v>0.97457830760527464</v>
      </c>
      <c r="P198" s="25"/>
      <c r="Q198" s="23">
        <f>IFERROR(Q172-Q197, "NA")</f>
        <v>775310.17999999993</v>
      </c>
      <c r="R198" s="24">
        <f>IFERROR(Q198/Q444, "NA")</f>
        <v>0.45437934504067096</v>
      </c>
      <c r="S198" s="25"/>
      <c r="T198" s="23">
        <f>IFERROR(T172-T197, "NA")</f>
        <v>806731.60000000009</v>
      </c>
      <c r="U198" s="24">
        <f>IFERROR(T198/T444, "NA")</f>
        <v>0.45899862246635098</v>
      </c>
      <c r="V198" s="25"/>
      <c r="W198" s="23">
        <f>IFERROR(Q198-T198, "NA")</f>
        <v>-31421.420000000158</v>
      </c>
      <c r="X198" s="24">
        <f>IFERROR(W198/W444, "NA")</f>
        <v>0.61268831465875939</v>
      </c>
      <c r="Y198" s="25"/>
      <c r="Z198" s="23">
        <f>IFERROR(Z172-Z197, "NA")</f>
        <v>735602.81</v>
      </c>
      <c r="AA198" s="24">
        <f>IFERROR(Z198/Z444, "NA")</f>
        <v>0.44337618876923485</v>
      </c>
      <c r="AB198" s="25"/>
      <c r="AC198" s="23">
        <f>IFERROR(Q198-Z198, "NA")</f>
        <v>39707.369999999879</v>
      </c>
      <c r="AD198" s="24">
        <f>IFERROR(AC198/AC444, "NA")</f>
        <v>0.84104633008605223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7497.68</v>
      </c>
      <c r="C202" s="8">
        <f>IFERROR(B202/B444, "NA")</f>
        <v>9.4986388482759775E-3</v>
      </c>
      <c r="D202" s="9"/>
      <c r="E202" s="7">
        <v>7458.6</v>
      </c>
      <c r="F202" s="8">
        <f>IFERROR(E202/E444, "NA")</f>
        <v>9.2530542485334197E-3</v>
      </c>
      <c r="G202" s="9"/>
      <c r="H202" s="10">
        <f t="shared" si="52"/>
        <v>-39.079999999999927</v>
      </c>
      <c r="I202" s="8">
        <f>IFERROR(H202/H444, "NA")</f>
        <v>2.3364248514774013E-3</v>
      </c>
      <c r="J202" s="9"/>
      <c r="K202" s="7">
        <v>7020.17</v>
      </c>
      <c r="L202" s="8">
        <f>IFERROR(K202/K444, "NA")</f>
        <v>9.4180278663036788E-3</v>
      </c>
      <c r="M202" s="9"/>
      <c r="N202" s="10">
        <f t="shared" si="53"/>
        <v>-477.51000000000022</v>
      </c>
      <c r="O202" s="8">
        <f>IFERROR(N202/N444, "NA")</f>
        <v>-1.0865949081522261E-2</v>
      </c>
      <c r="P202" s="9"/>
      <c r="Q202" s="7">
        <v>17994.57</v>
      </c>
      <c r="R202" s="8">
        <f>IFERROR(Q202/Q444, "NA")</f>
        <v>1.0545922318327494E-2</v>
      </c>
      <c r="S202" s="9"/>
      <c r="T202" s="7">
        <v>16270.070000000002</v>
      </c>
      <c r="U202" s="8">
        <f>IFERROR(T202/T444, "NA")</f>
        <v>9.2570313564401124E-3</v>
      </c>
      <c r="V202" s="9"/>
      <c r="W202" s="10">
        <f t="shared" si="54"/>
        <v>-1724.4999999999982</v>
      </c>
      <c r="X202" s="8">
        <f>IFERROR(W202/W444, "NA")</f>
        <v>3.3626137794823541E-2</v>
      </c>
      <c r="Y202" s="9"/>
      <c r="Z202" s="7">
        <v>16836.53</v>
      </c>
      <c r="AA202" s="8">
        <f>IFERROR(Z202/Z444, "NA")</f>
        <v>1.0148026084210967E-2</v>
      </c>
      <c r="AB202" s="9"/>
      <c r="AC202" s="10">
        <f t="shared" si="55"/>
        <v>-1158.0400000000009</v>
      </c>
      <c r="AD202" s="8">
        <f>IFERROR(AC202/AC444, "NA")</f>
        <v>-2.4528577241274243E-2</v>
      </c>
    </row>
    <row r="203" spans="1:30" ht="16.5" customHeight="1" x14ac:dyDescent="0.45">
      <c r="A203" s="6" t="s">
        <v>185</v>
      </c>
      <c r="B203" s="7">
        <v>6288.5599999999995</v>
      </c>
      <c r="C203" s="8">
        <f>IFERROR(B203/B444, "NA")</f>
        <v>7.9668324489327851E-3</v>
      </c>
      <c r="D203" s="9"/>
      <c r="E203" s="7">
        <v>5335.48</v>
      </c>
      <c r="F203" s="8">
        <f>IFERROR(E203/E444, "NA")</f>
        <v>6.6191357469183344E-3</v>
      </c>
      <c r="G203" s="9"/>
      <c r="H203" s="10">
        <f t="shared" si="52"/>
        <v>-953.07999999999993</v>
      </c>
      <c r="I203" s="8">
        <f>IFERROR(H203/H444, "NA")</f>
        <v>5.6980547529326658E-2</v>
      </c>
      <c r="J203" s="9"/>
      <c r="K203" s="7">
        <v>5617.7099999999991</v>
      </c>
      <c r="L203" s="8">
        <f>IFERROR(K203/K444, "NA")</f>
        <v>7.5365339193798489E-3</v>
      </c>
      <c r="M203" s="9"/>
      <c r="N203" s="10">
        <f t="shared" si="53"/>
        <v>-670.85000000000036</v>
      </c>
      <c r="O203" s="8">
        <f>IFERROR(N203/N444, "NA")</f>
        <v>-1.5265485416722603E-2</v>
      </c>
      <c r="P203" s="9"/>
      <c r="Q203" s="7">
        <v>12125.34</v>
      </c>
      <c r="R203" s="8">
        <f>IFERROR(Q203/Q444, "NA")</f>
        <v>7.1061933529564256E-3</v>
      </c>
      <c r="S203" s="9"/>
      <c r="T203" s="7">
        <v>11680.91</v>
      </c>
      <c r="U203" s="8">
        <f>IFERROR(T203/T444, "NA")</f>
        <v>6.6459794052364171E-3</v>
      </c>
      <c r="V203" s="9"/>
      <c r="W203" s="10">
        <f t="shared" si="54"/>
        <v>-444.43000000000029</v>
      </c>
      <c r="X203" s="8">
        <f>IFERROR(W203/W444, "NA")</f>
        <v>8.6659695100918827E-3</v>
      </c>
      <c r="Y203" s="9"/>
      <c r="Z203" s="7">
        <v>11246.37</v>
      </c>
      <c r="AA203" s="8">
        <f>IFERROR(Z203/Z444, "NA")</f>
        <v>6.7786210170793929E-3</v>
      </c>
      <c r="AB203" s="9"/>
      <c r="AC203" s="10">
        <f t="shared" si="55"/>
        <v>-878.96999999999935</v>
      </c>
      <c r="AD203" s="8">
        <f>IFERROR(AC203/AC444, "NA")</f>
        <v>-1.861756376097785E-2</v>
      </c>
    </row>
    <row r="204" spans="1:30" ht="16.5" customHeight="1" x14ac:dyDescent="0.45">
      <c r="A204" s="6" t="s">
        <v>186</v>
      </c>
      <c r="B204" s="7">
        <v>2477.0899999999997</v>
      </c>
      <c r="C204" s="8">
        <f>IFERROR(B204/B444, "NA")</f>
        <v>3.1381685140838148E-3</v>
      </c>
      <c r="D204" s="9"/>
      <c r="E204" s="7">
        <v>1612.1399999999999</v>
      </c>
      <c r="F204" s="8">
        <f>IFERROR(E204/E444, "NA")</f>
        <v>2.0000025308007756E-3</v>
      </c>
      <c r="G204" s="9"/>
      <c r="H204" s="10">
        <f t="shared" si="52"/>
        <v>-864.94999999999982</v>
      </c>
      <c r="I204" s="8">
        <f>IFERROR(H204/H444, "NA")</f>
        <v>5.1711634475060948E-2</v>
      </c>
      <c r="J204" s="9"/>
      <c r="K204" s="7">
        <v>218.88</v>
      </c>
      <c r="L204" s="8">
        <f>IFERROR(K204/K444, "NA")</f>
        <v>2.9364216812079327E-4</v>
      </c>
      <c r="M204" s="9"/>
      <c r="N204" s="10">
        <f t="shared" si="53"/>
        <v>-2258.2099999999996</v>
      </c>
      <c r="O204" s="8">
        <f>IFERROR(N204/N444, "NA")</f>
        <v>-5.1386557088614629E-2</v>
      </c>
      <c r="P204" s="9"/>
      <c r="Q204" s="7">
        <v>2732.43</v>
      </c>
      <c r="R204" s="8">
        <f>IFERROR(Q204/Q444, "NA")</f>
        <v>1.6013716649115591E-3</v>
      </c>
      <c r="S204" s="9"/>
      <c r="T204" s="7">
        <v>3515.19</v>
      </c>
      <c r="U204" s="8">
        <f>IFERROR(T204/T444, "NA")</f>
        <v>2.0000051661636809E-3</v>
      </c>
      <c r="V204" s="9"/>
      <c r="W204" s="10">
        <f t="shared" si="54"/>
        <v>782.76000000000022</v>
      </c>
      <c r="X204" s="8">
        <f>IFERROR(W204/W444, "NA")</f>
        <v>-1.5263088211235783E-2</v>
      </c>
      <c r="Y204" s="9"/>
      <c r="Z204" s="7">
        <v>1527.75</v>
      </c>
      <c r="AA204" s="8">
        <f>IFERROR(Z204/Z444, "NA")</f>
        <v>9.2083385651041557E-4</v>
      </c>
      <c r="AB204" s="9"/>
      <c r="AC204" s="10">
        <f t="shared" si="55"/>
        <v>-1204.6799999999998</v>
      </c>
      <c r="AD204" s="8">
        <f>IFERROR(AC204/AC444, "NA")</f>
        <v>-2.5516464397618586E-2</v>
      </c>
    </row>
    <row r="205" spans="1:30" ht="16.5" customHeight="1" x14ac:dyDescent="0.45">
      <c r="A205" s="6" t="s">
        <v>187</v>
      </c>
      <c r="B205" s="7">
        <v>2335.9</v>
      </c>
      <c r="C205" s="8">
        <f>IFERROR(B205/B444, "NA")</f>
        <v>2.9592981409833248E-3</v>
      </c>
      <c r="D205" s="9"/>
      <c r="E205" s="7">
        <v>2418.21</v>
      </c>
      <c r="F205" s="8">
        <f>IFERROR(E205/E444, "NA")</f>
        <v>3.0000037962011638E-3</v>
      </c>
      <c r="G205" s="9"/>
      <c r="H205" s="10">
        <f t="shared" si="52"/>
        <v>82.309999999999945</v>
      </c>
      <c r="I205" s="8">
        <f>IFERROR(H205/H444, "NA")</f>
        <v>-4.920960325616815E-3</v>
      </c>
      <c r="J205" s="9"/>
      <c r="K205" s="7">
        <v>2533.2600000000002</v>
      </c>
      <c r="L205" s="8">
        <f>IFERROR(K205/K444, "NA")</f>
        <v>3.3985378235274161E-3</v>
      </c>
      <c r="M205" s="9"/>
      <c r="N205" s="10">
        <f t="shared" si="53"/>
        <v>197.36000000000013</v>
      </c>
      <c r="O205" s="8">
        <f>IFERROR(N205/N444, "NA")</f>
        <v>4.4910131949681348E-3</v>
      </c>
      <c r="P205" s="9"/>
      <c r="Q205" s="7">
        <v>6339.76</v>
      </c>
      <c r="R205" s="8">
        <f>IFERROR(Q205/Q444, "NA")</f>
        <v>3.7154884210536801E-3</v>
      </c>
      <c r="S205" s="9"/>
      <c r="T205" s="7">
        <v>5272.77</v>
      </c>
      <c r="U205" s="8">
        <f>IFERROR(T205/T444, "NA")</f>
        <v>2.9999992148341545E-3</v>
      </c>
      <c r="V205" s="9"/>
      <c r="W205" s="10">
        <f t="shared" si="54"/>
        <v>-1066.9899999999998</v>
      </c>
      <c r="X205" s="8">
        <f>IFERROR(W205/W444, "NA")</f>
        <v>2.08053074895325E-2</v>
      </c>
      <c r="Y205" s="9"/>
      <c r="Z205" s="7">
        <v>6271.0399999999991</v>
      </c>
      <c r="AA205" s="8">
        <f>IFERROR(Z205/Z444, "NA")</f>
        <v>3.7797977074332028E-3</v>
      </c>
      <c r="AB205" s="9"/>
      <c r="AC205" s="10">
        <f t="shared" si="55"/>
        <v>-68.720000000001164</v>
      </c>
      <c r="AD205" s="8">
        <f>IFERROR(AC205/AC444, "NA")</f>
        <v>-1.4555661531729415E-3</v>
      </c>
    </row>
    <row r="206" spans="1:30" ht="16.5" customHeight="1" x14ac:dyDescent="0.45">
      <c r="A206" s="6" t="s">
        <v>188</v>
      </c>
      <c r="B206" s="7">
        <v>811.49</v>
      </c>
      <c r="C206" s="8">
        <f>IFERROR(B206/B444, "NA")</f>
        <v>1.0280580711616756E-3</v>
      </c>
      <c r="D206" s="9"/>
      <c r="E206" s="7">
        <v>806.07</v>
      </c>
      <c r="F206" s="8">
        <f>IFERROR(E206/E444, "NA")</f>
        <v>1.000001265400388E-3</v>
      </c>
      <c r="G206" s="9"/>
      <c r="H206" s="10">
        <f t="shared" si="52"/>
        <v>-5.4199999999999591</v>
      </c>
      <c r="I206" s="8">
        <f>IFERROR(H206/H444, "NA")</f>
        <v>3.2403845176579948E-4</v>
      </c>
      <c r="J206" s="9"/>
      <c r="K206" s="7">
        <v>119.48</v>
      </c>
      <c r="L206" s="8">
        <f>IFERROR(K206/K444, "NA")</f>
        <v>1.602904159679842E-4</v>
      </c>
      <c r="M206" s="9"/>
      <c r="N206" s="10">
        <f t="shared" si="53"/>
        <v>-692.01</v>
      </c>
      <c r="O206" s="8">
        <f>IFERROR(N206/N444, "NA")</f>
        <v>-1.5746990479579941E-2</v>
      </c>
      <c r="P206" s="9"/>
      <c r="Q206" s="7">
        <v>1273.5699999999997</v>
      </c>
      <c r="R206" s="8">
        <f>IFERROR(Q206/Q444, "NA")</f>
        <v>7.4639017697851874E-4</v>
      </c>
      <c r="S206" s="9"/>
      <c r="T206" s="7">
        <v>1757.59</v>
      </c>
      <c r="U206" s="8">
        <f>IFERROR(T206/T444, "NA")</f>
        <v>9.9999973827805144E-4</v>
      </c>
      <c r="V206" s="9"/>
      <c r="W206" s="10">
        <f t="shared" si="54"/>
        <v>484.02000000000021</v>
      </c>
      <c r="X206" s="8">
        <f>IFERROR(W206/W444, "NA")</f>
        <v>-9.437937498086699E-3</v>
      </c>
      <c r="Y206" s="9"/>
      <c r="Z206" s="7">
        <v>445.65000000000003</v>
      </c>
      <c r="AA206" s="8">
        <f>IFERROR(Z206/Z444, "NA")</f>
        <v>2.6861044552699509E-4</v>
      </c>
      <c r="AB206" s="9"/>
      <c r="AC206" s="10">
        <f t="shared" si="55"/>
        <v>-827.91999999999962</v>
      </c>
      <c r="AD206" s="8">
        <f>IFERROR(AC206/AC444, "NA")</f>
        <v>-1.7536267891951698E-2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500</v>
      </c>
      <c r="F207" s="8">
        <f>IFERROR(E207/E444, "NA")</f>
        <v>6.202943078146985E-4</v>
      </c>
      <c r="G207" s="9"/>
      <c r="H207" s="10">
        <f t="shared" si="52"/>
        <v>500</v>
      </c>
      <c r="I207" s="8">
        <f>IFERROR(H207/H444, "NA")</f>
        <v>-2.9892846103856268E-2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806.56</v>
      </c>
      <c r="R207" s="8">
        <f>IFERROR(Q207/Q444, "NA")</f>
        <v>4.7269365731274622E-4</v>
      </c>
      <c r="S207" s="9"/>
      <c r="T207" s="7">
        <v>1500</v>
      </c>
      <c r="U207" s="8">
        <f>IFERROR(T207/T444, "NA")</f>
        <v>8.5344113667981561E-4</v>
      </c>
      <c r="V207" s="9"/>
      <c r="W207" s="10">
        <f t="shared" si="54"/>
        <v>693.44</v>
      </c>
      <c r="X207" s="8">
        <f>IFERROR(W207/W444, "NA")</f>
        <v>-1.3521431714956487E-2</v>
      </c>
      <c r="Y207" s="9"/>
      <c r="Z207" s="7">
        <v>497.99</v>
      </c>
      <c r="AA207" s="8">
        <f>IFERROR(Z207/Z444, "NA")</f>
        <v>3.0015778249296144E-4</v>
      </c>
      <c r="AB207" s="9"/>
      <c r="AC207" s="10">
        <f t="shared" si="55"/>
        <v>-308.56999999999994</v>
      </c>
      <c r="AD207" s="8">
        <f>IFERROR(AC207/AC444, "NA")</f>
        <v>-6.5358563429069681E-3</v>
      </c>
    </row>
    <row r="208" spans="1:30" ht="16.5" customHeight="1" x14ac:dyDescent="0.45">
      <c r="A208" s="6" t="s">
        <v>190</v>
      </c>
      <c r="B208" s="7">
        <v>631.86999999999989</v>
      </c>
      <c r="C208" s="8">
        <f>IFERROR(B208/B444, "NA")</f>
        <v>8.0050161237344623E-4</v>
      </c>
      <c r="D208" s="9"/>
      <c r="E208" s="7">
        <v>500</v>
      </c>
      <c r="F208" s="8">
        <f>IFERROR(E208/E444, "NA")</f>
        <v>6.202943078146985E-4</v>
      </c>
      <c r="G208" s="9"/>
      <c r="H208" s="10">
        <f t="shared" si="52"/>
        <v>-131.86999999999989</v>
      </c>
      <c r="I208" s="8">
        <f>IFERROR(H208/H444, "NA")</f>
        <v>7.8839392314310457E-3</v>
      </c>
      <c r="J208" s="9"/>
      <c r="K208" s="7">
        <v>811.3900000000001</v>
      </c>
      <c r="L208" s="8">
        <f>IFERROR(K208/K444, "NA")</f>
        <v>1.0885339857069193E-3</v>
      </c>
      <c r="M208" s="9"/>
      <c r="N208" s="10">
        <f t="shared" si="53"/>
        <v>179.52000000000021</v>
      </c>
      <c r="O208" s="8">
        <f>IFERROR(N208/N444, "NA")</f>
        <v>4.0850561854513575E-3</v>
      </c>
      <c r="P208" s="9"/>
      <c r="Q208" s="7">
        <v>1153.4899999999998</v>
      </c>
      <c r="R208" s="8">
        <f>IFERROR(Q208/Q444, "NA")</f>
        <v>6.7601592785865848E-4</v>
      </c>
      <c r="S208" s="9"/>
      <c r="T208" s="7">
        <v>1500</v>
      </c>
      <c r="U208" s="8">
        <f>IFERROR(T208/T444, "NA")</f>
        <v>8.5344113667981561E-4</v>
      </c>
      <c r="V208" s="9"/>
      <c r="W208" s="10">
        <f t="shared" si="54"/>
        <v>346.51000000000022</v>
      </c>
      <c r="X208" s="8">
        <f>IFERROR(W208/W444, "NA")</f>
        <v>-6.7566210538036091E-3</v>
      </c>
      <c r="Y208" s="9"/>
      <c r="Z208" s="7">
        <v>2631.6</v>
      </c>
      <c r="AA208" s="8">
        <f>IFERROR(Z208/Z444, "NA")</f>
        <v>1.5861668314795022E-3</v>
      </c>
      <c r="AB208" s="9"/>
      <c r="AC208" s="10">
        <f t="shared" si="55"/>
        <v>1478.1100000000001</v>
      </c>
      <c r="AD208" s="8">
        <f>IFERROR(AC208/AC444, "NA")</f>
        <v>3.1308016395029399E-2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20042.59</v>
      </c>
      <c r="C209" s="15">
        <f>IFERROR(B209/B444, "NA")</f>
        <v>2.5391497635811024E-2</v>
      </c>
      <c r="D209" s="2"/>
      <c r="E209" s="14">
        <f>IFERROR(E201+E202+E203+E204+E205+E206+E207+E208, "NA")</f>
        <v>18630.5</v>
      </c>
      <c r="F209" s="15">
        <f>IFERROR(E209/E444, "NA")</f>
        <v>2.311278620348348E-2</v>
      </c>
      <c r="G209" s="2"/>
      <c r="H209" s="14">
        <f t="shared" si="52"/>
        <v>-1412.0900000000001</v>
      </c>
      <c r="I209" s="15">
        <f>IFERROR(H209/H444, "NA")</f>
        <v>8.44227781095888E-2</v>
      </c>
      <c r="J209" s="2"/>
      <c r="K209" s="14">
        <f>IFERROR(K201+K202+K203+K204+K205+K206+K207+K208, "NA")</f>
        <v>16320.889999999998</v>
      </c>
      <c r="L209" s="15">
        <f>IFERROR(K209/K444, "NA")</f>
        <v>2.1895566179006638E-2</v>
      </c>
      <c r="M209" s="2"/>
      <c r="N209" s="14">
        <f t="shared" si="53"/>
        <v>-3721.7000000000025</v>
      </c>
      <c r="O209" s="15">
        <f>IFERROR(N209/N444, "NA")</f>
        <v>-8.4688912686019996E-2</v>
      </c>
      <c r="P209" s="2"/>
      <c r="Q209" s="14">
        <f>IFERROR(Q201+Q202+Q203+Q204+Q205+Q206+Q207+Q208, "NA")</f>
        <v>42425.719999999994</v>
      </c>
      <c r="R209" s="15">
        <f>IFERROR(Q209/Q444, "NA")</f>
        <v>2.4864075519399079E-2</v>
      </c>
      <c r="S209" s="2"/>
      <c r="T209" s="14">
        <f>IFERROR(T201+T202+T203+T204+T205+T206+T207+T208, "NA")</f>
        <v>41496.53</v>
      </c>
      <c r="U209" s="15">
        <f>IFERROR(T209/T444, "NA")</f>
        <v>2.3609897154312047E-2</v>
      </c>
      <c r="V209" s="2"/>
      <c r="W209" s="14">
        <f t="shared" si="54"/>
        <v>-929.18999999999505</v>
      </c>
      <c r="X209" s="15">
        <f>IFERROR(W209/W444, "NA")</f>
        <v>1.8118336316365294E-2</v>
      </c>
      <c r="Y209" s="2"/>
      <c r="Z209" s="14">
        <f>IFERROR(Z201+Z202+Z203+Z204+Z205+Z206+Z207+Z208, "NA")</f>
        <v>39456.93</v>
      </c>
      <c r="AA209" s="15">
        <f>IFERROR(Z209/Z444, "NA")</f>
        <v>2.378221372473344E-2</v>
      </c>
      <c r="AB209" s="2"/>
      <c r="AC209" s="14">
        <f t="shared" si="55"/>
        <v>-2968.7899999999936</v>
      </c>
      <c r="AD209" s="15">
        <f>IFERROR(AC209/AC444, "NA")</f>
        <v>-6.2882279392872734E-2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27103.32</v>
      </c>
      <c r="F213" s="8">
        <f>IFERROR(E213/E444, "NA")</f>
        <v>3.3624070237760546E-2</v>
      </c>
      <c r="G213" s="9"/>
      <c r="H213" s="10">
        <f t="shared" ref="H213:H227" si="56">IFERROR(-(B213-E213), "NA")</f>
        <v>27103.32</v>
      </c>
      <c r="I213" s="8">
        <f>IFERROR(H213/H444, "NA")</f>
        <v>-1.6203907473271393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59218.11</v>
      </c>
      <c r="U213" s="8">
        <f>IFERROR(T213/T444, "NA")</f>
        <v>3.3692780740286907E-2</v>
      </c>
      <c r="V213" s="9"/>
      <c r="W213" s="10">
        <f t="shared" ref="W213:W227" si="58">IFERROR(-(Q213-T213), "NA")</f>
        <v>59218.11</v>
      </c>
      <c r="X213" s="8">
        <f>IFERROR(W213/W444, "NA")</f>
        <v>-1.1546977830147984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8563.64</v>
      </c>
      <c r="C214" s="8">
        <f>IFERROR(B214/B444, "NA")</f>
        <v>1.0849079126696535E-2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-8563.64</v>
      </c>
      <c r="I214" s="8">
        <f>IFERROR(H214/H444, "NA")</f>
        <v>0.51198314521765531</v>
      </c>
      <c r="J214" s="9"/>
      <c r="K214" s="7">
        <v>20944.730000000003</v>
      </c>
      <c r="L214" s="8">
        <f>IFERROR(K214/K444, "NA")</f>
        <v>2.8098756980558404E-2</v>
      </c>
      <c r="M214" s="9"/>
      <c r="N214" s="10">
        <f t="shared" si="57"/>
        <v>12381.090000000004</v>
      </c>
      <c r="O214" s="8">
        <f>IFERROR(N214/N444, "NA")</f>
        <v>0.2817371228115525</v>
      </c>
      <c r="P214" s="9"/>
      <c r="Q214" s="7">
        <v>25004.500000000004</v>
      </c>
      <c r="R214" s="8">
        <f>IFERROR(Q214/Q444, "NA")</f>
        <v>1.4654171486655133E-2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-25004.500000000004</v>
      </c>
      <c r="X214" s="8">
        <f>IFERROR(W214/W444, "NA")</f>
        <v>0.48756437372610389</v>
      </c>
      <c r="Y214" s="9"/>
      <c r="Z214" s="7">
        <v>49209.51</v>
      </c>
      <c r="AA214" s="8">
        <f>IFERROR(Z214/Z444, "NA")</f>
        <v>2.9660469887277278E-2</v>
      </c>
      <c r="AB214" s="9"/>
      <c r="AC214" s="10">
        <f t="shared" si="59"/>
        <v>24205.01</v>
      </c>
      <c r="AD214" s="8">
        <f>IFERROR(AC214/AC444, "NA")</f>
        <v>0.51268907586164114</v>
      </c>
    </row>
    <row r="215" spans="1:30" ht="16.5" customHeight="1" x14ac:dyDescent="0.45">
      <c r="A215" s="12" t="s">
        <v>195</v>
      </c>
      <c r="B215" s="7">
        <v>3289.52</v>
      </c>
      <c r="C215" s="8">
        <f>IFERROR(B215/B444, "NA")</f>
        <v>4.1674174496885421E-3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-3289.52</v>
      </c>
      <c r="I215" s="8">
        <f>IFERROR(H215/H444, "NA")</f>
        <v>0.19666623023111454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-3289.52</v>
      </c>
      <c r="O215" s="8">
        <f>IFERROR(N215/N444, "NA")</f>
        <v>-7.4854467597849458E-2</v>
      </c>
      <c r="P215" s="9"/>
      <c r="Q215" s="7">
        <v>7225.4900000000007</v>
      </c>
      <c r="R215" s="8">
        <f>IFERROR(Q215/Q444, "NA")</f>
        <v>4.2345805569042293E-3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-7225.4900000000007</v>
      </c>
      <c r="X215" s="8">
        <f>IFERROR(W215/W444, "NA")</f>
        <v>0.14089030001456643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-7225.4900000000007</v>
      </c>
      <c r="AD215" s="8">
        <f>IFERROR(AC215/AC444, "NA")</f>
        <v>-0.15304392730048574</v>
      </c>
    </row>
    <row r="216" spans="1:30" ht="16.5" customHeight="1" x14ac:dyDescent="0.45">
      <c r="A216" s="12" t="s">
        <v>196</v>
      </c>
      <c r="B216" s="7">
        <v>392</v>
      </c>
      <c r="C216" s="8">
        <f>IFERROR(B216/B444, "NA")</f>
        <v>4.9661581029387524E-4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-392</v>
      </c>
      <c r="I216" s="8">
        <f>IFERROR(H216/H444, "NA")</f>
        <v>2.3435991345423315E-2</v>
      </c>
      <c r="J216" s="9"/>
      <c r="K216" s="7">
        <v>13.82</v>
      </c>
      <c r="L216" s="8">
        <f>IFERROR(K216/K444, "NA")</f>
        <v>1.8540454876778888E-5</v>
      </c>
      <c r="M216" s="9"/>
      <c r="N216" s="10">
        <f t="shared" si="57"/>
        <v>-378.18</v>
      </c>
      <c r="O216" s="8">
        <f>IFERROR(N216/N444, "NA")</f>
        <v>-8.605651449498623E-3</v>
      </c>
      <c r="P216" s="9"/>
      <c r="Q216" s="7">
        <v>646</v>
      </c>
      <c r="R216" s="8">
        <f>IFERROR(Q216/Q444, "NA")</f>
        <v>3.7859564399924875E-4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-646</v>
      </c>
      <c r="X216" s="8">
        <f>IFERROR(W216/W444, "NA")</f>
        <v>1.2596396065790681E-2</v>
      </c>
      <c r="Y216" s="9"/>
      <c r="Z216" s="7">
        <v>15.92</v>
      </c>
      <c r="AA216" s="8">
        <f>IFERROR(Z216/Z444, "NA")</f>
        <v>9.5955980989336054E-6</v>
      </c>
      <c r="AB216" s="9"/>
      <c r="AC216" s="10">
        <f t="shared" si="59"/>
        <v>-630.08000000000004</v>
      </c>
      <c r="AD216" s="8">
        <f>IFERROR(AC216/AC444, "NA")</f>
        <v>-1.3345796300803136E-2</v>
      </c>
    </row>
    <row r="217" spans="1:30" ht="16.5" customHeight="1" x14ac:dyDescent="0.45">
      <c r="A217" s="12" t="s">
        <v>197</v>
      </c>
      <c r="B217" s="7">
        <v>25374</v>
      </c>
      <c r="C217" s="8">
        <f>IFERROR(B217/B444, "NA")</f>
        <v>3.2145738699991815E-2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-25374</v>
      </c>
      <c r="I217" s="8">
        <f>IFERROR(H217/H444, "NA")</f>
        <v>1.5170021540784979</v>
      </c>
      <c r="J217" s="9"/>
      <c r="K217" s="7">
        <v>23061.289999999997</v>
      </c>
      <c r="L217" s="8">
        <f>IFERROR(K217/K444, "NA")</f>
        <v>3.0938263867244006E-2</v>
      </c>
      <c r="M217" s="9"/>
      <c r="N217" s="10">
        <f t="shared" si="57"/>
        <v>-2312.7100000000028</v>
      </c>
      <c r="O217" s="8">
        <f>IFERROR(N217/N444, "NA")</f>
        <v>-5.2626728446163153E-2</v>
      </c>
      <c r="P217" s="9"/>
      <c r="Q217" s="7">
        <v>40976.270000000004</v>
      </c>
      <c r="R217" s="8">
        <f>IFERROR(Q217/Q444, "NA")</f>
        <v>2.4014608868942876E-2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-40976.270000000004</v>
      </c>
      <c r="X217" s="8">
        <f>IFERROR(W217/W444, "NA")</f>
        <v>0.79899895699501045</v>
      </c>
      <c r="Y217" s="9"/>
      <c r="Z217" s="7">
        <v>49613.159999999996</v>
      </c>
      <c r="AA217" s="8">
        <f>IFERROR(Z217/Z444, "NA")</f>
        <v>2.9903765312694019E-2</v>
      </c>
      <c r="AB217" s="9"/>
      <c r="AC217" s="10">
        <f t="shared" si="59"/>
        <v>8636.8899999999921</v>
      </c>
      <c r="AD217" s="8">
        <f>IFERROR(AC217/AC444, "NA")</f>
        <v>0.18293895158145551</v>
      </c>
    </row>
    <row r="218" spans="1:30" ht="16.5" customHeight="1" x14ac:dyDescent="0.45">
      <c r="A218" s="13" t="s">
        <v>198</v>
      </c>
      <c r="B218" s="14">
        <f>IFERROR(B213+B214+B215+B216+B217, "NA")</f>
        <v>37619.160000000003</v>
      </c>
      <c r="C218" s="15">
        <f>IFERROR(B218/B444, "NA")</f>
        <v>4.765885108667077E-2</v>
      </c>
      <c r="D218" s="2"/>
      <c r="E218" s="14">
        <f>IFERROR(E213+E214+E215+E216+E217, "NA")</f>
        <v>27103.32</v>
      </c>
      <c r="F218" s="15">
        <f>IFERROR(E218/E444, "NA")</f>
        <v>3.3624070237760546E-2</v>
      </c>
      <c r="G218" s="2"/>
      <c r="H218" s="14">
        <f t="shared" si="56"/>
        <v>-10515.840000000004</v>
      </c>
      <c r="I218" s="15">
        <f>IFERROR(H218/H444, "NA")</f>
        <v>0.62869677354555198</v>
      </c>
      <c r="J218" s="2"/>
      <c r="K218" s="14">
        <f>IFERROR(K213+K214+K215+K216+K217, "NA")</f>
        <v>44019.839999999997</v>
      </c>
      <c r="L218" s="15">
        <f>IFERROR(K218/K444, "NA")</f>
        <v>5.9055561302679187E-2</v>
      </c>
      <c r="M218" s="2"/>
      <c r="N218" s="14">
        <f t="shared" si="57"/>
        <v>6400.679999999993</v>
      </c>
      <c r="O218" s="15">
        <f>IFERROR(N218/N444, "NA")</f>
        <v>0.14565027531804109</v>
      </c>
      <c r="P218" s="2"/>
      <c r="Q218" s="14">
        <f>IFERROR(Q213+Q214+Q215+Q216+Q217, "NA")</f>
        <v>73852.260000000009</v>
      </c>
      <c r="R218" s="15">
        <f>IFERROR(Q218/Q444, "NA")</f>
        <v>4.3281956556501487E-2</v>
      </c>
      <c r="S218" s="2"/>
      <c r="T218" s="14">
        <f>IFERROR(T213+T214+T215+T216+T217, "NA")</f>
        <v>59218.11</v>
      </c>
      <c r="U218" s="15">
        <f>IFERROR(T218/T444, "NA")</f>
        <v>3.3692780740286907E-2</v>
      </c>
      <c r="V218" s="2"/>
      <c r="W218" s="14">
        <f t="shared" si="58"/>
        <v>-14634.150000000009</v>
      </c>
      <c r="X218" s="15">
        <f>IFERROR(W218/W444, "NA")</f>
        <v>0.28535224378667307</v>
      </c>
      <c r="Y218" s="2"/>
      <c r="Z218" s="14">
        <f>IFERROR(Z213+Z214+Z215+Z216+Z217, "NA")</f>
        <v>98838.59</v>
      </c>
      <c r="AA218" s="15">
        <f>IFERROR(Z218/Z444, "NA")</f>
        <v>5.9573830798070229E-2</v>
      </c>
      <c r="AB218" s="2"/>
      <c r="AC218" s="14">
        <f t="shared" si="59"/>
        <v>24986.329999999987</v>
      </c>
      <c r="AD218" s="15">
        <f>IFERROR(AC218/AC444, "NA")</f>
        <v>0.5292383038418077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2749.54</v>
      </c>
      <c r="C222" s="8">
        <f>IFERROR(B222/B444, "NA")</f>
        <v>3.4833291710087292E-3</v>
      </c>
      <c r="D222" s="9"/>
      <c r="E222" s="7">
        <v>500</v>
      </c>
      <c r="F222" s="8">
        <f>IFERROR(E222/E444, "NA")</f>
        <v>6.202943078146985E-4</v>
      </c>
      <c r="G222" s="9"/>
      <c r="H222" s="10">
        <f t="shared" si="56"/>
        <v>-2249.54</v>
      </c>
      <c r="I222" s="8">
        <f>IFERROR(H222/H444, "NA")</f>
        <v>0.13449030604893766</v>
      </c>
      <c r="J222" s="9"/>
      <c r="K222" s="7">
        <v>1721.6200000000001</v>
      </c>
      <c r="L222" s="8">
        <f>IFERROR(K222/K444, "NA")</f>
        <v>2.3096684460897302E-3</v>
      </c>
      <c r="M222" s="9"/>
      <c r="N222" s="10">
        <f t="shared" si="57"/>
        <v>-1027.9199999999998</v>
      </c>
      <c r="O222" s="8">
        <f>IFERROR(N222/N444, "NA")</f>
        <v>-2.3390769575251526E-2</v>
      </c>
      <c r="P222" s="9"/>
      <c r="Q222" s="7">
        <v>3785.8399999999997</v>
      </c>
      <c r="R222" s="8">
        <f>IFERROR(Q222/Q444, "NA")</f>
        <v>2.2187345710187548E-3</v>
      </c>
      <c r="S222" s="9"/>
      <c r="T222" s="7">
        <v>1500</v>
      </c>
      <c r="U222" s="8">
        <f>IFERROR(T222/T444, "NA")</f>
        <v>8.5344113667981561E-4</v>
      </c>
      <c r="V222" s="9"/>
      <c r="W222" s="10">
        <f t="shared" si="58"/>
        <v>-2285.8399999999997</v>
      </c>
      <c r="X222" s="8">
        <f>IFERROR(W222/W444, "NA")</f>
        <v>4.4571743007781682E-2</v>
      </c>
      <c r="Y222" s="9"/>
      <c r="Z222" s="7">
        <v>3238.6499999999996</v>
      </c>
      <c r="AA222" s="8">
        <f>IFERROR(Z222/Z444, "NA")</f>
        <v>1.9520592828587511E-3</v>
      </c>
      <c r="AB222" s="9"/>
      <c r="AC222" s="10">
        <f t="shared" si="59"/>
        <v>-547.19000000000005</v>
      </c>
      <c r="AD222" s="8">
        <f>IFERROR(AC222/AC444, "NA")</f>
        <v>-1.1590093762437258E-2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40368.700000000004</v>
      </c>
      <c r="C227" s="15">
        <f>IFERROR(B227/B444, "NA")</f>
        <v>5.1142180257679505E-2</v>
      </c>
      <c r="D227" s="2"/>
      <c r="E227" s="14">
        <f>IFERROR(E211+E213+E214+E215+E216+E217+E219+E220+E221+E222+E223+E224+E225+E226, "NA")</f>
        <v>27603.32</v>
      </c>
      <c r="F227" s="15">
        <f>IFERROR(E227/E444, "NA")</f>
        <v>3.4244364545575244E-2</v>
      </c>
      <c r="G227" s="2"/>
      <c r="H227" s="14">
        <f t="shared" si="56"/>
        <v>-12765.380000000005</v>
      </c>
      <c r="I227" s="15">
        <f>IFERROR(H227/H444, "NA")</f>
        <v>0.76318707959448973</v>
      </c>
      <c r="J227" s="2"/>
      <c r="K227" s="14">
        <f>IFERROR(K211+K213+K214+K215+K216+K217+K219+K220+K221+K222+K223+K224+K225+K226, "NA")</f>
        <v>45741.46</v>
      </c>
      <c r="L227" s="15">
        <f>IFERROR(K227/K444, "NA")</f>
        <v>6.1365229748768915E-2</v>
      </c>
      <c r="M227" s="2"/>
      <c r="N227" s="14">
        <f t="shared" si="57"/>
        <v>5372.7599999999948</v>
      </c>
      <c r="O227" s="15">
        <f>IFERROR(N227/N444, "NA")</f>
        <v>0.1222595057427896</v>
      </c>
      <c r="P227" s="2"/>
      <c r="Q227" s="14">
        <f>IFERROR(Q211+Q213+Q214+Q215+Q216+Q217+Q219+Q220+Q221+Q222+Q223+Q224+Q225+Q226, "NA")</f>
        <v>77638.100000000006</v>
      </c>
      <c r="R227" s="15">
        <f>IFERROR(Q227/Q444, "NA")</f>
        <v>4.550069112752024E-2</v>
      </c>
      <c r="S227" s="2"/>
      <c r="T227" s="14">
        <f>IFERROR(T211+T213+T214+T215+T216+T217+T219+T220+T221+T222+T223+T224+T225+T226, "NA")</f>
        <v>60718.11</v>
      </c>
      <c r="U227" s="15">
        <f>IFERROR(T227/T444, "NA")</f>
        <v>3.4546221876966723E-2</v>
      </c>
      <c r="V227" s="2"/>
      <c r="W227" s="14">
        <f t="shared" si="58"/>
        <v>-16919.990000000005</v>
      </c>
      <c r="X227" s="15">
        <f>IFERROR(W227/W444, "NA")</f>
        <v>0.32992398679445467</v>
      </c>
      <c r="Y227" s="2"/>
      <c r="Z227" s="14">
        <f>IFERROR(Z211+Z213+Z214+Z215+Z216+Z217+Z219+Z220+Z221+Z222+Z223+Z224+Z225+Z226, "NA")</f>
        <v>102077.23999999999</v>
      </c>
      <c r="AA227" s="15">
        <f>IFERROR(Z227/Z444, "NA")</f>
        <v>6.1525890080928979E-2</v>
      </c>
      <c r="AB227" s="2"/>
      <c r="AC227" s="14">
        <f t="shared" si="59"/>
        <v>24439.139999999985</v>
      </c>
      <c r="AD227" s="15">
        <f>IFERROR(AC227/AC444, "NA")</f>
        <v>0.51764821007937045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12351.73</v>
      </c>
      <c r="F229" s="8">
        <f>IFERROR(E229/E444, "NA")</f>
        <v>1.532341562132809E-2</v>
      </c>
      <c r="G229" s="9"/>
      <c r="H229" s="10">
        <f t="shared" ref="H229:H236" si="60">IFERROR(-(B229-E229), "NA")</f>
        <v>12351.73</v>
      </c>
      <c r="I229" s="8">
        <f>IFERROR(H229/H444, "NA")</f>
        <v>-0.73845672801276907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26984.420000000002</v>
      </c>
      <c r="U229" s="8">
        <f>IFERROR(T229/T444, "NA")</f>
        <v>1.5353076051630369E-2</v>
      </c>
      <c r="V229" s="9"/>
      <c r="W229" s="10">
        <f t="shared" ref="W229:W236" si="62">IFERROR(-(Q229-T229), "NA")</f>
        <v>26984.420000000002</v>
      </c>
      <c r="X229" s="8">
        <f>IFERROR(W229/W444, "NA")</f>
        <v>-0.52617096273319408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83.95</v>
      </c>
      <c r="L230" s="8">
        <f>IFERROR(K230/K444, "NA")</f>
        <v>1.1262454319143181E-4</v>
      </c>
      <c r="M230" s="9"/>
      <c r="N230" s="10">
        <f t="shared" si="61"/>
        <v>83.95</v>
      </c>
      <c r="O230" s="8">
        <f>IFERROR(N230/N444, "NA")</f>
        <v>1.9103189993796852E-3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83.95</v>
      </c>
      <c r="AA230" s="8">
        <f>IFERROR(Z230/Z444, "NA")</f>
        <v>5.0599903291801269E-5</v>
      </c>
      <c r="AB230" s="9"/>
      <c r="AC230" s="10">
        <f t="shared" si="63"/>
        <v>83.95</v>
      </c>
      <c r="AD230" s="8">
        <f>IFERROR(AC230/AC444, "NA")</f>
        <v>1.7781545191918856E-3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1392.9099999999999</v>
      </c>
      <c r="L231" s="8">
        <f>IFERROR(K231/K444, "NA")</f>
        <v>1.868681982808544E-3</v>
      </c>
      <c r="M231" s="9"/>
      <c r="N231" s="10">
        <f t="shared" si="61"/>
        <v>1392.9099999999999</v>
      </c>
      <c r="O231" s="8">
        <f>IFERROR(N231/N444, "NA")</f>
        <v>3.1696276800785669E-2</v>
      </c>
      <c r="P231" s="9"/>
      <c r="Q231" s="7">
        <v>574</v>
      </c>
      <c r="R231" s="8">
        <f>IFERROR(Q231/Q444, "NA")</f>
        <v>3.363992254730167E-4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-574</v>
      </c>
      <c r="X231" s="8">
        <f>IFERROR(W231/W444, "NA")</f>
        <v>1.1192463377343422E-2</v>
      </c>
      <c r="Y231" s="9"/>
      <c r="Z231" s="7">
        <v>3346.3</v>
      </c>
      <c r="AA231" s="8">
        <f>IFERROR(Z231/Z444, "NA")</f>
        <v>2.0169440903556237E-3</v>
      </c>
      <c r="AB231" s="9"/>
      <c r="AC231" s="10">
        <f t="shared" si="63"/>
        <v>2772.3</v>
      </c>
      <c r="AD231" s="8">
        <f>IFERROR(AC231/AC444, "NA")</f>
        <v>5.8720402305606482E-2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14.34</v>
      </c>
      <c r="C233" s="8">
        <f>IFERROR(B233/B444, "NA")</f>
        <v>1.8167017141872886E-5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-14.34</v>
      </c>
      <c r="I233" s="8">
        <f>IFERROR(H233/H444, "NA")</f>
        <v>8.5732682625859773E-4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-14.34</v>
      </c>
      <c r="O233" s="8">
        <f>IFERROR(N233/N444, "NA")</f>
        <v>-3.2631297738063946E-4</v>
      </c>
      <c r="P233" s="9"/>
      <c r="Q233" s="7">
        <v>285.66000000000003</v>
      </c>
      <c r="R233" s="8">
        <f>IFERROR(Q233/Q444, "NA")</f>
        <v>1.6741429050282571E-4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-285.66000000000003</v>
      </c>
      <c r="X233" s="8">
        <f>IFERROR(W233/W444, "NA")</f>
        <v>5.5701029414144988E-3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-285.66000000000003</v>
      </c>
      <c r="AD233" s="8">
        <f>IFERROR(AC233/AC444, "NA")</f>
        <v>-6.0505970214693753E-3</v>
      </c>
    </row>
    <row r="234" spans="1:30" ht="16.5" customHeight="1" x14ac:dyDescent="0.45">
      <c r="A234" s="6" t="s">
        <v>213</v>
      </c>
      <c r="B234" s="7">
        <v>12322.11</v>
      </c>
      <c r="C234" s="8">
        <f>IFERROR(B234/B444, "NA")</f>
        <v>1.5610598576990469E-2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-12322.11</v>
      </c>
      <c r="I234" s="8">
        <f>IFERROR(H234/H444, "NA")</f>
        <v>0.73668587580957678</v>
      </c>
      <c r="J234" s="9"/>
      <c r="K234" s="7">
        <v>10932.949999999999</v>
      </c>
      <c r="L234" s="8">
        <f>IFERROR(K234/K444, "NA")</f>
        <v>1.4667284091539778E-2</v>
      </c>
      <c r="M234" s="9"/>
      <c r="N234" s="10">
        <f t="shared" si="61"/>
        <v>-1389.1600000000017</v>
      </c>
      <c r="O234" s="8">
        <f>IFERROR(N234/N444, "NA")</f>
        <v>-3.1610943909211278E-2</v>
      </c>
      <c r="P234" s="9"/>
      <c r="Q234" s="7">
        <v>26910.5</v>
      </c>
      <c r="R234" s="8">
        <f>IFERROR(Q234/Q444, "NA")</f>
        <v>1.5771204454863443E-2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-26910.5</v>
      </c>
      <c r="X234" s="8">
        <f>IFERROR(W234/W444, "NA")</f>
        <v>0.52472959183972157</v>
      </c>
      <c r="Y234" s="9"/>
      <c r="Z234" s="7">
        <v>26030.45</v>
      </c>
      <c r="AA234" s="8">
        <f>IFERROR(Z234/Z444, "NA")</f>
        <v>1.5689556314974012E-2</v>
      </c>
      <c r="AB234" s="9"/>
      <c r="AC234" s="10">
        <f t="shared" si="63"/>
        <v>-880.04999999999927</v>
      </c>
      <c r="AD234" s="8">
        <f>IFERROR(AC234/AC444, "NA")</f>
        <v>-1.8640439364083591E-2</v>
      </c>
    </row>
    <row r="235" spans="1:30" ht="16.5" customHeight="1" x14ac:dyDescent="0.45">
      <c r="A235" s="6" t="s">
        <v>214</v>
      </c>
      <c r="B235" s="7">
        <v>260.75</v>
      </c>
      <c r="C235" s="8">
        <f>IFERROR(B235/B444, "NA")</f>
        <v>3.3033819524012242E-4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-260.75</v>
      </c>
      <c r="I235" s="8">
        <f>IFERROR(H235/H444, "NA")</f>
        <v>1.5589119243161044E-2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-260.75</v>
      </c>
      <c r="O235" s="8">
        <f>IFERROR(N235/N444, "NA")</f>
        <v>-5.9334803941423816E-3</v>
      </c>
      <c r="P235" s="9"/>
      <c r="Q235" s="7">
        <v>403.78999999999996</v>
      </c>
      <c r="R235" s="8">
        <f>IFERROR(Q235/Q444, "NA")</f>
        <v>2.3664571995426725E-4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-403.78999999999996</v>
      </c>
      <c r="X235" s="8">
        <f>IFERROR(W235/W444, "NA")</f>
        <v>7.8735275037238681E-3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-403.78999999999996</v>
      </c>
      <c r="AD235" s="8">
        <f>IFERROR(AC235/AC444, "NA")</f>
        <v>-8.5527220167300935E-3</v>
      </c>
    </row>
    <row r="236" spans="1:30" ht="16.5" customHeight="1" x14ac:dyDescent="0.45">
      <c r="A236" s="19" t="s">
        <v>215</v>
      </c>
      <c r="B236" s="14">
        <f>IFERROR(B229+B230+B231+B232+B233+B234+B235, "NA")</f>
        <v>12597.2</v>
      </c>
      <c r="C236" s="15">
        <f>IFERROR(B236/B444, "NA")</f>
        <v>1.5959103789372465E-2</v>
      </c>
      <c r="D236" s="2"/>
      <c r="E236" s="14">
        <f>IFERROR(E229+E230+E231+E232+E233+E234+E235, "NA")</f>
        <v>12351.73</v>
      </c>
      <c r="F236" s="15">
        <f>IFERROR(E236/E444, "NA")</f>
        <v>1.532341562132809E-2</v>
      </c>
      <c r="G236" s="2"/>
      <c r="H236" s="14">
        <f t="shared" si="60"/>
        <v>-245.47000000000116</v>
      </c>
      <c r="I236" s="15">
        <f>IFERROR(H236/H444, "NA")</f>
        <v>1.4675593866227266E-2</v>
      </c>
      <c r="J236" s="2"/>
      <c r="K236" s="14">
        <f>IFERROR(K229+K230+K231+K232+K233+K234+K235, "NA")</f>
        <v>12409.81</v>
      </c>
      <c r="L236" s="15">
        <f>IFERROR(K236/K444, "NA")</f>
        <v>1.6648590617539753E-2</v>
      </c>
      <c r="M236" s="2"/>
      <c r="N236" s="14">
        <f t="shared" si="61"/>
        <v>-187.39000000000124</v>
      </c>
      <c r="O236" s="15">
        <f>IFERROR(N236/N444, "NA")</f>
        <v>-4.2641414805689283E-3</v>
      </c>
      <c r="P236" s="2"/>
      <c r="Q236" s="14">
        <f>IFERROR(Q229+Q230+Q231+Q232+Q233+Q234+Q235, "NA")</f>
        <v>28173.95</v>
      </c>
      <c r="R236" s="15">
        <f>IFERROR(Q236/Q444, "NA")</f>
        <v>1.651166369079355E-2</v>
      </c>
      <c r="S236" s="2"/>
      <c r="T236" s="14">
        <f>IFERROR(T229+T230+T231+T232+T233+T234+T235, "NA")</f>
        <v>26984.420000000002</v>
      </c>
      <c r="U236" s="15">
        <f>IFERROR(T236/T444, "NA")</f>
        <v>1.5353076051630369E-2</v>
      </c>
      <c r="V236" s="2"/>
      <c r="W236" s="14">
        <f t="shared" si="62"/>
        <v>-1189.5299999999988</v>
      </c>
      <c r="X236" s="15">
        <f>IFERROR(W236/W444, "NA")</f>
        <v>2.3194722929009245E-2</v>
      </c>
      <c r="Y236" s="2"/>
      <c r="Z236" s="14">
        <f>IFERROR(Z229+Z230+Z231+Z232+Z233+Z234+Z235, "NA")</f>
        <v>29460.7</v>
      </c>
      <c r="AA236" s="15">
        <f>IFERROR(Z236/Z444, "NA")</f>
        <v>1.7757100308621439E-2</v>
      </c>
      <c r="AB236" s="2"/>
      <c r="AC236" s="14">
        <f t="shared" si="63"/>
        <v>1286.75</v>
      </c>
      <c r="AD236" s="15">
        <f>IFERROR(AC236/AC444, "NA")</f>
        <v>2.725479842251529E-2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53410.01</v>
      </c>
      <c r="F240" s="8">
        <f>IFERROR(E240/E444, "NA")</f>
        <v>6.6259850366652245E-2</v>
      </c>
      <c r="G240" s="9"/>
      <c r="H240" s="10">
        <f t="shared" ref="H240:H263" si="64">IFERROR(-(B240-E240), "NA")</f>
        <v>53410.01</v>
      </c>
      <c r="I240" s="8">
        <f>IFERROR(H240/H444, "NA")</f>
        <v>-3.1931544186708485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116958.24000000002</v>
      </c>
      <c r="U240" s="8">
        <f>IFERROR(T240/T444, "NA")</f>
        <v>6.6544648859780467E-2</v>
      </c>
      <c r="V240" s="9"/>
      <c r="W240" s="10">
        <f t="shared" ref="W240:W263" si="66">IFERROR(-(Q240-T240), "NA")</f>
        <v>116958.24000000002</v>
      </c>
      <c r="X240" s="8">
        <f>IFERROR(W240/W444, "NA")</f>
        <v>-2.2805763377674961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74.75</v>
      </c>
      <c r="C241" s="8">
        <f>IFERROR(B241/B444, "NA")</f>
        <v>9.4699060763946876E-5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-74.75</v>
      </c>
      <c r="I241" s="8">
        <f>IFERROR(H241/H444, "NA")</f>
        <v>4.4689804925265118E-3</v>
      </c>
      <c r="J241" s="9"/>
      <c r="K241" s="7">
        <v>101.95</v>
      </c>
      <c r="L241" s="8">
        <f>IFERROR(K241/K444, "NA")</f>
        <v>1.3677274780662864E-4</v>
      </c>
      <c r="M241" s="9"/>
      <c r="N241" s="10">
        <f t="shared" si="65"/>
        <v>27.200000000000003</v>
      </c>
      <c r="O241" s="8">
        <f>IFERROR(N241/N444, "NA")</f>
        <v>6.1894790688656867E-4</v>
      </c>
      <c r="P241" s="9"/>
      <c r="Q241" s="7">
        <v>189.79</v>
      </c>
      <c r="R241" s="8">
        <f>IFERROR(Q241/Q444, "NA")</f>
        <v>1.1122858711241087E-4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-189.79</v>
      </c>
      <c r="X241" s="8">
        <f>IFERROR(W241/W444, "NA")</f>
        <v>3.7007275686167388E-3</v>
      </c>
      <c r="Y241" s="9"/>
      <c r="Z241" s="7">
        <v>561.48</v>
      </c>
      <c r="AA241" s="8">
        <f>IFERROR(Z241/Z444, "NA")</f>
        <v>3.3842565455962569E-4</v>
      </c>
      <c r="AB241" s="9"/>
      <c r="AC241" s="10">
        <f t="shared" si="67"/>
        <v>371.69000000000005</v>
      </c>
      <c r="AD241" s="8">
        <f>IFERROR(AC241/AC444, "NA")</f>
        <v>7.8728082577538064E-3</v>
      </c>
    </row>
    <row r="242" spans="1:30" ht="16.5" customHeight="1" x14ac:dyDescent="0.45">
      <c r="A242" s="12" t="s">
        <v>219</v>
      </c>
      <c r="B242" s="7">
        <v>10373.560000000001</v>
      </c>
      <c r="C242" s="8">
        <f>IFERROR(B242/B444, "NA")</f>
        <v>1.3142025267939115E-2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-10373.560000000001</v>
      </c>
      <c r="I242" s="8">
        <f>IFERROR(H242/H444, "NA")</f>
        <v>0.62019046525823851</v>
      </c>
      <c r="J242" s="9"/>
      <c r="K242" s="7">
        <v>8317.8499999999985</v>
      </c>
      <c r="L242" s="8">
        <f>IFERROR(K242/K444, "NA")</f>
        <v>1.11589524310286E-2</v>
      </c>
      <c r="M242" s="9"/>
      <c r="N242" s="10">
        <f t="shared" si="65"/>
        <v>-2055.7100000000028</v>
      </c>
      <c r="O242" s="8">
        <f>IFERROR(N242/N444, "NA")</f>
        <v>-4.6778580943595209E-2</v>
      </c>
      <c r="P242" s="9"/>
      <c r="Q242" s="7">
        <v>26203.8</v>
      </c>
      <c r="R242" s="8">
        <f>IFERROR(Q242/Q444, "NA")</f>
        <v>1.5357034885801105E-2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-26203.8</v>
      </c>
      <c r="X242" s="8">
        <f>IFERROR(W242/W444, "NA")</f>
        <v>0.51094960252130928</v>
      </c>
      <c r="Y242" s="9"/>
      <c r="Z242" s="7">
        <v>20669.05</v>
      </c>
      <c r="AA242" s="8">
        <f>IFERROR(Z242/Z444, "NA")</f>
        <v>1.2458033724042942E-2</v>
      </c>
      <c r="AB242" s="9"/>
      <c r="AC242" s="10">
        <f t="shared" si="67"/>
        <v>-5534.75</v>
      </c>
      <c r="AD242" s="8">
        <f>IFERROR(AC242/AC444, "NA")</f>
        <v>-0.11723217063844298</v>
      </c>
    </row>
    <row r="243" spans="1:30" ht="16.5" customHeight="1" x14ac:dyDescent="0.45">
      <c r="A243" s="12" t="s">
        <v>220</v>
      </c>
      <c r="B243" s="7">
        <v>19563.809999999998</v>
      </c>
      <c r="C243" s="8">
        <f>IFERROR(B243/B444, "NA")</f>
        <v>2.4784942233636274E-2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-19563.809999999998</v>
      </c>
      <c r="I243" s="8">
        <f>IFERROR(H243/H444, "NA")</f>
        <v>1.1696359230701685</v>
      </c>
      <c r="J243" s="9"/>
      <c r="K243" s="7">
        <v>17974.169999999998</v>
      </c>
      <c r="L243" s="8">
        <f>IFERROR(K243/K444, "NA")</f>
        <v>2.4113551941574007E-2</v>
      </c>
      <c r="M243" s="9"/>
      <c r="N243" s="10">
        <f t="shared" si="65"/>
        <v>-1589.6399999999994</v>
      </c>
      <c r="O243" s="8">
        <f>IFERROR(N243/N444, "NA")</f>
        <v>-3.6172954069969288E-2</v>
      </c>
      <c r="P243" s="9"/>
      <c r="Q243" s="7">
        <v>43080.89</v>
      </c>
      <c r="R243" s="8">
        <f>IFERROR(Q243/Q444, "NA")</f>
        <v>2.524804534614674E-2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-43080.89</v>
      </c>
      <c r="X243" s="8">
        <f>IFERROR(W243/W444, "NA")</f>
        <v>0.84003707942223071</v>
      </c>
      <c r="Y243" s="9"/>
      <c r="Z243" s="7">
        <v>45382.51</v>
      </c>
      <c r="AA243" s="8">
        <f>IFERROR(Z243/Z444, "NA")</f>
        <v>2.7353789364374079E-2</v>
      </c>
      <c r="AB243" s="9"/>
      <c r="AC243" s="10">
        <f t="shared" si="67"/>
        <v>2301.6200000000026</v>
      </c>
      <c r="AD243" s="8">
        <f>IFERROR(AC243/AC444, "NA")</f>
        <v>4.8750875574299371E-2</v>
      </c>
    </row>
    <row r="244" spans="1:30" ht="16.5" customHeight="1" x14ac:dyDescent="0.45">
      <c r="A244" s="12" t="s">
        <v>221</v>
      </c>
      <c r="B244" s="7">
        <v>5729.56</v>
      </c>
      <c r="C244" s="8">
        <f>IFERROR(B244/B444, "NA")</f>
        <v>7.2586481684371847E-3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-5729.56</v>
      </c>
      <c r="I244" s="8">
        <f>IFERROR(H244/H444, "NA")</f>
        <v>0.34254571064562145</v>
      </c>
      <c r="J244" s="9"/>
      <c r="K244" s="7">
        <v>559.58000000000004</v>
      </c>
      <c r="L244" s="8">
        <f>IFERROR(K244/K444, "NA")</f>
        <v>7.5071401880954635E-4</v>
      </c>
      <c r="M244" s="9"/>
      <c r="N244" s="10">
        <f t="shared" si="65"/>
        <v>-5169.9800000000005</v>
      </c>
      <c r="O244" s="8">
        <f>IFERROR(N244/N444, "NA")</f>
        <v>-0.11764515807519935</v>
      </c>
      <c r="P244" s="9"/>
      <c r="Q244" s="7">
        <v>12689.58</v>
      </c>
      <c r="R244" s="8">
        <f>IFERROR(Q244/Q444, "NA")</f>
        <v>7.436872619473664E-3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-12689.58</v>
      </c>
      <c r="X244" s="8">
        <f>IFERROR(W244/W444, "NA")</f>
        <v>0.24743494673148003</v>
      </c>
      <c r="Y244" s="9"/>
      <c r="Z244" s="7">
        <v>1296.83</v>
      </c>
      <c r="AA244" s="8">
        <f>IFERROR(Z244/Z444, "NA")</f>
        <v>7.8164946498995391E-4</v>
      </c>
      <c r="AB244" s="9"/>
      <c r="AC244" s="10">
        <f t="shared" si="67"/>
        <v>-11392.75</v>
      </c>
      <c r="AD244" s="8">
        <f>IFERROR(AC244/AC444, "NA")</f>
        <v>-0.24131113637311916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1129.8</v>
      </c>
      <c r="C246" s="8">
        <f>IFERROR(B246/B444, "NA")</f>
        <v>1.4313177103827048E-3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-1129.8</v>
      </c>
      <c r="I246" s="8">
        <f>IFERROR(H246/H444, "NA")</f>
        <v>6.7545875056273616E-2</v>
      </c>
      <c r="J246" s="9"/>
      <c r="K246" s="7">
        <v>2522.94</v>
      </c>
      <c r="L246" s="8">
        <f>IFERROR(K246/K444, "NA")</f>
        <v>3.3846928528813696E-3</v>
      </c>
      <c r="M246" s="9"/>
      <c r="N246" s="10">
        <f t="shared" si="65"/>
        <v>1393.14</v>
      </c>
      <c r="O246" s="8">
        <f>IFERROR(N246/N444, "NA")</f>
        <v>3.1701510551468907E-2</v>
      </c>
      <c r="P246" s="9"/>
      <c r="Q246" s="7">
        <v>2438.7600000000002</v>
      </c>
      <c r="R246" s="8">
        <f>IFERROR(Q246/Q444, "NA")</f>
        <v>1.4292630228476904E-3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-2438.7600000000002</v>
      </c>
      <c r="X246" s="8">
        <f>IFERROR(W246/W444, "NA")</f>
        <v>4.755354004552273E-2</v>
      </c>
      <c r="Y246" s="9"/>
      <c r="Z246" s="7">
        <v>5630.42</v>
      </c>
      <c r="AA246" s="8">
        <f>IFERROR(Z246/Z444, "NA")</f>
        <v>3.3936713221229746E-3</v>
      </c>
      <c r="AB246" s="9"/>
      <c r="AC246" s="10">
        <f t="shared" si="67"/>
        <v>3191.66</v>
      </c>
      <c r="AD246" s="8">
        <f>IFERROR(AC246/AC444, "NA")</f>
        <v>6.7602914267111056E-2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1413.5600000000002</v>
      </c>
      <c r="C248" s="8">
        <f>IFERROR(B248/B444, "NA")</f>
        <v>1.7908067469362512E-3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-1413.5600000000002</v>
      </c>
      <c r="I248" s="8">
        <f>IFERROR(H248/H444, "NA")</f>
        <v>8.4510663077134146E-2</v>
      </c>
      <c r="J248" s="9"/>
      <c r="K248" s="7">
        <v>1437.67</v>
      </c>
      <c r="L248" s="8">
        <f>IFERROR(K248/K444, "NA")</f>
        <v>1.9287305182850004E-3</v>
      </c>
      <c r="M248" s="9"/>
      <c r="N248" s="10">
        <f t="shared" si="65"/>
        <v>24.1099999999999</v>
      </c>
      <c r="O248" s="8">
        <f>IFERROR(N248/N444, "NA")</f>
        <v>5.4863360422923195E-4</v>
      </c>
      <c r="P248" s="9"/>
      <c r="Q248" s="7">
        <v>3520.2</v>
      </c>
      <c r="R248" s="8">
        <f>IFERROR(Q248/Q444, "NA")</f>
        <v>2.0630532291116958E-3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-3520.2</v>
      </c>
      <c r="X248" s="8">
        <f>IFERROR(W248/W444, "NA")</f>
        <v>6.864060902600054E-2</v>
      </c>
      <c r="Y248" s="9"/>
      <c r="Z248" s="7">
        <v>3616.16</v>
      </c>
      <c r="AA248" s="8">
        <f>IFERROR(Z248/Z444, "NA")</f>
        <v>2.1795991219497328E-3</v>
      </c>
      <c r="AB248" s="9"/>
      <c r="AC248" s="10">
        <f t="shared" si="67"/>
        <v>95.960000000000036</v>
      </c>
      <c r="AD248" s="8">
        <f>IFERROR(AC248/AC444, "NA")</f>
        <v>2.032539698173358E-3</v>
      </c>
    </row>
    <row r="249" spans="1:30" ht="16.5" customHeight="1" x14ac:dyDescent="0.45">
      <c r="A249" s="12" t="s">
        <v>226</v>
      </c>
      <c r="B249" s="7">
        <v>18237.800000000003</v>
      </c>
      <c r="C249" s="8">
        <f>IFERROR(B249/B444, "NA")</f>
        <v>2.310505057392255E-2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-18237.800000000003</v>
      </c>
      <c r="I249" s="8">
        <f>IFERROR(H249/H444, "NA")</f>
        <v>1.0903594973458199</v>
      </c>
      <c r="J249" s="9"/>
      <c r="K249" s="7">
        <v>14312.699999999999</v>
      </c>
      <c r="L249" s="8">
        <f>IFERROR(K249/K444, "NA")</f>
        <v>1.9201444899773747E-2</v>
      </c>
      <c r="M249" s="9"/>
      <c r="N249" s="10">
        <f t="shared" si="65"/>
        <v>-3925.100000000004</v>
      </c>
      <c r="O249" s="8">
        <f>IFERROR(N249/N444, "NA")</f>
        <v>-8.9317368725017388E-2</v>
      </c>
      <c r="P249" s="9"/>
      <c r="Q249" s="7">
        <v>35516.069999999992</v>
      </c>
      <c r="R249" s="8">
        <f>IFERROR(Q249/Q444, "NA")</f>
        <v>2.0814596585096587E-2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-35516.069999999992</v>
      </c>
      <c r="X249" s="8">
        <f>IFERROR(W249/W444, "NA")</f>
        <v>0.69253016164140302</v>
      </c>
      <c r="Y249" s="9"/>
      <c r="Z249" s="7">
        <v>31721.040000000001</v>
      </c>
      <c r="AA249" s="8">
        <f>IFERROR(Z249/Z444, "NA")</f>
        <v>1.9119494417097795E-2</v>
      </c>
      <c r="AB249" s="9"/>
      <c r="AC249" s="10">
        <f t="shared" si="67"/>
        <v>-3795.0299999999916</v>
      </c>
      <c r="AD249" s="8">
        <f>IFERROR(AC249/AC444, "NA")</f>
        <v>-8.0382963013326578E-2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65.11</v>
      </c>
      <c r="C251" s="8">
        <f>IFERROR(B251/B444, "NA")</f>
        <v>8.2486365837332185E-5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-65.11</v>
      </c>
      <c r="I251" s="8">
        <f>IFERROR(H251/H444, "NA")</f>
        <v>3.8926464196441632E-3</v>
      </c>
      <c r="J251" s="9"/>
      <c r="K251" s="7">
        <v>71.27</v>
      </c>
      <c r="L251" s="8">
        <f>IFERROR(K251/K444, "NA")</f>
        <v>9.561347460694872E-5</v>
      </c>
      <c r="M251" s="9"/>
      <c r="N251" s="10">
        <f t="shared" si="65"/>
        <v>6.1599999999999966</v>
      </c>
      <c r="O251" s="8">
        <f>IFERROR(N251/N444, "NA")</f>
        <v>1.4017349655960518E-4</v>
      </c>
      <c r="P251" s="9"/>
      <c r="Q251" s="7">
        <v>352.32000000000005</v>
      </c>
      <c r="R251" s="8">
        <f>IFERROR(Q251/Q444, "NA")</f>
        <v>2.0648114132169556E-4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-352.32000000000005</v>
      </c>
      <c r="X251" s="8">
        <f>IFERROR(W251/W444, "NA")</f>
        <v>6.8699106221352529E-3</v>
      </c>
      <c r="Y251" s="9"/>
      <c r="Z251" s="7">
        <v>166.55</v>
      </c>
      <c r="AA251" s="8">
        <f>IFERROR(Z251/Z444, "NA")</f>
        <v>1.0038610950863016E-4</v>
      </c>
      <c r="AB251" s="9"/>
      <c r="AC251" s="10">
        <f t="shared" si="67"/>
        <v>-185.77000000000004</v>
      </c>
      <c r="AD251" s="8">
        <f>IFERROR(AC251/AC444, "NA")</f>
        <v>-3.9348155453278934E-3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441.85</v>
      </c>
      <c r="L253" s="8">
        <f>IFERROR(K253/K444, "NA")</f>
        <v>5.9277134495692855E-4</v>
      </c>
      <c r="M253" s="9"/>
      <c r="N253" s="10">
        <f t="shared" si="65"/>
        <v>441.85</v>
      </c>
      <c r="O253" s="8">
        <f>IFERROR(N253/N444, "NA")</f>
        <v>1.0054490171243763E-2</v>
      </c>
      <c r="P253" s="9"/>
      <c r="Q253" s="7">
        <v>933.95</v>
      </c>
      <c r="R253" s="8">
        <f>IFERROR(Q253/Q444, "NA")</f>
        <v>5.4735201503575603E-4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1.8211151866323848E-2</v>
      </c>
      <c r="Y253" s="9"/>
      <c r="Z253" s="7">
        <v>441.85</v>
      </c>
      <c r="AA253" s="8">
        <f>IFERROR(Z253/Z444, "NA")</f>
        <v>2.6632003894559134E-4</v>
      </c>
      <c r="AB253" s="9"/>
      <c r="AC253" s="10">
        <f t="shared" si="67"/>
        <v>-492.1</v>
      </c>
      <c r="AD253" s="8">
        <f>IFERROR(AC253/AC444, "NA")</f>
        <v>-1.0423226192904429E-2</v>
      </c>
    </row>
    <row r="254" spans="1:30" ht="16.5" customHeight="1" x14ac:dyDescent="0.45">
      <c r="A254" s="12" t="s">
        <v>231</v>
      </c>
      <c r="B254" s="7">
        <v>4150.38</v>
      </c>
      <c r="C254" s="8">
        <f>IFERROR(B254/B444, "NA")</f>
        <v>5.2580212416517705E-3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-4150.38</v>
      </c>
      <c r="I254" s="8">
        <f>IFERROR(H254/H444, "NA")</f>
        <v>0.24813334122504596</v>
      </c>
      <c r="J254" s="9"/>
      <c r="K254" s="7">
        <v>881.6</v>
      </c>
      <c r="L254" s="8">
        <f>IFERROR(K254/K444, "NA")</f>
        <v>1.1827253993754174E-3</v>
      </c>
      <c r="M254" s="9"/>
      <c r="N254" s="10">
        <f t="shared" si="65"/>
        <v>-3268.78</v>
      </c>
      <c r="O254" s="8">
        <f>IFERROR(N254/N444, "NA")</f>
        <v>-7.4382519818848455E-2</v>
      </c>
      <c r="P254" s="9"/>
      <c r="Q254" s="7">
        <v>10026.34</v>
      </c>
      <c r="R254" s="8">
        <f>IFERROR(Q254/Q444, "NA")</f>
        <v>5.876050540643077E-3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-10026.34</v>
      </c>
      <c r="X254" s="8">
        <f>IFERROR(W254/W444, "NA")</f>
        <v>0.19550425654842063</v>
      </c>
      <c r="Y254" s="9"/>
      <c r="Z254" s="7">
        <v>5826.85</v>
      </c>
      <c r="AA254" s="8">
        <f>IFERROR(Z254/Z444, "NA")</f>
        <v>3.5120672602243267E-3</v>
      </c>
      <c r="AB254" s="9"/>
      <c r="AC254" s="10">
        <f t="shared" si="67"/>
        <v>-4199.49</v>
      </c>
      <c r="AD254" s="8">
        <f>IFERROR(AC254/AC444, "NA")</f>
        <v>-8.8949876376427997E-2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1555.96</v>
      </c>
      <c r="C258" s="8">
        <f>IFERROR(B258/B444, "NA")</f>
        <v>1.9712100412879034E-3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-1555.96</v>
      </c>
      <c r="I258" s="8">
        <f>IFERROR(H258/H444, "NA")</f>
        <v>9.3024145647512393E-2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-1555.96</v>
      </c>
      <c r="O258" s="8">
        <f>IFERROR(N258/N444, "NA")</f>
        <v>-3.5406550926442105E-2</v>
      </c>
      <c r="P258" s="9"/>
      <c r="Q258" s="7">
        <v>1832.29</v>
      </c>
      <c r="R258" s="8">
        <f>IFERROR(Q258/Q444, "NA")</f>
        <v>1.0738343847420796E-3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-1832.29</v>
      </c>
      <c r="X258" s="8">
        <f>IFERROR(W258/W444, "NA")</f>
        <v>3.572794202381982E-2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-1832.29</v>
      </c>
      <c r="AD258" s="8">
        <f>IFERROR(AC258/AC444, "NA")</f>
        <v>-3.8809943346874327E-2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1063.8</v>
      </c>
      <c r="C260" s="8">
        <f>IFERROR(B260/B444, "NA")</f>
        <v>1.3477038239556747E-3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-1063.8</v>
      </c>
      <c r="I260" s="8">
        <f>IFERROR(H260/H444, "NA")</f>
        <v>6.3600019370564587E-2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-1063.8</v>
      </c>
      <c r="O260" s="8">
        <f>IFERROR(N260/N444, "NA")</f>
        <v>-2.4207234681835724E-2</v>
      </c>
      <c r="P260" s="9"/>
      <c r="Q260" s="7">
        <v>2820.1</v>
      </c>
      <c r="R260" s="8">
        <f>IFERROR(Q260/Q444, "NA")</f>
        <v>1.6527516650809309E-3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-2820.1</v>
      </c>
      <c r="X260" s="8">
        <f>IFERROR(W260/W444, "NA")</f>
        <v>5.4989313537362687E-2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-2820.1</v>
      </c>
      <c r="AD260" s="8">
        <f>IFERROR(AC260/AC444, "NA")</f>
        <v>-5.9732859554175531E-2</v>
      </c>
    </row>
    <row r="261" spans="1:30" ht="16.5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433.71</v>
      </c>
      <c r="R261" s="8">
        <f>IFERROR(Q261/Q444, "NA")</f>
        <v>2.5418067609739038E-4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8.4569395320341738E-3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-9.1864609472151592E-3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63358.090000000004</v>
      </c>
      <c r="C262" s="15">
        <f>IFERROR(B262/B444, "NA")</f>
        <v>8.0266911234750715E-2</v>
      </c>
      <c r="D262" s="2"/>
      <c r="E262" s="14">
        <f>IFERROR(E240+E241+E242+E243+E244+E245+E246+E247+E248+E249+E250+E251+E252+E253+E254+E255+E256+E257+E258+E259+E260+E261, "NA")</f>
        <v>53410.01</v>
      </c>
      <c r="F262" s="15">
        <f>IFERROR(E262/E444, "NA")</f>
        <v>6.6259850366652245E-2</v>
      </c>
      <c r="G262" s="2"/>
      <c r="H262" s="14">
        <f t="shared" si="64"/>
        <v>-9948.0800000000017</v>
      </c>
      <c r="I262" s="15">
        <f>IFERROR(H262/H444, "NA")</f>
        <v>0.59475284893770097</v>
      </c>
      <c r="J262" s="2"/>
      <c r="K262" s="14">
        <f>IFERROR(K240+K241+K242+K243+K244+K245+K246+K247+K248+K249+K250+K251+K252+K253+K254+K255+K256+K257+K258+K259+K260+K261, "NA")</f>
        <v>46621.579999999987</v>
      </c>
      <c r="L262" s="15">
        <f>IFERROR(K262/K444, "NA")</f>
        <v>6.2545969629098183E-2</v>
      </c>
      <c r="M262" s="2"/>
      <c r="N262" s="14">
        <f t="shared" si="65"/>
        <v>-16736.510000000017</v>
      </c>
      <c r="O262" s="15">
        <f>IFERROR(N262/N444, "NA")</f>
        <v>-0.38084661151051968</v>
      </c>
      <c r="P262" s="2"/>
      <c r="Q262" s="14">
        <f>IFERROR(Q240+Q241+Q242+Q243+Q244+Q245+Q246+Q247+Q248+Q249+Q250+Q251+Q252+Q253+Q254+Q255+Q256+Q257+Q258+Q259+Q260+Q261, "NA")</f>
        <v>140037.79999999999</v>
      </c>
      <c r="R262" s="15">
        <f>IFERROR(Q262/Q444, "NA")</f>
        <v>8.207074469851082E-2</v>
      </c>
      <c r="S262" s="2"/>
      <c r="T262" s="14">
        <f>IFERROR(T240+T241+T242+T243+T244+T245+T246+T247+T248+T249+T250+T251+T252+T253+T254+T255+T256+T257+T258+T259+T260+T261, "NA")</f>
        <v>116958.24000000002</v>
      </c>
      <c r="U262" s="15">
        <f>IFERROR(T262/T444, "NA")</f>
        <v>6.6544648859780467E-2</v>
      </c>
      <c r="V262" s="2"/>
      <c r="W262" s="14">
        <f t="shared" si="66"/>
        <v>-23079.559999999969</v>
      </c>
      <c r="X262" s="15">
        <f>IFERROR(W262/W444, "NA")</f>
        <v>0.4500298433191634</v>
      </c>
      <c r="Y262" s="2"/>
      <c r="Z262" s="14">
        <f>IFERROR(Z240+Z241+Z242+Z243+Z244+Z245+Z246+Z247+Z248+Z249+Z250+Z251+Z252+Z253+Z254+Z255+Z256+Z257+Z258+Z259+Z260+Z261, "NA")</f>
        <v>115312.74000000003</v>
      </c>
      <c r="AA262" s="15">
        <f>IFERROR(Z262/Z444, "NA")</f>
        <v>6.9503436477815664E-2</v>
      </c>
      <c r="AB262" s="2"/>
      <c r="AC262" s="14">
        <f t="shared" si="67"/>
        <v>-24725.059999999954</v>
      </c>
      <c r="AD262" s="15">
        <f>IFERROR(AC262/AC444, "NA")</f>
        <v>-0.52370431419047569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63358.090000000004</v>
      </c>
      <c r="C263" s="15">
        <f>IFERROR(B263/B444, "NA")</f>
        <v>8.0266911234750715E-2</v>
      </c>
      <c r="D263" s="2"/>
      <c r="E263" s="14">
        <f>IFERROR(E238+E240+E241+E242+E243+E244+E245+E246+E247+E248+E249+E250+E251+E252+E253+E254+E255+E256+E257+E258+E259+E260+E261, "NA")</f>
        <v>53410.01</v>
      </c>
      <c r="F263" s="15">
        <f>IFERROR(E263/E444, "NA")</f>
        <v>6.6259850366652245E-2</v>
      </c>
      <c r="G263" s="2"/>
      <c r="H263" s="14">
        <f t="shared" si="64"/>
        <v>-9948.0800000000017</v>
      </c>
      <c r="I263" s="15">
        <f>IFERROR(H263/H444, "NA")</f>
        <v>0.59475284893770097</v>
      </c>
      <c r="J263" s="2"/>
      <c r="K263" s="14">
        <f>IFERROR(K238+K240+K241+K242+K243+K244+K245+K246+K247+K248+K249+K250+K251+K252+K253+K254+K255+K256+K257+K258+K259+K260+K261, "NA")</f>
        <v>46621.579999999987</v>
      </c>
      <c r="L263" s="15">
        <f>IFERROR(K263/K444, "NA")</f>
        <v>6.2545969629098183E-2</v>
      </c>
      <c r="M263" s="2"/>
      <c r="N263" s="14">
        <f t="shared" si="65"/>
        <v>-16736.510000000017</v>
      </c>
      <c r="O263" s="15">
        <f>IFERROR(N263/N444, "NA")</f>
        <v>-0.38084661151051968</v>
      </c>
      <c r="P263" s="2"/>
      <c r="Q263" s="14">
        <f>IFERROR(Q238+Q240+Q241+Q242+Q243+Q244+Q245+Q246+Q247+Q248+Q249+Q250+Q251+Q252+Q253+Q254+Q255+Q256+Q257+Q258+Q259+Q260+Q261, "NA")</f>
        <v>140037.79999999999</v>
      </c>
      <c r="R263" s="15">
        <f>IFERROR(Q263/Q444, "NA")</f>
        <v>8.207074469851082E-2</v>
      </c>
      <c r="S263" s="2"/>
      <c r="T263" s="14">
        <f>IFERROR(T238+T240+T241+T242+T243+T244+T245+T246+T247+T248+T249+T250+T251+T252+T253+T254+T255+T256+T257+T258+T259+T260+T261, "NA")</f>
        <v>116958.24000000002</v>
      </c>
      <c r="U263" s="15">
        <f>IFERROR(T263/T444, "NA")</f>
        <v>6.6544648859780467E-2</v>
      </c>
      <c r="V263" s="2"/>
      <c r="W263" s="14">
        <f t="shared" si="66"/>
        <v>-23079.559999999969</v>
      </c>
      <c r="X263" s="15">
        <f>IFERROR(W263/W444, "NA")</f>
        <v>0.4500298433191634</v>
      </c>
      <c r="Y263" s="2"/>
      <c r="Z263" s="14">
        <f>IFERROR(Z238+Z240+Z241+Z242+Z243+Z244+Z245+Z246+Z247+Z248+Z249+Z250+Z251+Z252+Z253+Z254+Z255+Z256+Z257+Z258+Z259+Z260+Z261, "NA")</f>
        <v>115312.74000000003</v>
      </c>
      <c r="AA263" s="15">
        <f>IFERROR(Z263/Z444, "NA")</f>
        <v>6.9503436477815664E-2</v>
      </c>
      <c r="AB263" s="2"/>
      <c r="AC263" s="14">
        <f t="shared" si="67"/>
        <v>-24725.059999999954</v>
      </c>
      <c r="AD263" s="15">
        <f>IFERROR(AC263/AC444, "NA")</f>
        <v>-0.52370431419047569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21519.23</v>
      </c>
      <c r="C265" s="8">
        <f>IFERROR(B265/B444, "NA")</f>
        <v>2.7262218988138444E-2</v>
      </c>
      <c r="D265" s="9"/>
      <c r="E265" s="7">
        <v>20975.480000000003</v>
      </c>
      <c r="F265" s="8">
        <f>IFERROR(E265/E444, "NA")</f>
        <v>2.6021941695362105E-2</v>
      </c>
      <c r="G265" s="9"/>
      <c r="H265" s="10">
        <f>IFERROR(-(B265-E265), "NA")</f>
        <v>-543.74999999999636</v>
      </c>
      <c r="I265" s="8">
        <f>IFERROR(H265/H444, "NA")</f>
        <v>3.2508470137943474E-2</v>
      </c>
      <c r="J265" s="9"/>
      <c r="K265" s="7">
        <v>19370.73</v>
      </c>
      <c r="L265" s="8">
        <f>IFERROR(K265/K444, "NA")</f>
        <v>2.5987130643651744E-2</v>
      </c>
      <c r="M265" s="9"/>
      <c r="N265" s="10">
        <f>IFERROR(-(B265-K265), "NA")</f>
        <v>-2148.5</v>
      </c>
      <c r="O265" s="8">
        <f>IFERROR(N265/N444, "NA")</f>
        <v>-4.889005801271297E-2</v>
      </c>
      <c r="P265" s="9"/>
      <c r="Q265" s="7">
        <v>45245.62</v>
      </c>
      <c r="R265" s="8">
        <f>IFERROR(Q265/Q444, "NA")</f>
        <v>2.6516709972206332E-2</v>
      </c>
      <c r="S265" s="9"/>
      <c r="T265" s="7">
        <v>45625.439999999995</v>
      </c>
      <c r="U265" s="8">
        <f>IFERROR(T265/T444, "NA")</f>
        <v>2.5959084916744483E-2</v>
      </c>
      <c r="V265" s="9"/>
      <c r="W265" s="10">
        <f>IFERROR(-(Q265-T265), "NA")</f>
        <v>379.81999999999243</v>
      </c>
      <c r="X265" s="8">
        <f>IFERROR(W265/W444, "NA")</f>
        <v>-7.4061349128614878E-3</v>
      </c>
      <c r="Y265" s="9"/>
      <c r="Z265" s="7">
        <v>41231.69</v>
      </c>
      <c r="AA265" s="8">
        <f>IFERROR(Z265/Z444, "NA")</f>
        <v>2.485193003642084E-2</v>
      </c>
      <c r="AB265" s="9"/>
      <c r="AC265" s="10">
        <f>IFERROR(-(Q265-Z265), "NA")</f>
        <v>-4013.9300000000003</v>
      </c>
      <c r="AD265" s="8">
        <f>IFERROR(AC265/AC444, "NA")</f>
        <v>-8.5019508865037341E-2</v>
      </c>
    </row>
    <row r="266" spans="1:30" ht="16.5" customHeight="1" x14ac:dyDescent="0.45">
      <c r="A266" s="6" t="s">
        <v>242</v>
      </c>
      <c r="B266" s="7">
        <v>-48.5</v>
      </c>
      <c r="C266" s="8">
        <f>IFERROR(B266/B444, "NA")</f>
        <v>-6.1443537753196303E-5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48.5</v>
      </c>
      <c r="I266" s="8">
        <f>IFERROR(H266/H444, "NA")</f>
        <v>-2.899606072074058E-3</v>
      </c>
      <c r="J266" s="9"/>
      <c r="K266" s="7">
        <v>69.08</v>
      </c>
      <c r="L266" s="8">
        <f>IFERROR(K266/K444, "NA")</f>
        <v>9.2675443045433107E-5</v>
      </c>
      <c r="M266" s="9"/>
      <c r="N266" s="10">
        <f>IFERROR(-(B266-K266), "NA")</f>
        <v>117.58</v>
      </c>
      <c r="O266" s="8">
        <f>IFERROR(N266/N444, "NA")</f>
        <v>2.6755843710192183E-3</v>
      </c>
      <c r="P266" s="9"/>
      <c r="Q266" s="7">
        <v>14.839999999999996</v>
      </c>
      <c r="R266" s="8">
        <f>IFERROR(Q266/Q444, "NA")</f>
        <v>8.6971507073511616E-6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-14.839999999999996</v>
      </c>
      <c r="X266" s="8">
        <f>IFERROR(W266/W444, "NA")</f>
        <v>2.8936612634107377E-4</v>
      </c>
      <c r="Y266" s="9"/>
      <c r="Z266" s="7">
        <v>113.69999999999999</v>
      </c>
      <c r="AA266" s="8">
        <f>IFERROR(Z266/Z444, "NA")</f>
        <v>6.8531375869896404E-5</v>
      </c>
      <c r="AB266" s="9"/>
      <c r="AC266" s="10">
        <f>IFERROR(-(Q266-Z266), "NA")</f>
        <v>98.859999999999985</v>
      </c>
      <c r="AD266" s="8">
        <f>IFERROR(AC266/AC444, "NA")</f>
        <v>2.0939649287350778E-3</v>
      </c>
    </row>
    <row r="267" spans="1:30" ht="16.5" customHeight="1" x14ac:dyDescent="0.45">
      <c r="A267" s="19" t="s">
        <v>243</v>
      </c>
      <c r="B267" s="14">
        <f>IFERROR(B265+B266, "NA")</f>
        <v>21470.73</v>
      </c>
      <c r="C267" s="15">
        <f>IFERROR(B267/B444, "NA")</f>
        <v>2.7200775450385246E-2</v>
      </c>
      <c r="D267" s="2"/>
      <c r="E267" s="14">
        <f>IFERROR(E265+E266, "NA")</f>
        <v>20975.480000000003</v>
      </c>
      <c r="F267" s="15">
        <f>IFERROR(E267/E444, "NA")</f>
        <v>2.6021941695362105E-2</v>
      </c>
      <c r="G267" s="2"/>
      <c r="H267" s="14">
        <f>IFERROR(-(B267-E267), "NA")</f>
        <v>-495.24999999999636</v>
      </c>
      <c r="I267" s="15">
        <f>IFERROR(H267/H444, "NA")</f>
        <v>2.9608864065869416E-2</v>
      </c>
      <c r="J267" s="2"/>
      <c r="K267" s="14">
        <f>IFERROR(K265+K266, "NA")</f>
        <v>19439.810000000001</v>
      </c>
      <c r="L267" s="15">
        <f>IFERROR(K267/K444, "NA")</f>
        <v>2.6079806086697181E-2</v>
      </c>
      <c r="M267" s="2"/>
      <c r="N267" s="14">
        <f>IFERROR(-(B267-K267), "NA")</f>
        <v>-2030.9199999999983</v>
      </c>
      <c r="O267" s="15">
        <f>IFERROR(N267/N444, "NA")</f>
        <v>-4.6214473641693711E-2</v>
      </c>
      <c r="P267" s="2"/>
      <c r="Q267" s="14">
        <f>IFERROR(Q265+Q266, "NA")</f>
        <v>45260.46</v>
      </c>
      <c r="R267" s="15">
        <f>IFERROR(Q267/Q444, "NA")</f>
        <v>2.652540712291368E-2</v>
      </c>
      <c r="S267" s="2"/>
      <c r="T267" s="14">
        <f>IFERROR(T265+T266, "NA")</f>
        <v>45625.439999999995</v>
      </c>
      <c r="U267" s="15">
        <f>IFERROR(T267/T444, "NA")</f>
        <v>2.5959084916744483E-2</v>
      </c>
      <c r="V267" s="2"/>
      <c r="W267" s="14">
        <f>IFERROR(-(Q267-T267), "NA")</f>
        <v>364.97999999999593</v>
      </c>
      <c r="X267" s="15">
        <f>IFERROR(W267/W444, "NA")</f>
        <v>-7.1167687865204814E-3</v>
      </c>
      <c r="Y267" s="2"/>
      <c r="Z267" s="14">
        <f>IFERROR(Z265+Z266, "NA")</f>
        <v>41345.39</v>
      </c>
      <c r="AA267" s="15">
        <f>IFERROR(Z267/Z444, "NA")</f>
        <v>2.4920461412290734E-2</v>
      </c>
      <c r="AB267" s="2"/>
      <c r="AC267" s="14">
        <f>IFERROR(-(Q267-Z267), "NA")</f>
        <v>-3915.0699999999997</v>
      </c>
      <c r="AD267" s="15">
        <f>IFERROR(AC267/AC444, "NA")</f>
        <v>-8.2925543936302262E-2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1181.06</v>
      </c>
      <c r="C270" s="8">
        <f>IFERROR(B270/B444, "NA")</f>
        <v>1.4962578288410314E-3</v>
      </c>
      <c r="D270" s="9"/>
      <c r="E270" s="7">
        <v>1139.06</v>
      </c>
      <c r="F270" s="8">
        <f>IFERROR(E270/E444, "NA")</f>
        <v>1.4131048685188208E-3</v>
      </c>
      <c r="G270" s="9"/>
      <c r="H270" s="10">
        <f>IFERROR(-(B270-E270), "NA")</f>
        <v>-42</v>
      </c>
      <c r="I270" s="8">
        <f>IFERROR(H270/H444, "NA")</f>
        <v>2.5109990727239266E-3</v>
      </c>
      <c r="J270" s="9"/>
      <c r="K270" s="7">
        <v>1169.06</v>
      </c>
      <c r="L270" s="8">
        <f>IFERROR(K270/K444, "NA")</f>
        <v>1.5683722270801105E-3</v>
      </c>
      <c r="M270" s="9"/>
      <c r="N270" s="10">
        <f>IFERROR(-(B270-K270), "NA")</f>
        <v>-12</v>
      </c>
      <c r="O270" s="8">
        <f>IFERROR(N270/N444, "NA")</f>
        <v>-2.7306525303819203E-4</v>
      </c>
      <c r="P270" s="9"/>
      <c r="Q270" s="7">
        <v>3466.05</v>
      </c>
      <c r="R270" s="8">
        <f>IFERROR(Q270/Q444, "NA")</f>
        <v>2.0313180060117586E-3</v>
      </c>
      <c r="S270" s="9"/>
      <c r="T270" s="7">
        <v>3417.18</v>
      </c>
      <c r="U270" s="8">
        <f>IFERROR(T270/T444, "NA")</f>
        <v>1.9442413222930215E-3</v>
      </c>
      <c r="V270" s="9"/>
      <c r="W270" s="10">
        <f>IFERROR(-(Q270-T270), "NA")</f>
        <v>-48.870000000000346</v>
      </c>
      <c r="X270" s="8">
        <f>IFERROR(W270/W444, "NA")</f>
        <v>9.5291931228358342E-4</v>
      </c>
      <c r="Y270" s="9"/>
      <c r="Z270" s="7">
        <v>3591.75</v>
      </c>
      <c r="AA270" s="8">
        <f>IFERROR(Z270/Z444, "NA")</f>
        <v>2.1648862733570839E-3</v>
      </c>
      <c r="AB270" s="9"/>
      <c r="AC270" s="10">
        <f>IFERROR(-(Q270-Z270), "NA")</f>
        <v>125.69999999999982</v>
      </c>
      <c r="AD270" s="8">
        <f>IFERROR(AC270/AC444, "NA")</f>
        <v>2.6624660281407944E-3</v>
      </c>
    </row>
    <row r="271" spans="1:30" ht="16.5" customHeight="1" x14ac:dyDescent="0.45">
      <c r="A271" s="6" t="s">
        <v>246</v>
      </c>
      <c r="B271" s="7">
        <v>4973.66</v>
      </c>
      <c r="C271" s="8">
        <f>IFERROR(B271/B444, "NA")</f>
        <v>6.301015793434275E-3</v>
      </c>
      <c r="D271" s="9"/>
      <c r="E271" s="7">
        <v>5130.2199999999993</v>
      </c>
      <c r="F271" s="8">
        <f>IFERROR(E271/E444, "NA")</f>
        <v>6.3644925276742439E-3</v>
      </c>
      <c r="G271" s="9"/>
      <c r="H271" s="10">
        <f>IFERROR(-(B271-E271), "NA")</f>
        <v>156.55999999999949</v>
      </c>
      <c r="I271" s="8">
        <f>IFERROR(H271/H444, "NA")</f>
        <v>-9.3600479720394435E-3</v>
      </c>
      <c r="J271" s="9"/>
      <c r="K271" s="7">
        <v>4819.2699999999995</v>
      </c>
      <c r="L271" s="8">
        <f>IFERROR(K271/K444, "NA")</f>
        <v>6.4653732253266418E-3</v>
      </c>
      <c r="M271" s="9"/>
      <c r="N271" s="10">
        <f>IFERROR(-(B271-K271), "NA")</f>
        <v>-154.39000000000033</v>
      </c>
      <c r="O271" s="8">
        <f>IFERROR(N271/N444, "NA")</f>
        <v>-3.5132120347138797E-3</v>
      </c>
      <c r="P271" s="9"/>
      <c r="Q271" s="7">
        <v>15066.5</v>
      </c>
      <c r="R271" s="8">
        <f>IFERROR(Q271/Q444, "NA")</f>
        <v>8.8298936072982673E-3</v>
      </c>
      <c r="S271" s="9"/>
      <c r="T271" s="7">
        <v>15390.66</v>
      </c>
      <c r="U271" s="8">
        <f>IFERROR(T271/T444, "NA")</f>
        <v>8.7566815764350478E-3</v>
      </c>
      <c r="V271" s="9"/>
      <c r="W271" s="10">
        <f>IFERROR(-(Q271-T271), "NA")</f>
        <v>324.15999999999985</v>
      </c>
      <c r="X271" s="8">
        <f>IFERROR(W271/W444, "NA")</f>
        <v>-6.3208169484314323E-3</v>
      </c>
      <c r="Y271" s="9"/>
      <c r="Z271" s="7">
        <v>14269.529999999999</v>
      </c>
      <c r="AA271" s="8">
        <f>IFERROR(Z271/Z444, "NA")</f>
        <v>8.6007961646153291E-3</v>
      </c>
      <c r="AB271" s="9"/>
      <c r="AC271" s="10">
        <f>IFERROR(-(Q271-Z271), "NA")</f>
        <v>-796.97000000000116</v>
      </c>
      <c r="AD271" s="8">
        <f>IFERROR(AC271/AC444, "NA")</f>
        <v>-1.6880712414060261E-2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2.5245059315627685E-4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1.1913494886230877E-2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-4.5344760810767113E-3</v>
      </c>
      <c r="P272" s="9"/>
      <c r="Q272" s="7">
        <v>597.80999999999995</v>
      </c>
      <c r="R272" s="8">
        <f>IFERROR(Q272/Q444, "NA")</f>
        <v>3.5035334665509425E-4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-597.80999999999995</v>
      </c>
      <c r="X272" s="8">
        <f>IFERROR(W272/W444, "NA")</f>
        <v>1.1656736117786882E-2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-597.80999999999995</v>
      </c>
      <c r="AD272" s="8">
        <f>IFERROR(AC272/AC444, "NA")</f>
        <v>-1.2662281752449088E-2</v>
      </c>
    </row>
    <row r="273" spans="1:30" ht="16.5" customHeight="1" x14ac:dyDescent="0.45">
      <c r="A273" s="19" t="s">
        <v>248</v>
      </c>
      <c r="B273" s="14">
        <f>IFERROR(B269+B270+B271+B272, "NA")</f>
        <v>6353.99</v>
      </c>
      <c r="C273" s="15">
        <f>IFERROR(B273/B444, "NA")</f>
        <v>8.0497242154315835E-3</v>
      </c>
      <c r="D273" s="2"/>
      <c r="E273" s="14">
        <f>IFERROR(E269+E270+E271+E272, "NA")</f>
        <v>6269.2799999999988</v>
      </c>
      <c r="F273" s="15">
        <f>IFERROR(E273/E444, "NA")</f>
        <v>7.7775973961930643E-3</v>
      </c>
      <c r="G273" s="2"/>
      <c r="H273" s="14">
        <f>IFERROR(-(B273-E273), "NA")</f>
        <v>-84.710000000000946</v>
      </c>
      <c r="I273" s="15">
        <f>IFERROR(H273/H444, "NA")</f>
        <v>5.0644459869153852E-3</v>
      </c>
      <c r="J273" s="2"/>
      <c r="K273" s="14">
        <f>IFERROR(K269+K270+K271+K272, "NA")</f>
        <v>5988.33</v>
      </c>
      <c r="L273" s="15">
        <f>IFERROR(K273/K444, "NA")</f>
        <v>8.0337454524067528E-3</v>
      </c>
      <c r="M273" s="2"/>
      <c r="N273" s="14">
        <f>IFERROR(-(B273-K273), "NA")</f>
        <v>-365.65999999999985</v>
      </c>
      <c r="O273" s="15">
        <f>IFERROR(N273/N444, "NA")</f>
        <v>-8.3207533688287715E-3</v>
      </c>
      <c r="P273" s="2"/>
      <c r="Q273" s="14">
        <f>IFERROR(Q269+Q270+Q271+Q272, "NA")</f>
        <v>19130.36</v>
      </c>
      <c r="R273" s="15">
        <f>IFERROR(Q273/Q444, "NA")</f>
        <v>1.1211564959965122E-2</v>
      </c>
      <c r="S273" s="2"/>
      <c r="T273" s="14">
        <f>IFERROR(T269+T270+T271+T272, "NA")</f>
        <v>18807.84</v>
      </c>
      <c r="U273" s="15">
        <f>IFERROR(T273/T444, "NA")</f>
        <v>1.0700922898728069E-2</v>
      </c>
      <c r="V273" s="2"/>
      <c r="W273" s="14">
        <f>IFERROR(-(Q273-T273), "NA")</f>
        <v>-322.52000000000044</v>
      </c>
      <c r="X273" s="15">
        <f>IFERROR(W273/W444, "NA")</f>
        <v>6.2888384816390339E-3</v>
      </c>
      <c r="Y273" s="2"/>
      <c r="Z273" s="14">
        <f>IFERROR(Z269+Z270+Z271+Z272, "NA")</f>
        <v>17861.28</v>
      </c>
      <c r="AA273" s="15">
        <f>IFERROR(Z273/Z444, "NA")</f>
        <v>1.0765682437972414E-2</v>
      </c>
      <c r="AB273" s="2"/>
      <c r="AC273" s="14">
        <f>IFERROR(-(Q273-Z273), "NA")</f>
        <v>-1269.0800000000017</v>
      </c>
      <c r="AD273" s="15">
        <f>IFERROR(AC273/AC444, "NA")</f>
        <v>-2.6880528138368567E-2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1.3525052880398935E-3</v>
      </c>
      <c r="D287" s="9"/>
      <c r="E287" s="7">
        <v>971</v>
      </c>
      <c r="F287" s="8">
        <f>IFERROR(E287/E444, "NA")</f>
        <v>1.2046115457761443E-3</v>
      </c>
      <c r="G287" s="9"/>
      <c r="H287" s="10">
        <f t="shared" si="72"/>
        <v>-96.589999999999918</v>
      </c>
      <c r="I287" s="8">
        <f>IFERROR(H287/H444, "NA")</f>
        <v>5.7747000103429485E-3</v>
      </c>
      <c r="J287" s="9"/>
      <c r="K287" s="7">
        <v>970.53</v>
      </c>
      <c r="L287" s="8">
        <f>IFERROR(K287/K444, "NA")</f>
        <v>1.3020309458437202E-3</v>
      </c>
      <c r="M287" s="9"/>
      <c r="N287" s="10">
        <f t="shared" si="73"/>
        <v>-97.059999999999945</v>
      </c>
      <c r="O287" s="8">
        <f>IFERROR(N287/N444, "NA")</f>
        <v>-2.2086427883239086E-3</v>
      </c>
      <c r="P287" s="9"/>
      <c r="Q287" s="7">
        <v>3202.77</v>
      </c>
      <c r="R287" s="8">
        <f>IFERROR(Q287/Q444, "NA")</f>
        <v>1.8770197689341702E-3</v>
      </c>
      <c r="S287" s="9"/>
      <c r="T287" s="7">
        <v>2913</v>
      </c>
      <c r="U287" s="8">
        <f>IFERROR(T287/T444, "NA")</f>
        <v>1.6573826874322019E-3</v>
      </c>
      <c r="V287" s="9"/>
      <c r="W287" s="10">
        <f t="shared" si="74"/>
        <v>-289.77</v>
      </c>
      <c r="X287" s="8">
        <f>IFERROR(W287/W444, "NA")</f>
        <v>5.6502440990466958E-3</v>
      </c>
      <c r="Y287" s="9"/>
      <c r="Z287" s="7">
        <v>2911.59</v>
      </c>
      <c r="AA287" s="8">
        <f>IFERROR(Z287/Z444, "NA")</f>
        <v>1.754927604828775E-3</v>
      </c>
      <c r="AB287" s="9"/>
      <c r="AC287" s="10">
        <f t="shared" si="75"/>
        <v>-291.17999999999984</v>
      </c>
      <c r="AD287" s="8">
        <f>IFERROR(AC287/AC444, "NA")</f>
        <v>-6.1675167706765092E-3</v>
      </c>
    </row>
    <row r="288" spans="1:30" ht="16.5" customHeight="1" x14ac:dyDescent="0.45">
      <c r="A288" s="6" t="s">
        <v>261</v>
      </c>
      <c r="B288" s="7">
        <v>839.22</v>
      </c>
      <c r="C288" s="8">
        <f>IFERROR(B288/B444, "NA")</f>
        <v>1.0631885722316989E-3</v>
      </c>
      <c r="D288" s="9"/>
      <c r="E288" s="7">
        <v>843</v>
      </c>
      <c r="F288" s="8">
        <f>IFERROR(E288/E444, "NA")</f>
        <v>1.0458162029755816E-3</v>
      </c>
      <c r="G288" s="9"/>
      <c r="H288" s="10">
        <f t="shared" si="72"/>
        <v>3.7799999999999727</v>
      </c>
      <c r="I288" s="8">
        <f>IFERROR(H288/H444, "NA")</f>
        <v>-2.2598991654515174E-4</v>
      </c>
      <c r="J288" s="9"/>
      <c r="K288" s="7">
        <v>949.93000000000006</v>
      </c>
      <c r="L288" s="8">
        <f>IFERROR(K288/K444, "NA")</f>
        <v>1.2743946672285507E-3</v>
      </c>
      <c r="M288" s="9"/>
      <c r="N288" s="10">
        <f t="shared" si="73"/>
        <v>110.71000000000004</v>
      </c>
      <c r="O288" s="8">
        <f>IFERROR(N288/N444, "NA")</f>
        <v>2.5192545136548542E-3</v>
      </c>
      <c r="P288" s="9"/>
      <c r="Q288" s="7">
        <v>2517.6799999999998</v>
      </c>
      <c r="R288" s="8">
        <f>IFERROR(Q288/Q444, "NA")</f>
        <v>1.4755149860433878E-3</v>
      </c>
      <c r="S288" s="9"/>
      <c r="T288" s="7">
        <v>2529</v>
      </c>
      <c r="U288" s="8">
        <f>IFERROR(T288/T444, "NA")</f>
        <v>1.4389017564421691E-3</v>
      </c>
      <c r="V288" s="9"/>
      <c r="W288" s="10">
        <f t="shared" si="74"/>
        <v>11.320000000000164</v>
      </c>
      <c r="X288" s="8">
        <f>IFERROR(W288/W444, "NA")</f>
        <v>-2.2072941712809996E-4</v>
      </c>
      <c r="Y288" s="9"/>
      <c r="Z288" s="7">
        <v>2849.8100000000004</v>
      </c>
      <c r="AA288" s="8">
        <f>IFERROR(Z288/Z444, "NA")</f>
        <v>1.7176904157237426E-3</v>
      </c>
      <c r="AB288" s="9"/>
      <c r="AC288" s="10">
        <f t="shared" si="75"/>
        <v>332.13000000000056</v>
      </c>
      <c r="AD288" s="8">
        <f>IFERROR(AC288/AC444, "NA")</f>
        <v>7.0348833884359965E-3</v>
      </c>
    </row>
    <row r="289" spans="1:30" ht="16.5" customHeight="1" x14ac:dyDescent="0.45">
      <c r="A289" s="6" t="s">
        <v>262</v>
      </c>
      <c r="B289" s="7">
        <v>1151.1199999999999</v>
      </c>
      <c r="C289" s="8">
        <f>IFERROR(B289/B444, "NA")</f>
        <v>1.4583275294527695E-3</v>
      </c>
      <c r="D289" s="9"/>
      <c r="E289" s="7">
        <v>1149</v>
      </c>
      <c r="F289" s="8">
        <f>IFERROR(E289/E444, "NA")</f>
        <v>1.425436319358177E-3</v>
      </c>
      <c r="G289" s="9"/>
      <c r="H289" s="10">
        <f t="shared" si="72"/>
        <v>-2.1199999999998909</v>
      </c>
      <c r="I289" s="8">
        <f>IFERROR(H289/H444, "NA")</f>
        <v>1.2674566748034405E-4</v>
      </c>
      <c r="J289" s="9"/>
      <c r="K289" s="7">
        <v>1175.8499999999999</v>
      </c>
      <c r="L289" s="8">
        <f>IFERROR(K289/K444, "NA")</f>
        <v>1.5774814664877318E-3</v>
      </c>
      <c r="M289" s="9"/>
      <c r="N289" s="10">
        <f t="shared" si="73"/>
        <v>24.730000000000018</v>
      </c>
      <c r="O289" s="8">
        <f>IFERROR(N289/N444, "NA")</f>
        <v>5.6274197563620785E-4</v>
      </c>
      <c r="P289" s="9"/>
      <c r="Q289" s="7">
        <v>3438.52</v>
      </c>
      <c r="R289" s="8">
        <f>IFERROR(Q289/Q444, "NA")</f>
        <v>2.0151837365391589E-3</v>
      </c>
      <c r="S289" s="9"/>
      <c r="T289" s="7">
        <v>3447</v>
      </c>
      <c r="U289" s="8">
        <f>IFERROR(T289/T444, "NA")</f>
        <v>1.9612077320902165E-3</v>
      </c>
      <c r="V289" s="9"/>
      <c r="W289" s="10">
        <f t="shared" si="74"/>
        <v>8.4800000000000182</v>
      </c>
      <c r="X289" s="8">
        <f>IFERROR(W289/W444, "NA")</f>
        <v>-1.653520721948997E-4</v>
      </c>
      <c r="Y289" s="9"/>
      <c r="Z289" s="7">
        <v>3171.9100000000003</v>
      </c>
      <c r="AA289" s="8">
        <f>IFERROR(Z289/Z444, "NA")</f>
        <v>1.911832510426413E-3</v>
      </c>
      <c r="AB289" s="9"/>
      <c r="AC289" s="10">
        <f t="shared" si="75"/>
        <v>-266.60999999999967</v>
      </c>
      <c r="AD289" s="8">
        <f>IFERROR(AC289/AC444, "NA")</f>
        <v>-5.647096800020822E-3</v>
      </c>
    </row>
    <row r="290" spans="1:30" ht="16.5" customHeight="1" x14ac:dyDescent="0.45">
      <c r="A290" s="6" t="s">
        <v>263</v>
      </c>
      <c r="B290" s="7">
        <v>2018.3599999999997</v>
      </c>
      <c r="C290" s="8">
        <f>IFERROR(B290/B444, "NA")</f>
        <v>2.5570139971039436E-3</v>
      </c>
      <c r="D290" s="9"/>
      <c r="E290" s="7">
        <v>3618.69</v>
      </c>
      <c r="F290" s="8">
        <f>IFERROR(E290/E444, "NA")</f>
        <v>4.489305617491942E-3</v>
      </c>
      <c r="G290" s="9"/>
      <c r="H290" s="10">
        <f t="shared" si="72"/>
        <v>1600.3300000000004</v>
      </c>
      <c r="I290" s="8">
        <f>IFERROR(H290/H444, "NA")</f>
        <v>-9.567683681076862E-2</v>
      </c>
      <c r="J290" s="9"/>
      <c r="K290" s="7">
        <v>1379.71</v>
      </c>
      <c r="L290" s="8">
        <f>IFERROR(K290/K444, "NA")</f>
        <v>1.8509732994240666E-3</v>
      </c>
      <c r="M290" s="9"/>
      <c r="N290" s="10">
        <f t="shared" si="73"/>
        <v>-638.64999999999964</v>
      </c>
      <c r="O290" s="8">
        <f>IFERROR(N290/N444, "NA")</f>
        <v>-1.4532760321070103E-2</v>
      </c>
      <c r="P290" s="9"/>
      <c r="Q290" s="7">
        <v>7869.7300000000005</v>
      </c>
      <c r="R290" s="8">
        <f>IFERROR(Q290/Q444, "NA")</f>
        <v>4.6121447328950592E-3</v>
      </c>
      <c r="S290" s="9"/>
      <c r="T290" s="7">
        <v>8596.33</v>
      </c>
      <c r="U290" s="8">
        <f>IFERROR(T290/T444, "NA")</f>
        <v>4.8909744309831998E-3</v>
      </c>
      <c r="V290" s="9"/>
      <c r="W290" s="10">
        <f t="shared" si="74"/>
        <v>726.59999999999945</v>
      </c>
      <c r="X290" s="8">
        <f>IFERROR(W290/W444, "NA")</f>
        <v>-1.4168020714246906E-2</v>
      </c>
      <c r="Y290" s="9"/>
      <c r="Z290" s="7">
        <v>9161.2199999999993</v>
      </c>
      <c r="AA290" s="8">
        <f>IFERROR(Z290/Z444, "NA")</f>
        <v>5.5218206793914903E-3</v>
      </c>
      <c r="AB290" s="9"/>
      <c r="AC290" s="10">
        <f t="shared" si="75"/>
        <v>1291.4899999999989</v>
      </c>
      <c r="AD290" s="8">
        <f>IFERROR(AC290/AC444, "NA")</f>
        <v>2.7355196902812701E-2</v>
      </c>
    </row>
    <row r="291" spans="1:30" ht="16.5" customHeight="1" x14ac:dyDescent="0.45">
      <c r="A291" s="6" t="s">
        <v>264</v>
      </c>
      <c r="B291" s="7">
        <v>3247.2299999999996</v>
      </c>
      <c r="C291" s="8">
        <f>IFERROR(B291/B444, "NA")</f>
        <v>4.113841218521889E-3</v>
      </c>
      <c r="D291" s="9"/>
      <c r="E291" s="7">
        <v>4239.13</v>
      </c>
      <c r="F291" s="8">
        <f>IFERROR(E291/E444, "NA")</f>
        <v>5.2590164181730457E-3</v>
      </c>
      <c r="G291" s="9"/>
      <c r="H291" s="10">
        <f t="shared" si="72"/>
        <v>991.90000000000055</v>
      </c>
      <c r="I291" s="8">
        <f>IFERROR(H291/H444, "NA")</f>
        <v>-5.9301428100830098E-2</v>
      </c>
      <c r="J291" s="9"/>
      <c r="K291" s="7">
        <v>4980.0899999999992</v>
      </c>
      <c r="L291" s="8">
        <f>IFERROR(K291/K444, "NA")</f>
        <v>6.681124017894194E-3</v>
      </c>
      <c r="M291" s="9"/>
      <c r="N291" s="10">
        <f t="shared" si="73"/>
        <v>1732.8599999999997</v>
      </c>
      <c r="O291" s="8">
        <f>IFERROR(N291/N444, "NA")</f>
        <v>3.9431987864980117E-2</v>
      </c>
      <c r="P291" s="9"/>
      <c r="Q291" s="7">
        <v>15622.23</v>
      </c>
      <c r="R291" s="8">
        <f>IFERROR(Q291/Q444, "NA")</f>
        <v>9.1555854915702523E-3</v>
      </c>
      <c r="S291" s="9"/>
      <c r="T291" s="7">
        <v>9259.5300000000007</v>
      </c>
      <c r="U291" s="8">
        <f>IFERROR(T291/T444, "NA")</f>
        <v>5.268309205547236E-3</v>
      </c>
      <c r="V291" s="9"/>
      <c r="W291" s="10">
        <f t="shared" si="74"/>
        <v>-6362.6999999999989</v>
      </c>
      <c r="X291" s="8">
        <f>IFERROR(W291/W444, "NA")</f>
        <v>0.12406670162199125</v>
      </c>
      <c r="Y291" s="9"/>
      <c r="Z291" s="7">
        <v>15630.8</v>
      </c>
      <c r="AA291" s="8">
        <f>IFERROR(Z291/Z444, "NA")</f>
        <v>9.4212861033172984E-3</v>
      </c>
      <c r="AB291" s="9"/>
      <c r="AC291" s="10">
        <f t="shared" si="75"/>
        <v>8.569999999999709</v>
      </c>
      <c r="AD291" s="8">
        <f>IFERROR(AC291/AC444, "NA")</f>
        <v>1.8152214686687244E-4</v>
      </c>
    </row>
    <row r="292" spans="1:30" ht="16.5" customHeight="1" x14ac:dyDescent="0.45">
      <c r="A292" s="6" t="s">
        <v>265</v>
      </c>
      <c r="B292" s="7">
        <v>409.28</v>
      </c>
      <c r="C292" s="8">
        <f>IFERROR(B292/B444, "NA")</f>
        <v>5.1850744601295224E-4</v>
      </c>
      <c r="D292" s="9"/>
      <c r="E292" s="7">
        <v>1161.6999999999998</v>
      </c>
      <c r="F292" s="8">
        <f>IFERROR(E292/E444, "NA")</f>
        <v>1.4411917947766701E-3</v>
      </c>
      <c r="G292" s="9"/>
      <c r="H292" s="10">
        <f t="shared" si="72"/>
        <v>752.41999999999985</v>
      </c>
      <c r="I292" s="8">
        <f>IFERROR(H292/H444, "NA")</f>
        <v>-4.4983950530927054E-2</v>
      </c>
      <c r="J292" s="9"/>
      <c r="K292" s="7">
        <v>1720.4499999999998</v>
      </c>
      <c r="L292" s="8">
        <f>IFERROR(K292/K444, "NA")</f>
        <v>2.3080988127897419E-3</v>
      </c>
      <c r="M292" s="9"/>
      <c r="N292" s="10">
        <f t="shared" si="73"/>
        <v>1311.1699999999998</v>
      </c>
      <c r="O292" s="8">
        <f>IFERROR(N292/N444, "NA")</f>
        <v>2.9836247318840516E-2</v>
      </c>
      <c r="P292" s="9"/>
      <c r="Q292" s="7">
        <v>804.07</v>
      </c>
      <c r="R292" s="8">
        <f>IFERROR(Q292/Q444, "NA")</f>
        <v>4.7123436450538075E-4</v>
      </c>
      <c r="S292" s="9"/>
      <c r="T292" s="7">
        <v>2558.59</v>
      </c>
      <c r="U292" s="8">
        <f>IFERROR(T292/T444, "NA")</f>
        <v>1.4557373052650731E-3</v>
      </c>
      <c r="V292" s="9"/>
      <c r="W292" s="10">
        <f t="shared" si="74"/>
        <v>1754.52</v>
      </c>
      <c r="X292" s="8">
        <f>IFERROR(W292/W444, "NA")</f>
        <v>-3.4211499729645614E-2</v>
      </c>
      <c r="Y292" s="9"/>
      <c r="Z292" s="7">
        <v>3424.1400000000003</v>
      </c>
      <c r="AA292" s="8">
        <f>IFERROR(Z292/Z444, "NA")</f>
        <v>2.0638612609599574E-3</v>
      </c>
      <c r="AB292" s="9"/>
      <c r="AC292" s="10">
        <f t="shared" si="75"/>
        <v>2620.0700000000002</v>
      </c>
      <c r="AD292" s="8">
        <f>IFERROR(AC292/AC444, "NA")</f>
        <v>5.5496001323395876E-2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1112.78</v>
      </c>
      <c r="F293" s="8">
        <f>IFERROR(E293/E444, "NA")</f>
        <v>1.3805021997000803E-3</v>
      </c>
      <c r="G293" s="9"/>
      <c r="H293" s="10">
        <f t="shared" si="72"/>
        <v>1112.78</v>
      </c>
      <c r="I293" s="8">
        <f>IFERROR(H293/H444, "NA")</f>
        <v>-6.6528322574898352E-2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851.73</v>
      </c>
      <c r="R293" s="8">
        <f>IFERROR(Q293/Q444, "NA")</f>
        <v>4.9916604932427264E-4</v>
      </c>
      <c r="S293" s="9"/>
      <c r="T293" s="7">
        <v>2439.4899999999998</v>
      </c>
      <c r="U293" s="8">
        <f>IFERROR(T293/T444, "NA")</f>
        <v>1.3879740790126954E-3</v>
      </c>
      <c r="V293" s="9"/>
      <c r="W293" s="10">
        <f t="shared" si="74"/>
        <v>1587.7599999999998</v>
      </c>
      <c r="X293" s="8">
        <f>IFERROR(W293/W444, "NA")</f>
        <v>-3.0959835630680818E-2</v>
      </c>
      <c r="Y293" s="9"/>
      <c r="Z293" s="7">
        <v>369.93</v>
      </c>
      <c r="AA293" s="8">
        <f>IFERROR(Z293/Z444, "NA")</f>
        <v>2.2297108069965508E-4</v>
      </c>
      <c r="AB293" s="9"/>
      <c r="AC293" s="10">
        <f t="shared" si="75"/>
        <v>-481.8</v>
      </c>
      <c r="AD293" s="8">
        <f>IFERROR(AC293/AC444, "NA")</f>
        <v>-1.0205060718840387E-2</v>
      </c>
    </row>
    <row r="294" spans="1:30" ht="16.5" customHeight="1" x14ac:dyDescent="0.45">
      <c r="A294" s="6" t="s">
        <v>267</v>
      </c>
      <c r="B294" s="7">
        <v>1590.44</v>
      </c>
      <c r="C294" s="8">
        <f>IFERROR(B294/B444, "NA")</f>
        <v>2.0148919625606913E-3</v>
      </c>
      <c r="D294" s="9"/>
      <c r="E294" s="7">
        <v>1784</v>
      </c>
      <c r="F294" s="8">
        <f>IFERROR(E294/E444, "NA")</f>
        <v>2.2132100902828439E-3</v>
      </c>
      <c r="G294" s="9"/>
      <c r="H294" s="10">
        <f t="shared" si="72"/>
        <v>193.55999999999995</v>
      </c>
      <c r="I294" s="8">
        <f>IFERROR(H294/H444, "NA")</f>
        <v>-1.1572118583724835E-2</v>
      </c>
      <c r="J294" s="9"/>
      <c r="K294" s="7">
        <v>2927.22</v>
      </c>
      <c r="L294" s="8">
        <f>IFERROR(K294/K444, "NA")</f>
        <v>3.9270615285386902E-3</v>
      </c>
      <c r="M294" s="9"/>
      <c r="N294" s="10">
        <f t="shared" si="73"/>
        <v>1336.7799999999997</v>
      </c>
      <c r="O294" s="8">
        <f>IFERROR(N294/N444, "NA")</f>
        <v>3.0419014079699522E-2</v>
      </c>
      <c r="P294" s="9"/>
      <c r="Q294" s="7">
        <v>4771.37</v>
      </c>
      <c r="R294" s="8">
        <f>IFERROR(Q294/Q444, "NA")</f>
        <v>2.796315631437609E-3</v>
      </c>
      <c r="S294" s="9"/>
      <c r="T294" s="7">
        <v>5352</v>
      </c>
      <c r="U294" s="8">
        <f>IFERROR(T294/T444, "NA")</f>
        <v>3.0450779756735821E-3</v>
      </c>
      <c r="V294" s="9"/>
      <c r="W294" s="10">
        <f t="shared" si="74"/>
        <v>580.63000000000011</v>
      </c>
      <c r="X294" s="8">
        <f>IFERROR(W294/W444, "NA")</f>
        <v>-1.1321742179071276E-2</v>
      </c>
      <c r="Y294" s="9"/>
      <c r="Z294" s="7">
        <v>5958.85</v>
      </c>
      <c r="AA294" s="8">
        <f>IFERROR(Z294/Z444, "NA")</f>
        <v>3.5916287519994045E-3</v>
      </c>
      <c r="AB294" s="9"/>
      <c r="AC294" s="10">
        <f t="shared" si="75"/>
        <v>1187.4800000000005</v>
      </c>
      <c r="AD294" s="8">
        <f>IFERROR(AC294/AC444, "NA")</f>
        <v>2.5152149237045635E-2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10323.24</v>
      </c>
      <c r="C295" s="15">
        <f>IFERROR(B295/B444, "NA")</f>
        <v>1.3078276013923839E-2</v>
      </c>
      <c r="D295" s="2"/>
      <c r="E295" s="14">
        <f>IFERROR(E286+E287+E288+E289+E290+E291+E292+E293+E294, "NA")</f>
        <v>14879.300000000001</v>
      </c>
      <c r="F295" s="15">
        <f>IFERROR(E295/E444, "NA")</f>
        <v>1.8459090188534488E-2</v>
      </c>
      <c r="G295" s="2"/>
      <c r="H295" s="14">
        <f t="shared" si="72"/>
        <v>4556.0600000000013</v>
      </c>
      <c r="I295" s="15">
        <f>IFERROR(H295/H444, "NA")</f>
        <v>-0.27238720083987084</v>
      </c>
      <c r="J295" s="2"/>
      <c r="K295" s="14">
        <f>IFERROR(K286+K287+K288+K289+K290+K291+K292+K293+K294, "NA")</f>
        <v>14103.78</v>
      </c>
      <c r="L295" s="15">
        <f>IFERROR(K295/K444, "NA")</f>
        <v>1.8921164738206698E-2</v>
      </c>
      <c r="M295" s="2"/>
      <c r="N295" s="14">
        <f t="shared" si="73"/>
        <v>3780.5400000000009</v>
      </c>
      <c r="O295" s="15">
        <f>IFERROR(N295/N444, "NA")</f>
        <v>8.6027842643417229E-2</v>
      </c>
      <c r="P295" s="2"/>
      <c r="Q295" s="14">
        <f>IFERROR(Q286+Q287+Q288+Q289+Q290+Q291+Q292+Q293+Q294, "NA")</f>
        <v>39078.100000000006</v>
      </c>
      <c r="R295" s="15">
        <f>IFERROR(Q295/Q444, "NA")</f>
        <v>2.2902164761249295E-2</v>
      </c>
      <c r="S295" s="2"/>
      <c r="T295" s="14">
        <f>IFERROR(T286+T287+T288+T289+T290+T291+T292+T293+T294, "NA")</f>
        <v>37094.94</v>
      </c>
      <c r="U295" s="15">
        <f>IFERROR(T295/T444, "NA")</f>
        <v>2.1105565172446376E-2</v>
      </c>
      <c r="V295" s="2"/>
      <c r="W295" s="14">
        <f t="shared" si="74"/>
        <v>-1983.1600000000035</v>
      </c>
      <c r="X295" s="15">
        <f>IFERROR(W295/W444, "NA")</f>
        <v>3.8669765978070418E-2</v>
      </c>
      <c r="Y295" s="2"/>
      <c r="Z295" s="14">
        <f>IFERROR(Z286+Z287+Z288+Z289+Z290+Z291+Z292+Z293+Z294, "NA")</f>
        <v>43478.25</v>
      </c>
      <c r="AA295" s="15">
        <f>IFERROR(Z295/Z444, "NA")</f>
        <v>2.6206018407346737E-2</v>
      </c>
      <c r="AB295" s="2"/>
      <c r="AC295" s="14">
        <f t="shared" si="75"/>
        <v>4400.1499999999942</v>
      </c>
      <c r="AD295" s="15">
        <f>IFERROR(AC295/AC444, "NA")</f>
        <v>9.3200078709019238E-2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2270.59</v>
      </c>
      <c r="C299" s="8">
        <f>IFERROR(B299/B444, "NA")</f>
        <v>2.8765583997325773E-3</v>
      </c>
      <c r="D299" s="9"/>
      <c r="E299" s="7">
        <v>2209</v>
      </c>
      <c r="F299" s="8">
        <f>IFERROR(E299/E444, "NA")</f>
        <v>2.7404602519253379E-3</v>
      </c>
      <c r="G299" s="9"/>
      <c r="H299" s="10">
        <f t="shared" si="76"/>
        <v>-61.590000000000146</v>
      </c>
      <c r="I299" s="8">
        <f>IFERROR(H299/H444, "NA")</f>
        <v>3.6822007830730236E-3</v>
      </c>
      <c r="J299" s="9"/>
      <c r="K299" s="7">
        <v>1793.01</v>
      </c>
      <c r="L299" s="8">
        <f>IFERROR(K299/K444, "NA")</f>
        <v>2.4054429087274468E-3</v>
      </c>
      <c r="M299" s="9"/>
      <c r="N299" s="10">
        <f t="shared" si="77"/>
        <v>-477.58000000000015</v>
      </c>
      <c r="O299" s="8">
        <f>IFERROR(N299/N444, "NA")</f>
        <v>-1.0867541962164983E-2</v>
      </c>
      <c r="P299" s="9"/>
      <c r="Q299" s="7">
        <v>6712.42</v>
      </c>
      <c r="R299" s="8">
        <f>IFERROR(Q299/Q444, "NA")</f>
        <v>3.9338900506090358E-3</v>
      </c>
      <c r="S299" s="9"/>
      <c r="T299" s="7">
        <v>6627</v>
      </c>
      <c r="U299" s="8">
        <f>IFERROR(T299/T444, "NA")</f>
        <v>3.7705029418514256E-3</v>
      </c>
      <c r="V299" s="9"/>
      <c r="W299" s="10">
        <f t="shared" si="78"/>
        <v>-85.420000000000073</v>
      </c>
      <c r="X299" s="8">
        <f>IFERROR(W299/W444, "NA")</f>
        <v>1.665610142321735E-3</v>
      </c>
      <c r="Y299" s="9"/>
      <c r="Z299" s="7">
        <v>5566.74</v>
      </c>
      <c r="AA299" s="8">
        <f>IFERROR(Z299/Z444, "NA")</f>
        <v>3.3552889297272397E-3</v>
      </c>
      <c r="AB299" s="9"/>
      <c r="AC299" s="10">
        <f t="shared" si="79"/>
        <v>-1145.6800000000003</v>
      </c>
      <c r="AD299" s="8">
        <f>IFERROR(AC299/AC444, "NA")</f>
        <v>-2.4266778672397377E-2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460</v>
      </c>
      <c r="C304" s="8">
        <f>IFERROR(B304/B444, "NA")</f>
        <v>5.8276345085505775E-4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-460</v>
      </c>
      <c r="I304" s="8">
        <f>IFERROR(H304/H444, "NA")</f>
        <v>2.7501418415547766E-2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-460</v>
      </c>
      <c r="O304" s="8">
        <f>IFERROR(N304/N444, "NA")</f>
        <v>-1.0467501366464028E-2</v>
      </c>
      <c r="P304" s="9"/>
      <c r="Q304" s="7">
        <v>646.68000000000006</v>
      </c>
      <c r="R304" s="8">
        <f>IFERROR(Q304/Q444, "NA")</f>
        <v>3.7899416572977432E-4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-646.68000000000006</v>
      </c>
      <c r="X304" s="8">
        <f>IFERROR(W304/W444, "NA")</f>
        <v>1.2609655430070461E-2</v>
      </c>
      <c r="Y304" s="9"/>
      <c r="Z304" s="7">
        <v>197.01</v>
      </c>
      <c r="AA304" s="8">
        <f>IFERROR(Z304/Z444, "NA")</f>
        <v>1.1874552647430336E-4</v>
      </c>
      <c r="AB304" s="9"/>
      <c r="AC304" s="10">
        <f t="shared" si="79"/>
        <v>-449.67000000000007</v>
      </c>
      <c r="AD304" s="8">
        <f>IFERROR(AC304/AC444, "NA")</f>
        <v>-9.5245115264444933E-3</v>
      </c>
    </row>
    <row r="305" spans="1:30" ht="16.5" customHeight="1" x14ac:dyDescent="0.45">
      <c r="A305" s="6" t="s">
        <v>277</v>
      </c>
      <c r="B305" s="7">
        <v>190.68</v>
      </c>
      <c r="C305" s="8">
        <f>IFERROR(B305/B444, "NA")</f>
        <v>2.4156811915009219E-4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-190.68</v>
      </c>
      <c r="I305" s="8">
        <f>IFERROR(H305/H444, "NA")</f>
        <v>1.1399935790166627E-2</v>
      </c>
      <c r="J305" s="9"/>
      <c r="K305" s="7">
        <v>-87</v>
      </c>
      <c r="L305" s="8">
        <f>IFERROR(K305/K444, "NA")</f>
        <v>-1.1671632230678461E-4</v>
      </c>
      <c r="M305" s="9"/>
      <c r="N305" s="10">
        <f t="shared" si="77"/>
        <v>-277.68</v>
      </c>
      <c r="O305" s="8">
        <f>IFERROR(N305/N444, "NA")</f>
        <v>-6.3187299553037635E-3</v>
      </c>
      <c r="P305" s="9"/>
      <c r="Q305" s="7">
        <v>265.64999999999998</v>
      </c>
      <c r="R305" s="8">
        <f>IFERROR(Q305/Q444, "NA")</f>
        <v>1.5568720252074369E-4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-265.64999999999998</v>
      </c>
      <c r="X305" s="8">
        <f>IFERROR(W305/W444, "NA")</f>
        <v>5.1799266484168641E-3</v>
      </c>
      <c r="Y305" s="9"/>
      <c r="Z305" s="7">
        <v>-51.41</v>
      </c>
      <c r="AA305" s="8">
        <f>IFERROR(Z305/Z444, "NA")</f>
        <v>-3.0986790092096522E-5</v>
      </c>
      <c r="AB305" s="9"/>
      <c r="AC305" s="10">
        <f t="shared" si="79"/>
        <v>-317.05999999999995</v>
      </c>
      <c r="AD305" s="8">
        <f>IFERROR(AC305/AC444, "NA")</f>
        <v>-6.7156840006549028E-3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115.89999999999999</v>
      </c>
      <c r="C310" s="8">
        <f>IFERROR(B310/B444, "NA")</f>
        <v>1.46831052074133E-4</v>
      </c>
      <c r="D310" s="9"/>
      <c r="E310" s="7">
        <v>275</v>
      </c>
      <c r="F310" s="8">
        <f>IFERROR(E310/E444, "NA")</f>
        <v>3.4116186929808413E-4</v>
      </c>
      <c r="G310" s="9"/>
      <c r="H310" s="10">
        <f t="shared" si="76"/>
        <v>159.10000000000002</v>
      </c>
      <c r="I310" s="8">
        <f>IFERROR(H310/H444, "NA")</f>
        <v>-9.511903630247065E-3</v>
      </c>
      <c r="J310" s="9"/>
      <c r="K310" s="7">
        <v>211.94</v>
      </c>
      <c r="L310" s="8">
        <f>IFERROR(K310/K444, "NA")</f>
        <v>2.8433169367471183E-4</v>
      </c>
      <c r="M310" s="9"/>
      <c r="N310" s="10">
        <f t="shared" si="77"/>
        <v>96.04</v>
      </c>
      <c r="O310" s="8">
        <f>IFERROR(N310/N444, "NA")</f>
        <v>2.1854322418156636E-3</v>
      </c>
      <c r="P310" s="9"/>
      <c r="Q310" s="7">
        <v>1132.0999999999999</v>
      </c>
      <c r="R310" s="8">
        <f>IFERROR(Q310/Q444, "NA")</f>
        <v>6.6348007518815706E-4</v>
      </c>
      <c r="S310" s="9"/>
      <c r="T310" s="7">
        <v>825</v>
      </c>
      <c r="U310" s="8">
        <f>IFERROR(T310/T444, "NA")</f>
        <v>4.6939262517389861E-4</v>
      </c>
      <c r="V310" s="9"/>
      <c r="W310" s="10">
        <f t="shared" si="78"/>
        <v>-307.09999999999991</v>
      </c>
      <c r="X310" s="8">
        <f>IFERROR(W310/W444, "NA")</f>
        <v>5.988162897529902E-3</v>
      </c>
      <c r="Y310" s="9"/>
      <c r="Z310" s="7">
        <v>309.37</v>
      </c>
      <c r="AA310" s="8">
        <f>IFERROR(Z310/Z444, "NA")</f>
        <v>1.8646923265496794E-4</v>
      </c>
      <c r="AB310" s="9"/>
      <c r="AC310" s="10">
        <f t="shared" si="79"/>
        <v>-822.7299999999999</v>
      </c>
      <c r="AD310" s="8">
        <f>IFERROR(AC310/AC444, "NA")</f>
        <v>-1.7426337910360211E-2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167.48</v>
      </c>
      <c r="AA311" s="8">
        <f>IFERROR(Z311/Z444, "NA")</f>
        <v>1.0094665638250001E-4</v>
      </c>
      <c r="AB311" s="9"/>
      <c r="AC311" s="10">
        <f t="shared" si="79"/>
        <v>167.48</v>
      </c>
      <c r="AD311" s="8">
        <f>IFERROR(AC311/AC444, "NA")</f>
        <v>3.5474129705093146E-3</v>
      </c>
    </row>
    <row r="312" spans="1:30" ht="16.5" customHeight="1" x14ac:dyDescent="0.45">
      <c r="A312" s="6" t="s">
        <v>284</v>
      </c>
      <c r="B312" s="7">
        <v>2861.3100000000004</v>
      </c>
      <c r="C312" s="8">
        <f>IFERROR(B312/B444, "NA")</f>
        <v>3.6249280207958381E-3</v>
      </c>
      <c r="D312" s="9"/>
      <c r="E312" s="7">
        <v>175</v>
      </c>
      <c r="F312" s="8">
        <f>IFERROR(E312/E444, "NA")</f>
        <v>2.1710300773514446E-4</v>
      </c>
      <c r="G312" s="9"/>
      <c r="H312" s="10">
        <f t="shared" si="76"/>
        <v>-2686.3100000000004</v>
      </c>
      <c r="I312" s="8">
        <f>IFERROR(H312/H444, "NA")</f>
        <v>0.16060290283450029</v>
      </c>
      <c r="J312" s="9"/>
      <c r="K312" s="7">
        <v>1100.69</v>
      </c>
      <c r="L312" s="8">
        <f>IFERROR(K312/K444, "NA")</f>
        <v>1.4766492965500547E-3</v>
      </c>
      <c r="M312" s="9"/>
      <c r="N312" s="10">
        <f t="shared" si="77"/>
        <v>-1760.6200000000003</v>
      </c>
      <c r="O312" s="8">
        <f>IFERROR(N312/N444, "NA")</f>
        <v>-4.006367881700848E-2</v>
      </c>
      <c r="P312" s="9"/>
      <c r="Q312" s="7">
        <v>5506.9400000000005</v>
      </c>
      <c r="R312" s="8">
        <f>IFERROR(Q312/Q444, "NA")</f>
        <v>3.2274047922062278E-3</v>
      </c>
      <c r="S312" s="9"/>
      <c r="T312" s="7">
        <v>525</v>
      </c>
      <c r="U312" s="8">
        <f>IFERROR(T312/T444, "NA")</f>
        <v>2.9870439783793545E-4</v>
      </c>
      <c r="V312" s="9"/>
      <c r="W312" s="10">
        <f t="shared" si="78"/>
        <v>-4981.9400000000005</v>
      </c>
      <c r="X312" s="8">
        <f>IFERROR(W312/W444, "NA")</f>
        <v>9.7143172470596326E-2</v>
      </c>
      <c r="Y312" s="9"/>
      <c r="Z312" s="7">
        <v>2079.5300000000002</v>
      </c>
      <c r="AA312" s="8">
        <f>IFERROR(Z312/Z444, "NA")</f>
        <v>1.2534129469017213E-3</v>
      </c>
      <c r="AB312" s="9"/>
      <c r="AC312" s="10">
        <f t="shared" si="79"/>
        <v>-3427.4100000000003</v>
      </c>
      <c r="AD312" s="8">
        <f>IFERROR(AC312/AC444, "NA")</f>
        <v>-7.2596361889499236E-2</v>
      </c>
    </row>
    <row r="313" spans="1:30" ht="16.5" customHeight="1" x14ac:dyDescent="0.45">
      <c r="A313" s="6" t="s">
        <v>285</v>
      </c>
      <c r="B313" s="7">
        <v>513.95000000000005</v>
      </c>
      <c r="C313" s="8">
        <f>IFERROR(B313/B444, "NA")</f>
        <v>6.5111146862381944E-4</v>
      </c>
      <c r="D313" s="9"/>
      <c r="E313" s="7">
        <v>315</v>
      </c>
      <c r="F313" s="8">
        <f>IFERROR(E313/E444, "NA")</f>
        <v>3.9078541392326003E-4</v>
      </c>
      <c r="G313" s="9"/>
      <c r="H313" s="10">
        <f t="shared" si="76"/>
        <v>-198.95000000000005</v>
      </c>
      <c r="I313" s="8">
        <f>IFERROR(H313/H444, "NA")</f>
        <v>1.1894363464724412E-2</v>
      </c>
      <c r="J313" s="9"/>
      <c r="K313" s="7">
        <v>202.75</v>
      </c>
      <c r="L313" s="8">
        <f>IFERROR(K313/K444, "NA")</f>
        <v>2.7200269365173081E-4</v>
      </c>
      <c r="M313" s="9"/>
      <c r="N313" s="10">
        <f t="shared" si="77"/>
        <v>-311.20000000000005</v>
      </c>
      <c r="O313" s="8">
        <f>IFERROR(N313/N444, "NA")</f>
        <v>-7.0814922287904475E-3</v>
      </c>
      <c r="P313" s="9"/>
      <c r="Q313" s="7">
        <v>1084.55</v>
      </c>
      <c r="R313" s="8">
        <f>IFERROR(Q313/Q444, "NA")</f>
        <v>6.3561285711979129E-4</v>
      </c>
      <c r="S313" s="9"/>
      <c r="T313" s="7">
        <v>935</v>
      </c>
      <c r="U313" s="8">
        <f>IFERROR(T313/T444, "NA")</f>
        <v>5.3197830853041845E-4</v>
      </c>
      <c r="V313" s="9"/>
      <c r="W313" s="10">
        <f t="shared" si="78"/>
        <v>-149.54999999999995</v>
      </c>
      <c r="X313" s="8">
        <f>IFERROR(W313/W444, "NA")</f>
        <v>2.9160851882956591E-3</v>
      </c>
      <c r="Y313" s="9"/>
      <c r="Z313" s="7">
        <v>774.8</v>
      </c>
      <c r="AA313" s="8">
        <f>IFERROR(Z313/Z444, "NA")</f>
        <v>4.6700184717674356E-4</v>
      </c>
      <c r="AB313" s="9"/>
      <c r="AC313" s="10">
        <f t="shared" si="79"/>
        <v>-309.75</v>
      </c>
      <c r="AD313" s="8">
        <f>IFERROR(AC313/AC444, "NA")</f>
        <v>-6.5608500574113942E-3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1690.37</v>
      </c>
      <c r="C315" s="8">
        <f>IFERROR(B315/B444, "NA")</f>
        <v>2.1414909878736169E-3</v>
      </c>
      <c r="D315" s="9"/>
      <c r="E315" s="7">
        <v>2288.4</v>
      </c>
      <c r="F315" s="8">
        <f>IFERROR(E315/E444, "NA")</f>
        <v>2.8389629880063122E-3</v>
      </c>
      <c r="G315" s="9"/>
      <c r="H315" s="10">
        <f t="shared" si="76"/>
        <v>598.0300000000002</v>
      </c>
      <c r="I315" s="8">
        <f>IFERROR(H315/H444, "NA")</f>
        <v>-3.5753637510978341E-2</v>
      </c>
      <c r="J315" s="9"/>
      <c r="K315" s="7">
        <v>1249.6300000000001</v>
      </c>
      <c r="L315" s="8">
        <f>IFERROR(K315/K444, "NA")</f>
        <v>1.6764622740715778E-3</v>
      </c>
      <c r="M315" s="9"/>
      <c r="N315" s="10">
        <f t="shared" si="77"/>
        <v>-440.73999999999978</v>
      </c>
      <c r="O315" s="8">
        <f>IFERROR(N315/N444, "NA")</f>
        <v>-1.0029231635337725E-2</v>
      </c>
      <c r="P315" s="9"/>
      <c r="Q315" s="7">
        <v>5071.1099999999997</v>
      </c>
      <c r="R315" s="8">
        <f>IFERROR(Q315/Q444, "NA")</f>
        <v>2.9719816660077865E-3</v>
      </c>
      <c r="S315" s="9"/>
      <c r="T315" s="7">
        <v>4783.2300000000005</v>
      </c>
      <c r="U315" s="8">
        <f>IFERROR(T315/T444, "NA")</f>
        <v>2.7214701654673301E-3</v>
      </c>
      <c r="V315" s="9"/>
      <c r="W315" s="10">
        <f t="shared" si="78"/>
        <v>-287.8799999999992</v>
      </c>
      <c r="X315" s="8">
        <f>IFERROR(W315/W444, "NA")</f>
        <v>5.6133908659749395E-3</v>
      </c>
      <c r="Y315" s="9"/>
      <c r="Z315" s="7">
        <v>3748.89</v>
      </c>
      <c r="AA315" s="8">
        <f>IFERROR(Z315/Z444, "NA")</f>
        <v>2.2596006128838696E-3</v>
      </c>
      <c r="AB315" s="9"/>
      <c r="AC315" s="10">
        <f t="shared" si="79"/>
        <v>-1322.2199999999998</v>
      </c>
      <c r="AD315" s="8">
        <f>IFERROR(AC315/AC444, "NA")</f>
        <v>-2.8006092535627091E-2</v>
      </c>
    </row>
    <row r="316" spans="1:30" ht="16.5" customHeight="1" x14ac:dyDescent="0.45">
      <c r="A316" s="6" t="s">
        <v>288</v>
      </c>
      <c r="B316" s="7">
        <v>1467.82</v>
      </c>
      <c r="C316" s="8">
        <f>IFERROR(B316/B444, "NA")</f>
        <v>1.8595474965958062E-3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-1467.82</v>
      </c>
      <c r="I316" s="8">
        <f>IFERROR(H316/H444, "NA")</f>
        <v>8.775463473632461E-2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-1467.82</v>
      </c>
      <c r="O316" s="8">
        <f>IFERROR(N316/N444, "NA")</f>
        <v>-3.3400886642876583E-2</v>
      </c>
      <c r="P316" s="9"/>
      <c r="Q316" s="7">
        <v>1467.82</v>
      </c>
      <c r="R316" s="8">
        <f>IFERROR(Q316/Q444, "NA")</f>
        <v>8.6023259779408241E-4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-1467.82</v>
      </c>
      <c r="X316" s="8">
        <f>IFERROR(W316/W444, "NA")</f>
        <v>2.8621117760509095E-2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-1467.82</v>
      </c>
      <c r="AD316" s="8">
        <f>IFERROR(AC316/AC444, "NA")</f>
        <v>-3.1090062732105218E-2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1.6719610092738313E-3</v>
      </c>
      <c r="D318" s="9"/>
      <c r="E318" s="7">
        <v>1321</v>
      </c>
      <c r="F318" s="8">
        <f>IFERROR(E318/E444, "NA")</f>
        <v>1.6388175612464333E-3</v>
      </c>
      <c r="G318" s="9"/>
      <c r="H318" s="10">
        <f t="shared" si="76"/>
        <v>1.25</v>
      </c>
      <c r="I318" s="8">
        <f>IFERROR(H318/H444, "NA")</f>
        <v>-7.4732115259640674E-5</v>
      </c>
      <c r="J318" s="9"/>
      <c r="K318" s="7">
        <v>1319.75</v>
      </c>
      <c r="L318" s="8">
        <f>IFERROR(K318/K444, "NA")</f>
        <v>1.7705329467169999E-3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3959.25</v>
      </c>
      <c r="R318" s="8">
        <f>IFERROR(Q318/Q444, "NA")</f>
        <v>2.3203634729164484E-3</v>
      </c>
      <c r="S318" s="9"/>
      <c r="T318" s="7">
        <v>3963</v>
      </c>
      <c r="U318" s="8">
        <f>IFERROR(T318/T444, "NA")</f>
        <v>2.254791483108073E-3</v>
      </c>
      <c r="V318" s="9"/>
      <c r="W318" s="10">
        <f t="shared" si="78"/>
        <v>3.75</v>
      </c>
      <c r="X318" s="8">
        <f>IFERROR(W318/W444, "NA")</f>
        <v>-7.312149418996138E-5</v>
      </c>
      <c r="Y318" s="9"/>
      <c r="Z318" s="7">
        <v>3959.25</v>
      </c>
      <c r="AA318" s="8">
        <f>IFERROR(Z318/Z444, "NA")</f>
        <v>2.3863926993217886E-3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1345.85</v>
      </c>
      <c r="C319" s="8">
        <f>IFERROR(B319/B444, "NA")</f>
        <v>1.7050265007245203E-3</v>
      </c>
      <c r="D319" s="9"/>
      <c r="E319" s="7">
        <v>1241</v>
      </c>
      <c r="F319" s="8">
        <f>IFERROR(E319/E444, "NA")</f>
        <v>1.5395704719960816E-3</v>
      </c>
      <c r="G319" s="9"/>
      <c r="H319" s="10">
        <f t="shared" si="76"/>
        <v>-104.84999999999991</v>
      </c>
      <c r="I319" s="8">
        <f>IFERROR(H319/H444, "NA")</f>
        <v>6.2685298279786536E-3</v>
      </c>
      <c r="J319" s="9"/>
      <c r="K319" s="7">
        <v>1190.1799999999998</v>
      </c>
      <c r="L319" s="8">
        <f>IFERROR(K319/K444, "NA")</f>
        <v>1.5967061204952746E-3</v>
      </c>
      <c r="M319" s="9"/>
      <c r="N319" s="10">
        <f t="shared" si="77"/>
        <v>-155.67000000000007</v>
      </c>
      <c r="O319" s="8">
        <f>IFERROR(N319/N444, "NA")</f>
        <v>-3.5423389950379478E-3</v>
      </c>
      <c r="P319" s="9"/>
      <c r="Q319" s="7">
        <v>3885.43</v>
      </c>
      <c r="R319" s="8">
        <f>IFERROR(Q319/Q444, "NA")</f>
        <v>2.2771004226996919E-3</v>
      </c>
      <c r="S319" s="9"/>
      <c r="T319" s="7">
        <v>3723</v>
      </c>
      <c r="U319" s="8">
        <f>IFERROR(T319/T444, "NA")</f>
        <v>2.1182409012393023E-3</v>
      </c>
      <c r="V319" s="9"/>
      <c r="W319" s="10">
        <f t="shared" si="78"/>
        <v>-162.42999999999984</v>
      </c>
      <c r="X319" s="8">
        <f>IFERROR(W319/W444, "NA")</f>
        <v>3.1672331470067772E-3</v>
      </c>
      <c r="Y319" s="9"/>
      <c r="Z319" s="7">
        <v>3450.08</v>
      </c>
      <c r="AA319" s="8">
        <f>IFERROR(Z319/Z444, "NA")</f>
        <v>2.0794962995709077E-3</v>
      </c>
      <c r="AB319" s="9"/>
      <c r="AC319" s="10">
        <f t="shared" si="79"/>
        <v>-435.34999999999991</v>
      </c>
      <c r="AD319" s="8">
        <f>IFERROR(AC319/AC444, "NA")</f>
        <v>-9.22119797415351E-3</v>
      </c>
    </row>
    <row r="320" spans="1:30" ht="16.5" customHeight="1" x14ac:dyDescent="0.45">
      <c r="A320" s="6" t="s">
        <v>292</v>
      </c>
      <c r="B320" s="7">
        <v>5249.2999999999993</v>
      </c>
      <c r="C320" s="8">
        <f>IFERROR(B320/B444, "NA")</f>
        <v>6.6502177882031607E-3</v>
      </c>
      <c r="D320" s="9"/>
      <c r="E320" s="7">
        <v>5783</v>
      </c>
      <c r="F320" s="8">
        <f>IFERROR(E320/E444, "NA")</f>
        <v>7.1743239641848021E-3</v>
      </c>
      <c r="G320" s="9"/>
      <c r="H320" s="10">
        <f t="shared" si="76"/>
        <v>533.70000000000073</v>
      </c>
      <c r="I320" s="8">
        <f>IFERROR(H320/H444, "NA")</f>
        <v>-3.1907623931256221E-2</v>
      </c>
      <c r="J320" s="9"/>
      <c r="K320" s="7">
        <v>5503.94</v>
      </c>
      <c r="L320" s="8">
        <f>IFERROR(K320/K444, "NA")</f>
        <v>7.3839038505425754E-3</v>
      </c>
      <c r="M320" s="9"/>
      <c r="N320" s="10">
        <f t="shared" si="77"/>
        <v>254.64000000000033</v>
      </c>
      <c r="O320" s="8">
        <f>IFERROR(N320/N444, "NA")</f>
        <v>5.7944446694704428E-3</v>
      </c>
      <c r="P320" s="9"/>
      <c r="Q320" s="7">
        <v>18062.309999999998</v>
      </c>
      <c r="R320" s="8">
        <f>IFERROR(Q320/Q444, "NA")</f>
        <v>1.0585622115424256E-2</v>
      </c>
      <c r="S320" s="9"/>
      <c r="T320" s="7">
        <v>17349</v>
      </c>
      <c r="U320" s="8">
        <f>IFERROR(T320/T444, "NA")</f>
        <v>9.8709001868387478E-3</v>
      </c>
      <c r="V320" s="9"/>
      <c r="W320" s="10">
        <f t="shared" si="78"/>
        <v>-713.30999999999767</v>
      </c>
      <c r="X320" s="8">
        <f>IFERROR(W320/W444, "NA")</f>
        <v>1.3908878138837649E-2</v>
      </c>
      <c r="Y320" s="9"/>
      <c r="Z320" s="7">
        <v>15788.759999999998</v>
      </c>
      <c r="AA320" s="8">
        <f>IFERROR(Z320/Z444, "NA")</f>
        <v>9.516494688474807E-3</v>
      </c>
      <c r="AB320" s="9"/>
      <c r="AC320" s="10">
        <f t="shared" si="79"/>
        <v>-2273.5499999999993</v>
      </c>
      <c r="AD320" s="8">
        <f>IFERROR(AC320/AC444, "NA")</f>
        <v>-4.8156321704689815E-2</v>
      </c>
    </row>
    <row r="321" spans="1:30" ht="16.5" customHeight="1" x14ac:dyDescent="0.45">
      <c r="A321" s="6" t="s">
        <v>293</v>
      </c>
      <c r="B321" s="7">
        <v>6369.38</v>
      </c>
      <c r="C321" s="8">
        <f>IFERROR(B321/B444, "NA")</f>
        <v>8.0692214534938862E-3</v>
      </c>
      <c r="D321" s="9"/>
      <c r="E321" s="7">
        <v>10492.279999999999</v>
      </c>
      <c r="F321" s="8">
        <f>IFERROR(E321/E444, "NA")</f>
        <v>1.3016603119996008E-2</v>
      </c>
      <c r="G321" s="9"/>
      <c r="H321" s="10">
        <f t="shared" si="76"/>
        <v>4122.8999999999987</v>
      </c>
      <c r="I321" s="8">
        <f>IFERROR(H321/H444, "NA")</f>
        <v>-0.24649043040317792</v>
      </c>
      <c r="J321" s="9"/>
      <c r="K321" s="7">
        <v>17044.59</v>
      </c>
      <c r="L321" s="8">
        <f>IFERROR(K321/K444, "NA")</f>
        <v>2.2866458161229862E-2</v>
      </c>
      <c r="M321" s="9"/>
      <c r="N321" s="10">
        <f t="shared" si="77"/>
        <v>10675.21</v>
      </c>
      <c r="O321" s="8">
        <f>IFERROR(N321/N444, "NA")</f>
        <v>0.24291907665715315</v>
      </c>
      <c r="P321" s="9"/>
      <c r="Q321" s="7">
        <v>15802.880000000001</v>
      </c>
      <c r="R321" s="8">
        <f>IFERROR(Q321/Q444, "NA")</f>
        <v>9.2614574777753079E-3</v>
      </c>
      <c r="S321" s="9"/>
      <c r="T321" s="7">
        <v>22364.37</v>
      </c>
      <c r="U321" s="8">
        <f>IFERROR(T321/T444, "NA")</f>
        <v>1.2724448902618646E-2</v>
      </c>
      <c r="V321" s="9"/>
      <c r="W321" s="10">
        <f t="shared" si="78"/>
        <v>6561.489999999998</v>
      </c>
      <c r="X321" s="8">
        <f>IFERROR(W321/W444, "NA")</f>
        <v>-0.12794292077666389</v>
      </c>
      <c r="Y321" s="9"/>
      <c r="Z321" s="7">
        <v>40184.239999999998</v>
      </c>
      <c r="AA321" s="8">
        <f>IFERROR(Z321/Z444, "NA")</f>
        <v>2.4220591517028375E-2</v>
      </c>
      <c r="AB321" s="9"/>
      <c r="AC321" s="10">
        <f t="shared" si="79"/>
        <v>24381.359999999997</v>
      </c>
      <c r="AD321" s="8">
        <f>IFERROR(AC321/AC444, "NA")</f>
        <v>0.51642436531321334</v>
      </c>
    </row>
    <row r="322" spans="1:30" ht="16.5" customHeight="1" x14ac:dyDescent="0.45">
      <c r="A322" s="6" t="s">
        <v>294</v>
      </c>
      <c r="B322" s="7">
        <v>2041.96</v>
      </c>
      <c r="C322" s="8">
        <f>IFERROR(B322/B444, "NA")</f>
        <v>2.5869122958869428E-3</v>
      </c>
      <c r="D322" s="9"/>
      <c r="E322" s="7">
        <v>1413</v>
      </c>
      <c r="F322" s="8">
        <f>IFERROR(E322/E444, "NA")</f>
        <v>1.7529517138843379E-3</v>
      </c>
      <c r="G322" s="9"/>
      <c r="H322" s="10">
        <f t="shared" si="76"/>
        <v>-628.96</v>
      </c>
      <c r="I322" s="8">
        <f>IFERROR(H322/H444, "NA")</f>
        <v>3.7602808970962881E-2</v>
      </c>
      <c r="J322" s="9"/>
      <c r="K322" s="7">
        <v>2216.5</v>
      </c>
      <c r="L322" s="8">
        <f>IFERROR(K322/K444, "NA")</f>
        <v>2.9735830849768746E-3</v>
      </c>
      <c r="M322" s="9"/>
      <c r="N322" s="10">
        <f t="shared" si="77"/>
        <v>174.53999999999996</v>
      </c>
      <c r="O322" s="8">
        <f>IFERROR(N322/N444, "NA")</f>
        <v>3.971734105440502E-3</v>
      </c>
      <c r="P322" s="9"/>
      <c r="Q322" s="7">
        <v>5118.67</v>
      </c>
      <c r="R322" s="8">
        <f>IFERROR(Q322/Q444, "NA")</f>
        <v>2.9998547446898369E-3</v>
      </c>
      <c r="S322" s="9"/>
      <c r="T322" s="7">
        <v>4239</v>
      </c>
      <c r="U322" s="8">
        <f>IFERROR(T322/T444, "NA")</f>
        <v>2.4118246522571588E-3</v>
      </c>
      <c r="V322" s="9"/>
      <c r="W322" s="10">
        <f t="shared" si="78"/>
        <v>-879.67000000000007</v>
      </c>
      <c r="X322" s="8">
        <f>IFERROR(W322/W444, "NA")</f>
        <v>1.7152742611755555E-2</v>
      </c>
      <c r="Y322" s="9"/>
      <c r="Z322" s="7">
        <v>5010.76</v>
      </c>
      <c r="AA322" s="8">
        <f>IFERROR(Z322/Z444, "NA")</f>
        <v>3.0201783373249094E-3</v>
      </c>
      <c r="AB322" s="9"/>
      <c r="AC322" s="10">
        <f t="shared" si="79"/>
        <v>-107.90999999999985</v>
      </c>
      <c r="AD322" s="8">
        <f>IFERROR(AC322/AC444, "NA")</f>
        <v>-2.2856540103156175E-3</v>
      </c>
    </row>
    <row r="323" spans="1:30" ht="16.5" customHeight="1" x14ac:dyDescent="0.45">
      <c r="A323" s="6" t="s">
        <v>295</v>
      </c>
      <c r="B323" s="7">
        <v>3</v>
      </c>
      <c r="C323" s="8">
        <f>IFERROR(B323/B444, "NA")</f>
        <v>3.8006312012286371E-6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-3</v>
      </c>
      <c r="I323" s="8">
        <f>IFERROR(H323/H444, "NA")</f>
        <v>1.793570766231376E-4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-3</v>
      </c>
      <c r="O323" s="8">
        <f>IFERROR(N323/N444, "NA")</f>
        <v>-6.8266313259548008E-5</v>
      </c>
      <c r="P323" s="9"/>
      <c r="Q323" s="7">
        <v>3.01</v>
      </c>
      <c r="R323" s="8">
        <f>IFERROR(Q323/Q444, "NA")</f>
        <v>1.7640447189438678E-6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-3.01</v>
      </c>
      <c r="X323" s="8">
        <f>IFERROR(W323/W444, "NA")</f>
        <v>5.8692186003142332E-5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-3.01</v>
      </c>
      <c r="AD323" s="8">
        <f>IFERROR(AC323/AC444, "NA")</f>
        <v>-6.3755153100268915E-5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25899.86</v>
      </c>
      <c r="C324" s="15">
        <f>IFERROR(B324/B444, "NA")</f>
        <v>3.2811938674484516E-2</v>
      </c>
      <c r="D324" s="2"/>
      <c r="E324" s="14">
        <f>IFERROR(E297+E298+E299+E300+E301+E302+E303+E304+E305+E306+E307+E308+E309+E310+E311+E312+E313+E314+E315+E316+E317+E318+E319+E320+E321+E322+E323, "NA")</f>
        <v>25512.68</v>
      </c>
      <c r="F324" s="15">
        <f>IFERROR(E324/E444, "NA")</f>
        <v>3.1650740362195805E-2</v>
      </c>
      <c r="G324" s="2"/>
      <c r="H324" s="14">
        <f t="shared" si="76"/>
        <v>-387.18000000000029</v>
      </c>
      <c r="I324" s="15">
        <f>IFERROR(H324/H444, "NA")</f>
        <v>2.3147824308982157E-2</v>
      </c>
      <c r="J324" s="2"/>
      <c r="K324" s="14">
        <f>IFERROR(K297+K298+K299+K300+K301+K302+K303+K304+K305+K306+K307+K308+K309+K310+K311+K312+K313+K314+K315+K316+K317+K318+K319+K320+K321+K322+K323, "NA")</f>
        <v>31745.98</v>
      </c>
      <c r="L324" s="15">
        <f>IFERROR(K324/K444, "NA")</f>
        <v>4.258935670833032E-2</v>
      </c>
      <c r="M324" s="2"/>
      <c r="N324" s="14">
        <f t="shared" si="77"/>
        <v>5846.119999999999</v>
      </c>
      <c r="O324" s="15">
        <f>IFERROR(N324/N444, "NA")</f>
        <v>0.13303101975763626</v>
      </c>
      <c r="P324" s="2"/>
      <c r="Q324" s="14">
        <f>IFERROR(Q297+Q298+Q299+Q300+Q301+Q302+Q303+Q304+Q305+Q306+Q307+Q308+Q309+Q310+Q311+Q312+Q313+Q314+Q315+Q316+Q317+Q318+Q319+Q320+Q321+Q322+Q323, "NA")</f>
        <v>68718.819999999992</v>
      </c>
      <c r="R324" s="15">
        <f>IFERROR(Q324/Q444, "NA")</f>
        <v>4.0273445685400082E-2</v>
      </c>
      <c r="S324" s="2"/>
      <c r="T324" s="14">
        <f>IFERROR(T297+T298+T299+T300+T301+T302+T303+T304+T305+T306+T307+T308+T309+T310+T311+T312+T313+T314+T315+T316+T317+T318+T319+T320+T321+T322+T323, "NA")</f>
        <v>65333.599999999991</v>
      </c>
      <c r="U324" s="15">
        <f>IFERROR(T324/T444, "NA")</f>
        <v>3.717225456492293E-2</v>
      </c>
      <c r="V324" s="2"/>
      <c r="W324" s="14">
        <f t="shared" si="78"/>
        <v>-3385.2200000000012</v>
      </c>
      <c r="X324" s="15">
        <f>IFERROR(W324/W444, "NA")</f>
        <v>6.6008625216464306E-2</v>
      </c>
      <c r="Y324" s="2"/>
      <c r="Z324" s="14">
        <f>IFERROR(Z297+Z298+Z299+Z300+Z301+Z302+Z303+Z304+Z305+Z306+Z307+Z308+Z309+Z310+Z311+Z312+Z313+Z314+Z315+Z316+Z317+Z318+Z319+Z320+Z321+Z322+Z323, "NA")</f>
        <v>81185.499999999985</v>
      </c>
      <c r="AA324" s="15">
        <f>IFERROR(Z324/Z444, "NA")</f>
        <v>4.8933632503830031E-2</v>
      </c>
      <c r="AB324" s="2"/>
      <c r="AC324" s="14">
        <f t="shared" si="79"/>
        <v>12466.679999999993</v>
      </c>
      <c r="AD324" s="15">
        <f>IFERROR(AC324/AC444, "NA")</f>
        <v>0.26405817011696348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200414.39999999994</v>
      </c>
      <c r="C325" s="15">
        <f>IFERROR(B325/B444, "NA")</f>
        <v>0.25390040727183877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179632.30000000002</v>
      </c>
      <c r="F325" s="15">
        <f>IFERROR(E325/E444, "NA")</f>
        <v>0.22284978637932454</v>
      </c>
      <c r="G325" s="2"/>
      <c r="H325" s="14">
        <f t="shared" si="76"/>
        <v>-20782.099999999919</v>
      </c>
      <c r="I325" s="15">
        <f>IFERROR(H325/H444, "NA")</f>
        <v>1.2424722340298977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192371.63999999998</v>
      </c>
      <c r="L325" s="15">
        <f>IFERROR(K325/K444, "NA")</f>
        <v>0.25807942916005444</v>
      </c>
      <c r="M325" s="2"/>
      <c r="N325" s="14">
        <f t="shared" si="77"/>
        <v>-8042.7599999999511</v>
      </c>
      <c r="O325" s="15">
        <f>IFERROR(N325/N444, "NA")</f>
        <v>-0.18301652454378634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460463.30999999994</v>
      </c>
      <c r="R325" s="15">
        <f>IFERROR(Q325/Q444, "NA")</f>
        <v>0.26985975756575187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413019.12</v>
      </c>
      <c r="U325" s="15">
        <f>IFERROR(T325/T444, "NA")</f>
        <v>0.23499167149553143</v>
      </c>
      <c r="V325" s="2"/>
      <c r="W325" s="14">
        <f t="shared" si="78"/>
        <v>-47444.189999999944</v>
      </c>
      <c r="X325" s="15">
        <f>IFERROR(W325/W444, "NA")</f>
        <v>0.92511735024864528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470178.02999999991</v>
      </c>
      <c r="AA325" s="15">
        <f>IFERROR(Z325/Z444, "NA")</f>
        <v>0.28339443535353936</v>
      </c>
      <c r="AB325" s="2"/>
      <c r="AC325" s="14">
        <f t="shared" si="79"/>
        <v>9714.7199999999721</v>
      </c>
      <c r="AD325" s="15">
        <f>IFERROR(AC325/AC444, "NA")</f>
        <v>0.20576859166984804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60203.63</v>
      </c>
      <c r="C329" s="8">
        <f>IFERROR(B329/B444, "NA")</f>
        <v>7.6270598201741466E-2</v>
      </c>
      <c r="D329" s="9"/>
      <c r="E329" s="7">
        <v>60203.63</v>
      </c>
      <c r="F329" s="8">
        <f>IFERROR(E329/E444, "NA")</f>
        <v>7.468793799756443E-2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52829.58</v>
      </c>
      <c r="L329" s="8">
        <f>IFERROR(K329/K444, "NA")</f>
        <v>7.0874417087494965E-2</v>
      </c>
      <c r="M329" s="9"/>
      <c r="N329" s="10">
        <f t="shared" si="81"/>
        <v>-7374.0499999999956</v>
      </c>
      <c r="O329" s="8">
        <f>IFERROR(N329/N444, "NA")</f>
        <v>-0.16779973576385657</v>
      </c>
      <c r="P329" s="9"/>
      <c r="Q329" s="7">
        <v>180610.89</v>
      </c>
      <c r="R329" s="8">
        <f>IFERROR(Q329/Q444, "NA")</f>
        <v>0.10584906534493418</v>
      </c>
      <c r="S329" s="9"/>
      <c r="T329" s="7">
        <v>180610.89</v>
      </c>
      <c r="U329" s="8">
        <f>IFERROR(T329/T444, "NA")</f>
        <v>0.1027605088389021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158488.74</v>
      </c>
      <c r="AA329" s="8">
        <f>IFERROR(Z329/Z444, "NA")</f>
        <v>9.552727715115468E-2</v>
      </c>
      <c r="AB329" s="9"/>
      <c r="AC329" s="10">
        <f t="shared" si="83"/>
        <v>-22122.150000000023</v>
      </c>
      <c r="AD329" s="8">
        <f>IFERROR(AC329/AC444, "NA")</f>
        <v>-0.4685717807830948</v>
      </c>
    </row>
    <row r="330" spans="1:30" ht="16.5" customHeight="1" x14ac:dyDescent="0.45">
      <c r="A330" s="6" t="s">
        <v>301</v>
      </c>
      <c r="B330" s="7">
        <v>8862.18</v>
      </c>
      <c r="C330" s="8">
        <f>IFERROR(B330/B444, "NA")</f>
        <v>1.1227292606301469E-2</v>
      </c>
      <c r="D330" s="9"/>
      <c r="E330" s="7">
        <v>6433.13</v>
      </c>
      <c r="F330" s="8">
        <f>IFERROR(E330/E444, "NA")</f>
        <v>7.9808678408639418E-3</v>
      </c>
      <c r="G330" s="9"/>
      <c r="H330" s="10">
        <f t="shared" si="80"/>
        <v>-2429.0500000000002</v>
      </c>
      <c r="I330" s="8">
        <f>IFERROR(H330/H444, "NA")</f>
        <v>0.14522243565714416</v>
      </c>
      <c r="J330" s="9"/>
      <c r="K330" s="7">
        <v>5267.02</v>
      </c>
      <c r="L330" s="8">
        <f>IFERROR(K330/K444, "NA")</f>
        <v>7.0660598151296638E-3</v>
      </c>
      <c r="M330" s="9"/>
      <c r="N330" s="10">
        <f t="shared" si="81"/>
        <v>-3595.16</v>
      </c>
      <c r="O330" s="8">
        <f>IFERROR(N330/N444, "NA")</f>
        <v>-8.1809439592732208E-2</v>
      </c>
      <c r="P330" s="9"/>
      <c r="Q330" s="7">
        <v>21728.44</v>
      </c>
      <c r="R330" s="8">
        <f>IFERROR(Q330/Q444, "NA")</f>
        <v>1.2734199280029466E-2</v>
      </c>
      <c r="S330" s="9"/>
      <c r="T330" s="7">
        <v>19299.39</v>
      </c>
      <c r="U330" s="8">
        <f>IFERROR(T330/T444, "NA")</f>
        <v>1.0980595559218044E-2</v>
      </c>
      <c r="V330" s="9"/>
      <c r="W330" s="10">
        <f t="shared" si="82"/>
        <v>-2429.0499999999993</v>
      </c>
      <c r="X330" s="8">
        <f>IFERROR(W330/W444, "NA")</f>
        <v>4.7364204123233507E-2</v>
      </c>
      <c r="Y330" s="9"/>
      <c r="Z330" s="7">
        <v>17718.239999999998</v>
      </c>
      <c r="AA330" s="8">
        <f>IFERROR(Z330/Z444, "NA")</f>
        <v>1.0679466712339783E-2</v>
      </c>
      <c r="AB330" s="9"/>
      <c r="AC330" s="10">
        <f t="shared" si="83"/>
        <v>-4010.2000000000007</v>
      </c>
      <c r="AD330" s="8">
        <f>IFERROR(AC330/AC444, "NA")</f>
        <v>-8.4940503309866591E-2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1544.78</v>
      </c>
      <c r="C332" s="8">
        <f>IFERROR(B332/B444, "NA")</f>
        <v>1.9570463556779914E-3</v>
      </c>
      <c r="D332" s="9"/>
      <c r="E332" s="7">
        <v>313</v>
      </c>
      <c r="F332" s="8">
        <f>IFERROR(E332/E444, "NA")</f>
        <v>3.8830423669200125E-4</v>
      </c>
      <c r="G332" s="9"/>
      <c r="H332" s="10">
        <f t="shared" si="80"/>
        <v>-1231.78</v>
      </c>
      <c r="I332" s="8">
        <f>IFERROR(H332/H444, "NA")</f>
        <v>7.364281994761615E-2</v>
      </c>
      <c r="J332" s="9"/>
      <c r="K332" s="7">
        <v>195.16</v>
      </c>
      <c r="L332" s="8">
        <f>IFERROR(K332/K444, "NA")</f>
        <v>2.6182020070565615E-4</v>
      </c>
      <c r="M332" s="9"/>
      <c r="N332" s="10">
        <f t="shared" si="81"/>
        <v>-1349.62</v>
      </c>
      <c r="O332" s="8">
        <f>IFERROR(N332/N444, "NA")</f>
        <v>-3.0711193900450393E-2</v>
      </c>
      <c r="P332" s="9"/>
      <c r="Q332" s="7">
        <v>1935.1</v>
      </c>
      <c r="R332" s="8">
        <f>IFERROR(Q332/Q444, "NA")</f>
        <v>1.1340873540293284E-3</v>
      </c>
      <c r="S332" s="9"/>
      <c r="T332" s="7">
        <v>939</v>
      </c>
      <c r="U332" s="8">
        <f>IFERROR(T332/T444, "NA")</f>
        <v>5.3425415156156458E-4</v>
      </c>
      <c r="V332" s="9"/>
      <c r="W332" s="10">
        <f t="shared" si="82"/>
        <v>-996.09999999999991</v>
      </c>
      <c r="X332" s="8">
        <f>IFERROR(W332/W444, "NA")</f>
        <v>1.9423018763365472E-2</v>
      </c>
      <c r="Y332" s="9"/>
      <c r="Z332" s="7">
        <v>585.48</v>
      </c>
      <c r="AA332" s="8">
        <f>IFERROR(Z332/Z444, "NA")</f>
        <v>3.5289138033691255E-4</v>
      </c>
      <c r="AB332" s="9"/>
      <c r="AC332" s="10">
        <f t="shared" si="83"/>
        <v>-1349.62</v>
      </c>
      <c r="AD332" s="8">
        <f>IFERROR(AC332/AC444, "NA")</f>
        <v>-2.8586455058865423E-2</v>
      </c>
    </row>
    <row r="333" spans="1:30" ht="16.5" customHeight="1" x14ac:dyDescent="0.45">
      <c r="A333" s="6" t="s">
        <v>304</v>
      </c>
      <c r="B333" s="7">
        <v>4420.82</v>
      </c>
      <c r="C333" s="8">
        <f>IFERROR(B333/B444, "NA")</f>
        <v>5.6006354756718609E-3</v>
      </c>
      <c r="D333" s="9"/>
      <c r="E333" s="7">
        <v>5619</v>
      </c>
      <c r="F333" s="8">
        <f>IFERROR(E333/E444, "NA")</f>
        <v>6.9708674312215814E-3</v>
      </c>
      <c r="G333" s="9"/>
      <c r="H333" s="10">
        <f t="shared" si="80"/>
        <v>1198.1800000000003</v>
      </c>
      <c r="I333" s="8">
        <f>IFERROR(H333/H444, "NA")</f>
        <v>-7.1634020689437028E-2</v>
      </c>
      <c r="J333" s="9"/>
      <c r="K333" s="7">
        <v>7186.9400000000005</v>
      </c>
      <c r="L333" s="8">
        <f>IFERROR(K333/K444, "NA")</f>
        <v>9.6417609820634784E-3</v>
      </c>
      <c r="M333" s="9"/>
      <c r="N333" s="10">
        <f t="shared" si="81"/>
        <v>2766.1200000000008</v>
      </c>
      <c r="O333" s="8">
        <f>IFERROR(N333/N444, "NA")</f>
        <v>6.2944271477833671E-2</v>
      </c>
      <c r="P333" s="9"/>
      <c r="Q333" s="7">
        <v>15896.439999999999</v>
      </c>
      <c r="R333" s="8">
        <f>IFERROR(Q333/Q444, "NA")</f>
        <v>9.316289379404671E-3</v>
      </c>
      <c r="S333" s="9"/>
      <c r="T333" s="7">
        <v>16857</v>
      </c>
      <c r="U333" s="8">
        <f>IFERROR(T333/T444, "NA")</f>
        <v>9.5909714940077689E-3</v>
      </c>
      <c r="V333" s="9"/>
      <c r="W333" s="10">
        <f t="shared" si="82"/>
        <v>960.56000000000131</v>
      </c>
      <c r="X333" s="8">
        <f>IFERROR(W333/W444, "NA")</f>
        <v>-1.8730021989095839E-2</v>
      </c>
      <c r="Y333" s="9"/>
      <c r="Z333" s="7">
        <v>18329.43</v>
      </c>
      <c r="AA333" s="8">
        <f>IFERROR(Z333/Z444, "NA")</f>
        <v>1.1047854501415615E-2</v>
      </c>
      <c r="AB333" s="9"/>
      <c r="AC333" s="10">
        <f t="shared" si="83"/>
        <v>2432.9900000000016</v>
      </c>
      <c r="AD333" s="8">
        <f>IFERROR(AC333/AC444, "NA")</f>
        <v>5.1533438518745305E-2</v>
      </c>
    </row>
    <row r="334" spans="1:30" ht="16.5" customHeight="1" x14ac:dyDescent="0.45">
      <c r="A334" s="6" t="s">
        <v>305</v>
      </c>
      <c r="B334" s="7">
        <v>9271.3799999999992</v>
      </c>
      <c r="C334" s="8">
        <f>IFERROR(B334/B444, "NA")</f>
        <v>1.1745698702149053E-2</v>
      </c>
      <c r="D334" s="9"/>
      <c r="E334" s="7">
        <v>9271.3799999999992</v>
      </c>
      <c r="F334" s="8">
        <f>IFERROR(E334/E444, "NA")</f>
        <v>1.1501968479174077E-2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8135.74</v>
      </c>
      <c r="L334" s="8">
        <f>IFERROR(K334/K444, "NA")</f>
        <v>1.0914639678668963E-2</v>
      </c>
      <c r="M334" s="9"/>
      <c r="N334" s="10">
        <f t="shared" si="81"/>
        <v>-1135.6399999999994</v>
      </c>
      <c r="O334" s="8">
        <f>IFERROR(N334/N444, "NA")</f>
        <v>-2.5841985330024353E-2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363.77</v>
      </c>
      <c r="F335" s="8">
        <f>IFERROR(E335/E444, "NA")</f>
        <v>4.5128892070750567E-4</v>
      </c>
      <c r="G335" s="9"/>
      <c r="H335" s="10">
        <f t="shared" si="80"/>
        <v>363.77</v>
      </c>
      <c r="I335" s="8">
        <f>IFERROR(H335/H444, "NA")</f>
        <v>-2.1748241254399586E-2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812.06</v>
      </c>
      <c r="U335" s="8">
        <f>IFERROR(T335/T444, "NA")</f>
        <v>4.6203027296814071E-4</v>
      </c>
      <c r="V335" s="9"/>
      <c r="W335" s="10">
        <f t="shared" si="82"/>
        <v>812.06</v>
      </c>
      <c r="X335" s="8">
        <f>IFERROR(W335/W444, "NA")</f>
        <v>-1.5834410819173344E-2</v>
      </c>
      <c r="Y335" s="9"/>
      <c r="Z335" s="7">
        <v>3309.62</v>
      </c>
      <c r="AA335" s="8">
        <f>IFERROR(Z335/Z444, "NA")</f>
        <v>1.9948356394593365E-3</v>
      </c>
      <c r="AB335" s="9"/>
      <c r="AC335" s="10">
        <f t="shared" si="83"/>
        <v>3309.62</v>
      </c>
      <c r="AD335" s="8">
        <f>IFERROR(AC335/AC444, "NA")</f>
        <v>7.0101438472994021E-2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8892.39</v>
      </c>
      <c r="C338" s="8">
        <f>IFERROR(B338/B444, "NA")</f>
        <v>1.1265564962497841E-2</v>
      </c>
      <c r="D338" s="9"/>
      <c r="E338" s="7">
        <v>13668.73</v>
      </c>
      <c r="F338" s="8">
        <f>IFERROR(E338/E444, "NA")</f>
        <v>1.6957270828112006E-2</v>
      </c>
      <c r="G338" s="9"/>
      <c r="H338" s="10">
        <f t="shared" si="84"/>
        <v>4776.34</v>
      </c>
      <c r="I338" s="8">
        <f>IFERROR(H338/H444, "NA")</f>
        <v>-0.2855567931193857</v>
      </c>
      <c r="J338" s="9"/>
      <c r="K338" s="7">
        <v>9184.74</v>
      </c>
      <c r="L338" s="8">
        <f>IFERROR(K338/K444, "NA")</f>
        <v>1.232194338096571E-2</v>
      </c>
      <c r="M338" s="9"/>
      <c r="N338" s="10">
        <f t="shared" si="85"/>
        <v>292.35000000000036</v>
      </c>
      <c r="O338" s="8">
        <f>IFERROR(N338/N444, "NA")</f>
        <v>6.6525522271429615E-3</v>
      </c>
      <c r="P338" s="9"/>
      <c r="Q338" s="7">
        <v>28279.68</v>
      </c>
      <c r="R338" s="8">
        <f>IFERROR(Q338/Q444, "NA")</f>
        <v>1.6573627959276586E-2</v>
      </c>
      <c r="S338" s="9"/>
      <c r="T338" s="7">
        <v>30487.730000000003</v>
      </c>
      <c r="U338" s="8">
        <f>IFERROR(T338/T444, "NA")</f>
        <v>1.7346321963991544E-2</v>
      </c>
      <c r="V338" s="9"/>
      <c r="W338" s="10">
        <f t="shared" si="86"/>
        <v>2208.0500000000029</v>
      </c>
      <c r="X338" s="8">
        <f>IFERROR(W338/W444, "NA")</f>
        <v>-4.3054910732305184E-2</v>
      </c>
      <c r="Y338" s="9"/>
      <c r="Z338" s="7">
        <v>30124.42</v>
      </c>
      <c r="AA338" s="8">
        <f>IFERROR(Z338/Z444, "NA")</f>
        <v>1.8157149954992305E-2</v>
      </c>
      <c r="AB338" s="9"/>
      <c r="AC338" s="10">
        <f t="shared" si="87"/>
        <v>1844.739999999998</v>
      </c>
      <c r="AD338" s="8">
        <f>IFERROR(AC338/AC444, "NA")</f>
        <v>3.9073648216009949E-2</v>
      </c>
    </row>
    <row r="339" spans="1:30" ht="16.5" customHeight="1" x14ac:dyDescent="0.45">
      <c r="A339" s="12" t="s">
        <v>309</v>
      </c>
      <c r="B339" s="7">
        <v>2914.74</v>
      </c>
      <c r="C339" s="8">
        <f>IFERROR(B339/B444, "NA")</f>
        <v>3.6926172624897192E-3</v>
      </c>
      <c r="D339" s="9"/>
      <c r="E339" s="7">
        <v>3181.4399999999996</v>
      </c>
      <c r="F339" s="8">
        <f>IFERROR(E339/E444, "NA")</f>
        <v>3.9468582453079876E-3</v>
      </c>
      <c r="G339" s="9"/>
      <c r="H339" s="10">
        <f t="shared" si="84"/>
        <v>266.69999999999982</v>
      </c>
      <c r="I339" s="8">
        <f>IFERROR(H339/H444, "NA")</f>
        <v>-1.5944844111796922E-2</v>
      </c>
      <c r="J339" s="9"/>
      <c r="K339" s="7">
        <v>2504.58</v>
      </c>
      <c r="L339" s="8">
        <f>IFERROR(K339/K444, "NA")</f>
        <v>3.3600616841738687E-3</v>
      </c>
      <c r="M339" s="9"/>
      <c r="N339" s="10">
        <f t="shared" si="85"/>
        <v>-410.15999999999985</v>
      </c>
      <c r="O339" s="8">
        <f>IFERROR(N339/N444, "NA")</f>
        <v>-9.333370348845401E-3</v>
      </c>
      <c r="P339" s="9"/>
      <c r="Q339" s="7">
        <v>8873.2200000000012</v>
      </c>
      <c r="R339" s="8">
        <f>IFERROR(Q339/Q444, "NA")</f>
        <v>5.200251455490734E-3</v>
      </c>
      <c r="S339" s="9"/>
      <c r="T339" s="7">
        <v>6977.06</v>
      </c>
      <c r="U339" s="8">
        <f>IFERROR(T339/T444, "NA")</f>
        <v>3.969673344722183E-3</v>
      </c>
      <c r="V339" s="9"/>
      <c r="W339" s="10">
        <f t="shared" si="86"/>
        <v>-1896.1600000000008</v>
      </c>
      <c r="X339" s="8">
        <f>IFERROR(W339/W444, "NA")</f>
        <v>3.697334731286326E-2</v>
      </c>
      <c r="Y339" s="9"/>
      <c r="Z339" s="7">
        <v>8574.59</v>
      </c>
      <c r="AA339" s="8">
        <f>IFERROR(Z339/Z444, "NA")</f>
        <v>5.1682361496944162E-3</v>
      </c>
      <c r="AB339" s="9"/>
      <c r="AC339" s="10">
        <f t="shared" si="87"/>
        <v>-298.63000000000102</v>
      </c>
      <c r="AD339" s="8">
        <f>IFERROR(AC339/AC444, "NA")</f>
        <v>-6.3253160698781962E-3</v>
      </c>
    </row>
    <row r="340" spans="1:30" ht="16.5" customHeight="1" x14ac:dyDescent="0.45">
      <c r="A340" s="12" t="s">
        <v>310</v>
      </c>
      <c r="B340" s="7">
        <v>345.7399999999999</v>
      </c>
      <c r="C340" s="8">
        <f>IFERROR(B340/B444, "NA")</f>
        <v>4.3801007717092955E-4</v>
      </c>
      <c r="D340" s="9"/>
      <c r="E340" s="7">
        <v>3537.76</v>
      </c>
      <c r="F340" s="8">
        <f>IFERROR(E340/E444, "NA")</f>
        <v>4.3889047808290558E-3</v>
      </c>
      <c r="G340" s="9"/>
      <c r="H340" s="10">
        <f t="shared" si="84"/>
        <v>3192.0200000000004</v>
      </c>
      <c r="I340" s="8">
        <f>IFERROR(H340/H444, "NA")</f>
        <v>-0.19083712524086258</v>
      </c>
      <c r="J340" s="9"/>
      <c r="K340" s="7">
        <v>2589.83</v>
      </c>
      <c r="L340" s="8">
        <f>IFERROR(K340/K444, "NA")</f>
        <v>3.4744302643652872E-3</v>
      </c>
      <c r="M340" s="9"/>
      <c r="N340" s="10">
        <f t="shared" si="85"/>
        <v>2244.09</v>
      </c>
      <c r="O340" s="8">
        <f>IFERROR(N340/N444, "NA")</f>
        <v>5.1065250307539702E-2</v>
      </c>
      <c r="P340" s="9"/>
      <c r="Q340" s="7">
        <v>6603.42</v>
      </c>
      <c r="R340" s="8">
        <f>IFERROR(Q340/Q444, "NA")</f>
        <v>3.870009361451268E-3</v>
      </c>
      <c r="S340" s="9"/>
      <c r="T340" s="7">
        <v>7778.5300000000007</v>
      </c>
      <c r="U340" s="8">
        <f>IFERROR(T340/T444, "NA")</f>
        <v>4.4256783232653647E-3</v>
      </c>
      <c r="V340" s="9"/>
      <c r="W340" s="10">
        <f t="shared" si="86"/>
        <v>1175.1100000000006</v>
      </c>
      <c r="X340" s="8">
        <f>IFERROR(W340/W444, "NA")</f>
        <v>-2.2913546410017482E-2</v>
      </c>
      <c r="Y340" s="9"/>
      <c r="Z340" s="7">
        <v>7988.52</v>
      </c>
      <c r="AA340" s="8">
        <f>IFERROR(Z340/Z444, "NA")</f>
        <v>4.814989153598812E-3</v>
      </c>
      <c r="AB340" s="9"/>
      <c r="AC340" s="10">
        <f t="shared" si="87"/>
        <v>1385.1000000000004</v>
      </c>
      <c r="AD340" s="8">
        <f>IFERROR(AC340/AC444, "NA")</f>
        <v>2.9337960983117108E-2</v>
      </c>
    </row>
    <row r="341" spans="1:30" ht="16.5" customHeight="1" x14ac:dyDescent="0.45">
      <c r="A341" s="12" t="s">
        <v>311</v>
      </c>
      <c r="B341" s="7">
        <v>1951.3600000000001</v>
      </c>
      <c r="C341" s="8">
        <f>IFERROR(B341/B444, "NA")</f>
        <v>2.4721332336098381E-3</v>
      </c>
      <c r="D341" s="9"/>
      <c r="E341" s="7">
        <v>2564.11</v>
      </c>
      <c r="F341" s="8">
        <f>IFERROR(E341/E444, "NA")</f>
        <v>3.1810056752214931E-3</v>
      </c>
      <c r="G341" s="9"/>
      <c r="H341" s="10">
        <f t="shared" si="84"/>
        <v>612.75</v>
      </c>
      <c r="I341" s="8">
        <f>IFERROR(H341/H444, "NA")</f>
        <v>-3.6633682900275855E-2</v>
      </c>
      <c r="J341" s="9"/>
      <c r="K341" s="7">
        <v>1864.19</v>
      </c>
      <c r="L341" s="8">
        <f>IFERROR(K341/K444, "NA")</f>
        <v>2.5009356423113197E-3</v>
      </c>
      <c r="M341" s="9"/>
      <c r="N341" s="10">
        <f t="shared" si="85"/>
        <v>-87.170000000000073</v>
      </c>
      <c r="O341" s="8">
        <f>IFERROR(N341/N444, "NA")</f>
        <v>-1.9835915089449351E-3</v>
      </c>
      <c r="P341" s="9"/>
      <c r="Q341" s="7">
        <v>5720.54</v>
      </c>
      <c r="R341" s="8">
        <f>IFERROR(Q341/Q444, "NA")</f>
        <v>3.3525875005007157E-3</v>
      </c>
      <c r="S341" s="9"/>
      <c r="T341" s="7">
        <v>5562.04</v>
      </c>
      <c r="U341" s="8">
        <f>IFERROR(T341/T444, "NA")</f>
        <v>3.1645824932390676E-3</v>
      </c>
      <c r="V341" s="9"/>
      <c r="W341" s="10">
        <f t="shared" si="86"/>
        <v>-158.5</v>
      </c>
      <c r="X341" s="8">
        <f>IFERROR(W341/W444, "NA")</f>
        <v>3.0906018210957011E-3</v>
      </c>
      <c r="Y341" s="9"/>
      <c r="Z341" s="7">
        <v>5630.99</v>
      </c>
      <c r="AA341" s="8">
        <f>IFERROR(Z341/Z444, "NA")</f>
        <v>3.3940148831101847E-3</v>
      </c>
      <c r="AB341" s="9"/>
      <c r="AC341" s="10">
        <f t="shared" si="87"/>
        <v>-89.550000000000182</v>
      </c>
      <c r="AD341" s="8">
        <f>IFERROR(AC341/AC444, "NA")</f>
        <v>-1.8967687575179709E-3</v>
      </c>
    </row>
    <row r="342" spans="1:30" ht="16.5" customHeight="1" x14ac:dyDescent="0.45">
      <c r="A342" s="13" t="s">
        <v>312</v>
      </c>
      <c r="B342" s="14">
        <f>IFERROR(B337+B338+B339+B340+B341, "NA")</f>
        <v>14104.23</v>
      </c>
      <c r="C342" s="15">
        <f>IFERROR(B342/B444, "NA")</f>
        <v>1.7868325535768326E-2</v>
      </c>
      <c r="D342" s="2"/>
      <c r="E342" s="14">
        <f>IFERROR(E337+E338+E339+E340+E341, "NA")</f>
        <v>22952.04</v>
      </c>
      <c r="F342" s="15">
        <f>IFERROR(E342/E444, "NA")</f>
        <v>2.8474039529470543E-2</v>
      </c>
      <c r="G342" s="2"/>
      <c r="H342" s="14">
        <f t="shared" si="84"/>
        <v>8847.8100000000013</v>
      </c>
      <c r="I342" s="15">
        <f>IFERROR(H342/H444, "NA")</f>
        <v>-0.52897244537232113</v>
      </c>
      <c r="J342" s="2"/>
      <c r="K342" s="14">
        <f>IFERROR(K337+K338+K339+K340+K341, "NA")</f>
        <v>16143.34</v>
      </c>
      <c r="L342" s="15">
        <f>IFERROR(K342/K444, "NA")</f>
        <v>2.1657370971816189E-2</v>
      </c>
      <c r="M342" s="2"/>
      <c r="N342" s="14">
        <f t="shared" si="85"/>
        <v>2039.1100000000006</v>
      </c>
      <c r="O342" s="15">
        <f>IFERROR(N342/N444, "NA")</f>
        <v>4.6400840676892326E-2</v>
      </c>
      <c r="P342" s="2"/>
      <c r="Q342" s="14">
        <f>IFERROR(Q337+Q338+Q339+Q340+Q341, "NA")</f>
        <v>49476.86</v>
      </c>
      <c r="R342" s="15">
        <f>IFERROR(Q342/Q444, "NA")</f>
        <v>2.8996476276719304E-2</v>
      </c>
      <c r="S342" s="2"/>
      <c r="T342" s="14">
        <f>IFERROR(T337+T338+T339+T340+T341, "NA")</f>
        <v>50805.36</v>
      </c>
      <c r="U342" s="15">
        <f>IFERROR(T342/T444, "NA")</f>
        <v>2.890625612521816E-2</v>
      </c>
      <c r="V342" s="2"/>
      <c r="W342" s="14">
        <f t="shared" si="86"/>
        <v>1328.5</v>
      </c>
      <c r="X342" s="15">
        <f>IFERROR(W342/W444, "NA")</f>
        <v>-2.5904508008363653E-2</v>
      </c>
      <c r="Y342" s="2"/>
      <c r="Z342" s="14">
        <f>IFERROR(Z337+Z338+Z339+Z340+Z341, "NA")</f>
        <v>52318.52</v>
      </c>
      <c r="AA342" s="15">
        <f>IFERROR(Z342/Z444, "NA")</f>
        <v>3.1534390141395717E-2</v>
      </c>
      <c r="AB342" s="2"/>
      <c r="AC342" s="14">
        <f t="shared" si="87"/>
        <v>2841.6599999999962</v>
      </c>
      <c r="AD342" s="15">
        <f>IFERROR(AC342/AC444, "NA")</f>
        <v>6.018952437173087E-2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98407.020000000019</v>
      </c>
      <c r="C343" s="15">
        <f>IFERROR(B343/B444, "NA")</f>
        <v>0.1246695968773102</v>
      </c>
      <c r="D343" s="2"/>
      <c r="E343" s="14">
        <f>IFERROR(E328+E329+E330+E331+E332+E333+E334+E335+E337+E338+E339+E340+E341, "NA")</f>
        <v>105155.95</v>
      </c>
      <c r="F343" s="15">
        <f>IFERROR(E343/E444, "NA")</f>
        <v>0.13045527443569407</v>
      </c>
      <c r="G343" s="2"/>
      <c r="H343" s="14">
        <f t="shared" si="84"/>
        <v>6748.9299999999785</v>
      </c>
      <c r="I343" s="15">
        <f>IFERROR(H343/H444, "NA")</f>
        <v>-0.40348945171139605</v>
      </c>
      <c r="J343" s="2"/>
      <c r="K343" s="14">
        <f>IFERROR(K328+K329+K330+K331+K332+K333+K334+K335+K337+K338+K339+K340+K341, "NA")</f>
        <v>89757.780000000028</v>
      </c>
      <c r="L343" s="15">
        <f>IFERROR(K343/K444, "NA")</f>
        <v>0.12041606873587896</v>
      </c>
      <c r="M343" s="2"/>
      <c r="N343" s="14">
        <f t="shared" si="85"/>
        <v>-8649.2399999999907</v>
      </c>
      <c r="O343" s="15">
        <f>IFERROR(N343/N444, "NA")</f>
        <v>-0.19681724243233747</v>
      </c>
      <c r="P343" s="2"/>
      <c r="Q343" s="14">
        <f>IFERROR(Q328+Q329+Q330+Q331+Q332+Q333+Q334+Q335+Q337+Q338+Q339+Q340+Q341, "NA")</f>
        <v>269647.73</v>
      </c>
      <c r="R343" s="15">
        <f>IFERROR(Q343/Q444, "NA")</f>
        <v>0.15803011763511693</v>
      </c>
      <c r="S343" s="2"/>
      <c r="T343" s="14">
        <f>IFERROR(T328+T329+T330+T331+T332+T333+T334+T335+T337+T338+T339+T340+T341, "NA")</f>
        <v>269323.7</v>
      </c>
      <c r="U343" s="15">
        <f>IFERROR(T343/T444, "NA")</f>
        <v>0.15323461644187578</v>
      </c>
      <c r="V343" s="2"/>
      <c r="W343" s="14">
        <f t="shared" si="86"/>
        <v>-324.02999999996973</v>
      </c>
      <c r="X343" s="15">
        <f>IFERROR(W343/W444, "NA")</f>
        <v>6.3182820699655929E-3</v>
      </c>
      <c r="Y343" s="2"/>
      <c r="Z343" s="14">
        <f>IFERROR(Z328+Z329+Z330+Z331+Z332+Z333+Z334+Z335+Z337+Z338+Z339+Z340+Z341, "NA")</f>
        <v>250750.02999999997</v>
      </c>
      <c r="AA343" s="15">
        <f>IFERROR(Z343/Z444, "NA")</f>
        <v>0.15113671552610203</v>
      </c>
      <c r="AB343" s="2"/>
      <c r="AC343" s="14">
        <f t="shared" si="87"/>
        <v>-18897.700000000012</v>
      </c>
      <c r="AD343" s="15">
        <f>IFERROR(AC343/AC444, "NA")</f>
        <v>-0.40027433778835636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98407.020000000019</v>
      </c>
      <c r="C344" s="15">
        <f>IFERROR(B344/B444, "NA")</f>
        <v>0.1246695968773102</v>
      </c>
      <c r="D344" s="2"/>
      <c r="E344" s="14">
        <f>IFERROR(E328+E329+E330+E331+E332+E333+E334+E335+E337+E338+E339+E340+E341, "NA")</f>
        <v>105155.95</v>
      </c>
      <c r="F344" s="15">
        <f>IFERROR(E344/E444, "NA")</f>
        <v>0.13045527443569407</v>
      </c>
      <c r="G344" s="2"/>
      <c r="H344" s="14">
        <f t="shared" si="84"/>
        <v>6748.9299999999785</v>
      </c>
      <c r="I344" s="15">
        <f>IFERROR(H344/H444, "NA")</f>
        <v>-0.40348945171139605</v>
      </c>
      <c r="J344" s="2"/>
      <c r="K344" s="14">
        <f>IFERROR(K328+K329+K330+K331+K332+K333+K334+K335+K337+K338+K339+K340+K341, "NA")</f>
        <v>89757.780000000028</v>
      </c>
      <c r="L344" s="15">
        <f>IFERROR(K344/K444, "NA")</f>
        <v>0.12041606873587896</v>
      </c>
      <c r="M344" s="2"/>
      <c r="N344" s="14">
        <f t="shared" si="85"/>
        <v>-8649.2399999999907</v>
      </c>
      <c r="O344" s="15">
        <f>IFERROR(N344/N444, "NA")</f>
        <v>-0.19681724243233747</v>
      </c>
      <c r="P344" s="2"/>
      <c r="Q344" s="14">
        <f>IFERROR(Q328+Q329+Q330+Q331+Q332+Q333+Q334+Q335+Q337+Q338+Q339+Q340+Q341, "NA")</f>
        <v>269647.73</v>
      </c>
      <c r="R344" s="15">
        <f>IFERROR(Q344/Q444, "NA")</f>
        <v>0.15803011763511693</v>
      </c>
      <c r="S344" s="2"/>
      <c r="T344" s="14">
        <f>IFERROR(T328+T329+T330+T331+T332+T333+T334+T335+T337+T338+T339+T340+T341, "NA")</f>
        <v>269323.7</v>
      </c>
      <c r="U344" s="15">
        <f>IFERROR(T344/T444, "NA")</f>
        <v>0.15323461644187578</v>
      </c>
      <c r="V344" s="2"/>
      <c r="W344" s="14">
        <f t="shared" si="86"/>
        <v>-324.02999999996973</v>
      </c>
      <c r="X344" s="15">
        <f>IFERROR(W344/W444, "NA")</f>
        <v>6.3182820699655929E-3</v>
      </c>
      <c r="Y344" s="2"/>
      <c r="Z344" s="14">
        <f>IFERROR(Z328+Z329+Z330+Z331+Z332+Z333+Z334+Z335+Z337+Z338+Z339+Z340+Z341, "NA")</f>
        <v>250750.02999999997</v>
      </c>
      <c r="AA344" s="15">
        <f>IFERROR(Z344/Z444, "NA")</f>
        <v>0.15113671552610203</v>
      </c>
      <c r="AB344" s="2"/>
      <c r="AC344" s="14">
        <f t="shared" si="87"/>
        <v>-18897.700000000012</v>
      </c>
      <c r="AD344" s="15">
        <f>IFERROR(AC344/AC444, "NA")</f>
        <v>-0.40027433778835636</v>
      </c>
    </row>
    <row r="345" spans="1:30" ht="16.5" customHeight="1" x14ac:dyDescent="0.45">
      <c r="A345" s="22" t="s">
        <v>315</v>
      </c>
      <c r="B345" s="23">
        <f>IFERROR(B198-B325-B344, "NA")</f>
        <v>89045.700000000041</v>
      </c>
      <c r="C345" s="24">
        <f>IFERROR(B345/B444, "NA")</f>
        <v>0.11280995525174835</v>
      </c>
      <c r="D345" s="25"/>
      <c r="E345" s="23">
        <f>IFERROR(E198-E325-E344, "NA")</f>
        <v>104567.42000000003</v>
      </c>
      <c r="F345" s="24">
        <f>IFERROR(E345/E444, "NA")</f>
        <v>0.12972515081773775</v>
      </c>
      <c r="G345" s="25"/>
      <c r="H345" s="23">
        <f>IFERROR(B345-E345, "NA")</f>
        <v>-15521.719999999987</v>
      </c>
      <c r="I345" s="24">
        <f>IFERROR(H345/H444, "NA")</f>
        <v>0.92797677445429505</v>
      </c>
      <c r="J345" s="25"/>
      <c r="K345" s="23">
        <f>IFERROR(K198-K325-K344, "NA")</f>
        <v>62909.330000000045</v>
      </c>
      <c r="L345" s="24">
        <f>IFERROR(K345/K444, "NA")</f>
        <v>8.4397076280274472E-2</v>
      </c>
      <c r="M345" s="25"/>
      <c r="N345" s="23">
        <f>IFERROR(B345-K345, "NA")</f>
        <v>26136.369999999995</v>
      </c>
      <c r="O345" s="24">
        <f>IFERROR(N345/N444, "NA")</f>
        <v>0.59474454062915083</v>
      </c>
      <c r="P345" s="25"/>
      <c r="Q345" s="23">
        <f>IFERROR(Q198-Q325-Q344, "NA")</f>
        <v>45199.140000000014</v>
      </c>
      <c r="R345" s="24">
        <f>IFERROR(Q345/Q444, "NA")</f>
        <v>2.6489469839802181E-2</v>
      </c>
      <c r="S345" s="25"/>
      <c r="T345" s="23">
        <f>IFERROR(T198-T325-T344, "NA")</f>
        <v>124388.78000000009</v>
      </c>
      <c r="U345" s="24">
        <f>IFERROR(T345/T444, "NA")</f>
        <v>7.0772334528943728E-2</v>
      </c>
      <c r="V345" s="25"/>
      <c r="W345" s="23">
        <f>IFERROR(Q345-T345, "NA")</f>
        <v>-79189.640000000072</v>
      </c>
      <c r="X345" s="24">
        <f>IFERROR(W345/W444, "NA")</f>
        <v>1.5441239469773702</v>
      </c>
      <c r="Y345" s="25"/>
      <c r="Z345" s="23">
        <f>IFERROR(Z198-Z325-Z344, "NA")</f>
        <v>14674.750000000175</v>
      </c>
      <c r="AA345" s="24">
        <f>IFERROR(Z345/Z444, "NA")</f>
        <v>8.8450378895934424E-3</v>
      </c>
      <c r="AB345" s="25"/>
      <c r="AC345" s="23">
        <f>IFERROR(Q345-Z345, "NA")</f>
        <v>30524.389999999839</v>
      </c>
      <c r="AD345" s="24">
        <f>IFERROR(AC345/AC444, "NA")</f>
        <v>0.64654058396754388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44230.75</v>
      </c>
      <c r="C350" s="8">
        <f>IFERROR(B350/B444, "NA")</f>
        <v>5.6034922834581183E-2</v>
      </c>
      <c r="D350" s="9"/>
      <c r="E350" s="7">
        <v>54326.92</v>
      </c>
      <c r="F350" s="8">
        <f>IFERROR(E350/E444, "NA")</f>
        <v>6.7397358474208996E-2</v>
      </c>
      <c r="G350" s="9"/>
      <c r="H350" s="10">
        <f t="shared" si="88"/>
        <v>10096.169999999998</v>
      </c>
      <c r="I350" s="8">
        <f>IFERROR(H350/H444, "NA")</f>
        <v>-0.60360651209674099</v>
      </c>
      <c r="J350" s="9"/>
      <c r="K350" s="7">
        <v>52984.55</v>
      </c>
      <c r="L350" s="8">
        <f>IFERROR(K350/K444, "NA")</f>
        <v>7.1082319713562589E-2</v>
      </c>
      <c r="M350" s="9"/>
      <c r="N350" s="10">
        <f t="shared" si="89"/>
        <v>8753.8000000000029</v>
      </c>
      <c r="O350" s="8">
        <f>IFERROR(N350/N444, "NA")</f>
        <v>0.19919655100381053</v>
      </c>
      <c r="P350" s="9"/>
      <c r="Q350" s="7">
        <v>115033.62</v>
      </c>
      <c r="R350" s="8">
        <f>IFERROR(Q350/Q444, "NA")</f>
        <v>6.7416760751493596E-2</v>
      </c>
      <c r="S350" s="9"/>
      <c r="T350" s="7">
        <v>126326.92</v>
      </c>
      <c r="U350" s="8">
        <f>IFERROR(T350/T444, "NA")</f>
        <v>7.1875060132040092E-2</v>
      </c>
      <c r="V350" s="9"/>
      <c r="W350" s="10">
        <f t="shared" si="90"/>
        <v>11293.300000000003</v>
      </c>
      <c r="X350" s="8">
        <f>IFERROR(W350/W444, "NA")</f>
        <v>-0.22020879208946428</v>
      </c>
      <c r="Y350" s="9"/>
      <c r="Z350" s="7">
        <v>178871.97</v>
      </c>
      <c r="AA350" s="8">
        <f>IFERROR(Z350/Z444, "NA")</f>
        <v>0.10781303613596162</v>
      </c>
      <c r="AB350" s="9"/>
      <c r="AC350" s="10">
        <f t="shared" si="91"/>
        <v>63838.350000000006</v>
      </c>
      <c r="AD350" s="8">
        <f>IFERROR(AC350/AC444, "NA")</f>
        <v>1.3521673680792532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6774.8</v>
      </c>
      <c r="AA353" s="8">
        <f>IFERROR(Z353/Z444, "NA")</f>
        <v>4.0834332914984547E-3</v>
      </c>
      <c r="AB353" s="9"/>
      <c r="AC353" s="10">
        <f t="shared" si="91"/>
        <v>6774.8</v>
      </c>
      <c r="AD353" s="8">
        <f>IFERROR(AC353/AC444, "NA")</f>
        <v>0.1434978110377747</v>
      </c>
    </row>
    <row r="354" spans="1:30" ht="16.5" customHeight="1" x14ac:dyDescent="0.45">
      <c r="A354" s="6" t="s">
        <v>323</v>
      </c>
      <c r="B354" s="7">
        <v>3543.35</v>
      </c>
      <c r="C354" s="8">
        <f>IFERROR(B354/B444, "NA")</f>
        <v>4.4889888556244976E-3</v>
      </c>
      <c r="D354" s="9"/>
      <c r="E354" s="7">
        <v>4509.13</v>
      </c>
      <c r="F354" s="8">
        <f>IFERROR(E354/E444, "NA")</f>
        <v>5.593975344392983E-3</v>
      </c>
      <c r="G354" s="9"/>
      <c r="H354" s="10">
        <f t="shared" si="88"/>
        <v>965.7800000000002</v>
      </c>
      <c r="I354" s="8">
        <f>IFERROR(H354/H444, "NA")</f>
        <v>-5.7739825820364625E-2</v>
      </c>
      <c r="J354" s="9"/>
      <c r="K354" s="7">
        <v>4322.99</v>
      </c>
      <c r="L354" s="8">
        <f>IFERROR(K354/K444, "NA")</f>
        <v>5.799580392747204E-3</v>
      </c>
      <c r="M354" s="9"/>
      <c r="N354" s="10">
        <f t="shared" si="89"/>
        <v>779.63999999999987</v>
      </c>
      <c r="O354" s="8">
        <f>IFERROR(N354/N444, "NA")</f>
        <v>1.7741049489891334E-2</v>
      </c>
      <c r="P354" s="9"/>
      <c r="Q354" s="7">
        <v>9812.26</v>
      </c>
      <c r="R354" s="8">
        <f>IFERROR(Q354/Q444, "NA")</f>
        <v>5.7505865228917466E-3</v>
      </c>
      <c r="S354" s="9"/>
      <c r="T354" s="7">
        <v>10485.129999999999</v>
      </c>
      <c r="U354" s="8">
        <f>IFERROR(T354/T444, "NA")</f>
        <v>5.965627510290423E-3</v>
      </c>
      <c r="V354" s="9"/>
      <c r="W354" s="10">
        <f t="shared" si="90"/>
        <v>672.86999999999898</v>
      </c>
      <c r="X354" s="8">
        <f>IFERROR(W354/W444, "NA")</f>
        <v>-1.312033594549313E-2</v>
      </c>
      <c r="Y354" s="9"/>
      <c r="Z354" s="7">
        <v>16730.3</v>
      </c>
      <c r="AA354" s="8">
        <f>IFERROR(Z354/Z444, "NA")</f>
        <v>1.0083997165489252E-2</v>
      </c>
      <c r="AB354" s="9"/>
      <c r="AC354" s="10">
        <f t="shared" si="91"/>
        <v>6918.0399999999991</v>
      </c>
      <c r="AD354" s="8">
        <f>IFERROR(AC354/AC444, "NA")</f>
        <v>0.14653179380524395</v>
      </c>
    </row>
    <row r="355" spans="1:30" ht="16.5" customHeight="1" x14ac:dyDescent="0.45">
      <c r="A355" s="6" t="s">
        <v>324</v>
      </c>
      <c r="B355" s="7">
        <v>64.87</v>
      </c>
      <c r="C355" s="8">
        <f>IFERROR(B355/B444, "NA")</f>
        <v>8.2182315341233913E-5</v>
      </c>
      <c r="D355" s="9"/>
      <c r="E355" s="7">
        <v>233</v>
      </c>
      <c r="F355" s="8">
        <f>IFERROR(E355/E444, "NA")</f>
        <v>2.890571474416495E-4</v>
      </c>
      <c r="G355" s="9"/>
      <c r="H355" s="10">
        <f t="shared" si="88"/>
        <v>168.13</v>
      </c>
      <c r="I355" s="8">
        <f>IFERROR(H355/H444, "NA")</f>
        <v>-1.0051768430882709E-2</v>
      </c>
      <c r="J355" s="9"/>
      <c r="K355" s="7">
        <v>254.4</v>
      </c>
      <c r="L355" s="8">
        <f>IFERROR(K355/K444, "NA")</f>
        <v>3.4129462522811501E-4</v>
      </c>
      <c r="M355" s="9"/>
      <c r="N355" s="10">
        <f t="shared" si="89"/>
        <v>189.53</v>
      </c>
      <c r="O355" s="8">
        <f>IFERROR(N355/N444, "NA")</f>
        <v>4.3128381173607117E-3</v>
      </c>
      <c r="P355" s="9"/>
      <c r="Q355" s="7">
        <v>441.17</v>
      </c>
      <c r="R355" s="8">
        <f>IFERROR(Q355/Q444, "NA")</f>
        <v>2.5855269390580277E-4</v>
      </c>
      <c r="S355" s="9"/>
      <c r="T355" s="7">
        <v>657</v>
      </c>
      <c r="U355" s="8">
        <f>IFERROR(T355/T444, "NA")</f>
        <v>3.7380721786575927E-4</v>
      </c>
      <c r="V355" s="9"/>
      <c r="W355" s="10">
        <f t="shared" si="90"/>
        <v>215.82999999999998</v>
      </c>
      <c r="X355" s="8">
        <f>IFERROR(W355/W444, "NA")</f>
        <v>-4.2084832242718301E-3</v>
      </c>
      <c r="Y355" s="9"/>
      <c r="Z355" s="7">
        <v>795</v>
      </c>
      <c r="AA355" s="8">
        <f>IFERROR(Z355/Z444, "NA")</f>
        <v>4.7917716637262668E-4</v>
      </c>
      <c r="AB355" s="9"/>
      <c r="AC355" s="10">
        <f t="shared" si="91"/>
        <v>353.83</v>
      </c>
      <c r="AD355" s="8">
        <f>IFERROR(AC355/AC444, "NA")</f>
        <v>7.4945135619495507E-3</v>
      </c>
    </row>
    <row r="356" spans="1:30" ht="16.5" customHeight="1" x14ac:dyDescent="0.45">
      <c r="A356" s="6" t="s">
        <v>325</v>
      </c>
      <c r="B356" s="7">
        <v>6791</v>
      </c>
      <c r="C356" s="8">
        <f>IFERROR(B356/B444, "NA")</f>
        <v>8.6033621625145589E-3</v>
      </c>
      <c r="D356" s="9"/>
      <c r="E356" s="7">
        <v>6790.87</v>
      </c>
      <c r="F356" s="8">
        <f>IFERROR(E356/E444, "NA")</f>
        <v>8.4246760122192021E-3</v>
      </c>
      <c r="G356" s="9"/>
      <c r="H356" s="10">
        <f t="shared" si="88"/>
        <v>-0.13000000000010914</v>
      </c>
      <c r="I356" s="8">
        <f>IFERROR(H356/H444, "NA")</f>
        <v>7.7721399870091547E-6</v>
      </c>
      <c r="J356" s="9"/>
      <c r="K356" s="7">
        <v>8472.5</v>
      </c>
      <c r="L356" s="8">
        <f>IFERROR(K356/K444, "NA")</f>
        <v>1.1366425755680835E-2</v>
      </c>
      <c r="M356" s="9"/>
      <c r="N356" s="10">
        <f t="shared" si="89"/>
        <v>1681.5</v>
      </c>
      <c r="O356" s="8">
        <f>IFERROR(N356/N444, "NA")</f>
        <v>3.8263268581976657E-2</v>
      </c>
      <c r="P356" s="9"/>
      <c r="Q356" s="7">
        <v>15791</v>
      </c>
      <c r="R356" s="8">
        <f>IFERROR(Q356/Q444, "NA")</f>
        <v>9.2544950687184786E-3</v>
      </c>
      <c r="S356" s="9"/>
      <c r="T356" s="7">
        <v>15790.87</v>
      </c>
      <c r="U356" s="8">
        <f>IFERROR(T356/T444, "NA")</f>
        <v>8.9843853613087998E-3</v>
      </c>
      <c r="V356" s="9"/>
      <c r="W356" s="10">
        <f t="shared" si="90"/>
        <v>-0.12999999999919964</v>
      </c>
      <c r="X356" s="8">
        <f>IFERROR(W356/W444, "NA")</f>
        <v>2.5348784652363885E-6</v>
      </c>
      <c r="Y356" s="9"/>
      <c r="Z356" s="7">
        <v>20847.5</v>
      </c>
      <c r="AA356" s="8">
        <f>IFERROR(Z356/Z444, "NA")</f>
        <v>1.2565592422582811E-2</v>
      </c>
      <c r="AB356" s="9"/>
      <c r="AC356" s="10">
        <f t="shared" si="91"/>
        <v>5056.5</v>
      </c>
      <c r="AD356" s="8">
        <f>IFERROR(AC356/AC444, "NA")</f>
        <v>0.10710230287425573</v>
      </c>
    </row>
    <row r="357" spans="1:30" ht="16.5" customHeight="1" x14ac:dyDescent="0.45">
      <c r="A357" s="6" t="s">
        <v>326</v>
      </c>
      <c r="B357" s="7">
        <v>2948.8</v>
      </c>
      <c r="C357" s="8">
        <f>IFERROR(B357/B444, "NA")</f>
        <v>3.7357670953943353E-3</v>
      </c>
      <c r="D357" s="9"/>
      <c r="E357" s="7">
        <v>3680</v>
      </c>
      <c r="F357" s="8">
        <f>IFERROR(E357/E444, "NA")</f>
        <v>4.5653661055161804E-3</v>
      </c>
      <c r="G357" s="9"/>
      <c r="H357" s="10">
        <f t="shared" si="88"/>
        <v>731.19999999999982</v>
      </c>
      <c r="I357" s="8">
        <f>IFERROR(H357/H444, "NA")</f>
        <v>-4.3715298142279396E-2</v>
      </c>
      <c r="J357" s="9"/>
      <c r="K357" s="7">
        <v>3217.47</v>
      </c>
      <c r="L357" s="8">
        <f>IFERROR(K357/K444, "NA")</f>
        <v>4.316451327958739E-3</v>
      </c>
      <c r="M357" s="9"/>
      <c r="N357" s="10">
        <f t="shared" si="89"/>
        <v>268.66999999999962</v>
      </c>
      <c r="O357" s="8">
        <f>IFERROR(N357/N444, "NA")</f>
        <v>6.1137034611475792E-3</v>
      </c>
      <c r="P357" s="9"/>
      <c r="Q357" s="7">
        <v>9587.2800000000007</v>
      </c>
      <c r="R357" s="8">
        <f>IFERROR(Q357/Q444, "NA")</f>
        <v>5.6187344362246408E-3</v>
      </c>
      <c r="S357" s="9"/>
      <c r="T357" s="7">
        <v>11040</v>
      </c>
      <c r="U357" s="8">
        <f>IFERROR(T357/T444, "NA")</f>
        <v>6.2813267659634431E-3</v>
      </c>
      <c r="V357" s="9"/>
      <c r="W357" s="10">
        <f t="shared" si="90"/>
        <v>1452.7199999999993</v>
      </c>
      <c r="X357" s="8">
        <f>IFERROR(W357/W444, "NA")</f>
        <v>-2.8326681877237508E-2</v>
      </c>
      <c r="Y357" s="9"/>
      <c r="Z357" s="7">
        <v>10156.17</v>
      </c>
      <c r="AA357" s="8">
        <f>IFERROR(Z357/Z444, "NA")</f>
        <v>6.1215154236461383E-3</v>
      </c>
      <c r="AB357" s="9"/>
      <c r="AC357" s="10">
        <f t="shared" si="91"/>
        <v>568.88999999999942</v>
      </c>
      <c r="AD357" s="8">
        <f>IFERROR(AC357/AC444, "NA")</f>
        <v>1.2049723935950812E-2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57578.770000000004</v>
      </c>
      <c r="C358" s="15">
        <f>IFERROR(B358/B444, "NA")</f>
        <v>7.2945223263455816E-2</v>
      </c>
      <c r="D358" s="2"/>
      <c r="E358" s="14">
        <f>IFERROR(E349+E350+E351+E352+E353+E354+E355+E356+E357, "NA")</f>
        <v>69539.92</v>
      </c>
      <c r="F358" s="15">
        <f>IFERROR(E358/E444, "NA")</f>
        <v>8.6270433083779005E-2</v>
      </c>
      <c r="G358" s="2"/>
      <c r="H358" s="14">
        <f t="shared" si="88"/>
        <v>11961.149999999994</v>
      </c>
      <c r="I358" s="15">
        <f>IFERROR(H358/H444, "NA")</f>
        <v>-0.71510563235028046</v>
      </c>
      <c r="J358" s="2"/>
      <c r="K358" s="14">
        <f>IFERROR(K349+K350+K351+K352+K353+K354+K355+K356+K357, "NA")</f>
        <v>69251.91</v>
      </c>
      <c r="L358" s="15">
        <f>IFERROR(K358/K444, "NA")</f>
        <v>9.2906071815177474E-2</v>
      </c>
      <c r="M358" s="2"/>
      <c r="N358" s="14">
        <f t="shared" si="89"/>
        <v>11673.14</v>
      </c>
      <c r="O358" s="15">
        <f>IFERROR(N358/N444, "NA")</f>
        <v>0.26562741065418671</v>
      </c>
      <c r="P358" s="2"/>
      <c r="Q358" s="14">
        <f>IFERROR(Q349+Q350+Q351+Q352+Q353+Q354+Q355+Q356+Q357, "NA")</f>
        <v>150665.32999999999</v>
      </c>
      <c r="R358" s="15">
        <f>IFERROR(Q358/Q444, "NA")</f>
        <v>8.8299129473234247E-2</v>
      </c>
      <c r="S358" s="2"/>
      <c r="T358" s="14">
        <f>IFERROR(T349+T350+T351+T352+T353+T354+T355+T356+T357, "NA")</f>
        <v>164299.91999999998</v>
      </c>
      <c r="U358" s="15">
        <f>IFERROR(T358/T444, "NA")</f>
        <v>9.3480206987468506E-2</v>
      </c>
      <c r="V358" s="2"/>
      <c r="W358" s="14">
        <f t="shared" si="90"/>
        <v>13634.589999999997</v>
      </c>
      <c r="X358" s="15">
        <f>IFERROR(W358/W444, "NA")</f>
        <v>-0.2658617582580014</v>
      </c>
      <c r="Y358" s="2"/>
      <c r="Z358" s="14">
        <f>IFERROR(Z349+Z350+Z351+Z352+Z353+Z354+Z355+Z356+Z357, "NA")</f>
        <v>234175.74</v>
      </c>
      <c r="AA358" s="15">
        <f>IFERROR(Z358/Z444, "NA")</f>
        <v>0.1411467516055509</v>
      </c>
      <c r="AB358" s="2"/>
      <c r="AC358" s="14">
        <f t="shared" si="91"/>
        <v>83510.41</v>
      </c>
      <c r="AD358" s="15">
        <f>IFERROR(AC358/AC444, "NA")</f>
        <v>1.768843513294428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customHeight="1" x14ac:dyDescent="0.45">
      <c r="A362" s="6" t="s">
        <v>330</v>
      </c>
      <c r="B362" s="7">
        <v>525.25</v>
      </c>
      <c r="C362" s="8">
        <f>IFERROR(B362/B444, "NA")</f>
        <v>6.6542717948178058E-4</v>
      </c>
      <c r="D362" s="9"/>
      <c r="E362" s="7">
        <v>1080</v>
      </c>
      <c r="F362" s="8">
        <f>IFERROR(E362/E444, "NA")</f>
        <v>1.3398357048797487E-3</v>
      </c>
      <c r="G362" s="9"/>
      <c r="H362" s="10">
        <f t="shared" si="92"/>
        <v>554.75</v>
      </c>
      <c r="I362" s="8">
        <f>IFERROR(H362/H444, "NA")</f>
        <v>-3.3166112752228527E-2</v>
      </c>
      <c r="J362" s="9"/>
      <c r="K362" s="7">
        <v>1015.41</v>
      </c>
      <c r="L362" s="8">
        <f>IFERROR(K362/K444, "NA")</f>
        <v>1.3622404693509444E-3</v>
      </c>
      <c r="M362" s="9"/>
      <c r="N362" s="10">
        <f t="shared" si="93"/>
        <v>490.15999999999997</v>
      </c>
      <c r="O362" s="8">
        <f>IFERROR(N362/N444, "NA")</f>
        <v>1.1153805369100017E-2</v>
      </c>
      <c r="P362" s="9"/>
      <c r="Q362" s="7">
        <v>1131.02</v>
      </c>
      <c r="R362" s="8">
        <f>IFERROR(Q362/Q444, "NA")</f>
        <v>6.6284712891026359E-4</v>
      </c>
      <c r="S362" s="9"/>
      <c r="T362" s="7">
        <v>2808</v>
      </c>
      <c r="U362" s="8">
        <f>IFERROR(T362/T444, "NA")</f>
        <v>1.597641807864615E-3</v>
      </c>
      <c r="V362" s="9"/>
      <c r="W362" s="10">
        <f t="shared" si="94"/>
        <v>1676.98</v>
      </c>
      <c r="X362" s="8">
        <f>IFERROR(W362/W444, "NA")</f>
        <v>-3.2699542220448387E-2</v>
      </c>
      <c r="Y362" s="9"/>
      <c r="Z362" s="7">
        <v>2752.84</v>
      </c>
      <c r="AA362" s="8">
        <f>IFERROR(Z362/Z444, "NA")</f>
        <v>1.6592428561977631E-3</v>
      </c>
      <c r="AB362" s="9"/>
      <c r="AC362" s="10">
        <f t="shared" si="95"/>
        <v>1621.8200000000002</v>
      </c>
      <c r="AD362" s="8">
        <f>IFERROR(AC362/AC444, "NA")</f>
        <v>3.4351954286072468E-2</v>
      </c>
    </row>
    <row r="363" spans="1:30" ht="16.5" customHeight="1" x14ac:dyDescent="0.45">
      <c r="A363" s="6" t="s">
        <v>331</v>
      </c>
      <c r="B363" s="7">
        <v>1100.52</v>
      </c>
      <c r="C363" s="8">
        <f>IFERROR(B363/B444, "NA")</f>
        <v>1.3942235498587132E-3</v>
      </c>
      <c r="D363" s="9"/>
      <c r="E363" s="7">
        <v>225</v>
      </c>
      <c r="F363" s="8">
        <f>IFERROR(E363/E444, "NA")</f>
        <v>2.7913243851661432E-4</v>
      </c>
      <c r="G363" s="9"/>
      <c r="H363" s="10">
        <f t="shared" si="92"/>
        <v>-875.52</v>
      </c>
      <c r="I363" s="8">
        <f>IFERROR(H363/H444, "NA")</f>
        <v>5.2343569241696475E-2</v>
      </c>
      <c r="J363" s="9"/>
      <c r="K363" s="7">
        <v>1644.11</v>
      </c>
      <c r="L363" s="8">
        <f>IFERROR(K363/K444, "NA")</f>
        <v>2.2056835938828465E-3</v>
      </c>
      <c r="M363" s="9"/>
      <c r="N363" s="10">
        <f t="shared" si="93"/>
        <v>543.58999999999992</v>
      </c>
      <c r="O363" s="8">
        <f>IFERROR(N363/N444, "NA")</f>
        <v>1.2369628408252566E-2</v>
      </c>
      <c r="P363" s="9"/>
      <c r="Q363" s="7">
        <v>2414.85</v>
      </c>
      <c r="R363" s="8">
        <f>IFERROR(Q363/Q444, "NA")</f>
        <v>1.4152502955287706E-3</v>
      </c>
      <c r="S363" s="9"/>
      <c r="T363" s="7">
        <v>525</v>
      </c>
      <c r="U363" s="8">
        <f>IFERROR(T363/T444, "NA")</f>
        <v>2.9870439783793545E-4</v>
      </c>
      <c r="V363" s="9"/>
      <c r="W363" s="10">
        <f t="shared" si="94"/>
        <v>-1889.85</v>
      </c>
      <c r="X363" s="8">
        <f>IFERROR(W363/W444, "NA")</f>
        <v>3.6850308211972937E-2</v>
      </c>
      <c r="Y363" s="9"/>
      <c r="Z363" s="7">
        <v>2694.85</v>
      </c>
      <c r="AA363" s="8">
        <f>IFERROR(Z363/Z444, "NA")</f>
        <v>1.6242900462883935E-3</v>
      </c>
      <c r="AB363" s="9"/>
      <c r="AC363" s="10">
        <f t="shared" si="95"/>
        <v>280</v>
      </c>
      <c r="AD363" s="8">
        <f>IFERROR(AC363/AC444, "NA")</f>
        <v>5.9307119163040847E-3</v>
      </c>
    </row>
    <row r="364" spans="1:30" ht="16.5" customHeight="1" x14ac:dyDescent="0.45">
      <c r="A364" s="6" t="s">
        <v>332</v>
      </c>
      <c r="B364" s="7">
        <v>2479.15</v>
      </c>
      <c r="C364" s="8">
        <f>IFERROR(B364/B444, "NA")</f>
        <v>3.1407782808419923E-3</v>
      </c>
      <c r="D364" s="9"/>
      <c r="E364" s="7">
        <v>750</v>
      </c>
      <c r="F364" s="8">
        <f>IFERROR(E364/E444, "NA")</f>
        <v>9.304414617220477E-4</v>
      </c>
      <c r="G364" s="9"/>
      <c r="H364" s="10">
        <f t="shared" si="92"/>
        <v>-1729.15</v>
      </c>
      <c r="I364" s="8">
        <f>IFERROR(H364/H444, "NA")</f>
        <v>0.10337842968096614</v>
      </c>
      <c r="J364" s="9"/>
      <c r="K364" s="7">
        <v>689.44</v>
      </c>
      <c r="L364" s="8">
        <f>IFERROR(K364/K444, "NA")</f>
        <v>9.2492989943896082E-4</v>
      </c>
      <c r="M364" s="9"/>
      <c r="N364" s="10">
        <f t="shared" si="93"/>
        <v>-1789.71</v>
      </c>
      <c r="O364" s="8">
        <f>IFERROR(N364/N444, "NA")</f>
        <v>-4.072563450124856E-2</v>
      </c>
      <c r="P364" s="9"/>
      <c r="Q364" s="7">
        <v>2678.18</v>
      </c>
      <c r="R364" s="8">
        <f>IFERROR(Q364/Q444, "NA")</f>
        <v>1.5695778356747802E-3</v>
      </c>
      <c r="S364" s="9"/>
      <c r="T364" s="7">
        <v>1900</v>
      </c>
      <c r="U364" s="8">
        <f>IFERROR(T364/T444, "NA")</f>
        <v>1.0810254397944331E-3</v>
      </c>
      <c r="V364" s="9"/>
      <c r="W364" s="10">
        <f t="shared" si="94"/>
        <v>-778.17999999999984</v>
      </c>
      <c r="X364" s="8">
        <f>IFERROR(W364/W444, "NA")</f>
        <v>1.5173782492998436E-2</v>
      </c>
      <c r="Y364" s="9"/>
      <c r="Z364" s="7">
        <v>2585.9699999999998</v>
      </c>
      <c r="AA364" s="8">
        <f>IFERROR(Z364/Z444, "NA")</f>
        <v>1.5586638703454355E-3</v>
      </c>
      <c r="AB364" s="9"/>
      <c r="AC364" s="10">
        <f t="shared" si="95"/>
        <v>-92.210000000000036</v>
      </c>
      <c r="AD364" s="8">
        <f>IFERROR(AC364/AC444, "NA")</f>
        <v>-1.9531105207228566E-3</v>
      </c>
    </row>
    <row r="365" spans="1:30" ht="16.5" customHeight="1" x14ac:dyDescent="0.45">
      <c r="A365" s="6" t="s">
        <v>333</v>
      </c>
      <c r="B365" s="7">
        <v>211.67</v>
      </c>
      <c r="C365" s="8">
        <f>IFERROR(B365/B444, "NA")</f>
        <v>2.6815986878802185E-4</v>
      </c>
      <c r="D365" s="9"/>
      <c r="E365" s="7">
        <v>450</v>
      </c>
      <c r="F365" s="8">
        <f>IFERROR(E365/E444, "NA")</f>
        <v>5.5826487703322864E-4</v>
      </c>
      <c r="G365" s="9"/>
      <c r="H365" s="10">
        <f t="shared" si="92"/>
        <v>238.33</v>
      </c>
      <c r="I365" s="8">
        <f>IFERROR(H365/H444, "NA")</f>
        <v>-1.4248724023864128E-2</v>
      </c>
      <c r="J365" s="9"/>
      <c r="K365" s="7">
        <v>-16.809999999999999</v>
      </c>
      <c r="L365" s="8">
        <f>IFERROR(K365/K444, "NA")</f>
        <v>-2.2551739976747691E-5</v>
      </c>
      <c r="M365" s="9"/>
      <c r="N365" s="10">
        <f t="shared" si="93"/>
        <v>-228.48</v>
      </c>
      <c r="O365" s="8">
        <f>IFERROR(N365/N444, "NA")</f>
        <v>-5.1991624178471764E-3</v>
      </c>
      <c r="P365" s="9"/>
      <c r="Q365" s="7">
        <v>503.67</v>
      </c>
      <c r="R365" s="8">
        <f>IFERROR(Q365/Q444, "NA")</f>
        <v>2.9518152943204583E-4</v>
      </c>
      <c r="S365" s="9"/>
      <c r="T365" s="7">
        <v>2025</v>
      </c>
      <c r="U365" s="8">
        <f>IFERROR(T365/T444, "NA")</f>
        <v>1.1521455345177511E-3</v>
      </c>
      <c r="V365" s="9"/>
      <c r="W365" s="10">
        <f t="shared" si="94"/>
        <v>1521.33</v>
      </c>
      <c r="X365" s="8">
        <f>IFERROR(W365/W444, "NA")</f>
        <v>-2.9664512734937053E-2</v>
      </c>
      <c r="Y365" s="9"/>
      <c r="Z365" s="7">
        <v>879.39</v>
      </c>
      <c r="AA365" s="8">
        <f>IFERROR(Z365/Z444, "NA")</f>
        <v>5.3004227463701147E-4</v>
      </c>
      <c r="AB365" s="9"/>
      <c r="AC365" s="10">
        <f t="shared" si="95"/>
        <v>375.71999999999997</v>
      </c>
      <c r="AD365" s="8">
        <f>IFERROR(AC365/AC444, "NA")</f>
        <v>7.9581681471206089E-3</v>
      </c>
    </row>
    <row r="366" spans="1:30" ht="16.5" customHeight="1" x14ac:dyDescent="0.45">
      <c r="A366" s="6" t="s">
        <v>334</v>
      </c>
      <c r="B366" s="7">
        <v>1716.61</v>
      </c>
      <c r="C366" s="8">
        <f>IFERROR(B366/B444, "NA")</f>
        <v>2.1747338421136968E-3</v>
      </c>
      <c r="D366" s="9"/>
      <c r="E366" s="7">
        <v>450</v>
      </c>
      <c r="F366" s="8">
        <f>IFERROR(E366/E444, "NA")</f>
        <v>5.5826487703322864E-4</v>
      </c>
      <c r="G366" s="9"/>
      <c r="H366" s="10">
        <f t="shared" si="92"/>
        <v>-1266.6099999999999</v>
      </c>
      <c r="I366" s="8">
        <f>IFERROR(H366/H444, "NA")</f>
        <v>7.572515560721077E-2</v>
      </c>
      <c r="J366" s="9"/>
      <c r="K366" s="7">
        <v>-1049.3499999999999</v>
      </c>
      <c r="L366" s="8">
        <f>IFERROR(K366/K444, "NA")</f>
        <v>-1.407773250719821E-3</v>
      </c>
      <c r="M366" s="9"/>
      <c r="N366" s="10">
        <f t="shared" si="93"/>
        <v>-2765.96</v>
      </c>
      <c r="O366" s="8">
        <f>IFERROR(N366/N444, "NA")</f>
        <v>-6.2940630607793133E-2</v>
      </c>
      <c r="P366" s="9"/>
      <c r="Q366" s="7">
        <v>2514.41</v>
      </c>
      <c r="R366" s="8">
        <f>IFERROR(Q366/Q444, "NA")</f>
        <v>1.4735985653686547E-3</v>
      </c>
      <c r="S366" s="9"/>
      <c r="T366" s="7">
        <v>1350</v>
      </c>
      <c r="U366" s="8">
        <f>IFERROR(T366/T444, "NA")</f>
        <v>7.6809702301183411E-4</v>
      </c>
      <c r="V366" s="9"/>
      <c r="W366" s="10">
        <f t="shared" si="94"/>
        <v>-1164.4099999999999</v>
      </c>
      <c r="X366" s="8">
        <f>IFERROR(W366/W444, "NA")</f>
        <v>2.2704906413262112E-2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-2514.41</v>
      </c>
      <c r="AD366" s="8">
        <f>IFERROR(AC366/AC444, "NA")</f>
        <v>-5.325800481955055E-2</v>
      </c>
    </row>
    <row r="367" spans="1:30" ht="16.5" customHeight="1" x14ac:dyDescent="0.45">
      <c r="A367" s="6" t="s">
        <v>335</v>
      </c>
      <c r="B367" s="7">
        <v>2418.87</v>
      </c>
      <c r="C367" s="8">
        <f>IFERROR(B367/B444, "NA")</f>
        <v>3.0644109312386379E-3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-2418.87</v>
      </c>
      <c r="I367" s="8">
        <f>IFERROR(H367/H444, "NA")</f>
        <v>0.1446138173104696</v>
      </c>
      <c r="J367" s="9"/>
      <c r="K367" s="7">
        <v>5481.74</v>
      </c>
      <c r="L367" s="8">
        <f>IFERROR(K367/K444, "NA")</f>
        <v>7.354121064850499E-3</v>
      </c>
      <c r="M367" s="9"/>
      <c r="N367" s="10">
        <f t="shared" si="93"/>
        <v>3062.87</v>
      </c>
      <c r="O367" s="8">
        <f>IFERROR(N367/N444, "NA")</f>
        <v>6.9696947631090606E-2</v>
      </c>
      <c r="P367" s="9"/>
      <c r="Q367" s="7">
        <v>4086.48</v>
      </c>
      <c r="R367" s="8">
        <f>IFERROR(Q367/Q444, "NA")</f>
        <v>2.3949280608205107E-3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-4086.48</v>
      </c>
      <c r="X367" s="8">
        <f>IFERROR(W367/W444, "NA")</f>
        <v>7.9682539620638232E-2</v>
      </c>
      <c r="Y367" s="9"/>
      <c r="Z367" s="7">
        <v>5481.74</v>
      </c>
      <c r="AA367" s="8">
        <f>IFERROR(Z367/Z444, "NA")</f>
        <v>3.3040561509326822E-3</v>
      </c>
      <c r="AB367" s="9"/>
      <c r="AC367" s="10">
        <f t="shared" si="95"/>
        <v>1395.2599999999998</v>
      </c>
      <c r="AD367" s="8">
        <f>IFERROR(AC367/AC444, "NA")</f>
        <v>2.9553161101222986E-2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8452.07</v>
      </c>
      <c r="C368" s="15">
        <f>IFERROR(B368/B444, "NA")</f>
        <v>1.0707733652322842E-2</v>
      </c>
      <c r="D368" s="2"/>
      <c r="E368" s="14">
        <f>IFERROR(E360+E361+E362+E363+E364+E365+E366+E367, "NA")</f>
        <v>2955</v>
      </c>
      <c r="F368" s="15">
        <f>IFERROR(E368/E444, "NA")</f>
        <v>3.665939359184868E-3</v>
      </c>
      <c r="G368" s="2"/>
      <c r="H368" s="14">
        <f t="shared" si="92"/>
        <v>-5497.07</v>
      </c>
      <c r="I368" s="15">
        <f>IFERROR(H368/H444, "NA")</f>
        <v>0.32864613506425033</v>
      </c>
      <c r="J368" s="2"/>
      <c r="K368" s="14">
        <f>IFERROR(K360+K361+K362+K363+K364+K365+K366+K367, "NA")</f>
        <v>7764.54</v>
      </c>
      <c r="L368" s="15">
        <f>IFERROR(K368/K444, "NA")</f>
        <v>1.0416650036826682E-2</v>
      </c>
      <c r="M368" s="2"/>
      <c r="N368" s="14">
        <f t="shared" si="93"/>
        <v>-687.52999999999975</v>
      </c>
      <c r="O368" s="15">
        <f>IFERROR(N368/N444, "NA")</f>
        <v>-1.5645046118445676E-2</v>
      </c>
      <c r="P368" s="2"/>
      <c r="Q368" s="14">
        <f>IFERROR(Q360+Q361+Q362+Q363+Q364+Q365+Q366+Q367, "NA")</f>
        <v>13328.609999999999</v>
      </c>
      <c r="R368" s="15">
        <f>IFERROR(Q368/Q444, "NA")</f>
        <v>7.8113834157350253E-3</v>
      </c>
      <c r="S368" s="2"/>
      <c r="T368" s="14">
        <f>IFERROR(T360+T361+T362+T363+T364+T365+T366+T367, "NA")</f>
        <v>8608</v>
      </c>
      <c r="U368" s="15">
        <f>IFERROR(T368/T444, "NA")</f>
        <v>4.8976142030265684E-3</v>
      </c>
      <c r="V368" s="2"/>
      <c r="W368" s="14">
        <f t="shared" si="94"/>
        <v>-4720.6099999999988</v>
      </c>
      <c r="X368" s="15">
        <f>IFERROR(W368/W444, "NA")</f>
        <v>9.2047481783486262E-2</v>
      </c>
      <c r="Y368" s="2"/>
      <c r="Z368" s="14">
        <f>IFERROR(Z360+Z361+Z362+Z363+Z364+Z365+Z366+Z367, "NA")</f>
        <v>14394.789999999999</v>
      </c>
      <c r="AA368" s="15">
        <f>IFERROR(Z368/Z444, "NA")</f>
        <v>8.6762951984012855E-3</v>
      </c>
      <c r="AB368" s="2"/>
      <c r="AC368" s="14">
        <f t="shared" si="95"/>
        <v>1066.1800000000003</v>
      </c>
      <c r="AD368" s="15">
        <f>IFERROR(AC368/AC444, "NA")</f>
        <v>2.2582880110446752E-2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148</v>
      </c>
      <c r="C370" s="8">
        <f>IFERROR(B370/B444, "NA")</f>
        <v>1.8749780592727943E-4</v>
      </c>
      <c r="D370" s="9"/>
      <c r="E370" s="7">
        <v>800</v>
      </c>
      <c r="F370" s="8">
        <f>IFERROR(E370/E444, "NA")</f>
        <v>9.9247089250351756E-4</v>
      </c>
      <c r="G370" s="9"/>
      <c r="H370" s="10">
        <f t="shared" si="92"/>
        <v>652</v>
      </c>
      <c r="I370" s="8">
        <f>IFERROR(H370/H444, "NA")</f>
        <v>-3.8980271319428571E-2</v>
      </c>
      <c r="J370" s="9"/>
      <c r="K370" s="7">
        <v>768</v>
      </c>
      <c r="L370" s="8">
        <f>IFERROR(K370/K444, "NA")</f>
        <v>1.0303233969150641E-3</v>
      </c>
      <c r="M370" s="9"/>
      <c r="N370" s="10">
        <f t="shared" si="93"/>
        <v>620</v>
      </c>
      <c r="O370" s="8">
        <f>IFERROR(N370/N444, "NA")</f>
        <v>1.4108371406973255E-2</v>
      </c>
      <c r="P370" s="9"/>
      <c r="Q370" s="7">
        <v>344</v>
      </c>
      <c r="R370" s="8">
        <f>IFERROR(Q370/Q444, "NA")</f>
        <v>2.0160511073644206E-4</v>
      </c>
      <c r="S370" s="9"/>
      <c r="T370" s="7">
        <v>1000</v>
      </c>
      <c r="U370" s="8">
        <f>IFERROR(T370/T444, "NA")</f>
        <v>5.6896075778654377E-4</v>
      </c>
      <c r="V370" s="9"/>
      <c r="W370" s="10">
        <f t="shared" si="94"/>
        <v>656</v>
      </c>
      <c r="X370" s="8">
        <f>IFERROR(W370/W444, "NA")</f>
        <v>-1.279138671696391E-2</v>
      </c>
      <c r="Y370" s="9"/>
      <c r="Z370" s="7">
        <v>974</v>
      </c>
      <c r="AA370" s="8">
        <f>IFERROR(Z370/Z444, "NA")</f>
        <v>5.8706737112822433E-4</v>
      </c>
      <c r="AB370" s="9"/>
      <c r="AC370" s="10">
        <f t="shared" si="95"/>
        <v>630</v>
      </c>
      <c r="AD370" s="8">
        <f>IFERROR(AC370/AC444, "NA")</f>
        <v>1.3344101811684191E-2</v>
      </c>
    </row>
    <row r="371" spans="1:30" ht="16.5" customHeight="1" x14ac:dyDescent="0.45">
      <c r="A371" s="20" t="s">
        <v>339</v>
      </c>
      <c r="B371" s="7">
        <v>834.8</v>
      </c>
      <c r="C371" s="8">
        <f>IFERROR(B371/B444, "NA")</f>
        <v>1.0575889755952222E-3</v>
      </c>
      <c r="D371" s="9"/>
      <c r="E371" s="7">
        <v>125</v>
      </c>
      <c r="F371" s="8">
        <f>IFERROR(E371/E444, "NA")</f>
        <v>1.5507357695367463E-4</v>
      </c>
      <c r="G371" s="9"/>
      <c r="H371" s="10">
        <f t="shared" si="92"/>
        <v>-709.8</v>
      </c>
      <c r="I371" s="8">
        <f>IFERROR(H371/H444, "NA")</f>
        <v>4.2435884329034355E-2</v>
      </c>
      <c r="J371" s="9"/>
      <c r="K371" s="7">
        <v>209.33</v>
      </c>
      <c r="L371" s="8">
        <f>IFERROR(K371/K444, "NA")</f>
        <v>2.8083020400550832E-4</v>
      </c>
      <c r="M371" s="9"/>
      <c r="N371" s="10">
        <f t="shared" si="93"/>
        <v>-625.46999999999991</v>
      </c>
      <c r="O371" s="8">
        <f>IFERROR(N371/N444, "NA")</f>
        <v>-1.4232843651483163E-2</v>
      </c>
      <c r="P371" s="9"/>
      <c r="Q371" s="7">
        <v>1281.4100000000001</v>
      </c>
      <c r="R371" s="8">
        <f>IFERROR(Q371/Q444, "NA")</f>
        <v>7.5098489810693095E-4</v>
      </c>
      <c r="S371" s="9"/>
      <c r="T371" s="7">
        <v>375</v>
      </c>
      <c r="U371" s="8">
        <f>IFERROR(T371/T444, "NA")</f>
        <v>2.133602841699539E-4</v>
      </c>
      <c r="V371" s="9"/>
      <c r="W371" s="10">
        <f t="shared" si="94"/>
        <v>-906.41000000000008</v>
      </c>
      <c r="X371" s="8">
        <f>IFERROR(W371/W444, "NA")</f>
        <v>1.7674147612992772E-2</v>
      </c>
      <c r="Y371" s="9"/>
      <c r="Z371" s="7">
        <v>506.61</v>
      </c>
      <c r="AA371" s="8">
        <f>IFERROR(Z371/Z444, "NA")</f>
        <v>3.0535338900130362E-4</v>
      </c>
      <c r="AB371" s="9"/>
      <c r="AC371" s="10">
        <f t="shared" si="95"/>
        <v>-774.80000000000007</v>
      </c>
      <c r="AD371" s="8">
        <f>IFERROR(AC371/AC444, "NA")</f>
        <v>-1.6411127116972877E-2</v>
      </c>
    </row>
    <row r="372" spans="1:30" ht="16.5" customHeight="1" x14ac:dyDescent="0.45">
      <c r="A372" s="20" t="s">
        <v>340</v>
      </c>
      <c r="B372" s="7">
        <v>781.8</v>
      </c>
      <c r="C372" s="8">
        <f>IFERROR(B372/B444, "NA")</f>
        <v>9.9044449104018274E-4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-781.8</v>
      </c>
      <c r="I372" s="8">
        <f>IFERROR(H372/H444, "NA")</f>
        <v>4.6740454167989658E-2</v>
      </c>
      <c r="J372" s="9"/>
      <c r="K372" s="7">
        <v>277.17</v>
      </c>
      <c r="L372" s="8">
        <f>IFERROR(K372/K444, "NA")</f>
        <v>3.7184210406633898E-4</v>
      </c>
      <c r="M372" s="9"/>
      <c r="N372" s="10">
        <f t="shared" si="93"/>
        <v>-504.62999999999994</v>
      </c>
      <c r="O372" s="8">
        <f>IFERROR(N372/N444, "NA")</f>
        <v>-1.1483076553388569E-2</v>
      </c>
      <c r="P372" s="9"/>
      <c r="Q372" s="7">
        <v>1289.96</v>
      </c>
      <c r="R372" s="8">
        <f>IFERROR(Q372/Q444, "NA")</f>
        <v>7.5599572280692095E-4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-1289.96</v>
      </c>
      <c r="X372" s="8">
        <f>IFERROR(W372/W444, "NA")</f>
        <v>2.5153014038742021E-2</v>
      </c>
      <c r="Y372" s="9"/>
      <c r="Z372" s="7">
        <v>554.34</v>
      </c>
      <c r="AA372" s="8">
        <f>IFERROR(Z372/Z444, "NA")</f>
        <v>3.3412210114088284E-4</v>
      </c>
      <c r="AB372" s="9"/>
      <c r="AC372" s="10">
        <f t="shared" si="95"/>
        <v>-735.62</v>
      </c>
      <c r="AD372" s="8">
        <f>IFERROR(AC372/AC444, "NA")</f>
        <v>-1.558125107097004E-2</v>
      </c>
    </row>
    <row r="373" spans="1:30" ht="16.5" customHeight="1" x14ac:dyDescent="0.45">
      <c r="A373" s="20" t="s">
        <v>341</v>
      </c>
      <c r="B373" s="7">
        <v>677.78</v>
      </c>
      <c r="C373" s="8">
        <f>IFERROR(B373/B444, "NA")</f>
        <v>8.5866393852291527E-4</v>
      </c>
      <c r="D373" s="9"/>
      <c r="E373" s="7">
        <v>629</v>
      </c>
      <c r="F373" s="8">
        <f>IFERROR(E373/E444, "NA")</f>
        <v>7.8033023923089061E-4</v>
      </c>
      <c r="G373" s="9"/>
      <c r="H373" s="10">
        <f t="shared" si="92"/>
        <v>-48.779999999999973</v>
      </c>
      <c r="I373" s="8">
        <f>IFERROR(H373/H444, "NA")</f>
        <v>2.9163460658922159E-3</v>
      </c>
      <c r="J373" s="9"/>
      <c r="K373" s="7">
        <v>383.26</v>
      </c>
      <c r="L373" s="8">
        <f>IFERROR(K373/K444, "NA")</f>
        <v>5.1416893893446291E-4</v>
      </c>
      <c r="M373" s="9"/>
      <c r="N373" s="10">
        <f t="shared" si="93"/>
        <v>-294.52</v>
      </c>
      <c r="O373" s="8">
        <f>IFERROR(N373/N444, "NA")</f>
        <v>-6.7019315270673598E-3</v>
      </c>
      <c r="P373" s="9"/>
      <c r="Q373" s="7">
        <v>2280.09</v>
      </c>
      <c r="R373" s="8">
        <f>IFERROR(Q373/Q444, "NA")</f>
        <v>1.3362726655205064E-3</v>
      </c>
      <c r="S373" s="9"/>
      <c r="T373" s="7">
        <v>1887</v>
      </c>
      <c r="U373" s="8">
        <f>IFERROR(T373/T444, "NA")</f>
        <v>1.0736289499432082E-3</v>
      </c>
      <c r="V373" s="9"/>
      <c r="W373" s="10">
        <f t="shared" si="94"/>
        <v>-393.09000000000015</v>
      </c>
      <c r="X373" s="8">
        <f>IFERROR(W373/W444, "NA")</f>
        <v>7.6648875069685145E-3</v>
      </c>
      <c r="Y373" s="9"/>
      <c r="Z373" s="7">
        <v>1445.23</v>
      </c>
      <c r="AA373" s="8">
        <f>IFERROR(Z373/Z444, "NA")</f>
        <v>8.7109586937951099E-4</v>
      </c>
      <c r="AB373" s="9"/>
      <c r="AC373" s="10">
        <f t="shared" si="95"/>
        <v>-834.86000000000013</v>
      </c>
      <c r="AD373" s="8">
        <f>IFERROR(AC373/AC444, "NA")</f>
        <v>-1.7683264823020104E-2</v>
      </c>
    </row>
    <row r="374" spans="1:30" ht="16.5" customHeight="1" x14ac:dyDescent="0.45">
      <c r="A374" s="20" t="s">
        <v>342</v>
      </c>
      <c r="B374" s="7">
        <v>2114.1</v>
      </c>
      <c r="C374" s="8">
        <f>IFERROR(B374/B444, "NA")</f>
        <v>2.6783048075058207E-3</v>
      </c>
      <c r="D374" s="9"/>
      <c r="E374" s="7">
        <v>2150</v>
      </c>
      <c r="F374" s="8">
        <f>IFERROR(E374/E444, "NA")</f>
        <v>2.6672655236032032E-3</v>
      </c>
      <c r="G374" s="9"/>
      <c r="H374" s="10">
        <f t="shared" si="92"/>
        <v>35.900000000000091</v>
      </c>
      <c r="I374" s="8">
        <f>IFERROR(H374/H444, "NA")</f>
        <v>-2.1463063502568853E-3</v>
      </c>
      <c r="J374" s="9"/>
      <c r="K374" s="7">
        <v>1940.01</v>
      </c>
      <c r="L374" s="8">
        <f>IFERROR(K374/K444, "NA")</f>
        <v>2.6026532464182208E-3</v>
      </c>
      <c r="M374" s="9"/>
      <c r="N374" s="10">
        <f t="shared" si="93"/>
        <v>-174.08999999999992</v>
      </c>
      <c r="O374" s="8">
        <f>IFERROR(N374/N444, "NA")</f>
        <v>-3.961494158451569E-3</v>
      </c>
      <c r="P374" s="9"/>
      <c r="Q374" s="7">
        <v>6342.3</v>
      </c>
      <c r="R374" s="8">
        <f>IFERROR(Q374/Q444, "NA")</f>
        <v>3.7169770169294667E-3</v>
      </c>
      <c r="S374" s="9"/>
      <c r="T374" s="7">
        <v>6450</v>
      </c>
      <c r="U374" s="8">
        <f>IFERROR(T374/T444, "NA")</f>
        <v>3.6697968877232074E-3</v>
      </c>
      <c r="V374" s="9"/>
      <c r="W374" s="10">
        <f t="shared" si="94"/>
        <v>107.69999999999982</v>
      </c>
      <c r="X374" s="8">
        <f>IFERROR(W374/W444, "NA")</f>
        <v>-2.1000493131356872E-3</v>
      </c>
      <c r="Y374" s="9"/>
      <c r="Z374" s="7">
        <v>5734.03</v>
      </c>
      <c r="AA374" s="8">
        <f>IFERROR(Z374/Z444, "NA")</f>
        <v>3.4561210657806695E-3</v>
      </c>
      <c r="AB374" s="9"/>
      <c r="AC374" s="10">
        <f t="shared" si="95"/>
        <v>-608.27000000000044</v>
      </c>
      <c r="AD374" s="8">
        <f>IFERROR(AC374/AC444, "NA")</f>
        <v>-1.288383620475103E-2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110</v>
      </c>
      <c r="R375" s="8">
        <f>IFERROR(Q375/Q444, "NA")</f>
        <v>6.4466750526187872E-5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-110</v>
      </c>
      <c r="X375" s="8">
        <f>IFERROR(W375/W444, "NA")</f>
        <v>2.1448971629055339E-3</v>
      </c>
      <c r="Y375" s="9"/>
      <c r="Z375" s="7">
        <v>205.26</v>
      </c>
      <c r="AA375" s="8">
        <f>IFERROR(Z375/Z444, "NA")</f>
        <v>1.2371811971024571E-4</v>
      </c>
      <c r="AB375" s="9"/>
      <c r="AC375" s="10">
        <f t="shared" si="95"/>
        <v>95.259999999999991</v>
      </c>
      <c r="AD375" s="8">
        <f>IFERROR(AC375/AC444, "NA")</f>
        <v>2.0177129183825966E-3</v>
      </c>
    </row>
    <row r="376" spans="1:30" ht="16.5" customHeight="1" x14ac:dyDescent="0.45">
      <c r="A376" s="20" t="s">
        <v>344</v>
      </c>
      <c r="B376" s="7">
        <v>116.15</v>
      </c>
      <c r="C376" s="8">
        <f>IFERROR(B376/B444, "NA")</f>
        <v>1.4714777134090207E-4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-116.15</v>
      </c>
      <c r="I376" s="8">
        <f>IFERROR(H376/H444, "NA")</f>
        <v>6.9441081499258114E-3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-116.15</v>
      </c>
      <c r="O376" s="8">
        <f>IFERROR(N376/N444, "NA")</f>
        <v>-2.6430440950321672E-3</v>
      </c>
      <c r="P376" s="9"/>
      <c r="Q376" s="7">
        <v>116.15</v>
      </c>
      <c r="R376" s="8">
        <f>IFERROR(Q376/Q444, "NA")</f>
        <v>6.8071027941970196E-5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-116.15</v>
      </c>
      <c r="X376" s="8">
        <f>IFERROR(W376/W444, "NA")</f>
        <v>2.2648164133770706E-3</v>
      </c>
      <c r="Y376" s="9"/>
      <c r="Z376" s="7">
        <v>-2413</v>
      </c>
      <c r="AA376" s="8">
        <f>IFERROR(Z376/Z444, "NA")</f>
        <v>-1.4544081791913813E-3</v>
      </c>
      <c r="AB376" s="9"/>
      <c r="AC376" s="10">
        <f t="shared" si="95"/>
        <v>-2529.15</v>
      </c>
      <c r="AD376" s="8">
        <f>IFERROR(AC376/AC444, "NA")</f>
        <v>-5.3570214439715991E-2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5047.4399999999996</v>
      </c>
      <c r="C378" s="8">
        <f>IFERROR(B378/B444, "NA")</f>
        <v>6.3944859834431569E-3</v>
      </c>
      <c r="D378" s="9"/>
      <c r="E378" s="7">
        <v>7484</v>
      </c>
      <c r="F378" s="8">
        <f>IFERROR(E378/E444, "NA")</f>
        <v>9.2845651993704072E-3</v>
      </c>
      <c r="G378" s="9"/>
      <c r="H378" s="10">
        <f t="shared" si="92"/>
        <v>2436.5600000000004</v>
      </c>
      <c r="I378" s="8">
        <f>IFERROR(H378/H444, "NA")</f>
        <v>-0.14567142620562407</v>
      </c>
      <c r="J378" s="9"/>
      <c r="K378" s="7">
        <v>8983.4599999999991</v>
      </c>
      <c r="L378" s="8">
        <f>IFERROR(K378/K444, "NA")</f>
        <v>1.2051912790690887E-2</v>
      </c>
      <c r="M378" s="9"/>
      <c r="N378" s="10">
        <f t="shared" si="93"/>
        <v>3936.0199999999995</v>
      </c>
      <c r="O378" s="8">
        <f>IFERROR(N378/N444, "NA")</f>
        <v>8.9565858105282045E-2</v>
      </c>
      <c r="P378" s="9"/>
      <c r="Q378" s="7">
        <v>17918.060000000001</v>
      </c>
      <c r="R378" s="8">
        <f>IFERROR(Q378/Q444, "NA")</f>
        <v>1.050108276302969E-2</v>
      </c>
      <c r="S378" s="9"/>
      <c r="T378" s="7">
        <v>24452</v>
      </c>
      <c r="U378" s="8">
        <f>IFERROR(T378/T444, "NA")</f>
        <v>1.3912228449396567E-2</v>
      </c>
      <c r="V378" s="9"/>
      <c r="W378" s="10">
        <f t="shared" si="94"/>
        <v>6533.9399999999987</v>
      </c>
      <c r="X378" s="8">
        <f>IFERROR(W378/W444, "NA")</f>
        <v>-0.12740572153268165</v>
      </c>
      <c r="Y378" s="9"/>
      <c r="Z378" s="7">
        <v>25818.48</v>
      </c>
      <c r="AA378" s="8">
        <f>IFERROR(Z378/Z444, "NA")</f>
        <v>1.5561793819431867E-2</v>
      </c>
      <c r="AB378" s="9"/>
      <c r="AC378" s="10">
        <f t="shared" si="95"/>
        <v>7900.4199999999983</v>
      </c>
      <c r="AD378" s="8">
        <f>IFERROR(AC378/AC444, "NA")</f>
        <v>0.16733969656359682</v>
      </c>
    </row>
    <row r="379" spans="1:30" ht="16.5" customHeight="1" x14ac:dyDescent="0.45">
      <c r="A379" s="20" t="s">
        <v>347</v>
      </c>
      <c r="B379" s="7">
        <v>166.68</v>
      </c>
      <c r="C379" s="8">
        <f>IFERROR(B379/B444, "NA")</f>
        <v>2.1116306954026311E-4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-166.68</v>
      </c>
      <c r="I379" s="8">
        <f>IFERROR(H379/H444, "NA")</f>
        <v>9.9650791771815263E-3</v>
      </c>
      <c r="J379" s="9"/>
      <c r="K379" s="7">
        <v>1157.33</v>
      </c>
      <c r="L379" s="8">
        <f>IFERROR(K379/K444, "NA")</f>
        <v>1.5526356470725404E-3</v>
      </c>
      <c r="M379" s="9"/>
      <c r="N379" s="10">
        <f t="shared" si="93"/>
        <v>990.64999999999986</v>
      </c>
      <c r="O379" s="8">
        <f>IFERROR(N379/N444, "NA")</f>
        <v>2.2542674410190408E-2</v>
      </c>
      <c r="P379" s="9"/>
      <c r="Q379" s="7">
        <v>1800.07</v>
      </c>
      <c r="R379" s="8">
        <f>IFERROR(Q379/Q444, "NA")</f>
        <v>1.0549514874515907E-3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-1800.07</v>
      </c>
      <c r="X379" s="8">
        <f>IFERROR(W379/W444, "NA")</f>
        <v>3.5099682145739677E-2</v>
      </c>
      <c r="Y379" s="9"/>
      <c r="Z379" s="7">
        <v>1390.06</v>
      </c>
      <c r="AA379" s="8">
        <f>IFERROR(Z379/Z444, "NA")</f>
        <v>8.3784278224897284E-4</v>
      </c>
      <c r="AB379" s="9"/>
      <c r="AC379" s="10">
        <f t="shared" si="95"/>
        <v>-410.01</v>
      </c>
      <c r="AD379" s="8">
        <f>IFERROR(AC379/AC444, "NA")</f>
        <v>-8.6844685457279913E-3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1.4949149391499307E-2</v>
      </c>
      <c r="D380" s="9"/>
      <c r="E380" s="7">
        <v>11800</v>
      </c>
      <c r="F380" s="8">
        <f>IFERROR(E380/E444, "NA")</f>
        <v>1.4638945664426884E-2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1.5428019615264632E-2</v>
      </c>
      <c r="M380" s="9"/>
      <c r="N380" s="10">
        <f t="shared" si="93"/>
        <v>-300</v>
      </c>
      <c r="O380" s="8">
        <f>IFERROR(N380/N444, "NA")</f>
        <v>-6.826631325954801E-3</v>
      </c>
      <c r="P380" s="9"/>
      <c r="Q380" s="7">
        <v>35455.67</v>
      </c>
      <c r="R380" s="8">
        <f>IFERROR(Q380/Q444, "NA")</f>
        <v>2.077919847844403E-2</v>
      </c>
      <c r="S380" s="9"/>
      <c r="T380" s="7">
        <v>35400</v>
      </c>
      <c r="U380" s="8">
        <f>IFERROR(T380/T444, "NA")</f>
        <v>2.014121082564365E-2</v>
      </c>
      <c r="V380" s="9"/>
      <c r="W380" s="10">
        <f t="shared" si="94"/>
        <v>-55.669999999998254</v>
      </c>
      <c r="X380" s="8">
        <f>IFERROR(W380/W444, "NA")</f>
        <v>1.0855129550813394E-3</v>
      </c>
      <c r="Y380" s="9"/>
      <c r="Z380" s="7">
        <v>34500</v>
      </c>
      <c r="AA380" s="8">
        <f>IFERROR(Z380/Z444, "NA")</f>
        <v>2.0794480804849837E-2</v>
      </c>
      <c r="AB380" s="9"/>
      <c r="AC380" s="10">
        <f t="shared" si="95"/>
        <v>-955.66999999999825</v>
      </c>
      <c r="AD380" s="8">
        <f>IFERROR(AC380/AC444, "NA")</f>
        <v>-2.0242155203765409E-2</v>
      </c>
    </row>
    <row r="381" spans="1:30" ht="16.5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3000</v>
      </c>
      <c r="F381" s="8">
        <f>IFERROR(E381/E444, "NA")</f>
        <v>3.7217658468881908E-3</v>
      </c>
      <c r="G381" s="9"/>
      <c r="H381" s="10">
        <f t="shared" si="92"/>
        <v>3000</v>
      </c>
      <c r="I381" s="8">
        <f>IFERROR(H381/H444, "NA")</f>
        <v>-0.1793570766231376</v>
      </c>
      <c r="J381" s="9"/>
      <c r="K381" s="7">
        <v>4975</v>
      </c>
      <c r="L381" s="8">
        <f>IFERROR(K381/K444, "NA")</f>
        <v>6.6742954422557869E-3</v>
      </c>
      <c r="M381" s="9"/>
      <c r="N381" s="10">
        <f t="shared" si="93"/>
        <v>4975</v>
      </c>
      <c r="O381" s="8">
        <f>IFERROR(N381/N444, "NA")</f>
        <v>0.11320830282208379</v>
      </c>
      <c r="P381" s="9"/>
      <c r="Q381" s="7">
        <v>3672.5</v>
      </c>
      <c r="R381" s="8">
        <f>IFERROR(Q381/Q444, "NA")</f>
        <v>2.152310375522045E-3</v>
      </c>
      <c r="S381" s="9"/>
      <c r="T381" s="7">
        <v>8500</v>
      </c>
      <c r="U381" s="8">
        <f>IFERROR(T381/T444, "NA")</f>
        <v>4.8361664411856221E-3</v>
      </c>
      <c r="V381" s="9"/>
      <c r="W381" s="10">
        <f t="shared" si="94"/>
        <v>4827.5</v>
      </c>
      <c r="X381" s="8">
        <f>IFERROR(W381/W444, "NA")</f>
        <v>-9.4131736853876949E-2</v>
      </c>
      <c r="Y381" s="9"/>
      <c r="Z381" s="7">
        <v>22216.51</v>
      </c>
      <c r="AA381" s="8">
        <f>IFERROR(Z381/Z444, "NA")</f>
        <v>1.3390747557847953E-2</v>
      </c>
      <c r="AB381" s="9"/>
      <c r="AC381" s="10">
        <f t="shared" si="95"/>
        <v>18544.009999999998</v>
      </c>
      <c r="AD381" s="8">
        <f>IFERROR(AC381/AC444, "NA")</f>
        <v>0.39278278958236468</v>
      </c>
    </row>
    <row r="382" spans="1:30" ht="16.5" customHeight="1" x14ac:dyDescent="0.45">
      <c r="A382" s="20" t="s">
        <v>350</v>
      </c>
      <c r="B382" s="7">
        <v>674.16</v>
      </c>
      <c r="C382" s="8">
        <f>IFERROR(B382/B444, "NA")</f>
        <v>8.5407784354009939E-4</v>
      </c>
      <c r="D382" s="9"/>
      <c r="E382" s="7">
        <v>506</v>
      </c>
      <c r="F382" s="8">
        <f>IFERROR(E382/E444, "NA")</f>
        <v>6.2773783950847485E-4</v>
      </c>
      <c r="G382" s="9"/>
      <c r="H382" s="10">
        <f t="shared" si="92"/>
        <v>-168.15999999999997</v>
      </c>
      <c r="I382" s="8">
        <f>IFERROR(H382/H444, "NA")</f>
        <v>1.0053562001648938E-2</v>
      </c>
      <c r="J382" s="9"/>
      <c r="K382" s="7">
        <v>505.62</v>
      </c>
      <c r="L382" s="8">
        <f>IFERROR(K382/K444, "NA")</f>
        <v>6.7832306764087857E-4</v>
      </c>
      <c r="M382" s="9"/>
      <c r="N382" s="10">
        <f t="shared" si="93"/>
        <v>-168.53999999999996</v>
      </c>
      <c r="O382" s="8">
        <f>IFERROR(N382/N444, "NA")</f>
        <v>-3.8352014789214063E-3</v>
      </c>
      <c r="P382" s="9"/>
      <c r="Q382" s="7">
        <v>2067.48</v>
      </c>
      <c r="R382" s="8">
        <f>IFERROR(Q382/Q444, "NA")</f>
        <v>1.2116701579807535E-3</v>
      </c>
      <c r="S382" s="9"/>
      <c r="T382" s="7">
        <v>1518</v>
      </c>
      <c r="U382" s="8">
        <f>IFERROR(T382/T444, "NA")</f>
        <v>8.636824303199734E-4</v>
      </c>
      <c r="V382" s="9"/>
      <c r="W382" s="10">
        <f t="shared" si="94"/>
        <v>-549.48</v>
      </c>
      <c r="X382" s="8">
        <f>IFERROR(W382/W444, "NA")</f>
        <v>1.0714346300666661E-2</v>
      </c>
      <c r="Y382" s="9"/>
      <c r="Z382" s="7">
        <v>1011.24</v>
      </c>
      <c r="AA382" s="8">
        <f>IFERROR(Z382/Z444, "NA")</f>
        <v>6.0951335562598114E-4</v>
      </c>
      <c r="AB382" s="9"/>
      <c r="AC382" s="10">
        <f t="shared" si="95"/>
        <v>-1056.24</v>
      </c>
      <c r="AD382" s="8">
        <f>IFERROR(AC382/AC444, "NA")</f>
        <v>-2.2372339837417952E-2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158.96</v>
      </c>
      <c r="C385" s="8">
        <f>IFERROR(B385/B444, "NA")</f>
        <v>2.0138277858243475E-4</v>
      </c>
      <c r="D385" s="9"/>
      <c r="E385" s="7">
        <v>1000</v>
      </c>
      <c r="F385" s="8">
        <f>IFERROR(E385/E444, "NA")</f>
        <v>1.240588615629397E-3</v>
      </c>
      <c r="G385" s="9"/>
      <c r="H385" s="10">
        <f>IFERROR(-(B385-E385), "NA")</f>
        <v>841.04</v>
      </c>
      <c r="I385" s="8">
        <f>IFERROR(H385/H444, "NA")</f>
        <v>-5.0282158574374548E-2</v>
      </c>
      <c r="J385" s="9"/>
      <c r="K385" s="7">
        <v>8948.4599999999991</v>
      </c>
      <c r="L385" s="8">
        <f>IFERROR(K385/K444, "NA")</f>
        <v>1.2004957948383559E-2</v>
      </c>
      <c r="M385" s="9"/>
      <c r="N385" s="10">
        <f>IFERROR(-(B385-K385), "NA")</f>
        <v>8789.5</v>
      </c>
      <c r="O385" s="8">
        <f>IFERROR(N385/N444, "NA")</f>
        <v>0.20000892013159907</v>
      </c>
      <c r="P385" s="9"/>
      <c r="Q385" s="7">
        <v>10781.31</v>
      </c>
      <c r="R385" s="8">
        <f>IFERROR(Q385/Q444, "NA")</f>
        <v>6.3185092919590411E-3</v>
      </c>
      <c r="S385" s="9"/>
      <c r="T385" s="7">
        <v>2750</v>
      </c>
      <c r="U385" s="8">
        <f>IFERROR(T385/T444, "NA")</f>
        <v>1.5646420839129952E-3</v>
      </c>
      <c r="V385" s="9"/>
      <c r="W385" s="10">
        <f>IFERROR(-(Q385-T385), "NA")</f>
        <v>-8031.3099999999995</v>
      </c>
      <c r="X385" s="8">
        <f>IFERROR(W385/W444, "NA")</f>
        <v>0.15660303666740766</v>
      </c>
      <c r="Y385" s="9"/>
      <c r="Z385" s="7">
        <v>13244.19</v>
      </c>
      <c r="AA385" s="8">
        <f>IFERROR(Z385/Z444, "NA")</f>
        <v>7.9827841950951932E-3</v>
      </c>
      <c r="AB385" s="9"/>
      <c r="AC385" s="10">
        <f>IFERROR(-(Q385-Z385), "NA")</f>
        <v>2462.880000000001</v>
      </c>
      <c r="AD385" s="8">
        <f>IFERROR(AC385/AC444, "NA")</f>
        <v>5.2166542015810752E-2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51.47</v>
      </c>
      <c r="L386" s="8">
        <f>IFERROR(K386/K444, "NA")</f>
        <v>6.9050449530232223E-5</v>
      </c>
      <c r="M386" s="9"/>
      <c r="N386" s="10">
        <f>IFERROR(-(B386-K386), "NA")</f>
        <v>51.47</v>
      </c>
      <c r="O386" s="8">
        <f>IFERROR(N386/N444, "NA")</f>
        <v>1.171222381156312E-3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51.47</v>
      </c>
      <c r="AA386" s="8">
        <f>IFERROR(Z386/Z444, "NA")</f>
        <v>3.1022954406539743E-5</v>
      </c>
      <c r="AB386" s="9"/>
      <c r="AC386" s="10">
        <f>IFERROR(-(Q386-Z386), "NA")</f>
        <v>51.47</v>
      </c>
      <c r="AD386" s="8">
        <f>IFERROR(AC386/AC444, "NA")</f>
        <v>1.0901919369006117E-3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16927.45</v>
      </c>
      <c r="F388" s="8">
        <f>IFERROR(E388/E444, "NA")</f>
        <v>2.1000001761635835E-2</v>
      </c>
      <c r="G388" s="9"/>
      <c r="H388" s="10">
        <f t="shared" ref="H388:H403" si="96">IFERROR(-(B388-E388), "NA")</f>
        <v>16927.45</v>
      </c>
      <c r="I388" s="8">
        <f>IFERROR(H388/H444, "NA")</f>
        <v>-1.0120193155614436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36909.4</v>
      </c>
      <c r="U388" s="8">
        <f>IFERROR(T388/T444, "NA")</f>
        <v>2.1000000193446659E-2</v>
      </c>
      <c r="V388" s="9"/>
      <c r="W388" s="10">
        <f t="shared" ref="W388:W403" si="98">IFERROR(-(Q388-T388), "NA")</f>
        <v>36909.4</v>
      </c>
      <c r="X388" s="8">
        <f>IFERROR(W388/W444, "NA")</f>
        <v>-0.71969879404132286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6382.99</v>
      </c>
      <c r="C389" s="8">
        <f>IFERROR(B389/B444, "NA")</f>
        <v>8.0864636503767927E-3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-6382.99</v>
      </c>
      <c r="I389" s="8">
        <f>IFERROR(H389/H444, "NA")</f>
        <v>0.38161147550490704</v>
      </c>
      <c r="J389" s="9"/>
      <c r="K389" s="7">
        <v>4190.92</v>
      </c>
      <c r="L389" s="8">
        <f>IFERROR(K389/K444, "NA")</f>
        <v>5.6223996492178133E-3</v>
      </c>
      <c r="M389" s="9"/>
      <c r="N389" s="10">
        <f t="shared" si="97"/>
        <v>-2192.0699999999997</v>
      </c>
      <c r="O389" s="8">
        <f>IFERROR(N389/N444, "NA")</f>
        <v>-4.9881512435619127E-2</v>
      </c>
      <c r="P389" s="9"/>
      <c r="Q389" s="7">
        <v>20515.759999999998</v>
      </c>
      <c r="R389" s="8">
        <f>IFERROR(Q389/Q444, "NA")</f>
        <v>1.2023494379774036E-2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-20515.759999999998</v>
      </c>
      <c r="X389" s="8">
        <f>IFERROR(W389/W444, "NA")</f>
        <v>0.40003814017137118</v>
      </c>
      <c r="Y389" s="9"/>
      <c r="Z389" s="7">
        <v>10997.39</v>
      </c>
      <c r="AA389" s="8">
        <f>IFERROR(Z389/Z444, "NA")</f>
        <v>6.6285511669115227E-3</v>
      </c>
      <c r="AB389" s="9"/>
      <c r="AC389" s="10">
        <f t="shared" si="99"/>
        <v>-9518.369999999999</v>
      </c>
      <c r="AD389" s="8">
        <f>IFERROR(AC389/AC444, "NA")</f>
        <v>-0.20160967993854037</v>
      </c>
    </row>
    <row r="390" spans="1:30" ht="16.5" customHeight="1" x14ac:dyDescent="0.45">
      <c r="A390" s="12" t="s">
        <v>356</v>
      </c>
      <c r="B390" s="7">
        <v>9314.7199999999993</v>
      </c>
      <c r="C390" s="8">
        <f>IFERROR(B390/B444, "NA")</f>
        <v>1.1800605154236136E-2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-9314.7199999999993</v>
      </c>
      <c r="I390" s="8">
        <f>IFERROR(H390/H444, "NA")</f>
        <v>0.55688698292102401</v>
      </c>
      <c r="J390" s="9"/>
      <c r="K390" s="7">
        <v>12908.55</v>
      </c>
      <c r="L390" s="8">
        <f>IFERROR(K390/K444, "NA")</f>
        <v>1.7317683704749936E-2</v>
      </c>
      <c r="M390" s="9"/>
      <c r="N390" s="10">
        <f t="shared" si="97"/>
        <v>3593.83</v>
      </c>
      <c r="O390" s="8">
        <f>IFERROR(N390/N444, "NA")</f>
        <v>8.177917486052047E-2</v>
      </c>
      <c r="P390" s="9"/>
      <c r="Q390" s="7">
        <v>19307.07</v>
      </c>
      <c r="R390" s="8">
        <f>IFERROR(Q390/Q444, "NA")</f>
        <v>1.1315127864378599E-2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-19307.07</v>
      </c>
      <c r="X390" s="8">
        <f>IFERROR(W390/W444, "NA")</f>
        <v>0.37646981515471406</v>
      </c>
      <c r="Y390" s="9"/>
      <c r="Z390" s="7">
        <v>36147.03</v>
      </c>
      <c r="AA390" s="8">
        <f>IFERROR(Z390/Z444, "NA")</f>
        <v>2.1787209318473368E-2</v>
      </c>
      <c r="AB390" s="9"/>
      <c r="AC390" s="10">
        <f t="shared" si="99"/>
        <v>16839.96</v>
      </c>
      <c r="AD390" s="8">
        <f>IFERROR(AC390/AC444, "NA")</f>
        <v>0.35668911229315764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3502.2</v>
      </c>
      <c r="C392" s="8">
        <f>IFERROR(B392/B444, "NA")</f>
        <v>4.4368568643143114E-3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-3502.2</v>
      </c>
      <c r="I392" s="8">
        <f>IFERROR(H392/H444, "NA")</f>
        <v>0.20938145124985083</v>
      </c>
      <c r="J392" s="9"/>
      <c r="K392" s="7">
        <v>6146.24</v>
      </c>
      <c r="L392" s="8">
        <f>IFERROR(K392/K444, "NA")</f>
        <v>8.2455922852281826E-3</v>
      </c>
      <c r="M392" s="9"/>
      <c r="N392" s="10">
        <f t="shared" si="97"/>
        <v>2644.04</v>
      </c>
      <c r="O392" s="8">
        <f>IFERROR(N392/N444, "NA")</f>
        <v>6.0166287636925109E-2</v>
      </c>
      <c r="P392" s="9"/>
      <c r="Q392" s="7">
        <v>12526.51</v>
      </c>
      <c r="R392" s="8">
        <f>IFERROR(Q392/Q444, "NA")</f>
        <v>7.3413035921254324E-3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-12526.51</v>
      </c>
      <c r="X392" s="8">
        <f>IFERROR(W392/W444, "NA")</f>
        <v>0.24425523418279818</v>
      </c>
      <c r="Y392" s="9"/>
      <c r="Z392" s="7">
        <v>15277.17</v>
      </c>
      <c r="AA392" s="8">
        <f>IFERROR(Z392/Z444, "NA")</f>
        <v>9.2081396613747177E-3</v>
      </c>
      <c r="AB392" s="9"/>
      <c r="AC392" s="10">
        <f t="shared" si="99"/>
        <v>2750.66</v>
      </c>
      <c r="AD392" s="8">
        <f>IFERROR(AC392/AC444, "NA")</f>
        <v>5.8262042998932118E-2</v>
      </c>
    </row>
    <row r="393" spans="1:30" ht="16.5" customHeight="1" x14ac:dyDescent="0.45">
      <c r="A393" s="13" t="s">
        <v>359</v>
      </c>
      <c r="B393" s="14">
        <f>IFERROR(B388+B389+B390+B391+B392, "NA")</f>
        <v>19199.91</v>
      </c>
      <c r="C393" s="15">
        <f>IFERROR(B393/B444, "NA")</f>
        <v>2.4323925668927243E-2</v>
      </c>
      <c r="D393" s="2"/>
      <c r="E393" s="14">
        <f>IFERROR(E388+E389+E390+E391+E392, "NA")</f>
        <v>16927.45</v>
      </c>
      <c r="F393" s="15">
        <f>IFERROR(E393/E444, "NA")</f>
        <v>2.1000001761635835E-2</v>
      </c>
      <c r="G393" s="2"/>
      <c r="H393" s="14">
        <f t="shared" si="96"/>
        <v>-2272.4599999999991</v>
      </c>
      <c r="I393" s="15">
        <f>IFERROR(H393/H444, "NA")</f>
        <v>0.13586059411433837</v>
      </c>
      <c r="J393" s="2"/>
      <c r="K393" s="14">
        <f>IFERROR(K388+K389+K390+K391+K392, "NA")</f>
        <v>23245.71</v>
      </c>
      <c r="L393" s="15">
        <f>IFERROR(K393/K444, "NA")</f>
        <v>3.1185675639195932E-2</v>
      </c>
      <c r="M393" s="2"/>
      <c r="N393" s="14">
        <f t="shared" si="97"/>
        <v>4045.7999999999993</v>
      </c>
      <c r="O393" s="15">
        <f>IFERROR(N393/N444, "NA")</f>
        <v>9.2063950061826424E-2</v>
      </c>
      <c r="P393" s="2"/>
      <c r="Q393" s="14">
        <f>IFERROR(Q388+Q389+Q390+Q391+Q392, "NA")</f>
        <v>52349.340000000004</v>
      </c>
      <c r="R393" s="15">
        <f>IFERROR(Q393/Q444, "NA")</f>
        <v>3.0679925836278071E-2</v>
      </c>
      <c r="S393" s="2"/>
      <c r="T393" s="14">
        <f>IFERROR(T388+T389+T390+T391+T392, "NA")</f>
        <v>36909.4</v>
      </c>
      <c r="U393" s="15">
        <f>IFERROR(T393/T444, "NA")</f>
        <v>2.1000000193446659E-2</v>
      </c>
      <c r="V393" s="2"/>
      <c r="W393" s="14">
        <f t="shared" si="98"/>
        <v>-15439.940000000002</v>
      </c>
      <c r="X393" s="15">
        <f>IFERROR(W393/W444, "NA")</f>
        <v>0.30106439546756064</v>
      </c>
      <c r="Y393" s="2"/>
      <c r="Z393" s="14">
        <f>IFERROR(Z388+Z389+Z390+Z391+Z392, "NA")</f>
        <v>62421.59</v>
      </c>
      <c r="AA393" s="15">
        <f>IFERROR(Z393/Z444, "NA")</f>
        <v>3.7623900146759606E-2</v>
      </c>
      <c r="AB393" s="2"/>
      <c r="AC393" s="14">
        <f t="shared" si="99"/>
        <v>10072.249999999993</v>
      </c>
      <c r="AD393" s="15">
        <f>IFERROR(AC393/AC444, "NA")</f>
        <v>0.21334147535354919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6448.55</v>
      </c>
      <c r="F394" s="8">
        <f>IFERROR(E394/E444, "NA")</f>
        <v>7.9999977173169472E-3</v>
      </c>
      <c r="G394" s="9"/>
      <c r="H394" s="10">
        <f t="shared" si="96"/>
        <v>6448.55</v>
      </c>
      <c r="I394" s="8">
        <f>IFERROR(H394/H444, "NA")</f>
        <v>-0.38553102548604468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10471.06</v>
      </c>
      <c r="U394" s="8">
        <f>IFERROR(T394/T444, "NA")</f>
        <v>5.9576222324283666E-3</v>
      </c>
      <c r="V394" s="9"/>
      <c r="W394" s="10">
        <f t="shared" si="98"/>
        <v>10471.06</v>
      </c>
      <c r="X394" s="8">
        <f>IFERROR(W394/W444, "NA")</f>
        <v>-0.20417588078739654</v>
      </c>
      <c r="Y394" s="9"/>
      <c r="Z394" s="7">
        <v>6612.06</v>
      </c>
      <c r="AA394" s="8">
        <f>IFERROR(Z394/Z444, "NA")</f>
        <v>3.9853436159569683E-3</v>
      </c>
      <c r="AB394" s="9"/>
      <c r="AC394" s="10">
        <f t="shared" si="99"/>
        <v>6612.06</v>
      </c>
      <c r="AD394" s="8">
        <f>IFERROR(AC394/AC444, "NA")</f>
        <v>0.14005079654756283</v>
      </c>
    </row>
    <row r="395" spans="1:30" ht="16.5" customHeight="1" x14ac:dyDescent="0.45">
      <c r="A395" s="6" t="s">
        <v>361</v>
      </c>
      <c r="B395" s="7">
        <v>207.66</v>
      </c>
      <c r="C395" s="8">
        <f>IFERROR(B395/B444, "NA")</f>
        <v>2.6307969174904628E-4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-207.66</v>
      </c>
      <c r="I395" s="8">
        <f>IFERROR(H395/H444, "NA")</f>
        <v>1.2415096843853585E-2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-207.66</v>
      </c>
      <c r="O395" s="8">
        <f>IFERROR(N395/N444, "NA")</f>
        <v>-4.7253942038259136E-3</v>
      </c>
      <c r="P395" s="9"/>
      <c r="Q395" s="7">
        <v>316.89999999999998</v>
      </c>
      <c r="R395" s="8">
        <f>IFERROR(Q395/Q444, "NA")</f>
        <v>1.8572284765226303E-4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-316.89999999999998</v>
      </c>
      <c r="X395" s="8">
        <f>IFERROR(W395/W444, "NA")</f>
        <v>6.1792537356796691E-3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-316.89999999999998</v>
      </c>
      <c r="AD395" s="8">
        <f>IFERROR(AC395/AC444, "NA")</f>
        <v>-6.7122950224170154E-3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19566.53</v>
      </c>
      <c r="C396" s="15">
        <f>IFERROR(B396/B444, "NA")</f>
        <v>2.4788388139258721E-2</v>
      </c>
      <c r="D396" s="2"/>
      <c r="E396" s="14">
        <f>IFERROR(E385+E386+E388+E389+E390+E391+E392+E394+E395, "NA")</f>
        <v>24376</v>
      </c>
      <c r="F396" s="15">
        <f>IFERROR(E396/E444, "NA")</f>
        <v>3.0240588094582178E-2</v>
      </c>
      <c r="G396" s="2"/>
      <c r="H396" s="14">
        <f t="shared" si="96"/>
        <v>4809.4700000000012</v>
      </c>
      <c r="I396" s="15">
        <f>IFERROR(H396/H444, "NA")</f>
        <v>-0.28753749310222726</v>
      </c>
      <c r="J396" s="2"/>
      <c r="K396" s="14">
        <f>IFERROR(K385+K386+K388+K389+K390+K391+K392+K394+K395, "NA")</f>
        <v>32245.64</v>
      </c>
      <c r="L396" s="15">
        <f>IFERROR(K396/K444, "NA")</f>
        <v>4.3259684037109725E-2</v>
      </c>
      <c r="M396" s="2"/>
      <c r="N396" s="14">
        <f t="shared" si="97"/>
        <v>12679.11</v>
      </c>
      <c r="O396" s="15">
        <f>IFERROR(N396/N444, "NA")</f>
        <v>0.28851869837075594</v>
      </c>
      <c r="P396" s="2"/>
      <c r="Q396" s="14">
        <f>IFERROR(Q385+Q386+Q388+Q389+Q390+Q391+Q392+Q394+Q395, "NA")</f>
        <v>63447.55</v>
      </c>
      <c r="R396" s="15">
        <f>IFERROR(Q396/Q444, "NA")</f>
        <v>3.7184157975889372E-2</v>
      </c>
      <c r="S396" s="2"/>
      <c r="T396" s="14">
        <f>IFERROR(T385+T386+T388+T389+T390+T391+T392+T394+T395, "NA")</f>
        <v>50130.46</v>
      </c>
      <c r="U396" s="15">
        <f>IFERROR(T396/T444, "NA")</f>
        <v>2.8522264509788019E-2</v>
      </c>
      <c r="V396" s="2"/>
      <c r="W396" s="14">
        <f t="shared" si="98"/>
        <v>-13317.090000000004</v>
      </c>
      <c r="X396" s="15">
        <f>IFERROR(W396/W444, "NA")</f>
        <v>0.25967080508325147</v>
      </c>
      <c r="Y396" s="2"/>
      <c r="Z396" s="14">
        <f>IFERROR(Z385+Z386+Z388+Z389+Z390+Z391+Z392+Z394+Z395, "NA")</f>
        <v>82329.31</v>
      </c>
      <c r="AA396" s="15">
        <f>IFERROR(Z396/Z444, "NA")</f>
        <v>4.962305091221831E-2</v>
      </c>
      <c r="AB396" s="2"/>
      <c r="AC396" s="14">
        <f t="shared" si="99"/>
        <v>18881.759999999995</v>
      </c>
      <c r="AD396" s="15">
        <f>IFERROR(AC396/AC444, "NA")</f>
        <v>0.39993671083140636</v>
      </c>
    </row>
    <row r="397" spans="1:30" ht="16.5" customHeight="1" x14ac:dyDescent="0.45">
      <c r="A397" s="20" t="s">
        <v>363</v>
      </c>
      <c r="B397" s="7">
        <v>10723.75</v>
      </c>
      <c r="C397" s="8">
        <f>IFERROR(B397/B444, "NA")</f>
        <v>1.3585672948058533E-2</v>
      </c>
      <c r="D397" s="9"/>
      <c r="E397" s="7">
        <v>9200</v>
      </c>
      <c r="F397" s="8">
        <f>IFERROR(E397/E444, "NA")</f>
        <v>1.1413415263790451E-2</v>
      </c>
      <c r="G397" s="9"/>
      <c r="H397" s="10">
        <f t="shared" si="96"/>
        <v>-1523.75</v>
      </c>
      <c r="I397" s="8">
        <f>IFERROR(H397/H444, "NA")</f>
        <v>9.1098448501501977E-2</v>
      </c>
      <c r="J397" s="9"/>
      <c r="K397" s="7">
        <v>4113.4399999999996</v>
      </c>
      <c r="L397" s="8">
        <f>IFERROR(K397/K444, "NA")</f>
        <v>5.5184550440186214E-3</v>
      </c>
      <c r="M397" s="9"/>
      <c r="N397" s="10">
        <f t="shared" si="97"/>
        <v>-6610.31</v>
      </c>
      <c r="O397" s="8">
        <f>IFERROR(N397/N444, "NA")</f>
        <v>-0.15042049773424093</v>
      </c>
      <c r="P397" s="9"/>
      <c r="Q397" s="7">
        <v>34429.5</v>
      </c>
      <c r="R397" s="8">
        <f>IFERROR(Q397/Q444, "NA")</f>
        <v>2.0177799884012592E-2</v>
      </c>
      <c r="S397" s="9"/>
      <c r="T397" s="7">
        <v>25600</v>
      </c>
      <c r="U397" s="8">
        <f>IFERROR(T397/T444, "NA")</f>
        <v>1.456539539933552E-2</v>
      </c>
      <c r="V397" s="9"/>
      <c r="W397" s="10">
        <f t="shared" si="98"/>
        <v>-8829.5</v>
      </c>
      <c r="X397" s="8">
        <f>IFERROR(W397/W444, "NA")</f>
        <v>0.17216699545340375</v>
      </c>
      <c r="Y397" s="9"/>
      <c r="Z397" s="7">
        <v>8675.2800000000007</v>
      </c>
      <c r="AA397" s="8">
        <f>IFERROR(Z397/Z444, "NA")</f>
        <v>5.2289258967158758E-3</v>
      </c>
      <c r="AB397" s="9"/>
      <c r="AC397" s="10">
        <f t="shared" si="99"/>
        <v>-25754.22</v>
      </c>
      <c r="AD397" s="8">
        <f>IFERROR(AC397/AC444, "NA")</f>
        <v>-0.54550306946113214</v>
      </c>
    </row>
    <row r="398" spans="1:30" ht="16.5" customHeight="1" x14ac:dyDescent="0.45">
      <c r="A398" s="20" t="s">
        <v>364</v>
      </c>
      <c r="B398" s="7">
        <v>247.63</v>
      </c>
      <c r="C398" s="8">
        <f>IFERROR(B398/B444, "NA")</f>
        <v>3.1371676812008248E-4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-247.63</v>
      </c>
      <c r="I398" s="8">
        <f>IFERROR(H398/H444, "NA")</f>
        <v>1.4804730961395854E-2</v>
      </c>
      <c r="J398" s="9"/>
      <c r="K398" s="7">
        <v>198.62</v>
      </c>
      <c r="L398" s="8">
        <f>IFERROR(K398/K444, "NA")</f>
        <v>2.6646202225946621E-4</v>
      </c>
      <c r="M398" s="9"/>
      <c r="N398" s="10">
        <f t="shared" si="97"/>
        <v>-49.009999999999991</v>
      </c>
      <c r="O398" s="8">
        <f>IFERROR(N398/N444, "NA")</f>
        <v>-1.1152440042834825E-3</v>
      </c>
      <c r="P398" s="9"/>
      <c r="Q398" s="7">
        <v>871.73</v>
      </c>
      <c r="R398" s="8">
        <f>IFERROR(Q398/Q444, "NA")</f>
        <v>5.1088727669267042E-4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-871.73</v>
      </c>
      <c r="X398" s="8">
        <f>IFERROR(W398/W444, "NA")</f>
        <v>1.6997920034724008E-2</v>
      </c>
      <c r="Y398" s="9"/>
      <c r="Z398" s="7">
        <v>498.65</v>
      </c>
      <c r="AA398" s="8">
        <f>IFERROR(Z398/Z444, "NA")</f>
        <v>3.0055558995183682E-4</v>
      </c>
      <c r="AB398" s="9"/>
      <c r="AC398" s="10">
        <f t="shared" si="99"/>
        <v>-373.08000000000004</v>
      </c>
      <c r="AD398" s="8">
        <f>IFERROR(AC398/AC444, "NA")</f>
        <v>-7.9022500061954586E-3</v>
      </c>
    </row>
    <row r="399" spans="1:30" ht="16.5" customHeight="1" x14ac:dyDescent="0.45">
      <c r="A399" s="20" t="s">
        <v>365</v>
      </c>
      <c r="B399" s="7">
        <v>55</v>
      </c>
      <c r="C399" s="8">
        <f>IFERROR(B399/B444, "NA")</f>
        <v>6.9678238689191682E-5</v>
      </c>
      <c r="D399" s="9"/>
      <c r="E399" s="7">
        <v>100</v>
      </c>
      <c r="F399" s="8">
        <f>IFERROR(E399/E444, "NA")</f>
        <v>1.2405886156293969E-4</v>
      </c>
      <c r="G399" s="9"/>
      <c r="H399" s="10">
        <f t="shared" si="96"/>
        <v>45</v>
      </c>
      <c r="I399" s="8">
        <f>IFERROR(H399/H444, "NA")</f>
        <v>-2.6903561493470639E-3</v>
      </c>
      <c r="J399" s="9"/>
      <c r="K399" s="7">
        <v>100</v>
      </c>
      <c r="L399" s="8">
        <f>IFERROR(K399/K444, "NA")</f>
        <v>1.3415669230664899E-4</v>
      </c>
      <c r="M399" s="9"/>
      <c r="N399" s="10">
        <f t="shared" si="97"/>
        <v>45</v>
      </c>
      <c r="O399" s="8">
        <f>IFERROR(N399/N444, "NA")</f>
        <v>1.0239946988932201E-3</v>
      </c>
      <c r="P399" s="9"/>
      <c r="Q399" s="7">
        <v>870.84</v>
      </c>
      <c r="R399" s="8">
        <f>IFERROR(Q399/Q444, "NA")</f>
        <v>5.103656820747768E-4</v>
      </c>
      <c r="S399" s="9"/>
      <c r="T399" s="7">
        <v>100</v>
      </c>
      <c r="U399" s="8">
        <f>IFERROR(T399/T444, "NA")</f>
        <v>5.6896075778654373E-5</v>
      </c>
      <c r="V399" s="9"/>
      <c r="W399" s="10">
        <f t="shared" si="98"/>
        <v>-770.84</v>
      </c>
      <c r="X399" s="8">
        <f>IFERROR(W399/W444, "NA")</f>
        <v>1.503065935503729E-2</v>
      </c>
      <c r="Y399" s="9"/>
      <c r="Z399" s="7">
        <v>100</v>
      </c>
      <c r="AA399" s="8">
        <f>IFERROR(Z399/Z444, "NA")</f>
        <v>6.0273857405361842E-5</v>
      </c>
      <c r="AB399" s="9"/>
      <c r="AC399" s="10">
        <f t="shared" si="99"/>
        <v>-770.84</v>
      </c>
      <c r="AD399" s="8">
        <f>IFERROR(AC399/AC444, "NA")</f>
        <v>-1.6327249905585147E-2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118984.66000000002</v>
      </c>
      <c r="C403" s="15">
        <f>IFERROR(B403/B444, "NA")</f>
        <v>0.15073893708786035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132664.91999999998</v>
      </c>
      <c r="F403" s="15">
        <f>IFERROR(E403/E444, "NA")</f>
        <v>0.16458258944538467</v>
      </c>
      <c r="G403" s="2"/>
      <c r="H403" s="14">
        <f t="shared" si="96"/>
        <v>13680.259999999966</v>
      </c>
      <c r="I403" s="15">
        <f>IFERROR(H403/H444, "NA")</f>
        <v>-0.81788381368147944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144373.32999999999</v>
      </c>
      <c r="L403" s="15">
        <f>IFERROR(K403/K444, "NA")</f>
        <v>0.19368648410096292</v>
      </c>
      <c r="M403" s="2"/>
      <c r="N403" s="14">
        <f t="shared" si="97"/>
        <v>25388.669999999969</v>
      </c>
      <c r="O403" s="15">
        <f>IFERROR(N403/N444, "NA")</f>
        <v>0.57773029982109558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336291.25</v>
      </c>
      <c r="R403" s="15">
        <f>IFERROR(Q403/Q444, "NA")</f>
        <v>0.19708731016263523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328320.38</v>
      </c>
      <c r="U403" s="15">
        <f>IFERROR(T403/T444, "NA")</f>
        <v>0.18680141220156601</v>
      </c>
      <c r="V403" s="2"/>
      <c r="W403" s="14">
        <f t="shared" si="98"/>
        <v>-7970.8699999999953</v>
      </c>
      <c r="X403" s="15">
        <f>IFERROR(W403/W444, "NA")</f>
        <v>0.15542451317171657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432116.53</v>
      </c>
      <c r="AA403" s="15">
        <f>IFERROR(Z403/Z444, "NA")</f>
        <v>0.26045330111719767</v>
      </c>
      <c r="AB403" s="2"/>
      <c r="AC403" s="14">
        <f t="shared" si="99"/>
        <v>95825.280000000028</v>
      </c>
      <c r="AD403" s="15">
        <f>IFERROR(AC403/AC444, "NA")</f>
        <v>2.0296861784970561</v>
      </c>
    </row>
    <row r="404" spans="1:30" ht="16.5" customHeight="1" x14ac:dyDescent="0.45">
      <c r="A404" s="22" t="s">
        <v>370</v>
      </c>
      <c r="B404" s="23">
        <f>IFERROR(B345-B403, "NA")</f>
        <v>-29938.959999999977</v>
      </c>
      <c r="C404" s="24">
        <f>IFERROR(B404/B444, "NA")</f>
        <v>-3.7928981836112013E-2</v>
      </c>
      <c r="D404" s="25"/>
      <c r="E404" s="23">
        <f>IFERROR(E345-E403, "NA")</f>
        <v>-28097.499999999956</v>
      </c>
      <c r="F404" s="24">
        <f>IFERROR(E404/E444, "NA")</f>
        <v>-3.4857438627646925E-2</v>
      </c>
      <c r="G404" s="25"/>
      <c r="H404" s="23">
        <f>IFERROR(B404-E404, "NA")</f>
        <v>-1841.460000000021</v>
      </c>
      <c r="I404" s="24">
        <f>IFERROR(H404/H444, "NA")</f>
        <v>0.11009296077281558</v>
      </c>
      <c r="J404" s="25"/>
      <c r="K404" s="23">
        <f>IFERROR(K345-K403, "NA")</f>
        <v>-81463.999999999942</v>
      </c>
      <c r="L404" s="24">
        <f>IFERROR(K404/K444, "NA")</f>
        <v>-0.10928940782068844</v>
      </c>
      <c r="M404" s="25"/>
      <c r="N404" s="23">
        <f>IFERROR(B404-K404, "NA")</f>
        <v>51525.039999999964</v>
      </c>
      <c r="O404" s="24">
        <f>IFERROR(N404/N444, "NA")</f>
        <v>1.1724748404502463</v>
      </c>
      <c r="P404" s="25"/>
      <c r="Q404" s="23">
        <f>IFERROR(Q345-Q403, "NA")</f>
        <v>-291092.11</v>
      </c>
      <c r="R404" s="24">
        <f>IFERROR(Q404/Q444, "NA")</f>
        <v>-0.17059784032283304</v>
      </c>
      <c r="S404" s="25"/>
      <c r="T404" s="23">
        <f>IFERROR(T345-T403, "NA")</f>
        <v>-203931.59999999992</v>
      </c>
      <c r="U404" s="24">
        <f>IFERROR(T404/T444, "NA")</f>
        <v>-0.11602907767262229</v>
      </c>
      <c r="V404" s="25"/>
      <c r="W404" s="23">
        <f>IFERROR(Q404-T404, "NA")</f>
        <v>-87160.510000000068</v>
      </c>
      <c r="X404" s="24">
        <f>IFERROR(W404/W444, "NA")</f>
        <v>1.6995484601490869</v>
      </c>
      <c r="Y404" s="25"/>
      <c r="Z404" s="23">
        <f>IFERROR(Z345-Z403, "NA")</f>
        <v>-417441.77999999985</v>
      </c>
      <c r="AA404" s="24">
        <f>IFERROR(Z404/Z444, "NA")</f>
        <v>-0.25160826322760421</v>
      </c>
      <c r="AB404" s="25"/>
      <c r="AC404" s="23">
        <f>IFERROR(Q404-Z404, "NA")</f>
        <v>126349.66999999987</v>
      </c>
      <c r="AD404" s="24">
        <f>IFERROR(AC404/AC444, "NA")</f>
        <v>2.6762267624645997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16834.559999999998</v>
      </c>
      <c r="F407" s="8">
        <f>IFERROR(E407/E444, "NA")</f>
        <v>2.0884763485130017E-2</v>
      </c>
      <c r="G407" s="9"/>
      <c r="H407" s="10">
        <f t="shared" ref="H407:H429" si="100">IFERROR(-(B407-E407), "NA")</f>
        <v>16834.559999999998</v>
      </c>
      <c r="I407" s="8">
        <f>IFERROR(H407/H444, "NA")</f>
        <v>-1.0064658226122689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47260.94</v>
      </c>
      <c r="U407" s="8">
        <f>IFERROR(T407/T444, "NA")</f>
        <v>2.6889620236104379E-2</v>
      </c>
      <c r="V407" s="9"/>
      <c r="W407" s="10">
        <f t="shared" ref="W407:W429" si="102">IFERROR(-(Q407-T407), "NA")</f>
        <v>47260.94</v>
      </c>
      <c r="X407" s="8">
        <f>IFERROR(W407/W444, "NA")</f>
        <v>-0.921544146565897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32019.13</v>
      </c>
      <c r="C410" s="8">
        <f>IFERROR(B410/B444, "NA")</f>
        <v>4.0564301504731969E-2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-32019.13</v>
      </c>
      <c r="I410" s="8">
        <f>IFERROR(H410/H444, "NA")</f>
        <v>1.9142858509387346</v>
      </c>
      <c r="J410" s="9"/>
      <c r="K410" s="7">
        <v>28107.75</v>
      </c>
      <c r="L410" s="8">
        <f>IFERROR(K410/K444, "NA")</f>
        <v>3.7708427681822129E-2</v>
      </c>
      <c r="M410" s="9"/>
      <c r="N410" s="10">
        <f t="shared" si="101"/>
        <v>-3911.380000000001</v>
      </c>
      <c r="O410" s="8">
        <f>IFERROR(N410/N444, "NA")</f>
        <v>-8.9005164119043662E-2</v>
      </c>
      <c r="P410" s="9"/>
      <c r="Q410" s="7">
        <v>94906.48</v>
      </c>
      <c r="R410" s="8">
        <f>IFERROR(Q410/Q444, "NA")</f>
        <v>5.5621021540714889E-2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-94906.48</v>
      </c>
      <c r="X410" s="8">
        <f>IFERROR(W410/W444, "NA")</f>
        <v>1.8505876335759162</v>
      </c>
      <c r="Y410" s="9"/>
      <c r="Z410" s="7">
        <v>83944.37000000001</v>
      </c>
      <c r="AA410" s="8">
        <f>IFERROR(Z410/Z444, "NA")</f>
        <v>5.0596509873629354E-2</v>
      </c>
      <c r="AB410" s="9"/>
      <c r="AC410" s="10">
        <f t="shared" si="103"/>
        <v>-10962.109999999986</v>
      </c>
      <c r="AD410" s="8">
        <f>IFERROR(AC410/AC444, "NA")</f>
        <v>-0.23218970144584317</v>
      </c>
    </row>
    <row r="411" spans="1:30" ht="16.5" customHeight="1" x14ac:dyDescent="0.45">
      <c r="A411" s="6" t="s">
        <v>376</v>
      </c>
      <c r="B411" s="7">
        <v>268.39</v>
      </c>
      <c r="C411" s="8">
        <f>IFERROR(B411/B444, "NA")</f>
        <v>3.4001713603258463E-4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-268.39</v>
      </c>
      <c r="I411" s="8">
        <f>IFERROR(H411/H444, "NA")</f>
        <v>1.6045881931627967E-2</v>
      </c>
      <c r="J411" s="9"/>
      <c r="K411" s="7">
        <v>268.37</v>
      </c>
      <c r="L411" s="8">
        <f>IFERROR(K411/K444, "NA")</f>
        <v>3.6003631514335384E-4</v>
      </c>
      <c r="M411" s="9"/>
      <c r="N411" s="10">
        <f t="shared" si="101"/>
        <v>-1.999999999998181E-2</v>
      </c>
      <c r="O411" s="8">
        <f>IFERROR(N411/N444, "NA")</f>
        <v>-4.5510875506323947E-7</v>
      </c>
      <c r="P411" s="9"/>
      <c r="Q411" s="7">
        <v>805.13</v>
      </c>
      <c r="R411" s="8">
        <f>IFERROR(Q411/Q444, "NA")</f>
        <v>4.718555895559058E-4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-805.13</v>
      </c>
      <c r="X411" s="8">
        <f>IFERROR(W411/W444, "NA")</f>
        <v>1.5699282297910296E-2</v>
      </c>
      <c r="Y411" s="9"/>
      <c r="Z411" s="7">
        <v>536.74</v>
      </c>
      <c r="AA411" s="8">
        <f>IFERROR(Z411/Z444, "NA")</f>
        <v>3.2351390223753917E-4</v>
      </c>
      <c r="AB411" s="9"/>
      <c r="AC411" s="10">
        <f t="shared" si="103"/>
        <v>-268.39</v>
      </c>
      <c r="AD411" s="8">
        <f>IFERROR(AC411/AC444, "NA")</f>
        <v>-5.6847991829173331E-3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-185.32999999999998</v>
      </c>
      <c r="C416" s="8">
        <f>IFERROR(B416/B444, "NA")</f>
        <v>-2.3479032684123444E-4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185.32999999999998</v>
      </c>
      <c r="I416" s="8">
        <f>IFERROR(H416/H444, "NA")</f>
        <v>-1.1080082336855363E-2</v>
      </c>
      <c r="J416" s="9"/>
      <c r="K416" s="7">
        <v>348.69000000000005</v>
      </c>
      <c r="L416" s="8">
        <f>IFERROR(K416/K444, "NA")</f>
        <v>4.6779097040405441E-4</v>
      </c>
      <c r="M416" s="9"/>
      <c r="N416" s="10">
        <f t="shared" si="101"/>
        <v>534.02</v>
      </c>
      <c r="O416" s="8">
        <f>IFERROR(N416/N444, "NA")</f>
        <v>1.2151858868954609E-2</v>
      </c>
      <c r="P416" s="9"/>
      <c r="Q416" s="7">
        <v>-478.44000000000005</v>
      </c>
      <c r="R416" s="8">
        <f>IFERROR(Q416/Q444, "NA")</f>
        <v>-2.8039520110681205E-4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478.44000000000005</v>
      </c>
      <c r="X416" s="8">
        <f>IFERROR(W416/W444, "NA")</f>
        <v>-9.3291327147320344E-3</v>
      </c>
      <c r="Y416" s="9"/>
      <c r="Z416" s="7">
        <v>134.60000000000002</v>
      </c>
      <c r="AA416" s="8">
        <f>IFERROR(Z416/Z444, "NA")</f>
        <v>8.1128612067617062E-5</v>
      </c>
      <c r="AB416" s="9"/>
      <c r="AC416" s="10">
        <f t="shared" si="103"/>
        <v>613.04000000000008</v>
      </c>
      <c r="AD416" s="8">
        <f>IFERROR(AC416/AC444, "NA")</f>
        <v>1.2984870118468059E-2</v>
      </c>
    </row>
    <row r="417" spans="1:30" ht="16.5" customHeight="1" x14ac:dyDescent="0.45">
      <c r="A417" s="6" t="s">
        <v>382</v>
      </c>
      <c r="B417" s="7">
        <v>-167.20999999999998</v>
      </c>
      <c r="C417" s="8">
        <f>IFERROR(B417/B444, "NA")</f>
        <v>-2.1183451438581345E-4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167.20999999999998</v>
      </c>
      <c r="I417" s="8">
        <f>IFERROR(H417/H444, "NA")</f>
        <v>-9.9967655940516112E-3</v>
      </c>
      <c r="J417" s="9"/>
      <c r="K417" s="7">
        <v>-255.48</v>
      </c>
      <c r="L417" s="8">
        <f>IFERROR(K417/K444, "NA")</f>
        <v>-3.427435175050268E-4</v>
      </c>
      <c r="M417" s="9"/>
      <c r="N417" s="10">
        <f t="shared" si="101"/>
        <v>-88.27000000000001</v>
      </c>
      <c r="O417" s="8">
        <f>IFERROR(N417/N444, "NA")</f>
        <v>-2.0086224904734347E-3</v>
      </c>
      <c r="P417" s="9"/>
      <c r="Q417" s="7">
        <v>613.91999999999996</v>
      </c>
      <c r="R417" s="8">
        <f>IFERROR(Q417/Q444, "NA")</f>
        <v>3.5979479530033864E-4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-613.91999999999996</v>
      </c>
      <c r="X417" s="8">
        <f>IFERROR(W417/W444, "NA")</f>
        <v>1.1970866056826956E-2</v>
      </c>
      <c r="Y417" s="9"/>
      <c r="Z417" s="7">
        <v>-266.45</v>
      </c>
      <c r="AA417" s="8">
        <f>IFERROR(Z417/Z444, "NA")</f>
        <v>-1.6059969305658663E-4</v>
      </c>
      <c r="AB417" s="9"/>
      <c r="AC417" s="10">
        <f t="shared" si="103"/>
        <v>-880.36999999999989</v>
      </c>
      <c r="AD417" s="8">
        <f>IFERROR(AC417/AC444, "NA")</f>
        <v>-1.8647217320559382E-2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-1725.69</v>
      </c>
      <c r="AA418" s="8">
        <f>IFERROR(Z418/Z444, "NA")</f>
        <v>-1.0401399298585888E-3</v>
      </c>
      <c r="AB418" s="9"/>
      <c r="AC418" s="10">
        <f t="shared" si="103"/>
        <v>-1725.69</v>
      </c>
      <c r="AD418" s="8">
        <f>IFERROR(AC418/AC444, "NA")</f>
        <v>-3.6552036595881417E-2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-20</v>
      </c>
      <c r="C421" s="8">
        <f>IFERROR(B421/B444, "NA")</f>
        <v>-2.5337541341524248E-5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20</v>
      </c>
      <c r="I421" s="8">
        <f>IFERROR(H421/H444, "NA")</f>
        <v>-1.1957138441542508E-3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20</v>
      </c>
      <c r="O421" s="8">
        <f>IFERROR(N421/N444, "NA")</f>
        <v>4.5510875506365339E-4</v>
      </c>
      <c r="P421" s="9"/>
      <c r="Q421" s="7">
        <v>76</v>
      </c>
      <c r="R421" s="8">
        <f>IFERROR(Q421/Q444, "NA")</f>
        <v>4.4540663999911617E-5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-76</v>
      </c>
      <c r="X421" s="8">
        <f>IFERROR(W421/W444, "NA")</f>
        <v>1.4819289489165506E-3</v>
      </c>
      <c r="Y421" s="9"/>
      <c r="Z421" s="7">
        <v>-20</v>
      </c>
      <c r="AA421" s="8">
        <f>IFERROR(Z421/Z444, "NA")</f>
        <v>-1.2054771481072368E-5</v>
      </c>
      <c r="AB421" s="9"/>
      <c r="AC421" s="10">
        <f t="shared" si="103"/>
        <v>-96</v>
      </c>
      <c r="AD421" s="8">
        <f>IFERROR(AC421/AC444, "NA")</f>
        <v>-2.0333869427328292E-3</v>
      </c>
    </row>
    <row r="422" spans="1:30" ht="16.5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-1012.04</v>
      </c>
      <c r="R422" s="8">
        <f>IFERROR(Q422/Q444, "NA")</f>
        <v>-5.9311754729566516E-4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1012.04</v>
      </c>
      <c r="X422" s="8">
        <f>IFERROR(W422/W444, "NA")</f>
        <v>-1.9733833861335603E-2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1012.04</v>
      </c>
      <c r="AD422" s="8">
        <f>IFERROR(AC422/AC444, "NA")</f>
        <v>2.1436134599201379E-2</v>
      </c>
    </row>
    <row r="423" spans="1:30" ht="16.5" customHeight="1" x14ac:dyDescent="0.45">
      <c r="A423" s="6" t="s">
        <v>388</v>
      </c>
      <c r="B423" s="7">
        <v>-14127.45</v>
      </c>
      <c r="C423" s="8">
        <f>IFERROR(B423/B444, "NA")</f>
        <v>-1.7897742421265839E-2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14127.45</v>
      </c>
      <c r="I423" s="8">
        <f>IFERROR(H423/H444, "NA")</f>
        <v>-0.84461937737984849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14127.45</v>
      </c>
      <c r="O423" s="8">
        <f>IFERROR(N423/N444, "NA")</f>
        <v>0.32147630908620051</v>
      </c>
      <c r="P423" s="9"/>
      <c r="Q423" s="7">
        <v>-44940.81</v>
      </c>
      <c r="R423" s="8">
        <f>IFERROR(Q423/Q444, "NA")</f>
        <v>-2.6338072606498262E-2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44940.81</v>
      </c>
      <c r="X423" s="8">
        <f>IFERROR(W423/W444, "NA")</f>
        <v>-0.87630378061524217</v>
      </c>
      <c r="Y423" s="9"/>
      <c r="Z423" s="7">
        <v>-0.99</v>
      </c>
      <c r="AA423" s="8">
        <f>IFERROR(Z423/Z444, "NA")</f>
        <v>-5.967111883130823E-7</v>
      </c>
      <c r="AB423" s="9"/>
      <c r="AC423" s="10">
        <f t="shared" si="103"/>
        <v>44939.82</v>
      </c>
      <c r="AD423" s="8">
        <f>IFERROR(AC423/AC444, "NA")</f>
        <v>0.95187544996628803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8.4982113659472331E-5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4.0104242332933563E-3</v>
      </c>
      <c r="J424" s="9"/>
      <c r="K424" s="7">
        <v>47.92</v>
      </c>
      <c r="L424" s="8">
        <f>IFERROR(K424/K444, "NA")</f>
        <v>6.4287886953346194E-5</v>
      </c>
      <c r="M424" s="9"/>
      <c r="N424" s="10">
        <f t="shared" si="101"/>
        <v>-19.159999999999997</v>
      </c>
      <c r="O424" s="8">
        <f>IFERROR(N424/N444, "NA")</f>
        <v>-4.3599418735097988E-4</v>
      </c>
      <c r="P424" s="9"/>
      <c r="Q424" s="7">
        <v>201.24</v>
      </c>
      <c r="R424" s="8">
        <f>IFERROR(Q424/Q444, "NA")</f>
        <v>1.1793898978081861E-4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-201.24</v>
      </c>
      <c r="X424" s="8">
        <f>IFERROR(W424/W444, "NA")</f>
        <v>3.923991864210088E-3</v>
      </c>
      <c r="Y424" s="9"/>
      <c r="Z424" s="7">
        <v>143.76</v>
      </c>
      <c r="AA424" s="8">
        <f>IFERROR(Z424/Z444, "NA")</f>
        <v>8.664969740594818E-5</v>
      </c>
      <c r="AB424" s="9"/>
      <c r="AC424" s="10">
        <f t="shared" si="103"/>
        <v>-57.480000000000018</v>
      </c>
      <c r="AD424" s="8">
        <f>IFERROR(AC424/AC444, "NA")</f>
        <v>-1.2174904319612817E-3</v>
      </c>
    </row>
    <row r="425" spans="1:30" ht="16.5" customHeight="1" x14ac:dyDescent="0.45">
      <c r="A425" s="6" t="s">
        <v>390</v>
      </c>
      <c r="B425" s="7">
        <v>12875.21</v>
      </c>
      <c r="C425" s="8">
        <f>IFERROR(B425/B444, "NA")</f>
        <v>1.6311308282790319E-2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-12875.21</v>
      </c>
      <c r="I425" s="8">
        <f>IFERROR(H425/H444, "NA")</f>
        <v>0.7697533421696624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-12875.21</v>
      </c>
      <c r="O425" s="8">
        <f>IFERROR(N425/N444, "NA")</f>
        <v>-0.29298103971415501</v>
      </c>
      <c r="P425" s="9"/>
      <c r="Q425" s="7">
        <v>12875.21</v>
      </c>
      <c r="R425" s="8">
        <f>IFERROR(Q425/Q444, "NA")</f>
        <v>7.5456631912934474E-3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-12875.21</v>
      </c>
      <c r="X425" s="8">
        <f>IFERROR(W425/W444, "NA")</f>
        <v>0.25105455818920869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-12875.21</v>
      </c>
      <c r="AD425" s="8">
        <f>IFERROR(AC425/AC444, "NA")</f>
        <v>-0.27271129061399113</v>
      </c>
    </row>
    <row r="426" spans="1:30" ht="16.5" customHeight="1" x14ac:dyDescent="0.45">
      <c r="A426" s="6" t="s">
        <v>391</v>
      </c>
      <c r="B426" s="7">
        <v>-1376.58</v>
      </c>
      <c r="C426" s="8">
        <f>IFERROR(B426/B444, "NA")</f>
        <v>-1.7439576329957725E-3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1376.58</v>
      </c>
      <c r="I426" s="8">
        <f>IFERROR(H426/H444, "NA")</f>
        <v>-8.2299788179292913E-2</v>
      </c>
      <c r="J426" s="9"/>
      <c r="K426" s="7">
        <v>-12153.09</v>
      </c>
      <c r="L426" s="8">
        <f>IFERROR(K426/K444, "NA")</f>
        <v>-1.6304183557050125E-2</v>
      </c>
      <c r="M426" s="9"/>
      <c r="N426" s="10">
        <f t="shared" si="101"/>
        <v>-10776.51</v>
      </c>
      <c r="O426" s="8">
        <f>IFERROR(N426/N444, "NA")</f>
        <v>-0.24522420250155058</v>
      </c>
      <c r="P426" s="9"/>
      <c r="Q426" s="7">
        <v>-5544.08</v>
      </c>
      <c r="R426" s="8">
        <f>IFERROR(Q426/Q444, "NA")</f>
        <v>-3.2491711114293422E-3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5544.08</v>
      </c>
      <c r="X426" s="8">
        <f>IFERROR(W426/W444, "NA")</f>
        <v>-0.1081043769356483</v>
      </c>
      <c r="Y426" s="9"/>
      <c r="Z426" s="7">
        <v>-12883.89</v>
      </c>
      <c r="AA426" s="8">
        <f>IFERROR(Z426/Z444, "NA")</f>
        <v>-7.7656174868636733E-3</v>
      </c>
      <c r="AB426" s="9"/>
      <c r="AC426" s="10">
        <f t="shared" si="103"/>
        <v>-7339.8099999999995</v>
      </c>
      <c r="AD426" s="8">
        <f>IFERROR(AC426/AC444, "NA")</f>
        <v>-0.15546535225145672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29353.239999999998</v>
      </c>
      <c r="C428" s="15">
        <f>IFERROR(B428/B444, "NA")</f>
        <v>3.7186946600384158E-2</v>
      </c>
      <c r="D428" s="2"/>
      <c r="E428" s="14">
        <f>IFERROR(E407+E408+E409+E410+E411+E412+E413+E414+E415+E416+E417+E418+E419+E420+E421+E422+E423+E424+E425+E426+E427, "NA")</f>
        <v>16834.559999999998</v>
      </c>
      <c r="F428" s="15">
        <f>IFERROR(E428/E444, "NA")</f>
        <v>2.0884763485130017E-2</v>
      </c>
      <c r="G428" s="2"/>
      <c r="H428" s="14">
        <f t="shared" si="100"/>
        <v>-12518.68</v>
      </c>
      <c r="I428" s="15">
        <f>IFERROR(H428/H444, "NA")</f>
        <v>0.74843794932684682</v>
      </c>
      <c r="J428" s="2"/>
      <c r="K428" s="14">
        <f>IFERROR(K407+K408+K409+K410+K411+K412+K413+K414+K415+K416+K417+K418+K419+K420+K421+K422+K423+K424+K425+K426+K427, "NA")</f>
        <v>16364.159999999996</v>
      </c>
      <c r="L428" s="15">
        <f>IFERROR(K428/K444, "NA")</f>
        <v>2.1953615779767725E-2</v>
      </c>
      <c r="M428" s="2"/>
      <c r="N428" s="14">
        <f t="shared" si="101"/>
        <v>-12989.080000000002</v>
      </c>
      <c r="O428" s="15">
        <f>IFERROR(N428/N444, "NA")</f>
        <v>-0.29557220141111001</v>
      </c>
      <c r="P428" s="2"/>
      <c r="Q428" s="14">
        <f>IFERROR(Q407+Q408+Q409+Q410+Q411+Q412+Q413+Q414+Q415+Q416+Q417+Q418+Q419+Q420+Q421+Q422+Q423+Q424+Q425+Q426+Q427, "NA")</f>
        <v>57502.61</v>
      </c>
      <c r="R428" s="15">
        <f>IFERROR(Q428/Q444, "NA")</f>
        <v>3.3700058304315231E-2</v>
      </c>
      <c r="S428" s="2"/>
      <c r="T428" s="14">
        <f>IFERROR(T407+T408+T409+T410+T411+T412+T413+T414+T415+T416+T417+T418+T419+T420+T421+T422+T423+T424+T425+T426+T427, "NA")</f>
        <v>47260.94</v>
      </c>
      <c r="U428" s="15">
        <f>IFERROR(T428/T444, "NA")</f>
        <v>2.6889620236104379E-2</v>
      </c>
      <c r="V428" s="2"/>
      <c r="W428" s="14">
        <f t="shared" si="102"/>
        <v>-10241.669999999998</v>
      </c>
      <c r="X428" s="15">
        <f>IFERROR(W428/W444, "NA")</f>
        <v>0.19970299024013377</v>
      </c>
      <c r="Y428" s="2"/>
      <c r="Z428" s="14">
        <f>IFERROR(Z407+Z408+Z409+Z410+Z411+Z412+Z413+Z414+Z415+Z416+Z417+Z418+Z419+Z420+Z421+Z422+Z423+Z424+Z425+Z426+Z427, "NA")</f>
        <v>69862.450000000012</v>
      </c>
      <c r="AA428" s="15">
        <f>IFERROR(Z428/Z444, "NA")</f>
        <v>4.2108793492892226E-2</v>
      </c>
      <c r="AB428" s="2"/>
      <c r="AC428" s="14">
        <f t="shared" si="103"/>
        <v>12359.840000000011</v>
      </c>
      <c r="AD428" s="15">
        <f>IFERROR(AC428/AC444, "NA")</f>
        <v>0.26179517989861412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29353.239999999998</v>
      </c>
      <c r="C429" s="15">
        <f>IFERROR(B429/B444, "NA")</f>
        <v>3.7186946600384158E-2</v>
      </c>
      <c r="D429" s="2"/>
      <c r="E429" s="14">
        <f>IFERROR(E407+E408+E409+E410+E411+E412+E413+E414+E415+E416+E417+E418+E419+E420+E421+E422+E423+E424+E425+E426+E427, "NA")</f>
        <v>16834.559999999998</v>
      </c>
      <c r="F429" s="15">
        <f>IFERROR(E429/E444, "NA")</f>
        <v>2.0884763485130017E-2</v>
      </c>
      <c r="G429" s="2"/>
      <c r="H429" s="14">
        <f t="shared" si="100"/>
        <v>-12518.68</v>
      </c>
      <c r="I429" s="15">
        <f>IFERROR(H429/H444, "NA")</f>
        <v>0.74843794932684682</v>
      </c>
      <c r="J429" s="2"/>
      <c r="K429" s="14">
        <f>IFERROR(K407+K408+K409+K410+K411+K412+K413+K414+K415+K416+K417+K418+K419+K420+K421+K422+K423+K424+K425+K426+K427, "NA")</f>
        <v>16364.159999999996</v>
      </c>
      <c r="L429" s="15">
        <f>IFERROR(K429/K444, "NA")</f>
        <v>2.1953615779767725E-2</v>
      </c>
      <c r="M429" s="2"/>
      <c r="N429" s="14">
        <f t="shared" si="101"/>
        <v>-12989.080000000002</v>
      </c>
      <c r="O429" s="15">
        <f>IFERROR(N429/N444, "NA")</f>
        <v>-0.29557220141111001</v>
      </c>
      <c r="P429" s="2"/>
      <c r="Q429" s="14">
        <f>IFERROR(Q407+Q408+Q409+Q410+Q411+Q412+Q413+Q414+Q415+Q416+Q417+Q418+Q419+Q420+Q421+Q422+Q423+Q424+Q425+Q426+Q427, "NA")</f>
        <v>57502.61</v>
      </c>
      <c r="R429" s="15">
        <f>IFERROR(Q429/Q444, "NA")</f>
        <v>3.3700058304315231E-2</v>
      </c>
      <c r="S429" s="2"/>
      <c r="T429" s="14">
        <f>IFERROR(T407+T408+T409+T410+T411+T412+T413+T414+T415+T416+T417+T418+T419+T420+T421+T422+T423+T424+T425+T426+T427, "NA")</f>
        <v>47260.94</v>
      </c>
      <c r="U429" s="15">
        <f>IFERROR(T429/T444, "NA")</f>
        <v>2.6889620236104379E-2</v>
      </c>
      <c r="V429" s="2"/>
      <c r="W429" s="14">
        <f t="shared" si="102"/>
        <v>-10241.669999999998</v>
      </c>
      <c r="X429" s="15">
        <f>IFERROR(W429/W444, "NA")</f>
        <v>0.19970299024013377</v>
      </c>
      <c r="Y429" s="2"/>
      <c r="Z429" s="14">
        <f>IFERROR(Z407+Z408+Z409+Z410+Z411+Z412+Z413+Z414+Z415+Z416+Z417+Z418+Z419+Z420+Z421+Z422+Z423+Z424+Z425+Z426+Z427, "NA")</f>
        <v>69862.450000000012</v>
      </c>
      <c r="AA429" s="15">
        <f>IFERROR(Z429/Z444, "NA")</f>
        <v>4.2108793492892226E-2</v>
      </c>
      <c r="AB429" s="2"/>
      <c r="AC429" s="14">
        <f t="shared" si="103"/>
        <v>12359.840000000011</v>
      </c>
      <c r="AD429" s="15">
        <f>IFERROR(AC429/AC444, "NA")</f>
        <v>0.26179517989861412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-59292.199999999975</v>
      </c>
      <c r="C443" s="24">
        <f>IFERROR(B443/B444, "NA")</f>
        <v>-7.5115928436496171E-2</v>
      </c>
      <c r="D443" s="25"/>
      <c r="E443" s="23">
        <f>IFERROR(E404-E429-E442, "NA")</f>
        <v>-44932.059999999954</v>
      </c>
      <c r="F443" s="24">
        <f>IFERROR(E443/E444, "NA")</f>
        <v>-5.5742202112776945E-2</v>
      </c>
      <c r="G443" s="25"/>
      <c r="H443" s="23">
        <f>IFERROR(B443-E443, "NA")</f>
        <v>-14360.140000000021</v>
      </c>
      <c r="I443" s="24">
        <f>IFERROR(H443/H444, "NA")</f>
        <v>0.85853091009966231</v>
      </c>
      <c r="J443" s="25"/>
      <c r="K443" s="23">
        <f>IFERROR(K404-K429-K442, "NA")</f>
        <v>-97828.159999999945</v>
      </c>
      <c r="L443" s="24">
        <f>IFERROR(K443/K444, "NA")</f>
        <v>-0.13124302360045617</v>
      </c>
      <c r="M443" s="25"/>
      <c r="N443" s="23">
        <f>IFERROR(B443-K443, "NA")</f>
        <v>38535.95999999997</v>
      </c>
      <c r="O443" s="24">
        <f>IFERROR(N443/N444, "NA")</f>
        <v>0.87690263903913657</v>
      </c>
      <c r="P443" s="25"/>
      <c r="Q443" s="23">
        <f>IFERROR(Q404-Q429-Q442, "NA")</f>
        <v>-348594.72</v>
      </c>
      <c r="R443" s="24">
        <f>IFERROR(Q443/Q444, "NA")</f>
        <v>-0.20429789862714828</v>
      </c>
      <c r="S443" s="25"/>
      <c r="T443" s="23">
        <f>IFERROR(T404-T429-T442, "NA")</f>
        <v>-251192.53999999992</v>
      </c>
      <c r="U443" s="24">
        <f>IFERROR(T443/T444, "NA")</f>
        <v>-0.14291869790872666</v>
      </c>
      <c r="V443" s="25"/>
      <c r="W443" s="23">
        <f>IFERROR(Q443-T443, "NA")</f>
        <v>-97402.180000000051</v>
      </c>
      <c r="X443" s="24">
        <f>IFERROR(W443/W444, "NA")</f>
        <v>1.8992514503892204</v>
      </c>
      <c r="Y443" s="25"/>
      <c r="Z443" s="23">
        <f>IFERROR(Z404-Z429-Z442, "NA")</f>
        <v>-487304.22999999986</v>
      </c>
      <c r="AA443" s="24">
        <f>IFERROR(Z443/Z444, "NA")</f>
        <v>-0.29371705672049642</v>
      </c>
      <c r="AB443" s="25"/>
      <c r="AC443" s="23">
        <f>IFERROR(Q443-Z443, "NA")</f>
        <v>138709.50999999989</v>
      </c>
      <c r="AD443" s="24">
        <f>IFERROR(AC443/AC444, "NA")</f>
        <v>2.9380219423632141</v>
      </c>
    </row>
    <row r="444" spans="1:30" ht="15.75" hidden="1" x14ac:dyDescent="0.45">
      <c r="A444" s="26" t="s">
        <v>117</v>
      </c>
      <c r="B444" s="7">
        <v>789342.57000000007</v>
      </c>
      <c r="C444" s="27"/>
      <c r="D444" s="9"/>
      <c r="E444" s="7">
        <v>806068.98</v>
      </c>
      <c r="F444" s="27"/>
      <c r="G444" s="9"/>
      <c r="H444" s="10">
        <f>IFERROR(B444-E444, "NA")</f>
        <v>-16726.409999999916</v>
      </c>
      <c r="I444" s="27"/>
      <c r="J444" s="9"/>
      <c r="K444" s="7">
        <v>745397.03</v>
      </c>
      <c r="L444" s="27"/>
      <c r="M444" s="9"/>
      <c r="N444" s="10">
        <f>IFERROR(B444-K444, "NA")</f>
        <v>43945.540000000037</v>
      </c>
      <c r="O444" s="27"/>
      <c r="P444" s="9"/>
      <c r="Q444" s="7">
        <v>1706305.9500000002</v>
      </c>
      <c r="R444" s="27"/>
      <c r="S444" s="9"/>
      <c r="T444" s="7">
        <v>1757590.46</v>
      </c>
      <c r="U444" s="27"/>
      <c r="V444" s="9"/>
      <c r="W444" s="10">
        <f>IFERROR(Q444-T444, "NA")</f>
        <v>-51284.509999999776</v>
      </c>
      <c r="X444" s="27"/>
      <c r="Y444" s="9"/>
      <c r="Z444" s="7">
        <v>1659094.08</v>
      </c>
      <c r="AA444" s="27"/>
      <c r="AB444" s="9"/>
      <c r="AC444" s="10">
        <f>IFERROR(Q444-Z444, "NA")</f>
        <v>47211.870000000112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44230.75</v>
      </c>
      <c r="C350" s="8" t="str">
        <f>IFERROR(B350/B444, "NA")</f>
        <v>NA</v>
      </c>
      <c r="D350" s="9"/>
      <c r="E350" s="7">
        <v>54326.92</v>
      </c>
      <c r="F350" s="8" t="str">
        <f>IFERROR(E350/E444, "NA")</f>
        <v>NA</v>
      </c>
      <c r="G350" s="9"/>
      <c r="H350" s="10">
        <f t="shared" si="88"/>
        <v>10096.169999999998</v>
      </c>
      <c r="I350" s="8" t="str">
        <f>IFERROR(H350/H444, "NA")</f>
        <v>NA</v>
      </c>
      <c r="J350" s="9"/>
      <c r="K350" s="7">
        <v>52984.55</v>
      </c>
      <c r="L350" s="8" t="str">
        <f>IFERROR(K350/K444, "NA")</f>
        <v>NA</v>
      </c>
      <c r="M350" s="9"/>
      <c r="N350" s="10">
        <f t="shared" si="89"/>
        <v>8753.8000000000029</v>
      </c>
      <c r="O350" s="8" t="str">
        <f>IFERROR(N350/N444, "NA")</f>
        <v>NA</v>
      </c>
      <c r="P350" s="9"/>
      <c r="Q350" s="7">
        <v>115033.62</v>
      </c>
      <c r="R350" s="8" t="str">
        <f>IFERROR(Q350/Q444, "NA")</f>
        <v>NA</v>
      </c>
      <c r="S350" s="9"/>
      <c r="T350" s="7">
        <v>126326.92</v>
      </c>
      <c r="U350" s="8" t="str">
        <f>IFERROR(T350/T444, "NA")</f>
        <v>NA</v>
      </c>
      <c r="V350" s="9"/>
      <c r="W350" s="10">
        <f t="shared" si="90"/>
        <v>11293.300000000003</v>
      </c>
      <c r="X350" s="8" t="str">
        <f>IFERROR(W350/W444, "NA")</f>
        <v>NA</v>
      </c>
      <c r="Y350" s="9"/>
      <c r="Z350" s="7">
        <v>178871.97</v>
      </c>
      <c r="AA350" s="8" t="str">
        <f>IFERROR(Z350/Z444, "NA")</f>
        <v>NA</v>
      </c>
      <c r="AB350" s="9"/>
      <c r="AC350" s="10">
        <f t="shared" si="91"/>
        <v>63838.350000000006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hidden="1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0</v>
      </c>
      <c r="L352" s="8" t="str">
        <f>IFERROR(K352/K444, "NA")</f>
        <v>NA</v>
      </c>
      <c r="M352" s="9"/>
      <c r="N352" s="10">
        <f t="shared" si="89"/>
        <v>0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0</v>
      </c>
      <c r="U352" s="8" t="str">
        <f>IFERROR(T352/T444, "NA")</f>
        <v>NA</v>
      </c>
      <c r="V352" s="9"/>
      <c r="W352" s="10">
        <f t="shared" si="90"/>
        <v>0</v>
      </c>
      <c r="X352" s="8" t="str">
        <f>IFERROR(W352/W444, "NA")</f>
        <v>NA</v>
      </c>
      <c r="Y352" s="9"/>
      <c r="Z352" s="7">
        <v>0</v>
      </c>
      <c r="AA352" s="8" t="str">
        <f>IFERROR(Z352/Z444, "NA")</f>
        <v>NA</v>
      </c>
      <c r="AB352" s="9"/>
      <c r="AC352" s="10">
        <f t="shared" si="91"/>
        <v>0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0</v>
      </c>
      <c r="F353" s="8" t="str">
        <f>IFERROR(E353/E444, "NA")</f>
        <v>NA</v>
      </c>
      <c r="G353" s="9"/>
      <c r="H353" s="10">
        <f t="shared" si="88"/>
        <v>0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0</v>
      </c>
      <c r="R353" s="8" t="str">
        <f>IFERROR(Q353/Q444, "NA")</f>
        <v>NA</v>
      </c>
      <c r="S353" s="9"/>
      <c r="T353" s="7">
        <v>0</v>
      </c>
      <c r="U353" s="8" t="str">
        <f>IFERROR(T353/T444, "NA")</f>
        <v>NA</v>
      </c>
      <c r="V353" s="9"/>
      <c r="W353" s="10">
        <f t="shared" si="90"/>
        <v>0</v>
      </c>
      <c r="X353" s="8" t="str">
        <f>IFERROR(W353/W444, "NA")</f>
        <v>NA</v>
      </c>
      <c r="Y353" s="9"/>
      <c r="Z353" s="7">
        <v>6774.8</v>
      </c>
      <c r="AA353" s="8" t="str">
        <f>IFERROR(Z353/Z444, "NA")</f>
        <v>NA</v>
      </c>
      <c r="AB353" s="9"/>
      <c r="AC353" s="10">
        <f t="shared" si="91"/>
        <v>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3543.35</v>
      </c>
      <c r="C354" s="8" t="str">
        <f>IFERROR(B354/B444, "NA")</f>
        <v>NA</v>
      </c>
      <c r="D354" s="9"/>
      <c r="E354" s="7">
        <v>4509.13</v>
      </c>
      <c r="F354" s="8" t="str">
        <f>IFERROR(E354/E444, "NA")</f>
        <v>NA</v>
      </c>
      <c r="G354" s="9"/>
      <c r="H354" s="10">
        <f t="shared" si="88"/>
        <v>965.7800000000002</v>
      </c>
      <c r="I354" s="8" t="str">
        <f>IFERROR(H354/H444, "NA")</f>
        <v>NA</v>
      </c>
      <c r="J354" s="9"/>
      <c r="K354" s="7">
        <v>4322.99</v>
      </c>
      <c r="L354" s="8" t="str">
        <f>IFERROR(K354/K444, "NA")</f>
        <v>NA</v>
      </c>
      <c r="M354" s="9"/>
      <c r="N354" s="10">
        <f t="shared" si="89"/>
        <v>779.63999999999987</v>
      </c>
      <c r="O354" s="8" t="str">
        <f>IFERROR(N354/N444, "NA")</f>
        <v>NA</v>
      </c>
      <c r="P354" s="9"/>
      <c r="Q354" s="7">
        <v>9812.26</v>
      </c>
      <c r="R354" s="8" t="str">
        <f>IFERROR(Q354/Q444, "NA")</f>
        <v>NA</v>
      </c>
      <c r="S354" s="9"/>
      <c r="T354" s="7">
        <v>10485.129999999999</v>
      </c>
      <c r="U354" s="8" t="str">
        <f>IFERROR(T354/T444, "NA")</f>
        <v>NA</v>
      </c>
      <c r="V354" s="9"/>
      <c r="W354" s="10">
        <f t="shared" si="90"/>
        <v>672.86999999999898</v>
      </c>
      <c r="X354" s="8" t="str">
        <f>IFERROR(W354/W444, "NA")</f>
        <v>NA</v>
      </c>
      <c r="Y354" s="9"/>
      <c r="Z354" s="7">
        <v>16730.3</v>
      </c>
      <c r="AA354" s="8" t="str">
        <f>IFERROR(Z354/Z444, "NA")</f>
        <v>NA</v>
      </c>
      <c r="AB354" s="9"/>
      <c r="AC354" s="10">
        <f t="shared" si="91"/>
        <v>6918.0399999999991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64.87</v>
      </c>
      <c r="C355" s="8" t="str">
        <f>IFERROR(B355/B444, "NA")</f>
        <v>NA</v>
      </c>
      <c r="D355" s="9"/>
      <c r="E355" s="7">
        <v>233</v>
      </c>
      <c r="F355" s="8" t="str">
        <f>IFERROR(E355/E444, "NA")</f>
        <v>NA</v>
      </c>
      <c r="G355" s="9"/>
      <c r="H355" s="10">
        <f t="shared" si="88"/>
        <v>168.13</v>
      </c>
      <c r="I355" s="8" t="str">
        <f>IFERROR(H355/H444, "NA")</f>
        <v>NA</v>
      </c>
      <c r="J355" s="9"/>
      <c r="K355" s="7">
        <v>254.4</v>
      </c>
      <c r="L355" s="8" t="str">
        <f>IFERROR(K355/K444, "NA")</f>
        <v>NA</v>
      </c>
      <c r="M355" s="9"/>
      <c r="N355" s="10">
        <f t="shared" si="89"/>
        <v>189.53</v>
      </c>
      <c r="O355" s="8" t="str">
        <f>IFERROR(N355/N444, "NA")</f>
        <v>NA</v>
      </c>
      <c r="P355" s="9"/>
      <c r="Q355" s="7">
        <v>441.17</v>
      </c>
      <c r="R355" s="8" t="str">
        <f>IFERROR(Q355/Q444, "NA")</f>
        <v>NA</v>
      </c>
      <c r="S355" s="9"/>
      <c r="T355" s="7">
        <v>657</v>
      </c>
      <c r="U355" s="8" t="str">
        <f>IFERROR(T355/T444, "NA")</f>
        <v>NA</v>
      </c>
      <c r="V355" s="9"/>
      <c r="W355" s="10">
        <f t="shared" si="90"/>
        <v>215.82999999999998</v>
      </c>
      <c r="X355" s="8" t="str">
        <f>IFERROR(W355/W444, "NA")</f>
        <v>NA</v>
      </c>
      <c r="Y355" s="9"/>
      <c r="Z355" s="7">
        <v>795</v>
      </c>
      <c r="AA355" s="8" t="str">
        <f>IFERROR(Z355/Z444, "NA")</f>
        <v>NA</v>
      </c>
      <c r="AB355" s="9"/>
      <c r="AC355" s="10">
        <f t="shared" si="91"/>
        <v>353.83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6791</v>
      </c>
      <c r="C356" s="8" t="str">
        <f>IFERROR(B356/B444, "NA")</f>
        <v>NA</v>
      </c>
      <c r="D356" s="9"/>
      <c r="E356" s="7">
        <v>6790.87</v>
      </c>
      <c r="F356" s="8" t="str">
        <f>IFERROR(E356/E444, "NA")</f>
        <v>NA</v>
      </c>
      <c r="G356" s="9"/>
      <c r="H356" s="10">
        <f t="shared" si="88"/>
        <v>-0.13000000000010914</v>
      </c>
      <c r="I356" s="8" t="str">
        <f>IFERROR(H356/H444, "NA")</f>
        <v>NA</v>
      </c>
      <c r="J356" s="9"/>
      <c r="K356" s="7">
        <v>8472.5</v>
      </c>
      <c r="L356" s="8" t="str">
        <f>IFERROR(K356/K444, "NA")</f>
        <v>NA</v>
      </c>
      <c r="M356" s="9"/>
      <c r="N356" s="10">
        <f t="shared" si="89"/>
        <v>1681.5</v>
      </c>
      <c r="O356" s="8" t="str">
        <f>IFERROR(N356/N444, "NA")</f>
        <v>NA</v>
      </c>
      <c r="P356" s="9"/>
      <c r="Q356" s="7">
        <v>15791</v>
      </c>
      <c r="R356" s="8" t="str">
        <f>IFERROR(Q356/Q444, "NA")</f>
        <v>NA</v>
      </c>
      <c r="S356" s="9"/>
      <c r="T356" s="7">
        <v>15790.87</v>
      </c>
      <c r="U356" s="8" t="str">
        <f>IFERROR(T356/T444, "NA")</f>
        <v>NA</v>
      </c>
      <c r="V356" s="9"/>
      <c r="W356" s="10">
        <f t="shared" si="90"/>
        <v>-0.12999999999919964</v>
      </c>
      <c r="X356" s="8" t="str">
        <f>IFERROR(W356/W444, "NA")</f>
        <v>NA</v>
      </c>
      <c r="Y356" s="9"/>
      <c r="Z356" s="7">
        <v>20847.5</v>
      </c>
      <c r="AA356" s="8" t="str">
        <f>IFERROR(Z356/Z444, "NA")</f>
        <v>NA</v>
      </c>
      <c r="AB356" s="9"/>
      <c r="AC356" s="10">
        <f t="shared" si="91"/>
        <v>5056.5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2948.8</v>
      </c>
      <c r="C357" s="8" t="str">
        <f>IFERROR(B357/B444, "NA")</f>
        <v>NA</v>
      </c>
      <c r="D357" s="9"/>
      <c r="E357" s="7">
        <v>3680</v>
      </c>
      <c r="F357" s="8" t="str">
        <f>IFERROR(E357/E444, "NA")</f>
        <v>NA</v>
      </c>
      <c r="G357" s="9"/>
      <c r="H357" s="10">
        <f t="shared" si="88"/>
        <v>731.19999999999982</v>
      </c>
      <c r="I357" s="8" t="str">
        <f>IFERROR(H357/H444, "NA")</f>
        <v>NA</v>
      </c>
      <c r="J357" s="9"/>
      <c r="K357" s="7">
        <v>3217.47</v>
      </c>
      <c r="L357" s="8" t="str">
        <f>IFERROR(K357/K444, "NA")</f>
        <v>NA</v>
      </c>
      <c r="M357" s="9"/>
      <c r="N357" s="10">
        <f t="shared" si="89"/>
        <v>268.66999999999962</v>
      </c>
      <c r="O357" s="8" t="str">
        <f>IFERROR(N357/N444, "NA")</f>
        <v>NA</v>
      </c>
      <c r="P357" s="9"/>
      <c r="Q357" s="7">
        <v>9587.2800000000007</v>
      </c>
      <c r="R357" s="8" t="str">
        <f>IFERROR(Q357/Q444, "NA")</f>
        <v>NA</v>
      </c>
      <c r="S357" s="9"/>
      <c r="T357" s="7">
        <v>11040</v>
      </c>
      <c r="U357" s="8" t="str">
        <f>IFERROR(T357/T444, "NA")</f>
        <v>NA</v>
      </c>
      <c r="V357" s="9"/>
      <c r="W357" s="10">
        <f t="shared" si="90"/>
        <v>1452.7199999999993</v>
      </c>
      <c r="X357" s="8" t="str">
        <f>IFERROR(W357/W444, "NA")</f>
        <v>NA</v>
      </c>
      <c r="Y357" s="9"/>
      <c r="Z357" s="7">
        <v>10156.17</v>
      </c>
      <c r="AA357" s="8" t="str">
        <f>IFERROR(Z357/Z444, "NA")</f>
        <v>NA</v>
      </c>
      <c r="AB357" s="9"/>
      <c r="AC357" s="10">
        <f t="shared" si="91"/>
        <v>568.88999999999942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57578.770000000004</v>
      </c>
      <c r="C358" s="15" t="str">
        <f>IFERROR(B358/B444, "NA")</f>
        <v>NA</v>
      </c>
      <c r="D358" s="2"/>
      <c r="E358" s="14">
        <f>IFERROR(E349+E350+E351+E352+E353+E354+E355+E356+E357, "NA")</f>
        <v>69539.92</v>
      </c>
      <c r="F358" s="15" t="str">
        <f>IFERROR(E358/E444, "NA")</f>
        <v>NA</v>
      </c>
      <c r="G358" s="2"/>
      <c r="H358" s="14">
        <f t="shared" si="88"/>
        <v>11961.149999999994</v>
      </c>
      <c r="I358" s="15" t="str">
        <f>IFERROR(H358/H444, "NA")</f>
        <v>NA</v>
      </c>
      <c r="J358" s="2"/>
      <c r="K358" s="14">
        <f>IFERROR(K349+K350+K351+K352+K353+K354+K355+K356+K357, "NA")</f>
        <v>69251.91</v>
      </c>
      <c r="L358" s="15" t="str">
        <f>IFERROR(K358/K444, "NA")</f>
        <v>NA</v>
      </c>
      <c r="M358" s="2"/>
      <c r="N358" s="14">
        <f t="shared" si="89"/>
        <v>11673.14</v>
      </c>
      <c r="O358" s="15" t="str">
        <f>IFERROR(N358/N444, "NA")</f>
        <v>NA</v>
      </c>
      <c r="P358" s="2"/>
      <c r="Q358" s="14">
        <f>IFERROR(Q349+Q350+Q351+Q352+Q353+Q354+Q355+Q356+Q357, "NA")</f>
        <v>150665.32999999999</v>
      </c>
      <c r="R358" s="15" t="str">
        <f>IFERROR(Q358/Q444, "NA")</f>
        <v>NA</v>
      </c>
      <c r="S358" s="2"/>
      <c r="T358" s="14">
        <f>IFERROR(T349+T350+T351+T352+T353+T354+T355+T356+T357, "NA")</f>
        <v>164299.91999999998</v>
      </c>
      <c r="U358" s="15" t="str">
        <f>IFERROR(T358/T444, "NA")</f>
        <v>NA</v>
      </c>
      <c r="V358" s="2"/>
      <c r="W358" s="14">
        <f t="shared" si="90"/>
        <v>13634.589999999997</v>
      </c>
      <c r="X358" s="15" t="str">
        <f>IFERROR(W358/W444, "NA")</f>
        <v>NA</v>
      </c>
      <c r="Y358" s="2"/>
      <c r="Z358" s="14">
        <f>IFERROR(Z349+Z350+Z351+Z352+Z353+Z354+Z355+Z356+Z357, "NA")</f>
        <v>234175.74</v>
      </c>
      <c r="AA358" s="15" t="str">
        <f>IFERROR(Z358/Z444, "NA")</f>
        <v>NA</v>
      </c>
      <c r="AB358" s="2"/>
      <c r="AC358" s="14">
        <f t="shared" si="91"/>
        <v>83510.41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0</v>
      </c>
      <c r="F360" s="8" t="str">
        <f>IFERROR(E360/E444, "NA")</f>
        <v>NA</v>
      </c>
      <c r="G360" s="9"/>
      <c r="H360" s="10">
        <f t="shared" ref="H360:H383" si="92">IFERROR(-(B360-E360), "NA")</f>
        <v>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0</v>
      </c>
      <c r="U360" s="8" t="str">
        <f>IFERROR(T360/T444, "NA")</f>
        <v>NA</v>
      </c>
      <c r="V360" s="9"/>
      <c r="W360" s="10">
        <f t="shared" ref="W360:W383" si="94">IFERROR(-(Q360-T360), "NA")</f>
        <v>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hidden="1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0</v>
      </c>
      <c r="AA361" s="8" t="str">
        <f>IFERROR(Z361/Z444, "NA")</f>
        <v>NA</v>
      </c>
      <c r="AB361" s="9"/>
      <c r="AC361" s="10">
        <f t="shared" si="95"/>
        <v>0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525.25</v>
      </c>
      <c r="C362" s="8" t="str">
        <f>IFERROR(B362/B444, "NA")</f>
        <v>NA</v>
      </c>
      <c r="D362" s="9"/>
      <c r="E362" s="7">
        <v>1080</v>
      </c>
      <c r="F362" s="8" t="str">
        <f>IFERROR(E362/E444, "NA")</f>
        <v>NA</v>
      </c>
      <c r="G362" s="9"/>
      <c r="H362" s="10">
        <f t="shared" si="92"/>
        <v>554.75</v>
      </c>
      <c r="I362" s="8" t="str">
        <f>IFERROR(H362/H444, "NA")</f>
        <v>NA</v>
      </c>
      <c r="J362" s="9"/>
      <c r="K362" s="7">
        <v>1015.41</v>
      </c>
      <c r="L362" s="8" t="str">
        <f>IFERROR(K362/K444, "NA")</f>
        <v>NA</v>
      </c>
      <c r="M362" s="9"/>
      <c r="N362" s="10">
        <f t="shared" si="93"/>
        <v>490.15999999999997</v>
      </c>
      <c r="O362" s="8" t="str">
        <f>IFERROR(N362/N444, "NA")</f>
        <v>NA</v>
      </c>
      <c r="P362" s="9"/>
      <c r="Q362" s="7">
        <v>1131.02</v>
      </c>
      <c r="R362" s="8" t="str">
        <f>IFERROR(Q362/Q444, "NA")</f>
        <v>NA</v>
      </c>
      <c r="S362" s="9"/>
      <c r="T362" s="7">
        <v>2808</v>
      </c>
      <c r="U362" s="8" t="str">
        <f>IFERROR(T362/T444, "NA")</f>
        <v>NA</v>
      </c>
      <c r="V362" s="9"/>
      <c r="W362" s="10">
        <f t="shared" si="94"/>
        <v>1676.98</v>
      </c>
      <c r="X362" s="8" t="str">
        <f>IFERROR(W362/W444, "NA")</f>
        <v>NA</v>
      </c>
      <c r="Y362" s="9"/>
      <c r="Z362" s="7">
        <v>2752.84</v>
      </c>
      <c r="AA362" s="8" t="str">
        <f>IFERROR(Z362/Z444, "NA")</f>
        <v>NA</v>
      </c>
      <c r="AB362" s="9"/>
      <c r="AC362" s="10">
        <f t="shared" si="95"/>
        <v>1621.8200000000002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1100.52</v>
      </c>
      <c r="C363" s="8" t="str">
        <f>IFERROR(B363/B444, "NA")</f>
        <v>NA</v>
      </c>
      <c r="D363" s="9"/>
      <c r="E363" s="7">
        <v>225</v>
      </c>
      <c r="F363" s="8" t="str">
        <f>IFERROR(E363/E444, "NA")</f>
        <v>NA</v>
      </c>
      <c r="G363" s="9"/>
      <c r="H363" s="10">
        <f t="shared" si="92"/>
        <v>-875.52</v>
      </c>
      <c r="I363" s="8" t="str">
        <f>IFERROR(H363/H444, "NA")</f>
        <v>NA</v>
      </c>
      <c r="J363" s="9"/>
      <c r="K363" s="7">
        <v>1644.11</v>
      </c>
      <c r="L363" s="8" t="str">
        <f>IFERROR(K363/K444, "NA")</f>
        <v>NA</v>
      </c>
      <c r="M363" s="9"/>
      <c r="N363" s="10">
        <f t="shared" si="93"/>
        <v>543.58999999999992</v>
      </c>
      <c r="O363" s="8" t="str">
        <f>IFERROR(N363/N444, "NA")</f>
        <v>NA</v>
      </c>
      <c r="P363" s="9"/>
      <c r="Q363" s="7">
        <v>2414.85</v>
      </c>
      <c r="R363" s="8" t="str">
        <f>IFERROR(Q363/Q444, "NA")</f>
        <v>NA</v>
      </c>
      <c r="S363" s="9"/>
      <c r="T363" s="7">
        <v>525</v>
      </c>
      <c r="U363" s="8" t="str">
        <f>IFERROR(T363/T444, "NA")</f>
        <v>NA</v>
      </c>
      <c r="V363" s="9"/>
      <c r="W363" s="10">
        <f t="shared" si="94"/>
        <v>-1889.85</v>
      </c>
      <c r="X363" s="8" t="str">
        <f>IFERROR(W363/W444, "NA")</f>
        <v>NA</v>
      </c>
      <c r="Y363" s="9"/>
      <c r="Z363" s="7">
        <v>2694.85</v>
      </c>
      <c r="AA363" s="8" t="str">
        <f>IFERROR(Z363/Z444, "NA")</f>
        <v>NA</v>
      </c>
      <c r="AB363" s="9"/>
      <c r="AC363" s="10">
        <f t="shared" si="95"/>
        <v>280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2479.15</v>
      </c>
      <c r="C364" s="8" t="str">
        <f>IFERROR(B364/B444, "NA")</f>
        <v>NA</v>
      </c>
      <c r="D364" s="9"/>
      <c r="E364" s="7">
        <v>750</v>
      </c>
      <c r="F364" s="8" t="str">
        <f>IFERROR(E364/E444, "NA")</f>
        <v>NA</v>
      </c>
      <c r="G364" s="9"/>
      <c r="H364" s="10">
        <f t="shared" si="92"/>
        <v>-1729.15</v>
      </c>
      <c r="I364" s="8" t="str">
        <f>IFERROR(H364/H444, "NA")</f>
        <v>NA</v>
      </c>
      <c r="J364" s="9"/>
      <c r="K364" s="7">
        <v>689.44</v>
      </c>
      <c r="L364" s="8" t="str">
        <f>IFERROR(K364/K444, "NA")</f>
        <v>NA</v>
      </c>
      <c r="M364" s="9"/>
      <c r="N364" s="10">
        <f t="shared" si="93"/>
        <v>-1789.71</v>
      </c>
      <c r="O364" s="8" t="str">
        <f>IFERROR(N364/N444, "NA")</f>
        <v>NA</v>
      </c>
      <c r="P364" s="9"/>
      <c r="Q364" s="7">
        <v>2678.18</v>
      </c>
      <c r="R364" s="8" t="str">
        <f>IFERROR(Q364/Q444, "NA")</f>
        <v>NA</v>
      </c>
      <c r="S364" s="9"/>
      <c r="T364" s="7">
        <v>1900</v>
      </c>
      <c r="U364" s="8" t="str">
        <f>IFERROR(T364/T444, "NA")</f>
        <v>NA</v>
      </c>
      <c r="V364" s="9"/>
      <c r="W364" s="10">
        <f t="shared" si="94"/>
        <v>-778.17999999999984</v>
      </c>
      <c r="X364" s="8" t="str">
        <f>IFERROR(W364/W444, "NA")</f>
        <v>NA</v>
      </c>
      <c r="Y364" s="9"/>
      <c r="Z364" s="7">
        <v>2585.9699999999998</v>
      </c>
      <c r="AA364" s="8" t="str">
        <f>IFERROR(Z364/Z444, "NA")</f>
        <v>NA</v>
      </c>
      <c r="AB364" s="9"/>
      <c r="AC364" s="10">
        <f t="shared" si="95"/>
        <v>-92.210000000000036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211.67</v>
      </c>
      <c r="C365" s="8" t="str">
        <f>IFERROR(B365/B444, "NA")</f>
        <v>NA</v>
      </c>
      <c r="D365" s="9"/>
      <c r="E365" s="7">
        <v>450</v>
      </c>
      <c r="F365" s="8" t="str">
        <f>IFERROR(E365/E444, "NA")</f>
        <v>NA</v>
      </c>
      <c r="G365" s="9"/>
      <c r="H365" s="10">
        <f t="shared" si="92"/>
        <v>238.33</v>
      </c>
      <c r="I365" s="8" t="str">
        <f>IFERROR(H365/H444, "NA")</f>
        <v>NA</v>
      </c>
      <c r="J365" s="9"/>
      <c r="K365" s="7">
        <v>-16.809999999999999</v>
      </c>
      <c r="L365" s="8" t="str">
        <f>IFERROR(K365/K444, "NA")</f>
        <v>NA</v>
      </c>
      <c r="M365" s="9"/>
      <c r="N365" s="10">
        <f t="shared" si="93"/>
        <v>-228.48</v>
      </c>
      <c r="O365" s="8" t="str">
        <f>IFERROR(N365/N444, "NA")</f>
        <v>NA</v>
      </c>
      <c r="P365" s="9"/>
      <c r="Q365" s="7">
        <v>503.67</v>
      </c>
      <c r="R365" s="8" t="str">
        <f>IFERROR(Q365/Q444, "NA")</f>
        <v>NA</v>
      </c>
      <c r="S365" s="9"/>
      <c r="T365" s="7">
        <v>2025</v>
      </c>
      <c r="U365" s="8" t="str">
        <f>IFERROR(T365/T444, "NA")</f>
        <v>NA</v>
      </c>
      <c r="V365" s="9"/>
      <c r="W365" s="10">
        <f t="shared" si="94"/>
        <v>1521.33</v>
      </c>
      <c r="X365" s="8" t="str">
        <f>IFERROR(W365/W444, "NA")</f>
        <v>NA</v>
      </c>
      <c r="Y365" s="9"/>
      <c r="Z365" s="7">
        <v>879.39</v>
      </c>
      <c r="AA365" s="8" t="str">
        <f>IFERROR(Z365/Z444, "NA")</f>
        <v>NA</v>
      </c>
      <c r="AB365" s="9"/>
      <c r="AC365" s="10">
        <f t="shared" si="95"/>
        <v>375.71999999999997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1716.61</v>
      </c>
      <c r="C366" s="8" t="str">
        <f>IFERROR(B366/B444, "NA")</f>
        <v>NA</v>
      </c>
      <c r="D366" s="9"/>
      <c r="E366" s="7">
        <v>450</v>
      </c>
      <c r="F366" s="8" t="str">
        <f>IFERROR(E366/E444, "NA")</f>
        <v>NA</v>
      </c>
      <c r="G366" s="9"/>
      <c r="H366" s="10">
        <f t="shared" si="92"/>
        <v>-1266.6099999999999</v>
      </c>
      <c r="I366" s="8" t="str">
        <f>IFERROR(H366/H444, "NA")</f>
        <v>NA</v>
      </c>
      <c r="J366" s="9"/>
      <c r="K366" s="7">
        <v>-1049.3499999999999</v>
      </c>
      <c r="L366" s="8" t="str">
        <f>IFERROR(K366/K444, "NA")</f>
        <v>NA</v>
      </c>
      <c r="M366" s="9"/>
      <c r="N366" s="10">
        <f t="shared" si="93"/>
        <v>-2765.96</v>
      </c>
      <c r="O366" s="8" t="str">
        <f>IFERROR(N366/N444, "NA")</f>
        <v>NA</v>
      </c>
      <c r="P366" s="9"/>
      <c r="Q366" s="7">
        <v>2514.41</v>
      </c>
      <c r="R366" s="8" t="str">
        <f>IFERROR(Q366/Q444, "NA")</f>
        <v>NA</v>
      </c>
      <c r="S366" s="9"/>
      <c r="T366" s="7">
        <v>1350</v>
      </c>
      <c r="U366" s="8" t="str">
        <f>IFERROR(T366/T444, "NA")</f>
        <v>NA</v>
      </c>
      <c r="V366" s="9"/>
      <c r="W366" s="10">
        <f t="shared" si="94"/>
        <v>-1164.4099999999999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-2514.41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2418.87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-2418.87</v>
      </c>
      <c r="I367" s="8" t="str">
        <f>IFERROR(H367/H444, "NA")</f>
        <v>NA</v>
      </c>
      <c r="J367" s="9"/>
      <c r="K367" s="7">
        <v>5481.74</v>
      </c>
      <c r="L367" s="8" t="str">
        <f>IFERROR(K367/K444, "NA")</f>
        <v>NA</v>
      </c>
      <c r="M367" s="9"/>
      <c r="N367" s="10">
        <f t="shared" si="93"/>
        <v>3062.87</v>
      </c>
      <c r="O367" s="8" t="str">
        <f>IFERROR(N367/N444, "NA")</f>
        <v>NA</v>
      </c>
      <c r="P367" s="9"/>
      <c r="Q367" s="7">
        <v>4086.48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-4086.48</v>
      </c>
      <c r="X367" s="8" t="str">
        <f>IFERROR(W367/W444, "NA")</f>
        <v>NA</v>
      </c>
      <c r="Y367" s="9"/>
      <c r="Z367" s="7">
        <v>5481.74</v>
      </c>
      <c r="AA367" s="8" t="str">
        <f>IFERROR(Z367/Z444, "NA")</f>
        <v>NA</v>
      </c>
      <c r="AB367" s="9"/>
      <c r="AC367" s="10">
        <f t="shared" si="95"/>
        <v>1395.2599999999998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8452.07</v>
      </c>
      <c r="C368" s="15" t="str">
        <f>IFERROR(B368/B444, "NA")</f>
        <v>NA</v>
      </c>
      <c r="D368" s="2"/>
      <c r="E368" s="14">
        <f>IFERROR(E360+E361+E362+E363+E364+E365+E366+E367, "NA")</f>
        <v>2955</v>
      </c>
      <c r="F368" s="15" t="str">
        <f>IFERROR(E368/E444, "NA")</f>
        <v>NA</v>
      </c>
      <c r="G368" s="2"/>
      <c r="H368" s="14">
        <f t="shared" si="92"/>
        <v>-5497.07</v>
      </c>
      <c r="I368" s="15" t="str">
        <f>IFERROR(H368/H444, "NA")</f>
        <v>NA</v>
      </c>
      <c r="J368" s="2"/>
      <c r="K368" s="14">
        <f>IFERROR(K360+K361+K362+K363+K364+K365+K366+K367, "NA")</f>
        <v>7764.54</v>
      </c>
      <c r="L368" s="15" t="str">
        <f>IFERROR(K368/K444, "NA")</f>
        <v>NA</v>
      </c>
      <c r="M368" s="2"/>
      <c r="N368" s="14">
        <f t="shared" si="93"/>
        <v>-687.52999999999975</v>
      </c>
      <c r="O368" s="15" t="str">
        <f>IFERROR(N368/N444, "NA")</f>
        <v>NA</v>
      </c>
      <c r="P368" s="2"/>
      <c r="Q368" s="14">
        <f>IFERROR(Q360+Q361+Q362+Q363+Q364+Q365+Q366+Q367, "NA")</f>
        <v>13328.609999999999</v>
      </c>
      <c r="R368" s="15" t="str">
        <f>IFERROR(Q368/Q444, "NA")</f>
        <v>NA</v>
      </c>
      <c r="S368" s="2"/>
      <c r="T368" s="14">
        <f>IFERROR(T360+T361+T362+T363+T364+T365+T366+T367, "NA")</f>
        <v>8608</v>
      </c>
      <c r="U368" s="15" t="str">
        <f>IFERROR(T368/T444, "NA")</f>
        <v>NA</v>
      </c>
      <c r="V368" s="2"/>
      <c r="W368" s="14">
        <f t="shared" si="94"/>
        <v>-4720.6099999999988</v>
      </c>
      <c r="X368" s="15" t="str">
        <f>IFERROR(W368/W444, "NA")</f>
        <v>NA</v>
      </c>
      <c r="Y368" s="2"/>
      <c r="Z368" s="14">
        <f>IFERROR(Z360+Z361+Z362+Z363+Z364+Z365+Z366+Z367, "NA")</f>
        <v>14394.789999999999</v>
      </c>
      <c r="AA368" s="15" t="str">
        <f>IFERROR(Z368/Z444, "NA")</f>
        <v>NA</v>
      </c>
      <c r="AB368" s="2"/>
      <c r="AC368" s="14">
        <f t="shared" si="95"/>
        <v>1066.1800000000003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148</v>
      </c>
      <c r="C370" s="8" t="str">
        <f>IFERROR(B370/B444, "NA")</f>
        <v>NA</v>
      </c>
      <c r="D370" s="9"/>
      <c r="E370" s="7">
        <v>800</v>
      </c>
      <c r="F370" s="8" t="str">
        <f>IFERROR(E370/E444, "NA")</f>
        <v>NA</v>
      </c>
      <c r="G370" s="9"/>
      <c r="H370" s="10">
        <f t="shared" si="92"/>
        <v>652</v>
      </c>
      <c r="I370" s="8" t="str">
        <f>IFERROR(H370/H444, "NA")</f>
        <v>NA</v>
      </c>
      <c r="J370" s="9"/>
      <c r="K370" s="7">
        <v>768</v>
      </c>
      <c r="L370" s="8" t="str">
        <f>IFERROR(K370/K444, "NA")</f>
        <v>NA</v>
      </c>
      <c r="M370" s="9"/>
      <c r="N370" s="10">
        <f t="shared" si="93"/>
        <v>620</v>
      </c>
      <c r="O370" s="8" t="str">
        <f>IFERROR(N370/N444, "NA")</f>
        <v>NA</v>
      </c>
      <c r="P370" s="9"/>
      <c r="Q370" s="7">
        <v>344</v>
      </c>
      <c r="R370" s="8" t="str">
        <f>IFERROR(Q370/Q444, "NA")</f>
        <v>NA</v>
      </c>
      <c r="S370" s="9"/>
      <c r="T370" s="7">
        <v>1000</v>
      </c>
      <c r="U370" s="8" t="str">
        <f>IFERROR(T370/T444, "NA")</f>
        <v>NA</v>
      </c>
      <c r="V370" s="9"/>
      <c r="W370" s="10">
        <f t="shared" si="94"/>
        <v>656</v>
      </c>
      <c r="X370" s="8" t="str">
        <f>IFERROR(W370/W444, "NA")</f>
        <v>NA</v>
      </c>
      <c r="Y370" s="9"/>
      <c r="Z370" s="7">
        <v>974</v>
      </c>
      <c r="AA370" s="8" t="str">
        <f>IFERROR(Z370/Z444, "NA")</f>
        <v>NA</v>
      </c>
      <c r="AB370" s="9"/>
      <c r="AC370" s="10">
        <f t="shared" si="95"/>
        <v>630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834.8</v>
      </c>
      <c r="C371" s="8" t="str">
        <f>IFERROR(B371/B444, "NA")</f>
        <v>NA</v>
      </c>
      <c r="D371" s="9"/>
      <c r="E371" s="7">
        <v>125</v>
      </c>
      <c r="F371" s="8" t="str">
        <f>IFERROR(E371/E444, "NA")</f>
        <v>NA</v>
      </c>
      <c r="G371" s="9"/>
      <c r="H371" s="10">
        <f t="shared" si="92"/>
        <v>-709.8</v>
      </c>
      <c r="I371" s="8" t="str">
        <f>IFERROR(H371/H444, "NA")</f>
        <v>NA</v>
      </c>
      <c r="J371" s="9"/>
      <c r="K371" s="7">
        <v>209.33</v>
      </c>
      <c r="L371" s="8" t="str">
        <f>IFERROR(K371/K444, "NA")</f>
        <v>NA</v>
      </c>
      <c r="M371" s="9"/>
      <c r="N371" s="10">
        <f t="shared" si="93"/>
        <v>-625.46999999999991</v>
      </c>
      <c r="O371" s="8" t="str">
        <f>IFERROR(N371/N444, "NA")</f>
        <v>NA</v>
      </c>
      <c r="P371" s="9"/>
      <c r="Q371" s="7">
        <v>1281.4100000000001</v>
      </c>
      <c r="R371" s="8" t="str">
        <f>IFERROR(Q371/Q444, "NA")</f>
        <v>NA</v>
      </c>
      <c r="S371" s="9"/>
      <c r="T371" s="7">
        <v>375</v>
      </c>
      <c r="U371" s="8" t="str">
        <f>IFERROR(T371/T444, "NA")</f>
        <v>NA</v>
      </c>
      <c r="V371" s="9"/>
      <c r="W371" s="10">
        <f t="shared" si="94"/>
        <v>-906.41000000000008</v>
      </c>
      <c r="X371" s="8" t="str">
        <f>IFERROR(W371/W444, "NA")</f>
        <v>NA</v>
      </c>
      <c r="Y371" s="9"/>
      <c r="Z371" s="7">
        <v>506.61</v>
      </c>
      <c r="AA371" s="8" t="str">
        <f>IFERROR(Z371/Z444, "NA")</f>
        <v>NA</v>
      </c>
      <c r="AB371" s="9"/>
      <c r="AC371" s="10">
        <f t="shared" si="95"/>
        <v>-774.80000000000007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781.8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-781.8</v>
      </c>
      <c r="I372" s="8" t="str">
        <f>IFERROR(H372/H444, "NA")</f>
        <v>NA</v>
      </c>
      <c r="J372" s="9"/>
      <c r="K372" s="7">
        <v>277.17</v>
      </c>
      <c r="L372" s="8" t="str">
        <f>IFERROR(K372/K444, "NA")</f>
        <v>NA</v>
      </c>
      <c r="M372" s="9"/>
      <c r="N372" s="10">
        <f t="shared" si="93"/>
        <v>-504.62999999999994</v>
      </c>
      <c r="O372" s="8" t="str">
        <f>IFERROR(N372/N444, "NA")</f>
        <v>NA</v>
      </c>
      <c r="P372" s="9"/>
      <c r="Q372" s="7">
        <v>1289.96</v>
      </c>
      <c r="R372" s="8" t="str">
        <f>IFERROR(Q372/Q444, "NA")</f>
        <v>NA</v>
      </c>
      <c r="S372" s="9"/>
      <c r="T372" s="7">
        <v>0</v>
      </c>
      <c r="U372" s="8" t="str">
        <f>IFERROR(T372/T444, "NA")</f>
        <v>NA</v>
      </c>
      <c r="V372" s="9"/>
      <c r="W372" s="10">
        <f t="shared" si="94"/>
        <v>-1289.96</v>
      </c>
      <c r="X372" s="8" t="str">
        <f>IFERROR(W372/W444, "NA")</f>
        <v>NA</v>
      </c>
      <c r="Y372" s="9"/>
      <c r="Z372" s="7">
        <v>554.34</v>
      </c>
      <c r="AA372" s="8" t="str">
        <f>IFERROR(Z372/Z444, "NA")</f>
        <v>NA</v>
      </c>
      <c r="AB372" s="9"/>
      <c r="AC372" s="10">
        <f t="shared" si="95"/>
        <v>-735.62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677.78</v>
      </c>
      <c r="C373" s="8" t="str">
        <f>IFERROR(B373/B444, "NA")</f>
        <v>NA</v>
      </c>
      <c r="D373" s="9"/>
      <c r="E373" s="7">
        <v>629</v>
      </c>
      <c r="F373" s="8" t="str">
        <f>IFERROR(E373/E444, "NA")</f>
        <v>NA</v>
      </c>
      <c r="G373" s="9"/>
      <c r="H373" s="10">
        <f t="shared" si="92"/>
        <v>-48.779999999999973</v>
      </c>
      <c r="I373" s="8" t="str">
        <f>IFERROR(H373/H444, "NA")</f>
        <v>NA</v>
      </c>
      <c r="J373" s="9"/>
      <c r="K373" s="7">
        <v>383.26</v>
      </c>
      <c r="L373" s="8" t="str">
        <f>IFERROR(K373/K444, "NA")</f>
        <v>NA</v>
      </c>
      <c r="M373" s="9"/>
      <c r="N373" s="10">
        <f t="shared" si="93"/>
        <v>-294.52</v>
      </c>
      <c r="O373" s="8" t="str">
        <f>IFERROR(N373/N444, "NA")</f>
        <v>NA</v>
      </c>
      <c r="P373" s="9"/>
      <c r="Q373" s="7">
        <v>2280.09</v>
      </c>
      <c r="R373" s="8" t="str">
        <f>IFERROR(Q373/Q444, "NA")</f>
        <v>NA</v>
      </c>
      <c r="S373" s="9"/>
      <c r="T373" s="7">
        <v>1887</v>
      </c>
      <c r="U373" s="8" t="str">
        <f>IFERROR(T373/T444, "NA")</f>
        <v>NA</v>
      </c>
      <c r="V373" s="9"/>
      <c r="W373" s="10">
        <f t="shared" si="94"/>
        <v>-393.09000000000015</v>
      </c>
      <c r="X373" s="8" t="str">
        <f>IFERROR(W373/W444, "NA")</f>
        <v>NA</v>
      </c>
      <c r="Y373" s="9"/>
      <c r="Z373" s="7">
        <v>1445.23</v>
      </c>
      <c r="AA373" s="8" t="str">
        <f>IFERROR(Z373/Z444, "NA")</f>
        <v>NA</v>
      </c>
      <c r="AB373" s="9"/>
      <c r="AC373" s="10">
        <f t="shared" si="95"/>
        <v>-834.86000000000013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2114.1</v>
      </c>
      <c r="C374" s="8" t="str">
        <f>IFERROR(B374/B444, "NA")</f>
        <v>NA</v>
      </c>
      <c r="D374" s="9"/>
      <c r="E374" s="7">
        <v>2150</v>
      </c>
      <c r="F374" s="8" t="str">
        <f>IFERROR(E374/E444, "NA")</f>
        <v>NA</v>
      </c>
      <c r="G374" s="9"/>
      <c r="H374" s="10">
        <f t="shared" si="92"/>
        <v>35.900000000000091</v>
      </c>
      <c r="I374" s="8" t="str">
        <f>IFERROR(H374/H444, "NA")</f>
        <v>NA</v>
      </c>
      <c r="J374" s="9"/>
      <c r="K374" s="7">
        <v>1940.01</v>
      </c>
      <c r="L374" s="8" t="str">
        <f>IFERROR(K374/K444, "NA")</f>
        <v>NA</v>
      </c>
      <c r="M374" s="9"/>
      <c r="N374" s="10">
        <f t="shared" si="93"/>
        <v>-174.08999999999992</v>
      </c>
      <c r="O374" s="8" t="str">
        <f>IFERROR(N374/N444, "NA")</f>
        <v>NA</v>
      </c>
      <c r="P374" s="9"/>
      <c r="Q374" s="7">
        <v>6342.3</v>
      </c>
      <c r="R374" s="8" t="str">
        <f>IFERROR(Q374/Q444, "NA")</f>
        <v>NA</v>
      </c>
      <c r="S374" s="9"/>
      <c r="T374" s="7">
        <v>6450</v>
      </c>
      <c r="U374" s="8" t="str">
        <f>IFERROR(T374/T444, "NA")</f>
        <v>NA</v>
      </c>
      <c r="V374" s="9"/>
      <c r="W374" s="10">
        <f t="shared" si="94"/>
        <v>107.69999999999982</v>
      </c>
      <c r="X374" s="8" t="str">
        <f>IFERROR(W374/W444, "NA")</f>
        <v>NA</v>
      </c>
      <c r="Y374" s="9"/>
      <c r="Z374" s="7">
        <v>5734.03</v>
      </c>
      <c r="AA374" s="8" t="str">
        <f>IFERROR(Z374/Z444, "NA")</f>
        <v>NA</v>
      </c>
      <c r="AB374" s="9"/>
      <c r="AC374" s="10">
        <f t="shared" si="95"/>
        <v>-608.27000000000044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110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-110</v>
      </c>
      <c r="X375" s="8" t="str">
        <f>IFERROR(W375/W444, "NA")</f>
        <v>NA</v>
      </c>
      <c r="Y375" s="9"/>
      <c r="Z375" s="7">
        <v>205.26</v>
      </c>
      <c r="AA375" s="8" t="str">
        <f>IFERROR(Z375/Z444, "NA")</f>
        <v>NA</v>
      </c>
      <c r="AB375" s="9"/>
      <c r="AC375" s="10">
        <f t="shared" si="95"/>
        <v>95.259999999999991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116.15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-116.15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-116.15</v>
      </c>
      <c r="O376" s="8" t="str">
        <f>IFERROR(N376/N444, "NA")</f>
        <v>NA</v>
      </c>
      <c r="P376" s="9"/>
      <c r="Q376" s="7">
        <v>116.15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-116.15</v>
      </c>
      <c r="X376" s="8" t="str">
        <f>IFERROR(W376/W444, "NA")</f>
        <v>NA</v>
      </c>
      <c r="Y376" s="9"/>
      <c r="Z376" s="7">
        <v>-2413</v>
      </c>
      <c r="AA376" s="8" t="str">
        <f>IFERROR(Z376/Z444, "NA")</f>
        <v>NA</v>
      </c>
      <c r="AB376" s="9"/>
      <c r="AC376" s="10">
        <f t="shared" si="95"/>
        <v>-2529.15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5047.4399999999996</v>
      </c>
      <c r="C378" s="8" t="str">
        <f>IFERROR(B378/B444, "NA")</f>
        <v>NA</v>
      </c>
      <c r="D378" s="9"/>
      <c r="E378" s="7">
        <v>7484</v>
      </c>
      <c r="F378" s="8" t="str">
        <f>IFERROR(E378/E444, "NA")</f>
        <v>NA</v>
      </c>
      <c r="G378" s="9"/>
      <c r="H378" s="10">
        <f t="shared" si="92"/>
        <v>2436.5600000000004</v>
      </c>
      <c r="I378" s="8" t="str">
        <f>IFERROR(H378/H444, "NA")</f>
        <v>NA</v>
      </c>
      <c r="J378" s="9"/>
      <c r="K378" s="7">
        <v>8983.4599999999991</v>
      </c>
      <c r="L378" s="8" t="str">
        <f>IFERROR(K378/K444, "NA")</f>
        <v>NA</v>
      </c>
      <c r="M378" s="9"/>
      <c r="N378" s="10">
        <f t="shared" si="93"/>
        <v>3936.0199999999995</v>
      </c>
      <c r="O378" s="8" t="str">
        <f>IFERROR(N378/N444, "NA")</f>
        <v>NA</v>
      </c>
      <c r="P378" s="9"/>
      <c r="Q378" s="7">
        <v>17918.060000000001</v>
      </c>
      <c r="R378" s="8" t="str">
        <f>IFERROR(Q378/Q444, "NA")</f>
        <v>NA</v>
      </c>
      <c r="S378" s="9"/>
      <c r="T378" s="7">
        <v>24452</v>
      </c>
      <c r="U378" s="8" t="str">
        <f>IFERROR(T378/T444, "NA")</f>
        <v>NA</v>
      </c>
      <c r="V378" s="9"/>
      <c r="W378" s="10">
        <f t="shared" si="94"/>
        <v>6533.9399999999987</v>
      </c>
      <c r="X378" s="8" t="str">
        <f>IFERROR(W378/W444, "NA")</f>
        <v>NA</v>
      </c>
      <c r="Y378" s="9"/>
      <c r="Z378" s="7">
        <v>25818.48</v>
      </c>
      <c r="AA378" s="8" t="str">
        <f>IFERROR(Z378/Z444, "NA")</f>
        <v>NA</v>
      </c>
      <c r="AB378" s="9"/>
      <c r="AC378" s="10">
        <f t="shared" si="95"/>
        <v>7900.4199999999983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166.68</v>
      </c>
      <c r="C379" s="8" t="str">
        <f>IFERROR(B379/B444, "NA")</f>
        <v>NA</v>
      </c>
      <c r="D379" s="9"/>
      <c r="E379" s="7">
        <v>0</v>
      </c>
      <c r="F379" s="8" t="str">
        <f>IFERROR(E379/E444, "NA")</f>
        <v>NA</v>
      </c>
      <c r="G379" s="9"/>
      <c r="H379" s="10">
        <f t="shared" si="92"/>
        <v>-166.68</v>
      </c>
      <c r="I379" s="8" t="str">
        <f>IFERROR(H379/H444, "NA")</f>
        <v>NA</v>
      </c>
      <c r="J379" s="9"/>
      <c r="K379" s="7">
        <v>1157.33</v>
      </c>
      <c r="L379" s="8" t="str">
        <f>IFERROR(K379/K444, "NA")</f>
        <v>NA</v>
      </c>
      <c r="M379" s="9"/>
      <c r="N379" s="10">
        <f t="shared" si="93"/>
        <v>990.64999999999986</v>
      </c>
      <c r="O379" s="8" t="str">
        <f>IFERROR(N379/N444, "NA")</f>
        <v>NA</v>
      </c>
      <c r="P379" s="9"/>
      <c r="Q379" s="7">
        <v>1800.07</v>
      </c>
      <c r="R379" s="8" t="str">
        <f>IFERROR(Q379/Q444, "NA")</f>
        <v>NA</v>
      </c>
      <c r="S379" s="9"/>
      <c r="T379" s="7">
        <v>0</v>
      </c>
      <c r="U379" s="8" t="str">
        <f>IFERROR(T379/T444, "NA")</f>
        <v>NA</v>
      </c>
      <c r="V379" s="9"/>
      <c r="W379" s="10">
        <f t="shared" si="94"/>
        <v>-1800.07</v>
      </c>
      <c r="X379" s="8" t="str">
        <f>IFERROR(W379/W444, "NA")</f>
        <v>NA</v>
      </c>
      <c r="Y379" s="9"/>
      <c r="Z379" s="7">
        <v>1390.06</v>
      </c>
      <c r="AA379" s="8" t="str">
        <f>IFERROR(Z379/Z444, "NA")</f>
        <v>NA</v>
      </c>
      <c r="AB379" s="9"/>
      <c r="AC379" s="10">
        <f t="shared" si="95"/>
        <v>-410.01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11800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35455.67</v>
      </c>
      <c r="R380" s="8" t="str">
        <f>IFERROR(Q380/Q444, "NA")</f>
        <v>NA</v>
      </c>
      <c r="S380" s="9"/>
      <c r="T380" s="7">
        <v>35400</v>
      </c>
      <c r="U380" s="8" t="str">
        <f>IFERROR(T380/T444, "NA")</f>
        <v>NA</v>
      </c>
      <c r="V380" s="9"/>
      <c r="W380" s="10">
        <f t="shared" si="94"/>
        <v>-55.669999999998254</v>
      </c>
      <c r="X380" s="8" t="str">
        <f>IFERROR(W380/W444, "NA")</f>
        <v>NA</v>
      </c>
      <c r="Y380" s="9"/>
      <c r="Z380" s="7">
        <v>34500</v>
      </c>
      <c r="AA380" s="8" t="str">
        <f>IFERROR(Z380/Z444, "NA")</f>
        <v>NA</v>
      </c>
      <c r="AB380" s="9"/>
      <c r="AC380" s="10">
        <f t="shared" si="95"/>
        <v>-955.66999999999825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0</v>
      </c>
      <c r="C381" s="8" t="str">
        <f>IFERROR(B381/B444, "NA")</f>
        <v>NA</v>
      </c>
      <c r="D381" s="9"/>
      <c r="E381" s="7">
        <v>3000</v>
      </c>
      <c r="F381" s="8" t="str">
        <f>IFERROR(E381/E444, "NA")</f>
        <v>NA</v>
      </c>
      <c r="G381" s="9"/>
      <c r="H381" s="10">
        <f t="shared" si="92"/>
        <v>3000</v>
      </c>
      <c r="I381" s="8" t="str">
        <f>IFERROR(H381/H444, "NA")</f>
        <v>NA</v>
      </c>
      <c r="J381" s="9"/>
      <c r="K381" s="7">
        <v>4975</v>
      </c>
      <c r="L381" s="8" t="str">
        <f>IFERROR(K381/K444, "NA")</f>
        <v>NA</v>
      </c>
      <c r="M381" s="9"/>
      <c r="N381" s="10">
        <f t="shared" si="93"/>
        <v>4975</v>
      </c>
      <c r="O381" s="8" t="str">
        <f>IFERROR(N381/N444, "NA")</f>
        <v>NA</v>
      </c>
      <c r="P381" s="9"/>
      <c r="Q381" s="7">
        <v>3672.5</v>
      </c>
      <c r="R381" s="8" t="str">
        <f>IFERROR(Q381/Q444, "NA")</f>
        <v>NA</v>
      </c>
      <c r="S381" s="9"/>
      <c r="T381" s="7">
        <v>8500</v>
      </c>
      <c r="U381" s="8" t="str">
        <f>IFERROR(T381/T444, "NA")</f>
        <v>NA</v>
      </c>
      <c r="V381" s="9"/>
      <c r="W381" s="10">
        <f t="shared" si="94"/>
        <v>4827.5</v>
      </c>
      <c r="X381" s="8" t="str">
        <f>IFERROR(W381/W444, "NA")</f>
        <v>NA</v>
      </c>
      <c r="Y381" s="9"/>
      <c r="Z381" s="7">
        <v>22216.51</v>
      </c>
      <c r="AA381" s="8" t="str">
        <f>IFERROR(Z381/Z444, "NA")</f>
        <v>NA</v>
      </c>
      <c r="AB381" s="9"/>
      <c r="AC381" s="10">
        <f t="shared" si="95"/>
        <v>18544.009999999998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674.16</v>
      </c>
      <c r="C382" s="8" t="str">
        <f>IFERROR(B382/B444, "NA")</f>
        <v>NA</v>
      </c>
      <c r="D382" s="9"/>
      <c r="E382" s="7">
        <v>506</v>
      </c>
      <c r="F382" s="8" t="str">
        <f>IFERROR(E382/E444, "NA")</f>
        <v>NA</v>
      </c>
      <c r="G382" s="9"/>
      <c r="H382" s="10">
        <f t="shared" si="92"/>
        <v>-168.15999999999997</v>
      </c>
      <c r="I382" s="8" t="str">
        <f>IFERROR(H382/H444, "NA")</f>
        <v>NA</v>
      </c>
      <c r="J382" s="9"/>
      <c r="K382" s="7">
        <v>505.62</v>
      </c>
      <c r="L382" s="8" t="str">
        <f>IFERROR(K382/K444, "NA")</f>
        <v>NA</v>
      </c>
      <c r="M382" s="9"/>
      <c r="N382" s="10">
        <f t="shared" si="93"/>
        <v>-168.53999999999996</v>
      </c>
      <c r="O382" s="8" t="str">
        <f>IFERROR(N382/N444, "NA")</f>
        <v>NA</v>
      </c>
      <c r="P382" s="9"/>
      <c r="Q382" s="7">
        <v>2067.48</v>
      </c>
      <c r="R382" s="8" t="str">
        <f>IFERROR(Q382/Q444, "NA")</f>
        <v>NA</v>
      </c>
      <c r="S382" s="9"/>
      <c r="T382" s="7">
        <v>1518</v>
      </c>
      <c r="U382" s="8" t="str">
        <f>IFERROR(T382/T444, "NA")</f>
        <v>NA</v>
      </c>
      <c r="V382" s="9"/>
      <c r="W382" s="10">
        <f t="shared" si="94"/>
        <v>-549.48</v>
      </c>
      <c r="X382" s="8" t="str">
        <f>IFERROR(W382/W444, "NA")</f>
        <v>NA</v>
      </c>
      <c r="Y382" s="9"/>
      <c r="Z382" s="7">
        <v>1011.24</v>
      </c>
      <c r="AA382" s="8" t="str">
        <f>IFERROR(Z382/Z444, "NA")</f>
        <v>NA</v>
      </c>
      <c r="AB382" s="9"/>
      <c r="AC382" s="10">
        <f t="shared" si="95"/>
        <v>-1056.24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158.96</v>
      </c>
      <c r="C385" s="8" t="str">
        <f>IFERROR(B385/B444, "NA")</f>
        <v>NA</v>
      </c>
      <c r="D385" s="9"/>
      <c r="E385" s="7">
        <v>1000</v>
      </c>
      <c r="F385" s="8" t="str">
        <f>IFERROR(E385/E444, "NA")</f>
        <v>NA</v>
      </c>
      <c r="G385" s="9"/>
      <c r="H385" s="10">
        <f>IFERROR(-(B385-E385), "NA")</f>
        <v>841.04</v>
      </c>
      <c r="I385" s="8" t="str">
        <f>IFERROR(H385/H444, "NA")</f>
        <v>NA</v>
      </c>
      <c r="J385" s="9"/>
      <c r="K385" s="7">
        <v>8948.4599999999991</v>
      </c>
      <c r="L385" s="8" t="str">
        <f>IFERROR(K385/K444, "NA")</f>
        <v>NA</v>
      </c>
      <c r="M385" s="9"/>
      <c r="N385" s="10">
        <f>IFERROR(-(B385-K385), "NA")</f>
        <v>8789.5</v>
      </c>
      <c r="O385" s="8" t="str">
        <f>IFERROR(N385/N444, "NA")</f>
        <v>NA</v>
      </c>
      <c r="P385" s="9"/>
      <c r="Q385" s="7">
        <v>10781.31</v>
      </c>
      <c r="R385" s="8" t="str">
        <f>IFERROR(Q385/Q444, "NA")</f>
        <v>NA</v>
      </c>
      <c r="S385" s="9"/>
      <c r="T385" s="7">
        <v>2750</v>
      </c>
      <c r="U385" s="8" t="str">
        <f>IFERROR(T385/T444, "NA")</f>
        <v>NA</v>
      </c>
      <c r="V385" s="9"/>
      <c r="W385" s="10">
        <f>IFERROR(-(Q385-T385), "NA")</f>
        <v>-8031.3099999999995</v>
      </c>
      <c r="X385" s="8" t="str">
        <f>IFERROR(W385/W444, "NA")</f>
        <v>NA</v>
      </c>
      <c r="Y385" s="9"/>
      <c r="Z385" s="7">
        <v>13244.19</v>
      </c>
      <c r="AA385" s="8" t="str">
        <f>IFERROR(Z385/Z444, "NA")</f>
        <v>NA</v>
      </c>
      <c r="AB385" s="9"/>
      <c r="AC385" s="10">
        <f>IFERROR(-(Q385-Z385), "NA")</f>
        <v>2462.880000000001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51.47</v>
      </c>
      <c r="L386" s="8" t="str">
        <f>IFERROR(K386/K444, "NA")</f>
        <v>NA</v>
      </c>
      <c r="M386" s="9"/>
      <c r="N386" s="10">
        <f>IFERROR(-(B386-K386), "NA")</f>
        <v>51.47</v>
      </c>
      <c r="O386" s="8" t="str">
        <f>IFERROR(N386/N444, "NA")</f>
        <v>NA</v>
      </c>
      <c r="P386" s="9"/>
      <c r="Q386" s="7">
        <v>0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0</v>
      </c>
      <c r="X386" s="8" t="str">
        <f>IFERROR(W386/W444, "NA")</f>
        <v>NA</v>
      </c>
      <c r="Y386" s="9"/>
      <c r="Z386" s="7">
        <v>51.47</v>
      </c>
      <c r="AA386" s="8" t="str">
        <f>IFERROR(Z386/Z444, "NA")</f>
        <v>NA</v>
      </c>
      <c r="AB386" s="9"/>
      <c r="AC386" s="10">
        <f>IFERROR(-(Q386-Z386), "NA")</f>
        <v>51.47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16927.45</v>
      </c>
      <c r="F388" s="8" t="str">
        <f>IFERROR(E388/E444, "NA")</f>
        <v>NA</v>
      </c>
      <c r="G388" s="9"/>
      <c r="H388" s="10">
        <f t="shared" ref="H388:H403" si="96">IFERROR(-(B388-E388), "NA")</f>
        <v>16927.45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36909.4</v>
      </c>
      <c r="U388" s="8" t="str">
        <f>IFERROR(T388/T444, "NA")</f>
        <v>NA</v>
      </c>
      <c r="V388" s="9"/>
      <c r="W388" s="10">
        <f t="shared" ref="W388:W403" si="98">IFERROR(-(Q388-T388), "NA")</f>
        <v>36909.4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6382.99</v>
      </c>
      <c r="C389" s="8" t="str">
        <f>IFERROR(B389/B444, "NA")</f>
        <v>NA</v>
      </c>
      <c r="D389" s="9"/>
      <c r="E389" s="7">
        <v>0</v>
      </c>
      <c r="F389" s="8" t="str">
        <f>IFERROR(E389/E444, "NA")</f>
        <v>NA</v>
      </c>
      <c r="G389" s="9"/>
      <c r="H389" s="10">
        <f t="shared" si="96"/>
        <v>-6382.99</v>
      </c>
      <c r="I389" s="8" t="str">
        <f>IFERROR(H389/H444, "NA")</f>
        <v>NA</v>
      </c>
      <c r="J389" s="9"/>
      <c r="K389" s="7">
        <v>4190.92</v>
      </c>
      <c r="L389" s="8" t="str">
        <f>IFERROR(K389/K444, "NA")</f>
        <v>NA</v>
      </c>
      <c r="M389" s="9"/>
      <c r="N389" s="10">
        <f t="shared" si="97"/>
        <v>-2192.0699999999997</v>
      </c>
      <c r="O389" s="8" t="str">
        <f>IFERROR(N389/N444, "NA")</f>
        <v>NA</v>
      </c>
      <c r="P389" s="9"/>
      <c r="Q389" s="7">
        <v>20515.759999999998</v>
      </c>
      <c r="R389" s="8" t="str">
        <f>IFERROR(Q389/Q444, "NA")</f>
        <v>NA</v>
      </c>
      <c r="S389" s="9"/>
      <c r="T389" s="7">
        <v>0</v>
      </c>
      <c r="U389" s="8" t="str">
        <f>IFERROR(T389/T444, "NA")</f>
        <v>NA</v>
      </c>
      <c r="V389" s="9"/>
      <c r="W389" s="10">
        <f t="shared" si="98"/>
        <v>-20515.759999999998</v>
      </c>
      <c r="X389" s="8" t="str">
        <f>IFERROR(W389/W444, "NA")</f>
        <v>NA</v>
      </c>
      <c r="Y389" s="9"/>
      <c r="Z389" s="7">
        <v>10997.39</v>
      </c>
      <c r="AA389" s="8" t="str">
        <f>IFERROR(Z389/Z444, "NA")</f>
        <v>NA</v>
      </c>
      <c r="AB389" s="9"/>
      <c r="AC389" s="10">
        <f t="shared" si="99"/>
        <v>-9518.369999999999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9314.7199999999993</v>
      </c>
      <c r="C390" s="8" t="str">
        <f>IFERROR(B390/B444, "NA")</f>
        <v>NA</v>
      </c>
      <c r="D390" s="9"/>
      <c r="E390" s="7">
        <v>0</v>
      </c>
      <c r="F390" s="8" t="str">
        <f>IFERROR(E390/E444, "NA")</f>
        <v>NA</v>
      </c>
      <c r="G390" s="9"/>
      <c r="H390" s="10">
        <f t="shared" si="96"/>
        <v>-9314.7199999999993</v>
      </c>
      <c r="I390" s="8" t="str">
        <f>IFERROR(H390/H444, "NA")</f>
        <v>NA</v>
      </c>
      <c r="J390" s="9"/>
      <c r="K390" s="7">
        <v>12908.55</v>
      </c>
      <c r="L390" s="8" t="str">
        <f>IFERROR(K390/K444, "NA")</f>
        <v>NA</v>
      </c>
      <c r="M390" s="9"/>
      <c r="N390" s="10">
        <f t="shared" si="97"/>
        <v>3593.83</v>
      </c>
      <c r="O390" s="8" t="str">
        <f>IFERROR(N390/N444, "NA")</f>
        <v>NA</v>
      </c>
      <c r="P390" s="9"/>
      <c r="Q390" s="7">
        <v>19307.07</v>
      </c>
      <c r="R390" s="8" t="str">
        <f>IFERROR(Q390/Q444, "NA")</f>
        <v>NA</v>
      </c>
      <c r="S390" s="9"/>
      <c r="T390" s="7">
        <v>0</v>
      </c>
      <c r="U390" s="8" t="str">
        <f>IFERROR(T390/T444, "NA")</f>
        <v>NA</v>
      </c>
      <c r="V390" s="9"/>
      <c r="W390" s="10">
        <f t="shared" si="98"/>
        <v>-19307.07</v>
      </c>
      <c r="X390" s="8" t="str">
        <f>IFERROR(W390/W444, "NA")</f>
        <v>NA</v>
      </c>
      <c r="Y390" s="9"/>
      <c r="Z390" s="7">
        <v>36147.03</v>
      </c>
      <c r="AA390" s="8" t="str">
        <f>IFERROR(Z390/Z444, "NA")</f>
        <v>NA</v>
      </c>
      <c r="AB390" s="9"/>
      <c r="AC390" s="10">
        <f t="shared" si="99"/>
        <v>16839.96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3502.2</v>
      </c>
      <c r="C392" s="8" t="str">
        <f>IFERROR(B392/B444, "NA")</f>
        <v>NA</v>
      </c>
      <c r="D392" s="9"/>
      <c r="E392" s="7">
        <v>0</v>
      </c>
      <c r="F392" s="8" t="str">
        <f>IFERROR(E392/E444, "NA")</f>
        <v>NA</v>
      </c>
      <c r="G392" s="9"/>
      <c r="H392" s="10">
        <f t="shared" si="96"/>
        <v>-3502.2</v>
      </c>
      <c r="I392" s="8" t="str">
        <f>IFERROR(H392/H444, "NA")</f>
        <v>NA</v>
      </c>
      <c r="J392" s="9"/>
      <c r="K392" s="7">
        <v>6146.24</v>
      </c>
      <c r="L392" s="8" t="str">
        <f>IFERROR(K392/K444, "NA")</f>
        <v>NA</v>
      </c>
      <c r="M392" s="9"/>
      <c r="N392" s="10">
        <f t="shared" si="97"/>
        <v>2644.04</v>
      </c>
      <c r="O392" s="8" t="str">
        <f>IFERROR(N392/N444, "NA")</f>
        <v>NA</v>
      </c>
      <c r="P392" s="9"/>
      <c r="Q392" s="7">
        <v>12526.51</v>
      </c>
      <c r="R392" s="8" t="str">
        <f>IFERROR(Q392/Q444, "NA")</f>
        <v>NA</v>
      </c>
      <c r="S392" s="9"/>
      <c r="T392" s="7">
        <v>0</v>
      </c>
      <c r="U392" s="8" t="str">
        <f>IFERROR(T392/T444, "NA")</f>
        <v>NA</v>
      </c>
      <c r="V392" s="9"/>
      <c r="W392" s="10">
        <f t="shared" si="98"/>
        <v>-12526.51</v>
      </c>
      <c r="X392" s="8" t="str">
        <f>IFERROR(W392/W444, "NA")</f>
        <v>NA</v>
      </c>
      <c r="Y392" s="9"/>
      <c r="Z392" s="7">
        <v>15277.17</v>
      </c>
      <c r="AA392" s="8" t="str">
        <f>IFERROR(Z392/Z444, "NA")</f>
        <v>NA</v>
      </c>
      <c r="AB392" s="9"/>
      <c r="AC392" s="10">
        <f t="shared" si="99"/>
        <v>2750.66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19199.91</v>
      </c>
      <c r="C393" s="15" t="str">
        <f>IFERROR(B393/B444, "NA")</f>
        <v>NA</v>
      </c>
      <c r="D393" s="2"/>
      <c r="E393" s="14">
        <f>IFERROR(E388+E389+E390+E391+E392, "NA")</f>
        <v>16927.45</v>
      </c>
      <c r="F393" s="15" t="str">
        <f>IFERROR(E393/E444, "NA")</f>
        <v>NA</v>
      </c>
      <c r="G393" s="2"/>
      <c r="H393" s="14">
        <f t="shared" si="96"/>
        <v>-2272.4599999999991</v>
      </c>
      <c r="I393" s="15" t="str">
        <f>IFERROR(H393/H444, "NA")</f>
        <v>NA</v>
      </c>
      <c r="J393" s="2"/>
      <c r="K393" s="14">
        <f>IFERROR(K388+K389+K390+K391+K392, "NA")</f>
        <v>23245.71</v>
      </c>
      <c r="L393" s="15" t="str">
        <f>IFERROR(K393/K444, "NA")</f>
        <v>NA</v>
      </c>
      <c r="M393" s="2"/>
      <c r="N393" s="14">
        <f t="shared" si="97"/>
        <v>4045.7999999999993</v>
      </c>
      <c r="O393" s="15" t="str">
        <f>IFERROR(N393/N444, "NA")</f>
        <v>NA</v>
      </c>
      <c r="P393" s="2"/>
      <c r="Q393" s="14">
        <f>IFERROR(Q388+Q389+Q390+Q391+Q392, "NA")</f>
        <v>52349.340000000004</v>
      </c>
      <c r="R393" s="15" t="str">
        <f>IFERROR(Q393/Q444, "NA")</f>
        <v>NA</v>
      </c>
      <c r="S393" s="2"/>
      <c r="T393" s="14">
        <f>IFERROR(T388+T389+T390+T391+T392, "NA")</f>
        <v>36909.4</v>
      </c>
      <c r="U393" s="15" t="str">
        <f>IFERROR(T393/T444, "NA")</f>
        <v>NA</v>
      </c>
      <c r="V393" s="2"/>
      <c r="W393" s="14">
        <f t="shared" si="98"/>
        <v>-15439.940000000002</v>
      </c>
      <c r="X393" s="15" t="str">
        <f>IFERROR(W393/W444, "NA")</f>
        <v>NA</v>
      </c>
      <c r="Y393" s="2"/>
      <c r="Z393" s="14">
        <f>IFERROR(Z388+Z389+Z390+Z391+Z392, "NA")</f>
        <v>62421.59</v>
      </c>
      <c r="AA393" s="15" t="str">
        <f>IFERROR(Z393/Z444, "NA")</f>
        <v>NA</v>
      </c>
      <c r="AB393" s="2"/>
      <c r="AC393" s="14">
        <f t="shared" si="99"/>
        <v>10072.249999999993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6448.55</v>
      </c>
      <c r="F394" s="8" t="str">
        <f>IFERROR(E394/E444, "NA")</f>
        <v>NA</v>
      </c>
      <c r="G394" s="9"/>
      <c r="H394" s="10">
        <f t="shared" si="96"/>
        <v>6448.55</v>
      </c>
      <c r="I394" s="8" t="str">
        <f>IFERROR(H394/H444, "NA")</f>
        <v>NA</v>
      </c>
      <c r="J394" s="9"/>
      <c r="K394" s="7">
        <v>0</v>
      </c>
      <c r="L394" s="8" t="str">
        <f>IFERROR(K394/K444, "NA")</f>
        <v>NA</v>
      </c>
      <c r="M394" s="9"/>
      <c r="N394" s="10">
        <f t="shared" si="97"/>
        <v>0</v>
      </c>
      <c r="O394" s="8" t="str">
        <f>IFERROR(N394/N444, "NA")</f>
        <v>NA</v>
      </c>
      <c r="P394" s="9"/>
      <c r="Q394" s="7">
        <v>0</v>
      </c>
      <c r="R394" s="8" t="str">
        <f>IFERROR(Q394/Q444, "NA")</f>
        <v>NA</v>
      </c>
      <c r="S394" s="9"/>
      <c r="T394" s="7">
        <v>10471.06</v>
      </c>
      <c r="U394" s="8" t="str">
        <f>IFERROR(T394/T444, "NA")</f>
        <v>NA</v>
      </c>
      <c r="V394" s="9"/>
      <c r="W394" s="10">
        <f t="shared" si="98"/>
        <v>10471.06</v>
      </c>
      <c r="X394" s="8" t="str">
        <f>IFERROR(W394/W444, "NA")</f>
        <v>NA</v>
      </c>
      <c r="Y394" s="9"/>
      <c r="Z394" s="7">
        <v>6612.06</v>
      </c>
      <c r="AA394" s="8" t="str">
        <f>IFERROR(Z394/Z444, "NA")</f>
        <v>NA</v>
      </c>
      <c r="AB394" s="9"/>
      <c r="AC394" s="10">
        <f t="shared" si="99"/>
        <v>6612.06</v>
      </c>
      <c r="AD394" s="8" t="str">
        <f>IFERROR(AC394/AC444, "NA")</f>
        <v>NA</v>
      </c>
    </row>
    <row r="395" spans="1:30" ht="16.5" customHeight="1" x14ac:dyDescent="0.45">
      <c r="A395" s="6" t="s">
        <v>361</v>
      </c>
      <c r="B395" s="7">
        <v>207.66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-207.66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-207.66</v>
      </c>
      <c r="O395" s="8" t="str">
        <f>IFERROR(N395/N444, "NA")</f>
        <v>NA</v>
      </c>
      <c r="P395" s="9"/>
      <c r="Q395" s="7">
        <v>316.89999999999998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-316.89999999999998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-316.89999999999998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19566.53</v>
      </c>
      <c r="C396" s="15" t="str">
        <f>IFERROR(B396/B444, "NA")</f>
        <v>NA</v>
      </c>
      <c r="D396" s="2"/>
      <c r="E396" s="14">
        <f>IFERROR(E385+E386+E388+E389+E390+E391+E392+E394+E395, "NA")</f>
        <v>24376</v>
      </c>
      <c r="F396" s="15" t="str">
        <f>IFERROR(E396/E444, "NA")</f>
        <v>NA</v>
      </c>
      <c r="G396" s="2"/>
      <c r="H396" s="14">
        <f t="shared" si="96"/>
        <v>4809.4700000000012</v>
      </c>
      <c r="I396" s="15" t="str">
        <f>IFERROR(H396/H444, "NA")</f>
        <v>NA</v>
      </c>
      <c r="J396" s="2"/>
      <c r="K396" s="14">
        <f>IFERROR(K385+K386+K388+K389+K390+K391+K392+K394+K395, "NA")</f>
        <v>32245.64</v>
      </c>
      <c r="L396" s="15" t="str">
        <f>IFERROR(K396/K444, "NA")</f>
        <v>NA</v>
      </c>
      <c r="M396" s="2"/>
      <c r="N396" s="14">
        <f t="shared" si="97"/>
        <v>12679.11</v>
      </c>
      <c r="O396" s="15" t="str">
        <f>IFERROR(N396/N444, "NA")</f>
        <v>NA</v>
      </c>
      <c r="P396" s="2"/>
      <c r="Q396" s="14">
        <f>IFERROR(Q385+Q386+Q388+Q389+Q390+Q391+Q392+Q394+Q395, "NA")</f>
        <v>63447.55</v>
      </c>
      <c r="R396" s="15" t="str">
        <f>IFERROR(Q396/Q444, "NA")</f>
        <v>NA</v>
      </c>
      <c r="S396" s="2"/>
      <c r="T396" s="14">
        <f>IFERROR(T385+T386+T388+T389+T390+T391+T392+T394+T395, "NA")</f>
        <v>50130.46</v>
      </c>
      <c r="U396" s="15" t="str">
        <f>IFERROR(T396/T444, "NA")</f>
        <v>NA</v>
      </c>
      <c r="V396" s="2"/>
      <c r="W396" s="14">
        <f t="shared" si="98"/>
        <v>-13317.090000000004</v>
      </c>
      <c r="X396" s="15" t="str">
        <f>IFERROR(W396/W444, "NA")</f>
        <v>NA</v>
      </c>
      <c r="Y396" s="2"/>
      <c r="Z396" s="14">
        <f>IFERROR(Z385+Z386+Z388+Z389+Z390+Z391+Z392+Z394+Z395, "NA")</f>
        <v>82329.31</v>
      </c>
      <c r="AA396" s="15" t="str">
        <f>IFERROR(Z396/Z444, "NA")</f>
        <v>NA</v>
      </c>
      <c r="AB396" s="2"/>
      <c r="AC396" s="14">
        <f t="shared" si="99"/>
        <v>18881.759999999995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10723.75</v>
      </c>
      <c r="C397" s="8" t="str">
        <f>IFERROR(B397/B444, "NA")</f>
        <v>NA</v>
      </c>
      <c r="D397" s="9"/>
      <c r="E397" s="7">
        <v>9200</v>
      </c>
      <c r="F397" s="8" t="str">
        <f>IFERROR(E397/E444, "NA")</f>
        <v>NA</v>
      </c>
      <c r="G397" s="9"/>
      <c r="H397" s="10">
        <f t="shared" si="96"/>
        <v>-1523.75</v>
      </c>
      <c r="I397" s="8" t="str">
        <f>IFERROR(H397/H444, "NA")</f>
        <v>NA</v>
      </c>
      <c r="J397" s="9"/>
      <c r="K397" s="7">
        <v>4113.4399999999996</v>
      </c>
      <c r="L397" s="8" t="str">
        <f>IFERROR(K397/K444, "NA")</f>
        <v>NA</v>
      </c>
      <c r="M397" s="9"/>
      <c r="N397" s="10">
        <f t="shared" si="97"/>
        <v>-6610.31</v>
      </c>
      <c r="O397" s="8" t="str">
        <f>IFERROR(N397/N444, "NA")</f>
        <v>NA</v>
      </c>
      <c r="P397" s="9"/>
      <c r="Q397" s="7">
        <v>34429.5</v>
      </c>
      <c r="R397" s="8" t="str">
        <f>IFERROR(Q397/Q444, "NA")</f>
        <v>NA</v>
      </c>
      <c r="S397" s="9"/>
      <c r="T397" s="7">
        <v>25600</v>
      </c>
      <c r="U397" s="8" t="str">
        <f>IFERROR(T397/T444, "NA")</f>
        <v>NA</v>
      </c>
      <c r="V397" s="9"/>
      <c r="W397" s="10">
        <f t="shared" si="98"/>
        <v>-8829.5</v>
      </c>
      <c r="X397" s="8" t="str">
        <f>IFERROR(W397/W444, "NA")</f>
        <v>NA</v>
      </c>
      <c r="Y397" s="9"/>
      <c r="Z397" s="7">
        <v>8675.2800000000007</v>
      </c>
      <c r="AA397" s="8" t="str">
        <f>IFERROR(Z397/Z444, "NA")</f>
        <v>NA</v>
      </c>
      <c r="AB397" s="9"/>
      <c r="AC397" s="10">
        <f t="shared" si="99"/>
        <v>-25754.22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247.63</v>
      </c>
      <c r="C398" s="8" t="str">
        <f>IFERROR(B398/B444, "NA")</f>
        <v>NA</v>
      </c>
      <c r="D398" s="9"/>
      <c r="E398" s="7">
        <v>0</v>
      </c>
      <c r="F398" s="8" t="str">
        <f>IFERROR(E398/E444, "NA")</f>
        <v>NA</v>
      </c>
      <c r="G398" s="9"/>
      <c r="H398" s="10">
        <f t="shared" si="96"/>
        <v>-247.63</v>
      </c>
      <c r="I398" s="8" t="str">
        <f>IFERROR(H398/H444, "NA")</f>
        <v>NA</v>
      </c>
      <c r="J398" s="9"/>
      <c r="K398" s="7">
        <v>198.62</v>
      </c>
      <c r="L398" s="8" t="str">
        <f>IFERROR(K398/K444, "NA")</f>
        <v>NA</v>
      </c>
      <c r="M398" s="9"/>
      <c r="N398" s="10">
        <f t="shared" si="97"/>
        <v>-49.009999999999991</v>
      </c>
      <c r="O398" s="8" t="str">
        <f>IFERROR(N398/N444, "NA")</f>
        <v>NA</v>
      </c>
      <c r="P398" s="9"/>
      <c r="Q398" s="7">
        <v>871.73</v>
      </c>
      <c r="R398" s="8" t="str">
        <f>IFERROR(Q398/Q444, "NA")</f>
        <v>NA</v>
      </c>
      <c r="S398" s="9"/>
      <c r="T398" s="7">
        <v>0</v>
      </c>
      <c r="U398" s="8" t="str">
        <f>IFERROR(T398/T444, "NA")</f>
        <v>NA</v>
      </c>
      <c r="V398" s="9"/>
      <c r="W398" s="10">
        <f t="shared" si="98"/>
        <v>-871.73</v>
      </c>
      <c r="X398" s="8" t="str">
        <f>IFERROR(W398/W444, "NA")</f>
        <v>NA</v>
      </c>
      <c r="Y398" s="9"/>
      <c r="Z398" s="7">
        <v>498.65</v>
      </c>
      <c r="AA398" s="8" t="str">
        <f>IFERROR(Z398/Z444, "NA")</f>
        <v>NA</v>
      </c>
      <c r="AB398" s="9"/>
      <c r="AC398" s="10">
        <f t="shared" si="99"/>
        <v>-373.08000000000004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55</v>
      </c>
      <c r="C399" s="8" t="str">
        <f>IFERROR(B399/B444, "NA")</f>
        <v>NA</v>
      </c>
      <c r="D399" s="9"/>
      <c r="E399" s="7">
        <v>100</v>
      </c>
      <c r="F399" s="8" t="str">
        <f>IFERROR(E399/E444, "NA")</f>
        <v>NA</v>
      </c>
      <c r="G399" s="9"/>
      <c r="H399" s="10">
        <f t="shared" si="96"/>
        <v>45</v>
      </c>
      <c r="I399" s="8" t="str">
        <f>IFERROR(H399/H444, "NA")</f>
        <v>NA</v>
      </c>
      <c r="J399" s="9"/>
      <c r="K399" s="7">
        <v>100</v>
      </c>
      <c r="L399" s="8" t="str">
        <f>IFERROR(K399/K444, "NA")</f>
        <v>NA</v>
      </c>
      <c r="M399" s="9"/>
      <c r="N399" s="10">
        <f t="shared" si="97"/>
        <v>45</v>
      </c>
      <c r="O399" s="8" t="str">
        <f>IFERROR(N399/N444, "NA")</f>
        <v>NA</v>
      </c>
      <c r="P399" s="9"/>
      <c r="Q399" s="7">
        <v>870.84</v>
      </c>
      <c r="R399" s="8" t="str">
        <f>IFERROR(Q399/Q444, "NA")</f>
        <v>NA</v>
      </c>
      <c r="S399" s="9"/>
      <c r="T399" s="7">
        <v>100</v>
      </c>
      <c r="U399" s="8" t="str">
        <f>IFERROR(T399/T444, "NA")</f>
        <v>NA</v>
      </c>
      <c r="V399" s="9"/>
      <c r="W399" s="10">
        <f t="shared" si="98"/>
        <v>-770.84</v>
      </c>
      <c r="X399" s="8" t="str">
        <f>IFERROR(W399/W444, "NA")</f>
        <v>NA</v>
      </c>
      <c r="Y399" s="9"/>
      <c r="Z399" s="7">
        <v>100</v>
      </c>
      <c r="AA399" s="8" t="str">
        <f>IFERROR(Z399/Z444, "NA")</f>
        <v>NA</v>
      </c>
      <c r="AB399" s="9"/>
      <c r="AC399" s="10">
        <f t="shared" si="99"/>
        <v>-770.84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hidden="1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0</v>
      </c>
      <c r="L401" s="8" t="str">
        <f>IFERROR(K401/K444, "NA")</f>
        <v>NA</v>
      </c>
      <c r="M401" s="9"/>
      <c r="N401" s="10">
        <f t="shared" si="97"/>
        <v>0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0</v>
      </c>
      <c r="AA401" s="8" t="str">
        <f>IFERROR(Z401/Z444, "NA")</f>
        <v>NA</v>
      </c>
      <c r="AB401" s="9"/>
      <c r="AC401" s="10">
        <f t="shared" si="99"/>
        <v>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118984.66000000002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132664.91999999998</v>
      </c>
      <c r="F403" s="15" t="str">
        <f>IFERROR(E403/E444, "NA")</f>
        <v>NA</v>
      </c>
      <c r="G403" s="2"/>
      <c r="H403" s="14">
        <f t="shared" si="96"/>
        <v>13680.259999999966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144373.32999999999</v>
      </c>
      <c r="L403" s="15" t="str">
        <f>IFERROR(K403/K444, "NA")</f>
        <v>NA</v>
      </c>
      <c r="M403" s="2"/>
      <c r="N403" s="14">
        <f t="shared" si="97"/>
        <v>25388.669999999969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336291.25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328320.38</v>
      </c>
      <c r="U403" s="15" t="str">
        <f>IFERROR(T403/T444, "NA")</f>
        <v>NA</v>
      </c>
      <c r="V403" s="2"/>
      <c r="W403" s="14">
        <f t="shared" si="98"/>
        <v>-7970.8699999999953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432116.53</v>
      </c>
      <c r="AA403" s="15" t="str">
        <f>IFERROR(Z403/Z444, "NA")</f>
        <v>NA</v>
      </c>
      <c r="AB403" s="2"/>
      <c r="AC403" s="14">
        <f t="shared" si="99"/>
        <v>95825.280000000028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-118984.66000000002</v>
      </c>
      <c r="C404" s="24" t="str">
        <f>IFERROR(B404/B444, "NA")</f>
        <v>NA</v>
      </c>
      <c r="D404" s="25"/>
      <c r="E404" s="23">
        <f>IFERROR(E345-E403, "NA")</f>
        <v>-132664.91999999998</v>
      </c>
      <c r="F404" s="24" t="str">
        <f>IFERROR(E404/E444, "NA")</f>
        <v>NA</v>
      </c>
      <c r="G404" s="25"/>
      <c r="H404" s="23">
        <f>IFERROR(B404-E404, "NA")</f>
        <v>13680.259999999966</v>
      </c>
      <c r="I404" s="24" t="str">
        <f>IFERROR(H404/H444, "NA")</f>
        <v>NA</v>
      </c>
      <c r="J404" s="25"/>
      <c r="K404" s="23">
        <f>IFERROR(K345-K403, "NA")</f>
        <v>-144373.32999999999</v>
      </c>
      <c r="L404" s="24" t="str">
        <f>IFERROR(K404/K444, "NA")</f>
        <v>NA</v>
      </c>
      <c r="M404" s="25"/>
      <c r="N404" s="23">
        <f>IFERROR(B404-K404, "NA")</f>
        <v>25388.669999999969</v>
      </c>
      <c r="O404" s="24" t="str">
        <f>IFERROR(N404/N444, "NA")</f>
        <v>NA</v>
      </c>
      <c r="P404" s="25"/>
      <c r="Q404" s="23">
        <f>IFERROR(Q345-Q403, "NA")</f>
        <v>-336291.25</v>
      </c>
      <c r="R404" s="24" t="str">
        <f>IFERROR(Q404/Q444, "NA")</f>
        <v>NA</v>
      </c>
      <c r="S404" s="25"/>
      <c r="T404" s="23">
        <f>IFERROR(T345-T403, "NA")</f>
        <v>-328320.38</v>
      </c>
      <c r="U404" s="24" t="str">
        <f>IFERROR(T404/T444, "NA")</f>
        <v>NA</v>
      </c>
      <c r="V404" s="25"/>
      <c r="W404" s="23">
        <f>IFERROR(Q404-T404, "NA")</f>
        <v>-7970.8699999999953</v>
      </c>
      <c r="X404" s="24" t="str">
        <f>IFERROR(W404/W444, "NA")</f>
        <v>NA</v>
      </c>
      <c r="Y404" s="25"/>
      <c r="Z404" s="23">
        <f>IFERROR(Z345-Z403, "NA")</f>
        <v>-432116.53</v>
      </c>
      <c r="AA404" s="24" t="str">
        <f>IFERROR(Z404/Z444, "NA")</f>
        <v>NA</v>
      </c>
      <c r="AB404" s="25"/>
      <c r="AC404" s="23">
        <f>IFERROR(Q404-Z404, "NA")</f>
        <v>95825.280000000028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-13500</v>
      </c>
      <c r="F407" s="8" t="str">
        <f>IFERROR(E407/E444, "NA")</f>
        <v>NA</v>
      </c>
      <c r="G407" s="9"/>
      <c r="H407" s="10">
        <f t="shared" ref="H407:H429" si="100">IFERROR(-(B407-E407), "NA")</f>
        <v>-13500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-40500</v>
      </c>
      <c r="U407" s="8" t="str">
        <f>IFERROR(T407/T444, "NA")</f>
        <v>NA</v>
      </c>
      <c r="V407" s="9"/>
      <c r="W407" s="10">
        <f t="shared" ref="W407:W429" si="102">IFERROR(-(Q407-T407), "NA")</f>
        <v>-40500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59.7</v>
      </c>
      <c r="L410" s="8" t="str">
        <f>IFERROR(K410/K444, "NA")</f>
        <v>NA</v>
      </c>
      <c r="M410" s="9"/>
      <c r="N410" s="10">
        <f t="shared" si="101"/>
        <v>0</v>
      </c>
      <c r="O410" s="8" t="str">
        <f>IFERROR(N410/N444, "NA")</f>
        <v>NA</v>
      </c>
      <c r="P410" s="9"/>
      <c r="Q410" s="7">
        <v>179.1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-179.1</v>
      </c>
      <c r="X410" s="8" t="str">
        <f>IFERROR(W410/W444, "NA")</f>
        <v>NA</v>
      </c>
      <c r="Y410" s="9"/>
      <c r="Z410" s="7">
        <v>304.29000000000002</v>
      </c>
      <c r="AA410" s="8" t="str">
        <f>IFERROR(Z410/Z444, "NA")</f>
        <v>NA</v>
      </c>
      <c r="AB410" s="9"/>
      <c r="AC410" s="10">
        <f t="shared" si="103"/>
        <v>125.19000000000003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268.39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-268.39</v>
      </c>
      <c r="I411" s="8" t="str">
        <f>IFERROR(H411/H444, "NA")</f>
        <v>NA</v>
      </c>
      <c r="J411" s="9"/>
      <c r="K411" s="7">
        <v>268.37</v>
      </c>
      <c r="L411" s="8" t="str">
        <f>IFERROR(K411/K444, "NA")</f>
        <v>NA</v>
      </c>
      <c r="M411" s="9"/>
      <c r="N411" s="10">
        <f t="shared" si="101"/>
        <v>-1.999999999998181E-2</v>
      </c>
      <c r="O411" s="8" t="str">
        <f>IFERROR(N411/N444, "NA")</f>
        <v>NA</v>
      </c>
      <c r="P411" s="9"/>
      <c r="Q411" s="7">
        <v>805.13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-805.13</v>
      </c>
      <c r="X411" s="8" t="str">
        <f>IFERROR(W411/W444, "NA")</f>
        <v>NA</v>
      </c>
      <c r="Y411" s="9"/>
      <c r="Z411" s="7">
        <v>536.74</v>
      </c>
      <c r="AA411" s="8" t="str">
        <f>IFERROR(Z411/Z444, "NA")</f>
        <v>NA</v>
      </c>
      <c r="AB411" s="9"/>
      <c r="AC411" s="10">
        <f t="shared" si="103"/>
        <v>-268.39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0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0</v>
      </c>
      <c r="X418" s="8" t="str">
        <f>IFERROR(W418/W444, "NA")</f>
        <v>NA</v>
      </c>
      <c r="Y418" s="9"/>
      <c r="Z418" s="7">
        <v>-1725.69</v>
      </c>
      <c r="AA418" s="8" t="str">
        <f>IFERROR(Z418/Z444, "NA")</f>
        <v>NA</v>
      </c>
      <c r="AB418" s="9"/>
      <c r="AC418" s="10">
        <f t="shared" si="103"/>
        <v>-1725.69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-1012.04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1012.04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1012.04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-14127.45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14127.45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14127.45</v>
      </c>
      <c r="O423" s="8" t="str">
        <f>IFERROR(N423/N444, "NA")</f>
        <v>NA</v>
      </c>
      <c r="P423" s="9"/>
      <c r="Q423" s="7">
        <v>-44940.81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44940.81</v>
      </c>
      <c r="X423" s="8" t="str">
        <f>IFERROR(W423/W444, "NA")</f>
        <v>NA</v>
      </c>
      <c r="Y423" s="9"/>
      <c r="Z423" s="7">
        <v>-0.99</v>
      </c>
      <c r="AA423" s="8" t="str">
        <f>IFERROR(Z423/Z444, "NA")</f>
        <v>NA</v>
      </c>
      <c r="AB423" s="9"/>
      <c r="AC423" s="10">
        <f t="shared" si="103"/>
        <v>44939.82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-1274.3499999999999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1274.3499999999999</v>
      </c>
      <c r="I426" s="8" t="str">
        <f>IFERROR(H426/H444, "NA")</f>
        <v>NA</v>
      </c>
      <c r="J426" s="9"/>
      <c r="K426" s="7">
        <v>-12030.99</v>
      </c>
      <c r="L426" s="8" t="str">
        <f>IFERROR(K426/K444, "NA")</f>
        <v>NA</v>
      </c>
      <c r="M426" s="9"/>
      <c r="N426" s="10">
        <f t="shared" si="101"/>
        <v>-10756.64</v>
      </c>
      <c r="O426" s="8" t="str">
        <f>IFERROR(N426/N444, "NA")</f>
        <v>NA</v>
      </c>
      <c r="P426" s="9"/>
      <c r="Q426" s="7">
        <v>-5212.8599999999997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5212.8599999999997</v>
      </c>
      <c r="X426" s="8" t="str">
        <f>IFERROR(W426/W444, "NA")</f>
        <v>NA</v>
      </c>
      <c r="Y426" s="9"/>
      <c r="Z426" s="7">
        <v>-12483.8</v>
      </c>
      <c r="AA426" s="8" t="str">
        <f>IFERROR(Z426/Z444, "NA")</f>
        <v>NA</v>
      </c>
      <c r="AB426" s="9"/>
      <c r="AC426" s="10">
        <f t="shared" si="103"/>
        <v>-7270.94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-15073.710000000001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-13500</v>
      </c>
      <c r="F428" s="15" t="str">
        <f>IFERROR(E428/E444, "NA")</f>
        <v>NA</v>
      </c>
      <c r="G428" s="2"/>
      <c r="H428" s="14">
        <f t="shared" si="100"/>
        <v>1573.7100000000009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-11702.92</v>
      </c>
      <c r="L428" s="15" t="str">
        <f>IFERROR(K428/K444, "NA")</f>
        <v>NA</v>
      </c>
      <c r="M428" s="2"/>
      <c r="N428" s="14">
        <f t="shared" si="101"/>
        <v>3370.7900000000009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-50181.479999999996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-40500</v>
      </c>
      <c r="U428" s="15" t="str">
        <f>IFERROR(T428/T444, "NA")</f>
        <v>NA</v>
      </c>
      <c r="V428" s="2"/>
      <c r="W428" s="14">
        <f t="shared" si="102"/>
        <v>9681.4799999999959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-13369.449999999999</v>
      </c>
      <c r="AA428" s="15" t="str">
        <f>IFERROR(Z428/Z444, "NA")</f>
        <v>NA</v>
      </c>
      <c r="AB428" s="2"/>
      <c r="AC428" s="14">
        <f t="shared" si="103"/>
        <v>36812.03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-15073.710000000001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-13500</v>
      </c>
      <c r="F429" s="15" t="str">
        <f>IFERROR(E429/E444, "NA")</f>
        <v>NA</v>
      </c>
      <c r="G429" s="2"/>
      <c r="H429" s="14">
        <f t="shared" si="100"/>
        <v>1573.7100000000009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-11702.92</v>
      </c>
      <c r="L429" s="15" t="str">
        <f>IFERROR(K429/K444, "NA")</f>
        <v>NA</v>
      </c>
      <c r="M429" s="2"/>
      <c r="N429" s="14">
        <f t="shared" si="101"/>
        <v>3370.7900000000009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-50181.479999999996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-40500</v>
      </c>
      <c r="U429" s="15" t="str">
        <f>IFERROR(T429/T444, "NA")</f>
        <v>NA</v>
      </c>
      <c r="V429" s="2"/>
      <c r="W429" s="14">
        <f t="shared" si="102"/>
        <v>9681.4799999999959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-13369.449999999999</v>
      </c>
      <c r="AA429" s="15" t="str">
        <f>IFERROR(Z429/Z444, "NA")</f>
        <v>NA</v>
      </c>
      <c r="AB429" s="2"/>
      <c r="AC429" s="14">
        <f t="shared" si="103"/>
        <v>36812.03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-103910.95000000001</v>
      </c>
      <c r="C443" s="24" t="str">
        <f>IFERROR(B443/B444, "NA")</f>
        <v>NA</v>
      </c>
      <c r="D443" s="25"/>
      <c r="E443" s="23">
        <f>IFERROR(E404-E429-E442, "NA")</f>
        <v>-119164.91999999998</v>
      </c>
      <c r="F443" s="24" t="str">
        <f>IFERROR(E443/E444, "NA")</f>
        <v>NA</v>
      </c>
      <c r="G443" s="25"/>
      <c r="H443" s="23">
        <f>IFERROR(B443-E443, "NA")</f>
        <v>15253.969999999972</v>
      </c>
      <c r="I443" s="24" t="str">
        <f>IFERROR(H443/H444, "NA")</f>
        <v>NA</v>
      </c>
      <c r="J443" s="25"/>
      <c r="K443" s="23">
        <f>IFERROR(K404-K429-K442, "NA")</f>
        <v>-132670.40999999997</v>
      </c>
      <c r="L443" s="24" t="str">
        <f>IFERROR(K443/K444, "NA")</f>
        <v>NA</v>
      </c>
      <c r="M443" s="25"/>
      <c r="N443" s="23">
        <f>IFERROR(B443-K443, "NA")</f>
        <v>28759.459999999963</v>
      </c>
      <c r="O443" s="24" t="str">
        <f>IFERROR(N443/N444, "NA")</f>
        <v>NA</v>
      </c>
      <c r="P443" s="25"/>
      <c r="Q443" s="23">
        <f>IFERROR(Q404-Q429-Q442, "NA")</f>
        <v>-286109.77</v>
      </c>
      <c r="R443" s="24" t="str">
        <f>IFERROR(Q443/Q444, "NA")</f>
        <v>NA</v>
      </c>
      <c r="S443" s="25"/>
      <c r="T443" s="23">
        <f>IFERROR(T404-T429-T442, "NA")</f>
        <v>-287820.38</v>
      </c>
      <c r="U443" s="24" t="str">
        <f>IFERROR(T443/T444, "NA")</f>
        <v>NA</v>
      </c>
      <c r="V443" s="25"/>
      <c r="W443" s="23">
        <f>IFERROR(Q443-T443, "NA")</f>
        <v>1710.609999999986</v>
      </c>
      <c r="X443" s="24" t="str">
        <f>IFERROR(W443/W444, "NA")</f>
        <v>NA</v>
      </c>
      <c r="Y443" s="25"/>
      <c r="Z443" s="23">
        <f>IFERROR(Z404-Z429-Z442, "NA")</f>
        <v>-418747.08</v>
      </c>
      <c r="AA443" s="24" t="str">
        <f>IFERROR(Z443/Z444, "NA")</f>
        <v>NA</v>
      </c>
      <c r="AB443" s="25"/>
      <c r="AC443" s="23">
        <f>IFERROR(Q443-Z443, "NA")</f>
        <v>132637.31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52074.26</v>
      </c>
      <c r="F10" s="8">
        <f>IFERROR(E10/E444, "NA")</f>
        <v>0.45900002767701525</v>
      </c>
      <c r="G10" s="9"/>
      <c r="H10" s="10">
        <f t="shared" ref="H10:H19" si="0">IFERROR(B10-E10, "NA")</f>
        <v>-52074.26</v>
      </c>
      <c r="I10" s="8">
        <f>IFERROR(H10/H444, "NA")</f>
        <v>-6.9900493572284743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119271.61</v>
      </c>
      <c r="U10" s="8">
        <f>IFERROR(T10/T444, "NA")</f>
        <v>0.45900000384835926</v>
      </c>
      <c r="V10" s="9"/>
      <c r="W10" s="10">
        <f t="shared" ref="W10:W19" si="2">IFERROR(Q10-T10, "NA")</f>
        <v>-119271.61</v>
      </c>
      <c r="X10" s="8">
        <f>IFERROR(W10/W444, "NA")</f>
        <v>-46.140601788808738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43856.63</v>
      </c>
      <c r="C11" s="8">
        <f>IFERROR(B11/B444, "NA")</f>
        <v>0.36274735153820914</v>
      </c>
      <c r="D11" s="9"/>
      <c r="E11" s="7">
        <v>0</v>
      </c>
      <c r="F11" s="8">
        <f>IFERROR(E11/E444, "NA")</f>
        <v>0</v>
      </c>
      <c r="G11" s="9"/>
      <c r="H11" s="10">
        <f t="shared" si="0"/>
        <v>43856.63</v>
      </c>
      <c r="I11" s="8">
        <f>IFERROR(H11/H444, "NA")</f>
        <v>5.8869777187752073</v>
      </c>
      <c r="J11" s="9"/>
      <c r="K11" s="7">
        <v>52245.66</v>
      </c>
      <c r="L11" s="8">
        <f>IFERROR(K11/K444, "NA")</f>
        <v>0.50149626279857584</v>
      </c>
      <c r="M11" s="9"/>
      <c r="N11" s="10">
        <f t="shared" si="1"/>
        <v>-8389.0300000000061</v>
      </c>
      <c r="O11" s="8">
        <f>IFERROR(N11/N444, "NA")</f>
        <v>-0.50168373525498267</v>
      </c>
      <c r="P11" s="9"/>
      <c r="Q11" s="7">
        <v>94418.74</v>
      </c>
      <c r="R11" s="8">
        <f>IFERROR(Q11/Q444, "NA")</f>
        <v>0.35977821027270807</v>
      </c>
      <c r="S11" s="9"/>
      <c r="T11" s="7">
        <v>0</v>
      </c>
      <c r="U11" s="8">
        <f>IFERROR(T11/T444, "NA")</f>
        <v>0</v>
      </c>
      <c r="V11" s="9"/>
      <c r="W11" s="10">
        <f t="shared" si="2"/>
        <v>94418.74</v>
      </c>
      <c r="X11" s="8">
        <f>IFERROR(W11/W444, "NA")</f>
        <v>36.526189960385942</v>
      </c>
      <c r="Y11" s="9"/>
      <c r="Z11" s="7">
        <v>105907.34</v>
      </c>
      <c r="AA11" s="8">
        <f>IFERROR(Z11/Z444, "NA")</f>
        <v>0.43186472666957459</v>
      </c>
      <c r="AB11" s="9"/>
      <c r="AC11" s="10">
        <f t="shared" si="3"/>
        <v>-11488.599999999991</v>
      </c>
      <c r="AD11" s="8">
        <f>IFERROR(AC11/AC444, "NA")</f>
        <v>-0.66781412160115805</v>
      </c>
    </row>
    <row r="12" spans="1:30" ht="16.5" customHeight="1" x14ac:dyDescent="0.45">
      <c r="A12" s="12" t="s">
        <v>14</v>
      </c>
      <c r="B12" s="7">
        <v>4185.2</v>
      </c>
      <c r="C12" s="8">
        <f>IFERROR(B12/B444, "NA")</f>
        <v>3.4616663789664479E-2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4185.2</v>
      </c>
      <c r="I12" s="8">
        <f>IFERROR(H12/H444, "NA")</f>
        <v>0.56178915590682632</v>
      </c>
      <c r="J12" s="9"/>
      <c r="K12" s="7">
        <v>5385</v>
      </c>
      <c r="L12" s="8">
        <f>IFERROR(K12/K444, "NA")</f>
        <v>5.1689602067814457E-2</v>
      </c>
      <c r="M12" s="9"/>
      <c r="N12" s="10">
        <f t="shared" si="1"/>
        <v>-1199.8000000000002</v>
      </c>
      <c r="O12" s="8">
        <f>IFERROR(N12/N444, "NA")</f>
        <v>-7.1750863396474657E-2</v>
      </c>
      <c r="P12" s="9"/>
      <c r="Q12" s="7">
        <v>8985.1</v>
      </c>
      <c r="R12" s="8">
        <f>IFERROR(Q12/Q444, "NA")</f>
        <v>3.4237304979088994E-2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8985.1</v>
      </c>
      <c r="X12" s="8">
        <f>IFERROR(W12/W444, "NA")</f>
        <v>3.4759145209209921</v>
      </c>
      <c r="Y12" s="9"/>
      <c r="Z12" s="7">
        <v>10272.200000000001</v>
      </c>
      <c r="AA12" s="8">
        <f>IFERROR(Z12/Z444, "NA")</f>
        <v>4.1887567427292619E-2</v>
      </c>
      <c r="AB12" s="9"/>
      <c r="AC12" s="10">
        <f t="shared" si="3"/>
        <v>-1287.1000000000004</v>
      </c>
      <c r="AD12" s="8">
        <f>IFERROR(AC12/AC444, "NA")</f>
        <v>-7.4817084406529205E-2</v>
      </c>
    </row>
    <row r="13" spans="1:30" ht="16.5" customHeight="1" x14ac:dyDescent="0.45">
      <c r="A13" s="12" t="s">
        <v>15</v>
      </c>
      <c r="B13" s="7">
        <v>235</v>
      </c>
      <c r="C13" s="8">
        <f>IFERROR(B13/B444, "NA")</f>
        <v>1.9437341084228121E-3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235</v>
      </c>
      <c r="I13" s="8">
        <f>IFERROR(H13/H444, "NA")</f>
        <v>3.1544598021146945E-2</v>
      </c>
      <c r="J13" s="9"/>
      <c r="K13" s="7">
        <v>231.5</v>
      </c>
      <c r="L13" s="8">
        <f>IFERROR(K13/K444, "NA")</f>
        <v>2.2221249542616612E-3</v>
      </c>
      <c r="M13" s="9"/>
      <c r="N13" s="10">
        <f t="shared" si="1"/>
        <v>3.5</v>
      </c>
      <c r="O13" s="8">
        <f>IFERROR(N13/N444, "NA")</f>
        <v>2.0930823627909759E-4</v>
      </c>
      <c r="P13" s="9"/>
      <c r="Q13" s="7">
        <v>479.5</v>
      </c>
      <c r="R13" s="8">
        <f>IFERROR(Q13/Q444, "NA")</f>
        <v>1.8271124124910319E-3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479.5</v>
      </c>
      <c r="X13" s="8">
        <f>IFERROR(W13/W444, "NA")</f>
        <v>0.18549610051992918</v>
      </c>
      <c r="Y13" s="9"/>
      <c r="Z13" s="7">
        <v>449.5</v>
      </c>
      <c r="AA13" s="8">
        <f>IFERROR(Z13/Z444, "NA")</f>
        <v>1.8329531705543146E-3</v>
      </c>
      <c r="AB13" s="9"/>
      <c r="AC13" s="10">
        <f t="shared" si="3"/>
        <v>30</v>
      </c>
      <c r="AD13" s="8">
        <f>IFERROR(AC13/AC444, "NA")</f>
        <v>1.7438524840306701E-3</v>
      </c>
    </row>
    <row r="14" spans="1:30" ht="16.5" customHeight="1" x14ac:dyDescent="0.45">
      <c r="A14" s="12" t="s">
        <v>16</v>
      </c>
      <c r="B14" s="7">
        <v>86</v>
      </c>
      <c r="C14" s="8">
        <f>IFERROR(B14/B444, "NA")</f>
        <v>7.1132397159302905E-4</v>
      </c>
      <c r="D14" s="9"/>
      <c r="E14" s="7">
        <v>0</v>
      </c>
      <c r="F14" s="8">
        <f>IFERROR(E14/E444, "NA")</f>
        <v>0</v>
      </c>
      <c r="G14" s="9"/>
      <c r="H14" s="10">
        <f t="shared" si="0"/>
        <v>86</v>
      </c>
      <c r="I14" s="8">
        <f>IFERROR(H14/H444, "NA")</f>
        <v>1.1543980552419732E-2</v>
      </c>
      <c r="J14" s="9"/>
      <c r="K14" s="7">
        <v>445</v>
      </c>
      <c r="L14" s="8">
        <f>IFERROR(K14/K444, "NA")</f>
        <v>4.271471294369068E-3</v>
      </c>
      <c r="M14" s="9"/>
      <c r="N14" s="10">
        <f t="shared" si="1"/>
        <v>-359</v>
      </c>
      <c r="O14" s="8">
        <f>IFERROR(N14/N444, "NA")</f>
        <v>-2.1469044806913151E-2</v>
      </c>
      <c r="P14" s="9"/>
      <c r="Q14" s="7">
        <v>121</v>
      </c>
      <c r="R14" s="8">
        <f>IFERROR(Q14/Q444, "NA")</f>
        <v>4.6106486321462957E-4</v>
      </c>
      <c r="S14" s="9"/>
      <c r="T14" s="7">
        <v>0</v>
      </c>
      <c r="U14" s="8">
        <f>IFERROR(T14/T444, "NA")</f>
        <v>0</v>
      </c>
      <c r="V14" s="9"/>
      <c r="W14" s="10">
        <f t="shared" si="2"/>
        <v>121</v>
      </c>
      <c r="X14" s="8">
        <f>IFERROR(W14/W444, "NA")</f>
        <v>4.6809234959147926E-2</v>
      </c>
      <c r="Y14" s="9"/>
      <c r="Z14" s="7">
        <v>820</v>
      </c>
      <c r="AA14" s="8">
        <f>IFERROR(Z14/Z444, "NA")</f>
        <v>3.3437632922236663E-3</v>
      </c>
      <c r="AB14" s="9"/>
      <c r="AC14" s="10">
        <f t="shared" si="3"/>
        <v>-699</v>
      </c>
      <c r="AD14" s="8">
        <f>IFERROR(AC14/AC444, "NA")</f>
        <v>-4.0631762877914611E-2</v>
      </c>
    </row>
    <row r="15" spans="1:30" ht="16.5" customHeight="1" x14ac:dyDescent="0.45">
      <c r="A15" s="12" t="s">
        <v>17</v>
      </c>
      <c r="B15" s="7">
        <v>136</v>
      </c>
      <c r="C15" s="8">
        <f>IFERROR(B15/B444, "NA")</f>
        <v>1.1248844201936273E-3</v>
      </c>
      <c r="D15" s="9"/>
      <c r="E15" s="7">
        <v>0</v>
      </c>
      <c r="F15" s="8">
        <f>IFERROR(E15/E444, "NA")</f>
        <v>0</v>
      </c>
      <c r="G15" s="9"/>
      <c r="H15" s="10">
        <f t="shared" si="0"/>
        <v>136</v>
      </c>
      <c r="I15" s="8">
        <f>IFERROR(H15/H444, "NA")</f>
        <v>1.8255597152663762E-2</v>
      </c>
      <c r="J15" s="9"/>
      <c r="K15" s="7">
        <v>84</v>
      </c>
      <c r="L15" s="8">
        <f>IFERROR(K15/K444, "NA")</f>
        <v>8.0630019938652078E-4</v>
      </c>
      <c r="M15" s="9"/>
      <c r="N15" s="10">
        <f t="shared" si="1"/>
        <v>52</v>
      </c>
      <c r="O15" s="8">
        <f>IFERROR(N15/N444, "NA")</f>
        <v>3.109722367575164E-3</v>
      </c>
      <c r="P15" s="9"/>
      <c r="Q15" s="7">
        <v>226</v>
      </c>
      <c r="R15" s="8">
        <f>IFERROR(Q15/Q444, "NA")</f>
        <v>8.6116247178930809E-4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226</v>
      </c>
      <c r="X15" s="8">
        <f>IFERROR(W15/W444, "NA")</f>
        <v>8.7428819014606862E-2</v>
      </c>
      <c r="Y15" s="9"/>
      <c r="Z15" s="7">
        <v>153</v>
      </c>
      <c r="AA15" s="8">
        <f>IFERROR(Z15/Z444, "NA")</f>
        <v>6.2389729720758655E-4</v>
      </c>
      <c r="AB15" s="9"/>
      <c r="AC15" s="10">
        <f t="shared" si="3"/>
        <v>73</v>
      </c>
      <c r="AD15" s="8">
        <f>IFERROR(AC15/AC444, "NA")</f>
        <v>4.243374377807964E-3</v>
      </c>
    </row>
    <row r="16" spans="1:30" ht="16.5" customHeight="1" x14ac:dyDescent="0.45">
      <c r="A16" s="12" t="s">
        <v>18</v>
      </c>
      <c r="B16" s="7">
        <v>1.05</v>
      </c>
      <c r="C16" s="8">
        <f>IFERROR(B16/B444, "NA")</f>
        <v>8.6847694206125639E-6</v>
      </c>
      <c r="D16" s="9"/>
      <c r="E16" s="7">
        <v>0</v>
      </c>
      <c r="F16" s="8">
        <f>IFERROR(E16/E444, "NA")</f>
        <v>0</v>
      </c>
      <c r="G16" s="9"/>
      <c r="H16" s="10">
        <f t="shared" si="0"/>
        <v>1.05</v>
      </c>
      <c r="I16" s="8">
        <f>IFERROR(H16/H444, "NA")</f>
        <v>1.4094394860512466E-4</v>
      </c>
      <c r="J16" s="9"/>
      <c r="K16" s="7">
        <v>1.35</v>
      </c>
      <c r="L16" s="8">
        <f>IFERROR(K16/K444, "NA")</f>
        <v>1.2958396061569084E-5</v>
      </c>
      <c r="M16" s="9"/>
      <c r="N16" s="10">
        <f t="shared" si="1"/>
        <v>-0.30000000000000004</v>
      </c>
      <c r="O16" s="8">
        <f>IFERROR(N16/N444, "NA")</f>
        <v>-1.7940705966779797E-5</v>
      </c>
      <c r="P16" s="9"/>
      <c r="Q16" s="7">
        <v>2.92</v>
      </c>
      <c r="R16" s="8">
        <f>IFERROR(Q16/Q444, "NA")</f>
        <v>1.112652397179106E-5</v>
      </c>
      <c r="S16" s="9"/>
      <c r="T16" s="7">
        <v>0</v>
      </c>
      <c r="U16" s="8">
        <f>IFERROR(T16/T444, "NA")</f>
        <v>0</v>
      </c>
      <c r="V16" s="9"/>
      <c r="W16" s="10">
        <f t="shared" si="2"/>
        <v>2.92</v>
      </c>
      <c r="X16" s="8">
        <f>IFERROR(W16/W444, "NA")</f>
        <v>1.129611289923239E-3</v>
      </c>
      <c r="Y16" s="9"/>
      <c r="Z16" s="7">
        <v>1.35</v>
      </c>
      <c r="AA16" s="8">
        <f>IFERROR(Z16/Z444, "NA")</f>
        <v>5.504976151831646E-6</v>
      </c>
      <c r="AB16" s="9"/>
      <c r="AC16" s="10">
        <f t="shared" si="3"/>
        <v>1.5699999999999998</v>
      </c>
      <c r="AD16" s="8">
        <f>IFERROR(AC16/AC444, "NA")</f>
        <v>9.1261613330938384E-5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48499.88</v>
      </c>
      <c r="C18" s="15">
        <f>IFERROR(B18/B444, "NA")</f>
        <v>0.40115264259750366</v>
      </c>
      <c r="D18" s="2"/>
      <c r="E18" s="14">
        <f>IFERROR(E10+E11+E12+E13+E14+E15+E16+E17, "NA")</f>
        <v>52074.26</v>
      </c>
      <c r="F18" s="15">
        <f>IFERROR(E18/E444, "NA")</f>
        <v>0.45900002767701525</v>
      </c>
      <c r="G18" s="2"/>
      <c r="H18" s="14">
        <f t="shared" si="0"/>
        <v>-3574.3800000000047</v>
      </c>
      <c r="I18" s="15">
        <f>IFERROR(H18/H444, "NA")</f>
        <v>-0.47979736287160579</v>
      </c>
      <c r="J18" s="2"/>
      <c r="K18" s="14">
        <f>IFERROR(K10+K11+K12+K13+K14+K15+K16+K17, "NA")</f>
        <v>58392.51</v>
      </c>
      <c r="L18" s="15">
        <f>IFERROR(K18/K444, "NA")</f>
        <v>0.56049871971046916</v>
      </c>
      <c r="M18" s="2"/>
      <c r="N18" s="14">
        <f t="shared" si="1"/>
        <v>-9892.6300000000047</v>
      </c>
      <c r="O18" s="15">
        <f>IFERROR(N18/N444, "NA")</f>
        <v>-0.59160255356048286</v>
      </c>
      <c r="P18" s="2"/>
      <c r="Q18" s="14">
        <f>IFERROR(Q10+Q11+Q12+Q13+Q14+Q15+Q16+Q17, "NA")</f>
        <v>104233.26000000001</v>
      </c>
      <c r="R18" s="15">
        <f>IFERROR(Q18/Q444, "NA")</f>
        <v>0.39717598152326383</v>
      </c>
      <c r="S18" s="2"/>
      <c r="T18" s="14">
        <f>IFERROR(T10+T11+T12+T13+T14+T15+T16+T17, "NA")</f>
        <v>119271.61</v>
      </c>
      <c r="U18" s="15">
        <f>IFERROR(T18/T444, "NA")</f>
        <v>0.45900000384835926</v>
      </c>
      <c r="V18" s="2"/>
      <c r="W18" s="14">
        <f t="shared" si="2"/>
        <v>-15038.349999999991</v>
      </c>
      <c r="X18" s="15">
        <f>IFERROR(W18/W444, "NA")</f>
        <v>-5.8176335417181964</v>
      </c>
      <c r="Y18" s="2"/>
      <c r="Z18" s="14">
        <f>IFERROR(Z10+Z11+Z12+Z13+Z14+Z15+Z16+Z17, "NA")</f>
        <v>117603.39</v>
      </c>
      <c r="AA18" s="15">
        <f>IFERROR(Z18/Z444, "NA")</f>
        <v>0.47955841283300465</v>
      </c>
      <c r="AB18" s="2"/>
      <c r="AC18" s="14">
        <f t="shared" si="3"/>
        <v>-13370.12999999999</v>
      </c>
      <c r="AD18" s="15">
        <f>IFERROR(AC18/AC444, "NA")</f>
        <v>-0.7771844804104322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11345.15</v>
      </c>
      <c r="F21" s="8">
        <f>IFERROR(E21/E444, "NA")</f>
        <v>9.9999964742655767E-2</v>
      </c>
      <c r="G21" s="9"/>
      <c r="H21" s="10">
        <f t="shared" ref="H21:H29" si="4">IFERROR(B21-E21, "NA")</f>
        <v>-11345.15</v>
      </c>
      <c r="I21" s="8">
        <f>IFERROR(H21/H444, "NA")</f>
        <v>-1.5228859414451712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25985.1</v>
      </c>
      <c r="U21" s="8">
        <f>IFERROR(T21/T444, "NA")</f>
        <v>9.9999999999999992E-2</v>
      </c>
      <c r="V21" s="9"/>
      <c r="W21" s="10">
        <f t="shared" ref="W21:W29" si="6">IFERROR(Q21-T21, "NA")</f>
        <v>-25985.1</v>
      </c>
      <c r="X21" s="8">
        <f>IFERROR(W21/W444, "NA")</f>
        <v>-10.052418606090534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8680.5</v>
      </c>
      <c r="L22" s="8">
        <f>IFERROR(K22/K444, "NA")</f>
        <v>8.3322486675889207E-2</v>
      </c>
      <c r="M22" s="9"/>
      <c r="N22" s="10">
        <f t="shared" si="5"/>
        <v>-8680.5</v>
      </c>
      <c r="O22" s="8">
        <f>IFERROR(N22/N444, "NA")</f>
        <v>-0.51911432714877326</v>
      </c>
      <c r="P22" s="9"/>
      <c r="Q22" s="7">
        <v>1956.45</v>
      </c>
      <c r="R22" s="8">
        <f>IFERROR(Q22/Q444, "NA")</f>
        <v>7.4549615837707604E-3</v>
      </c>
      <c r="S22" s="9"/>
      <c r="T22" s="7">
        <v>0</v>
      </c>
      <c r="U22" s="8">
        <f>IFERROR(T22/T444, "NA")</f>
        <v>0</v>
      </c>
      <c r="V22" s="9"/>
      <c r="W22" s="10">
        <f t="shared" si="6"/>
        <v>1956.45</v>
      </c>
      <c r="X22" s="8">
        <f>IFERROR(W22/W444, "NA")</f>
        <v>0.75685890690764424</v>
      </c>
      <c r="Y22" s="9"/>
      <c r="Z22" s="7">
        <v>19927.5</v>
      </c>
      <c r="AA22" s="8">
        <f>IFERROR(Z22/Z444, "NA")</f>
        <v>8.1259564641203791E-2</v>
      </c>
      <c r="AB22" s="9"/>
      <c r="AC22" s="10">
        <f t="shared" si="7"/>
        <v>-17971.05</v>
      </c>
      <c r="AD22" s="8">
        <f>IFERROR(AC22/AC444, "NA")</f>
        <v>-1.0446286727713123</v>
      </c>
    </row>
    <row r="23" spans="1:30" ht="16.5" customHeight="1" x14ac:dyDescent="0.45">
      <c r="A23" s="12" t="s">
        <v>24</v>
      </c>
      <c r="B23" s="7">
        <v>6834.74</v>
      </c>
      <c r="C23" s="8">
        <f>IFERROR(B23/B444, "NA")</f>
        <v>5.6531562809369065E-2</v>
      </c>
      <c r="D23" s="9"/>
      <c r="E23" s="7">
        <v>0</v>
      </c>
      <c r="F23" s="8">
        <f>IFERROR(E23/E444, "NA")</f>
        <v>0</v>
      </c>
      <c r="G23" s="9"/>
      <c r="H23" s="10">
        <f t="shared" si="4"/>
        <v>6834.74</v>
      </c>
      <c r="I23" s="8">
        <f>IFERROR(H23/H444, "NA")</f>
        <v>0.91744308884703774</v>
      </c>
      <c r="J23" s="9"/>
      <c r="K23" s="7">
        <v>0</v>
      </c>
      <c r="L23" s="8">
        <f>IFERROR(K23/K444, "NA")</f>
        <v>0</v>
      </c>
      <c r="M23" s="9"/>
      <c r="N23" s="10">
        <f t="shared" si="5"/>
        <v>6834.74</v>
      </c>
      <c r="O23" s="8">
        <f>IFERROR(N23/N444, "NA")</f>
        <v>0.40873353566462839</v>
      </c>
      <c r="P23" s="9"/>
      <c r="Q23" s="7">
        <v>13653.66</v>
      </c>
      <c r="R23" s="8">
        <f>IFERROR(Q23/Q444, "NA")</f>
        <v>5.2026635374207097E-2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13653.66</v>
      </c>
      <c r="X23" s="8">
        <f>IFERROR(W23/W444, "NA")</f>
        <v>5.2819618098538816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13653.66</v>
      </c>
      <c r="AD23" s="8">
        <f>IFERROR(AC23/AC444, "NA")</f>
        <v>0.79366563023700665</v>
      </c>
    </row>
    <row r="24" spans="1:30" ht="16.5" customHeight="1" x14ac:dyDescent="0.45">
      <c r="A24" s="12" t="s">
        <v>25</v>
      </c>
      <c r="B24" s="7">
        <v>816.85</v>
      </c>
      <c r="C24" s="8">
        <f>IFERROR(B24/B444, "NA")</f>
        <v>6.7563370487879748E-3</v>
      </c>
      <c r="D24" s="9"/>
      <c r="E24" s="7">
        <v>0</v>
      </c>
      <c r="F24" s="8">
        <f>IFERROR(E24/E444, "NA")</f>
        <v>0</v>
      </c>
      <c r="G24" s="9"/>
      <c r="H24" s="10">
        <f t="shared" si="4"/>
        <v>816.85</v>
      </c>
      <c r="I24" s="8">
        <f>IFERROR(H24/H444, "NA")</f>
        <v>0.10964768039818673</v>
      </c>
      <c r="J24" s="9"/>
      <c r="K24" s="7">
        <v>820.74</v>
      </c>
      <c r="L24" s="8">
        <f>IFERROR(K24/K444, "NA")</f>
        <v>7.8781288767201547E-3</v>
      </c>
      <c r="M24" s="9"/>
      <c r="N24" s="10">
        <f t="shared" si="5"/>
        <v>-3.8899999999999864</v>
      </c>
      <c r="O24" s="8">
        <f>IFERROR(N24/N444, "NA")</f>
        <v>-2.3263115403591051E-4</v>
      </c>
      <c r="P24" s="9"/>
      <c r="Q24" s="7">
        <v>2131.77</v>
      </c>
      <c r="R24" s="8">
        <f>IFERROR(Q24/Q444, "NA")</f>
        <v>8.1230102764880234E-3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2131.77</v>
      </c>
      <c r="X24" s="8">
        <f>IFERROR(W24/W444, "NA")</f>
        <v>0.82468200668481628</v>
      </c>
      <c r="Y24" s="9"/>
      <c r="Z24" s="7">
        <v>2026.04</v>
      </c>
      <c r="AA24" s="8">
        <f>IFERROR(Z24/Z444, "NA")</f>
        <v>8.2617050982644359E-3</v>
      </c>
      <c r="AB24" s="9"/>
      <c r="AC24" s="10">
        <f t="shared" si="7"/>
        <v>105.73000000000002</v>
      </c>
      <c r="AD24" s="8">
        <f>IFERROR(AC24/AC444, "NA")</f>
        <v>6.1459174378854257E-3</v>
      </c>
    </row>
    <row r="25" spans="1:30" ht="16.5" customHeight="1" x14ac:dyDescent="0.45">
      <c r="A25" s="12" t="s">
        <v>26</v>
      </c>
      <c r="B25" s="7">
        <v>307.02</v>
      </c>
      <c r="C25" s="8">
        <f>IFERROR(B25/B444, "NA")</f>
        <v>2.5394265785871136E-3</v>
      </c>
      <c r="D25" s="9"/>
      <c r="E25" s="7">
        <v>0</v>
      </c>
      <c r="F25" s="8">
        <f>IFERROR(E25/E444, "NA")</f>
        <v>0</v>
      </c>
      <c r="G25" s="9"/>
      <c r="H25" s="10">
        <f t="shared" si="4"/>
        <v>307.02</v>
      </c>
      <c r="I25" s="8">
        <f>IFERROR(H25/H444, "NA")</f>
        <v>4.1212010572138441E-2</v>
      </c>
      <c r="J25" s="9"/>
      <c r="K25" s="7">
        <v>0</v>
      </c>
      <c r="L25" s="8">
        <f>IFERROR(K25/K444, "NA")</f>
        <v>0</v>
      </c>
      <c r="M25" s="9"/>
      <c r="N25" s="10">
        <f t="shared" si="5"/>
        <v>307.02</v>
      </c>
      <c r="O25" s="8">
        <f>IFERROR(N25/N444, "NA")</f>
        <v>1.8360518486402438E-2</v>
      </c>
      <c r="P25" s="9"/>
      <c r="Q25" s="7">
        <v>669.18</v>
      </c>
      <c r="R25" s="8">
        <f>IFERROR(Q25/Q444, "NA")</f>
        <v>2.549879216247651E-3</v>
      </c>
      <c r="S25" s="9"/>
      <c r="T25" s="7">
        <v>0</v>
      </c>
      <c r="U25" s="8">
        <f>IFERROR(T25/T444, "NA")</f>
        <v>0</v>
      </c>
      <c r="V25" s="9"/>
      <c r="W25" s="10">
        <f t="shared" si="6"/>
        <v>669.18</v>
      </c>
      <c r="X25" s="8">
        <f>IFERROR(W25/W444, "NA")</f>
        <v>0.25887441198316202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669.18</v>
      </c>
      <c r="AD25" s="8">
        <f>IFERROR(AC25/AC444, "NA")</f>
        <v>3.8898373508788123E-2</v>
      </c>
    </row>
    <row r="26" spans="1:30" ht="16.5" customHeight="1" x14ac:dyDescent="0.45">
      <c r="A26" s="12" t="s">
        <v>27</v>
      </c>
      <c r="B26" s="7">
        <v>2792.13</v>
      </c>
      <c r="C26" s="8">
        <f>IFERROR(B26/B444, "NA")</f>
        <v>2.3094290707023773E-2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2792.13</v>
      </c>
      <c r="I26" s="8">
        <f>IFERROR(H26/H444, "NA")</f>
        <v>0.37479412116078731</v>
      </c>
      <c r="J26" s="9"/>
      <c r="K26" s="7">
        <v>0</v>
      </c>
      <c r="L26" s="8">
        <f>IFERROR(K26/K444, "NA")</f>
        <v>0</v>
      </c>
      <c r="M26" s="9"/>
      <c r="N26" s="10">
        <f t="shared" si="5"/>
        <v>2792.13</v>
      </c>
      <c r="O26" s="8">
        <f>IFERROR(N26/N444, "NA")</f>
        <v>0.16697594450341621</v>
      </c>
      <c r="P26" s="9"/>
      <c r="Q26" s="7">
        <v>4920.8</v>
      </c>
      <c r="R26" s="8">
        <f>IFERROR(Q26/Q444, "NA")</f>
        <v>1.8750479164516935E-2</v>
      </c>
      <c r="S26" s="9"/>
      <c r="T26" s="7">
        <v>0</v>
      </c>
      <c r="U26" s="8">
        <f>IFERROR(T26/T444, "NA")</f>
        <v>0</v>
      </c>
      <c r="V26" s="9"/>
      <c r="W26" s="10">
        <f t="shared" si="6"/>
        <v>4920.8</v>
      </c>
      <c r="X26" s="8">
        <f>IFERROR(W26/W444, "NA")</f>
        <v>1.9036271354295464</v>
      </c>
      <c r="Y26" s="9"/>
      <c r="Z26" s="7">
        <v>0</v>
      </c>
      <c r="AA26" s="8">
        <f>IFERROR(Z26/Z444, "NA")</f>
        <v>0</v>
      </c>
      <c r="AB26" s="9"/>
      <c r="AC26" s="10">
        <f t="shared" si="7"/>
        <v>4920.8</v>
      </c>
      <c r="AD26" s="8">
        <f>IFERROR(AC26/AC444, "NA")</f>
        <v>0.28603831011393738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862.56</v>
      </c>
      <c r="C28" s="8">
        <f>IFERROR(B28/B444, "NA")</f>
        <v>7.1344140108986409E-3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862.56</v>
      </c>
      <c r="I28" s="8">
        <f>IFERROR(H28/H444, "NA")</f>
        <v>0.11578344029412982</v>
      </c>
      <c r="J28" s="9"/>
      <c r="K28" s="7">
        <v>862.56</v>
      </c>
      <c r="L28" s="8">
        <f>IFERROR(K28/K444, "NA")</f>
        <v>8.2795511902718725E-3</v>
      </c>
      <c r="M28" s="9"/>
      <c r="N28" s="10">
        <f t="shared" si="5"/>
        <v>0</v>
      </c>
      <c r="O28" s="8">
        <f>IFERROR(N28/N444, "NA")</f>
        <v>0</v>
      </c>
      <c r="P28" s="9"/>
      <c r="Q28" s="7">
        <v>2396</v>
      </c>
      <c r="R28" s="8">
        <f>IFERROR(Q28/Q444, "NA")</f>
        <v>9.1298463823326643E-3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2396</v>
      </c>
      <c r="X28" s="8">
        <f>IFERROR(W28/W444, "NA")</f>
        <v>0.92690022282742501</v>
      </c>
      <c r="Y28" s="9"/>
      <c r="Z28" s="7">
        <v>2378.0300000000002</v>
      </c>
      <c r="AA28" s="8">
        <f>IFERROR(Z28/Z444, "NA")</f>
        <v>9.6970358802520081E-3</v>
      </c>
      <c r="AB28" s="9"/>
      <c r="AC28" s="10">
        <f t="shared" si="7"/>
        <v>17.9699999999998</v>
      </c>
      <c r="AD28" s="8">
        <f>IFERROR(AC28/AC444, "NA")</f>
        <v>1.0445676379343598E-3</v>
      </c>
    </row>
    <row r="29" spans="1:30" ht="16.5" customHeight="1" x14ac:dyDescent="0.45">
      <c r="A29" s="13" t="s">
        <v>30</v>
      </c>
      <c r="B29" s="14">
        <f>IFERROR(B21+B22+B23+B24+B25+B26+B27+B28, "NA")</f>
        <v>11613.300000000001</v>
      </c>
      <c r="C29" s="15">
        <f>IFERROR(B29/B444, "NA")</f>
        <v>9.6056031154666571E-2</v>
      </c>
      <c r="D29" s="2"/>
      <c r="E29" s="14">
        <f>IFERROR(E21+E22+E23+E24+E25+E26+E27+E28, "NA")</f>
        <v>11345.15</v>
      </c>
      <c r="F29" s="15">
        <f>IFERROR(E29/E444, "NA")</f>
        <v>9.9999964742655767E-2</v>
      </c>
      <c r="G29" s="2"/>
      <c r="H29" s="14">
        <f t="shared" si="4"/>
        <v>268.15000000000146</v>
      </c>
      <c r="I29" s="15">
        <f>IFERROR(H29/H444, "NA")</f>
        <v>3.5994399827108933E-2</v>
      </c>
      <c r="J29" s="2"/>
      <c r="K29" s="14">
        <f>IFERROR(K21+K22+K23+K24+K25+K26+K27+K28, "NA")</f>
        <v>10363.799999999999</v>
      </c>
      <c r="L29" s="15">
        <f>IFERROR(K29/K444, "NA")</f>
        <v>9.9480166742881224E-2</v>
      </c>
      <c r="M29" s="2"/>
      <c r="N29" s="14">
        <f t="shared" si="5"/>
        <v>1249.5000000000018</v>
      </c>
      <c r="O29" s="15">
        <f>IFERROR(N29/N444, "NA")</f>
        <v>7.4723040351637945E-2</v>
      </c>
      <c r="P29" s="2"/>
      <c r="Q29" s="14">
        <f>IFERROR(Q21+Q22+Q23+Q24+Q25+Q26+Q27+Q28, "NA")</f>
        <v>25727.86</v>
      </c>
      <c r="R29" s="15">
        <f>IFERROR(Q29/Q444, "NA")</f>
        <v>9.8034811997563129E-2</v>
      </c>
      <c r="S29" s="2"/>
      <c r="T29" s="14">
        <f>IFERROR(T21+T22+T23+T24+T25+T26+T27+T28, "NA")</f>
        <v>25985.1</v>
      </c>
      <c r="U29" s="15">
        <f>IFERROR(T29/T444, "NA")</f>
        <v>9.9999999999999992E-2</v>
      </c>
      <c r="V29" s="2"/>
      <c r="W29" s="14">
        <f t="shared" si="6"/>
        <v>-257.23999999999796</v>
      </c>
      <c r="X29" s="15">
        <f>IFERROR(W29/W444, "NA")</f>
        <v>-9.9514112404058816E-2</v>
      </c>
      <c r="Y29" s="2"/>
      <c r="Z29" s="14">
        <f>IFERROR(Z21+Z22+Z23+Z24+Z25+Z26+Z27+Z28, "NA")</f>
        <v>24331.57</v>
      </c>
      <c r="AA29" s="15">
        <f>IFERROR(Z29/Z444, "NA")</f>
        <v>9.921830561972024E-2</v>
      </c>
      <c r="AB29" s="2"/>
      <c r="AC29" s="14">
        <f t="shared" si="7"/>
        <v>1396.2900000000009</v>
      </c>
      <c r="AD29" s="15">
        <f>IFERROR(AC29/AC444, "NA")</f>
        <v>8.1164126164239528E-2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21555.79</v>
      </c>
      <c r="F31" s="8">
        <f>IFERROR(E31/E444, "NA")</f>
        <v>0.18999997708272626</v>
      </c>
      <c r="G31" s="9"/>
      <c r="H31" s="10">
        <f t="shared" ref="H31:H40" si="8">IFERROR(B31-E31, "NA")</f>
        <v>-21555.79</v>
      </c>
      <c r="I31" s="8">
        <f>IFERROR(H31/H444, "NA")</f>
        <v>-2.8934839599074857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49371.69</v>
      </c>
      <c r="U31" s="8">
        <f>IFERROR(T31/T444, "NA")</f>
        <v>0.19</v>
      </c>
      <c r="V31" s="9"/>
      <c r="W31" s="10">
        <f t="shared" ref="W31:W40" si="10">IFERROR(Q31-T31, "NA")</f>
        <v>-49371.69</v>
      </c>
      <c r="X31" s="8">
        <f>IFERROR(W31/W444, "NA")</f>
        <v>-19.099595351572017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6653.05</v>
      </c>
      <c r="C33" s="8">
        <f>IFERROR(B33/B444, "NA")</f>
        <v>5.5028766851244214E-2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6653.05</v>
      </c>
      <c r="I33" s="8">
        <f>IFERROR(H33/H444, "NA")</f>
        <v>0.893054416445071</v>
      </c>
      <c r="J33" s="9"/>
      <c r="K33" s="7">
        <v>6768.19</v>
      </c>
      <c r="L33" s="8">
        <f>IFERROR(K33/K444, "NA")</f>
        <v>6.4966582696260183E-2</v>
      </c>
      <c r="M33" s="9"/>
      <c r="N33" s="10">
        <f t="shared" si="9"/>
        <v>-115.13999999999942</v>
      </c>
      <c r="O33" s="8">
        <f>IFERROR(N33/N444, "NA")</f>
        <v>-6.8856429500500499E-3</v>
      </c>
      <c r="P33" s="9"/>
      <c r="Q33" s="7">
        <v>17461.97</v>
      </c>
      <c r="R33" s="8">
        <f>IFERROR(Q33/Q444, "NA")</f>
        <v>6.6538023219074094E-2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17461.97</v>
      </c>
      <c r="X33" s="8">
        <f>IFERROR(W33/W444, "NA")</f>
        <v>6.7552186494181186</v>
      </c>
      <c r="Y33" s="9"/>
      <c r="Z33" s="7">
        <v>17600.900000000001</v>
      </c>
      <c r="AA33" s="8">
        <f>IFERROR(Z33/Z444, "NA")</f>
        <v>7.1772247963536012E-2</v>
      </c>
      <c r="AB33" s="9"/>
      <c r="AC33" s="10">
        <f t="shared" si="11"/>
        <v>-138.93000000000029</v>
      </c>
      <c r="AD33" s="8">
        <f>IFERROR(AC33/AC444, "NA")</f>
        <v>-8.0757808535460492E-3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753.1</v>
      </c>
      <c r="C35" s="8">
        <f>IFERROR(B35/B444, "NA")</f>
        <v>6.2290474768222116E-3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753.1</v>
      </c>
      <c r="I35" s="8">
        <f>IFERROR(H35/H444, "NA")</f>
        <v>0.10109036923287559</v>
      </c>
      <c r="J35" s="9"/>
      <c r="K35" s="7">
        <v>744.13</v>
      </c>
      <c r="L35" s="8">
        <f>IFERROR(K35/K444, "NA")</f>
        <v>7.1427638972558537E-3</v>
      </c>
      <c r="M35" s="9"/>
      <c r="N35" s="10">
        <f t="shared" si="9"/>
        <v>8.9700000000000273</v>
      </c>
      <c r="O35" s="8">
        <f>IFERROR(N35/N444, "NA")</f>
        <v>5.3642710840671743E-4</v>
      </c>
      <c r="P35" s="9"/>
      <c r="Q35" s="7">
        <v>1226.45</v>
      </c>
      <c r="R35" s="8">
        <f>IFERROR(Q35/Q444, "NA")</f>
        <v>4.6733305908229954E-3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1226.45</v>
      </c>
      <c r="X35" s="8">
        <f>IFERROR(W35/W444, "NA")</f>
        <v>0.47445608442683451</v>
      </c>
      <c r="Y35" s="9"/>
      <c r="Z35" s="7">
        <v>1724.8</v>
      </c>
      <c r="AA35" s="8">
        <f>IFERROR(Z35/Z444, "NA")</f>
        <v>7.0333206419846096E-3</v>
      </c>
      <c r="AB35" s="9"/>
      <c r="AC35" s="10">
        <f t="shared" si="11"/>
        <v>-498.34999999999991</v>
      </c>
      <c r="AD35" s="8">
        <f>IFERROR(AC35/AC444, "NA")</f>
        <v>-2.8968296180556141E-2</v>
      </c>
    </row>
    <row r="36" spans="1:30" ht="16.5" customHeight="1" x14ac:dyDescent="0.45">
      <c r="A36" s="12" t="s">
        <v>36</v>
      </c>
      <c r="B36" s="7">
        <v>15722.73</v>
      </c>
      <c r="C36" s="8">
        <f>IFERROR(B36/B444, "NA")</f>
        <v>0.13004598544052171</v>
      </c>
      <c r="D36" s="9"/>
      <c r="E36" s="7">
        <v>0</v>
      </c>
      <c r="F36" s="8">
        <f>IFERROR(E36/E444, "NA")</f>
        <v>0</v>
      </c>
      <c r="G36" s="9"/>
      <c r="H36" s="10">
        <f t="shared" si="8"/>
        <v>15722.73</v>
      </c>
      <c r="I36" s="8">
        <f>IFERROR(H36/H444, "NA")</f>
        <v>2.1104987133830964</v>
      </c>
      <c r="J36" s="9"/>
      <c r="K36" s="7">
        <v>15477.2</v>
      </c>
      <c r="L36" s="8">
        <f>IFERROR(K36/K444, "NA")</f>
        <v>0.14856273149934596</v>
      </c>
      <c r="M36" s="9"/>
      <c r="N36" s="10">
        <f t="shared" si="9"/>
        <v>245.52999999999884</v>
      </c>
      <c r="O36" s="8">
        <f>IFERROR(N36/N444, "NA")</f>
        <v>1.4683271786744738E-2</v>
      </c>
      <c r="P36" s="9"/>
      <c r="Q36" s="7">
        <v>33525.08</v>
      </c>
      <c r="R36" s="8">
        <f>IFERROR(Q36/Q444, "NA")</f>
        <v>0.12774575557404558</v>
      </c>
      <c r="S36" s="9"/>
      <c r="T36" s="7">
        <v>0</v>
      </c>
      <c r="U36" s="8">
        <f>IFERROR(T36/T444, "NA")</f>
        <v>0</v>
      </c>
      <c r="V36" s="9"/>
      <c r="W36" s="10">
        <f t="shared" si="10"/>
        <v>33525.08</v>
      </c>
      <c r="X36" s="8">
        <f>IFERROR(W36/W444, "NA")</f>
        <v>12.969283857390339</v>
      </c>
      <c r="Y36" s="9"/>
      <c r="Z36" s="7">
        <v>35284.050000000003</v>
      </c>
      <c r="AA36" s="8">
        <f>IFERROR(Z36/Z444, "NA")</f>
        <v>0.14387989169632251</v>
      </c>
      <c r="AB36" s="9"/>
      <c r="AC36" s="10">
        <f t="shared" si="11"/>
        <v>-1758.9700000000012</v>
      </c>
      <c r="AD36" s="8">
        <f>IFERROR(AC36/AC444, "NA")</f>
        <v>-0.10224614012784766</v>
      </c>
    </row>
    <row r="37" spans="1:30" ht="16.5" customHeight="1" x14ac:dyDescent="0.45">
      <c r="A37" s="12" t="s">
        <v>37</v>
      </c>
      <c r="B37" s="7">
        <v>603.39</v>
      </c>
      <c r="C37" s="8">
        <f>IFERROR(B37/B444, "NA")</f>
        <v>4.9907647816222998E-3</v>
      </c>
      <c r="D37" s="9"/>
      <c r="E37" s="7">
        <v>0</v>
      </c>
      <c r="F37" s="8">
        <f>IFERROR(E37/E444, "NA")</f>
        <v>0</v>
      </c>
      <c r="G37" s="9"/>
      <c r="H37" s="10">
        <f t="shared" si="8"/>
        <v>603.39</v>
      </c>
      <c r="I37" s="8">
        <f>IFERROR(H37/H444, "NA")</f>
        <v>8.0994446808424908E-2</v>
      </c>
      <c r="J37" s="9"/>
      <c r="K37" s="7">
        <v>0</v>
      </c>
      <c r="L37" s="8">
        <f>IFERROR(K37/K444, "NA")</f>
        <v>0</v>
      </c>
      <c r="M37" s="9"/>
      <c r="N37" s="10">
        <f t="shared" si="9"/>
        <v>603.39</v>
      </c>
      <c r="O37" s="8">
        <f>IFERROR(N37/N444, "NA")</f>
        <v>3.6084141910984198E-2</v>
      </c>
      <c r="P37" s="9"/>
      <c r="Q37" s="7">
        <v>1301.1400000000001</v>
      </c>
      <c r="R37" s="8">
        <f>IFERROR(Q37/Q444, "NA")</f>
        <v>4.9579333563891164E-3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1301.1400000000001</v>
      </c>
      <c r="X37" s="8">
        <f>IFERROR(W37/W444, "NA")</f>
        <v>0.50335014855161764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1301.1400000000001</v>
      </c>
      <c r="AD37" s="8">
        <f>IFERROR(AC37/AC444, "NA")</f>
        <v>7.5633207369055544E-2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632.85</v>
      </c>
      <c r="L39" s="8">
        <f>IFERROR(K39/K444, "NA")</f>
        <v>6.0746081093066631E-3</v>
      </c>
      <c r="M39" s="9"/>
      <c r="N39" s="10">
        <f t="shared" si="9"/>
        <v>-632.85</v>
      </c>
      <c r="O39" s="8">
        <f>IFERROR(N39/N444, "NA")</f>
        <v>-3.7845919236921974E-2</v>
      </c>
      <c r="P39" s="9"/>
      <c r="Q39" s="7">
        <v>116.35</v>
      </c>
      <c r="R39" s="8">
        <f>IFERROR(Q39/Q444, "NA")</f>
        <v>4.4334625483489375E-4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116.35</v>
      </c>
      <c r="X39" s="8">
        <f>IFERROR(W39/W444, "NA")</f>
        <v>4.5010367665263312E-2</v>
      </c>
      <c r="Y39" s="9"/>
      <c r="Z39" s="7">
        <v>2032.1</v>
      </c>
      <c r="AA39" s="8">
        <f>IFERROR(Z39/Z444, "NA")</f>
        <v>8.2864163245459904E-3</v>
      </c>
      <c r="AB39" s="9"/>
      <c r="AC39" s="10">
        <f t="shared" si="11"/>
        <v>-1915.75</v>
      </c>
      <c r="AD39" s="8">
        <f>IFERROR(AC39/AC444, "NA")</f>
        <v>-0.11135951320939187</v>
      </c>
    </row>
    <row r="40" spans="1:30" ht="16.5" customHeight="1" x14ac:dyDescent="0.45">
      <c r="A40" s="13" t="s">
        <v>40</v>
      </c>
      <c r="B40" s="14">
        <f>IFERROR(B31+B32+B33+B34+B35+B36+B37+B38+B39, "NA")</f>
        <v>23732.27</v>
      </c>
      <c r="C40" s="15">
        <f>IFERROR(B40/B444, "NA")</f>
        <v>0.19629456455021041</v>
      </c>
      <c r="D40" s="2"/>
      <c r="E40" s="14">
        <f>IFERROR(E31+E32+E33+E34+E35+E36+E37+E38+E39, "NA")</f>
        <v>21555.79</v>
      </c>
      <c r="F40" s="15">
        <f>IFERROR(E40/E444, "NA")</f>
        <v>0.18999997708272626</v>
      </c>
      <c r="G40" s="2"/>
      <c r="H40" s="14">
        <f t="shared" si="8"/>
        <v>2176.4799999999996</v>
      </c>
      <c r="I40" s="15">
        <f>IFERROR(H40/H444, "NA")</f>
        <v>0.2921539859619825</v>
      </c>
      <c r="J40" s="2"/>
      <c r="K40" s="14">
        <f>IFERROR(K31+K32+K33+K34+K35+K36+K37+K38+K39, "NA")</f>
        <v>23622.37</v>
      </c>
      <c r="L40" s="15">
        <f>IFERROR(K40/K444, "NA")</f>
        <v>0.22674668620216865</v>
      </c>
      <c r="M40" s="2"/>
      <c r="N40" s="14">
        <f t="shared" si="9"/>
        <v>109.90000000000146</v>
      </c>
      <c r="O40" s="15">
        <f>IFERROR(N40/N444, "NA")</f>
        <v>6.5722786191637515E-3</v>
      </c>
      <c r="P40" s="2"/>
      <c r="Q40" s="14">
        <f>IFERROR(Q31+Q32+Q33+Q34+Q35+Q36+Q37+Q38+Q39, "NA")</f>
        <v>53630.99</v>
      </c>
      <c r="R40" s="15">
        <f>IFERROR(Q40/Q444, "NA")</f>
        <v>0.20435838899516665</v>
      </c>
      <c r="S40" s="2"/>
      <c r="T40" s="14">
        <f>IFERROR(T31+T32+T33+T34+T35+T36+T37+T38+T39, "NA")</f>
        <v>49371.69</v>
      </c>
      <c r="U40" s="15">
        <f>IFERROR(T40/T444, "NA")</f>
        <v>0.19</v>
      </c>
      <c r="V40" s="2"/>
      <c r="W40" s="14">
        <f t="shared" si="10"/>
        <v>4259.2999999999956</v>
      </c>
      <c r="X40" s="15">
        <f>IFERROR(W40/W444, "NA")</f>
        <v>1.6477237558801534</v>
      </c>
      <c r="Y40" s="2"/>
      <c r="Z40" s="14">
        <f>IFERROR(Z31+Z32+Z33+Z34+Z35+Z36+Z37+Z38+Z39, "NA")</f>
        <v>56641.85</v>
      </c>
      <c r="AA40" s="15">
        <f>IFERROR(Z40/Z444, "NA")</f>
        <v>0.23097187662638913</v>
      </c>
      <c r="AB40" s="2"/>
      <c r="AC40" s="14">
        <f t="shared" si="11"/>
        <v>-3010.8600000000006</v>
      </c>
      <c r="AD40" s="15">
        <f>IFERROR(AC40/AC444, "NA")</f>
        <v>-0.17501652300228615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22690.31</v>
      </c>
      <c r="F42" s="8">
        <f>IFERROR(E42/E444, "NA")</f>
        <v>0.20000001762867214</v>
      </c>
      <c r="G42" s="9"/>
      <c r="H42" s="10">
        <f>IFERROR(B42-E42, "NA")</f>
        <v>-22690.31</v>
      </c>
      <c r="I42" s="8">
        <f>IFERROR(H42/H444, "NA")</f>
        <v>-3.0457732252136629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51970.2</v>
      </c>
      <c r="U42" s="8">
        <f>IFERROR(T42/T444, "NA")</f>
        <v>0.19999999999999998</v>
      </c>
      <c r="V42" s="9"/>
      <c r="W42" s="10">
        <f>IFERROR(Q42-T42, "NA")</f>
        <v>-51970.2</v>
      </c>
      <c r="X42" s="8">
        <f>IFERROR(W42/W444, "NA")</f>
        <v>-20.104837212181067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9192.2199999999993</v>
      </c>
      <c r="C43" s="8">
        <f>IFERROR(B43/B444, "NA")</f>
        <v>7.6030772536707827E-2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9192.2199999999993</v>
      </c>
      <c r="I43" s="8">
        <f>IFERROR(H43/H444, "NA")</f>
        <v>1.2338931269019036</v>
      </c>
      <c r="J43" s="9"/>
      <c r="K43" s="7">
        <v>2117.86</v>
      </c>
      <c r="L43" s="8">
        <f>IFERROR(K43/K444, "NA")</f>
        <v>2.032893976515163E-2</v>
      </c>
      <c r="M43" s="9"/>
      <c r="N43" s="10">
        <f>IFERROR(B43-K43, "NA")</f>
        <v>7074.3599999999988</v>
      </c>
      <c r="O43" s="8">
        <f>IFERROR(N43/N444, "NA")</f>
        <v>0.42306337554382756</v>
      </c>
      <c r="P43" s="9"/>
      <c r="Q43" s="7">
        <v>13388.77</v>
      </c>
      <c r="R43" s="8">
        <f>IFERROR(Q43/Q444, "NA")</f>
        <v>5.1017284369108559E-2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13388.77</v>
      </c>
      <c r="X43" s="8">
        <f>IFERROR(W43/W444, "NA")</f>
        <v>5.179488270611496</v>
      </c>
      <c r="Y43" s="9"/>
      <c r="Z43" s="7">
        <v>18483.62</v>
      </c>
      <c r="AA43" s="8">
        <f>IFERROR(Z43/Z444, "NA")</f>
        <v>7.5371768370013664E-2</v>
      </c>
      <c r="AB43" s="9"/>
      <c r="AC43" s="10">
        <f>IFERROR(Q43-Z43, "NA")</f>
        <v>-5094.8499999999985</v>
      </c>
      <c r="AD43" s="8">
        <f>IFERROR(AC43/AC444, "NA")</f>
        <v>-0.29615556094212186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453.02</v>
      </c>
      <c r="C47" s="8">
        <f>IFERROR(B47/B444, "NA")</f>
        <v>3.7470230885008607E-3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453.02</v>
      </c>
      <c r="I47" s="8">
        <f>IFERROR(H47/H444, "NA")</f>
        <v>6.0809931044851016E-2</v>
      </c>
      <c r="J47" s="9"/>
      <c r="K47" s="7">
        <v>581.64</v>
      </c>
      <c r="L47" s="8">
        <f>IFERROR(K47/K444, "NA")</f>
        <v>5.5830529520378086E-3</v>
      </c>
      <c r="M47" s="9"/>
      <c r="N47" s="10">
        <f t="shared" si="13"/>
        <v>-128.62</v>
      </c>
      <c r="O47" s="8">
        <f>IFERROR(N47/N444, "NA")</f>
        <v>-7.6917786714907231E-3</v>
      </c>
      <c r="P47" s="9"/>
      <c r="Q47" s="7">
        <v>1100.2</v>
      </c>
      <c r="R47" s="8">
        <f>IFERROR(Q47/Q444, "NA")</f>
        <v>4.1922608471796317E-3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1100.2</v>
      </c>
      <c r="X47" s="8">
        <f>IFERROR(W47/W444, "NA")</f>
        <v>0.42561587026491365</v>
      </c>
      <c r="Y47" s="9"/>
      <c r="Z47" s="7">
        <v>3454.79</v>
      </c>
      <c r="AA47" s="8">
        <f>IFERROR(Z47/Z444, "NA")</f>
        <v>1.4087804858952927E-2</v>
      </c>
      <c r="AB47" s="9"/>
      <c r="AC47" s="10">
        <f t="shared" si="15"/>
        <v>-2354.59</v>
      </c>
      <c r="AD47" s="8">
        <f>IFERROR(AC47/AC444, "NA")</f>
        <v>-0.13686858734579252</v>
      </c>
    </row>
    <row r="48" spans="1:30" ht="16.5" customHeight="1" x14ac:dyDescent="0.45">
      <c r="A48" s="17" t="s">
        <v>46</v>
      </c>
      <c r="B48" s="7">
        <v>2353.9699999999998</v>
      </c>
      <c r="C48" s="8">
        <f>IFERROR(B48/B444, "NA")</f>
        <v>1.9470177783847006E-2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2353.9699999999998</v>
      </c>
      <c r="I48" s="8">
        <f>IFERROR(H48/H444, "NA")</f>
        <v>0.31597888256952877</v>
      </c>
      <c r="J48" s="9"/>
      <c r="K48" s="7">
        <v>6023.86</v>
      </c>
      <c r="L48" s="8">
        <f>IFERROR(K48/K444, "NA")</f>
        <v>5.7821899036624838E-2</v>
      </c>
      <c r="M48" s="9"/>
      <c r="N48" s="10">
        <f t="shared" si="13"/>
        <v>-3669.89</v>
      </c>
      <c r="O48" s="8">
        <f>IFERROR(N48/N444, "NA")</f>
        <v>-0.21946805806808498</v>
      </c>
      <c r="P48" s="9"/>
      <c r="Q48" s="7">
        <v>4430.96</v>
      </c>
      <c r="R48" s="8">
        <f>IFERROR(Q48/Q444, "NA")</f>
        <v>1.6883966663714833E-2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4430.96</v>
      </c>
      <c r="X48" s="8">
        <f>IFERROR(W48/W444, "NA")</f>
        <v>1.7141309730131082</v>
      </c>
      <c r="Y48" s="9"/>
      <c r="Z48" s="7">
        <v>26254.23</v>
      </c>
      <c r="AA48" s="8">
        <f>IFERROR(Z48/Z444, "NA")</f>
        <v>0.10705845187755775</v>
      </c>
      <c r="AB48" s="9"/>
      <c r="AC48" s="10">
        <f t="shared" si="15"/>
        <v>-21823.27</v>
      </c>
      <c r="AD48" s="8">
        <f>IFERROR(AC48/AC444, "NA")</f>
        <v>-1.2685521199724001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customHeight="1" x14ac:dyDescent="0.45">
      <c r="A50" s="17" t="s">
        <v>48</v>
      </c>
      <c r="B50" s="7">
        <v>1925</v>
      </c>
      <c r="C50" s="8">
        <f>IFERROR(B50/B444, "NA")</f>
        <v>1.5922077271123034E-2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1925</v>
      </c>
      <c r="I50" s="8">
        <f>IFERROR(H50/H444, "NA")</f>
        <v>0.25839723910939516</v>
      </c>
      <c r="J50" s="9"/>
      <c r="K50" s="7">
        <v>4368.5</v>
      </c>
      <c r="L50" s="8">
        <f>IFERROR(K50/K444, "NA")</f>
        <v>4.1932409774047809E-2</v>
      </c>
      <c r="M50" s="9"/>
      <c r="N50" s="10">
        <f t="shared" si="13"/>
        <v>-2443.5</v>
      </c>
      <c r="O50" s="8">
        <f>IFERROR(N50/N444, "NA")</f>
        <v>-0.14612705009942142</v>
      </c>
      <c r="P50" s="9"/>
      <c r="Q50" s="7">
        <v>7804</v>
      </c>
      <c r="R50" s="8">
        <f>IFERROR(Q50/Q444, "NA")</f>
        <v>2.9736778450636107E-2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7804</v>
      </c>
      <c r="X50" s="8">
        <f>IFERROR(W50/W444, "NA")</f>
        <v>3.0190022282743008</v>
      </c>
      <c r="Y50" s="9"/>
      <c r="Z50" s="7">
        <v>5644.67</v>
      </c>
      <c r="AA50" s="8">
        <f>IFERROR(Z50/Z444, "NA")</f>
        <v>2.3017610174044103E-2</v>
      </c>
      <c r="AB50" s="9"/>
      <c r="AC50" s="10">
        <f t="shared" si="15"/>
        <v>2159.33</v>
      </c>
      <c r="AD50" s="8">
        <f>IFERROR(AC50/AC444, "NA")</f>
        <v>0.12551843281139821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565.97</v>
      </c>
      <c r="C55" s="8">
        <f>IFERROR(B55/B444, "NA")</f>
        <v>4.6812561418896129E-3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565.97</v>
      </c>
      <c r="I55" s="8">
        <f>IFERROR(H55/H444, "NA")</f>
        <v>7.597147294480229E-2</v>
      </c>
      <c r="J55" s="9"/>
      <c r="K55" s="7">
        <v>0</v>
      </c>
      <c r="L55" s="8">
        <f>IFERROR(K55/K444, "NA")</f>
        <v>0</v>
      </c>
      <c r="M55" s="9"/>
      <c r="N55" s="10">
        <f t="shared" si="13"/>
        <v>565.97</v>
      </c>
      <c r="O55" s="8">
        <f>IFERROR(N55/N444, "NA")</f>
        <v>3.3846337853394533E-2</v>
      </c>
      <c r="P55" s="9"/>
      <c r="Q55" s="7">
        <v>5331.93</v>
      </c>
      <c r="R55" s="8">
        <f>IFERROR(Q55/Q444, "NA")</f>
        <v>2.0317070877024626E-2</v>
      </c>
      <c r="S55" s="9"/>
      <c r="T55" s="7">
        <v>0</v>
      </c>
      <c r="U55" s="8">
        <f>IFERROR(T55/T444, "NA")</f>
        <v>0</v>
      </c>
      <c r="V55" s="9"/>
      <c r="W55" s="10">
        <f t="shared" si="14"/>
        <v>5331.93</v>
      </c>
      <c r="X55" s="8">
        <f>IFERROR(W55/W444, "NA")</f>
        <v>2.0626740839316495</v>
      </c>
      <c r="Y55" s="9"/>
      <c r="Z55" s="7">
        <v>334.29</v>
      </c>
      <c r="AA55" s="8">
        <f>IFERROR(Z55/Z444, "NA")</f>
        <v>1.3631544279968898E-3</v>
      </c>
      <c r="AB55" s="9"/>
      <c r="AC55" s="10">
        <f t="shared" si="15"/>
        <v>4997.6400000000003</v>
      </c>
      <c r="AD55" s="8">
        <f>IFERROR(AC55/AC444, "NA")</f>
        <v>0.29050489760970127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1767.38</v>
      </c>
      <c r="L57" s="8">
        <f>IFERROR(K57/K444, "NA")</f>
        <v>1.6964748171330347E-2</v>
      </c>
      <c r="M57" s="9"/>
      <c r="N57" s="10">
        <f t="shared" si="13"/>
        <v>-1767.38</v>
      </c>
      <c r="O57" s="8">
        <f>IFERROR(N57/N444, "NA")</f>
        <v>-0.10569348303855758</v>
      </c>
      <c r="P57" s="9"/>
      <c r="Q57" s="7">
        <v>3735.79</v>
      </c>
      <c r="R57" s="8">
        <f>IFERROR(Q57/Q444, "NA")</f>
        <v>1.4235053763211412E-2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3735.79</v>
      </c>
      <c r="X57" s="8">
        <f>IFERROR(W57/W444, "NA")</f>
        <v>1.4452022468432664</v>
      </c>
      <c r="Y57" s="9"/>
      <c r="Z57" s="7">
        <v>1767.38</v>
      </c>
      <c r="AA57" s="8">
        <f>IFERROR(Z57/Z444, "NA")</f>
        <v>7.2069516675734926E-3</v>
      </c>
      <c r="AB57" s="9"/>
      <c r="AC57" s="10">
        <f t="shared" si="15"/>
        <v>1968.4099999999999</v>
      </c>
      <c r="AD57" s="8">
        <f>IFERROR(AC57/AC444, "NA")</f>
        <v>0.11442055560302704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5297.96</v>
      </c>
      <c r="C61" s="15">
        <f>IFERROR(B61/B444, "NA")</f>
        <v>4.3820534285360514E-2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5297.96</v>
      </c>
      <c r="I61" s="15">
        <f>IFERROR(H61/H444, "NA")</f>
        <v>0.71115752566857726</v>
      </c>
      <c r="J61" s="2"/>
      <c r="K61" s="14">
        <f>IFERROR(K46+K47+K48+K49+K50+K51+K52+K53+K54+K55+K56+K57+K58+K59+K60, "NA")</f>
        <v>12741.380000000001</v>
      </c>
      <c r="L61" s="15">
        <f>IFERROR(K61/K444, "NA")</f>
        <v>0.12230210993404082</v>
      </c>
      <c r="M61" s="2"/>
      <c r="N61" s="14">
        <f t="shared" si="13"/>
        <v>-7443.420000000001</v>
      </c>
      <c r="O61" s="15">
        <f>IFERROR(N61/N444, "NA")</f>
        <v>-0.44513403202416019</v>
      </c>
      <c r="P61" s="2"/>
      <c r="Q61" s="14">
        <f>IFERROR(Q46+Q47+Q48+Q49+Q50+Q51+Q52+Q53+Q54+Q55+Q56+Q57+Q58+Q59+Q60, "NA")</f>
        <v>22402.880000000001</v>
      </c>
      <c r="R61" s="15">
        <f>IFERROR(Q61/Q444, "NA")</f>
        <v>8.536513060176662E-2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22402.880000000001</v>
      </c>
      <c r="X61" s="15">
        <f>IFERROR(W61/W444, "NA")</f>
        <v>8.666625402327238</v>
      </c>
      <c r="Y61" s="2"/>
      <c r="Z61" s="14">
        <f>IFERROR(Z46+Z47+Z48+Z49+Z50+Z51+Z52+Z53+Z54+Z55+Z56+Z57+Z58+Z59+Z60, "NA")</f>
        <v>37455.360000000001</v>
      </c>
      <c r="AA61" s="15">
        <f>IFERROR(Z61/Z444, "NA")</f>
        <v>0.15273397300612515</v>
      </c>
      <c r="AB61" s="2"/>
      <c r="AC61" s="14">
        <f t="shared" si="15"/>
        <v>-15052.48</v>
      </c>
      <c r="AD61" s="15">
        <f>IFERROR(AC61/AC444, "NA")</f>
        <v>-0.87497682129406595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14490.179999999998</v>
      </c>
      <c r="C62" s="15">
        <f>IFERROR(B62/B444, "NA")</f>
        <v>0.11985130682206833</v>
      </c>
      <c r="D62" s="2"/>
      <c r="E62" s="14">
        <f>IFERROR(E42+E43+E44+E46+E47+E48+E49+E50+E51+E52+E53+E54+E55+E56+E57+E58+E59+E60, "NA")</f>
        <v>22690.31</v>
      </c>
      <c r="F62" s="15">
        <f>IFERROR(E62/E444, "NA")</f>
        <v>0.20000001762867214</v>
      </c>
      <c r="G62" s="2"/>
      <c r="H62" s="14">
        <f t="shared" si="12"/>
        <v>-8200.1300000000028</v>
      </c>
      <c r="I62" s="15">
        <f>IFERROR(H62/H444, "NA")</f>
        <v>-1.100722572643182</v>
      </c>
      <c r="J62" s="2"/>
      <c r="K62" s="14">
        <f>IFERROR(K42+K43+K44+K46+K47+K48+K49+K50+K51+K52+K53+K54+K55+K56+K57+K58+K59+K60, "NA")</f>
        <v>14859.240000000002</v>
      </c>
      <c r="L62" s="15">
        <f>IFERROR(K62/K444, "NA")</f>
        <v>0.14263104969919246</v>
      </c>
      <c r="M62" s="2"/>
      <c r="N62" s="14">
        <f t="shared" si="13"/>
        <v>-369.06000000000313</v>
      </c>
      <c r="O62" s="15">
        <f>IFERROR(N62/N444, "NA")</f>
        <v>-2.2070656480332688E-2</v>
      </c>
      <c r="P62" s="2"/>
      <c r="Q62" s="14">
        <f>IFERROR(Q42+Q43+Q44+Q46+Q47+Q48+Q49+Q50+Q51+Q52+Q53+Q54+Q55+Q56+Q57+Q58+Q59+Q60, "NA")</f>
        <v>35791.65</v>
      </c>
      <c r="R62" s="15">
        <f>IFERROR(Q62/Q444, "NA")</f>
        <v>0.13638241497087517</v>
      </c>
      <c r="S62" s="2"/>
      <c r="T62" s="14">
        <f>IFERROR(T42+T43+T44+T46+T47+T48+T49+T50+T51+T52+T53+T54+T55+T56+T57+T58+T59+T60, "NA")</f>
        <v>51970.2</v>
      </c>
      <c r="U62" s="15">
        <f>IFERROR(T62/T444, "NA")</f>
        <v>0.19999999999999998</v>
      </c>
      <c r="V62" s="2"/>
      <c r="W62" s="14">
        <f t="shared" si="14"/>
        <v>-16178.549999999996</v>
      </c>
      <c r="X62" s="15">
        <f>IFERROR(W62/W444, "NA")</f>
        <v>-6.2587235392423342</v>
      </c>
      <c r="Y62" s="2"/>
      <c r="Z62" s="14">
        <f>IFERROR(Z42+Z43+Z44+Z46+Z47+Z48+Z49+Z50+Z51+Z52+Z53+Z54+Z55+Z56+Z57+Z58+Z59+Z60, "NA")</f>
        <v>55938.979999999996</v>
      </c>
      <c r="AA62" s="15">
        <f>IFERROR(Z62/Z444, "NA")</f>
        <v>0.22810574137613882</v>
      </c>
      <c r="AB62" s="2"/>
      <c r="AC62" s="14">
        <f t="shared" si="15"/>
        <v>-20147.329999999994</v>
      </c>
      <c r="AD62" s="15">
        <f>IFERROR(AC62/AC444, "NA")</f>
        <v>-1.1711323822361877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11572.06</v>
      </c>
      <c r="F64" s="8">
        <f>IFERROR(E64/E444, "NA")</f>
        <v>0.10200002573786129</v>
      </c>
      <c r="G64" s="9"/>
      <c r="H64" s="10">
        <f t="shared" ref="H64:H73" si="16">IFERROR(B64-E64, "NA")</f>
        <v>-11572.06</v>
      </c>
      <c r="I64" s="8">
        <f>IFERROR(H64/H444, "NA")</f>
        <v>-1.5533445999003987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26504.81</v>
      </c>
      <c r="U64" s="8">
        <f>IFERROR(T64/T444, "NA")</f>
        <v>0.10200003078687402</v>
      </c>
      <c r="V64" s="9"/>
      <c r="W64" s="10">
        <f t="shared" ref="W64:W73" si="18">IFERROR(Q64-T64, "NA")</f>
        <v>-26504.81</v>
      </c>
      <c r="X64" s="8">
        <f>IFERROR(W64/W444, "NA")</f>
        <v>-10.253470073037798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9996.99</v>
      </c>
      <c r="C65" s="8">
        <f>IFERROR(B65/B444, "NA")</f>
        <v>8.2687193381113896E-2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9996.99</v>
      </c>
      <c r="I65" s="8">
        <f>IFERROR(H65/H444, "NA")</f>
        <v>1.3419192807294715</v>
      </c>
      <c r="J65" s="9"/>
      <c r="K65" s="7">
        <v>0</v>
      </c>
      <c r="L65" s="8">
        <f>IFERROR(K65/K444, "NA")</f>
        <v>0</v>
      </c>
      <c r="M65" s="9"/>
      <c r="N65" s="10">
        <f t="shared" si="17"/>
        <v>9996.99</v>
      </c>
      <c r="O65" s="8">
        <f>IFERROR(N65/N444, "NA")</f>
        <v>0.5978435271427931</v>
      </c>
      <c r="P65" s="9"/>
      <c r="Q65" s="7">
        <v>21262.29</v>
      </c>
      <c r="R65" s="8">
        <f>IFERROR(Q65/Q444, "NA")</f>
        <v>8.1018965541155258E-2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21262.29</v>
      </c>
      <c r="X65" s="8">
        <f>IFERROR(W65/W444, "NA")</f>
        <v>8.2253845320623249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21262.29</v>
      </c>
      <c r="AD65" s="8">
        <f>IFERROR(AC65/AC444, "NA")</f>
        <v>1.2359432410893492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1487.52</v>
      </c>
      <c r="L66" s="8">
        <f>IFERROR(K66/K444, "NA")</f>
        <v>1.4278424673707588E-2</v>
      </c>
      <c r="M66" s="9"/>
      <c r="N66" s="10">
        <f t="shared" si="17"/>
        <v>-1487.52</v>
      </c>
      <c r="O66" s="8">
        <f>IFERROR(N66/N444, "NA")</f>
        <v>-8.8957196465680927E-2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1887.74</v>
      </c>
      <c r="AA66" s="8">
        <f>IFERROR(Z66/Z444, "NA")</f>
        <v>7.697750874710127E-3</v>
      </c>
      <c r="AB66" s="9"/>
      <c r="AC66" s="10">
        <f t="shared" si="19"/>
        <v>-1887.74</v>
      </c>
      <c r="AD66" s="8">
        <f>IFERROR(AC66/AC444, "NA")</f>
        <v>-0.10973133627346857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1833.87</v>
      </c>
      <c r="C68" s="8">
        <f>IFERROR(B68/B444, "NA")</f>
        <v>1.5168321997503583E-2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1833.87</v>
      </c>
      <c r="I68" s="8">
        <f>IFERROR(H68/H444, "NA")</f>
        <v>0.2461646466937904</v>
      </c>
      <c r="J68" s="9"/>
      <c r="K68" s="7">
        <v>0</v>
      </c>
      <c r="L68" s="8">
        <f>IFERROR(K68/K444, "NA")</f>
        <v>0</v>
      </c>
      <c r="M68" s="9"/>
      <c r="N68" s="10">
        <f t="shared" si="17"/>
        <v>1833.87</v>
      </c>
      <c r="O68" s="8">
        <f>IFERROR(N68/N444, "NA")</f>
        <v>0.10966974150432819</v>
      </c>
      <c r="P68" s="9"/>
      <c r="Q68" s="7">
        <v>2237.0700000000002</v>
      </c>
      <c r="R68" s="8">
        <f>IFERROR(Q68/Q444, "NA")</f>
        <v>8.5242510210872015E-3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2237.0700000000002</v>
      </c>
      <c r="X68" s="8">
        <f>IFERROR(W68/W444, "NA")</f>
        <v>0.86541764669471943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2237.0700000000002</v>
      </c>
      <c r="AD68" s="8">
        <f>IFERROR(AC68/AC444, "NA")</f>
        <v>0.13003733588168304</v>
      </c>
    </row>
    <row r="69" spans="1:30" ht="16.5" customHeight="1" x14ac:dyDescent="0.45">
      <c r="A69" s="12" t="s">
        <v>66</v>
      </c>
      <c r="B69" s="7">
        <v>9120</v>
      </c>
      <c r="C69" s="8">
        <f>IFERROR(B69/B444, "NA")</f>
        <v>7.5433425824749128E-2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9120</v>
      </c>
      <c r="I69" s="8">
        <f>IFERROR(H69/H444, "NA")</f>
        <v>1.2241988678845113</v>
      </c>
      <c r="J69" s="9"/>
      <c r="K69" s="7">
        <v>0</v>
      </c>
      <c r="L69" s="8">
        <f>IFERROR(K69/K444, "NA")</f>
        <v>0</v>
      </c>
      <c r="M69" s="9"/>
      <c r="N69" s="10">
        <f t="shared" si="17"/>
        <v>9120</v>
      </c>
      <c r="O69" s="8">
        <f>IFERROR(N69/N444, "NA")</f>
        <v>0.5453974613901057</v>
      </c>
      <c r="P69" s="9"/>
      <c r="Q69" s="7">
        <v>15940</v>
      </c>
      <c r="R69" s="8">
        <f>IFERROR(Q69/Q444, "NA")</f>
        <v>6.07386274350512E-2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15940</v>
      </c>
      <c r="X69" s="8">
        <f>IFERROR(W69/W444, "NA")</f>
        <v>6.1664397128001482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15940</v>
      </c>
      <c r="AD69" s="8">
        <f>IFERROR(AC69/AC444, "NA")</f>
        <v>0.9265669531816294</v>
      </c>
    </row>
    <row r="70" spans="1:30" ht="16.5" customHeight="1" x14ac:dyDescent="0.45">
      <c r="A70" s="12" t="s">
        <v>67</v>
      </c>
      <c r="B70" s="7">
        <v>5319</v>
      </c>
      <c r="C70" s="8">
        <f>IFERROR(B70/B444, "NA")</f>
        <v>4.3994560522131645E-2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5319</v>
      </c>
      <c r="I70" s="8">
        <f>IFERROR(H70/H444, "NA")</f>
        <v>0.71398177393396001</v>
      </c>
      <c r="J70" s="9"/>
      <c r="K70" s="7">
        <v>0</v>
      </c>
      <c r="L70" s="8">
        <f>IFERROR(K70/K444, "NA")</f>
        <v>0</v>
      </c>
      <c r="M70" s="9"/>
      <c r="N70" s="10">
        <f t="shared" si="17"/>
        <v>5319</v>
      </c>
      <c r="O70" s="8">
        <f>IFERROR(N70/N444, "NA")</f>
        <v>0.3180887167910057</v>
      </c>
      <c r="P70" s="9"/>
      <c r="Q70" s="7">
        <v>14100.5</v>
      </c>
      <c r="R70" s="8">
        <f>IFERROR(Q70/Q444, "NA")</f>
        <v>5.3729298378164328E-2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14100.5</v>
      </c>
      <c r="X70" s="8">
        <f>IFERROR(W70/W444, "NA")</f>
        <v>5.4548232854666558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14100.5</v>
      </c>
      <c r="AD70" s="8">
        <f>IFERROR(AC70/AC444, "NA")</f>
        <v>0.81963973170248206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26269.86</v>
      </c>
      <c r="C73" s="15">
        <f>IFERROR(B73/B444, "NA")</f>
        <v>0.21728350172549826</v>
      </c>
      <c r="D73" s="2"/>
      <c r="E73" s="14">
        <f>IFERROR(E64+E65+E66+E67+E68+E69+E70+E71+E72, "NA")</f>
        <v>11572.06</v>
      </c>
      <c r="F73" s="15">
        <f>IFERROR(E73/E444, "NA")</f>
        <v>0.10200002573786129</v>
      </c>
      <c r="G73" s="2"/>
      <c r="H73" s="14">
        <f t="shared" si="16"/>
        <v>14697.800000000001</v>
      </c>
      <c r="I73" s="15">
        <f>IFERROR(H73/H444, "NA")</f>
        <v>1.9729199693413344</v>
      </c>
      <c r="J73" s="2"/>
      <c r="K73" s="14">
        <f>IFERROR(K64+K65+K66+K67+K68+K69+K70+K71+K72, "NA")</f>
        <v>1487.52</v>
      </c>
      <c r="L73" s="15">
        <f>IFERROR(K73/K444, "NA")</f>
        <v>1.4278424673707588E-2</v>
      </c>
      <c r="M73" s="2"/>
      <c r="N73" s="14">
        <f t="shared" si="17"/>
        <v>24782.34</v>
      </c>
      <c r="O73" s="15">
        <f>IFERROR(N73/N444, "NA")</f>
        <v>1.4820422503625519</v>
      </c>
      <c r="P73" s="2"/>
      <c r="Q73" s="14">
        <f>IFERROR(Q64+Q65+Q66+Q67+Q68+Q69+Q70+Q71+Q72, "NA")</f>
        <v>53539.86</v>
      </c>
      <c r="R73" s="15">
        <f>IFERROR(Q73/Q444, "NA")</f>
        <v>0.20401114237545798</v>
      </c>
      <c r="S73" s="2"/>
      <c r="T73" s="14">
        <f>IFERROR(T64+T65+T66+T67+T68+T69+T70+T71+T72, "NA")</f>
        <v>26504.81</v>
      </c>
      <c r="U73" s="15">
        <f>IFERROR(T73/T444, "NA")</f>
        <v>0.10200003078687402</v>
      </c>
      <c r="V73" s="2"/>
      <c r="W73" s="14">
        <f t="shared" si="18"/>
        <v>27035.05</v>
      </c>
      <c r="X73" s="15">
        <f>IFERROR(W73/W444, "NA")</f>
        <v>10.458595103986051</v>
      </c>
      <c r="Y73" s="2"/>
      <c r="Z73" s="14">
        <f>IFERROR(Z64+Z65+Z66+Z67+Z68+Z69+Z70+Z71+Z72, "NA")</f>
        <v>1887.74</v>
      </c>
      <c r="AA73" s="15">
        <f>IFERROR(Z73/Z444, "NA")</f>
        <v>7.697750874710127E-3</v>
      </c>
      <c r="AB73" s="2"/>
      <c r="AC73" s="14">
        <f t="shared" si="19"/>
        <v>51652.12</v>
      </c>
      <c r="AD73" s="15">
        <f>IFERROR(AC73/AC444, "NA")</f>
        <v>3.0024559255816752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907.61</v>
      </c>
      <c r="F75" s="8">
        <f>IFERROR(E75/E444, "NA")</f>
        <v>7.999979550740343E-3</v>
      </c>
      <c r="G75" s="9"/>
      <c r="H75" s="10">
        <f t="shared" ref="H75:H92" si="20">IFERROR(B75-E75, "NA")</f>
        <v>-907.61</v>
      </c>
      <c r="I75" s="8">
        <f>IFERROR(H75/H444, "NA")</f>
        <v>-0.12183060685094969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2078.8000000000002</v>
      </c>
      <c r="U75" s="8">
        <f>IFERROR(T75/T444, "NA")</f>
        <v>7.9999692131259847E-3</v>
      </c>
      <c r="V75" s="9"/>
      <c r="W75" s="10">
        <f t="shared" ref="W75:W92" si="22">IFERROR(Q75-T75, "NA")</f>
        <v>-2078.8000000000002</v>
      </c>
      <c r="X75" s="8">
        <f>IFERROR(W75/W444, "NA")</f>
        <v>-0.80419039366179101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632.20000000000005</v>
      </c>
      <c r="C77" s="8">
        <f>IFERROR(B77/B444, "NA")</f>
        <v>5.2290583121059652E-3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632.20000000000005</v>
      </c>
      <c r="I77" s="8">
        <f>IFERROR(H77/H444, "NA")</f>
        <v>8.4861680293485536E-2</v>
      </c>
      <c r="J77" s="9"/>
      <c r="K77" s="7">
        <v>155.25</v>
      </c>
      <c r="L77" s="8">
        <f>IFERROR(K77/K444, "NA")</f>
        <v>1.4902155470804446E-3</v>
      </c>
      <c r="M77" s="9"/>
      <c r="N77" s="10">
        <f t="shared" si="21"/>
        <v>476.95000000000005</v>
      </c>
      <c r="O77" s="8">
        <f>IFERROR(N77/N444, "NA")</f>
        <v>2.8522732369518744E-2</v>
      </c>
      <c r="P77" s="9"/>
      <c r="Q77" s="7">
        <v>1014.43</v>
      </c>
      <c r="R77" s="8">
        <f>IFERROR(Q77/Q444, "NA")</f>
        <v>3.8654382577753442E-3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1014.43</v>
      </c>
      <c r="X77" s="8">
        <f>IFERROR(W77/W444, "NA")</f>
        <v>0.39243547288932584</v>
      </c>
      <c r="Y77" s="9"/>
      <c r="Z77" s="7">
        <v>607.65</v>
      </c>
      <c r="AA77" s="8">
        <f>IFERROR(Z77/Z444, "NA")</f>
        <v>2.4778509323411108E-3</v>
      </c>
      <c r="AB77" s="9"/>
      <c r="AC77" s="10">
        <f t="shared" si="23"/>
        <v>406.78</v>
      </c>
      <c r="AD77" s="8">
        <f>IFERROR(AC77/AC444, "NA")</f>
        <v>2.3645477115133196E-2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75</v>
      </c>
      <c r="L78" s="8">
        <f>IFERROR(K78/K444, "NA")</f>
        <v>7.1991089230939351E-4</v>
      </c>
      <c r="M78" s="9"/>
      <c r="N78" s="10">
        <f t="shared" si="21"/>
        <v>-75</v>
      </c>
      <c r="O78" s="8">
        <f>IFERROR(N78/N444, "NA")</f>
        <v>-4.4851764916949482E-3</v>
      </c>
      <c r="P78" s="9"/>
      <c r="Q78" s="7">
        <v>50</v>
      </c>
      <c r="R78" s="8">
        <f>IFERROR(Q78/Q444, "NA")</f>
        <v>1.9052267074984693E-4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50</v>
      </c>
      <c r="X78" s="8">
        <f>IFERROR(W78/W444, "NA")</f>
        <v>1.9342659074028067E-2</v>
      </c>
      <c r="Y78" s="9"/>
      <c r="Z78" s="7">
        <v>200</v>
      </c>
      <c r="AA78" s="8">
        <f>IFERROR(Z78/Z444, "NA")</f>
        <v>8.1555202249357719E-4</v>
      </c>
      <c r="AB78" s="9"/>
      <c r="AC78" s="10">
        <f t="shared" si="23"/>
        <v>-150</v>
      </c>
      <c r="AD78" s="8">
        <f>IFERROR(AC78/AC444, "NA")</f>
        <v>-8.7192624201533498E-3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249.9</v>
      </c>
      <c r="C80" s="8">
        <f>IFERROR(B80/B444, "NA")</f>
        <v>2.0669751221057903E-3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249.9</v>
      </c>
      <c r="I80" s="8">
        <f>IFERROR(H80/H444, "NA")</f>
        <v>3.3544659768019666E-2</v>
      </c>
      <c r="J80" s="9"/>
      <c r="K80" s="7">
        <v>505.32</v>
      </c>
      <c r="L80" s="8">
        <f>IFERROR(K80/K444, "NA")</f>
        <v>4.8504716280237696E-3</v>
      </c>
      <c r="M80" s="9"/>
      <c r="N80" s="10">
        <f t="shared" si="21"/>
        <v>-255.42</v>
      </c>
      <c r="O80" s="8">
        <f>IFERROR(N80/N444, "NA")</f>
        <v>-1.5274717060116315E-2</v>
      </c>
      <c r="P80" s="9"/>
      <c r="Q80" s="7">
        <v>456.25</v>
      </c>
      <c r="R80" s="8">
        <f>IFERROR(Q80/Q444, "NA")</f>
        <v>1.738519370592353E-3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456.25</v>
      </c>
      <c r="X80" s="8">
        <f>IFERROR(W80/W444, "NA")</f>
        <v>0.17650176405050613</v>
      </c>
      <c r="Y80" s="9"/>
      <c r="Z80" s="7">
        <v>2480.9499999999998</v>
      </c>
      <c r="AA80" s="8">
        <f>IFERROR(Z80/Z444, "NA")</f>
        <v>1.01167189510272E-2</v>
      </c>
      <c r="AB80" s="9"/>
      <c r="AC80" s="10">
        <f t="shared" si="23"/>
        <v>-2024.6999999999998</v>
      </c>
      <c r="AD80" s="8">
        <f>IFERROR(AC80/AC444, "NA")</f>
        <v>-0.11769260414722992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1.0194400281169715E-4</v>
      </c>
      <c r="AB82" s="9"/>
      <c r="AC82" s="10">
        <f t="shared" si="23"/>
        <v>-25</v>
      </c>
      <c r="AD82" s="8">
        <f>IFERROR(AC82/AC444, "NA")</f>
        <v>-1.4532104033588918E-3</v>
      </c>
    </row>
    <row r="83" spans="1:30" ht="16.5" customHeight="1" x14ac:dyDescent="0.45">
      <c r="A83" s="12" t="s">
        <v>79</v>
      </c>
      <c r="B83" s="7">
        <v>35</v>
      </c>
      <c r="C83" s="8">
        <f>IFERROR(B83/B444, "NA")</f>
        <v>2.894923140204188E-4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35</v>
      </c>
      <c r="I83" s="8">
        <f>IFERROR(H83/H444, "NA")</f>
        <v>4.6981316201708213E-3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35</v>
      </c>
      <c r="O83" s="8">
        <f>IFERROR(N83/N444, "NA")</f>
        <v>2.0930823627909757E-3</v>
      </c>
      <c r="P83" s="9"/>
      <c r="Q83" s="7">
        <v>35</v>
      </c>
      <c r="R83" s="8">
        <f>IFERROR(Q83/Q444, "NA")</f>
        <v>1.3336586952489285E-4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35</v>
      </c>
      <c r="X83" s="8">
        <f>IFERROR(W83/W444, "NA")</f>
        <v>1.3539861351819648E-2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35</v>
      </c>
      <c r="AD83" s="8">
        <f>IFERROR(AC83/AC444, "NA")</f>
        <v>2.0344945647024484E-3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25</v>
      </c>
      <c r="L86" s="8">
        <f>IFERROR(K86/K444, "NA")</f>
        <v>2.399702974364645E-4</v>
      </c>
      <c r="M86" s="9"/>
      <c r="N86" s="10">
        <f t="shared" si="21"/>
        <v>-25</v>
      </c>
      <c r="O86" s="8">
        <f>IFERROR(N86/N444, "NA")</f>
        <v>-1.4950588305649827E-3</v>
      </c>
      <c r="P86" s="9"/>
      <c r="Q86" s="7">
        <v>50</v>
      </c>
      <c r="R86" s="8">
        <f>IFERROR(Q86/Q444, "NA")</f>
        <v>1.9052267074984693E-4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1.9342659074028067E-2</v>
      </c>
      <c r="Y86" s="9"/>
      <c r="Z86" s="7">
        <v>25</v>
      </c>
      <c r="AA86" s="8">
        <f>IFERROR(Z86/Z444, "NA")</f>
        <v>1.0194400281169715E-4</v>
      </c>
      <c r="AB86" s="9"/>
      <c r="AC86" s="10">
        <f t="shared" si="23"/>
        <v>25</v>
      </c>
      <c r="AD86" s="8">
        <f>IFERROR(AC86/AC444, "NA")</f>
        <v>1.4532104033588918E-3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917.1</v>
      </c>
      <c r="C88" s="15">
        <f>IFERROR(B88/B444, "NA")</f>
        <v>7.5855257482321742E-3</v>
      </c>
      <c r="D88" s="2"/>
      <c r="E88" s="14">
        <f>IFERROR(E75+E76+E77+E78+E79+E80+E81+E82+E83+E84+E85+E86+E87, "NA")</f>
        <v>907.61</v>
      </c>
      <c r="F88" s="15">
        <f>IFERROR(E88/E444, "NA")</f>
        <v>7.999979550740343E-3</v>
      </c>
      <c r="G88" s="2"/>
      <c r="H88" s="14">
        <f t="shared" si="20"/>
        <v>9.4900000000000091</v>
      </c>
      <c r="I88" s="15">
        <f>IFERROR(H88/H444, "NA")</f>
        <v>1.2738648307263182E-3</v>
      </c>
      <c r="J88" s="2"/>
      <c r="K88" s="14">
        <f>IFERROR(K75+K76+K77+K78+K79+K80+K81+K82+K83+K84+K85+K86+K87, "NA")</f>
        <v>760.56999999999994</v>
      </c>
      <c r="L88" s="15">
        <f>IFERROR(K88/K444, "NA")</f>
        <v>7.3005683648500715E-3</v>
      </c>
      <c r="M88" s="2"/>
      <c r="N88" s="14">
        <f t="shared" si="21"/>
        <v>156.53000000000009</v>
      </c>
      <c r="O88" s="15">
        <f>IFERROR(N88/N444, "NA")</f>
        <v>9.3608623499334756E-3</v>
      </c>
      <c r="P88" s="2"/>
      <c r="Q88" s="14">
        <f>IFERROR(Q75+Q76+Q77+Q78+Q79+Q80+Q81+Q82+Q83+Q84+Q85+Q86+Q87, "NA")</f>
        <v>1605.6799999999998</v>
      </c>
      <c r="R88" s="15">
        <f>IFERROR(Q88/Q444, "NA")</f>
        <v>6.118368839392283E-3</v>
      </c>
      <c r="S88" s="2"/>
      <c r="T88" s="14">
        <f>IFERROR(T75+T76+T77+T78+T79+T80+T81+T82+T83+T84+T85+T86+T87, "NA")</f>
        <v>2078.8000000000002</v>
      </c>
      <c r="U88" s="15">
        <f>IFERROR(T88/T444, "NA")</f>
        <v>7.9999692131259847E-3</v>
      </c>
      <c r="V88" s="2"/>
      <c r="W88" s="14">
        <f t="shared" si="22"/>
        <v>-473.12000000000035</v>
      </c>
      <c r="X88" s="15">
        <f>IFERROR(W88/W444, "NA")</f>
        <v>-0.18302797722208333</v>
      </c>
      <c r="Y88" s="2"/>
      <c r="Z88" s="14">
        <f>IFERROR(Z75+Z76+Z77+Z78+Z79+Z80+Z81+Z82+Z83+Z84+Z85+Z86+Z87, "NA")</f>
        <v>3338.6</v>
      </c>
      <c r="AA88" s="15">
        <f>IFERROR(Z88/Z444, "NA")</f>
        <v>1.3614009911485283E-2</v>
      </c>
      <c r="AB88" s="2"/>
      <c r="AC88" s="14">
        <f t="shared" si="23"/>
        <v>-1732.92</v>
      </c>
      <c r="AD88" s="15">
        <f>IFERROR(AC88/AC444, "NA")</f>
        <v>-0.10073189488754763</v>
      </c>
    </row>
    <row r="89" spans="1:30" ht="16.5" customHeight="1" x14ac:dyDescent="0.45">
      <c r="A89" s="6" t="s">
        <v>85</v>
      </c>
      <c r="B89" s="7">
        <v>28.87</v>
      </c>
      <c r="C89" s="8">
        <f>IFERROR(B89/B444, "NA")</f>
        <v>2.3878980302198546E-4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28.87</v>
      </c>
      <c r="I89" s="8">
        <f>IFERROR(H89/H444, "NA")</f>
        <v>3.8752874249809036E-3</v>
      </c>
      <c r="J89" s="9"/>
      <c r="K89" s="7">
        <v>-38.75</v>
      </c>
      <c r="L89" s="8">
        <f>IFERROR(K89/K444, "NA")</f>
        <v>-3.7195396102651998E-4</v>
      </c>
      <c r="M89" s="9"/>
      <c r="N89" s="10">
        <f t="shared" si="21"/>
        <v>67.62</v>
      </c>
      <c r="O89" s="8">
        <f>IFERROR(N89/N444, "NA")</f>
        <v>4.0438351249121656E-3</v>
      </c>
      <c r="P89" s="9"/>
      <c r="Q89" s="7">
        <v>49.72</v>
      </c>
      <c r="R89" s="8">
        <f>IFERROR(Q89/Q444, "NA")</f>
        <v>1.8945574379364776E-4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49.72</v>
      </c>
      <c r="X89" s="8">
        <f>IFERROR(W89/W444, "NA")</f>
        <v>1.9234340183213509E-2</v>
      </c>
      <c r="Y89" s="9"/>
      <c r="Z89" s="7">
        <v>-140.97</v>
      </c>
      <c r="AA89" s="8">
        <f>IFERROR(Z89/Z444, "NA")</f>
        <v>-5.748418430545979E-4</v>
      </c>
      <c r="AB89" s="9"/>
      <c r="AC89" s="10">
        <f t="shared" si="23"/>
        <v>190.69</v>
      </c>
      <c r="AD89" s="8">
        <f>IFERROR(AC89/AC444, "NA")</f>
        <v>1.1084507672660282E-2</v>
      </c>
    </row>
    <row r="90" spans="1:30" ht="16.5" customHeight="1" x14ac:dyDescent="0.45">
      <c r="A90" s="6" t="s">
        <v>86</v>
      </c>
      <c r="B90" s="7">
        <v>-86.5</v>
      </c>
      <c r="C90" s="8">
        <f>IFERROR(B90/B444, "NA")</f>
        <v>-7.1545957607903506E-4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-86.5</v>
      </c>
      <c r="I90" s="8">
        <f>IFERROR(H90/H444, "NA")</f>
        <v>-1.1611096718422174E-2</v>
      </c>
      <c r="J90" s="9"/>
      <c r="K90" s="7">
        <v>0</v>
      </c>
      <c r="L90" s="8">
        <f>IFERROR(K90/K444, "NA")</f>
        <v>0</v>
      </c>
      <c r="M90" s="9"/>
      <c r="N90" s="10">
        <f t="shared" si="21"/>
        <v>-86.5</v>
      </c>
      <c r="O90" s="8">
        <f>IFERROR(N90/N444, "NA")</f>
        <v>-5.1729035537548401E-3</v>
      </c>
      <c r="P90" s="9"/>
      <c r="Q90" s="7">
        <v>-290.05</v>
      </c>
      <c r="R90" s="8">
        <f>IFERROR(Q90/Q444, "NA")</f>
        <v>-1.105222013019862E-3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-290.05</v>
      </c>
      <c r="X90" s="8">
        <f>IFERROR(W90/W444, "NA")</f>
        <v>-0.11220676528843683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-290.05</v>
      </c>
      <c r="AD90" s="8">
        <f>IFERROR(AC90/AC444, "NA")</f>
        <v>-1.6860147099769861E-2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-6693.64</v>
      </c>
      <c r="F94" s="8">
        <f>IFERROR(E94/E444, "NA")</f>
        <v>-5.8999992419670994E-2</v>
      </c>
      <c r="G94" s="9"/>
      <c r="H94" s="10">
        <f t="shared" ref="H94:H124" si="24">IFERROR(B94-E94, "NA")</f>
        <v>6693.64</v>
      </c>
      <c r="I94" s="8">
        <f>IFERROR(H94/H444, "NA")</f>
        <v>0.89850290680114908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-15331.21</v>
      </c>
      <c r="U94" s="8">
        <f>IFERROR(T94/T444, "NA")</f>
        <v>-5.9000003848359246E-2</v>
      </c>
      <c r="V94" s="9"/>
      <c r="W94" s="10">
        <f t="shared" ref="W94:W124" si="26">IFERROR(Q94-T94, "NA")</f>
        <v>15331.21</v>
      </c>
      <c r="X94" s="8">
        <f>IFERROR(W94/W444, "NA")</f>
        <v>5.930927364446597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-1384.74</v>
      </c>
      <c r="C96" s="8">
        <f>IFERROR(B96/B444, "NA")</f>
        <v>-1.145347391190385E-2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-1384.74</v>
      </c>
      <c r="I96" s="8">
        <f>IFERROR(H96/H444, "NA")</f>
        <v>-0.18587687942043837</v>
      </c>
      <c r="J96" s="9"/>
      <c r="K96" s="7">
        <v>-1525.34</v>
      </c>
      <c r="L96" s="8">
        <f>IFERROR(K96/K444, "NA")</f>
        <v>-1.464145173966947E-2</v>
      </c>
      <c r="M96" s="9"/>
      <c r="N96" s="10">
        <f t="shared" si="25"/>
        <v>140.59999999999991</v>
      </c>
      <c r="O96" s="8">
        <f>IFERROR(N96/N444, "NA")</f>
        <v>8.4082108630974574E-3</v>
      </c>
      <c r="P96" s="9"/>
      <c r="Q96" s="7">
        <v>-3351.02</v>
      </c>
      <c r="R96" s="8">
        <f>IFERROR(Q96/Q444, "NA")</f>
        <v>-1.276890560272304E-2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-3351.02</v>
      </c>
      <c r="X96" s="8">
        <f>IFERROR(W96/W444, "NA")</f>
        <v>-1.2963527482049908</v>
      </c>
      <c r="Y96" s="9"/>
      <c r="Z96" s="7">
        <v>-4013.14</v>
      </c>
      <c r="AA96" s="8">
        <f>IFERROR(Z96/Z444, "NA")</f>
        <v>-1.6364622217749369E-2</v>
      </c>
      <c r="AB96" s="9"/>
      <c r="AC96" s="10">
        <f t="shared" si="27"/>
        <v>662.11999999999989</v>
      </c>
      <c r="AD96" s="8">
        <f>IFERROR(AC96/AC444, "NA")</f>
        <v>3.8487986890879566E-2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-1238.51</v>
      </c>
      <c r="C98" s="8">
        <f>IFERROR(B98/B444, "NA")</f>
        <v>-1.024397502392654E-2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-1238.51</v>
      </c>
      <c r="I98" s="8">
        <f>IFERROR(H98/H444, "NA")</f>
        <v>-0.16624808551136469</v>
      </c>
      <c r="J98" s="9"/>
      <c r="K98" s="7">
        <v>-2309.2199999999998</v>
      </c>
      <c r="L98" s="8">
        <f>IFERROR(K98/K444, "NA")</f>
        <v>-2.2165768409849303E-2</v>
      </c>
      <c r="M98" s="9"/>
      <c r="N98" s="10">
        <f t="shared" si="25"/>
        <v>1070.7099999999998</v>
      </c>
      <c r="O98" s="8">
        <f>IFERROR(N98/N444, "NA")</f>
        <v>6.4030977618969295E-2</v>
      </c>
      <c r="P98" s="9"/>
      <c r="Q98" s="7">
        <v>-3822.53</v>
      </c>
      <c r="R98" s="8">
        <f>IFERROR(Q98/Q444, "NA")</f>
        <v>-1.4565572492428248E-2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-3822.53</v>
      </c>
      <c r="X98" s="8">
        <f>IFERROR(W98/W444, "NA")</f>
        <v>-1.4787578918048903</v>
      </c>
      <c r="Y98" s="9"/>
      <c r="Z98" s="7">
        <v>-5377.88</v>
      </c>
      <c r="AA98" s="8">
        <f>IFERROR(Z98/Z444, "NA")</f>
        <v>-2.1929704553638796E-2</v>
      </c>
      <c r="AB98" s="9"/>
      <c r="AC98" s="10">
        <f t="shared" si="27"/>
        <v>1555.35</v>
      </c>
      <c r="AD98" s="8">
        <f>IFERROR(AC98/AC444, "NA")</f>
        <v>9.0410032034570084E-2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-168.75</v>
      </c>
      <c r="C100" s="8">
        <f>IFERROR(B100/B444, "NA")</f>
        <v>-1.3957665140270192E-3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-168.75</v>
      </c>
      <c r="I100" s="8">
        <f>IFERROR(H100/H444, "NA")</f>
        <v>-2.2651706025823604E-2</v>
      </c>
      <c r="J100" s="9"/>
      <c r="K100" s="7">
        <v>-12.85</v>
      </c>
      <c r="L100" s="8">
        <f>IFERROR(K100/K444, "NA")</f>
        <v>-1.2334473288234276E-4</v>
      </c>
      <c r="M100" s="9"/>
      <c r="N100" s="10">
        <f t="shared" si="25"/>
        <v>-155.9</v>
      </c>
      <c r="O100" s="8">
        <f>IFERROR(N100/N444, "NA")</f>
        <v>-9.3231868674032332E-3</v>
      </c>
      <c r="P100" s="9"/>
      <c r="Q100" s="7">
        <v>-349.38</v>
      </c>
      <c r="R100" s="8">
        <f>IFERROR(Q100/Q444, "NA")</f>
        <v>-1.3312962141316302E-3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-349.38</v>
      </c>
      <c r="X100" s="8">
        <f>IFERROR(W100/W444, "NA")</f>
        <v>-0.13515876454567852</v>
      </c>
      <c r="Y100" s="9"/>
      <c r="Z100" s="7">
        <v>-752.17</v>
      </c>
      <c r="AA100" s="8">
        <f>IFERROR(Z100/Z444, "NA")</f>
        <v>-3.0671688237949696E-3</v>
      </c>
      <c r="AB100" s="9"/>
      <c r="AC100" s="10">
        <f t="shared" si="27"/>
        <v>402.78999999999996</v>
      </c>
      <c r="AD100" s="8">
        <f>IFERROR(AC100/AC444, "NA")</f>
        <v>2.3413544734757118E-2</v>
      </c>
    </row>
    <row r="101" spans="1:30" ht="16.5" customHeight="1" x14ac:dyDescent="0.45">
      <c r="A101" s="12" t="s">
        <v>96</v>
      </c>
      <c r="B101" s="7">
        <v>-18</v>
      </c>
      <c r="C101" s="8">
        <f>IFERROR(B101/B444, "NA")</f>
        <v>-1.4888176149621538E-4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-18</v>
      </c>
      <c r="I101" s="8">
        <f>IFERROR(H101/H444, "NA")</f>
        <v>-2.4161819760878511E-3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-18</v>
      </c>
      <c r="O101" s="8">
        <f>IFERROR(N101/N444, "NA")</f>
        <v>-1.0764423580067876E-3</v>
      </c>
      <c r="P101" s="9"/>
      <c r="Q101" s="7">
        <v>-64.44</v>
      </c>
      <c r="R101" s="8">
        <f>IFERROR(Q101/Q444, "NA")</f>
        <v>-2.455456180624027E-4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-64.44</v>
      </c>
      <c r="X101" s="8">
        <f>IFERROR(W101/W444, "NA")</f>
        <v>-2.4928819014607372E-2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-64.44</v>
      </c>
      <c r="AD101" s="8">
        <f>IFERROR(AC101/AC444, "NA")</f>
        <v>-3.7457951356978793E-3</v>
      </c>
    </row>
    <row r="102" spans="1:30" ht="16.5" customHeight="1" x14ac:dyDescent="0.45">
      <c r="A102" s="12" t="s">
        <v>97</v>
      </c>
      <c r="B102" s="7">
        <v>-1248.8499999999999</v>
      </c>
      <c r="C102" s="8">
        <f>IFERROR(B102/B444, "NA")</f>
        <v>-1.0329499324697143E-2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-1248.8499999999999</v>
      </c>
      <c r="I102" s="8">
        <f>IFERROR(H102/H444, "NA")</f>
        <v>-0.16763604782429514</v>
      </c>
      <c r="J102" s="9"/>
      <c r="K102" s="7">
        <v>-878.1</v>
      </c>
      <c r="L102" s="8">
        <f>IFERROR(K102/K444, "NA")</f>
        <v>-8.4287167271583797E-3</v>
      </c>
      <c r="M102" s="9"/>
      <c r="N102" s="10">
        <f t="shared" si="25"/>
        <v>-370.74999999999989</v>
      </c>
      <c r="O102" s="8">
        <f>IFERROR(N102/N444, "NA")</f>
        <v>-2.2171722457278688E-2</v>
      </c>
      <c r="P102" s="9"/>
      <c r="Q102" s="7">
        <v>-3009.25</v>
      </c>
      <c r="R102" s="8">
        <f>IFERROR(Q102/Q444, "NA")</f>
        <v>-1.1466606939079537E-2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-3009.25</v>
      </c>
      <c r="X102" s="8">
        <f>IFERROR(W102/W444, "NA")</f>
        <v>-1.1641379363703792</v>
      </c>
      <c r="Y102" s="9"/>
      <c r="Z102" s="7">
        <v>-2619.1799999999998</v>
      </c>
      <c r="AA102" s="8">
        <f>IFERROR(Z102/Z444, "NA")</f>
        <v>-1.0680387731373637E-2</v>
      </c>
      <c r="AB102" s="9"/>
      <c r="AC102" s="10">
        <f t="shared" si="27"/>
        <v>-390.07000000000016</v>
      </c>
      <c r="AD102" s="8">
        <f>IFERROR(AC102/AC444, "NA")</f>
        <v>-2.2674151281528124E-2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-48</v>
      </c>
      <c r="R103" s="8">
        <f>IFERROR(Q103/Q444, "NA")</f>
        <v>-1.8290176391985304E-4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-48</v>
      </c>
      <c r="X103" s="8">
        <f>IFERROR(W103/W444, "NA")</f>
        <v>-1.8568952711066945E-2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-48</v>
      </c>
      <c r="AD103" s="8">
        <f>IFERROR(AC103/AC444, "NA")</f>
        <v>-2.7901639744490722E-3</v>
      </c>
    </row>
    <row r="104" spans="1:30" ht="16.5" customHeight="1" x14ac:dyDescent="0.45">
      <c r="A104" s="12" t="s">
        <v>99</v>
      </c>
      <c r="B104" s="7">
        <v>-300.37</v>
      </c>
      <c r="C104" s="8">
        <f>IFERROR(B104/B444, "NA")</f>
        <v>-2.4844230389232344E-3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-300.37</v>
      </c>
      <c r="I104" s="8">
        <f>IFERROR(H104/H444, "NA")</f>
        <v>-4.0319365564305994E-2</v>
      </c>
      <c r="J104" s="9"/>
      <c r="K104" s="7">
        <v>-542.19000000000005</v>
      </c>
      <c r="L104" s="8">
        <f>IFERROR(K104/K444, "NA")</f>
        <v>-5.2043798226830678E-3</v>
      </c>
      <c r="M104" s="9"/>
      <c r="N104" s="10">
        <f t="shared" si="25"/>
        <v>241.82000000000005</v>
      </c>
      <c r="O104" s="8">
        <f>IFERROR(N104/N444, "NA")</f>
        <v>1.4461405056288968E-2</v>
      </c>
      <c r="P104" s="9"/>
      <c r="Q104" s="7">
        <v>-963.96</v>
      </c>
      <c r="R104" s="8">
        <f>IFERROR(Q104/Q444, "NA")</f>
        <v>-3.6731246739204488E-3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-963.96</v>
      </c>
      <c r="X104" s="8">
        <f>IFERROR(W104/W444, "NA")</f>
        <v>-0.37291099282000195</v>
      </c>
      <c r="Y104" s="9"/>
      <c r="Z104" s="7">
        <v>-1370.25</v>
      </c>
      <c r="AA104" s="8">
        <f>IFERROR(Z104/Z444, "NA")</f>
        <v>-5.5875507941091206E-3</v>
      </c>
      <c r="AB104" s="9"/>
      <c r="AC104" s="10">
        <f t="shared" si="27"/>
        <v>406.28999999999996</v>
      </c>
      <c r="AD104" s="8">
        <f>IFERROR(AC104/AC444, "NA")</f>
        <v>2.3616994191227363E-2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-204.43</v>
      </c>
      <c r="C106" s="8">
        <f>IFERROR(B106/B444, "NA")</f>
        <v>-1.6908832501484063E-3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-204.43</v>
      </c>
      <c r="I106" s="8">
        <f>IFERROR(H106/H444, "NA")</f>
        <v>-2.7441115631757745E-2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-204.43</v>
      </c>
      <c r="O106" s="8">
        <f>IFERROR(N106/N444, "NA")</f>
        <v>-1.2225395069295977E-2</v>
      </c>
      <c r="P106" s="9"/>
      <c r="Q106" s="7">
        <v>-244.43</v>
      </c>
      <c r="R106" s="8">
        <f>IFERROR(Q106/Q444, "NA")</f>
        <v>-9.313891282277017E-4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-244.43</v>
      </c>
      <c r="X106" s="8">
        <f>IFERROR(W106/W444, "NA")</f>
        <v>-9.4558523149293611E-2</v>
      </c>
      <c r="Y106" s="9"/>
      <c r="Z106" s="7">
        <v>-235.87</v>
      </c>
      <c r="AA106" s="8">
        <f>IFERROR(Z106/Z444, "NA")</f>
        <v>-9.6182127772780025E-4</v>
      </c>
      <c r="AB106" s="9"/>
      <c r="AC106" s="10">
        <f t="shared" si="27"/>
        <v>-8.5600000000000023</v>
      </c>
      <c r="AD106" s="8">
        <f>IFERROR(AC106/AC444, "NA")</f>
        <v>-4.9757924211008464E-4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-4563.6500000000005</v>
      </c>
      <c r="C118" s="15">
        <f>IFERROR(B118/B444, "NA")</f>
        <v>-3.7746902825122414E-2</v>
      </c>
      <c r="D118" s="2"/>
      <c r="E118" s="14">
        <f>IFERROR(E94+E95+E96+E97+E98+E99+E100+E101+E102+E103+E104+E105+E106+E107+E108+E109+E110+E111+E112+E113+E114+E115+E116+E117, "NA")</f>
        <v>-6693.64</v>
      </c>
      <c r="F118" s="15">
        <f>IFERROR(E118/E444, "NA")</f>
        <v>-5.8999992419670994E-2</v>
      </c>
      <c r="G118" s="2"/>
      <c r="H118" s="14">
        <f t="shared" si="24"/>
        <v>2129.9899999999998</v>
      </c>
      <c r="I118" s="15">
        <f>IFERROR(H118/H444, "NA")</f>
        <v>0.28591352484707561</v>
      </c>
      <c r="J118" s="2"/>
      <c r="K118" s="14">
        <f>IFERROR(K94+K95+K96+K97+K98+K99+K100+K101+K102+K103+K104+K105+K106+K107+K108+K109+K110+K111+K112+K113+K114+K115+K116+K117, "NA")</f>
        <v>-5267.6999999999989</v>
      </c>
      <c r="L118" s="15">
        <f>IFERROR(K118/K444, "NA")</f>
        <v>-5.056366143224255E-2</v>
      </c>
      <c r="M118" s="2"/>
      <c r="N118" s="14">
        <f t="shared" si="25"/>
        <v>704.04999999999836</v>
      </c>
      <c r="O118" s="15">
        <f>IFERROR(N118/N444, "NA")</f>
        <v>4.2103846786370948E-2</v>
      </c>
      <c r="P118" s="2"/>
      <c r="Q118" s="14">
        <f>IFERROR(Q94+Q95+Q96+Q97+Q98+Q99+Q100+Q101+Q102+Q103+Q104+Q105+Q106+Q107+Q108+Q109+Q110+Q111+Q112+Q113+Q114+Q115+Q116+Q117, "NA")</f>
        <v>-11853.009999999998</v>
      </c>
      <c r="R118" s="15">
        <f>IFERROR(Q118/Q444, "NA")</f>
        <v>-4.5165342432492851E-2</v>
      </c>
      <c r="S118" s="2"/>
      <c r="T118" s="14">
        <f>IFERROR(T94+T95+T96+T97+T98+T99+T100+T101+T102+T103+T104+T105+T106+T107+T108+T109+T110+T111+T112+T113+T114+T115+T116+T117, "NA")</f>
        <v>-15331.21</v>
      </c>
      <c r="U118" s="15">
        <f>IFERROR(T118/T444, "NA")</f>
        <v>-5.9000003848359246E-2</v>
      </c>
      <c r="V118" s="2"/>
      <c r="W118" s="14">
        <f t="shared" si="26"/>
        <v>3478.2000000000007</v>
      </c>
      <c r="X118" s="15">
        <f>IFERROR(W118/W444, "NA")</f>
        <v>1.3455527358256889</v>
      </c>
      <c r="Y118" s="2"/>
      <c r="Z118" s="14">
        <f>IFERROR(Z94+Z95+Z96+Z97+Z98+Z99+Z100+Z101+Z102+Z103+Z104+Z105+Z106+Z107+Z108+Z109+Z110+Z111+Z112+Z113+Z114+Z115+Z116+Z117, "NA")</f>
        <v>-14368.490000000002</v>
      </c>
      <c r="AA118" s="15">
        <f>IFERROR(Z118/Z444, "NA")</f>
        <v>-5.8591255398393702E-2</v>
      </c>
      <c r="AB118" s="2"/>
      <c r="AC118" s="14">
        <f t="shared" si="27"/>
        <v>2515.4800000000032</v>
      </c>
      <c r="AD118" s="15">
        <f>IFERROR(AC118/AC444, "NA")</f>
        <v>0.14622086821764918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120901.30999999998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113451.54000000001</v>
      </c>
      <c r="F122" s="15">
        <f>IFERROR(E122/E444, "NA")</f>
        <v>1.0000000000000002</v>
      </c>
      <c r="G122" s="2"/>
      <c r="H122" s="14">
        <f t="shared" si="24"/>
        <v>7449.769999999975</v>
      </c>
      <c r="I122" s="15">
        <f>IFERROR(H122/H444, "NA")</f>
        <v>0.99999999999999611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104179.56000000003</v>
      </c>
      <c r="L122" s="15">
        <f>IFERROR(K122/K444, "NA")</f>
        <v>1.0000000000000002</v>
      </c>
      <c r="M122" s="2"/>
      <c r="N122" s="14">
        <f t="shared" si="25"/>
        <v>16721.749999999956</v>
      </c>
      <c r="O122" s="15">
        <f>IFERROR(N122/N444, "NA")</f>
        <v>0.99999999999999734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262435.96000000002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259850.99999999997</v>
      </c>
      <c r="U122" s="15">
        <f>IFERROR(T122/T444, "NA")</f>
        <v>0.99999999999999989</v>
      </c>
      <c r="V122" s="2"/>
      <c r="W122" s="14">
        <f t="shared" si="26"/>
        <v>2584.9600000000501</v>
      </c>
      <c r="X122" s="15">
        <f>IFERROR(W122/W444, "NA")</f>
        <v>1.0000000000000113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245232.67000000004</v>
      </c>
      <c r="AA122" s="15">
        <f>IFERROR(Z122/Z444, "NA")</f>
        <v>1.0000000000000002</v>
      </c>
      <c r="AB122" s="2"/>
      <c r="AC122" s="14">
        <f t="shared" si="27"/>
        <v>17203.289999999979</v>
      </c>
      <c r="AD122" s="15">
        <f>IFERROR(AC122/AC444, "NA")</f>
        <v>0.99999999999999833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120901.30999999998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113451.54000000001</v>
      </c>
      <c r="F124" s="15">
        <f>IFERROR(E124/E444, "NA")</f>
        <v>1.0000000000000002</v>
      </c>
      <c r="G124" s="2"/>
      <c r="H124" s="14">
        <f t="shared" si="24"/>
        <v>7449.769999999975</v>
      </c>
      <c r="I124" s="15">
        <f>IFERROR(H124/H444, "NA")</f>
        <v>0.99999999999999611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104179.56000000003</v>
      </c>
      <c r="L124" s="15">
        <f>IFERROR(K124/K444, "NA")</f>
        <v>1.0000000000000002</v>
      </c>
      <c r="M124" s="2"/>
      <c r="N124" s="14">
        <f t="shared" si="25"/>
        <v>16721.749999999956</v>
      </c>
      <c r="O124" s="15">
        <f>IFERROR(N124/N444, "NA")</f>
        <v>0.99999999999999734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262435.96000000002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259850.99999999997</v>
      </c>
      <c r="U124" s="15">
        <f>IFERROR(T124/T444, "NA")</f>
        <v>0.99999999999999989</v>
      </c>
      <c r="V124" s="2"/>
      <c r="W124" s="14">
        <f t="shared" si="26"/>
        <v>2584.9600000000501</v>
      </c>
      <c r="X124" s="15">
        <f>IFERROR(W124/W444, "NA")</f>
        <v>1.0000000000000113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245232.67000000004</v>
      </c>
      <c r="AA124" s="15">
        <f>IFERROR(Z124/Z444, "NA")</f>
        <v>1.0000000000000002</v>
      </c>
      <c r="AB124" s="2"/>
      <c r="AC124" s="14">
        <f t="shared" si="27"/>
        <v>17203.289999999979</v>
      </c>
      <c r="AD124" s="15">
        <f>IFERROR(AC124/AC444, "NA")</f>
        <v>0.99999999999999833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24051.73</v>
      </c>
      <c r="F129" s="8">
        <f>IFERROR(E129/E444, "NA")</f>
        <v>0.21200003102646295</v>
      </c>
      <c r="G129" s="9"/>
      <c r="H129" s="10">
        <f t="shared" ref="H129:H141" si="28">IFERROR(-(B129-E129), "NA")</f>
        <v>24051.73</v>
      </c>
      <c r="I129" s="8">
        <f>IFERROR(H129/H444, "NA")</f>
        <v>3.2285198066517471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55613.03</v>
      </c>
      <c r="U129" s="8">
        <f>IFERROR(T129/T444, "NA")</f>
        <v>0.214018918534083</v>
      </c>
      <c r="V129" s="9"/>
      <c r="W129" s="10">
        <f t="shared" ref="W129:W141" si="30">IFERROR(-(Q129-T129), "NA")</f>
        <v>55613.03</v>
      </c>
      <c r="X129" s="8">
        <f>IFERROR(W129/W444, "NA")</f>
        <v>21.514077587273903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5555.95</v>
      </c>
      <c r="C130" s="8">
        <f>IFERROR(B130/B444, "NA")</f>
        <v>4.5954423488049879E-2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-5555.95</v>
      </c>
      <c r="I130" s="8">
        <f>IFERROR(H130/H444, "NA")</f>
        <v>-0.74578812500251646</v>
      </c>
      <c r="J130" s="9"/>
      <c r="K130" s="7">
        <v>6018.33</v>
      </c>
      <c r="L130" s="8">
        <f>IFERROR(K130/K444, "NA")</f>
        <v>5.7768817606831897E-2</v>
      </c>
      <c r="M130" s="9"/>
      <c r="N130" s="10">
        <f t="shared" si="29"/>
        <v>462.38000000000011</v>
      </c>
      <c r="O130" s="8">
        <f>IFERROR(N130/N444, "NA")</f>
        <v>2.7651412083065475E-2</v>
      </c>
      <c r="P130" s="9"/>
      <c r="Q130" s="7">
        <v>12103.76</v>
      </c>
      <c r="R130" s="8">
        <f>IFERROR(Q130/Q444, "NA")</f>
        <v>4.6120813626303346E-2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-12103.76</v>
      </c>
      <c r="X130" s="8">
        <f>IFERROR(W130/W444, "NA")</f>
        <v>-4.6823780638771595</v>
      </c>
      <c r="Y130" s="9"/>
      <c r="Z130" s="7">
        <v>13876</v>
      </c>
      <c r="AA130" s="8">
        <f>IFERROR(Z130/Z444, "NA")</f>
        <v>5.6582999320604385E-2</v>
      </c>
      <c r="AB130" s="9"/>
      <c r="AC130" s="10">
        <f t="shared" si="31"/>
        <v>1772.2399999999998</v>
      </c>
      <c r="AD130" s="8">
        <f>IFERROR(AC130/AC444, "NA")</f>
        <v>0.10301750420995048</v>
      </c>
    </row>
    <row r="131" spans="1:30" ht="16.5" customHeight="1" x14ac:dyDescent="0.45">
      <c r="A131" s="12" t="s">
        <v>123</v>
      </c>
      <c r="B131" s="7">
        <v>3270.8</v>
      </c>
      <c r="C131" s="8">
        <f>IFERROR(B131/B444, "NA")</f>
        <v>2.7053470305656739E-2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-3270.8</v>
      </c>
      <c r="I131" s="8">
        <f>IFERROR(H131/H444, "NA")</f>
        <v>-0.43904711152156356</v>
      </c>
      <c r="J131" s="9"/>
      <c r="K131" s="7">
        <v>3368.59</v>
      </c>
      <c r="L131" s="8">
        <f>IFERROR(K131/K444, "NA")</f>
        <v>3.2334461769659997E-2</v>
      </c>
      <c r="M131" s="9"/>
      <c r="N131" s="10">
        <f t="shared" si="29"/>
        <v>97.789999999999964</v>
      </c>
      <c r="O131" s="8">
        <f>IFERROR(N131/N444, "NA")</f>
        <v>5.8480721216379846E-3</v>
      </c>
      <c r="P131" s="9"/>
      <c r="Q131" s="7">
        <v>7278.77</v>
      </c>
      <c r="R131" s="8">
        <f>IFERROR(Q131/Q444, "NA")</f>
        <v>2.7735414003477267E-2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-7278.77</v>
      </c>
      <c r="X131" s="8">
        <f>IFERROR(W131/W444, "NA")</f>
        <v>-2.8158153317652657</v>
      </c>
      <c r="Y131" s="9"/>
      <c r="Z131" s="7">
        <v>7636.23</v>
      </c>
      <c r="AA131" s="8">
        <f>IFERROR(Z131/Z444, "NA")</f>
        <v>3.1138714103630644E-2</v>
      </c>
      <c r="AB131" s="9"/>
      <c r="AC131" s="10">
        <f t="shared" si="31"/>
        <v>357.45999999999913</v>
      </c>
      <c r="AD131" s="8">
        <f>IFERROR(AC131/AC444, "NA")</f>
        <v>2.0778583631386727E-2</v>
      </c>
    </row>
    <row r="132" spans="1:30" ht="16.5" customHeight="1" x14ac:dyDescent="0.45">
      <c r="A132" s="12" t="s">
        <v>124</v>
      </c>
      <c r="B132" s="7">
        <v>4804.8599999999997</v>
      </c>
      <c r="C132" s="8">
        <f>IFERROR(B132/B444, "NA")</f>
        <v>3.9742001141261411E-2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-4804.8599999999997</v>
      </c>
      <c r="I132" s="8">
        <f>IFERROR(H132/H444, "NA")</f>
        <v>-0.64496756275697065</v>
      </c>
      <c r="J132" s="9"/>
      <c r="K132" s="7">
        <v>3977.58</v>
      </c>
      <c r="L132" s="8">
        <f>IFERROR(K132/K444, "NA")</f>
        <v>3.81800422270933E-2</v>
      </c>
      <c r="M132" s="9"/>
      <c r="N132" s="10">
        <f t="shared" si="29"/>
        <v>-827.27999999999975</v>
      </c>
      <c r="O132" s="8">
        <f>IFERROR(N132/N444, "NA")</f>
        <v>-4.9473290773991943E-2</v>
      </c>
      <c r="P132" s="9"/>
      <c r="Q132" s="7">
        <v>9861.08</v>
      </c>
      <c r="R132" s="8">
        <f>IFERROR(Q132/Q444, "NA")</f>
        <v>3.7575185961558011E-2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-9861.08</v>
      </c>
      <c r="X132" s="8">
        <f>IFERROR(W132/W444, "NA")</f>
        <v>-3.8147901708343341</v>
      </c>
      <c r="Y132" s="9"/>
      <c r="Z132" s="7">
        <v>9674.77</v>
      </c>
      <c r="AA132" s="8">
        <f>IFERROR(Z132/Z444, "NA")</f>
        <v>3.9451391203300927E-2</v>
      </c>
      <c r="AB132" s="9"/>
      <c r="AC132" s="10">
        <f t="shared" si="31"/>
        <v>-186.30999999999949</v>
      </c>
      <c r="AD132" s="8">
        <f>IFERROR(AC132/AC444, "NA")</f>
        <v>-1.0829905209991775E-2</v>
      </c>
    </row>
    <row r="133" spans="1:30" ht="16.5" customHeight="1" x14ac:dyDescent="0.45">
      <c r="A133" s="12" t="s">
        <v>125</v>
      </c>
      <c r="B133" s="7">
        <v>2515.38</v>
      </c>
      <c r="C133" s="8">
        <f>IFERROR(B133/B444, "NA")</f>
        <v>2.080523362401946E-2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-2515.38</v>
      </c>
      <c r="I133" s="8">
        <f>IFERROR(H133/H444, "NA")</f>
        <v>-0.3376453232784366</v>
      </c>
      <c r="J133" s="9"/>
      <c r="K133" s="7">
        <v>2337.1999999999998</v>
      </c>
      <c r="L133" s="8">
        <f>IFERROR(K133/K444, "NA")</f>
        <v>2.2434343166740194E-2</v>
      </c>
      <c r="M133" s="9"/>
      <c r="N133" s="10">
        <f t="shared" si="29"/>
        <v>-178.18000000000029</v>
      </c>
      <c r="O133" s="8">
        <f>IFERROR(N133/N444, "NA")</f>
        <v>-1.0655583297202762E-2</v>
      </c>
      <c r="P133" s="9"/>
      <c r="Q133" s="7">
        <v>5501.85</v>
      </c>
      <c r="R133" s="8">
        <f>IFERROR(Q133/Q444, "NA")</f>
        <v>2.0964543121300905E-2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-5501.85</v>
      </c>
      <c r="X133" s="8">
        <f>IFERROR(W133/W444, "NA")</f>
        <v>-2.1284081765288265</v>
      </c>
      <c r="Y133" s="9"/>
      <c r="Z133" s="7">
        <v>4997.7</v>
      </c>
      <c r="AA133" s="8">
        <f>IFERROR(Z133/Z444, "NA")</f>
        <v>2.0379421714080751E-2</v>
      </c>
      <c r="AB133" s="9"/>
      <c r="AC133" s="10">
        <f t="shared" si="31"/>
        <v>-504.15000000000055</v>
      </c>
      <c r="AD133" s="8">
        <f>IFERROR(AC133/AC444, "NA")</f>
        <v>-2.9305440994135443E-2</v>
      </c>
    </row>
    <row r="134" spans="1:30" ht="16.5" customHeight="1" x14ac:dyDescent="0.45">
      <c r="A134" s="12" t="s">
        <v>126</v>
      </c>
      <c r="B134" s="7">
        <v>1238.67</v>
      </c>
      <c r="C134" s="8">
        <f>IFERROR(B134/B444, "NA")</f>
        <v>1.0245298417362063E-2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-1238.67</v>
      </c>
      <c r="I134" s="8">
        <f>IFERROR(H134/H444, "NA")</f>
        <v>-0.16626956268448548</v>
      </c>
      <c r="J134" s="9"/>
      <c r="K134" s="7">
        <v>1160.24</v>
      </c>
      <c r="L134" s="8">
        <f>IFERROR(K134/K444, "NA")</f>
        <v>1.1136925515907344E-2</v>
      </c>
      <c r="M134" s="9"/>
      <c r="N134" s="10">
        <f t="shared" si="29"/>
        <v>-78.430000000000064</v>
      </c>
      <c r="O134" s="8">
        <f>IFERROR(N134/N444, "NA")</f>
        <v>-4.6902985632484677E-3</v>
      </c>
      <c r="P134" s="9"/>
      <c r="Q134" s="7">
        <v>2751.77</v>
      </c>
      <c r="R134" s="8">
        <f>IFERROR(Q134/Q444, "NA")</f>
        <v>1.0485491393786125E-2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-2751.77</v>
      </c>
      <c r="X134" s="8">
        <f>IFERROR(W134/W444, "NA")</f>
        <v>-1.0645309792027644</v>
      </c>
      <c r="Y134" s="9"/>
      <c r="Z134" s="7">
        <v>2203.96</v>
      </c>
      <c r="AA134" s="8">
        <f>IFERROR(Z134/Z444, "NA")</f>
        <v>8.9872201774747213E-3</v>
      </c>
      <c r="AB134" s="9"/>
      <c r="AC134" s="10">
        <f t="shared" si="31"/>
        <v>-547.80999999999995</v>
      </c>
      <c r="AD134" s="8">
        <f>IFERROR(AC134/AC444, "NA")</f>
        <v>-3.1843327642561377E-2</v>
      </c>
    </row>
    <row r="135" spans="1:30" ht="16.5" customHeight="1" x14ac:dyDescent="0.45">
      <c r="A135" s="12" t="s">
        <v>127</v>
      </c>
      <c r="B135" s="7">
        <v>914.35</v>
      </c>
      <c r="C135" s="8">
        <f>IFERROR(B135/B444, "NA")</f>
        <v>7.562779923559141E-3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-914.35</v>
      </c>
      <c r="I135" s="8">
        <f>IFERROR(H135/H444, "NA")</f>
        <v>-0.12273533276866259</v>
      </c>
      <c r="J135" s="9"/>
      <c r="K135" s="7">
        <v>998.58</v>
      </c>
      <c r="L135" s="8">
        <f>IFERROR(K135/K444, "NA")</f>
        <v>9.5851815845641904E-3</v>
      </c>
      <c r="M135" s="9"/>
      <c r="N135" s="10">
        <f t="shared" si="29"/>
        <v>84.230000000000018</v>
      </c>
      <c r="O135" s="8">
        <f>IFERROR(N135/N444, "NA")</f>
        <v>5.037152211939541E-3</v>
      </c>
      <c r="P135" s="9"/>
      <c r="Q135" s="7">
        <v>2121.75</v>
      </c>
      <c r="R135" s="8">
        <f>IFERROR(Q135/Q444, "NA")</f>
        <v>8.0848295332697547E-3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-2121.75</v>
      </c>
      <c r="X135" s="8">
        <f>IFERROR(W135/W444, "NA")</f>
        <v>-0.82080573780638111</v>
      </c>
      <c r="Y135" s="9"/>
      <c r="Z135" s="7">
        <v>1997.96</v>
      </c>
      <c r="AA135" s="8">
        <f>IFERROR(Z135/Z444, "NA")</f>
        <v>8.1472015943063383E-3</v>
      </c>
      <c r="AB135" s="9"/>
      <c r="AC135" s="10">
        <f t="shared" si="31"/>
        <v>-123.78999999999996</v>
      </c>
      <c r="AD135" s="8">
        <f>IFERROR(AC135/AC444, "NA")</f>
        <v>-7.1957166332718859E-3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1349.8</v>
      </c>
      <c r="L136" s="8">
        <f>IFERROR(K136/K444, "NA")</f>
        <v>1.2956476299189591E-2</v>
      </c>
      <c r="M136" s="9"/>
      <c r="N136" s="10">
        <f t="shared" si="29"/>
        <v>1349.8</v>
      </c>
      <c r="O136" s="8">
        <f>IFERROR(N136/N444, "NA")</f>
        <v>8.0721216379864541E-2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2789.1</v>
      </c>
      <c r="AA136" s="8">
        <f>IFERROR(Z136/Z444, "NA")</f>
        <v>1.1373280729684181E-2</v>
      </c>
      <c r="AB136" s="9"/>
      <c r="AC136" s="10">
        <f t="shared" si="31"/>
        <v>2789.1</v>
      </c>
      <c r="AD136" s="8">
        <f>IFERROR(AC136/AC444, "NA")</f>
        <v>0.16212596544033139</v>
      </c>
    </row>
    <row r="137" spans="1:30" ht="16.5" customHeight="1" x14ac:dyDescent="0.45">
      <c r="A137" s="12" t="s">
        <v>129</v>
      </c>
      <c r="B137" s="7">
        <v>634</v>
      </c>
      <c r="C137" s="8">
        <f>IFERROR(B137/B444, "NA")</f>
        <v>5.2439464882555863E-3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-634</v>
      </c>
      <c r="I137" s="8">
        <f>IFERROR(H137/H444, "NA")</f>
        <v>-8.5103298491094312E-2</v>
      </c>
      <c r="J137" s="9"/>
      <c r="K137" s="7">
        <v>588.26</v>
      </c>
      <c r="L137" s="8">
        <f>IFERROR(K137/K444, "NA")</f>
        <v>5.6465970867989844E-3</v>
      </c>
      <c r="M137" s="9"/>
      <c r="N137" s="10">
        <f t="shared" si="29"/>
        <v>-45.740000000000009</v>
      </c>
      <c r="O137" s="8">
        <f>IFERROR(N137/N444, "NA")</f>
        <v>-2.7353596364016928E-3</v>
      </c>
      <c r="P137" s="9"/>
      <c r="Q137" s="7">
        <v>1284.3599999999999</v>
      </c>
      <c r="R137" s="8">
        <f>IFERROR(Q137/Q444, "NA")</f>
        <v>4.893993948085467E-3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-1284.3599999999999</v>
      </c>
      <c r="X137" s="8">
        <f>IFERROR(W137/W444, "NA")</f>
        <v>-0.49685875216637376</v>
      </c>
      <c r="Y137" s="9"/>
      <c r="Z137" s="7">
        <v>1410.66</v>
      </c>
      <c r="AA137" s="8">
        <f>IFERROR(Z137/Z444, "NA")</f>
        <v>5.7523330802539486E-3</v>
      </c>
      <c r="AB137" s="9"/>
      <c r="AC137" s="10">
        <f t="shared" si="31"/>
        <v>126.30000000000018</v>
      </c>
      <c r="AD137" s="8">
        <f>IFERROR(AC137/AC444, "NA")</f>
        <v>7.3416189577691316E-3</v>
      </c>
    </row>
    <row r="138" spans="1:30" ht="16.5" customHeight="1" x14ac:dyDescent="0.45">
      <c r="A138" s="12" t="s">
        <v>130</v>
      </c>
      <c r="B138" s="7">
        <v>7800.92</v>
      </c>
      <c r="C138" s="8">
        <f>IFERROR(B138/B444, "NA")</f>
        <v>6.4523039493947582E-2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-7800.92</v>
      </c>
      <c r="I138" s="8">
        <f>IFERROR(H138/H444, "NA")</f>
        <v>-1.0471356833835133</v>
      </c>
      <c r="J138" s="9"/>
      <c r="K138" s="7">
        <v>5937.04</v>
      </c>
      <c r="L138" s="8">
        <f>IFERROR(K138/K444, "NA")</f>
        <v>5.6988530187687493E-2</v>
      </c>
      <c r="M138" s="9"/>
      <c r="N138" s="10">
        <f t="shared" si="29"/>
        <v>-1863.88</v>
      </c>
      <c r="O138" s="8">
        <f>IFERROR(N138/N444, "NA")</f>
        <v>-0.11146441012453841</v>
      </c>
      <c r="P138" s="9"/>
      <c r="Q138" s="7">
        <v>18330.03</v>
      </c>
      <c r="R138" s="8">
        <f>IFERROR(Q138/Q444, "NA")</f>
        <v>6.9845725410496329E-2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-18330.03</v>
      </c>
      <c r="X138" s="8">
        <f>IFERROR(W138/W444, "NA")</f>
        <v>-7.0910304221341338</v>
      </c>
      <c r="Y138" s="9"/>
      <c r="Z138" s="7">
        <v>12925.83</v>
      </c>
      <c r="AA138" s="8">
        <f>IFERROR(Z138/Z444, "NA")</f>
        <v>5.2708433994540775E-2</v>
      </c>
      <c r="AB138" s="9"/>
      <c r="AC138" s="10">
        <f t="shared" si="31"/>
        <v>-5404.1999999999989</v>
      </c>
      <c r="AD138" s="8">
        <f>IFERROR(AC138/AC444, "NA")</f>
        <v>-0.31413758647328482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26734.93</v>
      </c>
      <c r="C141" s="15">
        <f>IFERROR(B141/B444, "NA")</f>
        <v>0.22113019288211186</v>
      </c>
      <c r="D141" s="2"/>
      <c r="E141" s="14">
        <f>IFERROR(E129+E130+E131+E132+E133+E134+E135+E136+E137+E138+E139+E140, "NA")</f>
        <v>24051.73</v>
      </c>
      <c r="F141" s="15">
        <f>IFERROR(E141/E444, "NA")</f>
        <v>0.21200003102646295</v>
      </c>
      <c r="G141" s="2"/>
      <c r="H141" s="14">
        <f t="shared" si="28"/>
        <v>-2683.2000000000007</v>
      </c>
      <c r="I141" s="15">
        <f>IFERROR(H141/H444, "NA")</f>
        <v>-0.36017219323549576</v>
      </c>
      <c r="J141" s="2"/>
      <c r="K141" s="14">
        <f>IFERROR(K129+K130+K131+K132+K133+K134+K135+K136+K137+K138+K139+K140, "NA")</f>
        <v>25735.620000000003</v>
      </c>
      <c r="L141" s="15">
        <f>IFERROR(K141/K444, "NA")</f>
        <v>0.24703137544447301</v>
      </c>
      <c r="M141" s="2"/>
      <c r="N141" s="14">
        <f t="shared" si="29"/>
        <v>-999.30999999999767</v>
      </c>
      <c r="O141" s="15">
        <f>IFERROR(N141/N444, "NA")</f>
        <v>-5.9761089598875577E-2</v>
      </c>
      <c r="P141" s="2"/>
      <c r="Q141" s="14">
        <f>IFERROR(Q129+Q130+Q131+Q132+Q133+Q134+Q135+Q136+Q137+Q138+Q139+Q140, "NA")</f>
        <v>59233.369999999995</v>
      </c>
      <c r="R141" s="15">
        <f>IFERROR(Q141/Q444, "NA")</f>
        <v>0.22570599699827718</v>
      </c>
      <c r="S141" s="2"/>
      <c r="T141" s="14">
        <f>IFERROR(T129+T130+T131+T132+T133+T134+T135+T136+T137+T138+T139+T140, "NA")</f>
        <v>55613.03</v>
      </c>
      <c r="U141" s="15">
        <f>IFERROR(T141/T444, "NA")</f>
        <v>0.214018918534083</v>
      </c>
      <c r="V141" s="2"/>
      <c r="W141" s="14">
        <f t="shared" si="30"/>
        <v>-3620.3399999999965</v>
      </c>
      <c r="X141" s="15">
        <f>IFERROR(W141/W444, "NA")</f>
        <v>-1.4005400470413341</v>
      </c>
      <c r="Y141" s="2"/>
      <c r="Z141" s="14">
        <f>IFERROR(Z129+Z130+Z131+Z132+Z133+Z134+Z135+Z136+Z137+Z138+Z139+Z140, "NA")</f>
        <v>57512.21</v>
      </c>
      <c r="AA141" s="15">
        <f>IFERROR(Z141/Z444, "NA")</f>
        <v>0.23452099591787667</v>
      </c>
      <c r="AB141" s="2"/>
      <c r="AC141" s="14">
        <f t="shared" si="31"/>
        <v>-1721.1599999999962</v>
      </c>
      <c r="AD141" s="15">
        <f>IFERROR(AC141/AC444, "NA")</f>
        <v>-0.10004830471380738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1361.42</v>
      </c>
      <c r="F143" s="8">
        <f>IFERROR(E143/E444, "NA")</f>
        <v>1.2000013397790811E-2</v>
      </c>
      <c r="G143" s="9"/>
      <c r="H143" s="10">
        <f t="shared" ref="H143:H149" si="32">IFERROR(-(B143-E143), "NA")</f>
        <v>1361.42</v>
      </c>
      <c r="I143" s="8">
        <f>IFERROR(H143/H444, "NA")</f>
        <v>0.18274658143808459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3118.22</v>
      </c>
      <c r="U143" s="8">
        <f>IFERROR(T143/T444, "NA")</f>
        <v>1.2000030786874016E-2</v>
      </c>
      <c r="V143" s="9"/>
      <c r="W143" s="10">
        <f t="shared" ref="W143:W149" si="34">IFERROR(-(Q143-T143), "NA")</f>
        <v>3118.22</v>
      </c>
      <c r="X143" s="8">
        <f>IFERROR(W143/W444, "NA")</f>
        <v>1.2062933275563159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1419.95</v>
      </c>
      <c r="C144" s="8">
        <f>IFERROR(B144/B444, "NA")</f>
        <v>1.1744703179808391E-2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-1419.95</v>
      </c>
      <c r="I144" s="8">
        <f>IFERROR(H144/H444, "NA")</f>
        <v>-0.19060319983033022</v>
      </c>
      <c r="J144" s="9"/>
      <c r="K144" s="7">
        <v>1850.47</v>
      </c>
      <c r="L144" s="8">
        <f>IFERROR(K144/K444, "NA")</f>
        <v>1.776231345189018E-2</v>
      </c>
      <c r="M144" s="9"/>
      <c r="N144" s="10">
        <f t="shared" si="33"/>
        <v>430.52</v>
      </c>
      <c r="O144" s="8">
        <f>IFERROR(N144/N444, "NA")</f>
        <v>2.5746109109393452E-2</v>
      </c>
      <c r="P144" s="9"/>
      <c r="Q144" s="7">
        <v>3093.21</v>
      </c>
      <c r="R144" s="8">
        <f>IFERROR(Q144/Q444, "NA")</f>
        <v>1.178653260780268E-2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-3093.21</v>
      </c>
      <c r="X144" s="8">
        <f>IFERROR(W144/W444, "NA")</f>
        <v>-1.1966181294874871</v>
      </c>
      <c r="Y144" s="9"/>
      <c r="Z144" s="7">
        <v>3109.48</v>
      </c>
      <c r="AA144" s="8">
        <f>IFERROR(Z144/Z444, "NA")</f>
        <v>1.2679713514516642E-2</v>
      </c>
      <c r="AB144" s="9"/>
      <c r="AC144" s="10">
        <f t="shared" si="35"/>
        <v>16.269999999999982</v>
      </c>
      <c r="AD144" s="8">
        <f>IFERROR(AC144/AC444, "NA")</f>
        <v>9.4574933050596565E-4</v>
      </c>
    </row>
    <row r="145" spans="1:30" ht="16.5" customHeight="1" x14ac:dyDescent="0.45">
      <c r="A145" s="12" t="s">
        <v>136</v>
      </c>
      <c r="B145" s="7">
        <v>75.63</v>
      </c>
      <c r="C145" s="8">
        <f>IFERROR(B145/B444, "NA")</f>
        <v>6.2555153455326495E-4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-75.63</v>
      </c>
      <c r="I145" s="8">
        <f>IFERROR(H145/H444, "NA")</f>
        <v>-1.015199126952912E-2</v>
      </c>
      <c r="J145" s="9"/>
      <c r="K145" s="7">
        <v>166.45</v>
      </c>
      <c r="L145" s="8">
        <f>IFERROR(K145/K444, "NA")</f>
        <v>1.5977222403319806E-3</v>
      </c>
      <c r="M145" s="9"/>
      <c r="N145" s="10">
        <f t="shared" si="33"/>
        <v>90.82</v>
      </c>
      <c r="O145" s="8">
        <f>IFERROR(N145/N444, "NA")</f>
        <v>5.4312497196764686E-3</v>
      </c>
      <c r="P145" s="9"/>
      <c r="Q145" s="7">
        <v>164.89</v>
      </c>
      <c r="R145" s="8">
        <f>IFERROR(Q145/Q444, "NA")</f>
        <v>6.2830566359884515E-4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-164.89</v>
      </c>
      <c r="X145" s="8">
        <f>IFERROR(W145/W444, "NA")</f>
        <v>-6.3788221094329758E-2</v>
      </c>
      <c r="Y145" s="9"/>
      <c r="Z145" s="7">
        <v>267</v>
      </c>
      <c r="AA145" s="8">
        <f>IFERROR(Z145/Z444, "NA")</f>
        <v>1.0887619500289255E-3</v>
      </c>
      <c r="AB145" s="9"/>
      <c r="AC145" s="10">
        <f t="shared" si="35"/>
        <v>102.11000000000001</v>
      </c>
      <c r="AD145" s="8">
        <f>IFERROR(AC145/AC444, "NA")</f>
        <v>5.9354925714790582E-3</v>
      </c>
    </row>
    <row r="146" spans="1:30" ht="16.5" customHeight="1" x14ac:dyDescent="0.45">
      <c r="A146" s="12" t="s">
        <v>137</v>
      </c>
      <c r="B146" s="7">
        <v>11.66</v>
      </c>
      <c r="C146" s="8">
        <f>IFERROR(B146/B444, "NA")</f>
        <v>9.644229661365952E-5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-11.66</v>
      </c>
      <c r="I146" s="8">
        <f>IFERROR(H146/H444, "NA")</f>
        <v>-1.5651489911769081E-3</v>
      </c>
      <c r="J146" s="9"/>
      <c r="K146" s="7">
        <v>78.3</v>
      </c>
      <c r="L146" s="8">
        <f>IFERROR(K146/K444, "NA")</f>
        <v>7.5158697157100686E-4</v>
      </c>
      <c r="M146" s="9"/>
      <c r="N146" s="10">
        <f t="shared" si="33"/>
        <v>66.64</v>
      </c>
      <c r="O146" s="8">
        <f>IFERROR(N146/N444, "NA")</f>
        <v>3.9852288187540181E-3</v>
      </c>
      <c r="P146" s="9"/>
      <c r="Q146" s="7">
        <v>19.989999999999998</v>
      </c>
      <c r="R146" s="8">
        <f>IFERROR(Q146/Q444, "NA")</f>
        <v>7.6170963765788798E-5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-19.989999999999998</v>
      </c>
      <c r="X146" s="8">
        <f>IFERROR(W146/W444, "NA")</f>
        <v>-7.7331950977964211E-3</v>
      </c>
      <c r="Y146" s="9"/>
      <c r="Z146" s="7">
        <v>152.34</v>
      </c>
      <c r="AA146" s="8">
        <f>IFERROR(Z146/Z444, "NA")</f>
        <v>6.2120597553335776E-4</v>
      </c>
      <c r="AB146" s="9"/>
      <c r="AC146" s="10">
        <f t="shared" si="35"/>
        <v>132.35</v>
      </c>
      <c r="AD146" s="8">
        <f>IFERROR(AC146/AC444, "NA")</f>
        <v>7.6932958753819728E-3</v>
      </c>
    </row>
    <row r="147" spans="1:30" ht="16.5" customHeight="1" x14ac:dyDescent="0.45">
      <c r="A147" s="12" t="s">
        <v>138</v>
      </c>
      <c r="B147" s="7">
        <v>8.56</v>
      </c>
      <c r="C147" s="8">
        <f>IFERROR(B147/B444, "NA")</f>
        <v>7.0801548800422426E-5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-8.56</v>
      </c>
      <c r="I147" s="8">
        <f>IFERROR(H147/H444, "NA")</f>
        <v>-1.149028761961778E-3</v>
      </c>
      <c r="J147" s="9"/>
      <c r="K147" s="7">
        <v>48.39</v>
      </c>
      <c r="L147" s="8">
        <f>IFERROR(K147/K444, "NA")</f>
        <v>4.6448650771802069E-4</v>
      </c>
      <c r="M147" s="9"/>
      <c r="N147" s="10">
        <f t="shared" si="33"/>
        <v>39.83</v>
      </c>
      <c r="O147" s="8">
        <f>IFERROR(N147/N444, "NA")</f>
        <v>2.3819277288561302E-3</v>
      </c>
      <c r="P147" s="9"/>
      <c r="Q147" s="7">
        <v>28.25</v>
      </c>
      <c r="R147" s="8">
        <f>IFERROR(Q147/Q444, "NA")</f>
        <v>1.0764530897366351E-4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-28.25</v>
      </c>
      <c r="X147" s="8">
        <f>IFERROR(W147/W444, "NA")</f>
        <v>-1.0928602376825858E-2</v>
      </c>
      <c r="Y147" s="9"/>
      <c r="Z147" s="7">
        <v>85.97</v>
      </c>
      <c r="AA147" s="8">
        <f>IFERROR(Z147/Z444, "NA")</f>
        <v>3.5056503686886414E-4</v>
      </c>
      <c r="AB147" s="9"/>
      <c r="AC147" s="10">
        <f t="shared" si="35"/>
        <v>57.72</v>
      </c>
      <c r="AD147" s="8">
        <f>IFERROR(AC147/AC444, "NA")</f>
        <v>3.3551721792750089E-3</v>
      </c>
    </row>
    <row r="148" spans="1:30" ht="16.5" customHeight="1" x14ac:dyDescent="0.45">
      <c r="A148" s="13" t="s">
        <v>139</v>
      </c>
      <c r="B148" s="14">
        <f>IFERROR(B143+B144+B145+B146+B147, "NA")</f>
        <v>1515.8</v>
      </c>
      <c r="C148" s="15">
        <f>IFERROR(B148/B444, "NA")</f>
        <v>1.2537498559775737E-2</v>
      </c>
      <c r="D148" s="2"/>
      <c r="E148" s="14">
        <f>IFERROR(E143+E144+E145+E146+E147, "NA")</f>
        <v>1361.42</v>
      </c>
      <c r="F148" s="15">
        <f>IFERROR(E148/E444, "NA")</f>
        <v>1.2000013397790811E-2</v>
      </c>
      <c r="G148" s="2"/>
      <c r="H148" s="14">
        <f t="shared" si="32"/>
        <v>-154.37999999999988</v>
      </c>
      <c r="I148" s="15">
        <f>IFERROR(H148/H444, "NA")</f>
        <v>-2.0722787414913454E-2</v>
      </c>
      <c r="J148" s="2"/>
      <c r="K148" s="14">
        <f>IFERROR(K143+K144+K145+K146+K147, "NA")</f>
        <v>2143.61</v>
      </c>
      <c r="L148" s="15">
        <f>IFERROR(K148/K444, "NA")</f>
        <v>2.0576109171511189E-2</v>
      </c>
      <c r="M148" s="2"/>
      <c r="N148" s="14">
        <f t="shared" si="33"/>
        <v>627.81000000000017</v>
      </c>
      <c r="O148" s="15">
        <f>IFERROR(N148/N444, "NA")</f>
        <v>3.7544515376680083E-2</v>
      </c>
      <c r="P148" s="2"/>
      <c r="Q148" s="14">
        <f>IFERROR(Q143+Q144+Q145+Q146+Q147, "NA")</f>
        <v>3306.3399999999997</v>
      </c>
      <c r="R148" s="15">
        <f>IFERROR(Q148/Q444, "NA")</f>
        <v>1.2598654544140976E-2</v>
      </c>
      <c r="S148" s="2"/>
      <c r="T148" s="14">
        <f>IFERROR(T143+T144+T145+T146+T147, "NA")</f>
        <v>3118.22</v>
      </c>
      <c r="U148" s="15">
        <f>IFERROR(T148/T444, "NA")</f>
        <v>1.2000030786874016E-2</v>
      </c>
      <c r="V148" s="2"/>
      <c r="W148" s="14">
        <f t="shared" si="34"/>
        <v>-188.11999999999989</v>
      </c>
      <c r="X148" s="15">
        <f>IFERROR(W148/W444, "NA")</f>
        <v>-7.2774820500123155E-2</v>
      </c>
      <c r="Y148" s="2"/>
      <c r="Z148" s="14">
        <f>IFERROR(Z143+Z144+Z145+Z146+Z147, "NA")</f>
        <v>3614.79</v>
      </c>
      <c r="AA148" s="15">
        <f>IFERROR(Z148/Z444, "NA")</f>
        <v>1.4740246476947789E-2</v>
      </c>
      <c r="AB148" s="2"/>
      <c r="AC148" s="14">
        <f t="shared" si="35"/>
        <v>308.45000000000027</v>
      </c>
      <c r="AD148" s="15">
        <f>IFERROR(AC148/AC444, "NA")</f>
        <v>1.7929709956642021E-2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28250.730000000003</v>
      </c>
      <c r="C149" s="15">
        <f>IFERROR(B149/B444, "NA")</f>
        <v>0.23366769144188762</v>
      </c>
      <c r="D149" s="2"/>
      <c r="E149" s="14">
        <f>IFERROR(E127+E129+E130+E131+E132+E133+E134+E135+E136+E137+E138+E139+E140+E143+E144+E145+E146+E147, "NA")</f>
        <v>25413.15</v>
      </c>
      <c r="F149" s="15">
        <f>IFERROR(E149/E444, "NA")</f>
        <v>0.22400004442425375</v>
      </c>
      <c r="G149" s="2"/>
      <c r="H149" s="14">
        <f t="shared" si="32"/>
        <v>-2837.5800000000017</v>
      </c>
      <c r="I149" s="15">
        <f>IFERROR(H149/H444, "NA")</f>
        <v>-0.38089498065040939</v>
      </c>
      <c r="J149" s="2"/>
      <c r="K149" s="14">
        <f>IFERROR(K127+K129+K130+K131+K132+K133+K134+K135+K136+K137+K138+K139+K140+K143+K144+K145+K146+K147, "NA")</f>
        <v>27879.230000000003</v>
      </c>
      <c r="L149" s="15">
        <f>IFERROR(K149/K444, "NA")</f>
        <v>0.26760748461598421</v>
      </c>
      <c r="M149" s="2"/>
      <c r="N149" s="14">
        <f t="shared" si="33"/>
        <v>-371.5</v>
      </c>
      <c r="O149" s="15">
        <f>IFERROR(N149/N444, "NA")</f>
        <v>-2.2216574222195643E-2</v>
      </c>
      <c r="P149" s="2"/>
      <c r="Q149" s="14">
        <f>IFERROR(Q127+Q129+Q130+Q131+Q132+Q133+Q134+Q135+Q136+Q137+Q138+Q139+Q140+Q143+Q144+Q145+Q146+Q147, "NA")</f>
        <v>62539.709999999992</v>
      </c>
      <c r="R149" s="15">
        <f>IFERROR(Q149/Q444, "NA")</f>
        <v>0.23830465154241814</v>
      </c>
      <c r="S149" s="2"/>
      <c r="T149" s="14">
        <f>IFERROR(T127+T129+T130+T131+T132+T133+T134+T135+T136+T137+T138+T139+T140+T143+T144+T145+T146+T147, "NA")</f>
        <v>58731.25</v>
      </c>
      <c r="U149" s="15">
        <f>IFERROR(T149/T444, "NA")</f>
        <v>0.22601894932095701</v>
      </c>
      <c r="V149" s="2"/>
      <c r="W149" s="14">
        <f t="shared" si="34"/>
        <v>-3808.4599999999919</v>
      </c>
      <c r="X149" s="15">
        <f>IFERROR(W149/W444, "NA")</f>
        <v>-1.4733148675414556</v>
      </c>
      <c r="Y149" s="2"/>
      <c r="Z149" s="14">
        <f>IFERROR(Z127+Z129+Z130+Z131+Z132+Z133+Z134+Z135+Z136+Z137+Z138+Z139+Z140+Z143+Z144+Z145+Z146+Z147, "NA")</f>
        <v>61127</v>
      </c>
      <c r="AA149" s="15">
        <f>IFERROR(Z149/Z444, "NA")</f>
        <v>0.24926124239482447</v>
      </c>
      <c r="AB149" s="2"/>
      <c r="AC149" s="14">
        <f t="shared" si="35"/>
        <v>-1412.7099999999919</v>
      </c>
      <c r="AD149" s="15">
        <f>IFERROR(AC149/AC444, "NA")</f>
        <v>-8.2118594757165125E-2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4538.0600000000004</v>
      </c>
      <c r="F153" s="8">
        <f>IFERROR(E153/E444, "NA")</f>
        <v>3.9999985897062308E-2</v>
      </c>
      <c r="G153" s="9"/>
      <c r="H153" s="10">
        <f t="shared" ref="H153:H158" si="36">IFERROR(-(B153-E153), "NA")</f>
        <v>4538.0600000000004</v>
      </c>
      <c r="I153" s="8">
        <f>IFERROR(H153/H444, "NA")</f>
        <v>0.60915437657806859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10394.040000000001</v>
      </c>
      <c r="U153" s="8">
        <f>IFERROR(T153/T444, "NA")</f>
        <v>0.04</v>
      </c>
      <c r="V153" s="9"/>
      <c r="W153" s="10">
        <f t="shared" ref="W153:W158" si="38">IFERROR(-(Q153-T153), "NA")</f>
        <v>10394.040000000001</v>
      </c>
      <c r="X153" s="8">
        <f>IFERROR(W153/W444, "NA")</f>
        <v>4.0209674424362145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3425.06</v>
      </c>
      <c r="C154" s="8">
        <f>IFERROR(B154/B444, "NA")</f>
        <v>2.8329387001679304E-2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-3425.06</v>
      </c>
      <c r="I154" s="8">
        <f>IFERROR(H154/H444, "NA")</f>
        <v>-0.45975379105663639</v>
      </c>
      <c r="J154" s="9"/>
      <c r="K154" s="7">
        <v>3623.04</v>
      </c>
      <c r="L154" s="8">
        <f>IFERROR(K154/K444, "NA")</f>
        <v>3.4776879456968335E-2</v>
      </c>
      <c r="M154" s="9"/>
      <c r="N154" s="10">
        <f t="shared" si="37"/>
        <v>197.98000000000002</v>
      </c>
      <c r="O154" s="8">
        <f>IFERROR(N154/N444, "NA")</f>
        <v>1.1839669891010212E-2</v>
      </c>
      <c r="P154" s="9"/>
      <c r="Q154" s="7">
        <v>7718.5</v>
      </c>
      <c r="R154" s="8">
        <f>IFERROR(Q154/Q444, "NA")</f>
        <v>2.9410984683653867E-2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-7718.5</v>
      </c>
      <c r="X154" s="8">
        <f>IFERROR(W154/W444, "NA")</f>
        <v>-2.9859262812577128</v>
      </c>
      <c r="Y154" s="9"/>
      <c r="Z154" s="7">
        <v>8059.14</v>
      </c>
      <c r="AA154" s="8">
        <f>IFERROR(Z154/Z444, "NA")</f>
        <v>3.2863239632794437E-2</v>
      </c>
      <c r="AB154" s="9"/>
      <c r="AC154" s="10">
        <f t="shared" si="39"/>
        <v>340.64000000000033</v>
      </c>
      <c r="AD154" s="8">
        <f>IFERROR(AC154/AC444, "NA")</f>
        <v>1.9800863672006935E-2</v>
      </c>
    </row>
    <row r="155" spans="1:30" ht="16.5" customHeight="1" x14ac:dyDescent="0.45">
      <c r="A155" s="12" t="s">
        <v>144</v>
      </c>
      <c r="B155" s="7">
        <v>2291.9499999999998</v>
      </c>
      <c r="C155" s="8">
        <f>IFERROR(B155/B444, "NA")</f>
        <v>1.8957197403402824E-2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-2291.9499999999998</v>
      </c>
      <c r="I155" s="8">
        <f>IFERROR(H155/H444, "NA")</f>
        <v>-0.30765379333858611</v>
      </c>
      <c r="J155" s="9"/>
      <c r="K155" s="7">
        <v>725.02</v>
      </c>
      <c r="L155" s="8">
        <f>IFERROR(K155/K444, "NA")</f>
        <v>6.9593306018954195E-3</v>
      </c>
      <c r="M155" s="9"/>
      <c r="N155" s="10">
        <f t="shared" si="37"/>
        <v>-1566.9299999999998</v>
      </c>
      <c r="O155" s="8">
        <f>IFERROR(N155/N444, "NA")</f>
        <v>-9.3706101335087527E-2</v>
      </c>
      <c r="P155" s="9"/>
      <c r="Q155" s="7">
        <v>5182.87</v>
      </c>
      <c r="R155" s="8">
        <f>IFERROR(Q155/Q444, "NA")</f>
        <v>1.9749084690985182E-2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-5182.87</v>
      </c>
      <c r="X155" s="8">
        <f>IFERROR(W155/W444, "NA")</f>
        <v>-2.0050097487001568</v>
      </c>
      <c r="Y155" s="9"/>
      <c r="Z155" s="7">
        <v>2359.69</v>
      </c>
      <c r="AA155" s="8">
        <f>IFERROR(Z155/Z444, "NA")</f>
        <v>9.6222497597893454E-3</v>
      </c>
      <c r="AB155" s="9"/>
      <c r="AC155" s="10">
        <f t="shared" si="39"/>
        <v>-2823.18</v>
      </c>
      <c r="AD155" s="8">
        <f>IFERROR(AC155/AC444, "NA")</f>
        <v>-0.16410698186219022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74.2</v>
      </c>
      <c r="R156" s="8">
        <f>IFERROR(Q156/Q444, "NA")</f>
        <v>2.8273564339277287E-4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-74.2</v>
      </c>
      <c r="X156" s="8">
        <f>IFERROR(W156/W444, "NA")</f>
        <v>-2.8704506065857654E-2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-74.2</v>
      </c>
      <c r="AD156" s="8">
        <f>IFERROR(AC156/AC444, "NA")</f>
        <v>-4.3131284771691907E-3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5717.01</v>
      </c>
      <c r="C158" s="15">
        <f>IFERROR(B158/B444, "NA")</f>
        <v>4.7286584405082134E-2</v>
      </c>
      <c r="D158" s="2"/>
      <c r="E158" s="14">
        <f>IFERROR(E153+E154+E155+E156+E157, "NA")</f>
        <v>4538.0600000000004</v>
      </c>
      <c r="F158" s="15">
        <f>IFERROR(E158/E444, "NA")</f>
        <v>3.9999985897062308E-2</v>
      </c>
      <c r="G158" s="2"/>
      <c r="H158" s="14">
        <f t="shared" si="36"/>
        <v>-1178.9499999999998</v>
      </c>
      <c r="I158" s="15">
        <f>IFERROR(H158/H444, "NA")</f>
        <v>-0.15825320781715396</v>
      </c>
      <c r="J158" s="2"/>
      <c r="K158" s="14">
        <f>IFERROR(K153+K154+K155+K156+K157, "NA")</f>
        <v>4348.0599999999995</v>
      </c>
      <c r="L158" s="15">
        <f>IFERROR(K158/K444, "NA")</f>
        <v>4.173621005886375E-2</v>
      </c>
      <c r="M158" s="2"/>
      <c r="N158" s="14">
        <f t="shared" si="37"/>
        <v>-1368.9500000000007</v>
      </c>
      <c r="O158" s="15">
        <f>IFERROR(N158/N444, "NA")</f>
        <v>-8.1866431444077362E-2</v>
      </c>
      <c r="P158" s="2"/>
      <c r="Q158" s="14">
        <f>IFERROR(Q153+Q154+Q155+Q156+Q157, "NA")</f>
        <v>12975.57</v>
      </c>
      <c r="R158" s="15">
        <f>IFERROR(Q158/Q444, "NA")</f>
        <v>4.9442805018031825E-2</v>
      </c>
      <c r="S158" s="2"/>
      <c r="T158" s="14">
        <f>IFERROR(T153+T154+T155+T156+T157, "NA")</f>
        <v>10394.040000000001</v>
      </c>
      <c r="U158" s="15">
        <f>IFERROR(T158/T444, "NA")</f>
        <v>0.04</v>
      </c>
      <c r="V158" s="2"/>
      <c r="W158" s="14">
        <f t="shared" si="38"/>
        <v>-2581.5299999999988</v>
      </c>
      <c r="X158" s="15">
        <f>IFERROR(W158/W444, "NA")</f>
        <v>-0.99867309358751311</v>
      </c>
      <c r="Y158" s="2"/>
      <c r="Z158" s="14">
        <f>IFERROR(Z153+Z154+Z155+Z156+Z157, "NA")</f>
        <v>10418.83</v>
      </c>
      <c r="AA158" s="15">
        <f>IFERROR(Z158/Z444, "NA")</f>
        <v>4.2485489392583786E-2</v>
      </c>
      <c r="AB158" s="2"/>
      <c r="AC158" s="14">
        <f t="shared" si="39"/>
        <v>-2556.7399999999998</v>
      </c>
      <c r="AD158" s="15">
        <f>IFERROR(AC158/AC444, "NA")</f>
        <v>-0.14861924666735249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600.47</v>
      </c>
      <c r="C161" s="8">
        <f>IFERROR(B161/B444, "NA")</f>
        <v>4.9666128514240255E-3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-600.47</v>
      </c>
      <c r="I161" s="8">
        <f>IFERROR(H161/H444, "NA")</f>
        <v>-8.0602488398970662E-2</v>
      </c>
      <c r="J161" s="9"/>
      <c r="K161" s="7">
        <v>376.01</v>
      </c>
      <c r="L161" s="8">
        <f>IFERROR(K161/K444, "NA")</f>
        <v>3.6092492615634009E-3</v>
      </c>
      <c r="M161" s="9"/>
      <c r="N161" s="10">
        <f t="shared" si="41"/>
        <v>-224.46000000000004</v>
      </c>
      <c r="O161" s="8">
        <f>IFERROR(N161/N444, "NA")</f>
        <v>-1.3423236204344643E-2</v>
      </c>
      <c r="P161" s="9"/>
      <c r="Q161" s="7">
        <v>1320.05</v>
      </c>
      <c r="R161" s="8">
        <f>IFERROR(Q161/Q444, "NA")</f>
        <v>5.0299890304667085E-3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-1320.05</v>
      </c>
      <c r="X161" s="8">
        <f>IFERROR(W161/W444, "NA")</f>
        <v>-0.51066554221341498</v>
      </c>
      <c r="Y161" s="9"/>
      <c r="Z161" s="7">
        <v>992.27</v>
      </c>
      <c r="AA161" s="8">
        <f>IFERROR(Z161/Z444, "NA")</f>
        <v>4.0462390267985088E-3</v>
      </c>
      <c r="AB161" s="9"/>
      <c r="AC161" s="10">
        <f t="shared" si="43"/>
        <v>-327.78</v>
      </c>
      <c r="AD161" s="8">
        <f>IFERROR(AC161/AC444, "NA")</f>
        <v>-1.90533322405191E-2</v>
      </c>
    </row>
    <row r="162" spans="1:30" ht="16.5" customHeight="1" x14ac:dyDescent="0.45">
      <c r="A162" s="12" t="s">
        <v>150</v>
      </c>
      <c r="B162" s="7">
        <v>2.33</v>
      </c>
      <c r="C162" s="8">
        <f>IFERROR(B162/B444, "NA")</f>
        <v>1.927191690478788E-5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-2.33</v>
      </c>
      <c r="I162" s="8">
        <f>IFERROR(H162/H444, "NA")</f>
        <v>-3.1276133357137186E-4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-2.33</v>
      </c>
      <c r="O162" s="8">
        <f>IFERROR(N162/N444, "NA")</f>
        <v>-1.3933948300865639E-4</v>
      </c>
      <c r="P162" s="9"/>
      <c r="Q162" s="7">
        <v>2.33</v>
      </c>
      <c r="R162" s="8">
        <f>IFERROR(Q162/Q444, "NA")</f>
        <v>8.8783564569428663E-6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-2.33</v>
      </c>
      <c r="X162" s="8">
        <f>IFERROR(W162/W444, "NA")</f>
        <v>-9.0136791284970796E-4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-2.33</v>
      </c>
      <c r="AD162" s="8">
        <f>IFERROR(AC162/AC444, "NA")</f>
        <v>-1.354392095930487E-4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602.80000000000007</v>
      </c>
      <c r="C166" s="15">
        <f>IFERROR(B166/B444, "NA")</f>
        <v>4.9858847683288132E-3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-602.80000000000007</v>
      </c>
      <c r="I166" s="15">
        <f>IFERROR(H166/H444, "NA")</f>
        <v>-8.0915249732542049E-2</v>
      </c>
      <c r="J166" s="2"/>
      <c r="K166" s="14">
        <f>IFERROR(K160+K161+K162+K163+K164+K165, "NA")</f>
        <v>376.01</v>
      </c>
      <c r="L166" s="15">
        <f>IFERROR(K166/K444, "NA")</f>
        <v>3.6092492615634009E-3</v>
      </c>
      <c r="M166" s="2"/>
      <c r="N166" s="14">
        <f t="shared" si="41"/>
        <v>-226.79000000000008</v>
      </c>
      <c r="O166" s="15">
        <f>IFERROR(N166/N444, "NA")</f>
        <v>-1.3562575687353301E-2</v>
      </c>
      <c r="P166" s="2"/>
      <c r="Q166" s="14">
        <f>IFERROR(Q160+Q161+Q162+Q163+Q164+Q165, "NA")</f>
        <v>1322.3799999999999</v>
      </c>
      <c r="R166" s="15">
        <f>IFERROR(Q166/Q444, "NA")</f>
        <v>5.0388673869236509E-3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-1322.3799999999999</v>
      </c>
      <c r="X166" s="15">
        <f>IFERROR(W166/W444, "NA")</f>
        <v>-0.51156691012626465</v>
      </c>
      <c r="Y166" s="2"/>
      <c r="Z166" s="14">
        <f>IFERROR(Z160+Z161+Z162+Z163+Z164+Z165, "NA")</f>
        <v>992.27</v>
      </c>
      <c r="AA166" s="15">
        <f>IFERROR(Z166/Z444, "NA")</f>
        <v>4.0462390267985088E-3</v>
      </c>
      <c r="AB166" s="2"/>
      <c r="AC166" s="14">
        <f t="shared" si="43"/>
        <v>-330.1099999999999</v>
      </c>
      <c r="AD166" s="15">
        <f>IFERROR(AC166/AC444, "NA")</f>
        <v>-1.9188771450112142E-2</v>
      </c>
    </row>
    <row r="167" spans="1:30" ht="16.5" customHeight="1" x14ac:dyDescent="0.45">
      <c r="A167" s="6" t="s">
        <v>155</v>
      </c>
      <c r="B167" s="7">
        <v>88.4</v>
      </c>
      <c r="C167" s="8">
        <f>IFERROR(B167/B444, "NA")</f>
        <v>7.3117487312585787E-4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-88.4</v>
      </c>
      <c r="I167" s="8">
        <f>IFERROR(H167/H444, "NA")</f>
        <v>-1.1866138149231447E-2</v>
      </c>
      <c r="J167" s="9"/>
      <c r="K167" s="7">
        <v>93.59</v>
      </c>
      <c r="L167" s="8">
        <f>IFERROR(K167/K444, "NA")</f>
        <v>8.9835280548314854E-4</v>
      </c>
      <c r="M167" s="9"/>
      <c r="N167" s="10">
        <f t="shared" si="41"/>
        <v>5.1899999999999977</v>
      </c>
      <c r="O167" s="8">
        <f>IFERROR(N167/N444, "NA")</f>
        <v>3.1037421322529027E-4</v>
      </c>
      <c r="P167" s="9"/>
      <c r="Q167" s="7">
        <v>191.23</v>
      </c>
      <c r="R167" s="8">
        <f>IFERROR(Q167/Q444, "NA")</f>
        <v>7.2867300654986449E-4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-191.23</v>
      </c>
      <c r="X167" s="8">
        <f>IFERROR(W167/W444, "NA")</f>
        <v>-7.3977933894527739E-2</v>
      </c>
      <c r="Y167" s="9"/>
      <c r="Z167" s="7">
        <v>236.18</v>
      </c>
      <c r="AA167" s="8">
        <f>IFERROR(Z167/Z444, "NA")</f>
        <v>9.6308538336266532E-4</v>
      </c>
      <c r="AB167" s="9"/>
      <c r="AC167" s="10">
        <f t="shared" si="43"/>
        <v>44.950000000000017</v>
      </c>
      <c r="AD167" s="8">
        <f>IFERROR(AC167/AC444, "NA")</f>
        <v>2.6128723052392883E-3</v>
      </c>
    </row>
    <row r="168" spans="1:30" ht="16.5" customHeight="1" x14ac:dyDescent="0.45">
      <c r="A168" s="6" t="s">
        <v>156</v>
      </c>
      <c r="B168" s="7">
        <v>174.14</v>
      </c>
      <c r="C168" s="8">
        <f>IFERROR(B168/B444, "NA")</f>
        <v>1.4403483303861637E-3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-174.14</v>
      </c>
      <c r="I168" s="8">
        <f>IFERROR(H168/H444, "NA")</f>
        <v>-2.337521829532991E-2</v>
      </c>
      <c r="J168" s="9"/>
      <c r="K168" s="7">
        <v>35.6</v>
      </c>
      <c r="L168" s="8">
        <f>IFERROR(K168/K444, "NA")</f>
        <v>3.4171770354952545E-4</v>
      </c>
      <c r="M168" s="9"/>
      <c r="N168" s="10">
        <f t="shared" si="41"/>
        <v>-138.54</v>
      </c>
      <c r="O168" s="8">
        <f>IFERROR(N168/N444, "NA")</f>
        <v>-8.2850180154589084E-3</v>
      </c>
      <c r="P168" s="9"/>
      <c r="Q168" s="7">
        <v>210.14</v>
      </c>
      <c r="R168" s="8">
        <f>IFERROR(Q168/Q444, "NA")</f>
        <v>8.0072868062745653E-4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-210.14</v>
      </c>
      <c r="X168" s="8">
        <f>IFERROR(W168/W444, "NA")</f>
        <v>-8.1293327556325165E-2</v>
      </c>
      <c r="Y168" s="9"/>
      <c r="Z168" s="7">
        <v>98.2</v>
      </c>
      <c r="AA168" s="8">
        <f>IFERROR(Z168/Z444, "NA")</f>
        <v>4.0043604304434641E-4</v>
      </c>
      <c r="AB168" s="9"/>
      <c r="AC168" s="10">
        <f t="shared" si="43"/>
        <v>-111.93999999999998</v>
      </c>
      <c r="AD168" s="8">
        <f>IFERROR(AC168/AC444, "NA")</f>
        <v>-6.5068949020797729E-3</v>
      </c>
    </row>
    <row r="169" spans="1:30" ht="16.5" customHeight="1" x14ac:dyDescent="0.45">
      <c r="A169" s="6" t="s">
        <v>157</v>
      </c>
      <c r="B169" s="7">
        <v>-1099.23</v>
      </c>
      <c r="C169" s="8">
        <f>IFERROR(B169/B444, "NA")</f>
        <v>-9.0919610383047127E-3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1099.23</v>
      </c>
      <c r="I169" s="8">
        <f>IFERROR(H169/H444, "NA")</f>
        <v>0.14755220630972493</v>
      </c>
      <c r="J169" s="9"/>
      <c r="K169" s="7">
        <v>-2299.86</v>
      </c>
      <c r="L169" s="8">
        <f>IFERROR(K169/K444, "NA")</f>
        <v>-2.2075923530489091E-2</v>
      </c>
      <c r="M169" s="9"/>
      <c r="N169" s="10">
        <f t="shared" si="41"/>
        <v>-1200.6300000000001</v>
      </c>
      <c r="O169" s="8">
        <f>IFERROR(N169/N444, "NA")</f>
        <v>-7.180049934964941E-2</v>
      </c>
      <c r="P169" s="9"/>
      <c r="Q169" s="7">
        <v>-2854.33</v>
      </c>
      <c r="R169" s="8">
        <f>IFERROR(Q169/Q444, "NA")</f>
        <v>-1.0876291496028211E-2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2854.33</v>
      </c>
      <c r="X169" s="8">
        <f>IFERROR(W169/W444, "NA")</f>
        <v>1.1042066414954106</v>
      </c>
      <c r="Y169" s="9"/>
      <c r="Z169" s="7">
        <v>-6639.81</v>
      </c>
      <c r="AA169" s="8">
        <f>IFERROR(Z169/Z444, "NA")</f>
        <v>-2.7075552372365395E-2</v>
      </c>
      <c r="AB169" s="9"/>
      <c r="AC169" s="10">
        <f t="shared" si="43"/>
        <v>-3785.4800000000005</v>
      </c>
      <c r="AD169" s="8">
        <f>IFERROR(AC169/AC444, "NA")</f>
        <v>-0.22004395670828072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5483.1200000000008</v>
      </c>
      <c r="C170" s="15">
        <f>IFERROR(B170/B444, "NA")</f>
        <v>4.5352031338618259E-2</v>
      </c>
      <c r="D170" s="2"/>
      <c r="E170" s="14">
        <f>IFERROR(E151+E153+E154+E155+E156+E157+E160+E161+E162+E163+E164+E165+E167+E168+E169, "NA")</f>
        <v>4538.0600000000004</v>
      </c>
      <c r="F170" s="15">
        <f>IFERROR(E170/E444, "NA")</f>
        <v>3.9999985897062308E-2</v>
      </c>
      <c r="G170" s="2"/>
      <c r="H170" s="14">
        <f t="shared" si="40"/>
        <v>-945.0600000000004</v>
      </c>
      <c r="I170" s="15">
        <f>IFERROR(H170/H444, "NA")</f>
        <v>-0.12685760768453253</v>
      </c>
      <c r="J170" s="2"/>
      <c r="K170" s="14">
        <f>IFERROR(K151+K153+K154+K155+K156+K157+K160+K161+K162+K163+K164+K165+K167+K168+K169, "NA")</f>
        <v>2553.4</v>
      </c>
      <c r="L170" s="15">
        <f>IFERROR(K170/K444, "NA")</f>
        <v>2.450960629897074E-2</v>
      </c>
      <c r="M170" s="2"/>
      <c r="N170" s="14">
        <f t="shared" si="41"/>
        <v>-2929.7200000000007</v>
      </c>
      <c r="O170" s="15">
        <f>IFERROR(N170/N444, "NA")</f>
        <v>-0.17520415028331368</v>
      </c>
      <c r="P170" s="2"/>
      <c r="Q170" s="14">
        <f>IFERROR(Q151+Q153+Q154+Q155+Q156+Q157+Q160+Q161+Q162+Q163+Q164+Q165+Q167+Q168+Q169, "NA")</f>
        <v>11844.989999999998</v>
      </c>
      <c r="R170" s="15">
        <f>IFERROR(Q170/Q444, "NA")</f>
        <v>4.5134782596104581E-2</v>
      </c>
      <c r="S170" s="2"/>
      <c r="T170" s="14">
        <f>IFERROR(T151+T153+T154+T155+T156+T157+T160+T161+T162+T163+T164+T165+T167+T168+T169, "NA")</f>
        <v>10394.040000000001</v>
      </c>
      <c r="U170" s="15">
        <f>IFERROR(T170/T444, "NA")</f>
        <v>0.04</v>
      </c>
      <c r="V170" s="2"/>
      <c r="W170" s="14">
        <f t="shared" si="42"/>
        <v>-1450.9499999999971</v>
      </c>
      <c r="X170" s="15">
        <f>IFERROR(W170/W444, "NA")</f>
        <v>-0.5613046236692194</v>
      </c>
      <c r="Y170" s="2"/>
      <c r="Z170" s="14">
        <f>IFERROR(Z151+Z153+Z154+Z155+Z156+Z157+Z160+Z161+Z162+Z163+Z164+Z165+Z167+Z168+Z169, "NA")</f>
        <v>5105.670000000001</v>
      </c>
      <c r="AA170" s="15">
        <f>IFERROR(Z170/Z444, "NA")</f>
        <v>2.0819697473423916E-2</v>
      </c>
      <c r="AB170" s="2"/>
      <c r="AC170" s="14">
        <f t="shared" si="43"/>
        <v>-6739.319999999997</v>
      </c>
      <c r="AD170" s="15">
        <f>IFERROR(AC170/AC444, "NA")</f>
        <v>-0.39174599742258565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33733.850000000006</v>
      </c>
      <c r="C171" s="15">
        <f>IFERROR(B171/B444, "NA")</f>
        <v>0.27901972278050591</v>
      </c>
      <c r="D171" s="2"/>
      <c r="E171" s="14">
        <f>IFERROR(E127+E129+E130+E131+E132+E133+E134+E135+E136+E137+E138+E139+E140+E143+E144+E145+E146+E147+E151+E153+E154+E155+E156+E157+E160+E161+E162+E163+E164+E165+E167+E168+E169, "NA")</f>
        <v>29951.210000000003</v>
      </c>
      <c r="F171" s="15">
        <f>IFERROR(E171/E444, "NA")</f>
        <v>0.26400003032131608</v>
      </c>
      <c r="G171" s="2"/>
      <c r="H171" s="14">
        <f t="shared" si="40"/>
        <v>-3782.6400000000031</v>
      </c>
      <c r="I171" s="15">
        <f>IFERROR(H171/H444, "NA")</f>
        <v>-0.50775258833494197</v>
      </c>
      <c r="J171" s="2"/>
      <c r="K171" s="14">
        <f>IFERROR(K127+K129+K130+K131+K132+K133+K134+K135+K136+K137+K138+K139+K140+K143+K144+K145+K146+K147+K151+K153+K154+K155+K156+K157+K160+K161+K162+K163+K164+K165+K167+K168+K169, "NA")</f>
        <v>30432.63</v>
      </c>
      <c r="L171" s="15">
        <f>IFERROR(K171/K444, "NA")</f>
        <v>0.29211709091495491</v>
      </c>
      <c r="M171" s="2"/>
      <c r="N171" s="14">
        <f t="shared" si="41"/>
        <v>-3301.2200000000048</v>
      </c>
      <c r="O171" s="15">
        <f>IFERROR(N171/N444, "NA")</f>
        <v>-0.19742072450550957</v>
      </c>
      <c r="P171" s="2"/>
      <c r="Q171" s="14">
        <f>IFERROR(Q127+Q129+Q130+Q131+Q132+Q133+Q134+Q135+Q136+Q137+Q138+Q139+Q140+Q143+Q144+Q145+Q146+Q147+Q151+Q153+Q154+Q155+Q156+Q157+Q160+Q161+Q162+Q163+Q164+Q165+Q167+Q168+Q169, "NA")</f>
        <v>74384.699999999983</v>
      </c>
      <c r="R171" s="15">
        <f>IFERROR(Q171/Q444, "NA")</f>
        <v>0.28343943413852268</v>
      </c>
      <c r="S171" s="2"/>
      <c r="T171" s="14">
        <f>IFERROR(T127+T129+T130+T131+T132+T133+T134+T135+T136+T137+T138+T139+T140+T143+T144+T145+T146+T147+T151+T153+T154+T155+T156+T157+T160+T161+T162+T163+T164+T165+T167+T168+T169, "NA")</f>
        <v>69125.290000000008</v>
      </c>
      <c r="U171" s="15">
        <f>IFERROR(T171/T444, "NA")</f>
        <v>0.26601894932095704</v>
      </c>
      <c r="V171" s="2"/>
      <c r="W171" s="14">
        <f t="shared" si="42"/>
        <v>-5259.4099999999744</v>
      </c>
      <c r="X171" s="15">
        <f>IFERROR(W171/W444, "NA")</f>
        <v>-2.0346194912106692</v>
      </c>
      <c r="Y171" s="2"/>
      <c r="Z171" s="14">
        <f>IFERROR(Z127+Z129+Z130+Z131+Z132+Z133+Z134+Z135+Z136+Z137+Z138+Z139+Z140+Z143+Z144+Z145+Z146+Z147+Z151+Z153+Z154+Z155+Z156+Z157+Z160+Z161+Z162+Z163+Z164+Z165+Z167+Z168+Z169, "NA")</f>
        <v>66232.67</v>
      </c>
      <c r="AA171" s="15">
        <f>IFERROR(Z171/Z444, "NA")</f>
        <v>0.27008093986824838</v>
      </c>
      <c r="AB171" s="2"/>
      <c r="AC171" s="14">
        <f t="shared" si="43"/>
        <v>-8152.0299999999843</v>
      </c>
      <c r="AD171" s="15">
        <f>IFERROR(AC171/AC444, "NA")</f>
        <v>-0.47386459217975052</v>
      </c>
    </row>
    <row r="172" spans="1:30" ht="16.5" customHeight="1" x14ac:dyDescent="0.45">
      <c r="A172" s="22" t="s">
        <v>160</v>
      </c>
      <c r="B172" s="23">
        <f>IFERROR(B124-B171, "NA")</f>
        <v>87167.459999999977</v>
      </c>
      <c r="C172" s="24">
        <f>IFERROR(B172/B444, "NA")</f>
        <v>0.72098027721949398</v>
      </c>
      <c r="D172" s="25"/>
      <c r="E172" s="23">
        <f>IFERROR(E124-E171, "NA")</f>
        <v>83500.33</v>
      </c>
      <c r="F172" s="24">
        <f>IFERROR(E172/E444, "NA")</f>
        <v>0.73599996967868397</v>
      </c>
      <c r="G172" s="25"/>
      <c r="H172" s="23">
        <f>IFERROR(B172-E172, "NA")</f>
        <v>3667.1299999999756</v>
      </c>
      <c r="I172" s="24">
        <f>IFERROR(H172/H444, "NA")</f>
        <v>0.49224741166505459</v>
      </c>
      <c r="J172" s="25"/>
      <c r="K172" s="23">
        <f>IFERROR(K124-K171, "NA")</f>
        <v>73746.930000000022</v>
      </c>
      <c r="L172" s="24">
        <f>IFERROR(K172/K444, "NA")</f>
        <v>0.70788290908504536</v>
      </c>
      <c r="M172" s="25"/>
      <c r="N172" s="23">
        <f>IFERROR(B172-K172, "NA")</f>
        <v>13420.529999999955</v>
      </c>
      <c r="O172" s="24">
        <f>IFERROR(N172/N444, "NA")</f>
        <v>0.80257927549448804</v>
      </c>
      <c r="P172" s="25"/>
      <c r="Q172" s="23">
        <f>IFERROR(Q124-Q171, "NA")</f>
        <v>188051.26000000004</v>
      </c>
      <c r="R172" s="24">
        <f>IFERROR(Q172/Q444, "NA")</f>
        <v>0.71656056586147732</v>
      </c>
      <c r="S172" s="25"/>
      <c r="T172" s="23">
        <f>IFERROR(T124-T171, "NA")</f>
        <v>190725.70999999996</v>
      </c>
      <c r="U172" s="24">
        <f>IFERROR(T172/T444, "NA")</f>
        <v>0.73398105067904285</v>
      </c>
      <c r="V172" s="25"/>
      <c r="W172" s="23">
        <f>IFERROR(Q172-T172, "NA")</f>
        <v>-2674.4499999999243</v>
      </c>
      <c r="X172" s="24">
        <f>IFERROR(W172/W444, "NA")</f>
        <v>-1.0346194912106581</v>
      </c>
      <c r="Y172" s="25"/>
      <c r="Z172" s="23">
        <f>IFERROR(Z124-Z171, "NA")</f>
        <v>179000.00000000006</v>
      </c>
      <c r="AA172" s="24">
        <f>IFERROR(Z172/Z444, "NA")</f>
        <v>0.72991906013175178</v>
      </c>
      <c r="AB172" s="25"/>
      <c r="AC172" s="23">
        <f>IFERROR(Q172-Z172, "NA")</f>
        <v>9051.2599999999802</v>
      </c>
      <c r="AD172" s="24">
        <f>IFERROR(AC172/AC444, "NA")</f>
        <v>0.52613540782024693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5919.07</v>
      </c>
      <c r="C178" s="8">
        <f>IFERROR(B178/B444, "NA")</f>
        <v>4.8957864889966868E-2</v>
      </c>
      <c r="D178" s="9"/>
      <c r="E178" s="7">
        <v>5769.25</v>
      </c>
      <c r="F178" s="8">
        <f>IFERROR(E178/E444, "NA")</f>
        <v>5.0852108309856349E-2</v>
      </c>
      <c r="G178" s="9"/>
      <c r="H178" s="10">
        <f t="shared" si="44"/>
        <v>-149.81999999999971</v>
      </c>
      <c r="I178" s="8">
        <f>IFERROR(H178/H444, "NA")</f>
        <v>-2.0110687980971174E-2</v>
      </c>
      <c r="J178" s="9"/>
      <c r="K178" s="7">
        <v>5769.25</v>
      </c>
      <c r="L178" s="8">
        <f>IFERROR(K178/K444, "NA")</f>
        <v>5.5377945539412915E-2</v>
      </c>
      <c r="M178" s="9"/>
      <c r="N178" s="10">
        <f t="shared" si="45"/>
        <v>-149.81999999999971</v>
      </c>
      <c r="O178" s="8">
        <f>IFERROR(N178/N444, "NA")</f>
        <v>-8.9595885598098106E-3</v>
      </c>
      <c r="P178" s="9"/>
      <c r="Q178" s="7">
        <v>16072.91</v>
      </c>
      <c r="R178" s="8">
        <f>IFERROR(Q178/Q444, "NA")</f>
        <v>6.1245074798438437E-2</v>
      </c>
      <c r="S178" s="9"/>
      <c r="T178" s="7">
        <v>15000.05</v>
      </c>
      <c r="U178" s="8">
        <f>IFERROR(T178/T444, "NA")</f>
        <v>5.7725581198456034E-2</v>
      </c>
      <c r="V178" s="9"/>
      <c r="W178" s="10">
        <f t="shared" si="46"/>
        <v>-1072.8600000000006</v>
      </c>
      <c r="X178" s="8">
        <f>IFERROR(W178/W444, "NA")</f>
        <v>-0.41503930428323527</v>
      </c>
      <c r="Y178" s="9"/>
      <c r="Z178" s="7">
        <v>15000.05</v>
      </c>
      <c r="AA178" s="8">
        <f>IFERROR(Z178/Z444, "NA")</f>
        <v>6.1166605575023909E-2</v>
      </c>
      <c r="AB178" s="9"/>
      <c r="AC178" s="10">
        <f t="shared" si="47"/>
        <v>-1072.8600000000006</v>
      </c>
      <c r="AD178" s="8">
        <f>IFERROR(AC178/AC444, "NA")</f>
        <v>-6.2363652533904856E-2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22380.07</v>
      </c>
      <c r="C180" s="8">
        <f>IFERROR(B180/B444, "NA")</f>
        <v>0.18511023577825583</v>
      </c>
      <c r="D180" s="9"/>
      <c r="E180" s="7">
        <v>21555.79</v>
      </c>
      <c r="F180" s="8">
        <f>IFERROR(E180/E444, "NA")</f>
        <v>0.18999997708272626</v>
      </c>
      <c r="G180" s="9"/>
      <c r="H180" s="10">
        <f t="shared" si="44"/>
        <v>-824.27999999999884</v>
      </c>
      <c r="I180" s="8">
        <f>IFERROR(H180/H444, "NA")</f>
        <v>-0.11064502662498284</v>
      </c>
      <c r="J180" s="9"/>
      <c r="K180" s="7">
        <v>19997.13</v>
      </c>
      <c r="L180" s="8">
        <f>IFERROR(K180/K444, "NA")</f>
        <v>0.1919486893590259</v>
      </c>
      <c r="M180" s="9"/>
      <c r="N180" s="10">
        <f t="shared" si="45"/>
        <v>-2382.9399999999987</v>
      </c>
      <c r="O180" s="8">
        <f>IFERROR(N180/N444, "NA")</f>
        <v>-0.14250541958826071</v>
      </c>
      <c r="P180" s="9"/>
      <c r="Q180" s="7">
        <v>52226.69</v>
      </c>
      <c r="R180" s="8">
        <f>IFERROR(Q180/Q444, "NA")</f>
        <v>0.19900736926448645</v>
      </c>
      <c r="S180" s="9"/>
      <c r="T180" s="7">
        <v>50840.27</v>
      </c>
      <c r="U180" s="8">
        <f>IFERROR(T180/T444, "NA")</f>
        <v>0.19565162343035045</v>
      </c>
      <c r="V180" s="9"/>
      <c r="W180" s="10">
        <f t="shared" si="46"/>
        <v>-1386.4200000000055</v>
      </c>
      <c r="X180" s="8">
        <f>IFERROR(W180/W444, "NA")</f>
        <v>-0.53634098786828199</v>
      </c>
      <c r="Y180" s="9"/>
      <c r="Z180" s="7">
        <v>48662.85</v>
      </c>
      <c r="AA180" s="8">
        <f>IFERROR(Z180/Z444, "NA")</f>
        <v>0.19843542868900785</v>
      </c>
      <c r="AB180" s="9"/>
      <c r="AC180" s="10">
        <f t="shared" si="47"/>
        <v>-3563.8400000000038</v>
      </c>
      <c r="AD180" s="8">
        <f>IFERROR(AC180/AC444, "NA")</f>
        <v>-0.20716037455626232</v>
      </c>
    </row>
    <row r="181" spans="1:30" ht="16.5" customHeight="1" x14ac:dyDescent="0.45">
      <c r="A181" s="12" t="s">
        <v>166</v>
      </c>
      <c r="B181" s="7">
        <v>317.73</v>
      </c>
      <c r="C181" s="8">
        <f>IFERROR(B181/B444, "NA")</f>
        <v>2.6280112266773622E-3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-317.73</v>
      </c>
      <c r="I181" s="8">
        <f>IFERROR(H181/H444, "NA")</f>
        <v>-4.2649638847910717E-2</v>
      </c>
      <c r="J181" s="9"/>
      <c r="K181" s="7">
        <v>120.83</v>
      </c>
      <c r="L181" s="8">
        <f>IFERROR(K181/K444, "NA")</f>
        <v>1.1598244415699202E-3</v>
      </c>
      <c r="M181" s="9"/>
      <c r="N181" s="10">
        <f t="shared" si="45"/>
        <v>-196.90000000000003</v>
      </c>
      <c r="O181" s="8">
        <f>IFERROR(N181/N444, "NA")</f>
        <v>-1.1775083349529807E-2</v>
      </c>
      <c r="P181" s="9"/>
      <c r="Q181" s="7">
        <v>553.16</v>
      </c>
      <c r="R181" s="8">
        <f>IFERROR(Q181/Q444, "NA")</f>
        <v>2.1077904110397062E-3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-553.16</v>
      </c>
      <c r="X181" s="8">
        <f>IFERROR(W181/W444, "NA")</f>
        <v>-0.21399170586778732</v>
      </c>
      <c r="Y181" s="9"/>
      <c r="Z181" s="7">
        <v>199.29</v>
      </c>
      <c r="AA181" s="8">
        <f>IFERROR(Z181/Z444, "NA")</f>
        <v>8.12656812813725E-4</v>
      </c>
      <c r="AB181" s="9"/>
      <c r="AC181" s="10">
        <f t="shared" si="47"/>
        <v>-353.87</v>
      </c>
      <c r="AD181" s="8">
        <f>IFERROR(AC181/AC444, "NA")</f>
        <v>-2.0569902617464442E-2</v>
      </c>
    </row>
    <row r="182" spans="1:30" ht="16.5" customHeight="1" x14ac:dyDescent="0.45">
      <c r="A182" s="13" t="s">
        <v>167</v>
      </c>
      <c r="B182" s="14">
        <f>IFERROR(B177+B178+B179+B180+B181, "NA")</f>
        <v>28616.87</v>
      </c>
      <c r="C182" s="15">
        <f>IFERROR(B182/B444, "NA")</f>
        <v>0.23669611189490006</v>
      </c>
      <c r="D182" s="2"/>
      <c r="E182" s="14">
        <f>IFERROR(E177+E178+E179+E180+E181, "NA")</f>
        <v>27325.040000000001</v>
      </c>
      <c r="F182" s="15">
        <f>IFERROR(E182/E444, "NA")</f>
        <v>0.24085208539258263</v>
      </c>
      <c r="G182" s="2"/>
      <c r="H182" s="14">
        <f t="shared" si="44"/>
        <v>-1291.8299999999981</v>
      </c>
      <c r="I182" s="15">
        <f>IFERROR(H182/H444, "NA")</f>
        <v>-0.17340535345386468</v>
      </c>
      <c r="J182" s="2"/>
      <c r="K182" s="14">
        <f>IFERROR(K177+K178+K179+K180+K181, "NA")</f>
        <v>25887.210000000003</v>
      </c>
      <c r="L182" s="15">
        <f>IFERROR(K182/K444, "NA")</f>
        <v>0.24848645934000876</v>
      </c>
      <c r="M182" s="2"/>
      <c r="N182" s="14">
        <f t="shared" si="45"/>
        <v>-2729.6599999999962</v>
      </c>
      <c r="O182" s="15">
        <f>IFERROR(N182/N444, "NA")</f>
        <v>-0.16324009149760021</v>
      </c>
      <c r="P182" s="2"/>
      <c r="Q182" s="14">
        <f>IFERROR(Q177+Q178+Q179+Q180+Q181, "NA")</f>
        <v>68852.760000000009</v>
      </c>
      <c r="R182" s="15">
        <f>IFERROR(Q182/Q444, "NA")</f>
        <v>0.26236023447396462</v>
      </c>
      <c r="S182" s="2"/>
      <c r="T182" s="14">
        <f>IFERROR(T177+T178+T179+T180+T181, "NA")</f>
        <v>65840.319999999992</v>
      </c>
      <c r="U182" s="15">
        <f>IFERROR(T182/T444, "NA")</f>
        <v>0.25337720462880647</v>
      </c>
      <c r="V182" s="2"/>
      <c r="W182" s="14">
        <f t="shared" si="46"/>
        <v>-3012.4400000000169</v>
      </c>
      <c r="X182" s="15">
        <f>IFERROR(W182/W444, "NA")</f>
        <v>-1.1653719980193087</v>
      </c>
      <c r="Y182" s="2"/>
      <c r="Z182" s="14">
        <f>IFERROR(Z177+Z178+Z179+Z180+Z181, "NA")</f>
        <v>63862.189999999995</v>
      </c>
      <c r="AA182" s="15">
        <f>IFERROR(Z182/Z444, "NA")</f>
        <v>0.26041469107684545</v>
      </c>
      <c r="AB182" s="2"/>
      <c r="AC182" s="14">
        <f t="shared" si="47"/>
        <v>-4990.5700000000143</v>
      </c>
      <c r="AD182" s="15">
        <f>IFERROR(AC182/AC444, "NA")</f>
        <v>-0.2900939297076322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-125</v>
      </c>
      <c r="C184" s="8">
        <f>IFERROR(B184/B444, "NA")</f>
        <v>-1.0339011215014958E-3</v>
      </c>
      <c r="D184" s="9"/>
      <c r="E184" s="7">
        <v>275</v>
      </c>
      <c r="F184" s="8">
        <f>IFERROR(E184/E444, "NA")</f>
        <v>2.4239424162950983E-3</v>
      </c>
      <c r="G184" s="9"/>
      <c r="H184" s="10">
        <f t="shared" si="44"/>
        <v>400</v>
      </c>
      <c r="I184" s="8">
        <f>IFERROR(H184/H444, "NA")</f>
        <v>5.3692932801952246E-2</v>
      </c>
      <c r="J184" s="9"/>
      <c r="K184" s="7">
        <v>300</v>
      </c>
      <c r="L184" s="8">
        <f>IFERROR(K184/K444, "NA")</f>
        <v>2.8796435692375741E-3</v>
      </c>
      <c r="M184" s="9"/>
      <c r="N184" s="10">
        <f t="shared" si="45"/>
        <v>425</v>
      </c>
      <c r="O184" s="8">
        <f>IFERROR(N184/N444, "NA")</f>
        <v>2.5416000119604706E-2</v>
      </c>
      <c r="P184" s="9"/>
      <c r="Q184" s="7">
        <v>205</v>
      </c>
      <c r="R184" s="8">
        <f>IFERROR(Q184/Q444, "NA")</f>
        <v>7.8114295007437233E-4</v>
      </c>
      <c r="S184" s="9"/>
      <c r="T184" s="7">
        <v>605</v>
      </c>
      <c r="U184" s="8">
        <f>IFERROR(T184/T444, "NA")</f>
        <v>2.3282573474799019E-3</v>
      </c>
      <c r="V184" s="9"/>
      <c r="W184" s="10">
        <f t="shared" si="46"/>
        <v>400</v>
      </c>
      <c r="X184" s="8">
        <f>IFERROR(W184/W444, "NA")</f>
        <v>0.15474127259222453</v>
      </c>
      <c r="Y184" s="9"/>
      <c r="Z184" s="7">
        <v>900</v>
      </c>
      <c r="AA184" s="8">
        <f>IFERROR(Z184/Z444, "NA")</f>
        <v>3.6699841012210973E-3</v>
      </c>
      <c r="AB184" s="9"/>
      <c r="AC184" s="10">
        <f t="shared" si="47"/>
        <v>695</v>
      </c>
      <c r="AD184" s="8">
        <f>IFERROR(AC184/AC444, "NA")</f>
        <v>4.0399249213377189E-2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3264.32</v>
      </c>
      <c r="C186" s="8">
        <f>IFERROR(B186/B444, "NA")</f>
        <v>2.6999872871518102E-2</v>
      </c>
      <c r="D186" s="9"/>
      <c r="E186" s="7">
        <v>3585.77</v>
      </c>
      <c r="F186" s="8">
        <f>IFERROR(E186/E444, "NA")</f>
        <v>3.1606181811194456E-2</v>
      </c>
      <c r="G186" s="9"/>
      <c r="H186" s="10">
        <f t="shared" ref="H186:H197" si="48">IFERROR(-(B186-E186), "NA")</f>
        <v>321.44999999999982</v>
      </c>
      <c r="I186" s="8">
        <f>IFERROR(H186/H444, "NA")</f>
        <v>4.3148983122968852E-2</v>
      </c>
      <c r="J186" s="9"/>
      <c r="K186" s="7">
        <v>3292.72</v>
      </c>
      <c r="L186" s="8">
        <f>IFERROR(K186/K444, "NA")</f>
        <v>3.1606199910999812E-2</v>
      </c>
      <c r="M186" s="9"/>
      <c r="N186" s="10">
        <f t="shared" ref="N186:N197" si="49">IFERROR(-(B186-K186), "NA")</f>
        <v>28.399999999999636</v>
      </c>
      <c r="O186" s="8">
        <f>IFERROR(N186/N444, "NA")</f>
        <v>1.6983868315217985E-3</v>
      </c>
      <c r="P186" s="9"/>
      <c r="Q186" s="7">
        <v>8144.42</v>
      </c>
      <c r="R186" s="8">
        <f>IFERROR(Q186/Q444, "NA")</f>
        <v>3.1033933002169365E-2</v>
      </c>
      <c r="S186" s="9"/>
      <c r="T186" s="7">
        <v>9835.52</v>
      </c>
      <c r="U186" s="8">
        <f>IFERROR(T186/T444, "NA")</f>
        <v>3.7850614390554586E-2</v>
      </c>
      <c r="V186" s="9"/>
      <c r="W186" s="10">
        <f t="shared" ref="W186:W197" si="50">IFERROR(-(Q186-T186), "NA")</f>
        <v>1691.1000000000004</v>
      </c>
      <c r="X186" s="8">
        <f>IFERROR(W186/W444, "NA")</f>
        <v>0.6542074152017775</v>
      </c>
      <c r="Y186" s="9"/>
      <c r="Z186" s="7">
        <v>9318.61</v>
      </c>
      <c r="AA186" s="8">
        <f>IFERROR(Z186/Z444, "NA")</f>
        <v>3.7999056161644368E-2</v>
      </c>
      <c r="AB186" s="9"/>
      <c r="AC186" s="10">
        <f t="shared" ref="AC186:AC197" si="51">IFERROR(-(Q186-Z186), "NA")</f>
        <v>1174.1900000000005</v>
      </c>
      <c r="AD186" s="8">
        <f>IFERROR(AC186/AC444, "NA")</f>
        <v>6.8253804940799107E-2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3264.32</v>
      </c>
      <c r="C193" s="15">
        <f>IFERROR(B193/B444, "NA")</f>
        <v>2.6999872871518102E-2</v>
      </c>
      <c r="D193" s="2"/>
      <c r="E193" s="14">
        <f>IFERROR(E186+E187+E188+E189+E190+E191+E192, "NA")</f>
        <v>3585.77</v>
      </c>
      <c r="F193" s="15">
        <f>IFERROR(E193/E444, "NA")</f>
        <v>3.1606181811194456E-2</v>
      </c>
      <c r="G193" s="2"/>
      <c r="H193" s="14">
        <f t="shared" si="48"/>
        <v>321.44999999999982</v>
      </c>
      <c r="I193" s="15">
        <f>IFERROR(H193/H444, "NA")</f>
        <v>4.3148983122968852E-2</v>
      </c>
      <c r="J193" s="2"/>
      <c r="K193" s="14">
        <f>IFERROR(K186+K187+K188+K189+K190+K191+K192, "NA")</f>
        <v>3292.72</v>
      </c>
      <c r="L193" s="15">
        <f>IFERROR(K193/K444, "NA")</f>
        <v>3.1606199910999812E-2</v>
      </c>
      <c r="M193" s="2"/>
      <c r="N193" s="14">
        <f t="shared" si="49"/>
        <v>28.399999999999636</v>
      </c>
      <c r="O193" s="15">
        <f>IFERROR(N193/N444, "NA")</f>
        <v>1.6983868315217985E-3</v>
      </c>
      <c r="P193" s="2"/>
      <c r="Q193" s="14">
        <f>IFERROR(Q186+Q187+Q188+Q189+Q190+Q191+Q192, "NA")</f>
        <v>8144.42</v>
      </c>
      <c r="R193" s="15">
        <f>IFERROR(Q193/Q444, "NA")</f>
        <v>3.1033933002169365E-2</v>
      </c>
      <c r="S193" s="2"/>
      <c r="T193" s="14">
        <f>IFERROR(T186+T187+T188+T189+T190+T191+T192, "NA")</f>
        <v>9835.52</v>
      </c>
      <c r="U193" s="15">
        <f>IFERROR(T193/T444, "NA")</f>
        <v>3.7850614390554586E-2</v>
      </c>
      <c r="V193" s="2"/>
      <c r="W193" s="14">
        <f t="shared" si="50"/>
        <v>1691.1000000000004</v>
      </c>
      <c r="X193" s="15">
        <f>IFERROR(W193/W444, "NA")</f>
        <v>0.6542074152017775</v>
      </c>
      <c r="Y193" s="2"/>
      <c r="Z193" s="14">
        <f>IFERROR(Z186+Z187+Z188+Z189+Z190+Z191+Z192, "NA")</f>
        <v>9318.61</v>
      </c>
      <c r="AA193" s="15">
        <f>IFERROR(Z193/Z444, "NA")</f>
        <v>3.7999056161644368E-2</v>
      </c>
      <c r="AB193" s="2"/>
      <c r="AC193" s="14">
        <f t="shared" si="51"/>
        <v>1174.1900000000005</v>
      </c>
      <c r="AD193" s="15">
        <f>IFERROR(AC193/AC444, "NA")</f>
        <v>6.8253804940799107E-2</v>
      </c>
    </row>
    <row r="194" spans="1:30" ht="16.5" customHeight="1" x14ac:dyDescent="0.45">
      <c r="A194" s="6" t="s">
        <v>178</v>
      </c>
      <c r="B194" s="7">
        <v>250.72</v>
      </c>
      <c r="C194" s="8">
        <f>IFERROR(B194/B444, "NA")</f>
        <v>2.0737575134628402E-3</v>
      </c>
      <c r="D194" s="9"/>
      <c r="E194" s="7">
        <v>220.8</v>
      </c>
      <c r="F194" s="8">
        <f>IFERROR(E194/E444, "NA")</f>
        <v>1.9462054018834828E-3</v>
      </c>
      <c r="G194" s="9"/>
      <c r="H194" s="10">
        <f t="shared" si="48"/>
        <v>-29.919999999999987</v>
      </c>
      <c r="I194" s="8">
        <f>IFERROR(H194/H444, "NA")</f>
        <v>-4.0162313735860261E-3</v>
      </c>
      <c r="J194" s="9"/>
      <c r="K194" s="7">
        <v>212</v>
      </c>
      <c r="L194" s="8">
        <f>IFERROR(K194/K444, "NA")</f>
        <v>2.0349481222612189E-3</v>
      </c>
      <c r="M194" s="9"/>
      <c r="N194" s="10">
        <f t="shared" si="49"/>
        <v>-38.72</v>
      </c>
      <c r="O194" s="8">
        <f>IFERROR(N194/N444, "NA")</f>
        <v>-2.315547116779045E-3</v>
      </c>
      <c r="P194" s="9"/>
      <c r="Q194" s="7">
        <v>942.9</v>
      </c>
      <c r="R194" s="8">
        <f>IFERROR(Q194/Q444, "NA")</f>
        <v>3.5928765250006129E-3</v>
      </c>
      <c r="S194" s="9"/>
      <c r="T194" s="7">
        <v>531.55999999999995</v>
      </c>
      <c r="U194" s="8">
        <f>IFERROR(T194/T444, "NA")</f>
        <v>2.045633844010606E-3</v>
      </c>
      <c r="V194" s="9"/>
      <c r="W194" s="10">
        <f t="shared" si="50"/>
        <v>-411.34000000000003</v>
      </c>
      <c r="X194" s="8">
        <f>IFERROR(W194/W444, "NA")</f>
        <v>-0.15912818767021411</v>
      </c>
      <c r="Y194" s="9"/>
      <c r="Z194" s="7">
        <v>751.54</v>
      </c>
      <c r="AA194" s="8">
        <f>IFERROR(Z194/Z444, "NA")</f>
        <v>3.064599834924115E-3</v>
      </c>
      <c r="AB194" s="9"/>
      <c r="AC194" s="10">
        <f t="shared" si="51"/>
        <v>-191.36</v>
      </c>
      <c r="AD194" s="8">
        <f>IFERROR(AC194/AC444, "NA")</f>
        <v>-1.1123453711470301E-2</v>
      </c>
    </row>
    <row r="195" spans="1:30" ht="16.5" customHeight="1" x14ac:dyDescent="0.45">
      <c r="A195" s="6" t="s">
        <v>179</v>
      </c>
      <c r="B195" s="7">
        <v>-7.15</v>
      </c>
      <c r="C195" s="8">
        <f>IFERROR(B195/B444, "NA")</f>
        <v>-5.9139144149885561E-5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7.15</v>
      </c>
      <c r="I195" s="8">
        <f>IFERROR(H195/H444, "NA")</f>
        <v>9.597611738348964E-4</v>
      </c>
      <c r="J195" s="9"/>
      <c r="K195" s="7">
        <v>-227.2</v>
      </c>
      <c r="L195" s="8">
        <f>IFERROR(K195/K444, "NA")</f>
        <v>-2.1808500631025894E-3</v>
      </c>
      <c r="M195" s="9"/>
      <c r="N195" s="10">
        <f t="shared" si="49"/>
        <v>-220.04999999999998</v>
      </c>
      <c r="O195" s="8">
        <f>IFERROR(N195/N444, "NA")</f>
        <v>-1.3159507826632976E-2</v>
      </c>
      <c r="P195" s="9"/>
      <c r="Q195" s="7">
        <v>-0.01</v>
      </c>
      <c r="R195" s="8">
        <f>IFERROR(Q195/Q444, "NA")</f>
        <v>-3.8104534149969387E-8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0.01</v>
      </c>
      <c r="X195" s="8">
        <f>IFERROR(W195/W444, "NA")</f>
        <v>3.8685318148056138E-6</v>
      </c>
      <c r="Y195" s="9"/>
      <c r="Z195" s="7">
        <v>-572.76</v>
      </c>
      <c r="AA195" s="8">
        <f>IFERROR(Z195/Z444, "NA")</f>
        <v>-2.3355778820171062E-3</v>
      </c>
      <c r="AB195" s="9"/>
      <c r="AC195" s="10">
        <f t="shared" si="51"/>
        <v>-572.75</v>
      </c>
      <c r="AD195" s="8">
        <f>IFERROR(AC195/AC444, "NA")</f>
        <v>-3.3293050340952209E-2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31999.759999999998</v>
      </c>
      <c r="C196" s="15">
        <f>IFERROR(B196/B444, "NA")</f>
        <v>0.2646767020142296</v>
      </c>
      <c r="D196" s="2"/>
      <c r="E196" s="14">
        <f>IFERROR(E175+E177+E178+E179+E180+E181+E183+E184+E186+E187+E188+E189+E190+E191+E192+E194+E195, "NA")</f>
        <v>31406.61</v>
      </c>
      <c r="F196" s="15">
        <f>IFERROR(E196/E444, "NA")</f>
        <v>0.27682841502195565</v>
      </c>
      <c r="G196" s="2"/>
      <c r="H196" s="14">
        <f t="shared" si="48"/>
        <v>-593.14999999999782</v>
      </c>
      <c r="I196" s="15">
        <f>IFERROR(H196/H444, "NA")</f>
        <v>-7.961990772869465E-2</v>
      </c>
      <c r="J196" s="2"/>
      <c r="K196" s="14">
        <f>IFERROR(K175+K177+K178+K179+K180+K181+K183+K184+K186+K187+K188+K189+K190+K191+K192+K194+K195, "NA")</f>
        <v>29464.730000000003</v>
      </c>
      <c r="L196" s="15">
        <f>IFERROR(K196/K444, "NA")</f>
        <v>0.2828264008794048</v>
      </c>
      <c r="M196" s="2"/>
      <c r="N196" s="14">
        <f t="shared" si="49"/>
        <v>-2535.0299999999952</v>
      </c>
      <c r="O196" s="15">
        <f>IFERROR(N196/N444, "NA")</f>
        <v>-0.15160075948988563</v>
      </c>
      <c r="P196" s="2"/>
      <c r="Q196" s="14">
        <f>IFERROR(Q175+Q177+Q178+Q179+Q180+Q181+Q183+Q184+Q186+Q187+Q188+Q189+Q190+Q191+Q192+Q194+Q195, "NA")</f>
        <v>78145.070000000007</v>
      </c>
      <c r="R196" s="15">
        <f>IFERROR(Q196/Q444, "NA")</f>
        <v>0.29776814884667485</v>
      </c>
      <c r="S196" s="2"/>
      <c r="T196" s="14">
        <f>IFERROR(T175+T177+T178+T179+T180+T181+T183+T184+T186+T187+T188+T189+T190+T191+T192+T194+T195, "NA")</f>
        <v>76812.399999999994</v>
      </c>
      <c r="U196" s="15">
        <f>IFERROR(T196/T444, "NA")</f>
        <v>0.29560171021085158</v>
      </c>
      <c r="V196" s="2"/>
      <c r="W196" s="14">
        <f t="shared" si="50"/>
        <v>-1332.6700000000128</v>
      </c>
      <c r="X196" s="15">
        <f>IFERROR(W196/W444, "NA")</f>
        <v>-0.51554762936370468</v>
      </c>
      <c r="Y196" s="2"/>
      <c r="Z196" s="14">
        <f>IFERROR(Z175+Z177+Z178+Z179+Z180+Z181+Z183+Z184+Z186+Z187+Z188+Z189+Z190+Z191+Z192+Z194+Z195, "NA")</f>
        <v>74259.579999999987</v>
      </c>
      <c r="AA196" s="15">
        <f>IFERROR(Z196/Z444, "NA")</f>
        <v>0.30281275329261792</v>
      </c>
      <c r="AB196" s="2"/>
      <c r="AC196" s="14">
        <f t="shared" si="51"/>
        <v>-3885.4900000000198</v>
      </c>
      <c r="AD196" s="15">
        <f>IFERROR(AC196/AC444, "NA")</f>
        <v>-0.22585737960587876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31999.759999999998</v>
      </c>
      <c r="C197" s="15">
        <f>IFERROR(B197/B444, "NA")</f>
        <v>0.2646767020142296</v>
      </c>
      <c r="D197" s="2"/>
      <c r="E197" s="14">
        <f>IFERROR(E175+E177+E178+E179+E180+E181+E183+E184+E186+E187+E188+E189+E190+E191+E192+E194+E195, "NA")</f>
        <v>31406.61</v>
      </c>
      <c r="F197" s="15">
        <f>IFERROR(E197/E444, "NA")</f>
        <v>0.27682841502195565</v>
      </c>
      <c r="G197" s="2"/>
      <c r="H197" s="14">
        <f t="shared" si="48"/>
        <v>-593.14999999999782</v>
      </c>
      <c r="I197" s="15">
        <f>IFERROR(H197/H444, "NA")</f>
        <v>-7.961990772869465E-2</v>
      </c>
      <c r="J197" s="2"/>
      <c r="K197" s="14">
        <f>IFERROR(K175+K177+K178+K179+K180+K181+K183+K184+K186+K187+K188+K189+K190+K191+K192+K194+K195, "NA")</f>
        <v>29464.730000000003</v>
      </c>
      <c r="L197" s="15">
        <f>IFERROR(K197/K444, "NA")</f>
        <v>0.2828264008794048</v>
      </c>
      <c r="M197" s="2"/>
      <c r="N197" s="14">
        <f t="shared" si="49"/>
        <v>-2535.0299999999952</v>
      </c>
      <c r="O197" s="15">
        <f>IFERROR(N197/N444, "NA")</f>
        <v>-0.15160075948988563</v>
      </c>
      <c r="P197" s="2"/>
      <c r="Q197" s="14">
        <f>IFERROR(Q175+Q177+Q178+Q179+Q180+Q181+Q183+Q184+Q186+Q187+Q188+Q189+Q190+Q191+Q192+Q194+Q195, "NA")</f>
        <v>78145.070000000007</v>
      </c>
      <c r="R197" s="15">
        <f>IFERROR(Q197/Q444, "NA")</f>
        <v>0.29776814884667485</v>
      </c>
      <c r="S197" s="2"/>
      <c r="T197" s="14">
        <f>IFERROR(T175+T177+T178+T179+T180+T181+T183+T184+T186+T187+T188+T189+T190+T191+T192+T194+T195, "NA")</f>
        <v>76812.399999999994</v>
      </c>
      <c r="U197" s="15">
        <f>IFERROR(T197/T444, "NA")</f>
        <v>0.29560171021085158</v>
      </c>
      <c r="V197" s="2"/>
      <c r="W197" s="14">
        <f t="shared" si="50"/>
        <v>-1332.6700000000128</v>
      </c>
      <c r="X197" s="15">
        <f>IFERROR(W197/W444, "NA")</f>
        <v>-0.51554762936370468</v>
      </c>
      <c r="Y197" s="2"/>
      <c r="Z197" s="14">
        <f>IFERROR(Z175+Z177+Z178+Z179+Z180+Z181+Z183+Z184+Z186+Z187+Z188+Z189+Z190+Z191+Z192+Z194+Z195, "NA")</f>
        <v>74259.579999999987</v>
      </c>
      <c r="AA197" s="15">
        <f>IFERROR(Z197/Z444, "NA")</f>
        <v>0.30281275329261792</v>
      </c>
      <c r="AB197" s="2"/>
      <c r="AC197" s="14">
        <f t="shared" si="51"/>
        <v>-3885.4900000000198</v>
      </c>
      <c r="AD197" s="15">
        <f>IFERROR(AC197/AC444, "NA")</f>
        <v>-0.22585737960587876</v>
      </c>
    </row>
    <row r="198" spans="1:30" ht="16.5" customHeight="1" x14ac:dyDescent="0.45">
      <c r="A198" s="22" t="s">
        <v>181</v>
      </c>
      <c r="B198" s="23">
        <f>IFERROR(B172-B197, "NA")</f>
        <v>55167.699999999983</v>
      </c>
      <c r="C198" s="24">
        <f>IFERROR(B198/B444, "NA")</f>
        <v>0.45630357520526438</v>
      </c>
      <c r="D198" s="25"/>
      <c r="E198" s="23">
        <f>IFERROR(E172-E197, "NA")</f>
        <v>52093.72</v>
      </c>
      <c r="F198" s="24">
        <f>IFERROR(E198/E444, "NA")</f>
        <v>0.45917155465672838</v>
      </c>
      <c r="G198" s="25"/>
      <c r="H198" s="23">
        <f>IFERROR(B198-E198, "NA")</f>
        <v>3073.9799999999814</v>
      </c>
      <c r="I198" s="24">
        <f>IFERROR(H198/H444, "NA")</f>
        <v>0.41262750393636038</v>
      </c>
      <c r="J198" s="25"/>
      <c r="K198" s="23">
        <f>IFERROR(K172-K197, "NA")</f>
        <v>44282.200000000019</v>
      </c>
      <c r="L198" s="24">
        <f>IFERROR(K198/K444, "NA")</f>
        <v>0.4250565082056405</v>
      </c>
      <c r="M198" s="25"/>
      <c r="N198" s="23">
        <f>IFERROR(B198-K198, "NA")</f>
        <v>10885.499999999964</v>
      </c>
      <c r="O198" s="24">
        <f>IFERROR(N198/N444, "NA")</f>
        <v>0.65097851600460266</v>
      </c>
      <c r="P198" s="25"/>
      <c r="Q198" s="23">
        <f>IFERROR(Q172-Q197, "NA")</f>
        <v>109906.19000000003</v>
      </c>
      <c r="R198" s="24">
        <f>IFERROR(Q198/Q444, "NA")</f>
        <v>0.41879241701480246</v>
      </c>
      <c r="S198" s="25"/>
      <c r="T198" s="23">
        <f>IFERROR(T172-T197, "NA")</f>
        <v>113913.30999999997</v>
      </c>
      <c r="U198" s="24">
        <f>IFERROR(T198/T444, "NA")</f>
        <v>0.43837934046819127</v>
      </c>
      <c r="V198" s="25"/>
      <c r="W198" s="23">
        <f>IFERROR(Q198-T198, "NA")</f>
        <v>-4007.1199999999371</v>
      </c>
      <c r="X198" s="24">
        <f>IFERROR(W198/W444, "NA")</f>
        <v>-1.5501671205743628</v>
      </c>
      <c r="Y198" s="25"/>
      <c r="Z198" s="23">
        <f>IFERROR(Z172-Z197, "NA")</f>
        <v>104740.42000000007</v>
      </c>
      <c r="AA198" s="24">
        <f>IFERROR(Z198/Z444, "NA")</f>
        <v>0.42710630683913392</v>
      </c>
      <c r="AB198" s="25"/>
      <c r="AC198" s="23">
        <f>IFERROR(Q198-Z198, "NA")</f>
        <v>5165.7699999999604</v>
      </c>
      <c r="AD198" s="24">
        <f>IFERROR(AC198/AC444, "NA")</f>
        <v>0.30027802821436816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631.59</v>
      </c>
      <c r="C202" s="8">
        <f>IFERROR(B202/B444, "NA")</f>
        <v>5.224012874633038E-3</v>
      </c>
      <c r="D202" s="9"/>
      <c r="E202" s="7">
        <v>907.61</v>
      </c>
      <c r="F202" s="8">
        <f>IFERROR(E202/E444, "NA")</f>
        <v>7.999979550740343E-3</v>
      </c>
      <c r="G202" s="9"/>
      <c r="H202" s="10">
        <f t="shared" si="52"/>
        <v>276.02</v>
      </c>
      <c r="I202" s="8">
        <f>IFERROR(H202/H444, "NA")</f>
        <v>3.7050808279987142E-2</v>
      </c>
      <c r="J202" s="9"/>
      <c r="K202" s="7">
        <v>723.63</v>
      </c>
      <c r="L202" s="8">
        <f>IFERROR(K202/K444, "NA")</f>
        <v>6.9459882533579528E-3</v>
      </c>
      <c r="M202" s="9"/>
      <c r="N202" s="10">
        <f t="shared" si="53"/>
        <v>92.039999999999964</v>
      </c>
      <c r="O202" s="8">
        <f>IFERROR(N202/N444, "NA")</f>
        <v>5.5042085906080382E-3</v>
      </c>
      <c r="P202" s="9"/>
      <c r="Q202" s="7">
        <v>1396.66</v>
      </c>
      <c r="R202" s="8">
        <f>IFERROR(Q202/Q444, "NA")</f>
        <v>5.3219078665896246E-3</v>
      </c>
      <c r="S202" s="9"/>
      <c r="T202" s="7">
        <v>2078.8000000000002</v>
      </c>
      <c r="U202" s="8">
        <f>IFERROR(T202/T444, "NA")</f>
        <v>7.9999692131259847E-3</v>
      </c>
      <c r="V202" s="9"/>
      <c r="W202" s="10">
        <f t="shared" si="54"/>
        <v>682.1400000000001</v>
      </c>
      <c r="X202" s="8">
        <f>IFERROR(W202/W444, "NA")</f>
        <v>0.26388802921515014</v>
      </c>
      <c r="Y202" s="9"/>
      <c r="Z202" s="7">
        <v>1803.36</v>
      </c>
      <c r="AA202" s="8">
        <f>IFERROR(Z202/Z444, "NA")</f>
        <v>7.3536694764200867E-3</v>
      </c>
      <c r="AB202" s="9"/>
      <c r="AC202" s="10">
        <f t="shared" si="55"/>
        <v>406.69999999999982</v>
      </c>
      <c r="AD202" s="8">
        <f>IFERROR(AC202/AC444, "NA")</f>
        <v>2.364082684184244E-2</v>
      </c>
    </row>
    <row r="203" spans="1:30" ht="16.5" customHeight="1" x14ac:dyDescent="0.45">
      <c r="A203" s="6" t="s">
        <v>185</v>
      </c>
      <c r="B203" s="7">
        <v>701.83</v>
      </c>
      <c r="C203" s="8">
        <f>IFERROR(B203/B444, "NA")</f>
        <v>5.8049825928271582E-3</v>
      </c>
      <c r="D203" s="9"/>
      <c r="E203" s="7">
        <v>1021.06</v>
      </c>
      <c r="F203" s="8">
        <f>IFERROR(E203/E444, "NA")</f>
        <v>8.9999659766628118E-3</v>
      </c>
      <c r="G203" s="9"/>
      <c r="H203" s="10">
        <f t="shared" si="52"/>
        <v>319.2299999999999</v>
      </c>
      <c r="I203" s="8">
        <f>IFERROR(H203/H444, "NA")</f>
        <v>4.2850987345918023E-2</v>
      </c>
      <c r="J203" s="9"/>
      <c r="K203" s="7">
        <v>769.87</v>
      </c>
      <c r="L203" s="8">
        <f>IFERROR(K203/K444, "NA")</f>
        <v>7.3898373154964369E-3</v>
      </c>
      <c r="M203" s="9"/>
      <c r="N203" s="10">
        <f t="shared" si="53"/>
        <v>68.039999999999964</v>
      </c>
      <c r="O203" s="8">
        <f>IFERROR(N203/N444, "NA")</f>
        <v>4.0689521132656545E-3</v>
      </c>
      <c r="P203" s="9"/>
      <c r="Q203" s="7">
        <v>1543.62</v>
      </c>
      <c r="R203" s="8">
        <f>IFERROR(Q203/Q444, "NA")</f>
        <v>5.8818921004575734E-3</v>
      </c>
      <c r="S203" s="9"/>
      <c r="T203" s="7">
        <v>2338.66</v>
      </c>
      <c r="U203" s="8">
        <f>IFERROR(T203/T444, "NA")</f>
        <v>9.0000038483592521E-3</v>
      </c>
      <c r="V203" s="9"/>
      <c r="W203" s="10">
        <f t="shared" si="54"/>
        <v>795.04</v>
      </c>
      <c r="X203" s="8">
        <f>IFERROR(W203/W444, "NA")</f>
        <v>0.30756375340430547</v>
      </c>
      <c r="Y203" s="9"/>
      <c r="Z203" s="7">
        <v>1521.73</v>
      </c>
      <c r="AA203" s="8">
        <f>IFERROR(Z203/Z444, "NA")</f>
        <v>6.2052498959457563E-3</v>
      </c>
      <c r="AB203" s="9"/>
      <c r="AC203" s="10">
        <f t="shared" si="55"/>
        <v>-21.889999999999873</v>
      </c>
      <c r="AD203" s="8">
        <f>IFERROR(AC203/AC444, "NA")</f>
        <v>-1.2724310291810381E-3</v>
      </c>
    </row>
    <row r="204" spans="1:30" ht="16.5" customHeight="1" x14ac:dyDescent="0.45">
      <c r="A204" s="6" t="s">
        <v>186</v>
      </c>
      <c r="B204" s="7">
        <v>579.76</v>
      </c>
      <c r="C204" s="8">
        <f>IFERROR(B204/B444, "NA")</f>
        <v>4.7953161136136575E-3</v>
      </c>
      <c r="D204" s="9"/>
      <c r="E204" s="7">
        <v>226.9</v>
      </c>
      <c r="F204" s="8">
        <f>IFERROR(E204/E444, "NA")</f>
        <v>1.9999728518449375E-3</v>
      </c>
      <c r="G204" s="9"/>
      <c r="H204" s="10">
        <f t="shared" si="52"/>
        <v>-352.86</v>
      </c>
      <c r="I204" s="8">
        <f>IFERROR(H204/H444, "NA")</f>
        <v>-4.7365220671242173E-2</v>
      </c>
      <c r="J204" s="9"/>
      <c r="K204" s="7">
        <v>30.58</v>
      </c>
      <c r="L204" s="8">
        <f>IFERROR(K204/K444, "NA")</f>
        <v>2.9353166782428337E-4</v>
      </c>
      <c r="M204" s="9"/>
      <c r="N204" s="10">
        <f t="shared" si="53"/>
        <v>-549.17999999999995</v>
      </c>
      <c r="O204" s="8">
        <f>IFERROR(N204/N444, "NA")</f>
        <v>-3.2842256342787084E-2</v>
      </c>
      <c r="P204" s="9"/>
      <c r="Q204" s="7">
        <v>637.80999999999995</v>
      </c>
      <c r="R204" s="8">
        <f>IFERROR(Q204/Q444, "NA")</f>
        <v>2.4303452926191971E-3</v>
      </c>
      <c r="S204" s="9"/>
      <c r="T204" s="7">
        <v>519.70000000000005</v>
      </c>
      <c r="U204" s="8">
        <f>IFERROR(T204/T444, "NA")</f>
        <v>1.9999923032814962E-3</v>
      </c>
      <c r="V204" s="9"/>
      <c r="W204" s="10">
        <f t="shared" si="54"/>
        <v>-118.1099999999999</v>
      </c>
      <c r="X204" s="8">
        <f>IFERROR(W204/W444, "NA")</f>
        <v>-4.5691229264669064E-2</v>
      </c>
      <c r="Y204" s="9"/>
      <c r="Z204" s="7">
        <v>300.70999999999998</v>
      </c>
      <c r="AA204" s="8">
        <f>IFERROR(Z204/Z444, "NA")</f>
        <v>1.2262232434202178E-3</v>
      </c>
      <c r="AB204" s="9"/>
      <c r="AC204" s="10">
        <f t="shared" si="55"/>
        <v>-337.09999999999997</v>
      </c>
      <c r="AD204" s="8">
        <f>IFERROR(AC204/AC444, "NA")</f>
        <v>-1.9595089078891292E-2</v>
      </c>
    </row>
    <row r="205" spans="1:30" ht="16.5" customHeight="1" x14ac:dyDescent="0.45">
      <c r="A205" s="6" t="s">
        <v>187</v>
      </c>
      <c r="B205" s="7">
        <v>392.53</v>
      </c>
      <c r="C205" s="8">
        <f>IFERROR(B205/B444, "NA")</f>
        <v>3.2466976577838567E-3</v>
      </c>
      <c r="D205" s="9"/>
      <c r="E205" s="7">
        <v>340.35</v>
      </c>
      <c r="F205" s="8">
        <f>IFERROR(E205/E444, "NA")</f>
        <v>2.9999592777674067E-3</v>
      </c>
      <c r="G205" s="9"/>
      <c r="H205" s="10">
        <f t="shared" si="52"/>
        <v>-52.17999999999995</v>
      </c>
      <c r="I205" s="8">
        <f>IFERROR(H205/H444, "NA")</f>
        <v>-7.0042430840146636E-3</v>
      </c>
      <c r="J205" s="9"/>
      <c r="K205" s="7">
        <v>492.33</v>
      </c>
      <c r="L205" s="8">
        <f>IFERROR(K205/K444, "NA")</f>
        <v>4.7257830614757827E-3</v>
      </c>
      <c r="M205" s="9"/>
      <c r="N205" s="10">
        <f t="shared" si="53"/>
        <v>99.800000000000011</v>
      </c>
      <c r="O205" s="8">
        <f>IFERROR(N205/N444, "NA")</f>
        <v>5.9682748516154118E-3</v>
      </c>
      <c r="P205" s="9"/>
      <c r="Q205" s="7">
        <v>1052.03</v>
      </c>
      <c r="R205" s="8">
        <f>IFERROR(Q205/Q444, "NA")</f>
        <v>4.0087113061792294E-3</v>
      </c>
      <c r="S205" s="9"/>
      <c r="T205" s="7">
        <v>779.55</v>
      </c>
      <c r="U205" s="8">
        <f>IFERROR(T205/T444, "NA")</f>
        <v>2.9999884549222438E-3</v>
      </c>
      <c r="V205" s="9"/>
      <c r="W205" s="10">
        <f t="shared" si="54"/>
        <v>-272.48</v>
      </c>
      <c r="X205" s="8">
        <f>IFERROR(W205/W444, "NA")</f>
        <v>-0.10540975488982336</v>
      </c>
      <c r="Y205" s="9"/>
      <c r="Z205" s="7">
        <v>1080.3599999999999</v>
      </c>
      <c r="AA205" s="8">
        <f>IFERROR(Z205/Z444, "NA")</f>
        <v>4.4054489151058047E-3</v>
      </c>
      <c r="AB205" s="9"/>
      <c r="AC205" s="10">
        <f t="shared" si="55"/>
        <v>28.329999999999927</v>
      </c>
      <c r="AD205" s="8">
        <f>IFERROR(AC205/AC444, "NA")</f>
        <v>1.6467780290862918E-3</v>
      </c>
    </row>
    <row r="206" spans="1:30" ht="16.5" customHeight="1" x14ac:dyDescent="0.45">
      <c r="A206" s="6" t="s">
        <v>188</v>
      </c>
      <c r="B206" s="7">
        <v>613.92999999999995</v>
      </c>
      <c r="C206" s="8">
        <f>IFERROR(B206/B444, "NA")</f>
        <v>5.077943324187306E-3</v>
      </c>
      <c r="D206" s="9"/>
      <c r="E206" s="7">
        <v>113.45</v>
      </c>
      <c r="F206" s="8">
        <f>IFERROR(E206/E444, "NA")</f>
        <v>9.9998642592246875E-4</v>
      </c>
      <c r="G206" s="9"/>
      <c r="H206" s="10">
        <f t="shared" si="52"/>
        <v>-500.47999999999996</v>
      </c>
      <c r="I206" s="8">
        <f>IFERROR(H206/H444, "NA")</f>
        <v>-6.7180597521802651E-2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-613.92999999999995</v>
      </c>
      <c r="O206" s="8">
        <f>IFERROR(N206/N444, "NA")</f>
        <v>-3.671445871395039E-2</v>
      </c>
      <c r="P206" s="9"/>
      <c r="Q206" s="7">
        <v>622.30999999999995</v>
      </c>
      <c r="R206" s="8">
        <f>IFERROR(Q206/Q444, "NA")</f>
        <v>2.3712832646867444E-3</v>
      </c>
      <c r="S206" s="9"/>
      <c r="T206" s="7">
        <v>259.85000000000002</v>
      </c>
      <c r="U206" s="8">
        <f>IFERROR(T206/T444, "NA")</f>
        <v>9.9999615164074809E-4</v>
      </c>
      <c r="V206" s="9"/>
      <c r="W206" s="10">
        <f t="shared" si="54"/>
        <v>-362.45999999999992</v>
      </c>
      <c r="X206" s="8">
        <f>IFERROR(W206/W444, "NA")</f>
        <v>-0.14021880415944424</v>
      </c>
      <c r="Y206" s="9"/>
      <c r="Z206" s="7">
        <v>10.8</v>
      </c>
      <c r="AA206" s="8">
        <f>IFERROR(Z206/Z444, "NA")</f>
        <v>4.4039809214653168E-5</v>
      </c>
      <c r="AB206" s="9"/>
      <c r="AC206" s="10">
        <f t="shared" si="55"/>
        <v>-611.51</v>
      </c>
      <c r="AD206" s="8">
        <f>IFERROR(AC206/AC444, "NA")</f>
        <v>-3.5546107750319834E-2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8.8143360592549038E-4</v>
      </c>
      <c r="G207" s="9"/>
      <c r="H207" s="10">
        <f t="shared" si="52"/>
        <v>100</v>
      </c>
      <c r="I207" s="8">
        <f>IFERROR(H207/H444, "NA")</f>
        <v>1.3423233200488062E-2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156.74</v>
      </c>
      <c r="R207" s="8">
        <f>IFERROR(Q207/Q444, "NA")</f>
        <v>5.9725046826662016E-4</v>
      </c>
      <c r="S207" s="9"/>
      <c r="T207" s="7">
        <v>300</v>
      </c>
      <c r="U207" s="8">
        <f>IFERROR(T207/T444, "NA")</f>
        <v>1.1545077756098688E-3</v>
      </c>
      <c r="V207" s="9"/>
      <c r="W207" s="10">
        <f t="shared" si="54"/>
        <v>143.26</v>
      </c>
      <c r="X207" s="8">
        <f>IFERROR(W207/W444, "NA")</f>
        <v>5.5420586778905219E-2</v>
      </c>
      <c r="Y207" s="9"/>
      <c r="Z207" s="7">
        <v>99.59</v>
      </c>
      <c r="AA207" s="8">
        <f>IFERROR(Z207/Z444, "NA")</f>
        <v>4.0610412960067678E-4</v>
      </c>
      <c r="AB207" s="9"/>
      <c r="AC207" s="10">
        <f t="shared" si="55"/>
        <v>-57.150000000000006</v>
      </c>
      <c r="AD207" s="8">
        <f>IFERROR(AC207/AC444, "NA")</f>
        <v>-3.3220389820784266E-3</v>
      </c>
    </row>
    <row r="208" spans="1:30" ht="16.5" customHeight="1" x14ac:dyDescent="0.45">
      <c r="A208" s="6" t="s">
        <v>190</v>
      </c>
      <c r="B208" s="7">
        <v>76.599999999999994</v>
      </c>
      <c r="C208" s="8">
        <f>IFERROR(B208/B444, "NA")</f>
        <v>6.3357460725611651E-4</v>
      </c>
      <c r="D208" s="9"/>
      <c r="E208" s="7">
        <v>100</v>
      </c>
      <c r="F208" s="8">
        <f>IFERROR(E208/E444, "NA")</f>
        <v>8.8143360592549038E-4</v>
      </c>
      <c r="G208" s="9"/>
      <c r="H208" s="10">
        <f t="shared" si="52"/>
        <v>23.400000000000006</v>
      </c>
      <c r="I208" s="8">
        <f>IFERROR(H208/H444, "NA")</f>
        <v>3.1410365689142072E-3</v>
      </c>
      <c r="J208" s="9"/>
      <c r="K208" s="7">
        <v>231.08</v>
      </c>
      <c r="L208" s="8">
        <f>IFERROR(K208/K444, "NA")</f>
        <v>2.2180934532647287E-3</v>
      </c>
      <c r="M208" s="9"/>
      <c r="N208" s="10">
        <f t="shared" si="53"/>
        <v>154.48000000000002</v>
      </c>
      <c r="O208" s="8">
        <f>IFERROR(N208/N444, "NA")</f>
        <v>9.2382675258271419E-3</v>
      </c>
      <c r="P208" s="9"/>
      <c r="Q208" s="7">
        <v>170.29</v>
      </c>
      <c r="R208" s="8">
        <f>IFERROR(Q208/Q444, "NA")</f>
        <v>6.4888211203982863E-4</v>
      </c>
      <c r="S208" s="9"/>
      <c r="T208" s="7">
        <v>300</v>
      </c>
      <c r="U208" s="8">
        <f>IFERROR(T208/T444, "NA")</f>
        <v>1.1545077756098688E-3</v>
      </c>
      <c r="V208" s="9"/>
      <c r="W208" s="10">
        <f t="shared" si="54"/>
        <v>129.71</v>
      </c>
      <c r="X208" s="8">
        <f>IFERROR(W208/W444, "NA")</f>
        <v>5.0178726169843618E-2</v>
      </c>
      <c r="Y208" s="9"/>
      <c r="Z208" s="7">
        <v>828.99</v>
      </c>
      <c r="AA208" s="8">
        <f>IFERROR(Z208/Z444, "NA")</f>
        <v>3.3804223556347527E-3</v>
      </c>
      <c r="AB208" s="9"/>
      <c r="AC208" s="10">
        <f t="shared" si="55"/>
        <v>658.7</v>
      </c>
      <c r="AD208" s="8">
        <f>IFERROR(AC208/AC444, "NA")</f>
        <v>3.8289187707700081E-2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2996.24</v>
      </c>
      <c r="C209" s="15">
        <f>IFERROR(B209/B444, "NA")</f>
        <v>2.4782527170301129E-2</v>
      </c>
      <c r="D209" s="2"/>
      <c r="E209" s="14">
        <f>IFERROR(E201+E202+E203+E204+E205+E206+E207+E208, "NA")</f>
        <v>2809.37</v>
      </c>
      <c r="F209" s="15">
        <f>IFERROR(E209/E444, "NA")</f>
        <v>2.4762731294788946E-2</v>
      </c>
      <c r="G209" s="2"/>
      <c r="H209" s="14">
        <f t="shared" si="52"/>
        <v>-186.86999999999989</v>
      </c>
      <c r="I209" s="15">
        <f>IFERROR(H209/H444, "NA")</f>
        <v>-2.5083995881752027E-2</v>
      </c>
      <c r="J209" s="2"/>
      <c r="K209" s="14">
        <f>IFERROR(K201+K202+K203+K204+K205+K206+K207+K208, "NA")</f>
        <v>2247.4899999999998</v>
      </c>
      <c r="L209" s="15">
        <f>IFERROR(K209/K444, "NA")</f>
        <v>2.1573233751419181E-2</v>
      </c>
      <c r="M209" s="2"/>
      <c r="N209" s="14">
        <f t="shared" si="53"/>
        <v>-748.75</v>
      </c>
      <c r="O209" s="15">
        <f>IFERROR(N209/N444, "NA")</f>
        <v>-4.4777011975421235E-2</v>
      </c>
      <c r="P209" s="2"/>
      <c r="Q209" s="14">
        <f>IFERROR(Q201+Q202+Q203+Q204+Q205+Q206+Q207+Q208, "NA")</f>
        <v>5579.46</v>
      </c>
      <c r="R209" s="15">
        <f>IFERROR(Q209/Q444, "NA")</f>
        <v>2.1260272410838818E-2</v>
      </c>
      <c r="S209" s="2"/>
      <c r="T209" s="14">
        <f>IFERROR(T201+T202+T203+T204+T205+T206+T207+T208, "NA")</f>
        <v>6576.56</v>
      </c>
      <c r="U209" s="15">
        <f>IFERROR(T209/T444, "NA")</f>
        <v>2.5308965522549461E-2</v>
      </c>
      <c r="V209" s="2"/>
      <c r="W209" s="14">
        <f t="shared" si="54"/>
        <v>997.10000000000036</v>
      </c>
      <c r="X209" s="15">
        <f>IFERROR(W209/W444, "NA")</f>
        <v>0.38573130725426785</v>
      </c>
      <c r="Y209" s="2"/>
      <c r="Z209" s="14">
        <f>IFERROR(Z201+Z202+Z203+Z204+Z205+Z206+Z207+Z208, "NA")</f>
        <v>5645.54</v>
      </c>
      <c r="AA209" s="15">
        <f>IFERROR(Z209/Z444, "NA")</f>
        <v>2.3021157825341948E-2</v>
      </c>
      <c r="AB209" s="2"/>
      <c r="AC209" s="14">
        <f t="shared" si="55"/>
        <v>66.079999999999927</v>
      </c>
      <c r="AD209" s="15">
        <f>IFERROR(AC209/AC444, "NA")</f>
        <v>3.8411257381582185E-3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3290.09</v>
      </c>
      <c r="F213" s="8">
        <f>IFERROR(E213/E444, "NA")</f>
        <v>2.8999958925193966E-2</v>
      </c>
      <c r="G213" s="9"/>
      <c r="H213" s="10">
        <f t="shared" ref="H213:H227" si="56">IFERROR(-(B213-E213), "NA")</f>
        <v>3290.09</v>
      </c>
      <c r="I213" s="8">
        <f>IFERROR(H213/H444, "NA")</f>
        <v>0.4416364532059377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7535.68</v>
      </c>
      <c r="U213" s="8">
        <f>IFERROR(T213/T444, "NA")</f>
        <v>2.9000003848359254E-2</v>
      </c>
      <c r="V213" s="9"/>
      <c r="W213" s="10">
        <f t="shared" ref="W213:W227" si="58">IFERROR(-(Q213-T213), "NA")</f>
        <v>7535.68</v>
      </c>
      <c r="X213" s="8">
        <f>IFERROR(W213/W444, "NA")</f>
        <v>2.9152017826194365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591.38</v>
      </c>
      <c r="C214" s="8">
        <f>IFERROR(B214/B444, "NA")</f>
        <v>4.8914275618684366E-3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-591.38</v>
      </c>
      <c r="I214" s="8">
        <f>IFERROR(H214/H444, "NA")</f>
        <v>-7.9382316501046296E-2</v>
      </c>
      <c r="J214" s="9"/>
      <c r="K214" s="7">
        <v>1886.96</v>
      </c>
      <c r="L214" s="8">
        <f>IFERROR(K214/K444, "NA")</f>
        <v>1.8112574098028442E-2</v>
      </c>
      <c r="M214" s="9"/>
      <c r="N214" s="10">
        <f t="shared" si="57"/>
        <v>1295.58</v>
      </c>
      <c r="O214" s="8">
        <f>IFERROR(N214/N444, "NA")</f>
        <v>7.7478732788135204E-2</v>
      </c>
      <c r="P214" s="9"/>
      <c r="Q214" s="7">
        <v>2276.48</v>
      </c>
      <c r="R214" s="8">
        <f>IFERROR(Q214/Q444, "NA")</f>
        <v>8.6744209901722311E-3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-2276.48</v>
      </c>
      <c r="X214" s="8">
        <f>IFERROR(W214/W444, "NA")</f>
        <v>-0.8806635305768683</v>
      </c>
      <c r="Y214" s="9"/>
      <c r="Z214" s="7">
        <v>4733.5</v>
      </c>
      <c r="AA214" s="8">
        <f>IFERROR(Z214/Z444, "NA")</f>
        <v>1.9302077492366738E-2</v>
      </c>
      <c r="AB214" s="9"/>
      <c r="AC214" s="10">
        <f t="shared" si="59"/>
        <v>2457.02</v>
      </c>
      <c r="AD214" s="8">
        <f>IFERROR(AC214/AC444, "NA")</f>
        <v>0.14282268101043458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110</v>
      </c>
      <c r="C216" s="8">
        <f>IFERROR(B216/B444, "NA")</f>
        <v>9.0983298692131622E-4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-110</v>
      </c>
      <c r="I216" s="8">
        <f>IFERROR(H216/H444, "NA")</f>
        <v>-1.4765556520536868E-2</v>
      </c>
      <c r="J216" s="9"/>
      <c r="K216" s="7">
        <v>1.71</v>
      </c>
      <c r="L216" s="8">
        <f>IFERROR(K216/K444, "NA")</f>
        <v>1.6413968344654171E-5</v>
      </c>
      <c r="M216" s="9"/>
      <c r="N216" s="10">
        <f t="shared" si="57"/>
        <v>-108.29</v>
      </c>
      <c r="O216" s="8">
        <f>IFERROR(N216/N444, "NA")</f>
        <v>-6.4759968304752792E-3</v>
      </c>
      <c r="P216" s="9"/>
      <c r="Q216" s="7">
        <v>110</v>
      </c>
      <c r="R216" s="8">
        <f>IFERROR(Q216/Q444, "NA")</f>
        <v>4.1914987564966325E-4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-110</v>
      </c>
      <c r="X216" s="8">
        <f>IFERROR(W216/W444, "NA")</f>
        <v>-4.2553849962861746E-2</v>
      </c>
      <c r="Y216" s="9"/>
      <c r="Z216" s="7">
        <v>1.71</v>
      </c>
      <c r="AA216" s="8">
        <f>IFERROR(Z216/Z444, "NA")</f>
        <v>6.972969792320085E-6</v>
      </c>
      <c r="AB216" s="9"/>
      <c r="AC216" s="10">
        <f t="shared" si="59"/>
        <v>-108.29</v>
      </c>
      <c r="AD216" s="8">
        <f>IFERROR(AC216/AC444, "NA")</f>
        <v>-6.2947261831893756E-3</v>
      </c>
    </row>
    <row r="217" spans="1:30" ht="16.5" customHeight="1" x14ac:dyDescent="0.45">
      <c r="A217" s="12" t="s">
        <v>197</v>
      </c>
      <c r="B217" s="7">
        <v>3782.02</v>
      </c>
      <c r="C217" s="8">
        <f>IFERROR(B217/B444, "NA")</f>
        <v>3.1281877756328694E-2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-3782.02</v>
      </c>
      <c r="I217" s="8">
        <f>IFERROR(H217/H444, "NA")</f>
        <v>-0.50766936428909859</v>
      </c>
      <c r="J217" s="9"/>
      <c r="K217" s="7">
        <v>3323.48</v>
      </c>
      <c r="L217" s="8">
        <f>IFERROR(K217/K444, "NA")</f>
        <v>3.1901459364965641E-2</v>
      </c>
      <c r="M217" s="9"/>
      <c r="N217" s="10">
        <f t="shared" si="57"/>
        <v>-458.53999999999996</v>
      </c>
      <c r="O217" s="8">
        <f>IFERROR(N217/N444, "NA")</f>
        <v>-2.7421771046690684E-2</v>
      </c>
      <c r="P217" s="9"/>
      <c r="Q217" s="7">
        <v>6772.43</v>
      </c>
      <c r="R217" s="8">
        <f>IFERROR(Q217/Q444, "NA")</f>
        <v>2.5806029021327715E-2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-6772.43</v>
      </c>
      <c r="X217" s="8">
        <f>IFERROR(W217/W444, "NA")</f>
        <v>-2.6199360918543984</v>
      </c>
      <c r="Y217" s="9"/>
      <c r="Z217" s="7">
        <v>7437.77</v>
      </c>
      <c r="AA217" s="8">
        <f>IFERROR(Z217/Z444, "NA")</f>
        <v>3.0329441831710269E-2</v>
      </c>
      <c r="AB217" s="9"/>
      <c r="AC217" s="10">
        <f t="shared" si="59"/>
        <v>665.34000000000015</v>
      </c>
      <c r="AD217" s="8">
        <f>IFERROR(AC217/AC444, "NA")</f>
        <v>3.8675160390832207E-2</v>
      </c>
    </row>
    <row r="218" spans="1:30" ht="16.5" customHeight="1" x14ac:dyDescent="0.45">
      <c r="A218" s="13" t="s">
        <v>198</v>
      </c>
      <c r="B218" s="14">
        <f>IFERROR(B213+B214+B215+B216+B217, "NA")</f>
        <v>4483.3999999999996</v>
      </c>
      <c r="C218" s="15">
        <f>IFERROR(B218/B444, "NA")</f>
        <v>3.7083138305118446E-2</v>
      </c>
      <c r="D218" s="2"/>
      <c r="E218" s="14">
        <f>IFERROR(E213+E214+E215+E216+E217, "NA")</f>
        <v>3290.09</v>
      </c>
      <c r="F218" s="15">
        <f>IFERROR(E218/E444, "NA")</f>
        <v>2.8999958925193966E-2</v>
      </c>
      <c r="G218" s="2"/>
      <c r="H218" s="14">
        <f t="shared" si="56"/>
        <v>-1193.3099999999995</v>
      </c>
      <c r="I218" s="15">
        <f>IFERROR(H218/H444, "NA")</f>
        <v>-0.16018078410474401</v>
      </c>
      <c r="J218" s="2"/>
      <c r="K218" s="14">
        <f>IFERROR(K213+K214+K215+K216+K217, "NA")</f>
        <v>5212.1499999999996</v>
      </c>
      <c r="L218" s="15">
        <f>IFERROR(K218/K444, "NA")</f>
        <v>5.0030447431338734E-2</v>
      </c>
      <c r="M218" s="2"/>
      <c r="N218" s="14">
        <f t="shared" si="57"/>
        <v>728.75</v>
      </c>
      <c r="O218" s="15">
        <f>IFERROR(N218/N444, "NA")</f>
        <v>4.3580964910969244E-2</v>
      </c>
      <c r="P218" s="2"/>
      <c r="Q218" s="14">
        <f>IFERROR(Q213+Q214+Q215+Q216+Q217, "NA")</f>
        <v>9158.91</v>
      </c>
      <c r="R218" s="15">
        <f>IFERROR(Q218/Q444, "NA")</f>
        <v>3.4899599887149607E-2</v>
      </c>
      <c r="S218" s="2"/>
      <c r="T218" s="14">
        <f>IFERROR(T213+T214+T215+T216+T217, "NA")</f>
        <v>7535.68</v>
      </c>
      <c r="U218" s="15">
        <f>IFERROR(T218/T444, "NA")</f>
        <v>2.9000003848359254E-2</v>
      </c>
      <c r="V218" s="2"/>
      <c r="W218" s="14">
        <f t="shared" si="58"/>
        <v>-1623.2299999999996</v>
      </c>
      <c r="X218" s="15">
        <f>IFERROR(W218/W444, "NA")</f>
        <v>-0.6279516897746914</v>
      </c>
      <c r="Y218" s="2"/>
      <c r="Z218" s="14">
        <f>IFERROR(Z213+Z214+Z215+Z216+Z217, "NA")</f>
        <v>12172.98</v>
      </c>
      <c r="AA218" s="15">
        <f>IFERROR(Z218/Z444, "NA")</f>
        <v>4.9638492293869324E-2</v>
      </c>
      <c r="AB218" s="2"/>
      <c r="AC218" s="14">
        <f t="shared" si="59"/>
        <v>3014.0699999999997</v>
      </c>
      <c r="AD218" s="15">
        <f>IFERROR(AC218/AC444, "NA")</f>
        <v>0.17520311521807738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487.21</v>
      </c>
      <c r="C222" s="8">
        <f>IFERROR(B222/B444, "NA")</f>
        <v>4.0298157232539497E-3</v>
      </c>
      <c r="D222" s="9"/>
      <c r="E222" s="7">
        <v>100</v>
      </c>
      <c r="F222" s="8">
        <f>IFERROR(E222/E444, "NA")</f>
        <v>8.8143360592549038E-4</v>
      </c>
      <c r="G222" s="9"/>
      <c r="H222" s="10">
        <f t="shared" si="56"/>
        <v>-387.21</v>
      </c>
      <c r="I222" s="8">
        <f>IFERROR(H222/H444, "NA")</f>
        <v>-5.1976101275609816E-2</v>
      </c>
      <c r="J222" s="9"/>
      <c r="K222" s="7">
        <v>262.67</v>
      </c>
      <c r="L222" s="8">
        <f>IFERROR(K222/K444, "NA")</f>
        <v>2.5213199211054456E-3</v>
      </c>
      <c r="M222" s="9"/>
      <c r="N222" s="10">
        <f t="shared" si="57"/>
        <v>-224.53999999999996</v>
      </c>
      <c r="O222" s="8">
        <f>IFERROR(N222/N444, "NA")</f>
        <v>-1.3428020392602446E-2</v>
      </c>
      <c r="P222" s="9"/>
      <c r="Q222" s="7">
        <v>721.21</v>
      </c>
      <c r="R222" s="8">
        <f>IFERROR(Q222/Q444, "NA")</f>
        <v>2.748137107429942E-3</v>
      </c>
      <c r="S222" s="9"/>
      <c r="T222" s="7">
        <v>300</v>
      </c>
      <c r="U222" s="8">
        <f>IFERROR(T222/T444, "NA")</f>
        <v>1.1545077756098688E-3</v>
      </c>
      <c r="V222" s="9"/>
      <c r="W222" s="10">
        <f t="shared" si="58"/>
        <v>-421.21000000000004</v>
      </c>
      <c r="X222" s="8">
        <f>IFERROR(W222/W444, "NA")</f>
        <v>-0.16294642857142727</v>
      </c>
      <c r="Y222" s="9"/>
      <c r="Z222" s="7">
        <v>510.58</v>
      </c>
      <c r="AA222" s="8">
        <f>IFERROR(Z222/Z444, "NA")</f>
        <v>2.0820227582238533E-3</v>
      </c>
      <c r="AB222" s="9"/>
      <c r="AC222" s="10">
        <f t="shared" si="59"/>
        <v>-210.63000000000005</v>
      </c>
      <c r="AD222" s="8">
        <f>IFERROR(AC222/AC444, "NA")</f>
        <v>-1.2243588290379338E-2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4970.6099999999997</v>
      </c>
      <c r="C227" s="15">
        <f>IFERROR(B227/B444, "NA")</f>
        <v>4.1112954028372395E-2</v>
      </c>
      <c r="D227" s="2"/>
      <c r="E227" s="14">
        <f>IFERROR(E211+E213+E214+E215+E216+E217+E219+E220+E221+E222+E223+E224+E225+E226, "NA")</f>
        <v>3390.09</v>
      </c>
      <c r="F227" s="15">
        <f>IFERROR(E227/E444, "NA")</f>
        <v>2.9881392531119457E-2</v>
      </c>
      <c r="G227" s="2"/>
      <c r="H227" s="14">
        <f t="shared" si="56"/>
        <v>-1580.5199999999995</v>
      </c>
      <c r="I227" s="15">
        <f>IFERROR(H227/H444, "NA")</f>
        <v>-0.21215688538035385</v>
      </c>
      <c r="J227" s="2"/>
      <c r="K227" s="14">
        <f>IFERROR(K211+K213+K214+K215+K216+K217+K219+K220+K221+K222+K223+K224+K225+K226, "NA")</f>
        <v>5474.82</v>
      </c>
      <c r="L227" s="15">
        <f>IFERROR(K227/K444, "NA")</f>
        <v>5.2551767352444184E-2</v>
      </c>
      <c r="M227" s="2"/>
      <c r="N227" s="14">
        <f t="shared" si="57"/>
        <v>504.21000000000004</v>
      </c>
      <c r="O227" s="15">
        <f>IFERROR(N227/N444, "NA")</f>
        <v>3.0152944518366798E-2</v>
      </c>
      <c r="P227" s="2"/>
      <c r="Q227" s="14">
        <f>IFERROR(Q211+Q213+Q214+Q215+Q216+Q217+Q219+Q220+Q221+Q222+Q223+Q224+Q225+Q226, "NA")</f>
        <v>9880.119999999999</v>
      </c>
      <c r="R227" s="15">
        <f>IFERROR(Q227/Q444, "NA")</f>
        <v>3.7647736994579545E-2</v>
      </c>
      <c r="S227" s="2"/>
      <c r="T227" s="14">
        <f>IFERROR(T211+T213+T214+T215+T216+T217+T219+T220+T221+T222+T223+T224+T225+T226, "NA")</f>
        <v>7835.68</v>
      </c>
      <c r="U227" s="15">
        <f>IFERROR(T227/T444, "NA")</f>
        <v>3.0154511623969121E-2</v>
      </c>
      <c r="V227" s="2"/>
      <c r="W227" s="14">
        <f t="shared" si="58"/>
        <v>-2044.4399999999987</v>
      </c>
      <c r="X227" s="15">
        <f>IFERROR(W227/W444, "NA")</f>
        <v>-0.79089811834611834</v>
      </c>
      <c r="Y227" s="2"/>
      <c r="Z227" s="14">
        <f>IFERROR(Z211+Z213+Z214+Z215+Z216+Z217+Z219+Z220+Z221+Z222+Z223+Z224+Z225+Z226, "NA")</f>
        <v>12683.56</v>
      </c>
      <c r="AA227" s="15">
        <f>IFERROR(Z227/Z444, "NA")</f>
        <v>5.1720515052093179E-2</v>
      </c>
      <c r="AB227" s="2"/>
      <c r="AC227" s="14">
        <f t="shared" si="59"/>
        <v>2803.4400000000005</v>
      </c>
      <c r="AD227" s="15">
        <f>IFERROR(AC227/AC444, "NA")</f>
        <v>0.16295952692769808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907.61</v>
      </c>
      <c r="F229" s="8">
        <f>IFERROR(E229/E444, "NA")</f>
        <v>7.999979550740343E-3</v>
      </c>
      <c r="G229" s="9"/>
      <c r="H229" s="10">
        <f t="shared" ref="H229:H236" si="60">IFERROR(-(B229-E229), "NA")</f>
        <v>907.61</v>
      </c>
      <c r="I229" s="8">
        <f>IFERROR(H229/H444, "NA")</f>
        <v>0.12183060685094969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2078.8000000000002</v>
      </c>
      <c r="U229" s="8">
        <f>IFERROR(T229/T444, "NA")</f>
        <v>7.9999692131259847E-3</v>
      </c>
      <c r="V229" s="9"/>
      <c r="W229" s="10">
        <f t="shared" ref="W229:W236" si="62">IFERROR(-(Q229-T229), "NA")</f>
        <v>2078.8000000000002</v>
      </c>
      <c r="X229" s="8">
        <f>IFERROR(W229/W444, "NA")</f>
        <v>0.80419039366179101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83.95</v>
      </c>
      <c r="L230" s="8">
        <f>IFERROR(K230/K444, "NA")</f>
        <v>8.0582025879164789E-4</v>
      </c>
      <c r="M230" s="9"/>
      <c r="N230" s="10">
        <f t="shared" si="61"/>
        <v>83.95</v>
      </c>
      <c r="O230" s="8">
        <f>IFERROR(N230/N444, "NA")</f>
        <v>5.0204075530372125E-3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83.95</v>
      </c>
      <c r="AA230" s="8">
        <f>IFERROR(Z230/Z444, "NA")</f>
        <v>3.4232796144167905E-4</v>
      </c>
      <c r="AB230" s="9"/>
      <c r="AC230" s="10">
        <f t="shared" si="63"/>
        <v>83.95</v>
      </c>
      <c r="AD230" s="8">
        <f>IFERROR(AC230/AC444, "NA")</f>
        <v>4.8798805344791585E-3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149.56</v>
      </c>
      <c r="L231" s="8">
        <f>IFERROR(K231/K444, "NA")</f>
        <v>1.4355983073839054E-3</v>
      </c>
      <c r="M231" s="9"/>
      <c r="N231" s="10">
        <f t="shared" si="61"/>
        <v>149.56</v>
      </c>
      <c r="O231" s="8">
        <f>IFERROR(N231/N444, "NA")</f>
        <v>8.9440399479719535E-3</v>
      </c>
      <c r="P231" s="9"/>
      <c r="Q231" s="7">
        <v>126</v>
      </c>
      <c r="R231" s="8">
        <f>IFERROR(Q231/Q444, "NA")</f>
        <v>4.8011713028961423E-4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-126</v>
      </c>
      <c r="X231" s="8">
        <f>IFERROR(W231/W444, "NA")</f>
        <v>-4.8743500866550729E-2</v>
      </c>
      <c r="Y231" s="9"/>
      <c r="Z231" s="7">
        <v>426.05</v>
      </c>
      <c r="AA231" s="8">
        <f>IFERROR(Z231/Z444, "NA")</f>
        <v>1.7373296959169429E-3</v>
      </c>
      <c r="AB231" s="9"/>
      <c r="AC231" s="10">
        <f t="shared" si="63"/>
        <v>300.05</v>
      </c>
      <c r="AD231" s="8">
        <f>IFERROR(AC231/AC444, "NA")</f>
        <v>1.7441431261113419E-2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1003.39</v>
      </c>
      <c r="C234" s="8">
        <f>IFERROR(B234/B444, "NA")</f>
        <v>8.299248370427087E-3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-1003.39</v>
      </c>
      <c r="I234" s="8">
        <f>IFERROR(H234/H444, "NA")</f>
        <v>-0.13468737961037716</v>
      </c>
      <c r="J234" s="9"/>
      <c r="K234" s="7">
        <v>707.71</v>
      </c>
      <c r="L234" s="8">
        <f>IFERROR(K234/K444, "NA")</f>
        <v>6.7931751679504125E-3</v>
      </c>
      <c r="M234" s="9"/>
      <c r="N234" s="10">
        <f t="shared" si="61"/>
        <v>-295.67999999999995</v>
      </c>
      <c r="O234" s="8">
        <f>IFERROR(N234/N444, "NA")</f>
        <v>-1.7682359800858159E-2</v>
      </c>
      <c r="P234" s="9"/>
      <c r="Q234" s="7">
        <v>1674.33</v>
      </c>
      <c r="R234" s="8">
        <f>IFERROR(Q234/Q444, "NA")</f>
        <v>6.3799564663318238E-3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-1674.33</v>
      </c>
      <c r="X234" s="8">
        <f>IFERROR(W234/W444, "NA")</f>
        <v>-0.64771988734834829</v>
      </c>
      <c r="Y234" s="9"/>
      <c r="Z234" s="7">
        <v>2895.61</v>
      </c>
      <c r="AA234" s="8">
        <f>IFERROR(Z234/Z444, "NA")</f>
        <v>1.1807602959263136E-2</v>
      </c>
      <c r="AB234" s="9"/>
      <c r="AC234" s="10">
        <f t="shared" si="63"/>
        <v>1221.2800000000002</v>
      </c>
      <c r="AD234" s="8">
        <f>IFERROR(AC234/AC444, "NA")</f>
        <v>7.0991072056565907E-2</v>
      </c>
    </row>
    <row r="235" spans="1:30" ht="16.5" customHeight="1" x14ac:dyDescent="0.45">
      <c r="A235" s="6" t="s">
        <v>214</v>
      </c>
      <c r="B235" s="7">
        <v>38.74</v>
      </c>
      <c r="C235" s="8">
        <f>IFERROR(B235/B444, "NA")</f>
        <v>3.2042663557574358E-4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-38.74</v>
      </c>
      <c r="I235" s="8">
        <f>IFERROR(H235/H444, "NA")</f>
        <v>-5.2001605418690753E-3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-38.74</v>
      </c>
      <c r="O235" s="8">
        <f>IFERROR(N235/N444, "NA")</f>
        <v>-2.3167431638434974E-3</v>
      </c>
      <c r="P235" s="9"/>
      <c r="Q235" s="7">
        <v>55.13</v>
      </c>
      <c r="R235" s="8">
        <f>IFERROR(Q235/Q444, "NA")</f>
        <v>2.1007029676878123E-4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-55.13</v>
      </c>
      <c r="X235" s="8">
        <f>IFERROR(W235/W444, "NA")</f>
        <v>-2.1327215895023347E-2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-55.13</v>
      </c>
      <c r="AD235" s="8">
        <f>IFERROR(AC235/AC444, "NA")</f>
        <v>-3.2046195814870279E-3</v>
      </c>
    </row>
    <row r="236" spans="1:30" ht="16.5" customHeight="1" x14ac:dyDescent="0.45">
      <c r="A236" s="19" t="s">
        <v>215</v>
      </c>
      <c r="B236" s="14">
        <f>IFERROR(B229+B230+B231+B232+B233+B234+B235, "NA")</f>
        <v>1042.1299999999999</v>
      </c>
      <c r="C236" s="15">
        <f>IFERROR(B236/B444, "NA")</f>
        <v>8.6196750060028287E-3</v>
      </c>
      <c r="D236" s="2"/>
      <c r="E236" s="14">
        <f>IFERROR(E229+E230+E231+E232+E233+E234+E235, "NA")</f>
        <v>907.61</v>
      </c>
      <c r="F236" s="15">
        <f>IFERROR(E236/E444, "NA")</f>
        <v>7.999979550740343E-3</v>
      </c>
      <c r="G236" s="2"/>
      <c r="H236" s="14">
        <f t="shared" si="60"/>
        <v>-134.51999999999987</v>
      </c>
      <c r="I236" s="15">
        <f>IFERROR(H236/H444, "NA")</f>
        <v>-1.8056933301296523E-2</v>
      </c>
      <c r="J236" s="2"/>
      <c r="K236" s="14">
        <f>IFERROR(K229+K230+K231+K232+K233+K234+K235, "NA")</f>
        <v>941.22</v>
      </c>
      <c r="L236" s="15">
        <f>IFERROR(K236/K444, "NA")</f>
        <v>9.0345937341259654E-3</v>
      </c>
      <c r="M236" s="2"/>
      <c r="N236" s="14">
        <f t="shared" si="61"/>
        <v>-100.90999999999985</v>
      </c>
      <c r="O236" s="15">
        <f>IFERROR(N236/N444, "NA")</f>
        <v>-6.0346554636924879E-3</v>
      </c>
      <c r="P236" s="2"/>
      <c r="Q236" s="14">
        <f>IFERROR(Q229+Q230+Q231+Q232+Q233+Q234+Q235, "NA")</f>
        <v>1855.46</v>
      </c>
      <c r="R236" s="15">
        <f>IFERROR(Q236/Q444, "NA")</f>
        <v>7.0701438933902195E-3</v>
      </c>
      <c r="S236" s="2"/>
      <c r="T236" s="14">
        <f>IFERROR(T229+T230+T231+T232+T233+T234+T235, "NA")</f>
        <v>2078.8000000000002</v>
      </c>
      <c r="U236" s="15">
        <f>IFERROR(T236/T444, "NA")</f>
        <v>7.9999692131259847E-3</v>
      </c>
      <c r="V236" s="2"/>
      <c r="W236" s="14">
        <f t="shared" si="62"/>
        <v>223.34000000000015</v>
      </c>
      <c r="X236" s="15">
        <f>IFERROR(W236/W444, "NA")</f>
        <v>8.6399789551868625E-2</v>
      </c>
      <c r="Y236" s="2"/>
      <c r="Z236" s="14">
        <f>IFERROR(Z229+Z230+Z231+Z232+Z233+Z234+Z235, "NA")</f>
        <v>3405.61</v>
      </c>
      <c r="AA236" s="15">
        <f>IFERROR(Z236/Z444, "NA")</f>
        <v>1.3887260616621757E-2</v>
      </c>
      <c r="AB236" s="2"/>
      <c r="AC236" s="14">
        <f t="shared" si="63"/>
        <v>1550.15</v>
      </c>
      <c r="AD236" s="15">
        <f>IFERROR(AC236/AC444, "NA")</f>
        <v>9.010776427067145E-2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6126.38</v>
      </c>
      <c r="F240" s="8">
        <f>IFERROR(E240/E444, "NA")</f>
        <v>5.3999972146698057E-2</v>
      </c>
      <c r="G240" s="9"/>
      <c r="H240" s="10">
        <f t="shared" ref="H240:H263" si="64">IFERROR(-(B240-E240), "NA")</f>
        <v>6126.38</v>
      </c>
      <c r="I240" s="8">
        <f>IFERROR(H240/H444, "NA")</f>
        <v>0.82235827414806051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14031.95</v>
      </c>
      <c r="U240" s="8">
        <f>IFERROR(T240/T444, "NA")</f>
        <v>5.3999984606562995E-2</v>
      </c>
      <c r="V240" s="9"/>
      <c r="W240" s="10">
        <f t="shared" ref="W240:W263" si="66">IFERROR(-(Q240-T240), "NA")</f>
        <v>14031.95</v>
      </c>
      <c r="X240" s="8">
        <f>IFERROR(W240/W444, "NA")</f>
        <v>5.4283044998761634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74.75</v>
      </c>
      <c r="C241" s="8">
        <f>IFERROR(B241/B444, "NA")</f>
        <v>6.1827287065789442E-4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-74.75</v>
      </c>
      <c r="I241" s="8">
        <f>IFERROR(H241/H444, "NA")</f>
        <v>-1.0033866817364826E-2</v>
      </c>
      <c r="J241" s="9"/>
      <c r="K241" s="7">
        <v>101.95</v>
      </c>
      <c r="L241" s="8">
        <f>IFERROR(K241/K444, "NA")</f>
        <v>9.7859887294590221E-4</v>
      </c>
      <c r="M241" s="9"/>
      <c r="N241" s="10">
        <f t="shared" si="65"/>
        <v>27.200000000000003</v>
      </c>
      <c r="O241" s="8">
        <f>IFERROR(N241/N444, "NA")</f>
        <v>1.6266240076547014E-3</v>
      </c>
      <c r="P241" s="9"/>
      <c r="Q241" s="7">
        <v>189.79</v>
      </c>
      <c r="R241" s="8">
        <f>IFERROR(Q241/Q444, "NA")</f>
        <v>7.2318595363226885E-4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-189.79</v>
      </c>
      <c r="X241" s="8">
        <f>IFERROR(W241/W444, "NA")</f>
        <v>-7.3420865313195735E-2</v>
      </c>
      <c r="Y241" s="9"/>
      <c r="Z241" s="7">
        <v>561.48</v>
      </c>
      <c r="AA241" s="8">
        <f>IFERROR(Z241/Z444, "NA")</f>
        <v>2.2895807479484686E-3</v>
      </c>
      <c r="AB241" s="9"/>
      <c r="AC241" s="10">
        <f t="shared" si="67"/>
        <v>371.69000000000005</v>
      </c>
      <c r="AD241" s="8">
        <f>IFERROR(AC241/AC444, "NA")</f>
        <v>2.1605750992978661E-2</v>
      </c>
    </row>
    <row r="242" spans="1:30" ht="16.5" customHeight="1" x14ac:dyDescent="0.45">
      <c r="A242" s="12" t="s">
        <v>219</v>
      </c>
      <c r="B242" s="7">
        <v>819.48</v>
      </c>
      <c r="C242" s="8">
        <f>IFERROR(B242/B444, "NA")</f>
        <v>6.7780903283843662E-3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-819.48</v>
      </c>
      <c r="I242" s="8">
        <f>IFERROR(H242/H444, "NA")</f>
        <v>-0.11000071143135957</v>
      </c>
      <c r="J242" s="9"/>
      <c r="K242" s="7">
        <v>685.98</v>
      </c>
      <c r="L242" s="8">
        <f>IFERROR(K242/K444, "NA")</f>
        <v>6.5845929854186375E-3</v>
      </c>
      <c r="M242" s="9"/>
      <c r="N242" s="10">
        <f t="shared" si="65"/>
        <v>-133.5</v>
      </c>
      <c r="O242" s="8">
        <f>IFERROR(N242/N444, "NA")</f>
        <v>-7.9836141552170076E-3</v>
      </c>
      <c r="P242" s="9"/>
      <c r="Q242" s="7">
        <v>2066.7199999999998</v>
      </c>
      <c r="R242" s="8">
        <f>IFERROR(Q242/Q444, "NA")</f>
        <v>7.8751402818424722E-3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-2066.7199999999998</v>
      </c>
      <c r="X242" s="8">
        <f>IFERROR(W242/W444, "NA")</f>
        <v>-0.7995172072295057</v>
      </c>
      <c r="Y242" s="9"/>
      <c r="Z242" s="7">
        <v>1799.06</v>
      </c>
      <c r="AA242" s="8">
        <f>IFERROR(Z242/Z444, "NA")</f>
        <v>7.3361351079364746E-3</v>
      </c>
      <c r="AB242" s="9"/>
      <c r="AC242" s="10">
        <f t="shared" si="67"/>
        <v>-267.65999999999985</v>
      </c>
      <c r="AD242" s="8">
        <f>IFERROR(AC242/AC444, "NA")</f>
        <v>-1.555865186252163E-2</v>
      </c>
    </row>
    <row r="243" spans="1:30" ht="16.5" customHeight="1" x14ac:dyDescent="0.45">
      <c r="A243" s="12" t="s">
        <v>220</v>
      </c>
      <c r="B243" s="7">
        <v>412.31</v>
      </c>
      <c r="C243" s="8">
        <f>IFERROR(B243/B444, "NA")</f>
        <v>3.4103021712502536E-3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-412.31</v>
      </c>
      <c r="I243" s="8">
        <f>IFERROR(H243/H444, "NA")</f>
        <v>-5.5345332808932328E-2</v>
      </c>
      <c r="J243" s="9"/>
      <c r="K243" s="7">
        <v>1012.06</v>
      </c>
      <c r="L243" s="8">
        <f>IFERROR(K243/K444, "NA")</f>
        <v>9.7145735689419307E-3</v>
      </c>
      <c r="M243" s="9"/>
      <c r="N243" s="10">
        <f t="shared" si="65"/>
        <v>599.75</v>
      </c>
      <c r="O243" s="8">
        <f>IFERROR(N243/N444, "NA")</f>
        <v>3.5866461345253939E-2</v>
      </c>
      <c r="P243" s="9"/>
      <c r="Q243" s="7">
        <v>752.79</v>
      </c>
      <c r="R243" s="8">
        <f>IFERROR(Q243/Q444, "NA")</f>
        <v>2.8684712262755452E-3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-752.79</v>
      </c>
      <c r="X243" s="8">
        <f>IFERROR(W243/W444, "NA")</f>
        <v>-0.29121920648675176</v>
      </c>
      <c r="Y243" s="9"/>
      <c r="Z243" s="7">
        <v>4315</v>
      </c>
      <c r="AA243" s="8">
        <f>IFERROR(Z243/Z444, "NA")</f>
        <v>1.7595534885298927E-2</v>
      </c>
      <c r="AB243" s="9"/>
      <c r="AC243" s="10">
        <f t="shared" si="67"/>
        <v>3562.21</v>
      </c>
      <c r="AD243" s="8">
        <f>IFERROR(AC243/AC444, "NA")</f>
        <v>0.2070656252379631</v>
      </c>
    </row>
    <row r="244" spans="1:30" ht="16.5" customHeight="1" x14ac:dyDescent="0.45">
      <c r="A244" s="12" t="s">
        <v>221</v>
      </c>
      <c r="B244" s="7">
        <v>1950.39</v>
      </c>
      <c r="C244" s="8">
        <f>IFERROR(B244/B444, "NA")</f>
        <v>1.613208326692242E-2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-1950.39</v>
      </c>
      <c r="I244" s="8">
        <f>IFERROR(H244/H444, "NA")</f>
        <v>-0.2618053980189991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-1950.39</v>
      </c>
      <c r="O244" s="8">
        <f>IFERROR(N244/N444, "NA")</f>
        <v>-0.11663791170182547</v>
      </c>
      <c r="P244" s="9"/>
      <c r="Q244" s="7">
        <v>4204.45</v>
      </c>
      <c r="R244" s="8">
        <f>IFERROR(Q244/Q444, "NA")</f>
        <v>1.6020860860683876E-2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-4204.45</v>
      </c>
      <c r="X244" s="8">
        <f>IFERROR(W244/W444, "NA")</f>
        <v>-1.6265048588759461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-4204.45</v>
      </c>
      <c r="AD244" s="8">
        <f>IFERROR(AC244/AC444, "NA")</f>
        <v>-0.24439801921609167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172.58</v>
      </c>
      <c r="C246" s="8">
        <f>IFERROR(B246/B444, "NA")</f>
        <v>1.4274452443898253E-3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-172.58</v>
      </c>
      <c r="I246" s="8">
        <f>IFERROR(H246/H444, "NA")</f>
        <v>-2.3165815857402298E-2</v>
      </c>
      <c r="J246" s="9"/>
      <c r="K246" s="7">
        <v>207.97</v>
      </c>
      <c r="L246" s="8">
        <f>IFERROR(K246/K444, "NA")</f>
        <v>1.9962649103144612E-3</v>
      </c>
      <c r="M246" s="9"/>
      <c r="N246" s="10">
        <f t="shared" si="65"/>
        <v>35.389999999999986</v>
      </c>
      <c r="O246" s="8">
        <f>IFERROR(N246/N444, "NA")</f>
        <v>2.1164052805477886E-3</v>
      </c>
      <c r="P246" s="9"/>
      <c r="Q246" s="7">
        <v>275.08999999999997</v>
      </c>
      <c r="R246" s="8">
        <f>IFERROR(Q246/Q444, "NA")</f>
        <v>1.0482176299315077E-3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-275.08999999999997</v>
      </c>
      <c r="X246" s="8">
        <f>IFERROR(W246/W444, "NA")</f>
        <v>-0.10641944169348762</v>
      </c>
      <c r="Y246" s="9"/>
      <c r="Z246" s="7">
        <v>454.8</v>
      </c>
      <c r="AA246" s="8">
        <f>IFERROR(Z246/Z444, "NA")</f>
        <v>1.8545652991503946E-3</v>
      </c>
      <c r="AB246" s="9"/>
      <c r="AC246" s="10">
        <f t="shared" si="67"/>
        <v>179.71000000000004</v>
      </c>
      <c r="AD246" s="8">
        <f>IFERROR(AC246/AC444, "NA")</f>
        <v>1.0446257663505059E-2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259.16000000000003</v>
      </c>
      <c r="C248" s="8">
        <f>IFERROR(B248/B444, "NA")</f>
        <v>2.1435665171866212E-3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-259.16000000000003</v>
      </c>
      <c r="I248" s="8">
        <f>IFERROR(H248/H444, "NA")</f>
        <v>-3.4787651162384865E-2</v>
      </c>
      <c r="J248" s="9"/>
      <c r="K248" s="7">
        <v>259.16000000000003</v>
      </c>
      <c r="L248" s="8">
        <f>IFERROR(K248/K444, "NA")</f>
        <v>2.4876280913453661E-3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615</v>
      </c>
      <c r="R248" s="8">
        <f>IFERROR(Q248/Q444, "NA")</f>
        <v>2.343428850223117E-3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-615</v>
      </c>
      <c r="X248" s="8">
        <f>IFERROR(W248/W444, "NA")</f>
        <v>-0.23791470661054523</v>
      </c>
      <c r="Y248" s="9"/>
      <c r="Z248" s="7">
        <v>610.83000000000004</v>
      </c>
      <c r="AA248" s="8">
        <f>IFERROR(Z248/Z444, "NA")</f>
        <v>2.4908182094987587E-3</v>
      </c>
      <c r="AB248" s="9"/>
      <c r="AC248" s="10">
        <f t="shared" si="67"/>
        <v>-4.1699999999999591</v>
      </c>
      <c r="AD248" s="8">
        <f>IFERROR(AC248/AC444, "NA")</f>
        <v>-2.4239549528026075E-4</v>
      </c>
    </row>
    <row r="249" spans="1:30" ht="16.5" customHeight="1" x14ac:dyDescent="0.45">
      <c r="A249" s="12" t="s">
        <v>226</v>
      </c>
      <c r="B249" s="7">
        <v>2805.45</v>
      </c>
      <c r="C249" s="8">
        <f>IFERROR(B249/B444, "NA")</f>
        <v>2.3204463210530969E-2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-2805.45</v>
      </c>
      <c r="I249" s="8">
        <f>IFERROR(H249/H444, "NA")</f>
        <v>-0.37658209582309232</v>
      </c>
      <c r="J249" s="9"/>
      <c r="K249" s="7">
        <v>2116.09</v>
      </c>
      <c r="L249" s="8">
        <f>IFERROR(K249/K444, "NA")</f>
        <v>2.0311949868093128E-2</v>
      </c>
      <c r="M249" s="9"/>
      <c r="N249" s="10">
        <f t="shared" si="65"/>
        <v>-689.35999999999967</v>
      </c>
      <c r="O249" s="8">
        <f>IFERROR(N249/N444, "NA")</f>
        <v>-4.1225350217531043E-2</v>
      </c>
      <c r="P249" s="9"/>
      <c r="Q249" s="7">
        <v>5810.67</v>
      </c>
      <c r="R249" s="8">
        <f>IFERROR(Q249/Q444, "NA")</f>
        <v>2.2141287344920262E-2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-5810.67</v>
      </c>
      <c r="X249" s="8">
        <f>IFERROR(W249/W444, "NA")</f>
        <v>-2.2478761760336536</v>
      </c>
      <c r="Y249" s="9"/>
      <c r="Z249" s="7">
        <v>4869.8500000000004</v>
      </c>
      <c r="AA249" s="8">
        <f>IFERROR(Z249/Z444, "NA")</f>
        <v>1.9858080083701737E-2</v>
      </c>
      <c r="AB249" s="9"/>
      <c r="AC249" s="10">
        <f t="shared" si="67"/>
        <v>-940.81999999999971</v>
      </c>
      <c r="AD249" s="8">
        <f>IFERROR(AC249/AC444, "NA")</f>
        <v>-5.4688376467524481E-2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33.47</v>
      </c>
      <c r="C251" s="8">
        <f>IFERROR(B251/B444, "NA")</f>
        <v>2.7683736429324048E-4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-33.47</v>
      </c>
      <c r="I251" s="8">
        <f>IFERROR(H251/H444, "NA")</f>
        <v>-4.4927561522033537E-3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-33.47</v>
      </c>
      <c r="O251" s="8">
        <f>IFERROR(N251/N444, "NA")</f>
        <v>-2.001584762360399E-3</v>
      </c>
      <c r="P251" s="9"/>
      <c r="Q251" s="7">
        <v>271.29000000000002</v>
      </c>
      <c r="R251" s="8">
        <f>IFERROR(Q251/Q444, "NA")</f>
        <v>1.0337379069545196E-3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-271.29000000000002</v>
      </c>
      <c r="X251" s="8">
        <f>IFERROR(W251/W444, "NA")</f>
        <v>-0.1049493996038615</v>
      </c>
      <c r="Y251" s="9"/>
      <c r="Z251" s="7">
        <v>29.09</v>
      </c>
      <c r="AA251" s="8">
        <f>IFERROR(Z251/Z444, "NA")</f>
        <v>1.186220416716908E-4</v>
      </c>
      <c r="AB251" s="9"/>
      <c r="AC251" s="10">
        <f t="shared" si="67"/>
        <v>-242.20000000000002</v>
      </c>
      <c r="AD251" s="8">
        <f>IFERROR(AC251/AC444, "NA")</f>
        <v>-1.4078702387740944E-2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441.85</v>
      </c>
      <c r="L253" s="8">
        <f>IFERROR(K253/K444, "NA")</f>
        <v>4.2412350368920739E-3</v>
      </c>
      <c r="M253" s="9"/>
      <c r="N253" s="10">
        <f t="shared" si="65"/>
        <v>441.85</v>
      </c>
      <c r="O253" s="8">
        <f>IFERROR(N253/N444, "NA")</f>
        <v>2.6423669771405506E-2</v>
      </c>
      <c r="P253" s="9"/>
      <c r="Q253" s="7">
        <v>933.95</v>
      </c>
      <c r="R253" s="8">
        <f>IFERROR(Q253/Q444, "NA")</f>
        <v>3.5587729669363907E-3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-933.95</v>
      </c>
      <c r="X253" s="8">
        <f>IFERROR(W253/W444, "NA")</f>
        <v>-0.36130152884377031</v>
      </c>
      <c r="Y253" s="9"/>
      <c r="Z253" s="7">
        <v>441.85</v>
      </c>
      <c r="AA253" s="8">
        <f>IFERROR(Z253/Z444, "NA")</f>
        <v>1.8017583056939355E-3</v>
      </c>
      <c r="AB253" s="9"/>
      <c r="AC253" s="10">
        <f t="shared" si="67"/>
        <v>-492.1</v>
      </c>
      <c r="AD253" s="8">
        <f>IFERROR(AC253/AC444, "NA")</f>
        <v>-2.8604993579716426E-2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148.75</v>
      </c>
      <c r="L254" s="8">
        <f>IFERROR(K254/K444, "NA")</f>
        <v>1.4278232697469639E-3</v>
      </c>
      <c r="M254" s="9"/>
      <c r="N254" s="10">
        <f t="shared" si="65"/>
        <v>148.75</v>
      </c>
      <c r="O254" s="8">
        <f>IFERROR(N254/N444, "NA")</f>
        <v>8.8956000418616479E-3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228.8</v>
      </c>
      <c r="AA254" s="8">
        <f>IFERROR(Z254/Z444, "NA")</f>
        <v>9.3299151373265232E-4</v>
      </c>
      <c r="AB254" s="9"/>
      <c r="AC254" s="10">
        <f t="shared" si="67"/>
        <v>228.8</v>
      </c>
      <c r="AD254" s="8">
        <f>IFERROR(AC254/AC444, "NA")</f>
        <v>1.3299781611540577E-2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225.63</v>
      </c>
      <c r="C258" s="8">
        <f>IFERROR(B258/B444, "NA")</f>
        <v>1.8662328803550599E-3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-225.63</v>
      </c>
      <c r="I258" s="8">
        <f>IFERROR(H258/H444, "NA")</f>
        <v>-3.0286841070261212E-2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-225.63</v>
      </c>
      <c r="O258" s="8">
        <f>IFERROR(N258/N444, "NA")</f>
        <v>-1.3493204957615083E-2</v>
      </c>
      <c r="P258" s="9"/>
      <c r="Q258" s="7">
        <v>225.63</v>
      </c>
      <c r="R258" s="8">
        <f>IFERROR(Q258/Q444, "NA")</f>
        <v>8.5975260402575918E-4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-225.63</v>
      </c>
      <c r="X258" s="8">
        <f>IFERROR(W258/W444, "NA")</f>
        <v>-8.7285683337459063E-2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-225.63</v>
      </c>
      <c r="AD258" s="8">
        <f>IFERROR(AC258/AC444, "NA")</f>
        <v>-1.311551453239467E-2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1063.8</v>
      </c>
      <c r="C260" s="8">
        <f>IFERROR(B260/B444, "NA")</f>
        <v>8.7989121044263294E-3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-1063.8</v>
      </c>
      <c r="I260" s="8">
        <f>IFERROR(H260/H444, "NA")</f>
        <v>-0.14279635478679198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-1063.8</v>
      </c>
      <c r="O260" s="8">
        <f>IFERROR(N260/N444, "NA")</f>
        <v>-6.361774335820114E-2</v>
      </c>
      <c r="P260" s="9"/>
      <c r="Q260" s="7">
        <v>2820.1</v>
      </c>
      <c r="R260" s="8">
        <f>IFERROR(Q260/Q444, "NA")</f>
        <v>1.0745859675632866E-2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-2820.1</v>
      </c>
      <c r="X260" s="8">
        <f>IFERROR(W260/W444, "NA")</f>
        <v>-1.0909646570933311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-2820.1</v>
      </c>
      <c r="AD260" s="8">
        <f>IFERROR(AC260/AC444, "NA")</f>
        <v>-0.16392794634049643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7817.02</v>
      </c>
      <c r="C262" s="15">
        <f>IFERROR(B262/B444, "NA")</f>
        <v>6.4656205958396981E-2</v>
      </c>
      <c r="D262" s="2"/>
      <c r="E262" s="14">
        <f>IFERROR(E240+E241+E242+E243+E244+E245+E246+E247+E248+E249+E250+E251+E252+E253+E254+E255+E256+E257+E258+E259+E260+E261, "NA")</f>
        <v>6126.38</v>
      </c>
      <c r="F262" s="15">
        <f>IFERROR(E262/E444, "NA")</f>
        <v>5.3999972146698057E-2</v>
      </c>
      <c r="G262" s="2"/>
      <c r="H262" s="14">
        <f t="shared" si="64"/>
        <v>-1690.6400000000003</v>
      </c>
      <c r="I262" s="15">
        <f>IFERROR(H262/H444, "NA")</f>
        <v>-0.22693854978073141</v>
      </c>
      <c r="J262" s="2"/>
      <c r="K262" s="14">
        <f>IFERROR(K240+K241+K242+K243+K244+K245+K246+K247+K248+K249+K250+K251+K252+K253+K254+K255+K256+K257+K258+K259+K260+K261, "NA")</f>
        <v>4973.8100000000004</v>
      </c>
      <c r="L262" s="15">
        <f>IFERROR(K262/K444, "NA")</f>
        <v>4.7742666603698462E-2</v>
      </c>
      <c r="M262" s="2"/>
      <c r="N262" s="14">
        <f t="shared" si="65"/>
        <v>-2843.21</v>
      </c>
      <c r="O262" s="15">
        <f>IFERROR(N262/N444, "NA")</f>
        <v>-0.17003064870602658</v>
      </c>
      <c r="P262" s="2"/>
      <c r="Q262" s="14">
        <f>IFERROR(Q240+Q241+Q242+Q243+Q244+Q245+Q246+Q247+Q248+Q249+Q250+Q251+Q252+Q253+Q254+Q255+Q256+Q257+Q258+Q259+Q260+Q261, "NA")</f>
        <v>18165.48</v>
      </c>
      <c r="R262" s="15">
        <f>IFERROR(Q262/Q444, "NA")</f>
        <v>6.9218715301058581E-2</v>
      </c>
      <c r="S262" s="2"/>
      <c r="T262" s="14">
        <f>IFERROR(T240+T241+T242+T243+T244+T245+T246+T247+T248+T249+T250+T251+T252+T253+T254+T255+T256+T257+T258+T259+T260+T261, "NA")</f>
        <v>14031.95</v>
      </c>
      <c r="U262" s="15">
        <f>IFERROR(T262/T444, "NA")</f>
        <v>5.3999984606562995E-2</v>
      </c>
      <c r="V262" s="2"/>
      <c r="W262" s="14">
        <f t="shared" si="66"/>
        <v>-4133.5299999999988</v>
      </c>
      <c r="X262" s="15">
        <f>IFERROR(W262/W444, "NA")</f>
        <v>-1.5990692312453443</v>
      </c>
      <c r="Y262" s="2"/>
      <c r="Z262" s="14">
        <f>IFERROR(Z240+Z241+Z242+Z243+Z244+Z245+Z246+Z247+Z248+Z249+Z250+Z251+Z252+Z253+Z254+Z255+Z256+Z257+Z258+Z259+Z260+Z261, "NA")</f>
        <v>13310.76</v>
      </c>
      <c r="AA262" s="15">
        <f>IFERROR(Z262/Z444, "NA")</f>
        <v>5.4278086194633035E-2</v>
      </c>
      <c r="AB262" s="2"/>
      <c r="AC262" s="14">
        <f t="shared" si="67"/>
        <v>-4854.7199999999993</v>
      </c>
      <c r="AD262" s="15">
        <f>IFERROR(AC262/AC444, "NA")</f>
        <v>-0.28219718437577912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7817.02</v>
      </c>
      <c r="C263" s="15">
        <f>IFERROR(B263/B444, "NA")</f>
        <v>6.4656205958396981E-2</v>
      </c>
      <c r="D263" s="2"/>
      <c r="E263" s="14">
        <f>IFERROR(E238+E240+E241+E242+E243+E244+E245+E246+E247+E248+E249+E250+E251+E252+E253+E254+E255+E256+E257+E258+E259+E260+E261, "NA")</f>
        <v>6126.38</v>
      </c>
      <c r="F263" s="15">
        <f>IFERROR(E263/E444, "NA")</f>
        <v>5.3999972146698057E-2</v>
      </c>
      <c r="G263" s="2"/>
      <c r="H263" s="14">
        <f t="shared" si="64"/>
        <v>-1690.6400000000003</v>
      </c>
      <c r="I263" s="15">
        <f>IFERROR(H263/H444, "NA")</f>
        <v>-0.22693854978073141</v>
      </c>
      <c r="J263" s="2"/>
      <c r="K263" s="14">
        <f>IFERROR(K238+K240+K241+K242+K243+K244+K245+K246+K247+K248+K249+K250+K251+K252+K253+K254+K255+K256+K257+K258+K259+K260+K261, "NA")</f>
        <v>4973.8100000000004</v>
      </c>
      <c r="L263" s="15">
        <f>IFERROR(K263/K444, "NA")</f>
        <v>4.7742666603698462E-2</v>
      </c>
      <c r="M263" s="2"/>
      <c r="N263" s="14">
        <f t="shared" si="65"/>
        <v>-2843.21</v>
      </c>
      <c r="O263" s="15">
        <f>IFERROR(N263/N444, "NA")</f>
        <v>-0.17003064870602658</v>
      </c>
      <c r="P263" s="2"/>
      <c r="Q263" s="14">
        <f>IFERROR(Q238+Q240+Q241+Q242+Q243+Q244+Q245+Q246+Q247+Q248+Q249+Q250+Q251+Q252+Q253+Q254+Q255+Q256+Q257+Q258+Q259+Q260+Q261, "NA")</f>
        <v>18165.48</v>
      </c>
      <c r="R263" s="15">
        <f>IFERROR(Q263/Q444, "NA")</f>
        <v>6.9218715301058581E-2</v>
      </c>
      <c r="S263" s="2"/>
      <c r="T263" s="14">
        <f>IFERROR(T238+T240+T241+T242+T243+T244+T245+T246+T247+T248+T249+T250+T251+T252+T253+T254+T255+T256+T257+T258+T259+T260+T261, "NA")</f>
        <v>14031.95</v>
      </c>
      <c r="U263" s="15">
        <f>IFERROR(T263/T444, "NA")</f>
        <v>5.3999984606562995E-2</v>
      </c>
      <c r="V263" s="2"/>
      <c r="W263" s="14">
        <f t="shared" si="66"/>
        <v>-4133.5299999999988</v>
      </c>
      <c r="X263" s="15">
        <f>IFERROR(W263/W444, "NA")</f>
        <v>-1.5990692312453443</v>
      </c>
      <c r="Y263" s="2"/>
      <c r="Z263" s="14">
        <f>IFERROR(Z238+Z240+Z241+Z242+Z243+Z244+Z245+Z246+Z247+Z248+Z249+Z250+Z251+Z252+Z253+Z254+Z255+Z256+Z257+Z258+Z259+Z260+Z261, "NA")</f>
        <v>13310.76</v>
      </c>
      <c r="AA263" s="15">
        <f>IFERROR(Z263/Z444, "NA")</f>
        <v>5.4278086194633035E-2</v>
      </c>
      <c r="AB263" s="2"/>
      <c r="AC263" s="14">
        <f t="shared" si="67"/>
        <v>-4854.7199999999993</v>
      </c>
      <c r="AD263" s="15">
        <f>IFERROR(AC263/AC444, "NA")</f>
        <v>-0.28219718437577912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3307.04</v>
      </c>
      <c r="C265" s="8">
        <f>IFERROR(B265/B444, "NA")</f>
        <v>2.7353218918802453E-2</v>
      </c>
      <c r="D265" s="9"/>
      <c r="E265" s="7">
        <v>3063.19</v>
      </c>
      <c r="F265" s="8">
        <f>IFERROR(E265/E444, "NA")</f>
        <v>2.6999986073349028E-2</v>
      </c>
      <c r="G265" s="9"/>
      <c r="H265" s="10">
        <f>IFERROR(-(B265-E265), "NA")</f>
        <v>-243.84999999999991</v>
      </c>
      <c r="I265" s="8">
        <f>IFERROR(H265/H444, "NA")</f>
        <v>-3.2732554159390123E-2</v>
      </c>
      <c r="J265" s="9"/>
      <c r="K265" s="7">
        <v>3270.24</v>
      </c>
      <c r="L265" s="8">
        <f>IFERROR(K265/K444, "NA")</f>
        <v>3.1390418619544946E-2</v>
      </c>
      <c r="M265" s="9"/>
      <c r="N265" s="10">
        <f>IFERROR(-(B265-K265), "NA")</f>
        <v>-36.800000000000182</v>
      </c>
      <c r="O265" s="8">
        <f>IFERROR(N265/N444, "NA")</f>
        <v>-2.2007265985916655E-3</v>
      </c>
      <c r="P265" s="9"/>
      <c r="Q265" s="7">
        <v>6660.53</v>
      </c>
      <c r="R265" s="8">
        <f>IFERROR(Q265/Q444, "NA")</f>
        <v>2.5379639284189556E-2</v>
      </c>
      <c r="S265" s="9"/>
      <c r="T265" s="7">
        <v>7015.97</v>
      </c>
      <c r="U265" s="8">
        <f>IFERROR(T265/T444, "NA")</f>
        <v>2.6999973061485237E-2</v>
      </c>
      <c r="V265" s="9"/>
      <c r="W265" s="10">
        <f>IFERROR(-(Q265-T265), "NA")</f>
        <v>355.44000000000051</v>
      </c>
      <c r="X265" s="8">
        <f>IFERROR(W265/W444, "NA")</f>
        <v>0.13750309482545092</v>
      </c>
      <c r="Y265" s="9"/>
      <c r="Z265" s="7">
        <v>6688.22</v>
      </c>
      <c r="AA265" s="8">
        <f>IFERROR(Z265/Z444, "NA")</f>
        <v>2.7272956739409965E-2</v>
      </c>
      <c r="AB265" s="9"/>
      <c r="AC265" s="10">
        <f>IFERROR(-(Q265-Z265), "NA")</f>
        <v>27.690000000000509</v>
      </c>
      <c r="AD265" s="8">
        <f>IFERROR(AC265/AC444, "NA")</f>
        <v>1.6095758427603381E-3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44.62</v>
      </c>
      <c r="AA266" s="8">
        <f>IFERROR(Z266/Z444, "NA")</f>
        <v>1.8194965621831706E-4</v>
      </c>
      <c r="AB266" s="9"/>
      <c r="AC266" s="10">
        <f>IFERROR(-(Q266-Z266), "NA")</f>
        <v>44.62</v>
      </c>
      <c r="AD266" s="8">
        <f>IFERROR(AC266/AC444, "NA")</f>
        <v>2.5936899279149499E-3</v>
      </c>
    </row>
    <row r="267" spans="1:30" ht="16.5" customHeight="1" x14ac:dyDescent="0.45">
      <c r="A267" s="19" t="s">
        <v>243</v>
      </c>
      <c r="B267" s="14">
        <f>IFERROR(B265+B266, "NA")</f>
        <v>3307.04</v>
      </c>
      <c r="C267" s="15">
        <f>IFERROR(B267/B444, "NA")</f>
        <v>2.7353218918802453E-2</v>
      </c>
      <c r="D267" s="2"/>
      <c r="E267" s="14">
        <f>IFERROR(E265+E266, "NA")</f>
        <v>3063.19</v>
      </c>
      <c r="F267" s="15">
        <f>IFERROR(E267/E444, "NA")</f>
        <v>2.6999986073349028E-2</v>
      </c>
      <c r="G267" s="2"/>
      <c r="H267" s="14">
        <f>IFERROR(-(B267-E267), "NA")</f>
        <v>-243.84999999999991</v>
      </c>
      <c r="I267" s="15">
        <f>IFERROR(H267/H444, "NA")</f>
        <v>-3.2732554159390123E-2</v>
      </c>
      <c r="J267" s="2"/>
      <c r="K267" s="14">
        <f>IFERROR(K265+K266, "NA")</f>
        <v>3270.24</v>
      </c>
      <c r="L267" s="15">
        <f>IFERROR(K267/K444, "NA")</f>
        <v>3.1390418619544946E-2</v>
      </c>
      <c r="M267" s="2"/>
      <c r="N267" s="14">
        <f>IFERROR(-(B267-K267), "NA")</f>
        <v>-36.800000000000182</v>
      </c>
      <c r="O267" s="15">
        <f>IFERROR(N267/N444, "NA")</f>
        <v>-2.2007265985916655E-3</v>
      </c>
      <c r="P267" s="2"/>
      <c r="Q267" s="14">
        <f>IFERROR(Q265+Q266, "NA")</f>
        <v>6660.53</v>
      </c>
      <c r="R267" s="15">
        <f>IFERROR(Q267/Q444, "NA")</f>
        <v>2.5379639284189556E-2</v>
      </c>
      <c r="S267" s="2"/>
      <c r="T267" s="14">
        <f>IFERROR(T265+T266, "NA")</f>
        <v>7015.97</v>
      </c>
      <c r="U267" s="15">
        <f>IFERROR(T267/T444, "NA")</f>
        <v>2.6999973061485237E-2</v>
      </c>
      <c r="V267" s="2"/>
      <c r="W267" s="14">
        <f>IFERROR(-(Q267-T267), "NA")</f>
        <v>355.44000000000051</v>
      </c>
      <c r="X267" s="15">
        <f>IFERROR(W267/W444, "NA")</f>
        <v>0.13750309482545092</v>
      </c>
      <c r="Y267" s="2"/>
      <c r="Z267" s="14">
        <f>IFERROR(Z265+Z266, "NA")</f>
        <v>6732.84</v>
      </c>
      <c r="AA267" s="15">
        <f>IFERROR(Z267/Z444, "NA")</f>
        <v>2.7454906395628281E-2</v>
      </c>
      <c r="AB267" s="2"/>
      <c r="AC267" s="14">
        <f>IFERROR(-(Q267-Z267), "NA")</f>
        <v>72.3100000000004</v>
      </c>
      <c r="AD267" s="15">
        <f>IFERROR(AC267/AC444, "NA")</f>
        <v>4.2032657706752817E-3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267</v>
      </c>
      <c r="C270" s="8">
        <f>IFERROR(B270/B444, "NA")</f>
        <v>2.2084127955271948E-3</v>
      </c>
      <c r="D270" s="9"/>
      <c r="E270" s="7">
        <v>236.72</v>
      </c>
      <c r="F270" s="8">
        <f>IFERROR(E270/E444, "NA")</f>
        <v>2.0865296319468206E-3</v>
      </c>
      <c r="G270" s="9"/>
      <c r="H270" s="10">
        <f>IFERROR(-(B270-E270), "NA")</f>
        <v>-30.28</v>
      </c>
      <c r="I270" s="8">
        <f>IFERROR(H270/H444, "NA")</f>
        <v>-4.0645550131077849E-3</v>
      </c>
      <c r="J270" s="9"/>
      <c r="K270" s="7">
        <v>218.47</v>
      </c>
      <c r="L270" s="8">
        <f>IFERROR(K270/K444, "NA")</f>
        <v>2.0970524352377762E-3</v>
      </c>
      <c r="M270" s="9"/>
      <c r="N270" s="10">
        <f>IFERROR(-(B270-K270), "NA")</f>
        <v>-48.53</v>
      </c>
      <c r="O270" s="8">
        <f>IFERROR(N270/N444, "NA")</f>
        <v>-2.9022082018927446E-3</v>
      </c>
      <c r="P270" s="9"/>
      <c r="Q270" s="7">
        <v>801</v>
      </c>
      <c r="R270" s="8">
        <f>IFERROR(Q270/Q444, "NA")</f>
        <v>3.0521731854125478E-3</v>
      </c>
      <c r="S270" s="9"/>
      <c r="T270" s="7">
        <v>710.16</v>
      </c>
      <c r="U270" s="8">
        <f>IFERROR(T270/T444, "NA")</f>
        <v>2.7329508064236814E-3</v>
      </c>
      <c r="V270" s="9"/>
      <c r="W270" s="10">
        <f>IFERROR(-(Q270-T270), "NA")</f>
        <v>-90.840000000000032</v>
      </c>
      <c r="X270" s="8">
        <f>IFERROR(W270/W444, "NA")</f>
        <v>-3.5141743005694205E-2</v>
      </c>
      <c r="Y270" s="9"/>
      <c r="Z270" s="7">
        <v>655.41</v>
      </c>
      <c r="AA270" s="8">
        <f>IFERROR(Z270/Z444, "NA")</f>
        <v>2.6726047553125771E-3</v>
      </c>
      <c r="AB270" s="9"/>
      <c r="AC270" s="10">
        <f>IFERROR(-(Q270-Z270), "NA")</f>
        <v>-145.59000000000003</v>
      </c>
      <c r="AD270" s="8">
        <f>IFERROR(AC270/AC444, "NA")</f>
        <v>-8.462916105000844E-3</v>
      </c>
    </row>
    <row r="271" spans="1:30" ht="16.5" customHeight="1" x14ac:dyDescent="0.45">
      <c r="A271" s="6" t="s">
        <v>246</v>
      </c>
      <c r="B271" s="7">
        <v>1142.46</v>
      </c>
      <c r="C271" s="8">
        <f>IFERROR(B271/B444, "NA")</f>
        <v>9.4495254021647913E-3</v>
      </c>
      <c r="D271" s="9"/>
      <c r="E271" s="7">
        <v>1078.33</v>
      </c>
      <c r="F271" s="8">
        <f>IFERROR(E271/E444, "NA")</f>
        <v>9.5047630027763393E-3</v>
      </c>
      <c r="G271" s="9"/>
      <c r="H271" s="10">
        <f>IFERROR(-(B271-E271), "NA")</f>
        <v>-64.130000000000109</v>
      </c>
      <c r="I271" s="8">
        <f>IFERROR(H271/H444, "NA")</f>
        <v>-8.608319451473008E-3</v>
      </c>
      <c r="J271" s="9"/>
      <c r="K271" s="7">
        <v>1196.07</v>
      </c>
      <c r="L271" s="8">
        <f>IFERROR(K271/K444, "NA")</f>
        <v>1.1480850946193284E-2</v>
      </c>
      <c r="M271" s="9"/>
      <c r="N271" s="10">
        <f>IFERROR(-(B271-K271), "NA")</f>
        <v>53.6099999999999</v>
      </c>
      <c r="O271" s="8">
        <f>IFERROR(N271/N444, "NA")</f>
        <v>3.206004156263543E-3</v>
      </c>
      <c r="P271" s="9"/>
      <c r="Q271" s="7">
        <v>3427.38</v>
      </c>
      <c r="R271" s="8">
        <f>IFERROR(Q271/Q444, "NA")</f>
        <v>1.3059871825492207E-2</v>
      </c>
      <c r="S271" s="9"/>
      <c r="T271" s="7">
        <v>3234.99</v>
      </c>
      <c r="U271" s="8">
        <f>IFERROR(T271/T444, "NA")</f>
        <v>1.2449403696733898E-2</v>
      </c>
      <c r="V271" s="9"/>
      <c r="W271" s="10">
        <f>IFERROR(-(Q271-T271), "NA")</f>
        <v>-192.39000000000033</v>
      </c>
      <c r="X271" s="8">
        <f>IFERROR(W271/W444, "NA")</f>
        <v>-7.4426683585045325E-2</v>
      </c>
      <c r="Y271" s="9"/>
      <c r="Z271" s="7">
        <v>3632.47</v>
      </c>
      <c r="AA271" s="8">
        <f>IFERROR(Z271/Z444, "NA")</f>
        <v>1.481234127573622E-2</v>
      </c>
      <c r="AB271" s="9"/>
      <c r="AC271" s="10">
        <f>IFERROR(-(Q271-Z271), "NA")</f>
        <v>205.08999999999969</v>
      </c>
      <c r="AD271" s="8">
        <f>IFERROR(AC271/AC444, "NA")</f>
        <v>1.1921556864994987E-2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1409.46</v>
      </c>
      <c r="C273" s="15">
        <f>IFERROR(B273/B444, "NA")</f>
        <v>1.1657938197691986E-2</v>
      </c>
      <c r="D273" s="2"/>
      <c r="E273" s="14">
        <f>IFERROR(E269+E270+E271+E272, "NA")</f>
        <v>1315.05</v>
      </c>
      <c r="F273" s="15">
        <f>IFERROR(E273/E444, "NA")</f>
        <v>1.1591292634723161E-2</v>
      </c>
      <c r="G273" s="2"/>
      <c r="H273" s="14">
        <f>IFERROR(-(B273-E273), "NA")</f>
        <v>-94.410000000000082</v>
      </c>
      <c r="I273" s="15">
        <f>IFERROR(H273/H444, "NA")</f>
        <v>-1.2672874464580789E-2</v>
      </c>
      <c r="J273" s="2"/>
      <c r="K273" s="14">
        <f>IFERROR(K269+K270+K271+K272, "NA")</f>
        <v>1414.54</v>
      </c>
      <c r="L273" s="15">
        <f>IFERROR(K273/K444, "NA")</f>
        <v>1.3577903381431059E-2</v>
      </c>
      <c r="M273" s="2"/>
      <c r="N273" s="14">
        <f>IFERROR(-(B273-K273), "NA")</f>
        <v>5.0799999999999272</v>
      </c>
      <c r="O273" s="15">
        <f>IFERROR(N273/N444, "NA")</f>
        <v>3.0379595437080015E-4</v>
      </c>
      <c r="P273" s="2"/>
      <c r="Q273" s="14">
        <f>IFERROR(Q269+Q270+Q271+Q272, "NA")</f>
        <v>4228.38</v>
      </c>
      <c r="R273" s="15">
        <f>IFERROR(Q273/Q444, "NA")</f>
        <v>1.6112045010904755E-2</v>
      </c>
      <c r="S273" s="2"/>
      <c r="T273" s="14">
        <f>IFERROR(T269+T270+T271+T272, "NA")</f>
        <v>3945.1499999999996</v>
      </c>
      <c r="U273" s="15">
        <f>IFERROR(T273/T444, "NA")</f>
        <v>1.5182354503157577E-2</v>
      </c>
      <c r="V273" s="2"/>
      <c r="W273" s="14">
        <f>IFERROR(-(Q273-T273), "NA")</f>
        <v>-283.23000000000047</v>
      </c>
      <c r="X273" s="15">
        <f>IFERROR(W273/W444, "NA")</f>
        <v>-0.10956842659073958</v>
      </c>
      <c r="Y273" s="2"/>
      <c r="Z273" s="14">
        <f>IFERROR(Z269+Z270+Z271+Z272, "NA")</f>
        <v>4287.88</v>
      </c>
      <c r="AA273" s="15">
        <f>IFERROR(Z273/Z444, "NA")</f>
        <v>1.74849460310488E-2</v>
      </c>
      <c r="AB273" s="2"/>
      <c r="AC273" s="14">
        <f>IFERROR(-(Q273-Z273), "NA")</f>
        <v>59.5</v>
      </c>
      <c r="AD273" s="15">
        <f>IFERROR(AC273/AC444, "NA")</f>
        <v>3.4586407599941625E-3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1067.5899999999999</v>
      </c>
      <c r="C287" s="8">
        <f>IFERROR(B287/B444, "NA")</f>
        <v>8.8302599864302535E-3</v>
      </c>
      <c r="D287" s="9"/>
      <c r="E287" s="7">
        <v>971</v>
      </c>
      <c r="F287" s="8">
        <f>IFERROR(E287/E444, "NA")</f>
        <v>8.5587203135365116E-3</v>
      </c>
      <c r="G287" s="9"/>
      <c r="H287" s="10">
        <f t="shared" si="72"/>
        <v>-96.589999999999918</v>
      </c>
      <c r="I287" s="8">
        <f>IFERROR(H287/H444, "NA")</f>
        <v>-1.2965500948351407E-2</v>
      </c>
      <c r="J287" s="9"/>
      <c r="K287" s="7">
        <v>970.53</v>
      </c>
      <c r="L287" s="8">
        <f>IFERROR(K287/K444, "NA")</f>
        <v>9.3159349108404756E-3</v>
      </c>
      <c r="M287" s="9"/>
      <c r="N287" s="10">
        <f t="shared" si="73"/>
        <v>-97.059999999999945</v>
      </c>
      <c r="O287" s="8">
        <f>IFERROR(N287/N444, "NA")</f>
        <v>-5.8044164037854857E-3</v>
      </c>
      <c r="P287" s="9"/>
      <c r="Q287" s="7">
        <v>3202.77</v>
      </c>
      <c r="R287" s="8">
        <f>IFERROR(Q287/Q444, "NA")</f>
        <v>1.2204005883949744E-2</v>
      </c>
      <c r="S287" s="9"/>
      <c r="T287" s="7">
        <v>2913</v>
      </c>
      <c r="U287" s="8">
        <f>IFERROR(T287/T444, "NA")</f>
        <v>1.1210270501171826E-2</v>
      </c>
      <c r="V287" s="9"/>
      <c r="W287" s="10">
        <f t="shared" si="74"/>
        <v>-289.77</v>
      </c>
      <c r="X287" s="8">
        <f>IFERROR(W287/W444, "NA")</f>
        <v>-0.11209844639762226</v>
      </c>
      <c r="Y287" s="9"/>
      <c r="Z287" s="7">
        <v>2911.59</v>
      </c>
      <c r="AA287" s="8">
        <f>IFERROR(Z287/Z444, "NA")</f>
        <v>1.1872765565860373E-2</v>
      </c>
      <c r="AB287" s="9"/>
      <c r="AC287" s="10">
        <f t="shared" si="75"/>
        <v>-291.17999999999984</v>
      </c>
      <c r="AD287" s="8">
        <f>IFERROR(AC287/AC444, "NA")</f>
        <v>-1.6925832210001674E-2</v>
      </c>
    </row>
    <row r="288" spans="1:30" ht="16.5" customHeight="1" x14ac:dyDescent="0.45">
      <c r="A288" s="6" t="s">
        <v>261</v>
      </c>
      <c r="B288" s="7">
        <v>260.13</v>
      </c>
      <c r="C288" s="8">
        <f>IFERROR(B288/B444, "NA")</f>
        <v>2.1515895898894725E-3</v>
      </c>
      <c r="D288" s="9"/>
      <c r="E288" s="7">
        <v>263</v>
      </c>
      <c r="F288" s="8">
        <f>IFERROR(E288/E444, "NA")</f>
        <v>2.3181703835840396E-3</v>
      </c>
      <c r="G288" s="9"/>
      <c r="H288" s="10">
        <f t="shared" si="72"/>
        <v>2.8700000000000045</v>
      </c>
      <c r="I288" s="8">
        <f>IFERROR(H288/H444, "NA")</f>
        <v>3.8524679285400798E-4</v>
      </c>
      <c r="J288" s="9"/>
      <c r="K288" s="7">
        <v>371.95</v>
      </c>
      <c r="L288" s="8">
        <f>IFERROR(K288/K444, "NA")</f>
        <v>3.5702780852597191E-3</v>
      </c>
      <c r="M288" s="9"/>
      <c r="N288" s="10">
        <f t="shared" si="73"/>
        <v>111.82</v>
      </c>
      <c r="O288" s="8">
        <f>IFERROR(N288/N444, "NA")</f>
        <v>6.6870991373510543E-3</v>
      </c>
      <c r="P288" s="9"/>
      <c r="Q288" s="7">
        <v>780.39</v>
      </c>
      <c r="R288" s="8">
        <f>IFERROR(Q288/Q444, "NA")</f>
        <v>2.9736397405294608E-3</v>
      </c>
      <c r="S288" s="9"/>
      <c r="T288" s="7">
        <v>789</v>
      </c>
      <c r="U288" s="8">
        <f>IFERROR(T288/T444, "NA")</f>
        <v>3.0363554498539546E-3</v>
      </c>
      <c r="V288" s="9"/>
      <c r="W288" s="10">
        <f t="shared" si="74"/>
        <v>8.6100000000000136</v>
      </c>
      <c r="X288" s="8">
        <f>IFERROR(W288/W444, "NA")</f>
        <v>3.3308058925476387E-3</v>
      </c>
      <c r="Y288" s="9"/>
      <c r="Z288" s="7">
        <v>1115.8499999999999</v>
      </c>
      <c r="AA288" s="8">
        <f>IFERROR(Z288/Z444, "NA")</f>
        <v>4.5501686214972905E-3</v>
      </c>
      <c r="AB288" s="9"/>
      <c r="AC288" s="10">
        <f t="shared" si="75"/>
        <v>335.45999999999992</v>
      </c>
      <c r="AD288" s="8">
        <f>IFERROR(AC288/AC444, "NA")</f>
        <v>1.9499758476430949E-2</v>
      </c>
    </row>
    <row r="289" spans="1:30" ht="16.5" customHeight="1" x14ac:dyDescent="0.45">
      <c r="A289" s="6" t="s">
        <v>262</v>
      </c>
      <c r="B289" s="7">
        <v>237.03</v>
      </c>
      <c r="C289" s="8">
        <f>IFERROR(B289/B444, "NA")</f>
        <v>1.9605246626359964E-3</v>
      </c>
      <c r="D289" s="9"/>
      <c r="E289" s="7">
        <v>224</v>
      </c>
      <c r="F289" s="8">
        <f>IFERROR(E289/E444, "NA")</f>
        <v>1.9744112772730983E-3</v>
      </c>
      <c r="G289" s="9"/>
      <c r="H289" s="10">
        <f t="shared" si="72"/>
        <v>-13.030000000000001</v>
      </c>
      <c r="I289" s="8">
        <f>IFERROR(H289/H444, "NA")</f>
        <v>-1.7490472860235945E-3</v>
      </c>
      <c r="J289" s="9"/>
      <c r="K289" s="7">
        <v>381.86</v>
      </c>
      <c r="L289" s="8">
        <f>IFERROR(K289/K444, "NA")</f>
        <v>3.6654023111635336E-3</v>
      </c>
      <c r="M289" s="9"/>
      <c r="N289" s="10">
        <f t="shared" si="73"/>
        <v>144.83000000000001</v>
      </c>
      <c r="O289" s="8">
        <f>IFERROR(N289/N444, "NA")</f>
        <v>8.6611748172290594E-3</v>
      </c>
      <c r="P289" s="9"/>
      <c r="Q289" s="7">
        <v>711.09</v>
      </c>
      <c r="R289" s="8">
        <f>IFERROR(Q289/Q444, "NA")</f>
        <v>2.709575318870173E-3</v>
      </c>
      <c r="S289" s="9"/>
      <c r="T289" s="7">
        <v>672</v>
      </c>
      <c r="U289" s="8">
        <f>IFERROR(T289/T444, "NA")</f>
        <v>2.586097417366106E-3</v>
      </c>
      <c r="V289" s="9"/>
      <c r="W289" s="10">
        <f t="shared" si="74"/>
        <v>-39.090000000000032</v>
      </c>
      <c r="X289" s="8">
        <f>IFERROR(W289/W444, "NA")</f>
        <v>-1.5122090864075156E-2</v>
      </c>
      <c r="Y289" s="9"/>
      <c r="Z289" s="7">
        <v>801.27</v>
      </c>
      <c r="AA289" s="8">
        <f>IFERROR(Z289/Z444, "NA")</f>
        <v>3.2673868453171428E-3</v>
      </c>
      <c r="AB289" s="9"/>
      <c r="AC289" s="10">
        <f t="shared" si="75"/>
        <v>90.17999999999995</v>
      </c>
      <c r="AD289" s="8">
        <f>IFERROR(AC289/AC444, "NA")</f>
        <v>5.2420205669961913E-3</v>
      </c>
    </row>
    <row r="290" spans="1:30" ht="16.5" customHeight="1" x14ac:dyDescent="0.45">
      <c r="A290" s="6" t="s">
        <v>263</v>
      </c>
      <c r="B290" s="7">
        <v>1377.34</v>
      </c>
      <c r="C290" s="8">
        <f>IFERROR(B290/B444, "NA")</f>
        <v>1.1392266965510961E-2</v>
      </c>
      <c r="D290" s="9"/>
      <c r="E290" s="7">
        <v>340.35</v>
      </c>
      <c r="F290" s="8">
        <f>IFERROR(E290/E444, "NA")</f>
        <v>2.9999592777674067E-3</v>
      </c>
      <c r="G290" s="9"/>
      <c r="H290" s="10">
        <f t="shared" si="72"/>
        <v>-1036.9899999999998</v>
      </c>
      <c r="I290" s="8">
        <f>IFERROR(H290/H444, "NA")</f>
        <v>-0.13919758596574111</v>
      </c>
      <c r="J290" s="9"/>
      <c r="K290" s="7">
        <v>250.96</v>
      </c>
      <c r="L290" s="8">
        <f>IFERROR(K290/K444, "NA")</f>
        <v>2.4089178337862054E-3</v>
      </c>
      <c r="M290" s="9"/>
      <c r="N290" s="10">
        <f t="shared" si="73"/>
        <v>-1126.3799999999999</v>
      </c>
      <c r="O290" s="8">
        <f>IFERROR(N290/N444, "NA")</f>
        <v>-6.7360174622871402E-2</v>
      </c>
      <c r="P290" s="9"/>
      <c r="Q290" s="7">
        <v>1705.65</v>
      </c>
      <c r="R290" s="8">
        <f>IFERROR(Q290/Q444, "NA")</f>
        <v>6.4992998672895284E-3</v>
      </c>
      <c r="S290" s="9"/>
      <c r="T290" s="7">
        <v>925.95</v>
      </c>
      <c r="U290" s="8">
        <f>IFERROR(T290/T444, "NA")</f>
        <v>3.56338824941986E-3</v>
      </c>
      <c r="V290" s="9"/>
      <c r="W290" s="10">
        <f t="shared" si="74"/>
        <v>-779.7</v>
      </c>
      <c r="X290" s="8">
        <f>IFERROR(W290/W444, "NA")</f>
        <v>-0.30162942560039369</v>
      </c>
      <c r="Y290" s="9"/>
      <c r="Z290" s="7">
        <v>763.09</v>
      </c>
      <c r="AA290" s="8">
        <f>IFERROR(Z290/Z444, "NA")</f>
        <v>3.1116979642231194E-3</v>
      </c>
      <c r="AB290" s="9"/>
      <c r="AC290" s="10">
        <f t="shared" si="75"/>
        <v>-942.56000000000006</v>
      </c>
      <c r="AD290" s="8">
        <f>IFERROR(AC290/AC444, "NA")</f>
        <v>-5.4789519911598285E-2</v>
      </c>
    </row>
    <row r="291" spans="1:30" ht="16.5" customHeight="1" x14ac:dyDescent="0.45">
      <c r="A291" s="6" t="s">
        <v>264</v>
      </c>
      <c r="B291" s="7">
        <v>991.8</v>
      </c>
      <c r="C291" s="8">
        <f>IFERROR(B291/B444, "NA")</f>
        <v>8.2033850584414675E-3</v>
      </c>
      <c r="D291" s="9"/>
      <c r="E291" s="7">
        <v>453.81</v>
      </c>
      <c r="F291" s="8">
        <f>IFERROR(E291/E444, "NA")</f>
        <v>4.000033847050468E-3</v>
      </c>
      <c r="G291" s="9"/>
      <c r="H291" s="10">
        <f t="shared" si="72"/>
        <v>-537.99</v>
      </c>
      <c r="I291" s="8">
        <f>IFERROR(H291/H444, "NA")</f>
        <v>-7.2215652295305729E-2</v>
      </c>
      <c r="J291" s="9"/>
      <c r="K291" s="7">
        <v>679.7</v>
      </c>
      <c r="L291" s="8">
        <f>IFERROR(K291/K444, "NA")</f>
        <v>6.5243124467025976E-3</v>
      </c>
      <c r="M291" s="9"/>
      <c r="N291" s="10">
        <f t="shared" si="73"/>
        <v>-312.09999999999991</v>
      </c>
      <c r="O291" s="8">
        <f>IFERROR(N291/N444, "NA")</f>
        <v>-1.8664314440773239E-2</v>
      </c>
      <c r="P291" s="9"/>
      <c r="Q291" s="7">
        <v>4356.53</v>
      </c>
      <c r="R291" s="8">
        <f>IFERROR(Q291/Q444, "NA")</f>
        <v>1.6600354616036612E-2</v>
      </c>
      <c r="S291" s="9"/>
      <c r="T291" s="7">
        <v>1039.4100000000001</v>
      </c>
      <c r="U291" s="8">
        <f>IFERROR(T291/T444, "NA")</f>
        <v>4.0000230901555125E-3</v>
      </c>
      <c r="V291" s="9"/>
      <c r="W291" s="10">
        <f t="shared" si="74"/>
        <v>-3317.12</v>
      </c>
      <c r="X291" s="8">
        <f>IFERROR(W291/W444, "NA")</f>
        <v>-1.2832384253527997</v>
      </c>
      <c r="Y291" s="9"/>
      <c r="Z291" s="7">
        <v>1800.92</v>
      </c>
      <c r="AA291" s="8">
        <f>IFERROR(Z291/Z444, "NA")</f>
        <v>7.3437197417456652E-3</v>
      </c>
      <c r="AB291" s="9"/>
      <c r="AC291" s="10">
        <f t="shared" si="75"/>
        <v>-2555.6099999999997</v>
      </c>
      <c r="AD291" s="8">
        <f>IFERROR(AC291/AC444, "NA")</f>
        <v>-0.14855356155712068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340.35</v>
      </c>
      <c r="F292" s="8">
        <f>IFERROR(E292/E444, "NA")</f>
        <v>2.9999592777674067E-3</v>
      </c>
      <c r="G292" s="9"/>
      <c r="H292" s="10">
        <f t="shared" si="72"/>
        <v>340.35</v>
      </c>
      <c r="I292" s="8">
        <f>IFERROR(H292/H444, "NA")</f>
        <v>4.5685974197861121E-2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779.55</v>
      </c>
      <c r="U292" s="8">
        <f>IFERROR(T292/T444, "NA")</f>
        <v>2.9999884549222438E-3</v>
      </c>
      <c r="V292" s="9"/>
      <c r="W292" s="10">
        <f t="shared" si="74"/>
        <v>779.55</v>
      </c>
      <c r="X292" s="8">
        <f>IFERROR(W292/W444, "NA")</f>
        <v>0.30157139762317159</v>
      </c>
      <c r="Y292" s="9"/>
      <c r="Z292" s="7">
        <v>1703.69</v>
      </c>
      <c r="AA292" s="8">
        <f>IFERROR(Z292/Z444, "NA")</f>
        <v>6.9472391260104131E-3</v>
      </c>
      <c r="AB292" s="9"/>
      <c r="AC292" s="10">
        <f t="shared" si="75"/>
        <v>1703.69</v>
      </c>
      <c r="AD292" s="8">
        <f>IFERROR(AC292/AC444, "NA")</f>
        <v>9.9032801283940416E-2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170.18</v>
      </c>
      <c r="F293" s="8">
        <f>IFERROR(E293/E444, "NA")</f>
        <v>1.5000237105639996E-3</v>
      </c>
      <c r="G293" s="9"/>
      <c r="H293" s="10">
        <f t="shared" si="72"/>
        <v>170.18</v>
      </c>
      <c r="I293" s="8">
        <f>IFERROR(H293/H444, "NA")</f>
        <v>2.2843658260590583E-2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389.77</v>
      </c>
      <c r="U293" s="8">
        <f>IFERROR(T293/T444, "NA")</f>
        <v>1.4999749856648616E-3</v>
      </c>
      <c r="V293" s="9"/>
      <c r="W293" s="10">
        <f t="shared" si="74"/>
        <v>389.77</v>
      </c>
      <c r="X293" s="8">
        <f>IFERROR(W293/W444, "NA")</f>
        <v>0.15078376454567841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2.4812799795138696E-3</v>
      </c>
      <c r="D294" s="9"/>
      <c r="E294" s="7">
        <v>350</v>
      </c>
      <c r="F294" s="8">
        <f>IFERROR(E294/E444, "NA")</f>
        <v>3.0850176207392163E-3</v>
      </c>
      <c r="G294" s="9"/>
      <c r="H294" s="10">
        <f t="shared" si="72"/>
        <v>50.009999999999991</v>
      </c>
      <c r="I294" s="8">
        <f>IFERROR(H294/H444, "NA")</f>
        <v>6.7129589235640783E-3</v>
      </c>
      <c r="J294" s="9"/>
      <c r="K294" s="7">
        <v>622.30999999999995</v>
      </c>
      <c r="L294" s="8">
        <f>IFERROR(K294/K444, "NA")</f>
        <v>5.9734366319074486E-3</v>
      </c>
      <c r="M294" s="9"/>
      <c r="N294" s="10">
        <f t="shared" si="73"/>
        <v>322.31999999999994</v>
      </c>
      <c r="O294" s="8">
        <f>IFERROR(N294/N444, "NA")</f>
        <v>1.9275494490708204E-2</v>
      </c>
      <c r="P294" s="9"/>
      <c r="Q294" s="7">
        <v>899.98</v>
      </c>
      <c r="R294" s="8">
        <f>IFERROR(Q294/Q444, "NA")</f>
        <v>3.4293318644289445E-3</v>
      </c>
      <c r="S294" s="9"/>
      <c r="T294" s="7">
        <v>1050</v>
      </c>
      <c r="U294" s="8">
        <f>IFERROR(T294/T444, "NA")</f>
        <v>4.0407772146345408E-3</v>
      </c>
      <c r="V294" s="9"/>
      <c r="W294" s="10">
        <f t="shared" si="74"/>
        <v>150.01999999999998</v>
      </c>
      <c r="X294" s="8">
        <f>IFERROR(W294/W444, "NA")</f>
        <v>5.8035714285713809E-2</v>
      </c>
      <c r="Y294" s="9"/>
      <c r="Z294" s="7">
        <v>1063.96</v>
      </c>
      <c r="AA294" s="8">
        <f>IFERROR(Z294/Z444, "NA")</f>
        <v>4.3385736492613323E-3</v>
      </c>
      <c r="AB294" s="9"/>
      <c r="AC294" s="10">
        <f t="shared" si="75"/>
        <v>163.98000000000002</v>
      </c>
      <c r="AD294" s="8">
        <f>IFERROR(AC294/AC444, "NA")</f>
        <v>9.531897677711643E-3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4233.8799999999992</v>
      </c>
      <c r="C295" s="15">
        <f>IFERROR(B295/B444, "NA")</f>
        <v>3.5019306242422013E-2</v>
      </c>
      <c r="D295" s="2"/>
      <c r="E295" s="14">
        <f>IFERROR(E286+E287+E288+E289+E290+E291+E292+E293+E294, "NA")</f>
        <v>3112.6899999999996</v>
      </c>
      <c r="F295" s="15">
        <f>IFERROR(E295/E444, "NA")</f>
        <v>2.7436295708282141E-2</v>
      </c>
      <c r="G295" s="2"/>
      <c r="H295" s="14">
        <f t="shared" si="72"/>
        <v>-1121.1899999999996</v>
      </c>
      <c r="I295" s="15">
        <f>IFERROR(H295/H444, "NA")</f>
        <v>-0.15049994832055205</v>
      </c>
      <c r="J295" s="2"/>
      <c r="K295" s="14">
        <f>IFERROR(K286+K287+K288+K289+K290+K291+K292+K293+K294, "NA")</f>
        <v>3277.31</v>
      </c>
      <c r="L295" s="15">
        <f>IFERROR(K295/K444, "NA")</f>
        <v>3.1458282219659982E-2</v>
      </c>
      <c r="M295" s="2"/>
      <c r="N295" s="14">
        <f t="shared" si="73"/>
        <v>-956.56999999999925</v>
      </c>
      <c r="O295" s="15">
        <f>IFERROR(N295/N444, "NA")</f>
        <v>-5.7205137022141778E-2</v>
      </c>
      <c r="P295" s="2"/>
      <c r="Q295" s="14">
        <f>IFERROR(Q286+Q287+Q288+Q289+Q290+Q291+Q292+Q293+Q294, "NA")</f>
        <v>11656.41</v>
      </c>
      <c r="R295" s="15">
        <f>IFERROR(Q295/Q444, "NA")</f>
        <v>4.4416207291104459E-2</v>
      </c>
      <c r="S295" s="2"/>
      <c r="T295" s="14">
        <f>IFERROR(T286+T287+T288+T289+T290+T291+T292+T293+T294, "NA")</f>
        <v>8558.68</v>
      </c>
      <c r="U295" s="15">
        <f>IFERROR(T295/T444, "NA")</f>
        <v>3.2936875363188907E-2</v>
      </c>
      <c r="V295" s="2"/>
      <c r="W295" s="14">
        <f t="shared" si="74"/>
        <v>-3097.7299999999996</v>
      </c>
      <c r="X295" s="15">
        <f>IFERROR(W295/W444, "NA")</f>
        <v>-1.1983667058677792</v>
      </c>
      <c r="Y295" s="2"/>
      <c r="Z295" s="14">
        <f>IFERROR(Z286+Z287+Z288+Z289+Z290+Z291+Z292+Z293+Z294, "NA")</f>
        <v>10160.369999999999</v>
      </c>
      <c r="AA295" s="15">
        <f>IFERROR(Z295/Z444, "NA")</f>
        <v>4.1431551513915331E-2</v>
      </c>
      <c r="AB295" s="2"/>
      <c r="AC295" s="14">
        <f t="shared" si="75"/>
        <v>-1496.0400000000009</v>
      </c>
      <c r="AD295" s="15">
        <f>IFERROR(AC295/AC444, "NA")</f>
        <v>-8.6962435673641508E-2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496.09</v>
      </c>
      <c r="C299" s="8">
        <f>IFERROR(B299/B444, "NA")</f>
        <v>4.1032640589254163E-3</v>
      </c>
      <c r="D299" s="9"/>
      <c r="E299" s="7">
        <v>489</v>
      </c>
      <c r="F299" s="8">
        <f>IFERROR(E299/E444, "NA")</f>
        <v>4.310210332975648E-3</v>
      </c>
      <c r="G299" s="9"/>
      <c r="H299" s="10">
        <f t="shared" si="76"/>
        <v>-7.089999999999975</v>
      </c>
      <c r="I299" s="8">
        <f>IFERROR(H299/H444, "NA")</f>
        <v>-9.5170723391460024E-4</v>
      </c>
      <c r="J299" s="9"/>
      <c r="K299" s="7">
        <v>516.35</v>
      </c>
      <c r="L299" s="8">
        <f>IFERROR(K299/K444, "NA")</f>
        <v>4.9563465232527384E-3</v>
      </c>
      <c r="M299" s="9"/>
      <c r="N299" s="10">
        <f t="shared" si="77"/>
        <v>20.260000000000048</v>
      </c>
      <c r="O299" s="8">
        <f>IFERROR(N299/N444, "NA")</f>
        <v>1.2115956762898648E-3</v>
      </c>
      <c r="P299" s="9"/>
      <c r="Q299" s="7">
        <v>1488.27</v>
      </c>
      <c r="R299" s="8">
        <f>IFERROR(Q299/Q444, "NA")</f>
        <v>5.6709835039374934E-3</v>
      </c>
      <c r="S299" s="9"/>
      <c r="T299" s="7">
        <v>1467</v>
      </c>
      <c r="U299" s="8">
        <f>IFERROR(T299/T444, "NA")</f>
        <v>5.6455430227322582E-3</v>
      </c>
      <c r="V299" s="9"/>
      <c r="W299" s="10">
        <f t="shared" si="78"/>
        <v>-21.269999999999982</v>
      </c>
      <c r="X299" s="8">
        <f>IFERROR(W299/W444, "NA")</f>
        <v>-8.2283671700915332E-3</v>
      </c>
      <c r="Y299" s="9"/>
      <c r="Z299" s="7">
        <v>1549.05</v>
      </c>
      <c r="AA299" s="8">
        <f>IFERROR(Z299/Z444, "NA")</f>
        <v>6.3166543022183785E-3</v>
      </c>
      <c r="AB299" s="9"/>
      <c r="AC299" s="10">
        <f t="shared" si="79"/>
        <v>60.779999999999973</v>
      </c>
      <c r="AD299" s="8">
        <f>IFERROR(AC299/AC444, "NA")</f>
        <v>3.5330451326461361E-3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54.06</v>
      </c>
      <c r="C305" s="8">
        <f>IFERROR(B305/B444, "NA")</f>
        <v>4.4714155702696689E-4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-54.06</v>
      </c>
      <c r="I305" s="8">
        <f>IFERROR(H305/H444, "NA")</f>
        <v>-7.2565998681838467E-3</v>
      </c>
      <c r="J305" s="9"/>
      <c r="K305" s="7">
        <v>-87</v>
      </c>
      <c r="L305" s="8">
        <f>IFERROR(K305/K444, "NA")</f>
        <v>-8.350966350788965E-4</v>
      </c>
      <c r="M305" s="9"/>
      <c r="N305" s="10">
        <f t="shared" si="77"/>
        <v>-141.06</v>
      </c>
      <c r="O305" s="8">
        <f>IFERROR(N305/N444, "NA")</f>
        <v>-8.4357199455798587E-3</v>
      </c>
      <c r="P305" s="9"/>
      <c r="Q305" s="7">
        <v>68.06</v>
      </c>
      <c r="R305" s="8">
        <f>IFERROR(Q305/Q444, "NA")</f>
        <v>2.5933945942469163E-4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-68.06</v>
      </c>
      <c r="X305" s="8">
        <f>IFERROR(W305/W444, "NA")</f>
        <v>-2.6329227531567006E-2</v>
      </c>
      <c r="Y305" s="9"/>
      <c r="Z305" s="7">
        <v>-57</v>
      </c>
      <c r="AA305" s="8">
        <f>IFERROR(Z305/Z444, "NA")</f>
        <v>-2.3243232641066949E-4</v>
      </c>
      <c r="AB305" s="9"/>
      <c r="AC305" s="10">
        <f t="shared" si="79"/>
        <v>-125.06</v>
      </c>
      <c r="AD305" s="8">
        <f>IFERROR(AC305/AC444, "NA")</f>
        <v>-7.2695397217625198E-3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4.8478848325901971E-4</v>
      </c>
      <c r="G310" s="9"/>
      <c r="H310" s="10">
        <f t="shared" si="76"/>
        <v>55</v>
      </c>
      <c r="I310" s="8">
        <f>IFERROR(H310/H444, "NA")</f>
        <v>7.382778260268434E-3</v>
      </c>
      <c r="J310" s="9"/>
      <c r="K310" s="7">
        <v>3.12</v>
      </c>
      <c r="L310" s="8">
        <f>IFERROR(K310/K444, "NA")</f>
        <v>2.9948293120070773E-5</v>
      </c>
      <c r="M310" s="9"/>
      <c r="N310" s="10">
        <f t="shared" si="77"/>
        <v>3.12</v>
      </c>
      <c r="O310" s="8">
        <f>IFERROR(N310/N444, "NA")</f>
        <v>1.8658334205450986E-4</v>
      </c>
      <c r="P310" s="9"/>
      <c r="Q310" s="7">
        <v>87.97</v>
      </c>
      <c r="R310" s="8">
        <f>IFERROR(Q310/Q444, "NA")</f>
        <v>3.3520558691728066E-4</v>
      </c>
      <c r="S310" s="9"/>
      <c r="T310" s="7">
        <v>165</v>
      </c>
      <c r="U310" s="8">
        <f>IFERROR(T310/T444, "NA")</f>
        <v>6.3497927658542777E-4</v>
      </c>
      <c r="V310" s="9"/>
      <c r="W310" s="10">
        <f t="shared" si="78"/>
        <v>77.03</v>
      </c>
      <c r="X310" s="8">
        <f>IFERROR(W310/W444, "NA")</f>
        <v>2.9799300569447643E-2</v>
      </c>
      <c r="Y310" s="9"/>
      <c r="Z310" s="7">
        <v>68.98</v>
      </c>
      <c r="AA310" s="8">
        <f>IFERROR(Z310/Z444, "NA")</f>
        <v>2.8128389255803476E-4</v>
      </c>
      <c r="AB310" s="9"/>
      <c r="AC310" s="10">
        <f t="shared" si="79"/>
        <v>-18.989999999999995</v>
      </c>
      <c r="AD310" s="8">
        <f>IFERROR(AC310/AC444, "NA")</f>
        <v>-1.1038586223914139E-3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1.0899852780626659E-4</v>
      </c>
      <c r="AB311" s="9"/>
      <c r="AC311" s="10">
        <f t="shared" si="79"/>
        <v>26.73</v>
      </c>
      <c r="AD311" s="8">
        <f>IFERROR(AC311/AC444, "NA")</f>
        <v>1.5537725632713271E-3</v>
      </c>
    </row>
    <row r="312" spans="1:30" ht="16.5" customHeight="1" x14ac:dyDescent="0.45">
      <c r="A312" s="6" t="s">
        <v>284</v>
      </c>
      <c r="B312" s="7">
        <v>681.82</v>
      </c>
      <c r="C312" s="8">
        <f>IFERROR(B312/B444, "NA")</f>
        <v>5.6394757012971988E-3</v>
      </c>
      <c r="D312" s="9"/>
      <c r="E312" s="7">
        <v>35</v>
      </c>
      <c r="F312" s="8">
        <f>IFERROR(E312/E444, "NA")</f>
        <v>3.0850176207392163E-4</v>
      </c>
      <c r="G312" s="9"/>
      <c r="H312" s="10">
        <f t="shared" si="76"/>
        <v>-646.82000000000005</v>
      </c>
      <c r="I312" s="8">
        <f>IFERROR(H312/H444, "NA")</f>
        <v>-8.6824156987396886E-2</v>
      </c>
      <c r="J312" s="9"/>
      <c r="K312" s="7">
        <v>102.49</v>
      </c>
      <c r="L312" s="8">
        <f>IFERROR(K312/K444, "NA")</f>
        <v>9.8378223137052983E-4</v>
      </c>
      <c r="M312" s="9"/>
      <c r="N312" s="10">
        <f t="shared" si="77"/>
        <v>-579.33000000000004</v>
      </c>
      <c r="O312" s="8">
        <f>IFERROR(N312/N444, "NA")</f>
        <v>-3.464529729244846E-2</v>
      </c>
      <c r="P312" s="9"/>
      <c r="Q312" s="7">
        <v>1721.15</v>
      </c>
      <c r="R312" s="8">
        <f>IFERROR(Q312/Q444, "NA")</f>
        <v>6.5583618952219811E-3</v>
      </c>
      <c r="S312" s="9"/>
      <c r="T312" s="7">
        <v>105</v>
      </c>
      <c r="U312" s="8">
        <f>IFERROR(T312/T444, "NA")</f>
        <v>4.0407772146345406E-4</v>
      </c>
      <c r="V312" s="9"/>
      <c r="W312" s="10">
        <f t="shared" si="78"/>
        <v>-1616.15</v>
      </c>
      <c r="X312" s="8">
        <f>IFERROR(W312/W444, "NA")</f>
        <v>-0.62521276924980929</v>
      </c>
      <c r="Y312" s="9"/>
      <c r="Z312" s="7">
        <v>153.49</v>
      </c>
      <c r="AA312" s="8">
        <f>IFERROR(Z312/Z444, "NA")</f>
        <v>6.2589539966269585E-4</v>
      </c>
      <c r="AB312" s="9"/>
      <c r="AC312" s="10">
        <f t="shared" si="79"/>
        <v>-1567.66</v>
      </c>
      <c r="AD312" s="8">
        <f>IFERROR(AC312/AC444, "NA")</f>
        <v>-9.1125592837184008E-2</v>
      </c>
    </row>
    <row r="313" spans="1:30" ht="16.5" customHeight="1" x14ac:dyDescent="0.45">
      <c r="A313" s="6" t="s">
        <v>285</v>
      </c>
      <c r="B313" s="7">
        <v>35</v>
      </c>
      <c r="C313" s="8">
        <f>IFERROR(B313/B444, "NA")</f>
        <v>2.894923140204188E-4</v>
      </c>
      <c r="D313" s="9"/>
      <c r="E313" s="7">
        <v>25</v>
      </c>
      <c r="F313" s="8">
        <f>IFERROR(E313/E444, "NA")</f>
        <v>2.203584014813726E-4</v>
      </c>
      <c r="G313" s="9"/>
      <c r="H313" s="10">
        <f t="shared" si="76"/>
        <v>-10</v>
      </c>
      <c r="I313" s="8">
        <f>IFERROR(H313/H444, "NA")</f>
        <v>-1.3423233200488061E-3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-35</v>
      </c>
      <c r="O313" s="8">
        <f>IFERROR(N313/N444, "NA")</f>
        <v>-2.0930823627909757E-3</v>
      </c>
      <c r="P313" s="9"/>
      <c r="Q313" s="7">
        <v>43.6</v>
      </c>
      <c r="R313" s="8">
        <f>IFERROR(Q313/Q444, "NA")</f>
        <v>1.6613576889386653E-4</v>
      </c>
      <c r="S313" s="9"/>
      <c r="T313" s="7">
        <v>75</v>
      </c>
      <c r="U313" s="8">
        <f>IFERROR(T313/T444, "NA")</f>
        <v>2.886269439024672E-4</v>
      </c>
      <c r="V313" s="9"/>
      <c r="W313" s="10">
        <f t="shared" si="78"/>
        <v>31.4</v>
      </c>
      <c r="X313" s="8">
        <f>IFERROR(W313/W444, "NA")</f>
        <v>1.2147189898489626E-2</v>
      </c>
      <c r="Y313" s="9"/>
      <c r="Z313" s="7">
        <v>20.05</v>
      </c>
      <c r="AA313" s="8">
        <f>IFERROR(Z313/Z444, "NA")</f>
        <v>8.1759090254981116E-5</v>
      </c>
      <c r="AB313" s="9"/>
      <c r="AC313" s="10">
        <f t="shared" si="79"/>
        <v>-23.55</v>
      </c>
      <c r="AD313" s="8">
        <f>IFERROR(AC313/AC444, "NA")</f>
        <v>-1.368924199964076E-3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291.82</v>
      </c>
      <c r="C316" s="8">
        <f>IFERROR(B316/B444, "NA")</f>
        <v>2.4137042022125319E-3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-291.82</v>
      </c>
      <c r="I316" s="8">
        <f>IFERROR(H316/H444, "NA")</f>
        <v>-3.9171679125664258E-2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-291.82</v>
      </c>
      <c r="O316" s="8">
        <f>IFERROR(N316/N444, "NA")</f>
        <v>-1.745152271741893E-2</v>
      </c>
      <c r="P316" s="9"/>
      <c r="Q316" s="7">
        <v>291.82</v>
      </c>
      <c r="R316" s="8">
        <f>IFERROR(Q316/Q444, "NA")</f>
        <v>1.1119665155644065E-3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-291.82</v>
      </c>
      <c r="X316" s="8">
        <f>IFERROR(W316/W444, "NA")</f>
        <v>-0.11289149541965741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-291.82</v>
      </c>
      <c r="AD316" s="8">
        <f>IFERROR(AC316/AC444, "NA")</f>
        <v>-1.696303439632767E-2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3.4289951035270006E-3</v>
      </c>
      <c r="D318" s="9"/>
      <c r="E318" s="7">
        <v>415</v>
      </c>
      <c r="F318" s="8">
        <f>IFERROR(E318/E444, "NA")</f>
        <v>3.6579494645907849E-3</v>
      </c>
      <c r="G318" s="9"/>
      <c r="H318" s="10">
        <f t="shared" si="76"/>
        <v>0.43000000000000682</v>
      </c>
      <c r="I318" s="8">
        <f>IFERROR(H318/H444, "NA")</f>
        <v>5.771990276209958E-5</v>
      </c>
      <c r="J318" s="9"/>
      <c r="K318" s="7">
        <v>414.57</v>
      </c>
      <c r="L318" s="8">
        <f>IFERROR(K318/K444, "NA")</f>
        <v>3.9793794483294039E-3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1243.71</v>
      </c>
      <c r="R318" s="8">
        <f>IFERROR(Q318/Q444, "NA")</f>
        <v>4.7390990167658423E-3</v>
      </c>
      <c r="S318" s="9"/>
      <c r="T318" s="7">
        <v>1245</v>
      </c>
      <c r="U318" s="8">
        <f>IFERROR(T318/T444, "NA")</f>
        <v>4.7912072687809554E-3</v>
      </c>
      <c r="V318" s="9"/>
      <c r="W318" s="10">
        <f t="shared" si="78"/>
        <v>1.2899999999999636</v>
      </c>
      <c r="X318" s="8">
        <f>IFERROR(W318/W444, "NA")</f>
        <v>4.9904060410991007E-4</v>
      </c>
      <c r="Y318" s="9"/>
      <c r="Z318" s="7">
        <v>1243.71</v>
      </c>
      <c r="AA318" s="8">
        <f>IFERROR(Z318/Z444, "NA")</f>
        <v>5.0715510294774349E-3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149.62</v>
      </c>
      <c r="C319" s="8">
        <f>IFERROR(B319/B444, "NA")</f>
        <v>1.2375382863924304E-3</v>
      </c>
      <c r="D319" s="9"/>
      <c r="E319" s="7">
        <v>150</v>
      </c>
      <c r="F319" s="8">
        <f>IFERROR(E319/E444, "NA")</f>
        <v>1.3221504088882356E-3</v>
      </c>
      <c r="G319" s="9"/>
      <c r="H319" s="10">
        <f t="shared" si="76"/>
        <v>0.37999999999999545</v>
      </c>
      <c r="I319" s="8">
        <f>IFERROR(H319/H444, "NA")</f>
        <v>5.1008286161854023E-5</v>
      </c>
      <c r="J319" s="9"/>
      <c r="K319" s="7">
        <v>149.58000000000001</v>
      </c>
      <c r="L319" s="8">
        <f>IFERROR(K319/K444, "NA")</f>
        <v>1.4357902836218547E-3</v>
      </c>
      <c r="M319" s="9"/>
      <c r="N319" s="10">
        <f t="shared" si="77"/>
        <v>-3.9999999999992042E-2</v>
      </c>
      <c r="O319" s="8">
        <f>IFERROR(N319/N444, "NA")</f>
        <v>-2.3920941289034964E-6</v>
      </c>
      <c r="P319" s="9"/>
      <c r="Q319" s="7">
        <v>448.89</v>
      </c>
      <c r="R319" s="8">
        <f>IFERROR(Q319/Q444, "NA")</f>
        <v>1.7104744334579757E-3</v>
      </c>
      <c r="S319" s="9"/>
      <c r="T319" s="7">
        <v>450</v>
      </c>
      <c r="U319" s="8">
        <f>IFERROR(T319/T444, "NA")</f>
        <v>1.7317616634148032E-3</v>
      </c>
      <c r="V319" s="9"/>
      <c r="W319" s="10">
        <f t="shared" si="78"/>
        <v>1.1100000000000136</v>
      </c>
      <c r="X319" s="8">
        <f>IFERROR(W319/W444, "NA")</f>
        <v>4.294070314434284E-4</v>
      </c>
      <c r="Y319" s="9"/>
      <c r="Z319" s="7">
        <v>448.7</v>
      </c>
      <c r="AA319" s="8">
        <f>IFERROR(Z319/Z444, "NA")</f>
        <v>1.8296909624643403E-3</v>
      </c>
      <c r="AB319" s="9"/>
      <c r="AC319" s="10">
        <f t="shared" si="79"/>
        <v>-0.18999999999999773</v>
      </c>
      <c r="AD319" s="8">
        <f>IFERROR(AC319/AC444, "NA")</f>
        <v>-1.1044399065527444E-5</v>
      </c>
    </row>
    <row r="320" spans="1:30" ht="16.5" customHeight="1" x14ac:dyDescent="0.45">
      <c r="A320" s="6" t="s">
        <v>292</v>
      </c>
      <c r="B320" s="7">
        <v>1019.81</v>
      </c>
      <c r="C320" s="8">
        <f>IFERROR(B320/B444, "NA")</f>
        <v>8.4350616217475222E-3</v>
      </c>
      <c r="D320" s="9"/>
      <c r="E320" s="7">
        <v>1242</v>
      </c>
      <c r="F320" s="8">
        <f>IFERROR(E320/E444, "NA")</f>
        <v>1.094740538559459E-2</v>
      </c>
      <c r="G320" s="9"/>
      <c r="H320" s="10">
        <f t="shared" si="76"/>
        <v>222.19000000000005</v>
      </c>
      <c r="I320" s="8">
        <f>IFERROR(H320/H444, "NA")</f>
        <v>2.9825081848164431E-2</v>
      </c>
      <c r="J320" s="9"/>
      <c r="K320" s="7">
        <v>1018.57</v>
      </c>
      <c r="L320" s="8">
        <f>IFERROR(K320/K444, "NA")</f>
        <v>9.777061834394387E-3</v>
      </c>
      <c r="M320" s="9"/>
      <c r="N320" s="10">
        <f t="shared" si="77"/>
        <v>-1.2399999999998954</v>
      </c>
      <c r="O320" s="8">
        <f>IFERROR(N320/N444, "NA")</f>
        <v>-7.4154917996016885E-5</v>
      </c>
      <c r="P320" s="9"/>
      <c r="Q320" s="7">
        <v>4679.87</v>
      </c>
      <c r="R320" s="8">
        <f>IFERROR(Q320/Q444, "NA")</f>
        <v>1.7832426623241721E-2</v>
      </c>
      <c r="S320" s="9"/>
      <c r="T320" s="7">
        <v>3726</v>
      </c>
      <c r="U320" s="8">
        <f>IFERROR(T320/T444, "NA")</f>
        <v>1.433898657307457E-2</v>
      </c>
      <c r="V320" s="9"/>
      <c r="W320" s="10">
        <f t="shared" si="78"/>
        <v>-953.86999999999989</v>
      </c>
      <c r="X320" s="8">
        <f>IFERROR(W320/W444, "NA")</f>
        <v>-0.36900764421886301</v>
      </c>
      <c r="Y320" s="9"/>
      <c r="Z320" s="7">
        <v>3017.58</v>
      </c>
      <c r="AA320" s="8">
        <f>IFERROR(Z320/Z444, "NA")</f>
        <v>1.2304967360180843E-2</v>
      </c>
      <c r="AB320" s="9"/>
      <c r="AC320" s="10">
        <f t="shared" si="79"/>
        <v>-1662.29</v>
      </c>
      <c r="AD320" s="8">
        <f>IFERROR(AC320/AC444, "NA")</f>
        <v>-9.6626284855978087E-2</v>
      </c>
    </row>
    <row r="321" spans="1:30" ht="16.5" customHeight="1" x14ac:dyDescent="0.45">
      <c r="A321" s="6" t="s">
        <v>293</v>
      </c>
      <c r="B321" s="7">
        <v>1099.23</v>
      </c>
      <c r="C321" s="8">
        <f>IFERROR(B321/B444, "NA")</f>
        <v>9.0919610383047127E-3</v>
      </c>
      <c r="D321" s="9"/>
      <c r="E321" s="7">
        <v>1701.77</v>
      </c>
      <c r="F321" s="8">
        <f>IFERROR(E321/E444, "NA")</f>
        <v>1.4999972675558217E-2</v>
      </c>
      <c r="G321" s="9"/>
      <c r="H321" s="10">
        <f t="shared" si="76"/>
        <v>602.54</v>
      </c>
      <c r="I321" s="8">
        <f>IFERROR(H321/H444, "NA")</f>
        <v>8.0880349326220763E-2</v>
      </c>
      <c r="J321" s="9"/>
      <c r="K321" s="7">
        <v>2299.86</v>
      </c>
      <c r="L321" s="8">
        <f>IFERROR(K321/K444, "NA")</f>
        <v>2.2075923530489091E-2</v>
      </c>
      <c r="M321" s="9"/>
      <c r="N321" s="10">
        <f t="shared" si="77"/>
        <v>1200.6300000000001</v>
      </c>
      <c r="O321" s="8">
        <f>IFERROR(N321/N444, "NA")</f>
        <v>7.180049934964941E-2</v>
      </c>
      <c r="P321" s="9"/>
      <c r="Q321" s="7">
        <v>2854.33</v>
      </c>
      <c r="R321" s="8">
        <f>IFERROR(Q321/Q444, "NA")</f>
        <v>1.0876291496028211E-2</v>
      </c>
      <c r="S321" s="9"/>
      <c r="T321" s="7">
        <v>3832.19</v>
      </c>
      <c r="U321" s="8">
        <f>IFERROR(T321/T444, "NA")</f>
        <v>1.4747643842047943E-2</v>
      </c>
      <c r="V321" s="9"/>
      <c r="W321" s="10">
        <f t="shared" si="78"/>
        <v>977.86000000000013</v>
      </c>
      <c r="X321" s="8">
        <f>IFERROR(W321/W444, "NA")</f>
        <v>0.37828825204258176</v>
      </c>
      <c r="Y321" s="9"/>
      <c r="Z321" s="7">
        <v>6639.81</v>
      </c>
      <c r="AA321" s="8">
        <f>IFERROR(Z321/Z444, "NA")</f>
        <v>2.7075552372365395E-2</v>
      </c>
      <c r="AB321" s="9"/>
      <c r="AC321" s="10">
        <f t="shared" si="79"/>
        <v>3785.4800000000005</v>
      </c>
      <c r="AD321" s="8">
        <f>IFERROR(AC321/AC444, "NA")</f>
        <v>0.22004395670828072</v>
      </c>
    </row>
    <row r="322" spans="1:30" ht="16.5" customHeight="1" x14ac:dyDescent="0.45">
      <c r="A322" s="6" t="s">
        <v>294</v>
      </c>
      <c r="B322" s="7">
        <v>210.26</v>
      </c>
      <c r="C322" s="8">
        <f>IFERROR(B322/B444, "NA")</f>
        <v>1.7391043984552358E-3</v>
      </c>
      <c r="D322" s="9"/>
      <c r="E322" s="7">
        <v>250</v>
      </c>
      <c r="F322" s="8">
        <f>IFERROR(E322/E444, "NA")</f>
        <v>2.203584014813726E-3</v>
      </c>
      <c r="G322" s="9"/>
      <c r="H322" s="10">
        <f t="shared" si="76"/>
        <v>39.740000000000009</v>
      </c>
      <c r="I322" s="8">
        <f>IFERROR(H322/H444, "NA")</f>
        <v>5.334392873873957E-3</v>
      </c>
      <c r="J322" s="9"/>
      <c r="K322" s="7">
        <v>552.39</v>
      </c>
      <c r="L322" s="8">
        <f>IFERROR(K322/K444, "NA")</f>
        <v>5.3022877040371447E-3</v>
      </c>
      <c r="M322" s="9"/>
      <c r="N322" s="10">
        <f t="shared" si="77"/>
        <v>342.13</v>
      </c>
      <c r="O322" s="8">
        <f>IFERROR(N322/N444, "NA")</f>
        <v>2.0460179108047902E-2</v>
      </c>
      <c r="P322" s="9"/>
      <c r="Q322" s="7">
        <v>534.84</v>
      </c>
      <c r="R322" s="8">
        <f>IFERROR(Q322/Q444, "NA")</f>
        <v>2.0379829044769628E-3</v>
      </c>
      <c r="S322" s="9"/>
      <c r="T322" s="7">
        <v>750</v>
      </c>
      <c r="U322" s="8">
        <f>IFERROR(T322/T444, "NA")</f>
        <v>2.886269439024672E-3</v>
      </c>
      <c r="V322" s="9"/>
      <c r="W322" s="10">
        <f t="shared" si="78"/>
        <v>215.15999999999997</v>
      </c>
      <c r="X322" s="8">
        <f>IFERROR(W322/W444, "NA")</f>
        <v>8.3235330527357571E-2</v>
      </c>
      <c r="Y322" s="9"/>
      <c r="Z322" s="7">
        <v>1266.93</v>
      </c>
      <c r="AA322" s="8">
        <f>IFERROR(Z322/Z444, "NA")</f>
        <v>5.166236619288939E-3</v>
      </c>
      <c r="AB322" s="9"/>
      <c r="AC322" s="10">
        <f t="shared" si="79"/>
        <v>732.09</v>
      </c>
      <c r="AD322" s="8">
        <f>IFERROR(AC322/AC444, "NA")</f>
        <v>4.2555232167800446E-2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4452.2800000000007</v>
      </c>
      <c r="C324" s="15">
        <f>IFERROR(B324/B444, "NA")</f>
        <v>3.6825738281909444E-2</v>
      </c>
      <c r="D324" s="2"/>
      <c r="E324" s="14">
        <f>IFERROR(E297+E298+E299+E300+E301+E302+E303+E304+E305+E306+E307+E308+E309+E310+E311+E312+E313+E314+E315+E316+E317+E318+E319+E320+E321+E322+E323, "NA")</f>
        <v>4362.7700000000004</v>
      </c>
      <c r="F324" s="15">
        <f>IFERROR(E324/E444, "NA")</f>
        <v>3.8454920929235518E-2</v>
      </c>
      <c r="G324" s="2"/>
      <c r="H324" s="14">
        <f t="shared" si="76"/>
        <v>-89.510000000000218</v>
      </c>
      <c r="I324" s="15">
        <f>IFERROR(H324/H444, "NA")</f>
        <v>-1.2015136037756892E-2</v>
      </c>
      <c r="J324" s="2"/>
      <c r="K324" s="14">
        <f>IFERROR(K297+K298+K299+K300+K301+K302+K303+K304+K305+K306+K307+K308+K309+K310+K311+K312+K313+K314+K315+K316+K317+K318+K319+K320+K321+K322+K323, "NA")</f>
        <v>4969.93</v>
      </c>
      <c r="L324" s="15">
        <f>IFERROR(K324/K444, "NA")</f>
        <v>4.7705423213536324E-2</v>
      </c>
      <c r="M324" s="2"/>
      <c r="N324" s="14">
        <f t="shared" si="77"/>
        <v>517.64999999999964</v>
      </c>
      <c r="O324" s="15">
        <f>IFERROR(N324/N444, "NA")</f>
        <v>3.095668814567851E-2</v>
      </c>
      <c r="P324" s="2"/>
      <c r="Q324" s="14">
        <f>IFERROR(Q297+Q298+Q299+Q300+Q301+Q302+Q303+Q304+Q305+Q306+Q307+Q308+Q309+Q310+Q311+Q312+Q313+Q314+Q315+Q316+Q317+Q318+Q319+Q320+Q321+Q322+Q323, "NA")</f>
        <v>13462.51</v>
      </c>
      <c r="R324" s="15">
        <f>IFERROR(Q324/Q444, "NA")</f>
        <v>5.1298267203930437E-2</v>
      </c>
      <c r="S324" s="2"/>
      <c r="T324" s="14">
        <f>IFERROR(T297+T298+T299+T300+T301+T302+T303+T304+T305+T306+T307+T308+T309+T310+T311+T312+T313+T314+T315+T316+T317+T318+T319+T320+T321+T322+T323, "NA")</f>
        <v>11815.19</v>
      </c>
      <c r="U324" s="15">
        <f>IFERROR(T324/T444, "NA")</f>
        <v>4.5469095751026554E-2</v>
      </c>
      <c r="V324" s="2"/>
      <c r="W324" s="14">
        <f t="shared" si="78"/>
        <v>-1647.3199999999997</v>
      </c>
      <c r="X324" s="15">
        <f>IFERROR(W324/W444, "NA")</f>
        <v>-0.63727098291655826</v>
      </c>
      <c r="Y324" s="2"/>
      <c r="Z324" s="14">
        <f>IFERROR(Z297+Z298+Z299+Z300+Z301+Z302+Z303+Z304+Z305+Z306+Z307+Z308+Z309+Z310+Z311+Z312+Z313+Z314+Z315+Z316+Z317+Z318+Z319+Z320+Z321+Z322+Z323, "NA")</f>
        <v>14378.03</v>
      </c>
      <c r="AA324" s="15">
        <f>IFERROR(Z324/Z444, "NA")</f>
        <v>5.8630157229866642E-2</v>
      </c>
      <c r="AB324" s="2"/>
      <c r="AC324" s="14">
        <f t="shared" si="79"/>
        <v>915.52000000000044</v>
      </c>
      <c r="AD324" s="15">
        <f>IFERROR(AC324/AC444, "NA")</f>
        <v>5.3217727539325327E-2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30228.659999999996</v>
      </c>
      <c r="C325" s="15">
        <f>IFERROR(B325/B444, "NA")</f>
        <v>0.25002756380389918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25087.15</v>
      </c>
      <c r="F325" s="15">
        <f>IFERROR(E325/E444, "NA")</f>
        <v>0.22112657086893667</v>
      </c>
      <c r="G325" s="2"/>
      <c r="H325" s="14">
        <f t="shared" si="76"/>
        <v>-5141.5099999999948</v>
      </c>
      <c r="I325" s="15">
        <f>IFERROR(H325/H444, "NA")</f>
        <v>-0.69015687732641307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26569.360000000001</v>
      </c>
      <c r="L325" s="15">
        <f>IFERROR(K325/K444, "NA")</f>
        <v>0.2550342888758601</v>
      </c>
      <c r="M325" s="2"/>
      <c r="N325" s="14">
        <f t="shared" si="77"/>
        <v>-3659.2999999999956</v>
      </c>
      <c r="O325" s="15">
        <f>IFERROR(N325/N444, "NA")</f>
        <v>-0.2188347511474574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71488.349999999991</v>
      </c>
      <c r="R325" s="15">
        <f>IFERROR(Q325/Q444, "NA")</f>
        <v>0.27240302738999633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61857.98</v>
      </c>
      <c r="U325" s="15">
        <f>IFERROR(T325/T444, "NA")</f>
        <v>0.23805172964506585</v>
      </c>
      <c r="V325" s="2"/>
      <c r="W325" s="14">
        <f t="shared" si="78"/>
        <v>-9630.3699999999881</v>
      </c>
      <c r="X325" s="15">
        <f>IFERROR(W325/W444, "NA")</f>
        <v>-3.7255392733349493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70604.590000000011</v>
      </c>
      <c r="AA325" s="15">
        <f>IFERROR(Z325/Z444, "NA")</f>
        <v>0.287908580859149</v>
      </c>
      <c r="AB325" s="2"/>
      <c r="AC325" s="14">
        <f t="shared" si="79"/>
        <v>-883.75999999998021</v>
      </c>
      <c r="AD325" s="15">
        <f>IFERROR(AC325/AC444, "NA")</f>
        <v>-5.1371569042897018E-2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4735.7</v>
      </c>
      <c r="C329" s="8">
        <f>IFERROR(B329/B444, "NA")</f>
        <v>3.9169964328757065E-2</v>
      </c>
      <c r="D329" s="9"/>
      <c r="E329" s="7">
        <v>4735.7</v>
      </c>
      <c r="F329" s="8">
        <f>IFERROR(E329/E444, "NA")</f>
        <v>4.1742051275813444E-2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4597.76</v>
      </c>
      <c r="L329" s="8">
        <f>IFERROR(K329/K444, "NA")</f>
        <v>4.4133033389659161E-2</v>
      </c>
      <c r="M329" s="9"/>
      <c r="N329" s="10">
        <f t="shared" si="81"/>
        <v>-137.9399999999996</v>
      </c>
      <c r="O329" s="8">
        <f>IFERROR(N329/N444, "NA")</f>
        <v>-8.2491366035253241E-3</v>
      </c>
      <c r="P329" s="9"/>
      <c r="Q329" s="7">
        <v>14207.1</v>
      </c>
      <c r="R329" s="8">
        <f>IFERROR(Q329/Q444, "NA")</f>
        <v>5.4135492712203005E-2</v>
      </c>
      <c r="S329" s="9"/>
      <c r="T329" s="7">
        <v>14207.1</v>
      </c>
      <c r="U329" s="8">
        <f>IFERROR(T329/T444, "NA")</f>
        <v>5.4674024729556556E-2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13793.28</v>
      </c>
      <c r="AA329" s="8">
        <f>IFERROR(Z329/Z444, "NA")</f>
        <v>5.6245687004101041E-2</v>
      </c>
      <c r="AB329" s="9"/>
      <c r="AC329" s="10">
        <f t="shared" si="83"/>
        <v>-413.81999999999971</v>
      </c>
      <c r="AD329" s="8">
        <f>IFERROR(AC329/AC444, "NA")</f>
        <v>-2.4054701164719045E-2</v>
      </c>
    </row>
    <row r="330" spans="1:30" ht="16.5" customHeight="1" x14ac:dyDescent="0.45">
      <c r="A330" s="6" t="s">
        <v>301</v>
      </c>
      <c r="B330" s="7">
        <v>4594.1899999999996</v>
      </c>
      <c r="C330" s="8">
        <f>IFERROR(B330/B444, "NA")</f>
        <v>3.7999505547127652E-2</v>
      </c>
      <c r="D330" s="9"/>
      <c r="E330" s="7">
        <v>1736.6</v>
      </c>
      <c r="F330" s="8">
        <f>IFERROR(E330/E444, "NA")</f>
        <v>1.5306976000502065E-2</v>
      </c>
      <c r="G330" s="9"/>
      <c r="H330" s="10">
        <f t="shared" si="80"/>
        <v>-2857.5899999999997</v>
      </c>
      <c r="I330" s="8">
        <f>IFERROR(H330/H444, "NA")</f>
        <v>-0.38358096961382676</v>
      </c>
      <c r="J330" s="9"/>
      <c r="K330" s="7">
        <v>2937.13</v>
      </c>
      <c r="L330" s="8">
        <f>IFERROR(K330/K444, "NA")</f>
        <v>2.8192958388382521E-2</v>
      </c>
      <c r="M330" s="9"/>
      <c r="N330" s="10">
        <f t="shared" si="81"/>
        <v>-1657.0599999999995</v>
      </c>
      <c r="O330" s="8">
        <f>IFERROR(N330/N444, "NA")</f>
        <v>-9.9096087431040383E-2</v>
      </c>
      <c r="P330" s="9"/>
      <c r="Q330" s="7">
        <v>8067.39</v>
      </c>
      <c r="R330" s="8">
        <f>IFERROR(Q330/Q444, "NA")</f>
        <v>3.0740413775612152E-2</v>
      </c>
      <c r="S330" s="9"/>
      <c r="T330" s="7">
        <v>5209.8</v>
      </c>
      <c r="U330" s="8">
        <f>IFERROR(T330/T444, "NA")</f>
        <v>2.0049182031240981E-2</v>
      </c>
      <c r="V330" s="9"/>
      <c r="W330" s="10">
        <f t="shared" si="82"/>
        <v>-2857.59</v>
      </c>
      <c r="X330" s="8">
        <f>IFERROR(W330/W444, "NA")</f>
        <v>-1.1054677828670374</v>
      </c>
      <c r="Y330" s="9"/>
      <c r="Z330" s="7">
        <v>6309.17</v>
      </c>
      <c r="AA330" s="8">
        <f>IFERROR(Z330/Z444, "NA")</f>
        <v>2.572728176877901E-2</v>
      </c>
      <c r="AB330" s="9"/>
      <c r="AC330" s="10">
        <f t="shared" si="83"/>
        <v>-1758.2200000000003</v>
      </c>
      <c r="AD330" s="8">
        <f>IFERROR(AC330/AC444, "NA")</f>
        <v>-0.10220254381574684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1497.77</v>
      </c>
      <c r="C333" s="8">
        <f>IFERROR(B333/B444, "NA")</f>
        <v>1.2388368662010362E-2</v>
      </c>
      <c r="D333" s="9"/>
      <c r="E333" s="7">
        <v>1914</v>
      </c>
      <c r="F333" s="8">
        <f>IFERROR(E333/E444, "NA")</f>
        <v>1.6870639217413885E-2</v>
      </c>
      <c r="G333" s="9"/>
      <c r="H333" s="10">
        <f t="shared" si="80"/>
        <v>416.23</v>
      </c>
      <c r="I333" s="8">
        <f>IFERROR(H333/H444, "NA")</f>
        <v>5.5871523550391461E-2</v>
      </c>
      <c r="J333" s="9"/>
      <c r="K333" s="7">
        <v>2192.9899999999998</v>
      </c>
      <c r="L333" s="8">
        <f>IFERROR(K333/K444, "NA")</f>
        <v>2.1050098503007691E-2</v>
      </c>
      <c r="M333" s="9"/>
      <c r="N333" s="10">
        <f t="shared" si="81"/>
        <v>695.2199999999998</v>
      </c>
      <c r="O333" s="8">
        <f>IFERROR(N333/N444, "NA")</f>
        <v>4.1575792007415478E-2</v>
      </c>
      <c r="P333" s="9"/>
      <c r="Q333" s="7">
        <v>5261.73</v>
      </c>
      <c r="R333" s="8">
        <f>IFERROR(Q333/Q444, "NA")</f>
        <v>2.004957704729184E-2</v>
      </c>
      <c r="S333" s="9"/>
      <c r="T333" s="7">
        <v>5742</v>
      </c>
      <c r="U333" s="8">
        <f>IFERROR(T333/T444, "NA")</f>
        <v>2.2097278825172886E-2</v>
      </c>
      <c r="V333" s="9"/>
      <c r="W333" s="10">
        <f t="shared" si="82"/>
        <v>480.27000000000044</v>
      </c>
      <c r="X333" s="8">
        <f>IFERROR(W333/W444, "NA")</f>
        <v>0.18579397746966939</v>
      </c>
      <c r="Y333" s="9"/>
      <c r="Z333" s="7">
        <v>6020.93</v>
      </c>
      <c r="AA333" s="8">
        <f>IFERROR(Z333/Z444, "NA")</f>
        <v>2.4551908193961268E-2</v>
      </c>
      <c r="AB333" s="9"/>
      <c r="AC333" s="10">
        <f t="shared" si="83"/>
        <v>759.20000000000073</v>
      </c>
      <c r="AD333" s="8">
        <f>IFERROR(AC333/AC444, "NA")</f>
        <v>4.4131093529202865E-2</v>
      </c>
    </row>
    <row r="334" spans="1:30" ht="16.5" customHeight="1" x14ac:dyDescent="0.45">
      <c r="A334" s="6" t="s">
        <v>305</v>
      </c>
      <c r="B334" s="7">
        <v>729.3</v>
      </c>
      <c r="C334" s="8">
        <f>IFERROR(B334/B444, "NA")</f>
        <v>6.0321927032883265E-3</v>
      </c>
      <c r="D334" s="9"/>
      <c r="E334" s="7">
        <v>729.3</v>
      </c>
      <c r="F334" s="8">
        <f>IFERROR(E334/E444, "NA")</f>
        <v>6.4282952880146006E-3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708.06</v>
      </c>
      <c r="L334" s="8">
        <f>IFERROR(K334/K444, "NA")</f>
        <v>6.7965347521145216E-3</v>
      </c>
      <c r="M334" s="9"/>
      <c r="N334" s="10">
        <f t="shared" si="81"/>
        <v>-21.240000000000009</v>
      </c>
      <c r="O334" s="8">
        <f>IFERROR(N334/N444, "NA")</f>
        <v>-1.27020198244801E-3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2005.15</v>
      </c>
      <c r="C338" s="8">
        <f>IFERROR(B338/B444, "NA")</f>
        <v>1.6585014670229794E-2</v>
      </c>
      <c r="D338" s="9"/>
      <c r="E338" s="7">
        <v>3290.09</v>
      </c>
      <c r="F338" s="8">
        <f>IFERROR(E338/E444, "NA")</f>
        <v>2.8999958925193966E-2</v>
      </c>
      <c r="G338" s="9"/>
      <c r="H338" s="10">
        <f t="shared" si="84"/>
        <v>1284.94</v>
      </c>
      <c r="I338" s="8">
        <f>IFERROR(H338/H444, "NA")</f>
        <v>0.17248049268635129</v>
      </c>
      <c r="J338" s="9"/>
      <c r="K338" s="7">
        <v>2178.54</v>
      </c>
      <c r="L338" s="8">
        <f>IFERROR(K338/K444, "NA")</f>
        <v>2.0911395671089416E-2</v>
      </c>
      <c r="M338" s="9"/>
      <c r="N338" s="10">
        <f t="shared" si="85"/>
        <v>173.38999999999987</v>
      </c>
      <c r="O338" s="8">
        <f>IFERROR(N338/N444, "NA")</f>
        <v>1.0369130025266486E-2</v>
      </c>
      <c r="P338" s="9"/>
      <c r="Q338" s="7">
        <v>7035.06</v>
      </c>
      <c r="R338" s="8">
        <f>IFERROR(Q338/Q444, "NA")</f>
        <v>2.6806768401708363E-2</v>
      </c>
      <c r="S338" s="9"/>
      <c r="T338" s="7">
        <v>7535.68</v>
      </c>
      <c r="U338" s="8">
        <f>IFERROR(T338/T444, "NA")</f>
        <v>2.9000003848359254E-2</v>
      </c>
      <c r="V338" s="9"/>
      <c r="W338" s="10">
        <f t="shared" si="86"/>
        <v>500.61999999999989</v>
      </c>
      <c r="X338" s="8">
        <f>IFERROR(W338/W444, "NA")</f>
        <v>0.19366643971279859</v>
      </c>
      <c r="Y338" s="9"/>
      <c r="Z338" s="7">
        <v>7173.54</v>
      </c>
      <c r="AA338" s="8">
        <f>IFERROR(Z338/Z444, "NA")</f>
        <v>2.9251975277192879E-2</v>
      </c>
      <c r="AB338" s="9"/>
      <c r="AC338" s="10">
        <f t="shared" si="87"/>
        <v>138.47999999999956</v>
      </c>
      <c r="AD338" s="8">
        <f>IFERROR(AC338/AC444, "NA")</f>
        <v>8.049623066285547E-3</v>
      </c>
    </row>
    <row r="339" spans="1:30" ht="16.5" customHeight="1" x14ac:dyDescent="0.45">
      <c r="A339" s="12" t="s">
        <v>309</v>
      </c>
      <c r="B339" s="7">
        <v>552.23</v>
      </c>
      <c r="C339" s="8">
        <f>IFERROR(B339/B444, "NA")</f>
        <v>4.5676097306141684E-3</v>
      </c>
      <c r="D339" s="9"/>
      <c r="E339" s="7">
        <v>453.81</v>
      </c>
      <c r="F339" s="8">
        <f>IFERROR(E339/E444, "NA")</f>
        <v>4.000033847050468E-3</v>
      </c>
      <c r="G339" s="9"/>
      <c r="H339" s="10">
        <f t="shared" si="84"/>
        <v>-98.420000000000016</v>
      </c>
      <c r="I339" s="8">
        <f>IFERROR(H339/H444, "NA")</f>
        <v>-1.3211146115920351E-2</v>
      </c>
      <c r="J339" s="9"/>
      <c r="K339" s="7">
        <v>278.17</v>
      </c>
      <c r="L339" s="8">
        <f>IFERROR(K339/K444, "NA")</f>
        <v>2.6701015055160533E-3</v>
      </c>
      <c r="M339" s="9"/>
      <c r="N339" s="10">
        <f t="shared" si="85"/>
        <v>-274.06</v>
      </c>
      <c r="O339" s="8">
        <f>IFERROR(N339/N444, "NA")</f>
        <v>-1.6389432924185567E-2</v>
      </c>
      <c r="P339" s="9"/>
      <c r="Q339" s="7">
        <v>1339.44</v>
      </c>
      <c r="R339" s="8">
        <f>IFERROR(Q339/Q444, "NA")</f>
        <v>5.1038737221834997E-3</v>
      </c>
      <c r="S339" s="9"/>
      <c r="T339" s="7">
        <v>1039.4100000000001</v>
      </c>
      <c r="U339" s="8">
        <f>IFERROR(T339/T444, "NA")</f>
        <v>4.0000230901555125E-3</v>
      </c>
      <c r="V339" s="9"/>
      <c r="W339" s="10">
        <f t="shared" si="86"/>
        <v>-300.02999999999997</v>
      </c>
      <c r="X339" s="8">
        <f>IFERROR(W339/W444, "NA")</f>
        <v>-0.11606756003961281</v>
      </c>
      <c r="Y339" s="9"/>
      <c r="Z339" s="7">
        <v>902.28</v>
      </c>
      <c r="AA339" s="8">
        <f>IFERROR(Z339/Z444, "NA")</f>
        <v>3.6792813942775238E-3</v>
      </c>
      <c r="AB339" s="9"/>
      <c r="AC339" s="10">
        <f t="shared" si="87"/>
        <v>-437.16000000000008</v>
      </c>
      <c r="AD339" s="8">
        <f>IFERROR(AC339/AC444, "NA")</f>
        <v>-2.5411418397294928E-2</v>
      </c>
    </row>
    <row r="340" spans="1:30" ht="16.5" customHeight="1" x14ac:dyDescent="0.45">
      <c r="A340" s="12" t="s">
        <v>310</v>
      </c>
      <c r="B340" s="7">
        <v>612.4</v>
      </c>
      <c r="C340" s="8">
        <f>IFERROR(B340/B444, "NA")</f>
        <v>5.0652883744601281E-3</v>
      </c>
      <c r="D340" s="9"/>
      <c r="E340" s="7">
        <v>453.81</v>
      </c>
      <c r="F340" s="8">
        <f>IFERROR(E340/E444, "NA")</f>
        <v>4.000033847050468E-3</v>
      </c>
      <c r="G340" s="9"/>
      <c r="H340" s="10">
        <f t="shared" si="84"/>
        <v>-158.58999999999997</v>
      </c>
      <c r="I340" s="8">
        <f>IFERROR(H340/H444, "NA")</f>
        <v>-2.1287905532654014E-2</v>
      </c>
      <c r="J340" s="9"/>
      <c r="K340" s="7">
        <v>516.28</v>
      </c>
      <c r="L340" s="8">
        <f>IFERROR(K340/K444, "NA")</f>
        <v>4.9556746064199153E-3</v>
      </c>
      <c r="M340" s="9"/>
      <c r="N340" s="10">
        <f t="shared" si="85"/>
        <v>-96.12</v>
      </c>
      <c r="O340" s="8">
        <f>IFERROR(N340/N444, "NA")</f>
        <v>-5.7482021917562463E-3</v>
      </c>
      <c r="P340" s="9"/>
      <c r="Q340" s="7">
        <v>1612.61</v>
      </c>
      <c r="R340" s="8">
        <f>IFERROR(Q340/Q444, "NA")</f>
        <v>6.1447752815582124E-3</v>
      </c>
      <c r="S340" s="9"/>
      <c r="T340" s="7">
        <v>1039.4100000000001</v>
      </c>
      <c r="U340" s="8">
        <f>IFERROR(T340/T444, "NA")</f>
        <v>4.0000230901555125E-3</v>
      </c>
      <c r="V340" s="9"/>
      <c r="W340" s="10">
        <f t="shared" si="86"/>
        <v>-573.19999999999982</v>
      </c>
      <c r="X340" s="8">
        <f>IFERROR(W340/W444, "NA")</f>
        <v>-0.22174424362465769</v>
      </c>
      <c r="Y340" s="9"/>
      <c r="Z340" s="7">
        <v>1359.4</v>
      </c>
      <c r="AA340" s="8">
        <f>IFERROR(Z340/Z444, "NA")</f>
        <v>5.5433070968888441E-3</v>
      </c>
      <c r="AB340" s="9"/>
      <c r="AC340" s="10">
        <f t="shared" si="87"/>
        <v>-253.20999999999981</v>
      </c>
      <c r="AD340" s="8">
        <f>IFERROR(AC340/AC444, "NA")</f>
        <v>-1.4718696249380188E-2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3169.78</v>
      </c>
      <c r="C342" s="15">
        <f>IFERROR(B342/B444, "NA")</f>
        <v>2.6217912775304091E-2</v>
      </c>
      <c r="D342" s="2"/>
      <c r="E342" s="14">
        <f>IFERROR(E337+E338+E339+E340+E341, "NA")</f>
        <v>4197.71</v>
      </c>
      <c r="F342" s="15">
        <f>IFERROR(E342/E444, "NA")</f>
        <v>3.7000026619294898E-2</v>
      </c>
      <c r="G342" s="2"/>
      <c r="H342" s="14">
        <f t="shared" si="84"/>
        <v>1027.9299999999998</v>
      </c>
      <c r="I342" s="15">
        <f>IFERROR(H342/H444, "NA")</f>
        <v>0.1379814410377769</v>
      </c>
      <c r="J342" s="2"/>
      <c r="K342" s="14">
        <f>IFERROR(K337+K338+K339+K340+K341, "NA")</f>
        <v>2972.99</v>
      </c>
      <c r="L342" s="15">
        <f>IFERROR(K342/K444, "NA")</f>
        <v>2.8537171783025384E-2</v>
      </c>
      <c r="M342" s="2"/>
      <c r="N342" s="14">
        <f t="shared" si="85"/>
        <v>-196.79000000000042</v>
      </c>
      <c r="O342" s="15">
        <f>IFERROR(N342/N444, "NA")</f>
        <v>-1.1768505090675343E-2</v>
      </c>
      <c r="P342" s="2"/>
      <c r="Q342" s="14">
        <f>IFERROR(Q337+Q338+Q339+Q340+Q341, "NA")</f>
        <v>9987.11</v>
      </c>
      <c r="R342" s="15">
        <f>IFERROR(Q342/Q444, "NA")</f>
        <v>3.8055417405450077E-2</v>
      </c>
      <c r="S342" s="2"/>
      <c r="T342" s="14">
        <f>IFERROR(T337+T338+T339+T340+T341, "NA")</f>
        <v>9614.5</v>
      </c>
      <c r="U342" s="15">
        <f>IFERROR(T342/T444, "NA")</f>
        <v>3.7000050028670274E-2</v>
      </c>
      <c r="V342" s="2"/>
      <c r="W342" s="14">
        <f t="shared" si="86"/>
        <v>-372.61000000000058</v>
      </c>
      <c r="X342" s="15">
        <f>IFERROR(W342/W444, "NA")</f>
        <v>-0.14414536395147221</v>
      </c>
      <c r="Y342" s="2"/>
      <c r="Z342" s="14">
        <f>IFERROR(Z337+Z338+Z339+Z340+Z341, "NA")</f>
        <v>9435.2199999999993</v>
      </c>
      <c r="AA342" s="15">
        <f>IFERROR(Z342/Z444, "NA")</f>
        <v>3.8474563768359241E-2</v>
      </c>
      <c r="AB342" s="2"/>
      <c r="AC342" s="14">
        <f t="shared" si="87"/>
        <v>-551.89000000000124</v>
      </c>
      <c r="AD342" s="15">
        <f>IFERROR(AC342/AC444, "NA")</f>
        <v>-3.2080491580389621E-2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14726.739999999998</v>
      </c>
      <c r="C343" s="15">
        <f>IFERROR(B343/B444, "NA")</f>
        <v>0.12180794401648748</v>
      </c>
      <c r="D343" s="2"/>
      <c r="E343" s="14">
        <f>IFERROR(E328+E329+E330+E331+E332+E333+E334+E335+E337+E338+E339+E340+E341, "NA")</f>
        <v>13313.309999999998</v>
      </c>
      <c r="F343" s="15">
        <f>IFERROR(E343/E444, "NA")</f>
        <v>0.11734798840103888</v>
      </c>
      <c r="G343" s="2"/>
      <c r="H343" s="14">
        <f t="shared" si="84"/>
        <v>-1413.4300000000003</v>
      </c>
      <c r="I343" s="15">
        <f>IFERROR(H343/H444, "NA")</f>
        <v>-0.18972800502565845</v>
      </c>
      <c r="J343" s="2"/>
      <c r="K343" s="14">
        <f>IFERROR(K328+K329+K330+K331+K332+K333+K334+K335+K337+K338+K339+K340+K341, "NA")</f>
        <v>13408.93</v>
      </c>
      <c r="L343" s="15">
        <f>IFERROR(K343/K444, "NA")</f>
        <v>0.1287097968161893</v>
      </c>
      <c r="M343" s="2"/>
      <c r="N343" s="14">
        <f t="shared" si="85"/>
        <v>-1317.8099999999977</v>
      </c>
      <c r="O343" s="15">
        <f>IFERROR(N343/N444, "NA")</f>
        <v>-7.8808139100273455E-2</v>
      </c>
      <c r="P343" s="2"/>
      <c r="Q343" s="14">
        <f>IFERROR(Q328+Q329+Q330+Q331+Q332+Q333+Q334+Q335+Q337+Q338+Q339+Q340+Q341, "NA")</f>
        <v>37523.33</v>
      </c>
      <c r="R343" s="15">
        <f>IFERROR(Q343/Q444, "NA")</f>
        <v>0.14298090094055707</v>
      </c>
      <c r="S343" s="2"/>
      <c r="T343" s="14">
        <f>IFERROR(T328+T329+T330+T331+T332+T333+T334+T335+T337+T338+T339+T340+T341, "NA")</f>
        <v>34773.400000000009</v>
      </c>
      <c r="U343" s="15">
        <f>IFERROR(T343/T444, "NA")</f>
        <v>0.13382053561464072</v>
      </c>
      <c r="V343" s="2"/>
      <c r="W343" s="14">
        <f t="shared" si="86"/>
        <v>-2749.929999999993</v>
      </c>
      <c r="X343" s="15">
        <f>IFERROR(W343/W444, "NA")</f>
        <v>-1.0638191693488375</v>
      </c>
      <c r="Y343" s="2"/>
      <c r="Z343" s="14">
        <f>IFERROR(Z328+Z329+Z330+Z331+Z332+Z333+Z334+Z335+Z337+Z338+Z339+Z340+Z341, "NA")</f>
        <v>35558.6</v>
      </c>
      <c r="AA343" s="15">
        <f>IFERROR(Z343/Z444, "NA")</f>
        <v>0.14499944073520057</v>
      </c>
      <c r="AB343" s="2"/>
      <c r="AC343" s="14">
        <f t="shared" si="87"/>
        <v>-1964.7300000000032</v>
      </c>
      <c r="AD343" s="15">
        <f>IFERROR(AC343/AC444, "NA")</f>
        <v>-0.1142066430316528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14726.739999999998</v>
      </c>
      <c r="C344" s="15">
        <f>IFERROR(B344/B444, "NA")</f>
        <v>0.12180794401648748</v>
      </c>
      <c r="D344" s="2"/>
      <c r="E344" s="14">
        <f>IFERROR(E328+E329+E330+E331+E332+E333+E334+E335+E337+E338+E339+E340+E341, "NA")</f>
        <v>13313.309999999998</v>
      </c>
      <c r="F344" s="15">
        <f>IFERROR(E344/E444, "NA")</f>
        <v>0.11734798840103888</v>
      </c>
      <c r="G344" s="2"/>
      <c r="H344" s="14">
        <f t="shared" si="84"/>
        <v>-1413.4300000000003</v>
      </c>
      <c r="I344" s="15">
        <f>IFERROR(H344/H444, "NA")</f>
        <v>-0.18972800502565845</v>
      </c>
      <c r="J344" s="2"/>
      <c r="K344" s="14">
        <f>IFERROR(K328+K329+K330+K331+K332+K333+K334+K335+K337+K338+K339+K340+K341, "NA")</f>
        <v>13408.93</v>
      </c>
      <c r="L344" s="15">
        <f>IFERROR(K344/K444, "NA")</f>
        <v>0.1287097968161893</v>
      </c>
      <c r="M344" s="2"/>
      <c r="N344" s="14">
        <f t="shared" si="85"/>
        <v>-1317.8099999999977</v>
      </c>
      <c r="O344" s="15">
        <f>IFERROR(N344/N444, "NA")</f>
        <v>-7.8808139100273455E-2</v>
      </c>
      <c r="P344" s="2"/>
      <c r="Q344" s="14">
        <f>IFERROR(Q328+Q329+Q330+Q331+Q332+Q333+Q334+Q335+Q337+Q338+Q339+Q340+Q341, "NA")</f>
        <v>37523.33</v>
      </c>
      <c r="R344" s="15">
        <f>IFERROR(Q344/Q444, "NA")</f>
        <v>0.14298090094055707</v>
      </c>
      <c r="S344" s="2"/>
      <c r="T344" s="14">
        <f>IFERROR(T328+T329+T330+T331+T332+T333+T334+T335+T337+T338+T339+T340+T341, "NA")</f>
        <v>34773.400000000009</v>
      </c>
      <c r="U344" s="15">
        <f>IFERROR(T344/T444, "NA")</f>
        <v>0.13382053561464072</v>
      </c>
      <c r="V344" s="2"/>
      <c r="W344" s="14">
        <f t="shared" si="86"/>
        <v>-2749.929999999993</v>
      </c>
      <c r="X344" s="15">
        <f>IFERROR(W344/W444, "NA")</f>
        <v>-1.0638191693488375</v>
      </c>
      <c r="Y344" s="2"/>
      <c r="Z344" s="14">
        <f>IFERROR(Z328+Z329+Z330+Z331+Z332+Z333+Z334+Z335+Z337+Z338+Z339+Z340+Z341, "NA")</f>
        <v>35558.6</v>
      </c>
      <c r="AA344" s="15">
        <f>IFERROR(Z344/Z444, "NA")</f>
        <v>0.14499944073520057</v>
      </c>
      <c r="AB344" s="2"/>
      <c r="AC344" s="14">
        <f t="shared" si="87"/>
        <v>-1964.7300000000032</v>
      </c>
      <c r="AD344" s="15">
        <f>IFERROR(AC344/AC444, "NA")</f>
        <v>-0.1142066430316528</v>
      </c>
    </row>
    <row r="345" spans="1:30" ht="16.5" customHeight="1" x14ac:dyDescent="0.45">
      <c r="A345" s="22" t="s">
        <v>315</v>
      </c>
      <c r="B345" s="23">
        <f>IFERROR(B198-B325-B344, "NA")</f>
        <v>10212.299999999988</v>
      </c>
      <c r="C345" s="24">
        <f>IFERROR(B345/B444, "NA")</f>
        <v>8.4468067384877707E-2</v>
      </c>
      <c r="D345" s="25"/>
      <c r="E345" s="23">
        <f>IFERROR(E198-E325-E344, "NA")</f>
        <v>13693.260000000002</v>
      </c>
      <c r="F345" s="24">
        <f>IFERROR(E345/E444, "NA")</f>
        <v>0.12069699538675281</v>
      </c>
      <c r="G345" s="25"/>
      <c r="H345" s="23">
        <f>IFERROR(B345-E345, "NA")</f>
        <v>-3480.9600000000137</v>
      </c>
      <c r="I345" s="24">
        <f>IFERROR(H345/H444, "NA")</f>
        <v>-0.46725737841571108</v>
      </c>
      <c r="J345" s="25"/>
      <c r="K345" s="23">
        <f>IFERROR(K198-K325-K344, "NA")</f>
        <v>4303.910000000018</v>
      </c>
      <c r="L345" s="24">
        <f>IFERROR(K345/K444, "NA")</f>
        <v>4.1312422513591129E-2</v>
      </c>
      <c r="M345" s="25"/>
      <c r="N345" s="23">
        <f>IFERROR(B345-K345, "NA")</f>
        <v>5908.3899999999703</v>
      </c>
      <c r="O345" s="24">
        <f>IFERROR(N345/N444, "NA")</f>
        <v>0.35333562575687177</v>
      </c>
      <c r="P345" s="25"/>
      <c r="Q345" s="23">
        <f>IFERROR(Q198-Q325-Q344, "NA")</f>
        <v>894.51000000003842</v>
      </c>
      <c r="R345" s="24">
        <f>IFERROR(Q345/Q444, "NA")</f>
        <v>3.4084886842490579E-3</v>
      </c>
      <c r="S345" s="25"/>
      <c r="T345" s="23">
        <f>IFERROR(T198-T325-T344, "NA")</f>
        <v>17281.929999999957</v>
      </c>
      <c r="U345" s="24">
        <f>IFERROR(T345/T444, "NA")</f>
        <v>6.6507075208484701E-2</v>
      </c>
      <c r="V345" s="25"/>
      <c r="W345" s="23">
        <f>IFERROR(Q345-T345, "NA")</f>
        <v>-16387.419999999918</v>
      </c>
      <c r="X345" s="24">
        <f>IFERROR(W345/W444, "NA")</f>
        <v>-6.3395255632581495</v>
      </c>
      <c r="Y345" s="25"/>
      <c r="Z345" s="23">
        <f>IFERROR(Z198-Z325-Z344, "NA")</f>
        <v>-1422.7699999999386</v>
      </c>
      <c r="AA345" s="24">
        <f>IFERROR(Z345/Z444, "NA")</f>
        <v>-5.8017147552156837E-3</v>
      </c>
      <c r="AB345" s="25"/>
      <c r="AC345" s="23">
        <f>IFERROR(Q345-Z345, "NA")</f>
        <v>2317.279999999977</v>
      </c>
      <c r="AD345" s="24">
        <f>IFERROR(AC345/AC444, "NA")</f>
        <v>0.13469981613981838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10212.299999999988</v>
      </c>
      <c r="C404" s="24">
        <f>IFERROR(B404/B444, "NA")</f>
        <v>8.4468067384877707E-2</v>
      </c>
      <c r="D404" s="25"/>
      <c r="E404" s="23">
        <f>IFERROR(E345-E403, "NA")</f>
        <v>13693.260000000002</v>
      </c>
      <c r="F404" s="24">
        <f>IFERROR(E404/E444, "NA")</f>
        <v>0.12069699538675281</v>
      </c>
      <c r="G404" s="25"/>
      <c r="H404" s="23">
        <f>IFERROR(B404-E404, "NA")</f>
        <v>-3480.9600000000137</v>
      </c>
      <c r="I404" s="24">
        <f>IFERROR(H404/H444, "NA")</f>
        <v>-0.46725737841571108</v>
      </c>
      <c r="J404" s="25"/>
      <c r="K404" s="23">
        <f>IFERROR(K345-K403, "NA")</f>
        <v>4303.910000000018</v>
      </c>
      <c r="L404" s="24">
        <f>IFERROR(K404/K444, "NA")</f>
        <v>4.1312422513591129E-2</v>
      </c>
      <c r="M404" s="25"/>
      <c r="N404" s="23">
        <f>IFERROR(B404-K404, "NA")</f>
        <v>5908.3899999999703</v>
      </c>
      <c r="O404" s="24">
        <f>IFERROR(N404/N444, "NA")</f>
        <v>0.35333562575687177</v>
      </c>
      <c r="P404" s="25"/>
      <c r="Q404" s="23">
        <f>IFERROR(Q345-Q403, "NA")</f>
        <v>894.51000000003842</v>
      </c>
      <c r="R404" s="24">
        <f>IFERROR(Q404/Q444, "NA")</f>
        <v>3.4084886842490579E-3</v>
      </c>
      <c r="S404" s="25"/>
      <c r="T404" s="23">
        <f>IFERROR(T345-T403, "NA")</f>
        <v>17281.929999999957</v>
      </c>
      <c r="U404" s="24">
        <f>IFERROR(T404/T444, "NA")</f>
        <v>6.6507075208484701E-2</v>
      </c>
      <c r="V404" s="25"/>
      <c r="W404" s="23">
        <f>IFERROR(Q404-T404, "NA")</f>
        <v>-16387.419999999918</v>
      </c>
      <c r="X404" s="24">
        <f>IFERROR(W404/W444, "NA")</f>
        <v>-6.3395255632581495</v>
      </c>
      <c r="Y404" s="25"/>
      <c r="Z404" s="23">
        <f>IFERROR(Z345-Z403, "NA")</f>
        <v>-1422.7699999999386</v>
      </c>
      <c r="AA404" s="24">
        <f>IFERROR(Z404/Z444, "NA")</f>
        <v>-5.8017147552156837E-3</v>
      </c>
      <c r="AB404" s="25"/>
      <c r="AC404" s="23">
        <f>IFERROR(Q404-Z404, "NA")</f>
        <v>2317.279999999977</v>
      </c>
      <c r="AD404" s="24">
        <f>IFERROR(AC404/AC444, "NA")</f>
        <v>0.13469981613981838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4159.12</v>
      </c>
      <c r="F407" s="8">
        <f>IFERROR(E407/E444, "NA")</f>
        <v>3.6659881390768256E-2</v>
      </c>
      <c r="G407" s="9"/>
      <c r="H407" s="10">
        <f t="shared" ref="H407:H429" si="100">IFERROR(-(B407-E407), "NA")</f>
        <v>4159.12</v>
      </c>
      <c r="I407" s="8">
        <f>IFERROR(H407/H444, "NA")</f>
        <v>0.55828837668813902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11969.13</v>
      </c>
      <c r="U407" s="8">
        <f>IFERROR(T407/T444, "NA")</f>
        <v>4.6061512174284489E-2</v>
      </c>
      <c r="V407" s="9"/>
      <c r="W407" s="10">
        <f t="shared" ref="W407:W429" si="102">IFERROR(-(Q407-T407), "NA")</f>
        <v>11969.13</v>
      </c>
      <c r="X407" s="8">
        <f>IFERROR(W407/W444, "NA")</f>
        <v>4.6302960200544314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5396.21</v>
      </c>
      <c r="C410" s="8">
        <f>IFERROR(B410/B444, "NA")</f>
        <v>4.4633180566860692E-2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-5396.21</v>
      </c>
      <c r="I410" s="8">
        <f>IFERROR(H410/H444, "NA")</f>
        <v>-0.72434585228805681</v>
      </c>
      <c r="J410" s="9"/>
      <c r="K410" s="7">
        <v>3879.35</v>
      </c>
      <c r="L410" s="8">
        <f>IFERROR(K410/K444, "NA")</f>
        <v>3.7237150934405945E-2</v>
      </c>
      <c r="M410" s="9"/>
      <c r="N410" s="10">
        <f t="shared" si="101"/>
        <v>-1516.8600000000001</v>
      </c>
      <c r="O410" s="8">
        <f>IFERROR(N410/N444, "NA")</f>
        <v>-9.0711797509232001E-2</v>
      </c>
      <c r="P410" s="9"/>
      <c r="Q410" s="7">
        <v>14867.48</v>
      </c>
      <c r="R410" s="8">
        <f>IFERROR(Q410/Q444, "NA")</f>
        <v>5.6651839938398681E-2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-14867.48</v>
      </c>
      <c r="X410" s="8">
        <f>IFERROR(W410/W444, "NA")</f>
        <v>-5.7515319385986166</v>
      </c>
      <c r="Y410" s="9"/>
      <c r="Z410" s="7">
        <v>11545.23</v>
      </c>
      <c r="AA410" s="8">
        <f>IFERROR(Z410/Z444, "NA")</f>
        <v>4.7078678383267611E-2</v>
      </c>
      <c r="AB410" s="9"/>
      <c r="AC410" s="10">
        <f t="shared" si="103"/>
        <v>-3322.25</v>
      </c>
      <c r="AD410" s="8">
        <f>IFERROR(AC410/AC444, "NA")</f>
        <v>-0.19311713050236312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4.2300000000000004</v>
      </c>
      <c r="C417" s="8">
        <f>IFERROR(B417/B444, "NA")</f>
        <v>3.4987213951610621E-5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-4.2300000000000004</v>
      </c>
      <c r="I417" s="8">
        <f>IFERROR(H417/H444, "NA")</f>
        <v>-5.6780276438064511E-4</v>
      </c>
      <c r="J417" s="9"/>
      <c r="K417" s="7">
        <v>14.04</v>
      </c>
      <c r="L417" s="8">
        <f>IFERROR(K417/K444, "NA")</f>
        <v>1.3476731904031846E-4</v>
      </c>
      <c r="M417" s="9"/>
      <c r="N417" s="10">
        <f t="shared" si="101"/>
        <v>9.8099999999999987</v>
      </c>
      <c r="O417" s="8">
        <f>IFERROR(N417/N444, "NA")</f>
        <v>5.8666108511369911E-4</v>
      </c>
      <c r="P417" s="9"/>
      <c r="Q417" s="7">
        <v>10.47</v>
      </c>
      <c r="R417" s="8">
        <f>IFERROR(Q417/Q444, "NA")</f>
        <v>3.989544725501795E-5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-10.47</v>
      </c>
      <c r="X417" s="8">
        <f>IFERROR(W417/W444, "NA")</f>
        <v>-4.0503528101014773E-3</v>
      </c>
      <c r="Y417" s="9"/>
      <c r="Z417" s="7">
        <v>61.64</v>
      </c>
      <c r="AA417" s="8">
        <f>IFERROR(Z417/Z444, "NA")</f>
        <v>2.5135313333252048E-4</v>
      </c>
      <c r="AB417" s="9"/>
      <c r="AC417" s="10">
        <f t="shared" si="103"/>
        <v>51.17</v>
      </c>
      <c r="AD417" s="8">
        <f>IFERROR(AC417/AC444, "NA")</f>
        <v>2.9744310535949796E-3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67.08</v>
      </c>
      <c r="C424" s="8">
        <f>IFERROR(B424/B444, "NA")</f>
        <v>5.5483269784256271E-4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-67.08</v>
      </c>
      <c r="I424" s="8">
        <f>IFERROR(H424/H444, "NA")</f>
        <v>-9.0043048308873913E-3</v>
      </c>
      <c r="J424" s="9"/>
      <c r="K424" s="7">
        <v>47.92</v>
      </c>
      <c r="L424" s="8">
        <f>IFERROR(K424/K444, "NA")</f>
        <v>4.5997506612621518E-4</v>
      </c>
      <c r="M424" s="9"/>
      <c r="N424" s="10">
        <f t="shared" si="101"/>
        <v>-19.159999999999997</v>
      </c>
      <c r="O424" s="8">
        <f>IFERROR(N424/N444, "NA")</f>
        <v>-1.1458130877450025E-3</v>
      </c>
      <c r="P424" s="9"/>
      <c r="Q424" s="7">
        <v>201.24</v>
      </c>
      <c r="R424" s="8">
        <f>IFERROR(Q424/Q444, "NA")</f>
        <v>7.6681564523398387E-4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-201.24</v>
      </c>
      <c r="X424" s="8">
        <f>IFERROR(W424/W444, "NA")</f>
        <v>-7.7850334241148178E-2</v>
      </c>
      <c r="Y424" s="9"/>
      <c r="Z424" s="7">
        <v>143.76</v>
      </c>
      <c r="AA424" s="8">
        <f>IFERROR(Z424/Z444, "NA")</f>
        <v>5.8621879376838327E-4</v>
      </c>
      <c r="AB424" s="9"/>
      <c r="AC424" s="10">
        <f t="shared" si="103"/>
        <v>-57.480000000000018</v>
      </c>
      <c r="AD424" s="8">
        <f>IFERROR(AC424/AC444, "NA")</f>
        <v>-3.341221359402765E-3</v>
      </c>
    </row>
    <row r="425" spans="1:30" ht="16.5" customHeight="1" x14ac:dyDescent="0.45">
      <c r="A425" s="6" t="s">
        <v>390</v>
      </c>
      <c r="B425" s="7">
        <v>12875.21</v>
      </c>
      <c r="C425" s="8">
        <f>IFERROR(B425/B444, "NA")</f>
        <v>0.10649355246853817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-12875.21</v>
      </c>
      <c r="I425" s="8">
        <f>IFERROR(H425/H444, "NA")</f>
        <v>-1.7282694633525588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-12875.21</v>
      </c>
      <c r="O425" s="8">
        <f>IFERROR(N425/N444, "NA")</f>
        <v>-0.76996785623514286</v>
      </c>
      <c r="P425" s="9"/>
      <c r="Q425" s="7">
        <v>12875.21</v>
      </c>
      <c r="R425" s="8">
        <f>IFERROR(Q425/Q444, "NA")</f>
        <v>4.9060387913302729E-2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-12875.21</v>
      </c>
      <c r="X425" s="8">
        <f>IFERROR(W425/W444, "NA")</f>
        <v>-4.9808159507303378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-12875.21</v>
      </c>
      <c r="AD425" s="8">
        <f>IFERROR(AC425/AC444, "NA")</f>
        <v>-0.74841556469721737</v>
      </c>
    </row>
    <row r="426" spans="1:30" ht="16.5" customHeight="1" x14ac:dyDescent="0.45">
      <c r="A426" s="6" t="s">
        <v>391</v>
      </c>
      <c r="B426" s="7">
        <v>-102.23</v>
      </c>
      <c r="C426" s="8">
        <f>IFERROR(B426/B444, "NA")</f>
        <v>-8.4556569320878329E-4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102.23</v>
      </c>
      <c r="I426" s="8">
        <f>IFERROR(H426/H444, "NA")</f>
        <v>1.3722571300858947E-2</v>
      </c>
      <c r="J426" s="9"/>
      <c r="K426" s="7">
        <v>-122.1</v>
      </c>
      <c r="L426" s="8">
        <f>IFERROR(K426/K444, "NA")</f>
        <v>-1.1720149326796927E-3</v>
      </c>
      <c r="M426" s="9"/>
      <c r="N426" s="10">
        <f t="shared" si="101"/>
        <v>-19.86999999999999</v>
      </c>
      <c r="O426" s="8">
        <f>IFERROR(N426/N444, "NA")</f>
        <v>-1.1882727585330478E-3</v>
      </c>
      <c r="P426" s="9"/>
      <c r="Q426" s="7">
        <v>-331.22</v>
      </c>
      <c r="R426" s="8">
        <f>IFERROR(Q426/Q444, "NA")</f>
        <v>-1.2620983801152859E-3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331.22</v>
      </c>
      <c r="X426" s="8">
        <f>IFERROR(W426/W444, "NA")</f>
        <v>0.12813351076999155</v>
      </c>
      <c r="Y426" s="9"/>
      <c r="Z426" s="7">
        <v>-400.09</v>
      </c>
      <c r="AA426" s="8">
        <f>IFERROR(Z426/Z444, "NA")</f>
        <v>-1.6314710433972764E-3</v>
      </c>
      <c r="AB426" s="9"/>
      <c r="AC426" s="10">
        <f t="shared" si="103"/>
        <v>-68.869999999999948</v>
      </c>
      <c r="AD426" s="8">
        <f>IFERROR(AC426/AC444, "NA")</f>
        <v>-4.003304019173072E-3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18240.5</v>
      </c>
      <c r="C428" s="15">
        <f>IFERROR(B428/B444, "NA")</f>
        <v>0.15087098725398426</v>
      </c>
      <c r="D428" s="2"/>
      <c r="E428" s="14">
        <f>IFERROR(E407+E408+E409+E410+E411+E412+E413+E414+E415+E416+E417+E418+E419+E420+E421+E422+E423+E424+E425+E426+E427, "NA")</f>
        <v>4159.12</v>
      </c>
      <c r="F428" s="15">
        <f>IFERROR(E428/E444, "NA")</f>
        <v>3.6659881390768256E-2</v>
      </c>
      <c r="G428" s="2"/>
      <c r="H428" s="14">
        <f t="shared" si="100"/>
        <v>-14081.380000000001</v>
      </c>
      <c r="I428" s="15">
        <f>IFERROR(H428/H444, "NA")</f>
        <v>-1.8901764752468859</v>
      </c>
      <c r="J428" s="2"/>
      <c r="K428" s="14">
        <f>IFERROR(K407+K408+K409+K410+K411+K412+K413+K414+K415+K416+K417+K418+K419+K420+K421+K422+K423+K424+K425+K426+K427, "NA")</f>
        <v>3819.21</v>
      </c>
      <c r="L428" s="15">
        <f>IFERROR(K428/K444, "NA")</f>
        <v>3.6659878386892789E-2</v>
      </c>
      <c r="M428" s="2"/>
      <c r="N428" s="14">
        <f t="shared" si="101"/>
        <v>-14421.29</v>
      </c>
      <c r="O428" s="15">
        <f>IFERROR(N428/N444, "NA")</f>
        <v>-0.86242707850553924</v>
      </c>
      <c r="P428" s="2"/>
      <c r="Q428" s="14">
        <f>IFERROR(Q407+Q408+Q409+Q410+Q411+Q412+Q413+Q414+Q415+Q416+Q417+Q418+Q419+Q420+Q421+Q422+Q423+Q424+Q425+Q426+Q427, "NA")</f>
        <v>27623.179999999997</v>
      </c>
      <c r="R428" s="15">
        <f>IFERROR(Q428/Q444, "NA")</f>
        <v>0.10525684056407511</v>
      </c>
      <c r="S428" s="2"/>
      <c r="T428" s="14">
        <f>IFERROR(T407+T408+T409+T410+T411+T412+T413+T414+T415+T416+T417+T418+T419+T420+T421+T422+T423+T424+T425+T426+T427, "NA")</f>
        <v>11969.13</v>
      </c>
      <c r="U428" s="15">
        <f>IFERROR(T428/T444, "NA")</f>
        <v>4.6061512174284489E-2</v>
      </c>
      <c r="V428" s="2"/>
      <c r="W428" s="14">
        <f t="shared" si="102"/>
        <v>-15654.049999999997</v>
      </c>
      <c r="X428" s="15">
        <f>IFERROR(W428/W444, "NA")</f>
        <v>-6.055819045555781</v>
      </c>
      <c r="Y428" s="2"/>
      <c r="Z428" s="14">
        <f>IFERROR(Z407+Z408+Z409+Z410+Z411+Z412+Z413+Z414+Z415+Z416+Z417+Z418+Z419+Z420+Z421+Z422+Z423+Z424+Z425+Z426+Z427, "NA")</f>
        <v>11350.539999999999</v>
      </c>
      <c r="AA428" s="15">
        <f>IFERROR(Z428/Z444, "NA")</f>
        <v>4.6284779266971235E-2</v>
      </c>
      <c r="AB428" s="2"/>
      <c r="AC428" s="14">
        <f t="shared" si="103"/>
        <v>-16272.639999999998</v>
      </c>
      <c r="AD428" s="15">
        <f>IFERROR(AC428/AC444, "NA")</f>
        <v>-0.9459027895245613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18240.5</v>
      </c>
      <c r="C429" s="15">
        <f>IFERROR(B429/B444, "NA")</f>
        <v>0.15087098725398426</v>
      </c>
      <c r="D429" s="2"/>
      <c r="E429" s="14">
        <f>IFERROR(E407+E408+E409+E410+E411+E412+E413+E414+E415+E416+E417+E418+E419+E420+E421+E422+E423+E424+E425+E426+E427, "NA")</f>
        <v>4159.12</v>
      </c>
      <c r="F429" s="15">
        <f>IFERROR(E429/E444, "NA")</f>
        <v>3.6659881390768256E-2</v>
      </c>
      <c r="G429" s="2"/>
      <c r="H429" s="14">
        <f t="shared" si="100"/>
        <v>-14081.380000000001</v>
      </c>
      <c r="I429" s="15">
        <f>IFERROR(H429/H444, "NA")</f>
        <v>-1.8901764752468859</v>
      </c>
      <c r="J429" s="2"/>
      <c r="K429" s="14">
        <f>IFERROR(K407+K408+K409+K410+K411+K412+K413+K414+K415+K416+K417+K418+K419+K420+K421+K422+K423+K424+K425+K426+K427, "NA")</f>
        <v>3819.21</v>
      </c>
      <c r="L429" s="15">
        <f>IFERROR(K429/K444, "NA")</f>
        <v>3.6659878386892789E-2</v>
      </c>
      <c r="M429" s="2"/>
      <c r="N429" s="14">
        <f t="shared" si="101"/>
        <v>-14421.29</v>
      </c>
      <c r="O429" s="15">
        <f>IFERROR(N429/N444, "NA")</f>
        <v>-0.86242707850553924</v>
      </c>
      <c r="P429" s="2"/>
      <c r="Q429" s="14">
        <f>IFERROR(Q407+Q408+Q409+Q410+Q411+Q412+Q413+Q414+Q415+Q416+Q417+Q418+Q419+Q420+Q421+Q422+Q423+Q424+Q425+Q426+Q427, "NA")</f>
        <v>27623.179999999997</v>
      </c>
      <c r="R429" s="15">
        <f>IFERROR(Q429/Q444, "NA")</f>
        <v>0.10525684056407511</v>
      </c>
      <c r="S429" s="2"/>
      <c r="T429" s="14">
        <f>IFERROR(T407+T408+T409+T410+T411+T412+T413+T414+T415+T416+T417+T418+T419+T420+T421+T422+T423+T424+T425+T426+T427, "NA")</f>
        <v>11969.13</v>
      </c>
      <c r="U429" s="15">
        <f>IFERROR(T429/T444, "NA")</f>
        <v>4.6061512174284489E-2</v>
      </c>
      <c r="V429" s="2"/>
      <c r="W429" s="14">
        <f t="shared" si="102"/>
        <v>-15654.049999999997</v>
      </c>
      <c r="X429" s="15">
        <f>IFERROR(W429/W444, "NA")</f>
        <v>-6.055819045555781</v>
      </c>
      <c r="Y429" s="2"/>
      <c r="Z429" s="14">
        <f>IFERROR(Z407+Z408+Z409+Z410+Z411+Z412+Z413+Z414+Z415+Z416+Z417+Z418+Z419+Z420+Z421+Z422+Z423+Z424+Z425+Z426+Z427, "NA")</f>
        <v>11350.539999999999</v>
      </c>
      <c r="AA429" s="15">
        <f>IFERROR(Z429/Z444, "NA")</f>
        <v>4.6284779266971235E-2</v>
      </c>
      <c r="AB429" s="2"/>
      <c r="AC429" s="14">
        <f t="shared" si="103"/>
        <v>-16272.639999999998</v>
      </c>
      <c r="AD429" s="15">
        <f>IFERROR(AC429/AC444, "NA")</f>
        <v>-0.9459027895245613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-8028.2000000000116</v>
      </c>
      <c r="C443" s="24">
        <f>IFERROR(B443/B444, "NA")</f>
        <v>-6.6402919869106555E-2</v>
      </c>
      <c r="D443" s="25"/>
      <c r="E443" s="23">
        <f>IFERROR(E404-E429-E442, "NA")</f>
        <v>9534.1400000000031</v>
      </c>
      <c r="F443" s="24">
        <f>IFERROR(E443/E444, "NA")</f>
        <v>8.4037113995984569E-2</v>
      </c>
      <c r="G443" s="25"/>
      <c r="H443" s="23">
        <f>IFERROR(B443-E443, "NA")</f>
        <v>-17562.340000000015</v>
      </c>
      <c r="I443" s="24">
        <f>IFERROR(H443/H444, "NA")</f>
        <v>-2.3574338536625969</v>
      </c>
      <c r="J443" s="25"/>
      <c r="K443" s="23">
        <f>IFERROR(K404-K429-K442, "NA")</f>
        <v>484.70000000001801</v>
      </c>
      <c r="L443" s="24">
        <f>IFERROR(K443/K444, "NA")</f>
        <v>4.6525441266983469E-3</v>
      </c>
      <c r="M443" s="25"/>
      <c r="N443" s="23">
        <f>IFERROR(B443-K443, "NA")</f>
        <v>-8512.9000000000306</v>
      </c>
      <c r="O443" s="24">
        <f>IFERROR(N443/N444, "NA")</f>
        <v>-0.50909145274866752</v>
      </c>
      <c r="P443" s="25"/>
      <c r="Q443" s="23">
        <f>IFERROR(Q404-Q429-Q442, "NA")</f>
        <v>-26728.669999999958</v>
      </c>
      <c r="R443" s="24">
        <f>IFERROR(Q443/Q444, "NA")</f>
        <v>-0.10184835187982606</v>
      </c>
      <c r="S443" s="25"/>
      <c r="T443" s="23">
        <f>IFERROR(T404-T429-T442, "NA")</f>
        <v>5312.7999999999574</v>
      </c>
      <c r="U443" s="24">
        <f>IFERROR(T443/T444, "NA")</f>
        <v>2.0445563034200205E-2</v>
      </c>
      <c r="V443" s="25"/>
      <c r="W443" s="23">
        <f>IFERROR(Q443-T443, "NA")</f>
        <v>-32041.469999999914</v>
      </c>
      <c r="X443" s="24">
        <f>IFERROR(W443/W444, "NA")</f>
        <v>-12.395344608813929</v>
      </c>
      <c r="Y443" s="25"/>
      <c r="Z443" s="23">
        <f>IFERROR(Z404-Z429-Z442, "NA")</f>
        <v>-12773.309999999938</v>
      </c>
      <c r="AA443" s="24">
        <f>IFERROR(Z443/Z444, "NA")</f>
        <v>-5.2086494022186916E-2</v>
      </c>
      <c r="AB443" s="25"/>
      <c r="AC443" s="23">
        <f>IFERROR(Q443-Z443, "NA")</f>
        <v>-13955.360000000021</v>
      </c>
      <c r="AD443" s="24">
        <f>IFERROR(AC443/AC444, "NA")</f>
        <v>-0.8112029733847429</v>
      </c>
    </row>
    <row r="444" spans="1:30" ht="15.75" hidden="1" x14ac:dyDescent="0.45">
      <c r="A444" s="26" t="s">
        <v>117</v>
      </c>
      <c r="B444" s="7">
        <v>120901.31</v>
      </c>
      <c r="C444" s="27"/>
      <c r="D444" s="9"/>
      <c r="E444" s="7">
        <v>113451.54</v>
      </c>
      <c r="F444" s="27"/>
      <c r="G444" s="9"/>
      <c r="H444" s="10">
        <f>IFERROR(B444-E444, "NA")</f>
        <v>7449.7700000000041</v>
      </c>
      <c r="I444" s="27"/>
      <c r="J444" s="9"/>
      <c r="K444" s="7">
        <v>104179.56</v>
      </c>
      <c r="L444" s="27"/>
      <c r="M444" s="9"/>
      <c r="N444" s="10">
        <f>IFERROR(B444-K444, "NA")</f>
        <v>16721.75</v>
      </c>
      <c r="O444" s="27"/>
      <c r="P444" s="9"/>
      <c r="Q444" s="7">
        <v>262435.96000000002</v>
      </c>
      <c r="R444" s="27"/>
      <c r="S444" s="9"/>
      <c r="T444" s="7">
        <v>259851</v>
      </c>
      <c r="U444" s="27"/>
      <c r="V444" s="9"/>
      <c r="W444" s="10">
        <f>IFERROR(Q444-T444, "NA")</f>
        <v>2584.960000000021</v>
      </c>
      <c r="X444" s="27"/>
      <c r="Y444" s="9"/>
      <c r="Z444" s="7">
        <v>245232.67</v>
      </c>
      <c r="AA444" s="27"/>
      <c r="AB444" s="9"/>
      <c r="AC444" s="10">
        <f>IFERROR(Q444-Z444, "NA")</f>
        <v>17203.290000000008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67904.61</v>
      </c>
      <c r="F10" s="8">
        <f>IFERROR(E10/E444, "NA")</f>
        <v>0.28000000494811778</v>
      </c>
      <c r="G10" s="9"/>
      <c r="H10" s="10">
        <f t="shared" ref="H10:H19" si="0">IFERROR(B10-E10, "NA")</f>
        <v>-67904.61</v>
      </c>
      <c r="I10" s="8">
        <f>IFERROR(H10/H444, "NA")</f>
        <v>-3.3897306620009067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151586.03</v>
      </c>
      <c r="U10" s="8">
        <f>IFERROR(T10/T444, "NA")</f>
        <v>0.28000000443312623</v>
      </c>
      <c r="V10" s="9"/>
      <c r="W10" s="10">
        <f t="shared" ref="W10:W19" si="2">IFERROR(Q10-T10, "NA")</f>
        <v>-151586.03</v>
      </c>
      <c r="X10" s="8">
        <f>IFERROR(W10/W444, "NA")</f>
        <v>-5.7146767630233901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62076.35</v>
      </c>
      <c r="C11" s="8">
        <f>IFERROR(B11/B444, "NA")</f>
        <v>0.23643727943871487</v>
      </c>
      <c r="D11" s="9"/>
      <c r="E11" s="7">
        <v>0</v>
      </c>
      <c r="F11" s="8">
        <f>IFERROR(E11/E444, "NA")</f>
        <v>0</v>
      </c>
      <c r="G11" s="9"/>
      <c r="H11" s="10">
        <f t="shared" si="0"/>
        <v>62076.35</v>
      </c>
      <c r="I11" s="8">
        <f>IFERROR(H11/H444, "NA")</f>
        <v>3.0987897136895413</v>
      </c>
      <c r="J11" s="9"/>
      <c r="K11" s="7">
        <v>64144.63</v>
      </c>
      <c r="L11" s="8">
        <f>IFERROR(K11/K444, "NA")</f>
        <v>0.28750713449405396</v>
      </c>
      <c r="M11" s="9"/>
      <c r="N11" s="10">
        <f t="shared" si="1"/>
        <v>-2068.2799999999988</v>
      </c>
      <c r="O11" s="8">
        <f>IFERROR(N11/N444, "NA")</f>
        <v>-5.2437599970995896E-2</v>
      </c>
      <c r="P11" s="9"/>
      <c r="Q11" s="7">
        <v>131616.48000000001</v>
      </c>
      <c r="R11" s="8">
        <f>IFERROR(Q11/Q444, "NA")</f>
        <v>0.23175815803226463</v>
      </c>
      <c r="S11" s="9"/>
      <c r="T11" s="7">
        <v>0</v>
      </c>
      <c r="U11" s="8">
        <f>IFERROR(T11/T444, "NA")</f>
        <v>0</v>
      </c>
      <c r="V11" s="9"/>
      <c r="W11" s="10">
        <f t="shared" si="2"/>
        <v>131616.48000000001</v>
      </c>
      <c r="X11" s="8">
        <f>IFERROR(W11/W444, "NA")</f>
        <v>4.9618400843859609</v>
      </c>
      <c r="Y11" s="9"/>
      <c r="Z11" s="7">
        <v>126794.23</v>
      </c>
      <c r="AA11" s="8">
        <f>IFERROR(Z11/Z444, "NA")</f>
        <v>0.24864937826394123</v>
      </c>
      <c r="AB11" s="9"/>
      <c r="AC11" s="10">
        <f t="shared" si="3"/>
        <v>4822.2500000000146</v>
      </c>
      <c r="AD11" s="8">
        <f>IFERROR(AC11/AC444, "NA")</f>
        <v>8.3181551833375264E-2</v>
      </c>
    </row>
    <row r="12" spans="1:30" ht="16.5" customHeight="1" x14ac:dyDescent="0.45">
      <c r="A12" s="12" t="s">
        <v>14</v>
      </c>
      <c r="B12" s="7">
        <v>6295.75</v>
      </c>
      <c r="C12" s="8">
        <f>IFERROR(B12/B444, "NA")</f>
        <v>2.3979341601532457E-2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6295.75</v>
      </c>
      <c r="I12" s="8">
        <f>IFERROR(H12/H444, "NA")</f>
        <v>0.314277584618956</v>
      </c>
      <c r="J12" s="9"/>
      <c r="K12" s="7">
        <v>5475.39</v>
      </c>
      <c r="L12" s="8">
        <f>IFERROR(K12/K444, "NA")</f>
        <v>2.4541628646659874E-2</v>
      </c>
      <c r="M12" s="9"/>
      <c r="N12" s="10">
        <f t="shared" si="1"/>
        <v>820.35999999999967</v>
      </c>
      <c r="O12" s="8">
        <f>IFERROR(N12/N444, "NA")</f>
        <v>2.079878426141828E-2</v>
      </c>
      <c r="P12" s="9"/>
      <c r="Q12" s="7">
        <v>13066.85</v>
      </c>
      <c r="R12" s="8">
        <f>IFERROR(Q12/Q444, "NA")</f>
        <v>2.3008889823553227E-2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13066.85</v>
      </c>
      <c r="X12" s="8">
        <f>IFERROR(W12/W444, "NA")</f>
        <v>0.49261019673720713</v>
      </c>
      <c r="Y12" s="9"/>
      <c r="Z12" s="7">
        <v>10421.790000000001</v>
      </c>
      <c r="AA12" s="8">
        <f>IFERROR(Z12/Z444, "NA")</f>
        <v>2.0437614581494446E-2</v>
      </c>
      <c r="AB12" s="9"/>
      <c r="AC12" s="10">
        <f t="shared" si="3"/>
        <v>2645.0599999999995</v>
      </c>
      <c r="AD12" s="8">
        <f>IFERROR(AC12/AC444, "NA")</f>
        <v>4.5626044998162037E-2</v>
      </c>
    </row>
    <row r="13" spans="1:30" ht="16.5" customHeight="1" x14ac:dyDescent="0.45">
      <c r="A13" s="12" t="s">
        <v>15</v>
      </c>
      <c r="B13" s="7">
        <v>166.5</v>
      </c>
      <c r="C13" s="8">
        <f>IFERROR(B13/B444, "NA")</f>
        <v>6.3416755377121935E-4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166.5</v>
      </c>
      <c r="I13" s="8">
        <f>IFERROR(H13/H444, "NA")</f>
        <v>8.3115145676140537E-3</v>
      </c>
      <c r="J13" s="9"/>
      <c r="K13" s="7">
        <v>640</v>
      </c>
      <c r="L13" s="8">
        <f>IFERROR(K13/K444, "NA")</f>
        <v>2.8685887825090667E-3</v>
      </c>
      <c r="M13" s="9"/>
      <c r="N13" s="10">
        <f t="shared" si="1"/>
        <v>-473.5</v>
      </c>
      <c r="O13" s="8">
        <f>IFERROR(N13/N444, "NA")</f>
        <v>-1.2004759310280316E-2</v>
      </c>
      <c r="P13" s="9"/>
      <c r="Q13" s="7">
        <v>365</v>
      </c>
      <c r="R13" s="8">
        <f>IFERROR(Q13/Q444, "NA")</f>
        <v>6.4271379755617675E-4</v>
      </c>
      <c r="S13" s="9"/>
      <c r="T13" s="7">
        <v>0</v>
      </c>
      <c r="U13" s="8">
        <f>IFERROR(T13/T444, "NA")</f>
        <v>0</v>
      </c>
      <c r="V13" s="9"/>
      <c r="W13" s="10">
        <f t="shared" si="2"/>
        <v>365</v>
      </c>
      <c r="X13" s="8">
        <f>IFERROR(W13/W444, "NA")</f>
        <v>1.3760219319046335E-2</v>
      </c>
      <c r="Y13" s="9"/>
      <c r="Z13" s="7">
        <v>926</v>
      </c>
      <c r="AA13" s="8">
        <f>IFERROR(Z13/Z444, "NA")</f>
        <v>1.8159290392978419E-3</v>
      </c>
      <c r="AB13" s="9"/>
      <c r="AC13" s="10">
        <f t="shared" si="3"/>
        <v>-561</v>
      </c>
      <c r="AD13" s="8">
        <f>IFERROR(AC13/AC444, "NA")</f>
        <v>-9.6769870036857025E-3</v>
      </c>
    </row>
    <row r="14" spans="1:30" ht="16.5" customHeight="1" x14ac:dyDescent="0.45">
      <c r="A14" s="12" t="s">
        <v>16</v>
      </c>
      <c r="B14" s="7">
        <v>35</v>
      </c>
      <c r="C14" s="8">
        <f>IFERROR(B14/B444, "NA")</f>
        <v>1.3330849478674281E-4</v>
      </c>
      <c r="D14" s="9"/>
      <c r="E14" s="7">
        <v>0</v>
      </c>
      <c r="F14" s="8">
        <f>IFERROR(E14/E444, "NA")</f>
        <v>0</v>
      </c>
      <c r="G14" s="9"/>
      <c r="H14" s="10">
        <f t="shared" si="0"/>
        <v>35</v>
      </c>
      <c r="I14" s="8">
        <f>IFERROR(H14/H444, "NA")</f>
        <v>1.7471652244233746E-3</v>
      </c>
      <c r="J14" s="9"/>
      <c r="K14" s="7">
        <v>720</v>
      </c>
      <c r="L14" s="8">
        <f>IFERROR(K14/K444, "NA")</f>
        <v>3.2271623803227E-3</v>
      </c>
      <c r="M14" s="9"/>
      <c r="N14" s="10">
        <f t="shared" si="1"/>
        <v>-685</v>
      </c>
      <c r="O14" s="8">
        <f>IFERROR(N14/N444, "NA")</f>
        <v>-1.7366969646340057E-2</v>
      </c>
      <c r="P14" s="9"/>
      <c r="Q14" s="7">
        <v>80</v>
      </c>
      <c r="R14" s="8">
        <f>IFERROR(Q14/Q444, "NA")</f>
        <v>1.4086877754655928E-4</v>
      </c>
      <c r="S14" s="9"/>
      <c r="T14" s="7">
        <v>0</v>
      </c>
      <c r="U14" s="8">
        <f>IFERROR(T14/T444, "NA")</f>
        <v>0</v>
      </c>
      <c r="V14" s="9"/>
      <c r="W14" s="10">
        <f t="shared" si="2"/>
        <v>80</v>
      </c>
      <c r="X14" s="8">
        <f>IFERROR(W14/W444, "NA")</f>
        <v>3.0159384808868678E-3</v>
      </c>
      <c r="Y14" s="9"/>
      <c r="Z14" s="7">
        <v>1145</v>
      </c>
      <c r="AA14" s="8">
        <f>IFERROR(Z14/Z444, "NA")</f>
        <v>2.2453982181382601E-3</v>
      </c>
      <c r="AB14" s="9"/>
      <c r="AC14" s="10">
        <f t="shared" si="3"/>
        <v>-1065</v>
      </c>
      <c r="AD14" s="8">
        <f>IFERROR(AC14/AC444, "NA")</f>
        <v>-1.8370750728922056E-2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7.9985096872045678E-5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1.0482991346540248E-3</v>
      </c>
      <c r="J15" s="9"/>
      <c r="K15" s="7">
        <v>103</v>
      </c>
      <c r="L15" s="8">
        <f>IFERROR(K15/K444, "NA")</f>
        <v>4.6166350718505292E-4</v>
      </c>
      <c r="M15" s="9"/>
      <c r="N15" s="10">
        <f t="shared" si="1"/>
        <v>-82</v>
      </c>
      <c r="O15" s="8">
        <f>IFERROR(N15/N444, "NA")</f>
        <v>-2.0789657094888825E-3</v>
      </c>
      <c r="P15" s="9"/>
      <c r="Q15" s="7">
        <v>110</v>
      </c>
      <c r="R15" s="8">
        <f>IFERROR(Q15/Q444, "NA")</f>
        <v>1.93694569126519E-4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110</v>
      </c>
      <c r="X15" s="8">
        <f>IFERROR(W15/W444, "NA")</f>
        <v>4.1469154112194432E-3</v>
      </c>
      <c r="Y15" s="9"/>
      <c r="Z15" s="7">
        <v>260</v>
      </c>
      <c r="AA15" s="8">
        <f>IFERROR(Z15/Z444, "NA")</f>
        <v>5.0987208446807649E-4</v>
      </c>
      <c r="AB15" s="9"/>
      <c r="AC15" s="10">
        <f t="shared" si="3"/>
        <v>-150</v>
      </c>
      <c r="AD15" s="8">
        <f>IFERROR(AC15/AC444, "NA")</f>
        <v>-2.587429680129867E-3</v>
      </c>
    </row>
    <row r="16" spans="1:30" ht="16.5" customHeight="1" x14ac:dyDescent="0.45">
      <c r="A16" s="12" t="s">
        <v>18</v>
      </c>
      <c r="B16" s="7">
        <v>0.1</v>
      </c>
      <c r="C16" s="8">
        <f>IFERROR(B16/B444, "NA")</f>
        <v>3.80881413676408E-7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0.1</v>
      </c>
      <c r="I16" s="8">
        <f>IFERROR(H16/H444, "NA")</f>
        <v>4.991900641209642E-6</v>
      </c>
      <c r="J16" s="9"/>
      <c r="K16" s="7">
        <v>0</v>
      </c>
      <c r="L16" s="8">
        <f>IFERROR(K16/K444, "NA")</f>
        <v>0</v>
      </c>
      <c r="M16" s="9"/>
      <c r="N16" s="10">
        <f t="shared" si="1"/>
        <v>0.1</v>
      </c>
      <c r="O16" s="8">
        <f>IFERROR(N16/N444, "NA")</f>
        <v>2.5353240359620521E-6</v>
      </c>
      <c r="P16" s="9"/>
      <c r="Q16" s="7">
        <v>0.46</v>
      </c>
      <c r="R16" s="8">
        <f>IFERROR(Q16/Q444, "NA")</f>
        <v>8.0999547089271593E-7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0.46</v>
      </c>
      <c r="X16" s="8">
        <f>IFERROR(W16/W444, "NA")</f>
        <v>1.7341646265099492E-5</v>
      </c>
      <c r="Y16" s="9"/>
      <c r="Z16" s="7">
        <v>0.6</v>
      </c>
      <c r="AA16" s="8">
        <f>IFERROR(Z16/Z444, "NA")</f>
        <v>1.1766278872340226E-6</v>
      </c>
      <c r="AB16" s="9"/>
      <c r="AC16" s="10">
        <f t="shared" si="3"/>
        <v>-0.13999999999999996</v>
      </c>
      <c r="AD16" s="8">
        <f>IFERROR(AC16/AC444, "NA")</f>
        <v>-2.4149343681212084E-6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68594.700000000012</v>
      </c>
      <c r="C18" s="15">
        <f>IFERROR(B18/B444, "NA")</f>
        <v>0.26126446306709106</v>
      </c>
      <c r="D18" s="2"/>
      <c r="E18" s="14">
        <f>IFERROR(E10+E11+E12+E13+E14+E15+E16+E17, "NA")</f>
        <v>67904.61</v>
      </c>
      <c r="F18" s="15">
        <f>IFERROR(E18/E444, "NA")</f>
        <v>0.28000000494811778</v>
      </c>
      <c r="G18" s="2"/>
      <c r="H18" s="14">
        <f t="shared" si="0"/>
        <v>690.09000000001106</v>
      </c>
      <c r="I18" s="15">
        <f>IFERROR(H18/H444, "NA")</f>
        <v>3.4448607134924168E-2</v>
      </c>
      <c r="J18" s="2"/>
      <c r="K18" s="14">
        <f>IFERROR(K10+K11+K12+K13+K14+K15+K16+K17, "NA")</f>
        <v>71083.02</v>
      </c>
      <c r="L18" s="15">
        <f>IFERROR(K18/K444, "NA")</f>
        <v>0.3186061778107307</v>
      </c>
      <c r="M18" s="2"/>
      <c r="N18" s="14">
        <f t="shared" si="1"/>
        <v>-2488.3199999999924</v>
      </c>
      <c r="O18" s="15">
        <f>IFERROR(N18/N444, "NA")</f>
        <v>-6.3086975051650743E-2</v>
      </c>
      <c r="P18" s="2"/>
      <c r="Q18" s="14">
        <f>IFERROR(Q10+Q11+Q12+Q13+Q14+Q15+Q16+Q17, "NA")</f>
        <v>145238.79</v>
      </c>
      <c r="R18" s="15">
        <f>IFERROR(Q18/Q444, "NA")</f>
        <v>0.25574513499551799</v>
      </c>
      <c r="S18" s="2"/>
      <c r="T18" s="14">
        <f>IFERROR(T10+T11+T12+T13+T14+T15+T16+T17, "NA")</f>
        <v>151586.03</v>
      </c>
      <c r="U18" s="15">
        <f>IFERROR(T18/T444, "NA")</f>
        <v>0.28000000443312623</v>
      </c>
      <c r="V18" s="2"/>
      <c r="W18" s="14">
        <f t="shared" si="2"/>
        <v>-6347.2399999999907</v>
      </c>
      <c r="X18" s="15">
        <f>IFERROR(W18/W444, "NA")</f>
        <v>-0.2392860670428042</v>
      </c>
      <c r="Y18" s="2"/>
      <c r="Z18" s="14">
        <f>IFERROR(Z10+Z11+Z12+Z13+Z14+Z15+Z16+Z17, "NA")</f>
        <v>139547.62</v>
      </c>
      <c r="AA18" s="15">
        <f>IFERROR(Z18/Z444, "NA")</f>
        <v>0.27365936881522707</v>
      </c>
      <c r="AB18" s="2"/>
      <c r="AC18" s="14">
        <f t="shared" si="3"/>
        <v>5691.1700000000128</v>
      </c>
      <c r="AD18" s="15">
        <f>IFERROR(AC18/AC444, "NA")</f>
        <v>9.8170014484431523E-2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20128.87</v>
      </c>
      <c r="F21" s="8">
        <f>IFERROR(E21/E444, "NA")</f>
        <v>8.3000015751508158E-2</v>
      </c>
      <c r="G21" s="9"/>
      <c r="H21" s="10">
        <f t="shared" ref="H21:H29" si="4">IFERROR(B21-E21, "NA")</f>
        <v>-20128.87</v>
      </c>
      <c r="I21" s="8">
        <f>IFERROR(H21/H444, "NA")</f>
        <v>-1.0048131905982551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44934.44</v>
      </c>
      <c r="U21" s="8">
        <f>IFERROR(T21/T444, "NA")</f>
        <v>8.300001919174245E-2</v>
      </c>
      <c r="V21" s="9"/>
      <c r="W21" s="10">
        <f t="shared" ref="W21:W29" si="6">IFERROR(Q21-T21, "NA")</f>
        <v>-44934.44</v>
      </c>
      <c r="X21" s="8">
        <f>IFERROR(W21/W444, "NA")</f>
        <v>-1.6939938339137766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8678.7000000000007</v>
      </c>
      <c r="L22" s="8">
        <f>IFERROR(K22/K444, "NA")</f>
        <v>3.8899408541814749E-2</v>
      </c>
      <c r="M22" s="9"/>
      <c r="N22" s="10">
        <f t="shared" si="5"/>
        <v>-8678.7000000000007</v>
      </c>
      <c r="O22" s="8">
        <f>IFERROR(N22/N444, "NA")</f>
        <v>-0.22003316710903861</v>
      </c>
      <c r="P22" s="9"/>
      <c r="Q22" s="7">
        <v>4179.45</v>
      </c>
      <c r="R22" s="8">
        <f>IFERROR(Q22/Q444, "NA")</f>
        <v>7.3594251539620898E-3</v>
      </c>
      <c r="S22" s="9"/>
      <c r="T22" s="7">
        <v>0</v>
      </c>
      <c r="U22" s="8">
        <f>IFERROR(T22/T444, "NA")</f>
        <v>0</v>
      </c>
      <c r="V22" s="9"/>
      <c r="W22" s="10">
        <f t="shared" si="6"/>
        <v>4179.45</v>
      </c>
      <c r="X22" s="8">
        <f>IFERROR(W22/W444, "NA")</f>
        <v>0.15756205104928275</v>
      </c>
      <c r="Y22" s="9"/>
      <c r="Z22" s="7">
        <v>20278.150000000001</v>
      </c>
      <c r="AA22" s="8">
        <f>IFERROR(Z22/Z444, "NA")</f>
        <v>3.9766394652524337E-2</v>
      </c>
      <c r="AB22" s="9"/>
      <c r="AC22" s="10">
        <f t="shared" si="7"/>
        <v>-16098.7</v>
      </c>
      <c r="AD22" s="8">
        <f>IFERROR(AC22/AC444, "NA")</f>
        <v>-0.27769502794337797</v>
      </c>
    </row>
    <row r="23" spans="1:30" ht="16.5" customHeight="1" x14ac:dyDescent="0.45">
      <c r="A23" s="12" t="s">
        <v>24</v>
      </c>
      <c r="B23" s="7">
        <v>8113.88</v>
      </c>
      <c r="C23" s="8">
        <f>IFERROR(B23/B444, "NA")</f>
        <v>3.0904260848007334E-2</v>
      </c>
      <c r="D23" s="9"/>
      <c r="E23" s="7">
        <v>0</v>
      </c>
      <c r="F23" s="8">
        <f>IFERROR(E23/E444, "NA")</f>
        <v>0</v>
      </c>
      <c r="G23" s="9"/>
      <c r="H23" s="10">
        <f t="shared" si="4"/>
        <v>8113.88</v>
      </c>
      <c r="I23" s="8">
        <f>IFERROR(H23/H444, "NA")</f>
        <v>0.40503682774698091</v>
      </c>
      <c r="J23" s="9"/>
      <c r="K23" s="7">
        <v>0</v>
      </c>
      <c r="L23" s="8">
        <f>IFERROR(K23/K444, "NA")</f>
        <v>0</v>
      </c>
      <c r="M23" s="9"/>
      <c r="N23" s="10">
        <f t="shared" si="5"/>
        <v>8113.88</v>
      </c>
      <c r="O23" s="8">
        <f>IFERROR(N23/N444, "NA")</f>
        <v>0.20571314988911774</v>
      </c>
      <c r="P23" s="9"/>
      <c r="Q23" s="7">
        <v>16801.96</v>
      </c>
      <c r="R23" s="8">
        <f>IFERROR(Q23/Q444, "NA")</f>
        <v>2.958589456982734E-2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16801.96</v>
      </c>
      <c r="X23" s="8">
        <f>IFERROR(W23/W444, "NA")</f>
        <v>0.63342097147902399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16801.96</v>
      </c>
      <c r="AD23" s="8">
        <f>IFERROR(AC23/AC444, "NA")</f>
        <v>0.28982593325569878</v>
      </c>
    </row>
    <row r="24" spans="1:30" ht="16.5" customHeight="1" x14ac:dyDescent="0.45">
      <c r="A24" s="12" t="s">
        <v>25</v>
      </c>
      <c r="B24" s="7">
        <v>2032.62</v>
      </c>
      <c r="C24" s="8">
        <f>IFERROR(B24/B444, "NA")</f>
        <v>7.7418717906694032E-3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2032.62</v>
      </c>
      <c r="I24" s="8">
        <f>IFERROR(H24/H444, "NA")</f>
        <v>0.10146637081335541</v>
      </c>
      <c r="J24" s="9"/>
      <c r="K24" s="7">
        <v>2111.39</v>
      </c>
      <c r="L24" s="8">
        <f>IFERROR(K24/K444, "NA")</f>
        <v>9.4636088585965915E-3</v>
      </c>
      <c r="M24" s="9"/>
      <c r="N24" s="10">
        <f t="shared" si="5"/>
        <v>-78.769999999999982</v>
      </c>
      <c r="O24" s="8">
        <f>IFERROR(N24/N444, "NA")</f>
        <v>-1.9970747431273077E-3</v>
      </c>
      <c r="P24" s="9"/>
      <c r="Q24" s="7">
        <v>4311.84</v>
      </c>
      <c r="R24" s="8">
        <f>IFERROR(Q24/Q444, "NA")</f>
        <v>7.5925453722044522E-3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4311.84</v>
      </c>
      <c r="X24" s="8">
        <f>IFERROR(W24/W444, "NA")</f>
        <v>0.16255305224284042</v>
      </c>
      <c r="Y24" s="9"/>
      <c r="Z24" s="7">
        <v>4861.09</v>
      </c>
      <c r="AA24" s="8">
        <f>IFERROR(Z24/Z444, "NA")</f>
        <v>9.5328234272573937E-3</v>
      </c>
      <c r="AB24" s="9"/>
      <c r="AC24" s="10">
        <f t="shared" si="7"/>
        <v>-549.25</v>
      </c>
      <c r="AD24" s="8">
        <f>IFERROR(AC24/AC444, "NA")</f>
        <v>-9.4743050120755304E-3</v>
      </c>
    </row>
    <row r="25" spans="1:30" ht="16.5" customHeight="1" x14ac:dyDescent="0.45">
      <c r="A25" s="12" t="s">
        <v>26</v>
      </c>
      <c r="B25" s="7">
        <v>508.2</v>
      </c>
      <c r="C25" s="8">
        <f>IFERROR(B25/B444, "NA")</f>
        <v>1.9356393443035053E-3</v>
      </c>
      <c r="D25" s="9"/>
      <c r="E25" s="7">
        <v>0</v>
      </c>
      <c r="F25" s="8">
        <f>IFERROR(E25/E444, "NA")</f>
        <v>0</v>
      </c>
      <c r="G25" s="9"/>
      <c r="H25" s="10">
        <f t="shared" si="4"/>
        <v>508.2</v>
      </c>
      <c r="I25" s="8">
        <f>IFERROR(H25/H444, "NA")</f>
        <v>2.5368839058627399E-2</v>
      </c>
      <c r="J25" s="9"/>
      <c r="K25" s="7">
        <v>0</v>
      </c>
      <c r="L25" s="8">
        <f>IFERROR(K25/K444, "NA")</f>
        <v>0</v>
      </c>
      <c r="M25" s="9"/>
      <c r="N25" s="10">
        <f t="shared" si="5"/>
        <v>508.2</v>
      </c>
      <c r="O25" s="8">
        <f>IFERROR(N25/N444, "NA")</f>
        <v>1.2884516750759148E-2</v>
      </c>
      <c r="P25" s="9"/>
      <c r="Q25" s="7">
        <v>829.43</v>
      </c>
      <c r="R25" s="8">
        <f>IFERROR(Q25/Q444, "NA")</f>
        <v>1.4605098770055331E-3</v>
      </c>
      <c r="S25" s="9"/>
      <c r="T25" s="7">
        <v>0</v>
      </c>
      <c r="U25" s="8">
        <f>IFERROR(T25/T444, "NA")</f>
        <v>0</v>
      </c>
      <c r="V25" s="9"/>
      <c r="W25" s="10">
        <f t="shared" si="6"/>
        <v>829.43</v>
      </c>
      <c r="X25" s="8">
        <f>IFERROR(W25/W444, "NA")</f>
        <v>3.1268873177524935E-2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829.43</v>
      </c>
      <c r="AD25" s="8">
        <f>IFERROR(AC25/AC444, "NA")</f>
        <v>1.4307278663934104E-2</v>
      </c>
    </row>
    <row r="26" spans="1:30" ht="16.5" customHeight="1" x14ac:dyDescent="0.45">
      <c r="A26" s="12" t="s">
        <v>27</v>
      </c>
      <c r="B26" s="7">
        <v>4779.5600000000004</v>
      </c>
      <c r="C26" s="8">
        <f>IFERROR(B26/B444, "NA")</f>
        <v>1.8204455695512128E-2</v>
      </c>
      <c r="D26" s="9"/>
      <c r="E26" s="7">
        <v>0</v>
      </c>
      <c r="F26" s="8">
        <f>IFERROR(E26/E444, "NA")</f>
        <v>0</v>
      </c>
      <c r="G26" s="9"/>
      <c r="H26" s="10">
        <f t="shared" si="4"/>
        <v>4779.5600000000004</v>
      </c>
      <c r="I26" s="8">
        <f>IFERROR(H26/H444, "NA")</f>
        <v>0.23859088628699957</v>
      </c>
      <c r="J26" s="9"/>
      <c r="K26" s="7">
        <v>4938.16</v>
      </c>
      <c r="L26" s="8">
        <f>IFERROR(K26/K444, "NA")</f>
        <v>2.2133672472242145E-2</v>
      </c>
      <c r="M26" s="9"/>
      <c r="N26" s="10">
        <f t="shared" si="5"/>
        <v>-158.59999999999945</v>
      </c>
      <c r="O26" s="8">
        <f>IFERROR(N26/N444, "NA")</f>
        <v>-4.0210239210358009E-3</v>
      </c>
      <c r="P26" s="9"/>
      <c r="Q26" s="7">
        <v>8773.59</v>
      </c>
      <c r="R26" s="8">
        <f>IFERROR(Q26/Q444, "NA")</f>
        <v>1.5449061224933964E-2</v>
      </c>
      <c r="S26" s="9"/>
      <c r="T26" s="7">
        <v>0</v>
      </c>
      <c r="U26" s="8">
        <f>IFERROR(T26/T444, "NA")</f>
        <v>0</v>
      </c>
      <c r="V26" s="9"/>
      <c r="W26" s="10">
        <f t="shared" si="6"/>
        <v>8773.59</v>
      </c>
      <c r="X26" s="8">
        <f>IFERROR(W26/W444, "NA")</f>
        <v>0.33075759620655271</v>
      </c>
      <c r="Y26" s="9"/>
      <c r="Z26" s="7">
        <v>9994.74</v>
      </c>
      <c r="AA26" s="8">
        <f>IFERROR(Z26/Z444, "NA")</f>
        <v>1.9600149682755627E-2</v>
      </c>
      <c r="AB26" s="9"/>
      <c r="AC26" s="10">
        <f t="shared" si="7"/>
        <v>-1221.1499999999996</v>
      </c>
      <c r="AD26" s="8">
        <f>IFERROR(AC26/AC444, "NA")</f>
        <v>-2.1064265025937241E-2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910.48</v>
      </c>
      <c r="C28" s="8">
        <f>IFERROR(B28/B444, "NA")</f>
        <v>3.4678490952409595E-3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910.48</v>
      </c>
      <c r="I28" s="8">
        <f>IFERROR(H28/H444, "NA")</f>
        <v>4.545025695808555E-2</v>
      </c>
      <c r="J28" s="9"/>
      <c r="K28" s="7">
        <v>790.68</v>
      </c>
      <c r="L28" s="8">
        <f>IFERROR(K28/K444, "NA")</f>
        <v>3.5439621539910451E-3</v>
      </c>
      <c r="M28" s="9"/>
      <c r="N28" s="10">
        <f t="shared" si="5"/>
        <v>119.80000000000007</v>
      </c>
      <c r="O28" s="8">
        <f>IFERROR(N28/N444, "NA")</f>
        <v>3.0373181950825402E-3</v>
      </c>
      <c r="P28" s="9"/>
      <c r="Q28" s="7">
        <v>2569.71</v>
      </c>
      <c r="R28" s="8">
        <f>IFERROR(Q28/Q444, "NA")</f>
        <v>4.5248988293646103E-3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2569.71</v>
      </c>
      <c r="X28" s="8">
        <f>IFERROR(W28/W444, "NA")</f>
        <v>9.6876090921497418E-2</v>
      </c>
      <c r="Y28" s="9"/>
      <c r="Z28" s="7">
        <v>2330.11</v>
      </c>
      <c r="AA28" s="8">
        <f>IFERROR(Z28/Z444, "NA")</f>
        <v>4.5694540105381152E-3</v>
      </c>
      <c r="AB28" s="9"/>
      <c r="AC28" s="10">
        <f t="shared" si="7"/>
        <v>239.59999999999991</v>
      </c>
      <c r="AD28" s="8">
        <f>IFERROR(AC28/AC444, "NA")</f>
        <v>4.1329876757274396E-3</v>
      </c>
    </row>
    <row r="29" spans="1:30" ht="16.5" customHeight="1" x14ac:dyDescent="0.45">
      <c r="A29" s="13" t="s">
        <v>30</v>
      </c>
      <c r="B29" s="14">
        <f>IFERROR(B21+B22+B23+B24+B25+B26+B27+B28, "NA")</f>
        <v>16344.740000000002</v>
      </c>
      <c r="C29" s="15">
        <f>IFERROR(B29/B444, "NA")</f>
        <v>6.2254076773733333E-2</v>
      </c>
      <c r="D29" s="2"/>
      <c r="E29" s="14">
        <f>IFERROR(E21+E22+E23+E24+E25+E26+E27+E28, "NA")</f>
        <v>20128.87</v>
      </c>
      <c r="F29" s="15">
        <f>IFERROR(E29/E444, "NA")</f>
        <v>8.3000015751508158E-2</v>
      </c>
      <c r="G29" s="2"/>
      <c r="H29" s="14">
        <f t="shared" si="4"/>
        <v>-3784.1299999999974</v>
      </c>
      <c r="I29" s="15">
        <f>IFERROR(H29/H444, "NA")</f>
        <v>-0.18890000973420629</v>
      </c>
      <c r="J29" s="2"/>
      <c r="K29" s="14">
        <f>IFERROR(K21+K22+K23+K24+K25+K26+K27+K28, "NA")</f>
        <v>16518.93</v>
      </c>
      <c r="L29" s="15">
        <f>IFERROR(K29/K444, "NA")</f>
        <v>7.4040652026644532E-2</v>
      </c>
      <c r="M29" s="2"/>
      <c r="N29" s="14">
        <f t="shared" si="5"/>
        <v>-174.18999999999869</v>
      </c>
      <c r="O29" s="15">
        <f>IFERROR(N29/N444, "NA")</f>
        <v>-4.416280938242265E-3</v>
      </c>
      <c r="P29" s="2"/>
      <c r="Q29" s="14">
        <f>IFERROR(Q21+Q22+Q23+Q24+Q25+Q26+Q27+Q28, "NA")</f>
        <v>37465.980000000003</v>
      </c>
      <c r="R29" s="15">
        <f>IFERROR(Q29/Q444, "NA")</f>
        <v>6.597233502729799E-2</v>
      </c>
      <c r="S29" s="2"/>
      <c r="T29" s="14">
        <f>IFERROR(T21+T22+T23+T24+T25+T26+T27+T28, "NA")</f>
        <v>44934.44</v>
      </c>
      <c r="U29" s="15">
        <f>IFERROR(T29/T444, "NA")</f>
        <v>8.300001919174245E-2</v>
      </c>
      <c r="V29" s="2"/>
      <c r="W29" s="14">
        <f t="shared" si="6"/>
        <v>-7468.4599999999991</v>
      </c>
      <c r="X29" s="15">
        <f>IFERROR(W29/W444, "NA")</f>
        <v>-0.28155519883705421</v>
      </c>
      <c r="Y29" s="2"/>
      <c r="Z29" s="14">
        <f>IFERROR(Z21+Z22+Z23+Z24+Z25+Z26+Z27+Z28, "NA")</f>
        <v>37464.090000000004</v>
      </c>
      <c r="AA29" s="15">
        <f>IFERROR(Z29/Z444, "NA")</f>
        <v>7.3468821773075468E-2</v>
      </c>
      <c r="AB29" s="2"/>
      <c r="AC29" s="14">
        <f t="shared" si="7"/>
        <v>1.8899999999994179</v>
      </c>
      <c r="AD29" s="15">
        <f>IFERROR(AC29/AC444, "NA")</f>
        <v>3.2601613969626288E-5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53838.65</v>
      </c>
      <c r="F31" s="8">
        <f>IFERROR(E31/E444, "NA")</f>
        <v>0.2219999830114624</v>
      </c>
      <c r="G31" s="9"/>
      <c r="H31" s="10">
        <f t="shared" ref="H31:H40" si="8">IFERROR(B31-E31, "NA")</f>
        <v>-53838.65</v>
      </c>
      <c r="I31" s="8">
        <f>IFERROR(H31/H444, "NA")</f>
        <v>-2.6875719145686148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120186.06</v>
      </c>
      <c r="U31" s="8">
        <f>IFERROR(T31/T444, "NA")</f>
        <v>0.22199999124457562</v>
      </c>
      <c r="V31" s="9"/>
      <c r="W31" s="10">
        <f t="shared" ref="W31:W40" si="10">IFERROR(Q31-T31, "NA")</f>
        <v>-120186.06</v>
      </c>
      <c r="X31" s="8">
        <f>IFERROR(W31/W444, "NA")</f>
        <v>-4.5309220402522241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27248.89</v>
      </c>
      <c r="C33" s="8">
        <f>IFERROR(B33/B444, "NA")</f>
        <v>0.10378595744312936</v>
      </c>
      <c r="D33" s="9"/>
      <c r="E33" s="7">
        <v>0</v>
      </c>
      <c r="F33" s="8">
        <f>IFERROR(E33/E444, "NA")</f>
        <v>0</v>
      </c>
      <c r="G33" s="9"/>
      <c r="H33" s="10">
        <f t="shared" si="8"/>
        <v>27248.89</v>
      </c>
      <c r="I33" s="8">
        <f>IFERROR(H33/H444, "NA")</f>
        <v>1.3602375146325099</v>
      </c>
      <c r="J33" s="9"/>
      <c r="K33" s="7">
        <v>25590.36</v>
      </c>
      <c r="L33" s="8">
        <f>IFERROR(K33/K444, "NA")</f>
        <v>0.11470034318182613</v>
      </c>
      <c r="M33" s="9"/>
      <c r="N33" s="10">
        <f t="shared" si="9"/>
        <v>1658.5299999999988</v>
      </c>
      <c r="O33" s="8">
        <f>IFERROR(N33/N444, "NA")</f>
        <v>4.2049109733641392E-2</v>
      </c>
      <c r="P33" s="9"/>
      <c r="Q33" s="7">
        <v>64869.95</v>
      </c>
      <c r="R33" s="8">
        <f>IFERROR(Q33/Q444, "NA")</f>
        <v>0.11422688195008028</v>
      </c>
      <c r="S33" s="9"/>
      <c r="T33" s="7">
        <v>0</v>
      </c>
      <c r="U33" s="8">
        <f>IFERROR(T33/T444, "NA")</f>
        <v>0</v>
      </c>
      <c r="V33" s="9"/>
      <c r="W33" s="10">
        <f t="shared" si="10"/>
        <v>64869.95</v>
      </c>
      <c r="X33" s="8">
        <f>IFERROR(W33/W444, "NA")</f>
        <v>2.4455472307275885</v>
      </c>
      <c r="Y33" s="9"/>
      <c r="Z33" s="7">
        <v>62080.04</v>
      </c>
      <c r="AA33" s="8">
        <f>IFERROR(Z33/Z444, "NA")</f>
        <v>0.12174184384100604</v>
      </c>
      <c r="AB33" s="9"/>
      <c r="AC33" s="10">
        <f t="shared" si="11"/>
        <v>2789.9099999999962</v>
      </c>
      <c r="AD33" s="8">
        <f>IFERROR(AC33/AC444, "NA")</f>
        <v>4.8124639592607384E-2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1825.93</v>
      </c>
      <c r="C35" s="8">
        <f>IFERROR(B35/B444, "NA")</f>
        <v>6.9546279967416368E-3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1825.93</v>
      </c>
      <c r="I35" s="8">
        <f>IFERROR(H35/H444, "NA")</f>
        <v>9.1148611378039215E-2</v>
      </c>
      <c r="J35" s="9"/>
      <c r="K35" s="7">
        <v>3159.01</v>
      </c>
      <c r="L35" s="8">
        <f>IFERROR(K35/K444, "NA")</f>
        <v>1.4159219765365574E-2</v>
      </c>
      <c r="M35" s="9"/>
      <c r="N35" s="10">
        <f t="shared" si="9"/>
        <v>-1333.0800000000002</v>
      </c>
      <c r="O35" s="8">
        <f>IFERROR(N35/N444, "NA")</f>
        <v>-3.3797897658602929E-2</v>
      </c>
      <c r="P35" s="9"/>
      <c r="Q35" s="7">
        <v>4261.97</v>
      </c>
      <c r="R35" s="8">
        <f>IFERROR(Q35/Q444, "NA")</f>
        <v>7.5047312980013664E-3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4261.97</v>
      </c>
      <c r="X35" s="8">
        <f>IFERROR(W35/W444, "NA")</f>
        <v>0.16067299159231757</v>
      </c>
      <c r="Y35" s="9"/>
      <c r="Z35" s="7">
        <v>6481.83</v>
      </c>
      <c r="AA35" s="8">
        <f>IFERROR(Z35/Z444, "NA")</f>
        <v>1.2711169897183509E-2</v>
      </c>
      <c r="AB35" s="9"/>
      <c r="AC35" s="10">
        <f t="shared" si="11"/>
        <v>-2219.8599999999997</v>
      </c>
      <c r="AD35" s="8">
        <f>IFERROR(AC35/AC444, "NA")</f>
        <v>-3.8291544331553906E-2</v>
      </c>
    </row>
    <row r="36" spans="1:30" ht="16.5" customHeight="1" x14ac:dyDescent="0.45">
      <c r="A36" s="12" t="s">
        <v>36</v>
      </c>
      <c r="B36" s="7">
        <v>42073.35</v>
      </c>
      <c r="C36" s="8">
        <f>IFERROR(B36/B444, "NA")</f>
        <v>0.16024957026102299</v>
      </c>
      <c r="D36" s="9"/>
      <c r="E36" s="7">
        <v>0</v>
      </c>
      <c r="F36" s="8">
        <f>IFERROR(E36/E444, "NA")</f>
        <v>0</v>
      </c>
      <c r="G36" s="9"/>
      <c r="H36" s="10">
        <f t="shared" si="8"/>
        <v>42073.35</v>
      </c>
      <c r="I36" s="8">
        <f>IFERROR(H36/H444, "NA")</f>
        <v>2.1002598284283769</v>
      </c>
      <c r="J36" s="9"/>
      <c r="K36" s="7">
        <v>35585.269999999997</v>
      </c>
      <c r="L36" s="8">
        <f>IFERROR(K36/K444, "NA")</f>
        <v>0.15949922866336938</v>
      </c>
      <c r="M36" s="9"/>
      <c r="N36" s="10">
        <f t="shared" si="9"/>
        <v>6488.0800000000017</v>
      </c>
      <c r="O36" s="8">
        <f>IFERROR(N36/N444, "NA")</f>
        <v>0.16449385171244674</v>
      </c>
      <c r="P36" s="9"/>
      <c r="Q36" s="7">
        <v>84505.97</v>
      </c>
      <c r="R36" s="8">
        <f>IFERROR(Q36/Q444, "NA")</f>
        <v>0.14880315861607765</v>
      </c>
      <c r="S36" s="9"/>
      <c r="T36" s="7">
        <v>0</v>
      </c>
      <c r="U36" s="8">
        <f>IFERROR(T36/T444, "NA")</f>
        <v>0</v>
      </c>
      <c r="V36" s="9"/>
      <c r="W36" s="10">
        <f t="shared" si="10"/>
        <v>84505.97</v>
      </c>
      <c r="X36" s="8">
        <f>IFERROR(W36/W444, "NA")</f>
        <v>3.1858100848458903</v>
      </c>
      <c r="Y36" s="9"/>
      <c r="Z36" s="7">
        <v>75457.48</v>
      </c>
      <c r="AA36" s="8">
        <f>IFERROR(Z36/Z444, "NA")</f>
        <v>0.14797562544733919</v>
      </c>
      <c r="AB36" s="9"/>
      <c r="AC36" s="10">
        <f t="shared" si="11"/>
        <v>9048.4900000000052</v>
      </c>
      <c r="AD36" s="8">
        <f>IFERROR(AC36/AC444, "NA")</f>
        <v>0.15608221057572211</v>
      </c>
    </row>
    <row r="37" spans="1:30" ht="16.5" customHeight="1" x14ac:dyDescent="0.45">
      <c r="A37" s="12" t="s">
        <v>37</v>
      </c>
      <c r="B37" s="7">
        <v>2638.97</v>
      </c>
      <c r="C37" s="8">
        <f>IFERROR(B37/B444, "NA")</f>
        <v>1.0051346242496303E-2</v>
      </c>
      <c r="D37" s="9"/>
      <c r="E37" s="7">
        <v>0</v>
      </c>
      <c r="F37" s="8">
        <f>IFERROR(E37/E444, "NA")</f>
        <v>0</v>
      </c>
      <c r="G37" s="9"/>
      <c r="H37" s="10">
        <f t="shared" si="8"/>
        <v>2638.97</v>
      </c>
      <c r="I37" s="8">
        <f>IFERROR(H37/H444, "NA")</f>
        <v>0.13173476035133008</v>
      </c>
      <c r="J37" s="9"/>
      <c r="K37" s="7">
        <v>0</v>
      </c>
      <c r="L37" s="8">
        <f>IFERROR(K37/K444, "NA")</f>
        <v>0</v>
      </c>
      <c r="M37" s="9"/>
      <c r="N37" s="10">
        <f t="shared" si="9"/>
        <v>2638.97</v>
      </c>
      <c r="O37" s="8">
        <f>IFERROR(N37/N444, "NA")</f>
        <v>6.6906440711827761E-2</v>
      </c>
      <c r="P37" s="9"/>
      <c r="Q37" s="7">
        <v>4504.1499999999996</v>
      </c>
      <c r="R37" s="8">
        <f>IFERROR(Q37/Q444, "NA")</f>
        <v>7.931176304829186E-3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4504.1499999999996</v>
      </c>
      <c r="X37" s="8">
        <f>IFERROR(W37/W444, "NA")</f>
        <v>0.16980299135858232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4504.1499999999996</v>
      </c>
      <c r="AD37" s="8">
        <f>IFERROR(AC37/AC444, "NA")</f>
        <v>7.7694475958379597E-2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3083.9</v>
      </c>
      <c r="L39" s="8">
        <f>IFERROR(K39/K444, "NA")</f>
        <v>1.3822563978718299E-2</v>
      </c>
      <c r="M39" s="9"/>
      <c r="N39" s="10">
        <f t="shared" si="9"/>
        <v>-3083.9</v>
      </c>
      <c r="O39" s="8">
        <f>IFERROR(N39/N444, "NA")</f>
        <v>-7.8186857945033716E-2</v>
      </c>
      <c r="P39" s="9"/>
      <c r="Q39" s="7">
        <v>904.59</v>
      </c>
      <c r="R39" s="8">
        <f>IFERROR(Q39/Q444, "NA")</f>
        <v>1.5928560935105258E-3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904.59</v>
      </c>
      <c r="X39" s="8">
        <f>IFERROR(W39/W444, "NA")</f>
        <v>3.410234738031815E-2</v>
      </c>
      <c r="Y39" s="9"/>
      <c r="Z39" s="7">
        <v>6291.8</v>
      </c>
      <c r="AA39" s="8">
        <f>IFERROR(Z39/Z444, "NA")</f>
        <v>1.2338512234831707E-2</v>
      </c>
      <c r="AB39" s="9"/>
      <c r="AC39" s="10">
        <f t="shared" si="11"/>
        <v>-5387.21</v>
      </c>
      <c r="AD39" s="8">
        <f>IFERROR(AC39/AC444, "NA")</f>
        <v>-9.2926846980616137E-2</v>
      </c>
    </row>
    <row r="40" spans="1:30" ht="16.5" customHeight="1" x14ac:dyDescent="0.45">
      <c r="A40" s="13" t="s">
        <v>40</v>
      </c>
      <c r="B40" s="14">
        <f>IFERROR(B31+B32+B33+B34+B35+B36+B37+B38+B39, "NA")</f>
        <v>73787.14</v>
      </c>
      <c r="C40" s="15">
        <f>IFERROR(B40/B444, "NA")</f>
        <v>0.28104150194339028</v>
      </c>
      <c r="D40" s="2"/>
      <c r="E40" s="14">
        <f>IFERROR(E31+E32+E33+E34+E35+E36+E37+E38+E39, "NA")</f>
        <v>53838.65</v>
      </c>
      <c r="F40" s="15">
        <f>IFERROR(E40/E444, "NA")</f>
        <v>0.2219999830114624</v>
      </c>
      <c r="G40" s="2"/>
      <c r="H40" s="14">
        <f t="shared" si="8"/>
        <v>19948.489999999998</v>
      </c>
      <c r="I40" s="15">
        <f>IFERROR(H40/H444, "NA")</f>
        <v>0.9958088002216412</v>
      </c>
      <c r="J40" s="2"/>
      <c r="K40" s="14">
        <f>IFERROR(K31+K32+K33+K34+K35+K36+K37+K38+K39, "NA")</f>
        <v>67418.539999999994</v>
      </c>
      <c r="L40" s="15">
        <f>IFERROR(K40/K444, "NA")</f>
        <v>0.30218135558927939</v>
      </c>
      <c r="M40" s="2"/>
      <c r="N40" s="14">
        <f t="shared" si="9"/>
        <v>6368.6000000000058</v>
      </c>
      <c r="O40" s="15">
        <f>IFERROR(N40/N444, "NA")</f>
        <v>0.16146464655427939</v>
      </c>
      <c r="P40" s="2"/>
      <c r="Q40" s="14">
        <f>IFERROR(Q31+Q32+Q33+Q34+Q35+Q36+Q37+Q38+Q39, "NA")</f>
        <v>159046.63</v>
      </c>
      <c r="R40" s="15">
        <f>IFERROR(Q40/Q444, "NA")</f>
        <v>0.28005880426249902</v>
      </c>
      <c r="S40" s="2"/>
      <c r="T40" s="14">
        <f>IFERROR(T31+T32+T33+T34+T35+T36+T37+T38+T39, "NA")</f>
        <v>120186.06</v>
      </c>
      <c r="U40" s="15">
        <f>IFERROR(T40/T444, "NA")</f>
        <v>0.22199999124457562</v>
      </c>
      <c r="V40" s="2"/>
      <c r="W40" s="14">
        <f t="shared" si="10"/>
        <v>38860.570000000007</v>
      </c>
      <c r="X40" s="15">
        <f>IFERROR(W40/W444, "NA")</f>
        <v>1.4650136056524727</v>
      </c>
      <c r="Y40" s="2"/>
      <c r="Z40" s="14">
        <f>IFERROR(Z31+Z32+Z33+Z34+Z35+Z36+Z37+Z38+Z39, "NA")</f>
        <v>150311.14999999997</v>
      </c>
      <c r="AA40" s="15">
        <f>IFERROR(Z40/Z444, "NA")</f>
        <v>0.29476715142036042</v>
      </c>
      <c r="AB40" s="2"/>
      <c r="AC40" s="14">
        <f t="shared" si="11"/>
        <v>8735.4800000000396</v>
      </c>
      <c r="AD40" s="15">
        <f>IFERROR(AC40/AC444, "NA")</f>
        <v>0.1506829348145397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82698.11</v>
      </c>
      <c r="F42" s="8">
        <f>IFERROR(E42/E444, "NA")</f>
        <v>0.34099998820698607</v>
      </c>
      <c r="G42" s="9"/>
      <c r="H42" s="10">
        <f>IFERROR(B42-E42, "NA")</f>
        <v>-82698.11</v>
      </c>
      <c r="I42" s="8">
        <f>IFERROR(H42/H444, "NA")</f>
        <v>-4.1282074833582545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184610.12</v>
      </c>
      <c r="U42" s="8">
        <f>IFERROR(T42/T444, "NA")</f>
        <v>0.34099998804903042</v>
      </c>
      <c r="V42" s="9"/>
      <c r="W42" s="10">
        <f>IFERROR(Q42-T42, "NA")</f>
        <v>-184610.12</v>
      </c>
      <c r="X42" s="8">
        <f>IFERROR(W42/W444, "NA")</f>
        <v>-6.9596595608642797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11599.72</v>
      </c>
      <c r="C43" s="8">
        <f>IFERROR(B43/B444, "NA")</f>
        <v>4.4181177518505033E-2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11599.72</v>
      </c>
      <c r="I43" s="8">
        <f>IFERROR(H43/H444, "NA")</f>
        <v>0.57904649705852307</v>
      </c>
      <c r="J43" s="9"/>
      <c r="K43" s="7">
        <v>18498.57</v>
      </c>
      <c r="L43" s="8">
        <f>IFERROR(K43/K444, "NA")</f>
        <v>8.2913734991341789E-2</v>
      </c>
      <c r="M43" s="9"/>
      <c r="N43" s="10">
        <f>IFERROR(B43-K43, "NA")</f>
        <v>-6898.85</v>
      </c>
      <c r="O43" s="8">
        <f>IFERROR(N43/N444, "NA")</f>
        <v>-0.17490820225496803</v>
      </c>
      <c r="P43" s="9"/>
      <c r="Q43" s="7">
        <v>25127.78</v>
      </c>
      <c r="R43" s="8">
        <f>IFERROR(Q43/Q444, "NA")</f>
        <v>4.4246495638236016E-2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25127.78</v>
      </c>
      <c r="X43" s="8">
        <f>IFERROR(W43/W444, "NA")</f>
        <v>0.94729798301574275</v>
      </c>
      <c r="Y43" s="9"/>
      <c r="Z43" s="7">
        <v>32988.33</v>
      </c>
      <c r="AA43" s="8">
        <f>IFERROR(Z43/Z444, "NA")</f>
        <v>6.4691648385464554E-2</v>
      </c>
      <c r="AB43" s="9"/>
      <c r="AC43" s="10">
        <f>IFERROR(Q43-Z43, "NA")</f>
        <v>-7860.5500000000029</v>
      </c>
      <c r="AD43" s="8">
        <f>IFERROR(AC43/AC444, "NA")</f>
        <v>-0.13559080248096556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64512.86</v>
      </c>
      <c r="C48" s="8">
        <f>IFERROR(B48/B444, "NA")</f>
        <v>0.24571749317108194</v>
      </c>
      <c r="D48" s="9"/>
      <c r="E48" s="7">
        <v>0</v>
      </c>
      <c r="F48" s="8">
        <f>IFERROR(E48/E444, "NA")</f>
        <v>0</v>
      </c>
      <c r="G48" s="9"/>
      <c r="H48" s="10">
        <f t="shared" si="12"/>
        <v>64512.86</v>
      </c>
      <c r="I48" s="8">
        <f>IFERROR(H48/H444, "NA")</f>
        <v>3.2204178720026784</v>
      </c>
      <c r="J48" s="9"/>
      <c r="K48" s="7">
        <v>51175.16</v>
      </c>
      <c r="L48" s="8">
        <f>IFERROR(K48/K444, "NA")</f>
        <v>0.22937576549860422</v>
      </c>
      <c r="M48" s="9"/>
      <c r="N48" s="10">
        <f t="shared" si="13"/>
        <v>13337.699999999997</v>
      </c>
      <c r="O48" s="8">
        <f>IFERROR(N48/N444, "NA")</f>
        <v>0.33815391394451055</v>
      </c>
      <c r="P48" s="9"/>
      <c r="Q48" s="7">
        <v>135119.71</v>
      </c>
      <c r="R48" s="8">
        <f>IFERROR(Q48/Q444, "NA")</f>
        <v>0.23792685462682001</v>
      </c>
      <c r="S48" s="9"/>
      <c r="T48" s="7">
        <v>0</v>
      </c>
      <c r="U48" s="8">
        <f>IFERROR(T48/T444, "NA")</f>
        <v>0</v>
      </c>
      <c r="V48" s="9"/>
      <c r="W48" s="10">
        <f t="shared" si="14"/>
        <v>135119.71</v>
      </c>
      <c r="X48" s="8">
        <f>IFERROR(W48/W444, "NA")</f>
        <v>5.0939091614409264</v>
      </c>
      <c r="Y48" s="9"/>
      <c r="Z48" s="7">
        <v>119489.74</v>
      </c>
      <c r="AA48" s="8">
        <f>IFERROR(Z48/Z444, "NA")</f>
        <v>0.23432493387057118</v>
      </c>
      <c r="AB48" s="9"/>
      <c r="AC48" s="10">
        <f t="shared" si="15"/>
        <v>15629.969999999987</v>
      </c>
      <c r="AD48" s="8">
        <f>IFERROR(AC48/AC444, "NA")</f>
        <v>0.26960965518359592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2413.15</v>
      </c>
      <c r="C51" s="8">
        <f>IFERROR(B51/B444, "NA")</f>
        <v>9.1912398341322393E-3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2413.15</v>
      </c>
      <c r="I51" s="8">
        <f>IFERROR(H51/H444, "NA")</f>
        <v>0.12046205032335047</v>
      </c>
      <c r="J51" s="9"/>
      <c r="K51" s="7">
        <v>3787.64</v>
      </c>
      <c r="L51" s="8">
        <f>IFERROR(K51/K444, "NA")</f>
        <v>1.6976846275285378E-2</v>
      </c>
      <c r="M51" s="9"/>
      <c r="N51" s="10">
        <f t="shared" si="13"/>
        <v>-1374.4899999999998</v>
      </c>
      <c r="O51" s="8">
        <f>IFERROR(N51/N444, "NA")</f>
        <v>-3.4847775341894802E-2</v>
      </c>
      <c r="P51" s="9"/>
      <c r="Q51" s="7">
        <v>6911.74</v>
      </c>
      <c r="R51" s="8">
        <f>IFERROR(Q51/Q444, "NA")</f>
        <v>1.2170604556495695E-2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6911.74</v>
      </c>
      <c r="X51" s="8">
        <f>IFERROR(W51/W444, "NA")</f>
        <v>0.26056728294856252</v>
      </c>
      <c r="Y51" s="9"/>
      <c r="Z51" s="7">
        <v>10567.08</v>
      </c>
      <c r="AA51" s="8">
        <f>IFERROR(Z51/Z444, "NA")</f>
        <v>2.0722535024388162E-2</v>
      </c>
      <c r="AB51" s="9"/>
      <c r="AC51" s="10">
        <f t="shared" si="15"/>
        <v>-3655.34</v>
      </c>
      <c r="AD51" s="8">
        <f>IFERROR(AC51/AC444, "NA")</f>
        <v>-6.3052901379772722E-2</v>
      </c>
    </row>
    <row r="52" spans="1:30" ht="16.5" customHeight="1" x14ac:dyDescent="0.45">
      <c r="A52" s="17" t="s">
        <v>50</v>
      </c>
      <c r="B52" s="7">
        <v>5600</v>
      </c>
      <c r="C52" s="8">
        <f>IFERROR(B52/B444, "NA")</f>
        <v>2.1329359165878848E-2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5600</v>
      </c>
      <c r="I52" s="8">
        <f>IFERROR(H52/H444, "NA")</f>
        <v>0.27954643590773992</v>
      </c>
      <c r="J52" s="9"/>
      <c r="K52" s="7">
        <v>0</v>
      </c>
      <c r="L52" s="8">
        <f>IFERROR(K52/K444, "NA")</f>
        <v>0</v>
      </c>
      <c r="M52" s="9"/>
      <c r="N52" s="10">
        <f t="shared" si="13"/>
        <v>5600</v>
      </c>
      <c r="O52" s="8">
        <f>IFERROR(N52/N444, "NA")</f>
        <v>0.1419781460138749</v>
      </c>
      <c r="P52" s="9"/>
      <c r="Q52" s="7">
        <v>12600</v>
      </c>
      <c r="R52" s="8">
        <f>IFERROR(Q52/Q444, "NA")</f>
        <v>2.2186832463583085E-2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12600</v>
      </c>
      <c r="X52" s="8">
        <f>IFERROR(W52/W444, "NA")</f>
        <v>0.4750103107396817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12600</v>
      </c>
      <c r="AD52" s="8">
        <f>IFERROR(AC52/AC444, "NA")</f>
        <v>0.21734409313090883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47.5</v>
      </c>
      <c r="L58" s="8">
        <f>IFERROR(K58/K444, "NA")</f>
        <v>2.129030737018448E-4</v>
      </c>
      <c r="M58" s="9"/>
      <c r="N58" s="10">
        <f t="shared" si="13"/>
        <v>-47.5</v>
      </c>
      <c r="O58" s="8">
        <f>IFERROR(N58/N444, "NA")</f>
        <v>-1.2042789170819746E-3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47.5</v>
      </c>
      <c r="AA58" s="8">
        <f>IFERROR(Z58/Z444, "NA")</f>
        <v>9.3149707739360131E-5</v>
      </c>
      <c r="AB58" s="9"/>
      <c r="AC58" s="10">
        <f t="shared" si="15"/>
        <v>-47.5</v>
      </c>
      <c r="AD58" s="8">
        <f>IFERROR(AC58/AC444, "NA")</f>
        <v>-8.1935273204112463E-4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72526.009999999995</v>
      </c>
      <c r="C61" s="15">
        <f>IFERROR(B61/B444, "NA")</f>
        <v>0.27623809217109302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72526.009999999995</v>
      </c>
      <c r="I61" s="15">
        <f>IFERROR(H61/H444, "NA")</f>
        <v>3.6204263582337686</v>
      </c>
      <c r="J61" s="2"/>
      <c r="K61" s="14">
        <f>IFERROR(K46+K47+K48+K49+K50+K51+K52+K53+K54+K55+K56+K57+K58+K59+K60, "NA")</f>
        <v>55010.3</v>
      </c>
      <c r="L61" s="15">
        <f>IFERROR(K61/K444, "NA")</f>
        <v>0.24656551484759145</v>
      </c>
      <c r="M61" s="2"/>
      <c r="N61" s="14">
        <f t="shared" si="13"/>
        <v>17515.709999999992</v>
      </c>
      <c r="O61" s="15">
        <f>IFERROR(N61/N444, "NA")</f>
        <v>0.44408000569940853</v>
      </c>
      <c r="P61" s="2"/>
      <c r="Q61" s="14">
        <f>IFERROR(Q46+Q47+Q48+Q49+Q50+Q51+Q52+Q53+Q54+Q55+Q56+Q57+Q58+Q59+Q60, "NA")</f>
        <v>154631.44999999998</v>
      </c>
      <c r="R61" s="15">
        <f>IFERROR(Q61/Q444, "NA")</f>
        <v>0.27228429164689877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154631.44999999998</v>
      </c>
      <c r="X61" s="15">
        <f>IFERROR(W61/W444, "NA")</f>
        <v>5.82948675512917</v>
      </c>
      <c r="Y61" s="2"/>
      <c r="Z61" s="14">
        <f>IFERROR(Z46+Z47+Z48+Z49+Z50+Z51+Z52+Z53+Z54+Z55+Z56+Z57+Z58+Z59+Z60, "NA")</f>
        <v>130104.32000000001</v>
      </c>
      <c r="AA61" s="15">
        <f>IFERROR(Z61/Z444, "NA")</f>
        <v>0.25514061860269871</v>
      </c>
      <c r="AB61" s="2"/>
      <c r="AC61" s="14">
        <f t="shared" si="15"/>
        <v>24527.129999999976</v>
      </c>
      <c r="AD61" s="15">
        <f>IFERROR(AC61/AC444, "NA")</f>
        <v>0.4230814942026907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84125.73</v>
      </c>
      <c r="C62" s="15">
        <f>IFERROR(B62/B444, "NA")</f>
        <v>0.32041926968959805</v>
      </c>
      <c r="D62" s="2"/>
      <c r="E62" s="14">
        <f>IFERROR(E42+E43+E44+E46+E47+E48+E49+E50+E51+E52+E53+E54+E55+E56+E57+E58+E59+E60, "NA")</f>
        <v>82698.11</v>
      </c>
      <c r="F62" s="15">
        <f>IFERROR(E62/E444, "NA")</f>
        <v>0.34099998820698607</v>
      </c>
      <c r="G62" s="2"/>
      <c r="H62" s="14">
        <f t="shared" si="12"/>
        <v>1427.6199999999953</v>
      </c>
      <c r="I62" s="15">
        <f>IFERROR(H62/H444, "NA")</f>
        <v>7.1265371934036856E-2</v>
      </c>
      <c r="J62" s="2"/>
      <c r="K62" s="14">
        <f>IFERROR(K42+K43+K44+K46+K47+K48+K49+K50+K51+K52+K53+K54+K55+K56+K57+K58+K59+K60, "NA")</f>
        <v>73508.87000000001</v>
      </c>
      <c r="L62" s="15">
        <f>IFERROR(K62/K444, "NA")</f>
        <v>0.32947924983893329</v>
      </c>
      <c r="M62" s="2"/>
      <c r="N62" s="14">
        <f t="shared" si="13"/>
        <v>10616.859999999986</v>
      </c>
      <c r="O62" s="15">
        <f>IFERROR(N62/N444, "NA")</f>
        <v>0.26917180344444036</v>
      </c>
      <c r="P62" s="2"/>
      <c r="Q62" s="14">
        <f>IFERROR(Q42+Q43+Q44+Q46+Q47+Q48+Q49+Q50+Q51+Q52+Q53+Q54+Q55+Q56+Q57+Q58+Q59+Q60, "NA")</f>
        <v>179759.22999999998</v>
      </c>
      <c r="R62" s="15">
        <f>IFERROR(Q62/Q444, "NA")</f>
        <v>0.31653078728513478</v>
      </c>
      <c r="S62" s="2"/>
      <c r="T62" s="14">
        <f>IFERROR(T42+T43+T44+T46+T47+T48+T49+T50+T51+T52+T53+T54+T55+T56+T57+T58+T59+T60, "NA")</f>
        <v>184610.12</v>
      </c>
      <c r="U62" s="15">
        <f>IFERROR(T62/T444, "NA")</f>
        <v>0.34099998804903042</v>
      </c>
      <c r="V62" s="2"/>
      <c r="W62" s="14">
        <f t="shared" si="14"/>
        <v>-4850.890000000014</v>
      </c>
      <c r="X62" s="15">
        <f>IFERROR(W62/W444, "NA")</f>
        <v>-0.18287482271936675</v>
      </c>
      <c r="Y62" s="2"/>
      <c r="Z62" s="14">
        <f>IFERROR(Z42+Z43+Z44+Z46+Z47+Z48+Z49+Z50+Z51+Z52+Z53+Z54+Z55+Z56+Z57+Z58+Z59+Z60, "NA")</f>
        <v>163092.65</v>
      </c>
      <c r="AA62" s="15">
        <f>IFERROR(Z62/Z444, "NA")</f>
        <v>0.31983226698816325</v>
      </c>
      <c r="AB62" s="2"/>
      <c r="AC62" s="14">
        <f t="shared" si="15"/>
        <v>16666.579999999987</v>
      </c>
      <c r="AD62" s="15">
        <f>IFERROR(AC62/AC444, "NA")</f>
        <v>0.28749069172172537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21098.93</v>
      </c>
      <c r="F64" s="8">
        <f>IFERROR(E64/E444, "NA")</f>
        <v>8.6999991670668464E-2</v>
      </c>
      <c r="G64" s="9"/>
      <c r="H64" s="10">
        <f t="shared" ref="H64:H73" si="16">IFERROR(B64-E64, "NA")</f>
        <v>-21098.93</v>
      </c>
      <c r="I64" s="8">
        <f>IFERROR(H64/H444, "NA")</f>
        <v>-1.0532376219583734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47099.94</v>
      </c>
      <c r="U64" s="8">
        <f>IFERROR(T64/T444, "NA")</f>
        <v>8.6999992075786806E-2</v>
      </c>
      <c r="V64" s="9"/>
      <c r="W64" s="10">
        <f t="shared" ref="W64:W73" si="18">IFERROR(Q64-T64, "NA")</f>
        <v>-47099.94</v>
      </c>
      <c r="X64" s="8">
        <f>IFERROR(W64/W444, "NA")</f>
        <v>-1.7756315186682829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2609.0100000000002</v>
      </c>
      <c r="C65" s="8">
        <f>IFERROR(B65/B444, "NA")</f>
        <v>9.9372341709588526E-3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2609.0100000000002</v>
      </c>
      <c r="I65" s="8">
        <f>IFERROR(H65/H444, "NA")</f>
        <v>0.13023918691922368</v>
      </c>
      <c r="J65" s="9"/>
      <c r="K65" s="7">
        <v>0</v>
      </c>
      <c r="L65" s="8">
        <f>IFERROR(K65/K444, "NA")</f>
        <v>0</v>
      </c>
      <c r="M65" s="9"/>
      <c r="N65" s="10">
        <f t="shared" si="17"/>
        <v>2609.0100000000002</v>
      </c>
      <c r="O65" s="8">
        <f>IFERROR(N65/N444, "NA")</f>
        <v>6.6146857630653533E-2</v>
      </c>
      <c r="P65" s="9"/>
      <c r="Q65" s="7">
        <v>8333.43</v>
      </c>
      <c r="R65" s="8">
        <f>IFERROR(Q65/Q444, "NA")</f>
        <v>1.4674001210872794E-2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8333.43</v>
      </c>
      <c r="X65" s="8">
        <f>IFERROR(W65/W444, "NA")</f>
        <v>0.31416390268471317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8333.43</v>
      </c>
      <c r="AD65" s="8">
        <f>IFERROR(AC65/AC444, "NA")</f>
        <v>0.14374776079523094</v>
      </c>
    </row>
    <row r="66" spans="1:30" ht="16.5" customHeight="1" x14ac:dyDescent="0.45">
      <c r="A66" s="12" t="s">
        <v>63</v>
      </c>
      <c r="B66" s="7">
        <v>17687.64</v>
      </c>
      <c r="C66" s="8">
        <f>IFERROR(B66/B444, "NA")</f>
        <v>6.7368933277993814E-2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17687.64</v>
      </c>
      <c r="I66" s="8">
        <f>IFERROR(H66/H444, "NA")</f>
        <v>0.8829494145748531</v>
      </c>
      <c r="J66" s="9"/>
      <c r="K66" s="7">
        <v>0</v>
      </c>
      <c r="L66" s="8">
        <f>IFERROR(K66/K444, "NA")</f>
        <v>0</v>
      </c>
      <c r="M66" s="9"/>
      <c r="N66" s="10">
        <f t="shared" si="17"/>
        <v>17687.64</v>
      </c>
      <c r="O66" s="8">
        <f>IFERROR(N66/N444, "NA")</f>
        <v>0.44843898831443829</v>
      </c>
      <c r="P66" s="9"/>
      <c r="Q66" s="7">
        <v>40048.559999999998</v>
      </c>
      <c r="R66" s="8">
        <f>IFERROR(Q66/Q444, "NA")</f>
        <v>7.0519896121250397E-2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40048.559999999998</v>
      </c>
      <c r="X66" s="8">
        <f>IFERROR(W66/W444, "NA")</f>
        <v>1.5097999151013322</v>
      </c>
      <c r="Y66" s="9"/>
      <c r="Z66" s="7">
        <v>16868</v>
      </c>
      <c r="AA66" s="8">
        <f>IFERROR(Z66/Z444, "NA")</f>
        <v>3.3078932003105826E-2</v>
      </c>
      <c r="AB66" s="9"/>
      <c r="AC66" s="10">
        <f t="shared" si="19"/>
        <v>23180.559999999998</v>
      </c>
      <c r="AD66" s="8">
        <f>IFERROR(AC66/AC444, "NA")</f>
        <v>0.39985379297354123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9882.75</v>
      </c>
      <c r="AA67" s="8">
        <f>IFERROR(Z67/Z444, "NA")</f>
        <v>1.9380532087603396E-2</v>
      </c>
      <c r="AB67" s="9"/>
      <c r="AC67" s="10">
        <f t="shared" si="19"/>
        <v>-9882.75</v>
      </c>
      <c r="AD67" s="8">
        <f>IFERROR(AC67/AC444, "NA")</f>
        <v>-0.17047280447535629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customHeight="1" x14ac:dyDescent="0.45">
      <c r="A69" s="12" t="s">
        <v>66</v>
      </c>
      <c r="B69" s="7">
        <v>760</v>
      </c>
      <c r="C69" s="8">
        <f>IFERROR(B69/B444, "NA")</f>
        <v>2.8946987439407005E-3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760</v>
      </c>
      <c r="I69" s="8">
        <f>IFERROR(H69/H444, "NA")</f>
        <v>3.7938444873193276E-2</v>
      </c>
      <c r="J69" s="9"/>
      <c r="K69" s="7">
        <v>0</v>
      </c>
      <c r="L69" s="8">
        <f>IFERROR(K69/K444, "NA")</f>
        <v>0</v>
      </c>
      <c r="M69" s="9"/>
      <c r="N69" s="10">
        <f t="shared" si="17"/>
        <v>760</v>
      </c>
      <c r="O69" s="8">
        <f>IFERROR(N69/N444, "NA")</f>
        <v>1.9268462673311594E-2</v>
      </c>
      <c r="P69" s="9"/>
      <c r="Q69" s="7">
        <v>760</v>
      </c>
      <c r="R69" s="8">
        <f>IFERROR(Q69/Q444, "NA")</f>
        <v>1.3382533866923131E-3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760</v>
      </c>
      <c r="X69" s="8">
        <f>IFERROR(W69/W444, "NA")</f>
        <v>2.8651415568425244E-2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760</v>
      </c>
      <c r="AD69" s="8">
        <f>IFERROR(AC69/AC444, "NA")</f>
        <v>1.3109643712657994E-2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1353.8</v>
      </c>
      <c r="R72" s="8">
        <f>IFERROR(Q72/Q444, "NA")</f>
        <v>2.3838518880316493E-3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1353.8</v>
      </c>
      <c r="X72" s="8">
        <f>IFERROR(W72/W444, "NA")</f>
        <v>5.1037218942808021E-2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1353.8</v>
      </c>
      <c r="AD72" s="8">
        <f>IFERROR(AC72/AC444, "NA")</f>
        <v>2.3352415339732095E-2</v>
      </c>
    </row>
    <row r="73" spans="1:30" ht="16.5" customHeight="1" x14ac:dyDescent="0.45">
      <c r="A73" s="13" t="s">
        <v>70</v>
      </c>
      <c r="B73" s="14">
        <f>IFERROR(B64+B65+B66+B67+B68+B69+B70+B71+B72, "NA")</f>
        <v>21056.65</v>
      </c>
      <c r="C73" s="15">
        <f>IFERROR(B73/B444, "NA")</f>
        <v>8.0200866192893364E-2</v>
      </c>
      <c r="D73" s="2"/>
      <c r="E73" s="14">
        <f>IFERROR(E64+E65+E66+E67+E68+E69+E70+E71+E72, "NA")</f>
        <v>21098.93</v>
      </c>
      <c r="F73" s="15">
        <f>IFERROR(E73/E444, "NA")</f>
        <v>8.6999991670668464E-2</v>
      </c>
      <c r="G73" s="2"/>
      <c r="H73" s="14">
        <f t="shared" si="16"/>
        <v>-42.279999999998836</v>
      </c>
      <c r="I73" s="15">
        <f>IFERROR(H73/H444, "NA")</f>
        <v>-2.1105755911033784E-3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21056.65</v>
      </c>
      <c r="O73" s="15">
        <f>IFERROR(N73/N444, "NA")</f>
        <v>0.53385430861840344</v>
      </c>
      <c r="P73" s="2"/>
      <c r="Q73" s="14">
        <f>IFERROR(Q64+Q65+Q66+Q67+Q68+Q69+Q70+Q71+Q72, "NA")</f>
        <v>50495.79</v>
      </c>
      <c r="R73" s="15">
        <f>IFERROR(Q73/Q444, "NA")</f>
        <v>8.8916002606847164E-2</v>
      </c>
      <c r="S73" s="2"/>
      <c r="T73" s="14">
        <f>IFERROR(T64+T65+T66+T67+T68+T69+T70+T71+T72, "NA")</f>
        <v>47099.94</v>
      </c>
      <c r="U73" s="15">
        <f>IFERROR(T73/T444, "NA")</f>
        <v>8.6999992075786806E-2</v>
      </c>
      <c r="V73" s="2"/>
      <c r="W73" s="14">
        <f t="shared" si="18"/>
        <v>3395.8499999999985</v>
      </c>
      <c r="X73" s="15">
        <f>IFERROR(W73/W444, "NA")</f>
        <v>0.12802093362899583</v>
      </c>
      <c r="Y73" s="2"/>
      <c r="Z73" s="14">
        <f>IFERROR(Z64+Z65+Z66+Z67+Z68+Z69+Z70+Z71+Z72, "NA")</f>
        <v>26750.75</v>
      </c>
      <c r="AA73" s="15">
        <f>IFERROR(Z73/Z444, "NA")</f>
        <v>5.2459464090709222E-2</v>
      </c>
      <c r="AB73" s="2"/>
      <c r="AC73" s="14">
        <f t="shared" si="19"/>
        <v>23745.040000000001</v>
      </c>
      <c r="AD73" s="15">
        <f>IFERROR(AC73/AC444, "NA")</f>
        <v>0.40959080834580602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6790.46</v>
      </c>
      <c r="F75" s="8">
        <f>IFERROR(E75/E444, "NA")</f>
        <v>2.7999996371380318E-2</v>
      </c>
      <c r="G75" s="9"/>
      <c r="H75" s="10">
        <f t="shared" ref="H75:H92" si="20">IFERROR(B75-E75, "NA")</f>
        <v>-6790.46</v>
      </c>
      <c r="I75" s="8">
        <f>IFERROR(H75/H444, "NA")</f>
        <v>-0.33897301628108423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15158.6</v>
      </c>
      <c r="U75" s="8">
        <f>IFERROR(T75/T444, "NA")</f>
        <v>2.7999994901904798E-2</v>
      </c>
      <c r="V75" s="9"/>
      <c r="W75" s="10">
        <f t="shared" ref="W75:W92" si="22">IFERROR(Q75-T75, "NA")</f>
        <v>-15158.6</v>
      </c>
      <c r="X75" s="8">
        <f>IFERROR(W75/W444, "NA")</f>
        <v>-0.57146756320464598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995.93</v>
      </c>
      <c r="C77" s="8">
        <f>IFERROR(B77/B444, "NA")</f>
        <v>3.7933122632274499E-3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995.93</v>
      </c>
      <c r="I77" s="8">
        <f>IFERROR(H77/H444, "NA")</f>
        <v>4.9715836055999184E-2</v>
      </c>
      <c r="J77" s="9"/>
      <c r="K77" s="7">
        <v>1787.53</v>
      </c>
      <c r="L77" s="8">
        <f>IFERROR(K77/K444, "NA")</f>
        <v>8.0120132912475505E-3</v>
      </c>
      <c r="M77" s="9"/>
      <c r="N77" s="10">
        <f t="shared" si="21"/>
        <v>-791.6</v>
      </c>
      <c r="O77" s="8">
        <f>IFERROR(N77/N444, "NA")</f>
        <v>-2.0069625068675604E-2</v>
      </c>
      <c r="P77" s="9"/>
      <c r="Q77" s="7">
        <v>2247.31</v>
      </c>
      <c r="R77" s="8">
        <f>IFERROR(Q77/Q444, "NA")</f>
        <v>3.9571976558519769E-3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2247.31</v>
      </c>
      <c r="X77" s="8">
        <f>IFERROR(W77/W444, "NA")</f>
        <v>8.4721858843523332E-2</v>
      </c>
      <c r="Y77" s="9"/>
      <c r="Z77" s="7">
        <v>3202.8</v>
      </c>
      <c r="AA77" s="8">
        <f>IFERROR(Z77/Z444, "NA")</f>
        <v>6.2808396620552135E-3</v>
      </c>
      <c r="AB77" s="9"/>
      <c r="AC77" s="10">
        <f t="shared" si="23"/>
        <v>-955.49000000000024</v>
      </c>
      <c r="AD77" s="8">
        <f>IFERROR(AC77/AC444, "NA")</f>
        <v>-1.6481754567115248E-2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6366.87</v>
      </c>
      <c r="C80" s="8">
        <f>IFERROR(B80/B444, "NA")</f>
        <v>2.4250224462939118E-2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6366.87</v>
      </c>
      <c r="I80" s="8">
        <f>IFERROR(H80/H444, "NA")</f>
        <v>0.3178278243549843</v>
      </c>
      <c r="J80" s="9"/>
      <c r="K80" s="7">
        <v>3869.14</v>
      </c>
      <c r="L80" s="8">
        <f>IFERROR(K80/K444, "NA")</f>
        <v>1.7342143128058016E-2</v>
      </c>
      <c r="M80" s="9"/>
      <c r="N80" s="10">
        <f t="shared" si="21"/>
        <v>2497.73</v>
      </c>
      <c r="O80" s="8">
        <f>IFERROR(N80/N444, "NA")</f>
        <v>6.3325549043434959E-2</v>
      </c>
      <c r="P80" s="9"/>
      <c r="Q80" s="7">
        <v>13285.8</v>
      </c>
      <c r="R80" s="8">
        <f>IFERROR(Q80/Q444, "NA")</f>
        <v>2.3394430059100964E-2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13285.8</v>
      </c>
      <c r="X80" s="8">
        <f>IFERROR(W80/W444, "NA")</f>
        <v>0.50086444336708436</v>
      </c>
      <c r="Y80" s="9"/>
      <c r="Z80" s="7">
        <v>10601.8</v>
      </c>
      <c r="AA80" s="8">
        <f>IFERROR(Z80/Z444, "NA")</f>
        <v>2.0790622558129437E-2</v>
      </c>
      <c r="AB80" s="9"/>
      <c r="AC80" s="10">
        <f t="shared" si="23"/>
        <v>2684</v>
      </c>
      <c r="AD80" s="8">
        <f>IFERROR(AC80/AC444, "NA")</f>
        <v>4.6297741743123753E-2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988.28</v>
      </c>
      <c r="AA87" s="8">
        <f>IFERROR(Z87/Z444, "NA")</f>
        <v>1.9380630139927333E-3</v>
      </c>
      <c r="AB87" s="9"/>
      <c r="AC87" s="10">
        <f t="shared" si="23"/>
        <v>-988.28</v>
      </c>
      <c r="AD87" s="8">
        <f>IFERROR(AC87/AC444, "NA")</f>
        <v>-1.7047366695191635E-2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7362.8</v>
      </c>
      <c r="C88" s="15">
        <f>IFERROR(B88/B444, "NA")</f>
        <v>2.8043536726166569E-2</v>
      </c>
      <c r="D88" s="2"/>
      <c r="E88" s="14">
        <f>IFERROR(E75+E76+E77+E78+E79+E80+E81+E82+E83+E84+E85+E86+E87, "NA")</f>
        <v>6790.46</v>
      </c>
      <c r="F88" s="15">
        <f>IFERROR(E88/E444, "NA")</f>
        <v>2.7999996371380318E-2</v>
      </c>
      <c r="G88" s="2"/>
      <c r="H88" s="14">
        <f t="shared" si="20"/>
        <v>572.34000000000015</v>
      </c>
      <c r="I88" s="15">
        <f>IFERROR(H88/H444, "NA")</f>
        <v>2.8570644129899271E-2</v>
      </c>
      <c r="J88" s="2"/>
      <c r="K88" s="14">
        <f>IFERROR(K75+K76+K77+K78+K79+K80+K81+K82+K83+K84+K85+K86+K87, "NA")</f>
        <v>5656.67</v>
      </c>
      <c r="L88" s="15">
        <f>IFERROR(K88/K444, "NA")</f>
        <v>2.5354156419305565E-2</v>
      </c>
      <c r="M88" s="2"/>
      <c r="N88" s="14">
        <f t="shared" si="21"/>
        <v>1706.13</v>
      </c>
      <c r="O88" s="15">
        <f>IFERROR(N88/N444, "NA")</f>
        <v>4.3255923974759358E-2</v>
      </c>
      <c r="P88" s="2"/>
      <c r="Q88" s="14">
        <f>IFERROR(Q75+Q76+Q77+Q78+Q79+Q80+Q81+Q82+Q83+Q84+Q85+Q86+Q87, "NA")</f>
        <v>15533.109999999999</v>
      </c>
      <c r="R88" s="15">
        <f>IFERROR(Q88/Q444, "NA")</f>
        <v>2.735162771495294E-2</v>
      </c>
      <c r="S88" s="2"/>
      <c r="T88" s="14">
        <f>IFERROR(T75+T76+T77+T78+T79+T80+T81+T82+T83+T84+T85+T86+T87, "NA")</f>
        <v>15158.6</v>
      </c>
      <c r="U88" s="15">
        <f>IFERROR(T88/T444, "NA")</f>
        <v>2.7999994901904798E-2</v>
      </c>
      <c r="V88" s="2"/>
      <c r="W88" s="14">
        <f t="shared" si="22"/>
        <v>374.5099999999984</v>
      </c>
      <c r="X88" s="15">
        <f>IFERROR(W88/W444, "NA")</f>
        <v>1.4118739005961702E-2</v>
      </c>
      <c r="Y88" s="2"/>
      <c r="Z88" s="14">
        <f>IFERROR(Z75+Z76+Z77+Z78+Z79+Z80+Z81+Z82+Z83+Z84+Z85+Z86+Z87, "NA")</f>
        <v>14792.88</v>
      </c>
      <c r="AA88" s="15">
        <f>IFERROR(Z88/Z444, "NA")</f>
        <v>2.9009525234177384E-2</v>
      </c>
      <c r="AB88" s="2"/>
      <c r="AC88" s="14">
        <f t="shared" si="23"/>
        <v>740.22999999999956</v>
      </c>
      <c r="AD88" s="15">
        <f>IFERROR(AC88/AC444, "NA")</f>
        <v>1.2768620480816869E-2</v>
      </c>
    </row>
    <row r="89" spans="1:30" ht="16.5" customHeight="1" x14ac:dyDescent="0.45">
      <c r="A89" s="6" t="s">
        <v>85</v>
      </c>
      <c r="B89" s="7">
        <v>-51</v>
      </c>
      <c r="C89" s="8">
        <f>IFERROR(B89/B444, "NA")</f>
        <v>-1.9424952097496807E-4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-51</v>
      </c>
      <c r="I89" s="8">
        <f>IFERROR(H89/H444, "NA")</f>
        <v>-2.5458693270169171E-3</v>
      </c>
      <c r="J89" s="9"/>
      <c r="K89" s="7">
        <v>0</v>
      </c>
      <c r="L89" s="8">
        <f>IFERROR(K89/K444, "NA")</f>
        <v>0</v>
      </c>
      <c r="M89" s="9"/>
      <c r="N89" s="10">
        <f t="shared" si="21"/>
        <v>-51</v>
      </c>
      <c r="O89" s="8">
        <f>IFERROR(N89/N444, "NA")</f>
        <v>-1.2930152583406464E-3</v>
      </c>
      <c r="P89" s="9"/>
      <c r="Q89" s="7">
        <v>-51</v>
      </c>
      <c r="R89" s="8">
        <f>IFERROR(Q89/Q444, "NA")</f>
        <v>-8.9803845685931542E-5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-51</v>
      </c>
      <c r="X89" s="8">
        <f>IFERROR(W89/W444, "NA")</f>
        <v>-1.9226607815653783E-3</v>
      </c>
      <c r="Y89" s="9"/>
      <c r="Z89" s="7">
        <v>0</v>
      </c>
      <c r="AA89" s="8">
        <f>IFERROR(Z89/Z444, "NA")</f>
        <v>0</v>
      </c>
      <c r="AB89" s="9"/>
      <c r="AC89" s="10">
        <f t="shared" si="23"/>
        <v>-51</v>
      </c>
      <c r="AD89" s="8">
        <f>IFERROR(AC89/AC444, "NA")</f>
        <v>-8.7972609124415486E-4</v>
      </c>
    </row>
    <row r="90" spans="1:30" ht="16.5" customHeight="1" x14ac:dyDescent="0.45">
      <c r="A90" s="6" t="s">
        <v>86</v>
      </c>
      <c r="B90" s="7">
        <v>59.59</v>
      </c>
      <c r="C90" s="8">
        <f>IFERROR(B90/B444, "NA")</f>
        <v>2.2696723440977152E-4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59.59</v>
      </c>
      <c r="I90" s="8">
        <f>IFERROR(H90/H444, "NA")</f>
        <v>2.9746735920968257E-3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59.59</v>
      </c>
      <c r="O90" s="8">
        <f>IFERROR(N90/N444, "NA")</f>
        <v>1.5107995930297869E-3</v>
      </c>
      <c r="P90" s="9"/>
      <c r="Q90" s="7">
        <v>-572.49</v>
      </c>
      <c r="R90" s="8">
        <f>IFERROR(Q90/Q444, "NA")</f>
        <v>-1.0080745807203716E-3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-572.49</v>
      </c>
      <c r="X90" s="8">
        <f>IFERROR(W90/W444, "NA")</f>
        <v>-2.1582432761536537E-2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-572.49</v>
      </c>
      <c r="AD90" s="8">
        <f>IFERROR(AC90/AC444, "NA")</f>
        <v>-9.8751841171836503E-3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-9943.17</v>
      </c>
      <c r="F94" s="8">
        <f>IFERROR(E94/E444, "NA")</f>
        <v>-4.0999979960123119E-2</v>
      </c>
      <c r="G94" s="9"/>
      <c r="H94" s="10">
        <f t="shared" ref="H94:H124" si="24">IFERROR(B94-E94, "NA")</f>
        <v>9943.17</v>
      </c>
      <c r="I94" s="8">
        <f>IFERROR(H94/H444, "NA")</f>
        <v>0.49635316698656473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-22196.52</v>
      </c>
      <c r="U94" s="8">
        <f>IFERROR(T94/T444, "NA")</f>
        <v>-4.0999989896166392E-2</v>
      </c>
      <c r="V94" s="9"/>
      <c r="W94" s="10">
        <f t="shared" ref="W94:W124" si="26">IFERROR(Q94-T94, "NA")</f>
        <v>22196.52</v>
      </c>
      <c r="X94" s="8">
        <f>IFERROR(W94/W444, "NA")</f>
        <v>0.8367917351221873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-1844.75</v>
      </c>
      <c r="C96" s="8">
        <f>IFERROR(B96/B444, "NA")</f>
        <v>-7.026309878795536E-3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-1844.75</v>
      </c>
      <c r="I96" s="8">
        <f>IFERROR(H96/H444, "NA")</f>
        <v>-9.2088087078714867E-2</v>
      </c>
      <c r="J96" s="9"/>
      <c r="K96" s="7">
        <v>-3497.15</v>
      </c>
      <c r="L96" s="8">
        <f>IFERROR(K96/K444, "NA")</f>
        <v>-1.5674820719924348E-2</v>
      </c>
      <c r="M96" s="9"/>
      <c r="N96" s="10">
        <f t="shared" si="25"/>
        <v>1652.4</v>
      </c>
      <c r="O96" s="8">
        <f>IFERROR(N96/N444, "NA")</f>
        <v>4.1893694370236947E-2</v>
      </c>
      <c r="P96" s="9"/>
      <c r="Q96" s="7">
        <v>-4092.88</v>
      </c>
      <c r="R96" s="8">
        <f>IFERROR(Q96/Q444, "NA")</f>
        <v>-7.2069875280595195E-3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-4092.88</v>
      </c>
      <c r="X96" s="8">
        <f>IFERROR(W96/W444, "NA")</f>
        <v>-0.15429842862065304</v>
      </c>
      <c r="Y96" s="9"/>
      <c r="Z96" s="7">
        <v>-6956.1</v>
      </c>
      <c r="AA96" s="8">
        <f>IFERROR(Z96/Z444, "NA")</f>
        <v>-1.3641235410647644E-2</v>
      </c>
      <c r="AB96" s="9"/>
      <c r="AC96" s="10">
        <f t="shared" si="27"/>
        <v>2863.2200000000003</v>
      </c>
      <c r="AD96" s="8">
        <f>IFERROR(AC96/AC444, "NA")</f>
        <v>4.9389202724942925E-2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-1317.53</v>
      </c>
      <c r="C98" s="8">
        <f>IFERROR(B98/B444, "NA")</f>
        <v>-5.018226889610778E-3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-1317.53</v>
      </c>
      <c r="I98" s="8">
        <f>IFERROR(H98/H444, "NA")</f>
        <v>-6.5769788518129396E-2</v>
      </c>
      <c r="J98" s="9"/>
      <c r="K98" s="7">
        <v>-2429.5300000000002</v>
      </c>
      <c r="L98" s="8">
        <f>IFERROR(K98/K444, "NA")</f>
        <v>-1.0889566413701958E-2</v>
      </c>
      <c r="M98" s="9"/>
      <c r="N98" s="10">
        <f t="shared" si="25"/>
        <v>1112.0000000000002</v>
      </c>
      <c r="O98" s="8">
        <f>IFERROR(N98/N444, "NA")</f>
        <v>2.8192803279898024E-2</v>
      </c>
      <c r="P98" s="9"/>
      <c r="Q98" s="7">
        <v>-4524.83</v>
      </c>
      <c r="R98" s="8">
        <f>IFERROR(Q98/Q444, "NA")</f>
        <v>-7.9675908838249734E-3</v>
      </c>
      <c r="S98" s="9"/>
      <c r="T98" s="7">
        <v>0</v>
      </c>
      <c r="U98" s="8">
        <f>IFERROR(T98/T444, "NA")</f>
        <v>0</v>
      </c>
      <c r="V98" s="9"/>
      <c r="W98" s="10">
        <f t="shared" si="26"/>
        <v>-4524.83</v>
      </c>
      <c r="X98" s="8">
        <f>IFERROR(W98/W444, "NA")</f>
        <v>-0.17058261145589157</v>
      </c>
      <c r="Y98" s="9"/>
      <c r="Z98" s="7">
        <v>-5256.09</v>
      </c>
      <c r="AA98" s="8">
        <f>IFERROR(Z98/Z444, "NA")</f>
        <v>-1.0307436786353125E-2</v>
      </c>
      <c r="AB98" s="9"/>
      <c r="AC98" s="10">
        <f t="shared" si="27"/>
        <v>731.26000000000022</v>
      </c>
      <c r="AD98" s="8">
        <f>IFERROR(AC98/AC444, "NA")</f>
        <v>1.2613892185945115E-2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-1026.78</v>
      </c>
      <c r="C100" s="8">
        <f>IFERROR(B100/B444, "NA")</f>
        <v>-3.9108141793466221E-3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-1026.78</v>
      </c>
      <c r="I100" s="8">
        <f>IFERROR(H100/H444, "NA")</f>
        <v>-5.1255837403812357E-2</v>
      </c>
      <c r="J100" s="9"/>
      <c r="K100" s="7">
        <v>-759.32</v>
      </c>
      <c r="L100" s="8">
        <f>IFERROR(K100/K444, "NA")</f>
        <v>-3.4034013036481009E-3</v>
      </c>
      <c r="M100" s="9"/>
      <c r="N100" s="10">
        <f t="shared" si="25"/>
        <v>-267.45999999999992</v>
      </c>
      <c r="O100" s="8">
        <f>IFERROR(N100/N444, "NA")</f>
        <v>-6.7809776665841027E-3</v>
      </c>
      <c r="P100" s="9"/>
      <c r="Q100" s="7">
        <v>-2155.92</v>
      </c>
      <c r="R100" s="8">
        <f>IFERROR(Q100/Q444, "NA")</f>
        <v>-3.7962726861022261E-3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-2155.92</v>
      </c>
      <c r="X100" s="8">
        <f>IFERROR(W100/W444, "NA")</f>
        <v>-8.1276526121420209E-2</v>
      </c>
      <c r="Y100" s="9"/>
      <c r="Z100" s="7">
        <v>-1164.98</v>
      </c>
      <c r="AA100" s="8">
        <f>IFERROR(Z100/Z444, "NA")</f>
        <v>-2.2845799267831529E-3</v>
      </c>
      <c r="AB100" s="9"/>
      <c r="AC100" s="10">
        <f t="shared" si="27"/>
        <v>-990.94</v>
      </c>
      <c r="AD100" s="8">
        <f>IFERROR(AC100/AC444, "NA")</f>
        <v>-1.7093250448185937E-2</v>
      </c>
    </row>
    <row r="101" spans="1:30" ht="16.5" customHeight="1" x14ac:dyDescent="0.45">
      <c r="A101" s="12" t="s">
        <v>96</v>
      </c>
      <c r="B101" s="7">
        <v>-35</v>
      </c>
      <c r="C101" s="8">
        <f>IFERROR(B101/B444, "NA")</f>
        <v>-1.3330849478674281E-4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-35</v>
      </c>
      <c r="I101" s="8">
        <f>IFERROR(H101/H444, "NA")</f>
        <v>-1.7471652244233746E-3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-35</v>
      </c>
      <c r="O101" s="8">
        <f>IFERROR(N101/N444, "NA")</f>
        <v>-8.8736341258671822E-4</v>
      </c>
      <c r="P101" s="9"/>
      <c r="Q101" s="7">
        <v>-78.069999999999993</v>
      </c>
      <c r="R101" s="8">
        <f>IFERROR(Q101/Q444, "NA")</f>
        <v>-1.3747031828824854E-4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-78.069999999999993</v>
      </c>
      <c r="X101" s="8">
        <f>IFERROR(W101/W444, "NA")</f>
        <v>-2.943178965035472E-3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-78.069999999999993</v>
      </c>
      <c r="AD101" s="8">
        <f>IFERROR(AC101/AC444, "NA")</f>
        <v>-1.3466709008515914E-3</v>
      </c>
    </row>
    <row r="102" spans="1:30" ht="16.5" customHeight="1" x14ac:dyDescent="0.45">
      <c r="A102" s="12" t="s">
        <v>97</v>
      </c>
      <c r="B102" s="7">
        <v>-2982.24</v>
      </c>
      <c r="C102" s="8">
        <f>IFERROR(B102/B444, "NA")</f>
        <v>-1.1358797871223309E-2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-2982.24</v>
      </c>
      <c r="I102" s="8">
        <f>IFERROR(H102/H444, "NA")</f>
        <v>-0.14887045768241042</v>
      </c>
      <c r="J102" s="9"/>
      <c r="K102" s="7">
        <v>-1791.18</v>
      </c>
      <c r="L102" s="8">
        <f>IFERROR(K102/K444, "NA")</f>
        <v>-8.0283732116477966E-3</v>
      </c>
      <c r="M102" s="9"/>
      <c r="N102" s="10">
        <f t="shared" si="25"/>
        <v>-1191.0599999999997</v>
      </c>
      <c r="O102" s="8">
        <f>IFERROR(N102/N444, "NA")</f>
        <v>-3.019723046272961E-2</v>
      </c>
      <c r="P102" s="9"/>
      <c r="Q102" s="7">
        <v>-6106.51</v>
      </c>
      <c r="R102" s="8">
        <f>IFERROR(Q102/Q444, "NA")</f>
        <v>-1.0752707484697997E-2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-6106.51</v>
      </c>
      <c r="X102" s="8">
        <f>IFERROR(W102/W444, "NA")</f>
        <v>-0.23021073116150587</v>
      </c>
      <c r="Y102" s="9"/>
      <c r="Z102" s="7">
        <v>-5046.18</v>
      </c>
      <c r="AA102" s="8">
        <f>IFERROR(Z102/Z444, "NA")</f>
        <v>-9.8957935200043017E-3</v>
      </c>
      <c r="AB102" s="9"/>
      <c r="AC102" s="10">
        <f t="shared" si="27"/>
        <v>-1060.33</v>
      </c>
      <c r="AD102" s="8">
        <f>IFERROR(AC102/AC444, "NA")</f>
        <v>-1.8290195418214011E-2</v>
      </c>
    </row>
    <row r="103" spans="1:30" ht="16.5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-86</v>
      </c>
      <c r="R103" s="8">
        <f>IFERROR(Q103/Q444, "NA")</f>
        <v>-1.5143393586255122E-4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-86</v>
      </c>
      <c r="X103" s="8">
        <f>IFERROR(W103/W444, "NA")</f>
        <v>-3.2421338669533831E-3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-86</v>
      </c>
      <c r="AD103" s="8">
        <f>IFERROR(AC103/AC444, "NA")</f>
        <v>-1.4834596832744571E-3</v>
      </c>
    </row>
    <row r="104" spans="1:30" ht="16.5" customHeight="1" x14ac:dyDescent="0.45">
      <c r="A104" s="12" t="s">
        <v>99</v>
      </c>
      <c r="B104" s="7">
        <v>-1291.4000000000001</v>
      </c>
      <c r="C104" s="8">
        <f>IFERROR(B104/B444, "NA")</f>
        <v>-4.9187025762171335E-3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-1291.4000000000001</v>
      </c>
      <c r="I104" s="8">
        <f>IFERROR(H104/H444, "NA")</f>
        <v>-6.446540488058132E-2</v>
      </c>
      <c r="J104" s="9"/>
      <c r="K104" s="7">
        <v>-1003.73</v>
      </c>
      <c r="L104" s="8">
        <f>IFERROR(K104/K444, "NA")</f>
        <v>-4.4988884666684777E-3</v>
      </c>
      <c r="M104" s="9"/>
      <c r="N104" s="10">
        <f t="shared" si="25"/>
        <v>-287.67000000000007</v>
      </c>
      <c r="O104" s="8">
        <f>IFERROR(N104/N444, "NA")</f>
        <v>-7.293366654252037E-3</v>
      </c>
      <c r="P104" s="9"/>
      <c r="Q104" s="7">
        <v>-1666.83</v>
      </c>
      <c r="R104" s="8">
        <f>IFERROR(Q104/Q444, "NA")</f>
        <v>-2.9350538059741424E-3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-1666.83</v>
      </c>
      <c r="X104" s="8">
        <f>IFERROR(W104/W444, "NA")</f>
        <v>-6.2838209226208225E-2</v>
      </c>
      <c r="Y104" s="9"/>
      <c r="Z104" s="7">
        <v>-1916.91</v>
      </c>
      <c r="AA104" s="8">
        <f>IFERROR(Z104/Z444, "NA")</f>
        <v>-3.7591496055296176E-3</v>
      </c>
      <c r="AB104" s="9"/>
      <c r="AC104" s="10">
        <f t="shared" si="27"/>
        <v>250.08000000000015</v>
      </c>
      <c r="AD104" s="8">
        <f>IFERROR(AC104/AC444, "NA")</f>
        <v>4.3137627627125169E-3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-233.74</v>
      </c>
      <c r="C106" s="8">
        <f>IFERROR(B106/B444, "NA")</f>
        <v>-8.9027221632723608E-4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-233.74</v>
      </c>
      <c r="I106" s="8">
        <f>IFERROR(H106/H444, "NA")</f>
        <v>-1.1668068558763418E-2</v>
      </c>
      <c r="J106" s="9"/>
      <c r="K106" s="7">
        <v>-1598.9</v>
      </c>
      <c r="L106" s="8">
        <f>IFERROR(K106/K444, "NA")</f>
        <v>-7.1665415693027302E-3</v>
      </c>
      <c r="M106" s="9"/>
      <c r="N106" s="10">
        <f t="shared" si="25"/>
        <v>1365.16</v>
      </c>
      <c r="O106" s="8">
        <f>IFERROR(N106/N444, "NA")</f>
        <v>3.4611229609339551E-2</v>
      </c>
      <c r="P106" s="9"/>
      <c r="Q106" s="7">
        <v>-300.58999999999997</v>
      </c>
      <c r="R106" s="8">
        <f>IFERROR(Q106/Q444, "NA")</f>
        <v>-5.292968230340031E-4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-300.58999999999997</v>
      </c>
      <c r="X106" s="8">
        <f>IFERROR(W106/W444, "NA")</f>
        <v>-1.1332011849622294E-2</v>
      </c>
      <c r="Y106" s="9"/>
      <c r="Z106" s="7">
        <v>-1687.06</v>
      </c>
      <c r="AA106" s="8">
        <f>IFERROR(Z106/Z444, "NA")</f>
        <v>-3.3084030723950506E-3</v>
      </c>
      <c r="AB106" s="9"/>
      <c r="AC106" s="10">
        <f t="shared" si="27"/>
        <v>1386.47</v>
      </c>
      <c r="AD106" s="8">
        <f>IFERROR(AC106/AC444, "NA")</f>
        <v>2.391595752406438E-2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-8731.4399999999987</v>
      </c>
      <c r="C118" s="15">
        <f>IFERROR(B118/B444, "NA")</f>
        <v>-3.3256432106307354E-2</v>
      </c>
      <c r="D118" s="2"/>
      <c r="E118" s="14">
        <f>IFERROR(E94+E95+E96+E97+E98+E99+E100+E101+E102+E103+E104+E105+E106+E107+E108+E109+E110+E111+E112+E113+E114+E115+E116+E117, "NA")</f>
        <v>-9943.17</v>
      </c>
      <c r="F118" s="15">
        <f>IFERROR(E118/E444, "NA")</f>
        <v>-4.0999979960123119E-2</v>
      </c>
      <c r="G118" s="2"/>
      <c r="H118" s="14">
        <f t="shared" si="24"/>
        <v>1211.7300000000014</v>
      </c>
      <c r="I118" s="15">
        <f>IFERROR(H118/H444, "NA")</f>
        <v>6.0488357639729658E-2</v>
      </c>
      <c r="J118" s="2"/>
      <c r="K118" s="14">
        <f>IFERROR(K94+K95+K96+K97+K98+K99+K100+K101+K102+K103+K104+K105+K106+K107+K108+K109+K110+K111+K112+K113+K114+K115+K116+K117, "NA")</f>
        <v>-11079.81</v>
      </c>
      <c r="L118" s="15">
        <f>IFERROR(K118/K444, "NA")</f>
        <v>-4.9661591684893411E-2</v>
      </c>
      <c r="M118" s="2"/>
      <c r="N118" s="14">
        <f t="shared" si="25"/>
        <v>2348.3700000000008</v>
      </c>
      <c r="O118" s="15">
        <f>IFERROR(N118/N444, "NA")</f>
        <v>5.9538789063322058E-2</v>
      </c>
      <c r="P118" s="2"/>
      <c r="Q118" s="14">
        <f>IFERROR(Q94+Q95+Q96+Q97+Q98+Q99+Q100+Q101+Q102+Q103+Q104+Q105+Q106+Q107+Q108+Q109+Q110+Q111+Q112+Q113+Q114+Q115+Q116+Q117, "NA")</f>
        <v>-19011.63</v>
      </c>
      <c r="R118" s="15">
        <f>IFERROR(Q118/Q444, "NA")</f>
        <v>-3.3476813465843663E-2</v>
      </c>
      <c r="S118" s="2"/>
      <c r="T118" s="14">
        <f>IFERROR(T94+T95+T96+T97+T98+T99+T100+T101+T102+T103+T104+T105+T106+T107+T108+T109+T110+T111+T112+T113+T114+T115+T116+T117, "NA")</f>
        <v>-22196.52</v>
      </c>
      <c r="U118" s="15">
        <f>IFERROR(T118/T444, "NA")</f>
        <v>-4.0999989896166392E-2</v>
      </c>
      <c r="V118" s="2"/>
      <c r="W118" s="14">
        <f t="shared" si="26"/>
        <v>3184.8899999999994</v>
      </c>
      <c r="X118" s="15">
        <f>IFERROR(W118/W444, "NA")</f>
        <v>0.12006790385489718</v>
      </c>
      <c r="Y118" s="2"/>
      <c r="Z118" s="14">
        <f>IFERROR(Z94+Z95+Z96+Z97+Z98+Z99+Z100+Z101+Z102+Z103+Z104+Z105+Z106+Z107+Z108+Z109+Z110+Z111+Z112+Z113+Z114+Z115+Z116+Z117, "NA")</f>
        <v>-22027.32</v>
      </c>
      <c r="AA118" s="15">
        <f>IFERROR(Z118/Z444, "NA")</f>
        <v>-4.3196598321712888E-2</v>
      </c>
      <c r="AB118" s="2"/>
      <c r="AC118" s="14">
        <f t="shared" si="27"/>
        <v>3015.6899999999987</v>
      </c>
      <c r="AD118" s="15">
        <f>IFERROR(AC118/AC444, "NA")</f>
        <v>5.2019238747138902E-2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262548.90999999992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242516.45999999996</v>
      </c>
      <c r="F122" s="15">
        <f>IFERROR(E122/E444, "NA")</f>
        <v>0.99999999999999989</v>
      </c>
      <c r="G122" s="2"/>
      <c r="H122" s="14">
        <f t="shared" si="24"/>
        <v>20032.449999999953</v>
      </c>
      <c r="I122" s="15">
        <f>IFERROR(H122/H444, "NA")</f>
        <v>0.99999999999999856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223106.22000000003</v>
      </c>
      <c r="L122" s="15">
        <f>IFERROR(K122/K444, "NA")</f>
        <v>1.0000000000000002</v>
      </c>
      <c r="M122" s="2"/>
      <c r="N122" s="14">
        <f t="shared" si="25"/>
        <v>39442.689999999886</v>
      </c>
      <c r="O122" s="15">
        <f>IFERROR(N122/N444, "NA")</f>
        <v>0.99999999999999778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567904.41000000038</v>
      </c>
      <c r="R122" s="15">
        <f>IFERROR(Q122/Q444, "NA")</f>
        <v>1.0000000000000007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541378.67000000004</v>
      </c>
      <c r="U122" s="15">
        <f>IFERROR(T122/T444, "NA")</f>
        <v>1</v>
      </c>
      <c r="V122" s="2"/>
      <c r="W122" s="14">
        <f t="shared" si="26"/>
        <v>26525.74000000034</v>
      </c>
      <c r="X122" s="15">
        <f>IFERROR(W122/W444, "NA")</f>
        <v>1.0000000000000131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509931.82000000007</v>
      </c>
      <c r="AA122" s="15">
        <f>IFERROR(Z122/Z444, "NA")</f>
        <v>1.0000000000000002</v>
      </c>
      <c r="AB122" s="2"/>
      <c r="AC122" s="14">
        <f t="shared" si="27"/>
        <v>57972.590000000317</v>
      </c>
      <c r="AD122" s="15">
        <f>IFERROR(AC122/AC444, "NA")</f>
        <v>1.0000000000000051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262548.90999999992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242516.45999999996</v>
      </c>
      <c r="F124" s="15">
        <f>IFERROR(E124/E444, "NA")</f>
        <v>0.99999999999999989</v>
      </c>
      <c r="G124" s="2"/>
      <c r="H124" s="14">
        <f t="shared" si="24"/>
        <v>20032.449999999953</v>
      </c>
      <c r="I124" s="15">
        <f>IFERROR(H124/H444, "NA")</f>
        <v>0.99999999999999856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223106.22000000003</v>
      </c>
      <c r="L124" s="15">
        <f>IFERROR(K124/K444, "NA")</f>
        <v>1.0000000000000002</v>
      </c>
      <c r="M124" s="2"/>
      <c r="N124" s="14">
        <f t="shared" si="25"/>
        <v>39442.689999999886</v>
      </c>
      <c r="O124" s="15">
        <f>IFERROR(N124/N444, "NA")</f>
        <v>0.99999999999999778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567904.41000000038</v>
      </c>
      <c r="R124" s="15">
        <f>IFERROR(Q124/Q444, "NA")</f>
        <v>1.0000000000000007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541378.67000000004</v>
      </c>
      <c r="U124" s="15">
        <f>IFERROR(T124/T444, "NA")</f>
        <v>1</v>
      </c>
      <c r="V124" s="2"/>
      <c r="W124" s="14">
        <f t="shared" si="26"/>
        <v>26525.74000000034</v>
      </c>
      <c r="X124" s="15">
        <f>IFERROR(W124/W444, "NA")</f>
        <v>1.0000000000000131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509931.82000000007</v>
      </c>
      <c r="AA124" s="15">
        <f>IFERROR(Z124/Z444, "NA")</f>
        <v>1.0000000000000002</v>
      </c>
      <c r="AB124" s="2"/>
      <c r="AC124" s="14">
        <f t="shared" si="27"/>
        <v>57972.590000000317</v>
      </c>
      <c r="AD124" s="15">
        <f>IFERROR(AC124/AC444, "NA")</f>
        <v>1.0000000000000051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49473.36</v>
      </c>
      <c r="F129" s="8">
        <f>IFERROR(E129/E444, "NA")</f>
        <v>0.20400000890661196</v>
      </c>
      <c r="G129" s="9"/>
      <c r="H129" s="10">
        <f t="shared" ref="H129:H141" si="28">IFERROR(-(B129-E129), "NA")</f>
        <v>49473.36</v>
      </c>
      <c r="I129" s="8">
        <f>IFERROR(H129/H444, "NA")</f>
        <v>2.4696609750679546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112005.1</v>
      </c>
      <c r="U129" s="8">
        <f>IFERROR(T129/T444, "NA")</f>
        <v>0.20688864598230292</v>
      </c>
      <c r="V129" s="9"/>
      <c r="W129" s="10">
        <f t="shared" ref="W129:W141" si="30">IFERROR(-(Q129-T129), "NA")</f>
        <v>112005.1</v>
      </c>
      <c r="X129" s="8">
        <f>IFERROR(W129/W444, "NA")</f>
        <v>4.2225061393197718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12706.79</v>
      </c>
      <c r="C130" s="8">
        <f>IFERROR(B130/B444, "NA")</f>
        <v>4.8397801384892448E-2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-12706.79</v>
      </c>
      <c r="I130" s="8">
        <f>IFERROR(H130/H444, "NA")</f>
        <v>-0.63431033148716265</v>
      </c>
      <c r="J130" s="9"/>
      <c r="K130" s="7">
        <v>12005.44</v>
      </c>
      <c r="L130" s="8">
        <f>IFERROR(K130/K444, "NA")</f>
        <v>5.3810422676696328E-2</v>
      </c>
      <c r="M130" s="9"/>
      <c r="N130" s="10">
        <f t="shared" si="29"/>
        <v>-701.35000000000036</v>
      </c>
      <c r="O130" s="8">
        <f>IFERROR(N130/N444, "NA")</f>
        <v>-1.7781495126219862E-2</v>
      </c>
      <c r="P130" s="9"/>
      <c r="Q130" s="7">
        <v>26747.64</v>
      </c>
      <c r="R130" s="8">
        <f>IFERROR(Q130/Q444, "NA")</f>
        <v>4.7098841863193137E-2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-26747.64</v>
      </c>
      <c r="X130" s="8">
        <f>IFERROR(W130/W444, "NA")</f>
        <v>-1.0083654593613602</v>
      </c>
      <c r="Y130" s="9"/>
      <c r="Z130" s="7">
        <v>27829.99</v>
      </c>
      <c r="AA130" s="8">
        <f>IFERROR(Z130/Z444, "NA")</f>
        <v>5.4575903892406637E-2</v>
      </c>
      <c r="AB130" s="9"/>
      <c r="AC130" s="10">
        <f t="shared" si="31"/>
        <v>1082.3500000000022</v>
      </c>
      <c r="AD130" s="8">
        <f>IFERROR(AC130/AC444, "NA")</f>
        <v>1.8670030095257115E-2</v>
      </c>
    </row>
    <row r="131" spans="1:30" ht="16.5" customHeight="1" x14ac:dyDescent="0.45">
      <c r="A131" s="12" t="s">
        <v>123</v>
      </c>
      <c r="B131" s="7">
        <v>6463.27</v>
      </c>
      <c r="C131" s="8">
        <f>IFERROR(B131/B444, "NA")</f>
        <v>2.4617394145723177E-2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-6463.27</v>
      </c>
      <c r="I131" s="8">
        <f>IFERROR(H131/H444, "NA")</f>
        <v>-0.32264001657311042</v>
      </c>
      <c r="J131" s="9"/>
      <c r="K131" s="7">
        <v>6464.8</v>
      </c>
      <c r="L131" s="8">
        <f>IFERROR(K131/K444, "NA")</f>
        <v>2.897633243931971E-2</v>
      </c>
      <c r="M131" s="9"/>
      <c r="N131" s="10">
        <f t="shared" si="29"/>
        <v>1.5299999999997453</v>
      </c>
      <c r="O131" s="8">
        <f>IFERROR(N131/N444, "NA")</f>
        <v>3.8790457750212937E-5</v>
      </c>
      <c r="P131" s="9"/>
      <c r="Q131" s="7">
        <v>14937.33</v>
      </c>
      <c r="R131" s="8">
        <f>IFERROR(Q131/Q444, "NA")</f>
        <v>2.630254271136933E-2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-14937.33</v>
      </c>
      <c r="X131" s="8">
        <f>IFERROR(W131/W444, "NA")</f>
        <v>-0.56312585435882301</v>
      </c>
      <c r="Y131" s="9"/>
      <c r="Z131" s="7">
        <v>14467.55</v>
      </c>
      <c r="AA131" s="8">
        <f>IFERROR(Z131/Z444, "NA")</f>
        <v>2.837153798325431E-2</v>
      </c>
      <c r="AB131" s="9"/>
      <c r="AC131" s="10">
        <f t="shared" si="31"/>
        <v>-469.78000000000065</v>
      </c>
      <c r="AD131" s="8">
        <f>IFERROR(AC131/AC444, "NA")</f>
        <v>-8.103484767542737E-3</v>
      </c>
    </row>
    <row r="132" spans="1:30" ht="16.5" customHeight="1" x14ac:dyDescent="0.45">
      <c r="A132" s="12" t="s">
        <v>124</v>
      </c>
      <c r="B132" s="7">
        <v>9634.2099999999991</v>
      </c>
      <c r="C132" s="8">
        <f>IFERROR(B132/B444, "NA")</f>
        <v>3.6694915244553865E-2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-9634.2099999999991</v>
      </c>
      <c r="I132" s="8">
        <f>IFERROR(H132/H444, "NA")</f>
        <v>-0.48093019076548338</v>
      </c>
      <c r="J132" s="9"/>
      <c r="K132" s="7">
        <v>7519.74</v>
      </c>
      <c r="L132" s="8">
        <f>IFERROR(K132/K444, "NA")</f>
        <v>3.3704752830288641E-2</v>
      </c>
      <c r="M132" s="9"/>
      <c r="N132" s="10">
        <f t="shared" si="29"/>
        <v>-2114.4699999999993</v>
      </c>
      <c r="O132" s="8">
        <f>IFERROR(N132/N444, "NA")</f>
        <v>-5.3608666143206786E-2</v>
      </c>
      <c r="P132" s="9"/>
      <c r="Q132" s="7">
        <v>19366.919999999998</v>
      </c>
      <c r="R132" s="8">
        <f>IFERROR(Q132/Q444, "NA")</f>
        <v>3.4102429315525123E-2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-19366.919999999998</v>
      </c>
      <c r="X132" s="8">
        <f>IFERROR(W132/W444, "NA")</f>
        <v>-0.73011799105321873</v>
      </c>
      <c r="Y132" s="9"/>
      <c r="Z132" s="7">
        <v>18194.37</v>
      </c>
      <c r="AA132" s="8">
        <f>IFERROR(Z132/Z444, "NA")</f>
        <v>3.568000522109014E-2</v>
      </c>
      <c r="AB132" s="9"/>
      <c r="AC132" s="10">
        <f t="shared" si="31"/>
        <v>-1172.5499999999993</v>
      </c>
      <c r="AD132" s="8">
        <f>IFERROR(AC132/AC444, "NA")</f>
        <v>-2.022593780957516E-2</v>
      </c>
    </row>
    <row r="133" spans="1:30" ht="16.5" customHeight="1" x14ac:dyDescent="0.45">
      <c r="A133" s="12" t="s">
        <v>125</v>
      </c>
      <c r="B133" s="7">
        <v>5417.75</v>
      </c>
      <c r="C133" s="8">
        <f>IFERROR(B133/B444, "NA")</f>
        <v>2.0635202789453595E-2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-5417.75</v>
      </c>
      <c r="I133" s="8">
        <f>IFERROR(H133/H444, "NA")</f>
        <v>-0.27044869698913537</v>
      </c>
      <c r="J133" s="9"/>
      <c r="K133" s="7">
        <v>4989.82</v>
      </c>
      <c r="L133" s="8">
        <f>IFERROR(K133/K444, "NA")</f>
        <v>2.2365221373030299E-2</v>
      </c>
      <c r="M133" s="9"/>
      <c r="N133" s="10">
        <f t="shared" si="29"/>
        <v>-427.93000000000029</v>
      </c>
      <c r="O133" s="8">
        <f>IFERROR(N133/N444, "NA")</f>
        <v>-1.0849412147092416E-2</v>
      </c>
      <c r="P133" s="9"/>
      <c r="Q133" s="7">
        <v>11853.63</v>
      </c>
      <c r="R133" s="8">
        <f>IFERROR(Q133/Q444, "NA")</f>
        <v>2.0872579594865267E-2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-11853.63</v>
      </c>
      <c r="X133" s="8">
        <f>IFERROR(W133/W444, "NA")</f>
        <v>-0.44687273568993752</v>
      </c>
      <c r="Y133" s="9"/>
      <c r="Z133" s="7">
        <v>10794.23</v>
      </c>
      <c r="AA133" s="8">
        <f>IFERROR(Z133/Z444, "NA")</f>
        <v>2.1167986732030176E-2</v>
      </c>
      <c r="AB133" s="9"/>
      <c r="AC133" s="10">
        <f t="shared" si="31"/>
        <v>-1059.3999999999996</v>
      </c>
      <c r="AD133" s="8">
        <f>IFERROR(AC133/AC444, "NA")</f>
        <v>-1.8274153354197201E-2</v>
      </c>
    </row>
    <row r="134" spans="1:30" ht="16.5" customHeight="1" x14ac:dyDescent="0.45">
      <c r="A134" s="12" t="s">
        <v>126</v>
      </c>
      <c r="B134" s="7">
        <v>2553.91</v>
      </c>
      <c r="C134" s="8">
        <f>IFERROR(B134/B444, "NA")</f>
        <v>9.7273685120231514E-3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-2553.91</v>
      </c>
      <c r="I134" s="8">
        <f>IFERROR(H134/H444, "NA")</f>
        <v>-0.12748864966591716</v>
      </c>
      <c r="J134" s="9"/>
      <c r="K134" s="7">
        <v>2370.66</v>
      </c>
      <c r="L134" s="8">
        <f>IFERROR(K134/K444, "NA")</f>
        <v>1.0625701067410849E-2</v>
      </c>
      <c r="M134" s="9"/>
      <c r="N134" s="10">
        <f t="shared" si="29"/>
        <v>-183.25</v>
      </c>
      <c r="O134" s="8">
        <f>IFERROR(N134/N444, "NA")</f>
        <v>-4.6459812959004599E-3</v>
      </c>
      <c r="P134" s="9"/>
      <c r="Q134" s="7">
        <v>5654.33</v>
      </c>
      <c r="R134" s="8">
        <f>IFERROR(Q134/Q444, "NA")</f>
        <v>9.956481936810457E-3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-5654.33</v>
      </c>
      <c r="X134" s="8">
        <f>IFERROR(W134/W444, "NA")</f>
        <v>-0.21316389288291304</v>
      </c>
      <c r="Y134" s="9"/>
      <c r="Z134" s="7">
        <v>4381.29</v>
      </c>
      <c r="AA134" s="8">
        <f>IFERROR(Z134/Z444, "NA")</f>
        <v>8.5919133267659195E-3</v>
      </c>
      <c r="AB134" s="9"/>
      <c r="AC134" s="10">
        <f t="shared" si="31"/>
        <v>-1273.04</v>
      </c>
      <c r="AD134" s="8">
        <f>IFERROR(AC134/AC444, "NA")</f>
        <v>-2.1959343199950174E-2</v>
      </c>
    </row>
    <row r="135" spans="1:30" ht="16.5" customHeight="1" x14ac:dyDescent="0.45">
      <c r="A135" s="12" t="s">
        <v>127</v>
      </c>
      <c r="B135" s="7">
        <v>2613.1</v>
      </c>
      <c r="C135" s="8">
        <f>IFERROR(B135/B444, "NA")</f>
        <v>9.952812220778217E-3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-2613.1</v>
      </c>
      <c r="I135" s="8">
        <f>IFERROR(H135/H444, "NA")</f>
        <v>-0.13044335565544915</v>
      </c>
      <c r="J135" s="9"/>
      <c r="K135" s="7">
        <v>1962.95</v>
      </c>
      <c r="L135" s="8">
        <f>IFERROR(K135/K444, "NA")</f>
        <v>8.7982755478533941E-3</v>
      </c>
      <c r="M135" s="9"/>
      <c r="N135" s="10">
        <f t="shared" si="29"/>
        <v>-650.14999999999986</v>
      </c>
      <c r="O135" s="8">
        <f>IFERROR(N135/N444, "NA")</f>
        <v>-1.6483409219807277E-2</v>
      </c>
      <c r="P135" s="9"/>
      <c r="Q135" s="7">
        <v>5612.86</v>
      </c>
      <c r="R135" s="8">
        <f>IFERROR(Q135/Q444, "NA")</f>
        <v>9.8834590842497589E-3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-5612.86</v>
      </c>
      <c r="X135" s="8">
        <f>IFERROR(W135/W444, "NA")</f>
        <v>-0.21160050577288331</v>
      </c>
      <c r="Y135" s="9"/>
      <c r="Z135" s="7">
        <v>5084.68</v>
      </c>
      <c r="AA135" s="8">
        <f>IFERROR(Z135/Z444, "NA")</f>
        <v>9.9712938094351517E-3</v>
      </c>
      <c r="AB135" s="9"/>
      <c r="AC135" s="10">
        <f t="shared" si="31"/>
        <v>-528.17999999999938</v>
      </c>
      <c r="AD135" s="8">
        <f>IFERROR(AC135/AC444, "NA")</f>
        <v>-9.110857389673278E-3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1696.46</v>
      </c>
      <c r="L136" s="8">
        <f>IFERROR(K136/K444, "NA")</f>
        <v>7.6038220718364557E-3</v>
      </c>
      <c r="M136" s="9"/>
      <c r="N136" s="10">
        <f t="shared" si="29"/>
        <v>1696.46</v>
      </c>
      <c r="O136" s="8">
        <f>IFERROR(N136/N444, "NA")</f>
        <v>4.3010758140481831E-2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3399.15</v>
      </c>
      <c r="AA136" s="8">
        <f>IFERROR(Z136/Z444, "NA")</f>
        <v>6.6658911381525477E-3</v>
      </c>
      <c r="AB136" s="9"/>
      <c r="AC136" s="10">
        <f t="shared" si="31"/>
        <v>3399.15</v>
      </c>
      <c r="AD136" s="8">
        <f>IFERROR(AC136/AC444, "NA")</f>
        <v>5.8633743981422917E-2</v>
      </c>
    </row>
    <row r="137" spans="1:30" ht="16.5" customHeight="1" x14ac:dyDescent="0.45">
      <c r="A137" s="12" t="s">
        <v>129</v>
      </c>
      <c r="B137" s="7">
        <v>995.3</v>
      </c>
      <c r="C137" s="8">
        <f>IFERROR(B137/B444, "NA")</f>
        <v>3.7909127103212883E-3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-995.3</v>
      </c>
      <c r="I137" s="8">
        <f>IFERROR(H137/H444, "NA")</f>
        <v>-4.9684387081959561E-2</v>
      </c>
      <c r="J137" s="9"/>
      <c r="K137" s="7">
        <v>1340.03</v>
      </c>
      <c r="L137" s="8">
        <f>IFERROR(K137/K444, "NA")</f>
        <v>6.0062422284775383E-3</v>
      </c>
      <c r="M137" s="9"/>
      <c r="N137" s="10">
        <f t="shared" si="29"/>
        <v>344.73</v>
      </c>
      <c r="O137" s="8">
        <f>IFERROR(N137/N444, "NA")</f>
        <v>8.7400225491719823E-3</v>
      </c>
      <c r="P137" s="9"/>
      <c r="Q137" s="7">
        <v>2466.46</v>
      </c>
      <c r="R137" s="8">
        <f>IFERROR(Q137/Q444, "NA")</f>
        <v>4.343090063343583E-3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-2466.46</v>
      </c>
      <c r="X137" s="8">
        <f>IFERROR(W137/W444, "NA")</f>
        <v>-9.2983645319602806E-2</v>
      </c>
      <c r="Y137" s="9"/>
      <c r="Z137" s="7">
        <v>2627.75</v>
      </c>
      <c r="AA137" s="8">
        <f>IFERROR(Z137/Z444, "NA")</f>
        <v>5.1531398844653388E-3</v>
      </c>
      <c r="AB137" s="9"/>
      <c r="AC137" s="10">
        <f t="shared" si="31"/>
        <v>161.28999999999996</v>
      </c>
      <c r="AD137" s="8">
        <f>IFERROR(AC137/AC444, "NA")</f>
        <v>2.7821768873876412E-3</v>
      </c>
    </row>
    <row r="138" spans="1:30" ht="16.5" customHeight="1" x14ac:dyDescent="0.45">
      <c r="A138" s="12" t="s">
        <v>130</v>
      </c>
      <c r="B138" s="7">
        <v>15079.72</v>
      </c>
      <c r="C138" s="8">
        <f>IFERROR(B138/B444, "NA")</f>
        <v>5.7435850714444028E-2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-15079.72</v>
      </c>
      <c r="I138" s="8">
        <f>IFERROR(H138/H444, "NA")</f>
        <v>-0.7527646393726185</v>
      </c>
      <c r="J138" s="9"/>
      <c r="K138" s="7">
        <v>11547.64</v>
      </c>
      <c r="L138" s="8">
        <f>IFERROR(K138/K444, "NA")</f>
        <v>5.175848526320781E-2</v>
      </c>
      <c r="M138" s="9"/>
      <c r="N138" s="10">
        <f t="shared" si="29"/>
        <v>-3532.08</v>
      </c>
      <c r="O138" s="8">
        <f>IFERROR(N138/N444, "NA")</f>
        <v>-8.9549673209408445E-2</v>
      </c>
      <c r="P138" s="9"/>
      <c r="Q138" s="7">
        <v>35403.410000000003</v>
      </c>
      <c r="R138" s="8">
        <f>IFERROR(Q138/Q444, "NA")</f>
        <v>6.2340438595995411E-2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-35403.410000000003</v>
      </c>
      <c r="X138" s="8">
        <f>IFERROR(W138/W444, "NA")</f>
        <v>-1.3346813321701869</v>
      </c>
      <c r="Y138" s="9"/>
      <c r="Z138" s="7">
        <v>25746.13</v>
      </c>
      <c r="AA138" s="8">
        <f>IFERROR(Z138/Z444, "NA")</f>
        <v>5.0489357577254153E-2</v>
      </c>
      <c r="AB138" s="9"/>
      <c r="AC138" s="10">
        <f t="shared" si="31"/>
        <v>-9657.2800000000025</v>
      </c>
      <c r="AD138" s="8">
        <f>IFERROR(AC138/AC444, "NA")</f>
        <v>-0.16658355267549713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55464.05000000001</v>
      </c>
      <c r="C141" s="15">
        <f>IFERROR(B141/B444, "NA")</f>
        <v>0.21125225772218981</v>
      </c>
      <c r="D141" s="2"/>
      <c r="E141" s="14">
        <f>IFERROR(E129+E130+E131+E132+E133+E134+E135+E136+E137+E138+E139+E140, "NA")</f>
        <v>49473.36</v>
      </c>
      <c r="F141" s="15">
        <f>IFERROR(E141/E444, "NA")</f>
        <v>0.20400000890661196</v>
      </c>
      <c r="G141" s="2"/>
      <c r="H141" s="14">
        <f t="shared" si="28"/>
        <v>-5990.6900000000096</v>
      </c>
      <c r="I141" s="15">
        <f>IFERROR(H141/H444, "NA")</f>
        <v>-0.29904929252288237</v>
      </c>
      <c r="J141" s="2"/>
      <c r="K141" s="14">
        <f>IFERROR(K129+K130+K131+K132+K133+K134+K135+K136+K137+K138+K139+K140, "NA")</f>
        <v>49897.54</v>
      </c>
      <c r="L141" s="15">
        <f>IFERROR(K141/K444, "NA")</f>
        <v>0.22364925549812104</v>
      </c>
      <c r="M141" s="2"/>
      <c r="N141" s="14">
        <f t="shared" si="29"/>
        <v>-5566.5100000000093</v>
      </c>
      <c r="O141" s="15">
        <f>IFERROR(N141/N444, "NA")</f>
        <v>-0.14112906599423145</v>
      </c>
      <c r="P141" s="2"/>
      <c r="Q141" s="14">
        <f>IFERROR(Q129+Q130+Q131+Q132+Q133+Q134+Q135+Q136+Q137+Q138+Q139+Q140, "NA")</f>
        <v>122042.58000000002</v>
      </c>
      <c r="R141" s="15">
        <f>IFERROR(Q141/Q444, "NA")</f>
        <v>0.21489986316535209</v>
      </c>
      <c r="S141" s="2"/>
      <c r="T141" s="14">
        <f>IFERROR(T129+T130+T131+T132+T133+T134+T135+T136+T137+T138+T139+T140, "NA")</f>
        <v>112005.1</v>
      </c>
      <c r="U141" s="15">
        <f>IFERROR(T141/T444, "NA")</f>
        <v>0.20688864598230292</v>
      </c>
      <c r="V141" s="2"/>
      <c r="W141" s="14">
        <f t="shared" si="30"/>
        <v>-10037.48000000001</v>
      </c>
      <c r="X141" s="15">
        <f>IFERROR(W141/W444, "NA")</f>
        <v>-0.37840527728915441</v>
      </c>
      <c r="Y141" s="2"/>
      <c r="Z141" s="14">
        <f>IFERROR(Z129+Z130+Z131+Z132+Z133+Z134+Z135+Z136+Z137+Z138+Z139+Z140, "NA")</f>
        <v>112525.13999999998</v>
      </c>
      <c r="AA141" s="15">
        <f>IFERROR(Z141/Z444, "NA")</f>
        <v>0.22066702956485434</v>
      </c>
      <c r="AB141" s="2"/>
      <c r="AC141" s="14">
        <f t="shared" si="31"/>
        <v>-9517.4400000000314</v>
      </c>
      <c r="AD141" s="15">
        <f>IFERROR(AC141/AC444, "NA")</f>
        <v>-0.16417137823236855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2182.65</v>
      </c>
      <c r="F143" s="8">
        <f>IFERROR(E143/E444, "NA")</f>
        <v>9.0000076695825101E-3</v>
      </c>
      <c r="G143" s="9"/>
      <c r="H143" s="10">
        <f t="shared" ref="H143:H149" si="32">IFERROR(-(B143-E143), "NA")</f>
        <v>2182.65</v>
      </c>
      <c r="I143" s="8">
        <f>IFERROR(H143/H444, "NA")</f>
        <v>0.10895571934536225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4872.41</v>
      </c>
      <c r="U143" s="8">
        <f>IFERROR(T143/T444, "NA")</f>
        <v>9.0000036388578064E-3</v>
      </c>
      <c r="V143" s="9"/>
      <c r="W143" s="10">
        <f t="shared" ref="W143:W149" si="34">IFERROR(-(Q143-T143), "NA")</f>
        <v>4872.41</v>
      </c>
      <c r="X143" s="8">
        <f>IFERROR(W143/W444, "NA")</f>
        <v>0.18368611017072481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2930.1</v>
      </c>
      <c r="C144" s="8">
        <f>IFERROR(B144/B444, "NA")</f>
        <v>1.1160206302132431E-2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-2930.1</v>
      </c>
      <c r="I144" s="8">
        <f>IFERROR(H144/H444, "NA")</f>
        <v>-0.14626768068808371</v>
      </c>
      <c r="J144" s="9"/>
      <c r="K144" s="7">
        <v>379.96</v>
      </c>
      <c r="L144" s="8">
        <f>IFERROR(K144/K444, "NA")</f>
        <v>1.7030453028158514E-3</v>
      </c>
      <c r="M144" s="9"/>
      <c r="N144" s="10">
        <f t="shared" si="33"/>
        <v>-2550.14</v>
      </c>
      <c r="O144" s="8">
        <f>IFERROR(N144/N444, "NA")</f>
        <v>-6.4654312370682671E-2</v>
      </c>
      <c r="P144" s="9"/>
      <c r="Q144" s="7">
        <v>5893.64</v>
      </c>
      <c r="R144" s="8">
        <f>IFERROR(Q144/Q444, "NA")</f>
        <v>1.0377873276243796E-2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-5893.64</v>
      </c>
      <c r="X144" s="8">
        <f>IFERROR(W144/W444, "NA")</f>
        <v>-0.22218569585617601</v>
      </c>
      <c r="Y144" s="9"/>
      <c r="Z144" s="7">
        <v>3913.43</v>
      </c>
      <c r="AA144" s="8">
        <f>IFERROR(Z144/Z444, "NA")</f>
        <v>7.6744181212304021E-3</v>
      </c>
      <c r="AB144" s="9"/>
      <c r="AC144" s="10">
        <f t="shared" si="35"/>
        <v>-1980.2100000000005</v>
      </c>
      <c r="AD144" s="8">
        <f>IFERROR(AC144/AC444, "NA")</f>
        <v>-3.4157694179266437E-2</v>
      </c>
    </row>
    <row r="145" spans="1:30" ht="16.5" customHeight="1" x14ac:dyDescent="0.45">
      <c r="A145" s="12" t="s">
        <v>136</v>
      </c>
      <c r="B145" s="7">
        <v>42.77</v>
      </c>
      <c r="C145" s="8">
        <f>IFERROR(B145/B444, "NA")</f>
        <v>1.6290298062939971E-4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-42.77</v>
      </c>
      <c r="I145" s="8">
        <f>IFERROR(H145/H444, "NA")</f>
        <v>-2.1350359042453639E-3</v>
      </c>
      <c r="J145" s="9"/>
      <c r="K145" s="7">
        <v>1422.42</v>
      </c>
      <c r="L145" s="8">
        <f>IFERROR(K145/K444, "NA")</f>
        <v>6.3755282125258547E-3</v>
      </c>
      <c r="M145" s="9"/>
      <c r="N145" s="10">
        <f t="shared" si="33"/>
        <v>1379.65</v>
      </c>
      <c r="O145" s="8">
        <f>IFERROR(N145/N444, "NA")</f>
        <v>3.4978598062150451E-2</v>
      </c>
      <c r="P145" s="9"/>
      <c r="Q145" s="7">
        <v>103.59</v>
      </c>
      <c r="R145" s="8">
        <f>IFERROR(Q145/Q444, "NA")</f>
        <v>1.8240745832560096E-4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-103.59</v>
      </c>
      <c r="X145" s="8">
        <f>IFERROR(W145/W444, "NA")</f>
        <v>-3.9052633404383832E-3</v>
      </c>
      <c r="Y145" s="9"/>
      <c r="Z145" s="7">
        <v>439.52</v>
      </c>
      <c r="AA145" s="8">
        <f>IFERROR(Z145/Z444, "NA")</f>
        <v>8.6191914832849613E-4</v>
      </c>
      <c r="AB145" s="9"/>
      <c r="AC145" s="10">
        <f t="shared" si="35"/>
        <v>335.92999999999995</v>
      </c>
      <c r="AD145" s="8">
        <f>IFERROR(AC145/AC444, "NA")</f>
        <v>5.7946350163068407E-3</v>
      </c>
    </row>
    <row r="146" spans="1:30" ht="16.5" customHeight="1" x14ac:dyDescent="0.45">
      <c r="A146" s="12" t="s">
        <v>137</v>
      </c>
      <c r="B146" s="7">
        <v>1.6</v>
      </c>
      <c r="C146" s="8">
        <f>IFERROR(B146/B444, "NA")</f>
        <v>6.0941026188225281E-6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-1.6</v>
      </c>
      <c r="I146" s="8">
        <f>IFERROR(H146/H444, "NA")</f>
        <v>-7.9870410259354273E-5</v>
      </c>
      <c r="J146" s="9"/>
      <c r="K146" s="7">
        <v>219.25</v>
      </c>
      <c r="L146" s="8">
        <f>IFERROR(K146/K444, "NA")</f>
        <v>9.8271576650798892E-4</v>
      </c>
      <c r="M146" s="9"/>
      <c r="N146" s="10">
        <f t="shared" si="33"/>
        <v>217.65</v>
      </c>
      <c r="O146" s="8">
        <f>IFERROR(N146/N444, "NA")</f>
        <v>5.518132764271406E-3</v>
      </c>
      <c r="P146" s="9"/>
      <c r="Q146" s="7">
        <v>7.99</v>
      </c>
      <c r="R146" s="8">
        <f>IFERROR(Q146/Q444, "NA")</f>
        <v>1.4069269157462608E-5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-7.99</v>
      </c>
      <c r="X146" s="8">
        <f>IFERROR(W146/W444, "NA")</f>
        <v>-3.0121685577857592E-4</v>
      </c>
      <c r="Y146" s="9"/>
      <c r="Z146" s="7">
        <v>700.6</v>
      </c>
      <c r="AA146" s="8">
        <f>IFERROR(Z146/Z444, "NA")</f>
        <v>1.3739091629935939E-3</v>
      </c>
      <c r="AB146" s="9"/>
      <c r="AC146" s="10">
        <f t="shared" si="35"/>
        <v>692.61</v>
      </c>
      <c r="AD146" s="8">
        <f>IFERROR(AC146/AC444, "NA")</f>
        <v>1.1947197805031649E-2</v>
      </c>
    </row>
    <row r="147" spans="1:30" ht="16.5" customHeight="1" x14ac:dyDescent="0.45">
      <c r="A147" s="12" t="s">
        <v>138</v>
      </c>
      <c r="B147" s="7">
        <v>32.619999999999997</v>
      </c>
      <c r="C147" s="8">
        <f>IFERROR(B147/B444, "NA")</f>
        <v>1.2424351714124428E-4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-32.619999999999997</v>
      </c>
      <c r="I147" s="8">
        <f>IFERROR(H147/H444, "NA")</f>
        <v>-1.6283579891625849E-3</v>
      </c>
      <c r="J147" s="9"/>
      <c r="K147" s="7">
        <v>338.12</v>
      </c>
      <c r="L147" s="8">
        <f>IFERROR(K147/K444, "NA")</f>
        <v>1.5155113111593214E-3</v>
      </c>
      <c r="M147" s="9"/>
      <c r="N147" s="10">
        <f t="shared" si="33"/>
        <v>305.5</v>
      </c>
      <c r="O147" s="8">
        <f>IFERROR(N147/N444, "NA")</f>
        <v>7.7454149298640685E-3</v>
      </c>
      <c r="P147" s="9"/>
      <c r="Q147" s="7">
        <v>33.130000000000003</v>
      </c>
      <c r="R147" s="8">
        <f>IFERROR(Q147/Q444, "NA")</f>
        <v>5.8337282501468867E-5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-33.130000000000003</v>
      </c>
      <c r="X147" s="8">
        <f>IFERROR(W147/W444, "NA")</f>
        <v>-1.2489755233972743E-3</v>
      </c>
      <c r="Y147" s="9"/>
      <c r="Z147" s="7">
        <v>382.92</v>
      </c>
      <c r="AA147" s="8">
        <f>IFERROR(Z147/Z444, "NA")</f>
        <v>7.5092391763275333E-4</v>
      </c>
      <c r="AB147" s="9"/>
      <c r="AC147" s="10">
        <f t="shared" si="35"/>
        <v>349.79</v>
      </c>
      <c r="AD147" s="8">
        <f>IFERROR(AC147/AC444, "NA")</f>
        <v>6.0337135187508422E-3</v>
      </c>
    </row>
    <row r="148" spans="1:30" ht="16.5" customHeight="1" x14ac:dyDescent="0.45">
      <c r="A148" s="13" t="s">
        <v>139</v>
      </c>
      <c r="B148" s="14">
        <f>IFERROR(B143+B144+B145+B146+B147, "NA")</f>
        <v>3007.0899999999997</v>
      </c>
      <c r="C148" s="15">
        <f>IFERROR(B148/B444, "NA")</f>
        <v>1.1453446902521897E-2</v>
      </c>
      <c r="D148" s="2"/>
      <c r="E148" s="14">
        <f>IFERROR(E143+E144+E145+E146+E147, "NA")</f>
        <v>2182.65</v>
      </c>
      <c r="F148" s="15">
        <f>IFERROR(E148/E444, "NA")</f>
        <v>9.0000076695825101E-3</v>
      </c>
      <c r="G148" s="2"/>
      <c r="H148" s="14">
        <f t="shared" si="32"/>
        <v>-824.4399999999996</v>
      </c>
      <c r="I148" s="15">
        <f>IFERROR(H148/H444, "NA")</f>
        <v>-4.1155225646388752E-2</v>
      </c>
      <c r="J148" s="2"/>
      <c r="K148" s="14">
        <f>IFERROR(K143+K144+K145+K146+K147, "NA")</f>
        <v>2359.75</v>
      </c>
      <c r="L148" s="15">
        <f>IFERROR(K148/K444, "NA")</f>
        <v>1.0576800593009016E-2</v>
      </c>
      <c r="M148" s="2"/>
      <c r="N148" s="14">
        <f t="shared" si="33"/>
        <v>-647.33999999999969</v>
      </c>
      <c r="O148" s="15">
        <f>IFERROR(N148/N444, "NA")</f>
        <v>-1.6412166614396741E-2</v>
      </c>
      <c r="P148" s="2"/>
      <c r="Q148" s="14">
        <f>IFERROR(Q143+Q144+Q145+Q146+Q147, "NA")</f>
        <v>6038.35</v>
      </c>
      <c r="R148" s="15">
        <f>IFERROR(Q148/Q444, "NA")</f>
        <v>1.0632687286228329E-2</v>
      </c>
      <c r="S148" s="2"/>
      <c r="T148" s="14">
        <f>IFERROR(T143+T144+T145+T146+T147, "NA")</f>
        <v>4872.41</v>
      </c>
      <c r="U148" s="15">
        <f>IFERROR(T148/T444, "NA")</f>
        <v>9.0000036388578064E-3</v>
      </c>
      <c r="V148" s="2"/>
      <c r="W148" s="14">
        <f t="shared" si="34"/>
        <v>-1165.9400000000005</v>
      </c>
      <c r="X148" s="15">
        <f>IFERROR(W148/W444, "NA")</f>
        <v>-4.3955041405065454E-2</v>
      </c>
      <c r="Y148" s="2"/>
      <c r="Z148" s="14">
        <f>IFERROR(Z143+Z144+Z145+Z146+Z147, "NA")</f>
        <v>5436.47</v>
      </c>
      <c r="AA148" s="15">
        <f>IFERROR(Z148/Z444, "NA")</f>
        <v>1.0661170350185246E-2</v>
      </c>
      <c r="AB148" s="2"/>
      <c r="AC148" s="14">
        <f t="shared" si="35"/>
        <v>-601.88000000000011</v>
      </c>
      <c r="AD148" s="15">
        <f>IFERROR(AC148/AC444, "NA")</f>
        <v>-1.0382147839177099E-2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58471.140000000007</v>
      </c>
      <c r="C149" s="15">
        <f>IFERROR(B149/B444, "NA")</f>
        <v>0.22270570462471168</v>
      </c>
      <c r="D149" s="2"/>
      <c r="E149" s="14">
        <f>IFERROR(E127+E129+E130+E131+E132+E133+E134+E135+E136+E137+E138+E139+E140+E143+E144+E145+E146+E147, "NA")</f>
        <v>51656.01</v>
      </c>
      <c r="F149" s="15">
        <f>IFERROR(E149/E444, "NA")</f>
        <v>0.21300001657619447</v>
      </c>
      <c r="G149" s="2"/>
      <c r="H149" s="14">
        <f t="shared" si="32"/>
        <v>-6815.1300000000047</v>
      </c>
      <c r="I149" s="15">
        <f>IFERROR(H149/H444, "NA")</f>
        <v>-0.34020451816927089</v>
      </c>
      <c r="J149" s="2"/>
      <c r="K149" s="14">
        <f>IFERROR(K127+K129+K130+K131+K132+K133+K134+K135+K136+K137+K138+K139+K140+K143+K144+K145+K146+K147, "NA")</f>
        <v>52257.29</v>
      </c>
      <c r="L149" s="15">
        <f>IFERROR(K149/K444, "NA")</f>
        <v>0.23422605609113004</v>
      </c>
      <c r="M149" s="2"/>
      <c r="N149" s="14">
        <f t="shared" si="33"/>
        <v>-6213.8500000000058</v>
      </c>
      <c r="O149" s="15">
        <f>IFERROR(N149/N444, "NA")</f>
        <v>-0.15754123260862812</v>
      </c>
      <c r="P149" s="2"/>
      <c r="Q149" s="14">
        <f>IFERROR(Q127+Q129+Q130+Q131+Q132+Q133+Q134+Q135+Q136+Q137+Q138+Q139+Q140+Q143+Q144+Q145+Q146+Q147, "NA")</f>
        <v>128080.93000000002</v>
      </c>
      <c r="R149" s="15">
        <f>IFERROR(Q149/Q444, "NA")</f>
        <v>0.22553255045158044</v>
      </c>
      <c r="S149" s="2"/>
      <c r="T149" s="14">
        <f>IFERROR(T127+T129+T130+T131+T132+T133+T134+T135+T136+T137+T138+T139+T140+T143+T144+T145+T146+T147, "NA")</f>
        <v>116877.51000000001</v>
      </c>
      <c r="U149" s="15">
        <f>IFERROR(T149/T444, "NA")</f>
        <v>0.21588864962116072</v>
      </c>
      <c r="V149" s="2"/>
      <c r="W149" s="14">
        <f t="shared" si="34"/>
        <v>-11203.420000000013</v>
      </c>
      <c r="X149" s="15">
        <f>IFERROR(W149/W444, "NA")</f>
        <v>-0.42236031869421992</v>
      </c>
      <c r="Y149" s="2"/>
      <c r="Z149" s="14">
        <f>IFERROR(Z127+Z129+Z130+Z131+Z132+Z133+Z134+Z135+Z136+Z137+Z138+Z139+Z140+Z143+Z144+Z145+Z146+Z147, "NA")</f>
        <v>117961.60999999999</v>
      </c>
      <c r="AA149" s="15">
        <f>IFERROR(Z149/Z444, "NA")</f>
        <v>0.23132819991503958</v>
      </c>
      <c r="AB149" s="2"/>
      <c r="AC149" s="14">
        <f t="shared" si="35"/>
        <v>-10119.320000000036</v>
      </c>
      <c r="AD149" s="15">
        <f>IFERROR(AC149/AC444, "NA")</f>
        <v>-0.17455352607154573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9943.17</v>
      </c>
      <c r="F153" s="8">
        <f>IFERROR(E153/E444, "NA")</f>
        <v>4.0999979960123119E-2</v>
      </c>
      <c r="G153" s="9"/>
      <c r="H153" s="10">
        <f t="shared" ref="H153:H158" si="36">IFERROR(-(B153-E153), "NA")</f>
        <v>9943.17</v>
      </c>
      <c r="I153" s="8">
        <f>IFERROR(H153/H444, "NA")</f>
        <v>0.49635316698656473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22196.52</v>
      </c>
      <c r="U153" s="8">
        <f>IFERROR(T153/T444, "NA")</f>
        <v>4.0999989896166392E-2</v>
      </c>
      <c r="V153" s="9"/>
      <c r="W153" s="10">
        <f t="shared" ref="W153:W158" si="38">IFERROR(-(Q153-T153), "NA")</f>
        <v>22196.52</v>
      </c>
      <c r="X153" s="8">
        <f>IFERROR(W153/W444, "NA")</f>
        <v>0.8367917351221873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6243.91</v>
      </c>
      <c r="C154" s="8">
        <f>IFERROR(B154/B444, "NA")</f>
        <v>2.3781892676682605E-2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-6243.91</v>
      </c>
      <c r="I154" s="8">
        <f>IFERROR(H154/H444, "NA")</f>
        <v>-0.31168978332655295</v>
      </c>
      <c r="J154" s="9"/>
      <c r="K154" s="7">
        <v>6173.13</v>
      </c>
      <c r="L154" s="8">
        <f>IFERROR(K154/K444, "NA")</f>
        <v>2.766901792339093E-2</v>
      </c>
      <c r="M154" s="9"/>
      <c r="N154" s="10">
        <f t="shared" si="37"/>
        <v>-70.779999999999745</v>
      </c>
      <c r="O154" s="8">
        <f>IFERROR(N154/N444, "NA")</f>
        <v>-1.794502352653934E-3</v>
      </c>
      <c r="P154" s="9"/>
      <c r="Q154" s="7">
        <v>14042.26</v>
      </c>
      <c r="R154" s="8">
        <f>IFERROR(Q154/Q444, "NA")</f>
        <v>2.4726450002386845E-2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-14042.26</v>
      </c>
      <c r="X154" s="8">
        <f>IFERROR(W154/W444, "NA")</f>
        <v>-0.52938240365773037</v>
      </c>
      <c r="Y154" s="9"/>
      <c r="Z154" s="7">
        <v>13342.04</v>
      </c>
      <c r="AA154" s="8">
        <f>IFERROR(Z154/Z444, "NA")</f>
        <v>2.616436056098637E-2</v>
      </c>
      <c r="AB154" s="9"/>
      <c r="AC154" s="10">
        <f t="shared" si="39"/>
        <v>-700.21999999999935</v>
      </c>
      <c r="AD154" s="8">
        <f>IFERROR(AC154/AC444, "NA")</f>
        <v>-1.2078466737470225E-2</v>
      </c>
    </row>
    <row r="155" spans="1:30" ht="16.5" customHeight="1" x14ac:dyDescent="0.45">
      <c r="A155" s="12" t="s">
        <v>144</v>
      </c>
      <c r="B155" s="7">
        <v>4258.25</v>
      </c>
      <c r="C155" s="8">
        <f>IFERROR(B155/B444, "NA")</f>
        <v>1.6218882797875644E-2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-4258.25</v>
      </c>
      <c r="I155" s="8">
        <f>IFERROR(H155/H444, "NA")</f>
        <v>-0.21256760905430958</v>
      </c>
      <c r="J155" s="9"/>
      <c r="K155" s="7">
        <v>4011.15</v>
      </c>
      <c r="L155" s="8">
        <f>IFERROR(K155/K444, "NA")</f>
        <v>1.7978656085876944E-2</v>
      </c>
      <c r="M155" s="9"/>
      <c r="N155" s="10">
        <f t="shared" si="37"/>
        <v>-247.09999999999991</v>
      </c>
      <c r="O155" s="8">
        <f>IFERROR(N155/N444, "NA")</f>
        <v>-6.2647856928622278E-3</v>
      </c>
      <c r="P155" s="9"/>
      <c r="Q155" s="7">
        <v>8837.92</v>
      </c>
      <c r="R155" s="8">
        <f>IFERROR(Q155/Q444, "NA")</f>
        <v>1.5562337330678589E-2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-8837.92</v>
      </c>
      <c r="X155" s="8">
        <f>IFERROR(W155/W444, "NA")</f>
        <v>-0.33318278773749588</v>
      </c>
      <c r="Y155" s="9"/>
      <c r="Z155" s="7">
        <v>8428.43</v>
      </c>
      <c r="AA155" s="8">
        <f>IFERROR(Z155/Z444, "NA")</f>
        <v>1.6528542972666423E-2</v>
      </c>
      <c r="AB155" s="9"/>
      <c r="AC155" s="10">
        <f t="shared" si="39"/>
        <v>-409.48999999999978</v>
      </c>
      <c r="AD155" s="8">
        <f>IFERROR(AC155/AC444, "NA")</f>
        <v>-7.0635105314425248E-3</v>
      </c>
    </row>
    <row r="156" spans="1:30" ht="16.5" customHeight="1" x14ac:dyDescent="0.45">
      <c r="A156" s="12" t="s">
        <v>145</v>
      </c>
      <c r="B156" s="7">
        <v>90.5</v>
      </c>
      <c r="C156" s="8">
        <f>IFERROR(B156/B444, "NA")</f>
        <v>3.4469767937714925E-4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-90.5</v>
      </c>
      <c r="I156" s="8">
        <f>IFERROR(H156/H444, "NA")</f>
        <v>-4.5176700802947254E-3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-90.5</v>
      </c>
      <c r="O156" s="8">
        <f>IFERROR(N156/N444, "NA")</f>
        <v>-2.2944682525456572E-3</v>
      </c>
      <c r="P156" s="9"/>
      <c r="Q156" s="7">
        <v>118.69</v>
      </c>
      <c r="R156" s="8">
        <f>IFERROR(Q156/Q444, "NA")</f>
        <v>2.0899644008751401E-4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-118.69</v>
      </c>
      <c r="X156" s="8">
        <f>IFERROR(W156/W444, "NA")</f>
        <v>-4.4745217287057793E-3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-118.69</v>
      </c>
      <c r="AD156" s="8">
        <f>IFERROR(AC156/AC444, "NA")</f>
        <v>-2.0473468582307597E-3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10592.66</v>
      </c>
      <c r="C158" s="15">
        <f>IFERROR(B158/B444, "NA")</f>
        <v>4.0345473153935399E-2</v>
      </c>
      <c r="D158" s="2"/>
      <c r="E158" s="14">
        <f>IFERROR(E153+E154+E155+E156+E157, "NA")</f>
        <v>9943.17</v>
      </c>
      <c r="F158" s="15">
        <f>IFERROR(E158/E444, "NA")</f>
        <v>4.0999979960123119E-2</v>
      </c>
      <c r="G158" s="2"/>
      <c r="H158" s="14">
        <f t="shared" si="36"/>
        <v>-649.48999999999978</v>
      </c>
      <c r="I158" s="15">
        <f>IFERROR(H158/H444, "NA")</f>
        <v>-3.2421895474592489E-2</v>
      </c>
      <c r="J158" s="2"/>
      <c r="K158" s="14">
        <f>IFERROR(K153+K154+K155+K156+K157, "NA")</f>
        <v>10184.280000000001</v>
      </c>
      <c r="L158" s="15">
        <f>IFERROR(K158/K444, "NA")</f>
        <v>4.5647674009267877E-2</v>
      </c>
      <c r="M158" s="2"/>
      <c r="N158" s="14">
        <f t="shared" si="37"/>
        <v>-408.3799999999992</v>
      </c>
      <c r="O158" s="15">
        <f>IFERROR(N158/N444, "NA")</f>
        <v>-1.0353756298061808E-2</v>
      </c>
      <c r="P158" s="2"/>
      <c r="Q158" s="14">
        <f>IFERROR(Q153+Q154+Q155+Q156+Q157, "NA")</f>
        <v>22998.87</v>
      </c>
      <c r="R158" s="15">
        <f>IFERROR(Q158/Q444, "NA")</f>
        <v>4.0497783773152947E-2</v>
      </c>
      <c r="S158" s="2"/>
      <c r="T158" s="14">
        <f>IFERROR(T153+T154+T155+T156+T157, "NA")</f>
        <v>22196.52</v>
      </c>
      <c r="U158" s="15">
        <f>IFERROR(T158/T444, "NA")</f>
        <v>4.0999989896166392E-2</v>
      </c>
      <c r="V158" s="2"/>
      <c r="W158" s="14">
        <f t="shared" si="38"/>
        <v>-802.34999999999854</v>
      </c>
      <c r="X158" s="15">
        <f>IFERROR(W158/W444, "NA")</f>
        <v>-3.0247978001744676E-2</v>
      </c>
      <c r="Y158" s="2"/>
      <c r="Z158" s="14">
        <f>IFERROR(Z153+Z154+Z155+Z156+Z157, "NA")</f>
        <v>21770.47</v>
      </c>
      <c r="AA158" s="15">
        <f>IFERROR(Z158/Z444, "NA")</f>
        <v>4.2692903533652793E-2</v>
      </c>
      <c r="AB158" s="2"/>
      <c r="AC158" s="14">
        <f t="shared" si="39"/>
        <v>-1228.3999999999978</v>
      </c>
      <c r="AD158" s="15">
        <f>IFERROR(AC158/AC444, "NA")</f>
        <v>-2.1189324127143489E-2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312.92</v>
      </c>
      <c r="C161" s="8">
        <f>IFERROR(B161/B444, "NA")</f>
        <v>1.191854119676216E-3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-312.92</v>
      </c>
      <c r="I161" s="8">
        <f>IFERROR(H161/H444, "NA")</f>
        <v>-1.5620655486473211E-2</v>
      </c>
      <c r="J161" s="9"/>
      <c r="K161" s="7">
        <v>239.12</v>
      </c>
      <c r="L161" s="8">
        <f>IFERROR(K161/K444, "NA")</f>
        <v>1.07177648386495E-3</v>
      </c>
      <c r="M161" s="9"/>
      <c r="N161" s="10">
        <f t="shared" si="41"/>
        <v>-73.800000000000011</v>
      </c>
      <c r="O161" s="8">
        <f>IFERROR(N161/N444, "NA")</f>
        <v>-1.8710691385399947E-3</v>
      </c>
      <c r="P161" s="9"/>
      <c r="Q161" s="7">
        <v>738.47</v>
      </c>
      <c r="R161" s="8">
        <f>IFERROR(Q161/Q444, "NA")</f>
        <v>1.3003420769350954E-3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-738.47</v>
      </c>
      <c r="X161" s="8">
        <f>IFERROR(W161/W444, "NA")</f>
        <v>-2.7839751124756569E-2</v>
      </c>
      <c r="Y161" s="9"/>
      <c r="Z161" s="7">
        <v>410.61</v>
      </c>
      <c r="AA161" s="8">
        <f>IFERROR(Z161/Z444, "NA")</f>
        <v>8.0522529462860354E-4</v>
      </c>
      <c r="AB161" s="9"/>
      <c r="AC161" s="10">
        <f t="shared" si="43"/>
        <v>-327.86</v>
      </c>
      <c r="AD161" s="8">
        <f>IFERROR(AC161/AC444, "NA")</f>
        <v>-5.6554312995158555E-3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312.92</v>
      </c>
      <c r="C166" s="15">
        <f>IFERROR(B166/B444, "NA")</f>
        <v>1.191854119676216E-3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-312.92</v>
      </c>
      <c r="I166" s="15">
        <f>IFERROR(H166/H444, "NA")</f>
        <v>-1.5620655486473211E-2</v>
      </c>
      <c r="J166" s="2"/>
      <c r="K166" s="14">
        <f>IFERROR(K160+K161+K162+K163+K164+K165, "NA")</f>
        <v>239.12</v>
      </c>
      <c r="L166" s="15">
        <f>IFERROR(K166/K444, "NA")</f>
        <v>1.07177648386495E-3</v>
      </c>
      <c r="M166" s="2"/>
      <c r="N166" s="14">
        <f t="shared" si="41"/>
        <v>-73.800000000000011</v>
      </c>
      <c r="O166" s="15">
        <f>IFERROR(N166/N444, "NA")</f>
        <v>-1.8710691385399947E-3</v>
      </c>
      <c r="P166" s="2"/>
      <c r="Q166" s="14">
        <f>IFERROR(Q160+Q161+Q162+Q163+Q164+Q165, "NA")</f>
        <v>738.47</v>
      </c>
      <c r="R166" s="15">
        <f>IFERROR(Q166/Q444, "NA")</f>
        <v>1.3003420769350954E-3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-738.47</v>
      </c>
      <c r="X166" s="15">
        <f>IFERROR(W166/W444, "NA")</f>
        <v>-2.7839751124756569E-2</v>
      </c>
      <c r="Y166" s="2"/>
      <c r="Z166" s="14">
        <f>IFERROR(Z160+Z161+Z162+Z163+Z164+Z165, "NA")</f>
        <v>410.61</v>
      </c>
      <c r="AA166" s="15">
        <f>IFERROR(Z166/Z444, "NA")</f>
        <v>8.0522529462860354E-4</v>
      </c>
      <c r="AB166" s="2"/>
      <c r="AC166" s="14">
        <f t="shared" si="43"/>
        <v>-327.86</v>
      </c>
      <c r="AD166" s="15">
        <f>IFERROR(AC166/AC444, "NA")</f>
        <v>-5.6554312995158555E-3</v>
      </c>
    </row>
    <row r="167" spans="1:30" ht="16.5" customHeight="1" x14ac:dyDescent="0.45">
      <c r="A167" s="6" t="s">
        <v>155</v>
      </c>
      <c r="B167" s="7">
        <v>241.1</v>
      </c>
      <c r="C167" s="8">
        <f>IFERROR(B167/B444, "NA")</f>
        <v>9.1830508837381967E-4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-241.1</v>
      </c>
      <c r="I167" s="8">
        <f>IFERROR(H167/H444, "NA")</f>
        <v>-1.2035472445956446E-2</v>
      </c>
      <c r="J167" s="9"/>
      <c r="K167" s="7">
        <v>183.38</v>
      </c>
      <c r="L167" s="8">
        <f>IFERROR(K167/K444, "NA")</f>
        <v>8.2194032958830105E-4</v>
      </c>
      <c r="M167" s="9"/>
      <c r="N167" s="10">
        <f t="shared" si="41"/>
        <v>-57.72</v>
      </c>
      <c r="O167" s="8">
        <f>IFERROR(N167/N444, "NA")</f>
        <v>-1.4633890335572963E-3</v>
      </c>
      <c r="P167" s="9"/>
      <c r="Q167" s="7">
        <v>601.16999999999996</v>
      </c>
      <c r="R167" s="8">
        <f>IFERROR(Q167/Q444, "NA")</f>
        <v>1.058576037470813E-3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-601.16999999999996</v>
      </c>
      <c r="X167" s="8">
        <f>IFERROR(W167/W444, "NA")</f>
        <v>-2.2663646706934479E-2</v>
      </c>
      <c r="Y167" s="9"/>
      <c r="Z167" s="7">
        <v>394.85</v>
      </c>
      <c r="AA167" s="8">
        <f>IFERROR(Z167/Z444, "NA")</f>
        <v>7.7431920212392316E-4</v>
      </c>
      <c r="AB167" s="9"/>
      <c r="AC167" s="10">
        <f t="shared" si="43"/>
        <v>-206.31999999999994</v>
      </c>
      <c r="AD167" s="8">
        <f>IFERROR(AC167/AC444, "NA")</f>
        <v>-3.5589232773626267E-3</v>
      </c>
    </row>
    <row r="168" spans="1:30" ht="16.5" customHeight="1" x14ac:dyDescent="0.45">
      <c r="A168" s="6" t="s">
        <v>156</v>
      </c>
      <c r="B168" s="7">
        <v>234.89</v>
      </c>
      <c r="C168" s="8">
        <f>IFERROR(B168/B444, "NA")</f>
        <v>8.9465235258451466E-4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-234.89</v>
      </c>
      <c r="I168" s="8">
        <f>IFERROR(H168/H444, "NA")</f>
        <v>-1.1725475416137327E-2</v>
      </c>
      <c r="J168" s="9"/>
      <c r="K168" s="7">
        <v>68.599999999999994</v>
      </c>
      <c r="L168" s="8">
        <f>IFERROR(K168/K444, "NA")</f>
        <v>3.0747686012519058E-4</v>
      </c>
      <c r="M168" s="9"/>
      <c r="N168" s="10">
        <f t="shared" si="41"/>
        <v>-166.29</v>
      </c>
      <c r="O168" s="8">
        <f>IFERROR(N168/N444, "NA")</f>
        <v>-4.2159903394012963E-3</v>
      </c>
      <c r="P168" s="9"/>
      <c r="Q168" s="7">
        <v>338.44</v>
      </c>
      <c r="R168" s="8">
        <f>IFERROR(Q168/Q444, "NA")</f>
        <v>5.9594536341071901E-4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-338.44</v>
      </c>
      <c r="X168" s="8">
        <f>IFERROR(W168/W444, "NA")</f>
        <v>-1.2758927743391895E-2</v>
      </c>
      <c r="Y168" s="9"/>
      <c r="Z168" s="7">
        <v>164</v>
      </c>
      <c r="AA168" s="8">
        <f>IFERROR(Z168/Z444, "NA")</f>
        <v>3.2161162251063291E-4</v>
      </c>
      <c r="AB168" s="9"/>
      <c r="AC168" s="10">
        <f t="shared" si="43"/>
        <v>-174.44</v>
      </c>
      <c r="AD168" s="8">
        <f>IFERROR(AC168/AC444, "NA")</f>
        <v>-3.0090082226790268E-3</v>
      </c>
    </row>
    <row r="169" spans="1:30" ht="16.5" customHeight="1" x14ac:dyDescent="0.45">
      <c r="A169" s="6" t="s">
        <v>157</v>
      </c>
      <c r="B169" s="7">
        <v>-1961.02</v>
      </c>
      <c r="C169" s="8">
        <f>IFERROR(B169/B444, "NA")</f>
        <v>-7.4691606984770955E-3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1961.02</v>
      </c>
      <c r="I169" s="8">
        <f>IFERROR(H169/H444, "NA")</f>
        <v>9.789216995424932E-2</v>
      </c>
      <c r="J169" s="9"/>
      <c r="K169" s="7">
        <v>-4576.1499999999996</v>
      </c>
      <c r="L169" s="8">
        <f>IFERROR(K169/K444, "NA")</f>
        <v>-2.0511082120435727E-2</v>
      </c>
      <c r="M169" s="9"/>
      <c r="N169" s="10">
        <f t="shared" si="41"/>
        <v>-2615.1299999999997</v>
      </c>
      <c r="O169" s="8">
        <f>IFERROR(N169/N444, "NA")</f>
        <v>-6.6302019461654399E-2</v>
      </c>
      <c r="P169" s="9"/>
      <c r="Q169" s="7">
        <v>-4277.5600000000004</v>
      </c>
      <c r="R169" s="8">
        <f>IFERROR(Q169/Q444, "NA")</f>
        <v>-7.5321831010257525E-3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4277.5600000000004</v>
      </c>
      <c r="X169" s="8">
        <f>IFERROR(W169/W444, "NA")</f>
        <v>0.16126072260378041</v>
      </c>
      <c r="Y169" s="9"/>
      <c r="Z169" s="7">
        <v>-8798.1299999999992</v>
      </c>
      <c r="AA169" s="8">
        <f>IFERROR(Z169/Z444, "NA")</f>
        <v>-1.7253541855850454E-2</v>
      </c>
      <c r="AB169" s="9"/>
      <c r="AC169" s="10">
        <f t="shared" si="43"/>
        <v>-4520.5699999999988</v>
      </c>
      <c r="AD169" s="8">
        <f>IFERROR(AC169/AC444, "NA")</f>
        <v>-7.7977713260697801E-2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9420.5499999999993</v>
      </c>
      <c r="C170" s="15">
        <f>IFERROR(B170/B444, "NA")</f>
        <v>3.588112401609285E-2</v>
      </c>
      <c r="D170" s="2"/>
      <c r="E170" s="14">
        <f>IFERROR(E151+E153+E154+E155+E156+E157+E160+E161+E162+E163+E164+E165+E167+E168+E169, "NA")</f>
        <v>9943.17</v>
      </c>
      <c r="F170" s="15">
        <f>IFERROR(E170/E444, "NA")</f>
        <v>4.0999979960123119E-2</v>
      </c>
      <c r="G170" s="2"/>
      <c r="H170" s="14">
        <f t="shared" si="40"/>
        <v>522.6200000000008</v>
      </c>
      <c r="I170" s="15">
        <f>IFERROR(H170/H444, "NA")</f>
        <v>2.6088671131089869E-2</v>
      </c>
      <c r="J170" s="2"/>
      <c r="K170" s="14">
        <f>IFERROR(K151+K153+K154+K155+K156+K157+K160+K161+K162+K163+K164+K165+K167+K168+K169, "NA")</f>
        <v>6099.2300000000014</v>
      </c>
      <c r="L170" s="15">
        <f>IFERROR(K170/K444, "NA")</f>
        <v>2.7337785562410594E-2</v>
      </c>
      <c r="M170" s="2"/>
      <c r="N170" s="14">
        <f t="shared" si="41"/>
        <v>-3321.3199999999979</v>
      </c>
      <c r="O170" s="15">
        <f>IFERROR(N170/N444, "NA")</f>
        <v>-8.4206224271214769E-2</v>
      </c>
      <c r="P170" s="2"/>
      <c r="Q170" s="14">
        <f>IFERROR(Q151+Q153+Q154+Q155+Q156+Q157+Q160+Q161+Q162+Q163+Q164+Q165+Q167+Q168+Q169, "NA")</f>
        <v>20399.389999999996</v>
      </c>
      <c r="R170" s="15">
        <f>IFERROR(Q170/Q444, "NA")</f>
        <v>3.5920464149943813E-2</v>
      </c>
      <c r="S170" s="2"/>
      <c r="T170" s="14">
        <f>IFERROR(T151+T153+T154+T155+T156+T157+T160+T161+T162+T163+T164+T165+T167+T168+T169, "NA")</f>
        <v>22196.52</v>
      </c>
      <c r="U170" s="15">
        <f>IFERROR(T170/T444, "NA")</f>
        <v>4.0999989896166392E-2</v>
      </c>
      <c r="V170" s="2"/>
      <c r="W170" s="14">
        <f t="shared" si="42"/>
        <v>1797.1300000000047</v>
      </c>
      <c r="X170" s="15">
        <f>IFERROR(W170/W444, "NA")</f>
        <v>6.7750419026952891E-2</v>
      </c>
      <c r="Y170" s="2"/>
      <c r="Z170" s="14">
        <f>IFERROR(Z151+Z153+Z154+Z155+Z156+Z157+Z160+Z161+Z162+Z163+Z164+Z165+Z167+Z168+Z169, "NA")</f>
        <v>13941.800000000001</v>
      </c>
      <c r="AA170" s="15">
        <f>IFERROR(Z170/Z444, "NA")</f>
        <v>2.7340517797065499E-2</v>
      </c>
      <c r="AB170" s="2"/>
      <c r="AC170" s="14">
        <f t="shared" si="43"/>
        <v>-6457.5899999999947</v>
      </c>
      <c r="AD170" s="15">
        <f>IFERROR(AC170/AC444, "NA")</f>
        <v>-0.11139040018739876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67891.69</v>
      </c>
      <c r="C171" s="15">
        <f>IFERROR(B171/B444, "NA")</f>
        <v>0.25858682864080451</v>
      </c>
      <c r="D171" s="2"/>
      <c r="E171" s="14">
        <f>IFERROR(E127+E129+E130+E131+E132+E133+E134+E135+E136+E137+E138+E139+E140+E143+E144+E145+E146+E147+E151+E153+E154+E155+E156+E157+E160+E161+E162+E163+E164+E165+E167+E168+E169, "NA")</f>
        <v>61599.18</v>
      </c>
      <c r="F171" s="15">
        <f>IFERROR(E171/E444, "NA")</f>
        <v>0.25399999653631761</v>
      </c>
      <c r="G171" s="2"/>
      <c r="H171" s="14">
        <f t="shared" si="40"/>
        <v>-6292.510000000002</v>
      </c>
      <c r="I171" s="15">
        <f>IFERROR(H171/H444, "NA")</f>
        <v>-0.31411584703818091</v>
      </c>
      <c r="J171" s="2"/>
      <c r="K171" s="14">
        <f>IFERROR(K127+K129+K130+K131+K132+K133+K134+K135+K136+K137+K138+K139+K140+K143+K144+K145+K146+K147+K151+K153+K154+K155+K156+K157+K160+K161+K162+K163+K164+K165+K167+K168+K169, "NA")</f>
        <v>58356.52</v>
      </c>
      <c r="L171" s="15">
        <f>IFERROR(K171/K444, "NA")</f>
        <v>0.26156384165354063</v>
      </c>
      <c r="M171" s="2"/>
      <c r="N171" s="14">
        <f t="shared" si="41"/>
        <v>-9535.1700000000055</v>
      </c>
      <c r="O171" s="15">
        <f>IFERROR(N171/N444, "NA")</f>
        <v>-0.24174745687984292</v>
      </c>
      <c r="P171" s="2"/>
      <c r="Q171" s="14">
        <f>IFERROR(Q127+Q129+Q130+Q131+Q132+Q133+Q134+Q135+Q136+Q137+Q138+Q139+Q140+Q143+Q144+Q145+Q146+Q147+Q151+Q153+Q154+Q155+Q156+Q157+Q160+Q161+Q162+Q163+Q164+Q165+Q167+Q168+Q169, "NA")</f>
        <v>148480.32000000007</v>
      </c>
      <c r="R171" s="15">
        <f>IFERROR(Q171/Q444, "NA")</f>
        <v>0.26145301460152431</v>
      </c>
      <c r="S171" s="2"/>
      <c r="T171" s="14">
        <f>IFERROR(T127+T129+T130+T131+T132+T133+T134+T135+T136+T137+T138+T139+T140+T143+T144+T145+T146+T147+T151+T153+T154+T155+T156+T157+T160+T161+T162+T163+T164+T165+T167+T168+T169, "NA")</f>
        <v>139074.03</v>
      </c>
      <c r="U171" s="15">
        <f>IFERROR(T171/T444, "NA")</f>
        <v>0.2568886395173271</v>
      </c>
      <c r="V171" s="2"/>
      <c r="W171" s="14">
        <f t="shared" si="42"/>
        <v>-9406.2900000000664</v>
      </c>
      <c r="X171" s="15">
        <f>IFERROR(W171/W444, "NA")</f>
        <v>-0.35460989966726919</v>
      </c>
      <c r="Y171" s="2"/>
      <c r="Z171" s="14">
        <f>IFERROR(Z127+Z129+Z130+Z131+Z132+Z133+Z134+Z135+Z136+Z137+Z138+Z139+Z140+Z143+Z144+Z145+Z146+Z147+Z151+Z153+Z154+Z155+Z156+Z157+Z160+Z161+Z162+Z163+Z164+Z165+Z167+Z168+Z169, "NA")</f>
        <v>131903.40999999997</v>
      </c>
      <c r="AA171" s="15">
        <f>IFERROR(Z171/Z444, "NA")</f>
        <v>0.25866871771210509</v>
      </c>
      <c r="AB171" s="2"/>
      <c r="AC171" s="14">
        <f t="shared" si="43"/>
        <v>-16576.910000000091</v>
      </c>
      <c r="AD171" s="15">
        <f>IFERROR(AC171/AC444, "NA")</f>
        <v>-0.28594392625894555</v>
      </c>
    </row>
    <row r="172" spans="1:30" ht="16.5" customHeight="1" x14ac:dyDescent="0.45">
      <c r="A172" s="22" t="s">
        <v>160</v>
      </c>
      <c r="B172" s="23">
        <f>IFERROR(B124-B171, "NA")</f>
        <v>194657.21999999991</v>
      </c>
      <c r="C172" s="24">
        <f>IFERROR(B172/B444, "NA")</f>
        <v>0.74141317135919527</v>
      </c>
      <c r="D172" s="25"/>
      <c r="E172" s="23">
        <f>IFERROR(E124-E171, "NA")</f>
        <v>180917.27999999997</v>
      </c>
      <c r="F172" s="24">
        <f>IFERROR(E172/E444, "NA")</f>
        <v>0.74600000346368234</v>
      </c>
      <c r="G172" s="25"/>
      <c r="H172" s="23">
        <f>IFERROR(B172-E172, "NA")</f>
        <v>13739.939999999944</v>
      </c>
      <c r="I172" s="24">
        <f>IFERROR(H172/H444, "NA")</f>
        <v>0.68588415296181726</v>
      </c>
      <c r="J172" s="25"/>
      <c r="K172" s="23">
        <f>IFERROR(K124-K171, "NA")</f>
        <v>164749.70000000004</v>
      </c>
      <c r="L172" s="24">
        <f>IFERROR(K172/K444, "NA")</f>
        <v>0.73843615834645959</v>
      </c>
      <c r="M172" s="25"/>
      <c r="N172" s="23">
        <f>IFERROR(B172-K172, "NA")</f>
        <v>29907.519999999873</v>
      </c>
      <c r="O172" s="24">
        <f>IFERROR(N172/N444, "NA")</f>
        <v>0.75825254312015467</v>
      </c>
      <c r="P172" s="25"/>
      <c r="Q172" s="23">
        <f>IFERROR(Q124-Q171, "NA")</f>
        <v>419424.09000000032</v>
      </c>
      <c r="R172" s="24">
        <f>IFERROR(Q172/Q444, "NA")</f>
        <v>0.7385469853984763</v>
      </c>
      <c r="S172" s="25"/>
      <c r="T172" s="23">
        <f>IFERROR(T124-T171, "NA")</f>
        <v>402304.64</v>
      </c>
      <c r="U172" s="24">
        <f>IFERROR(T172/T444, "NA")</f>
        <v>0.7431113604826729</v>
      </c>
      <c r="V172" s="25"/>
      <c r="W172" s="23">
        <f>IFERROR(Q172-T172, "NA")</f>
        <v>17119.450000000303</v>
      </c>
      <c r="X172" s="24">
        <f>IFERROR(W172/W444, "NA")</f>
        <v>0.64539010033274502</v>
      </c>
      <c r="Y172" s="25"/>
      <c r="Z172" s="23">
        <f>IFERROR(Z124-Z171, "NA")</f>
        <v>378028.41000000009</v>
      </c>
      <c r="AA172" s="24">
        <f>IFERROR(Z172/Z444, "NA")</f>
        <v>0.74133128228789502</v>
      </c>
      <c r="AB172" s="25"/>
      <c r="AC172" s="23">
        <f>IFERROR(Q172-Z172, "NA")</f>
        <v>41395.680000000226</v>
      </c>
      <c r="AD172" s="24">
        <f>IFERROR(AC172/AC444, "NA")</f>
        <v>0.7140560737410595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12596.15</v>
      </c>
      <c r="C178" s="8">
        <f>IFERROR(B178/B444, "NA")</f>
        <v>4.7976394188800862E-2</v>
      </c>
      <c r="D178" s="9"/>
      <c r="E178" s="7">
        <v>12596.15</v>
      </c>
      <c r="F178" s="8">
        <f>IFERROR(E178/E444, "NA")</f>
        <v>5.1939361146868132E-2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12596.15</v>
      </c>
      <c r="L178" s="8">
        <f>IFERROR(K178/K444, "NA")</f>
        <v>5.6458085301252466E-2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32749.99</v>
      </c>
      <c r="R178" s="8">
        <f>IFERROR(Q178/Q444, "NA")</f>
        <v>5.7668138199525515E-2</v>
      </c>
      <c r="S178" s="9"/>
      <c r="T178" s="7">
        <v>32749.99</v>
      </c>
      <c r="U178" s="8">
        <f>IFERROR(T178/T444, "NA")</f>
        <v>6.0493683653993977E-2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32749.99</v>
      </c>
      <c r="AA178" s="8">
        <f>IFERROR(Z178/Z444, "NA")</f>
        <v>6.4224252567725626E-2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37432.639999999999</v>
      </c>
      <c r="C180" s="8">
        <f>IFERROR(B180/B444, "NA")</f>
        <v>0.14257396840840056</v>
      </c>
      <c r="D180" s="9"/>
      <c r="E180" s="7">
        <v>37347.54</v>
      </c>
      <c r="F180" s="8">
        <f>IFERROR(E180/E444, "NA")</f>
        <v>0.15400002127690632</v>
      </c>
      <c r="G180" s="9"/>
      <c r="H180" s="10">
        <f t="shared" si="44"/>
        <v>-85.099999999998545</v>
      </c>
      <c r="I180" s="8">
        <f>IFERROR(H180/H444, "NA")</f>
        <v>-4.2481074456693323E-3</v>
      </c>
      <c r="J180" s="9"/>
      <c r="K180" s="7">
        <v>35326.449999999997</v>
      </c>
      <c r="L180" s="8">
        <f>IFERROR(K180/K444, "NA")</f>
        <v>0.15833915343104282</v>
      </c>
      <c r="M180" s="9"/>
      <c r="N180" s="10">
        <f t="shared" si="45"/>
        <v>-2106.1900000000023</v>
      </c>
      <c r="O180" s="8">
        <f>IFERROR(N180/N444, "NA")</f>
        <v>-5.3398741313029199E-2</v>
      </c>
      <c r="P180" s="9"/>
      <c r="Q180" s="7">
        <v>85797.79</v>
      </c>
      <c r="R180" s="8">
        <f>IFERROR(Q180/Q444, "NA")</f>
        <v>0.1510778724187051</v>
      </c>
      <c r="S180" s="9"/>
      <c r="T180" s="7">
        <v>84910.21</v>
      </c>
      <c r="U180" s="8">
        <f>IFERROR(T180/T444, "NA")</f>
        <v>0.1568407007982047</v>
      </c>
      <c r="V180" s="9"/>
      <c r="W180" s="10">
        <f t="shared" si="46"/>
        <v>-887.57999999998719</v>
      </c>
      <c r="X180" s="8">
        <f>IFERROR(W180/W444, "NA")</f>
        <v>-3.3461083460819094E-2</v>
      </c>
      <c r="Y180" s="9"/>
      <c r="Z180" s="7">
        <v>81748.539999999994</v>
      </c>
      <c r="AA180" s="8">
        <f>IFERROR(Z180/Z444, "NA")</f>
        <v>0.16031268650777666</v>
      </c>
      <c r="AB180" s="9"/>
      <c r="AC180" s="10">
        <f t="shared" si="47"/>
        <v>-4049.25</v>
      </c>
      <c r="AD180" s="8">
        <f>IFERROR(AC180/AC444, "NA")</f>
        <v>-6.9847664215105756E-2</v>
      </c>
    </row>
    <row r="181" spans="1:30" ht="16.5" customHeight="1" x14ac:dyDescent="0.45">
      <c r="A181" s="12" t="s">
        <v>166</v>
      </c>
      <c r="B181" s="7">
        <v>1339.66</v>
      </c>
      <c r="C181" s="8">
        <f>IFERROR(B181/B444, "NA")</f>
        <v>5.1025159464573675E-3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-1339.66</v>
      </c>
      <c r="I181" s="8">
        <f>IFERROR(H181/H444, "NA")</f>
        <v>-6.687449613002909E-2</v>
      </c>
      <c r="J181" s="9"/>
      <c r="K181" s="7">
        <v>1051.8499999999999</v>
      </c>
      <c r="L181" s="8">
        <f>IFERROR(K181/K444, "NA")</f>
        <v>4.7145704857533772E-3</v>
      </c>
      <c r="M181" s="9"/>
      <c r="N181" s="10">
        <f t="shared" si="45"/>
        <v>-287.81000000000017</v>
      </c>
      <c r="O181" s="8">
        <f>IFERROR(N181/N444, "NA")</f>
        <v>-7.2969161079023863E-3</v>
      </c>
      <c r="P181" s="9"/>
      <c r="Q181" s="7">
        <v>1427.76</v>
      </c>
      <c r="R181" s="8">
        <f>IFERROR(Q181/Q444, "NA")</f>
        <v>2.5140850728734435E-3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-1427.76</v>
      </c>
      <c r="X181" s="8">
        <f>IFERROR(W181/W444, "NA")</f>
        <v>-5.3825454068387929E-2</v>
      </c>
      <c r="Y181" s="9"/>
      <c r="Z181" s="7">
        <v>1267.47</v>
      </c>
      <c r="AA181" s="8">
        <f>IFERROR(Z181/Z444, "NA")</f>
        <v>2.4855675803875116E-3</v>
      </c>
      <c r="AB181" s="9"/>
      <c r="AC181" s="10">
        <f t="shared" si="47"/>
        <v>-160.28999999999996</v>
      </c>
      <c r="AD181" s="8">
        <f>IFERROR(AC181/AC444, "NA")</f>
        <v>-2.7649273561867753E-3</v>
      </c>
    </row>
    <row r="182" spans="1:30" ht="16.5" customHeight="1" x14ac:dyDescent="0.45">
      <c r="A182" s="13" t="s">
        <v>167</v>
      </c>
      <c r="B182" s="14">
        <f>IFERROR(B177+B178+B179+B180+B181, "NA")</f>
        <v>51368.450000000004</v>
      </c>
      <c r="C182" s="15">
        <f>IFERROR(B182/B444, "NA")</f>
        <v>0.19565287854365881</v>
      </c>
      <c r="D182" s="2"/>
      <c r="E182" s="14">
        <f>IFERROR(E177+E178+E179+E180+E181, "NA")</f>
        <v>49943.69</v>
      </c>
      <c r="F182" s="15">
        <f>IFERROR(E182/E444, "NA")</f>
        <v>0.20593938242377446</v>
      </c>
      <c r="G182" s="2"/>
      <c r="H182" s="14">
        <f t="shared" si="44"/>
        <v>-1424.760000000002</v>
      </c>
      <c r="I182" s="15">
        <f>IFERROR(H182/H444, "NA")</f>
        <v>-7.1122603575698592E-2</v>
      </c>
      <c r="J182" s="2"/>
      <c r="K182" s="14">
        <f>IFERROR(K177+K178+K179+K180+K181, "NA")</f>
        <v>48974.45</v>
      </c>
      <c r="L182" s="15">
        <f>IFERROR(K182/K444, "NA")</f>
        <v>0.21951180921804869</v>
      </c>
      <c r="M182" s="2"/>
      <c r="N182" s="14">
        <f t="shared" si="45"/>
        <v>-2394.0000000000073</v>
      </c>
      <c r="O182" s="15">
        <f>IFERROR(N182/N444, "NA")</f>
        <v>-6.0695657420931706E-2</v>
      </c>
      <c r="P182" s="2"/>
      <c r="Q182" s="14">
        <f>IFERROR(Q177+Q178+Q179+Q180+Q181, "NA")</f>
        <v>119975.54</v>
      </c>
      <c r="R182" s="15">
        <f>IFERROR(Q182/Q444, "NA")</f>
        <v>0.21126009569110404</v>
      </c>
      <c r="S182" s="2"/>
      <c r="T182" s="14">
        <f>IFERROR(T177+T178+T179+T180+T181, "NA")</f>
        <v>117660.20000000001</v>
      </c>
      <c r="U182" s="15">
        <f>IFERROR(T182/T444, "NA")</f>
        <v>0.21733438445219869</v>
      </c>
      <c r="V182" s="2"/>
      <c r="W182" s="14">
        <f t="shared" si="46"/>
        <v>-2315.339999999982</v>
      </c>
      <c r="X182" s="15">
        <f>IFERROR(W182/W444, "NA")</f>
        <v>-8.7286537529206829E-2</v>
      </c>
      <c r="Y182" s="2"/>
      <c r="Z182" s="14">
        <f>IFERROR(Z177+Z178+Z179+Z180+Z181, "NA")</f>
        <v>115766</v>
      </c>
      <c r="AA182" s="15">
        <f>IFERROR(Z182/Z444, "NA")</f>
        <v>0.2270225066558898</v>
      </c>
      <c r="AB182" s="2"/>
      <c r="AC182" s="14">
        <f t="shared" si="47"/>
        <v>-4209.5399999999936</v>
      </c>
      <c r="AD182" s="15">
        <f>IFERROR(AC182/AC444, "NA")</f>
        <v>-7.2612591571292434E-2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-1637</v>
      </c>
      <c r="C184" s="8">
        <f>IFERROR(B184/B444, "NA")</f>
        <v>-6.2350287418827983E-3</v>
      </c>
      <c r="D184" s="9"/>
      <c r="E184" s="7">
        <v>1012.5</v>
      </c>
      <c r="F184" s="8">
        <f>IFERROR(E184/E444, "NA")</f>
        <v>4.1749743501946221E-3</v>
      </c>
      <c r="G184" s="9"/>
      <c r="H184" s="10">
        <f t="shared" si="44"/>
        <v>2649.5</v>
      </c>
      <c r="I184" s="8">
        <f>IFERROR(H184/H444, "NA")</f>
        <v>0.13226040748884946</v>
      </c>
      <c r="J184" s="9"/>
      <c r="K184" s="7">
        <v>1150</v>
      </c>
      <c r="L184" s="8">
        <f>IFERROR(K184/K444, "NA")</f>
        <v>5.1544954685709791E-3</v>
      </c>
      <c r="M184" s="9"/>
      <c r="N184" s="10">
        <f t="shared" si="45"/>
        <v>2787</v>
      </c>
      <c r="O184" s="8">
        <f>IFERROR(N184/N444, "NA")</f>
        <v>7.0659480882262385E-2</v>
      </c>
      <c r="P184" s="9"/>
      <c r="Q184" s="7">
        <v>89</v>
      </c>
      <c r="R184" s="8">
        <f>IFERROR(Q184/Q444, "NA")</f>
        <v>1.567165150205472E-4</v>
      </c>
      <c r="S184" s="9"/>
      <c r="T184" s="7">
        <v>2737.5</v>
      </c>
      <c r="U184" s="8">
        <f>IFERROR(T184/T444, "NA")</f>
        <v>5.0565346433024405E-3</v>
      </c>
      <c r="V184" s="9"/>
      <c r="W184" s="10">
        <f t="shared" si="46"/>
        <v>2648.5</v>
      </c>
      <c r="X184" s="8">
        <f>IFERROR(W184/W444, "NA")</f>
        <v>9.9846413332860873E-2</v>
      </c>
      <c r="Y184" s="9"/>
      <c r="Z184" s="7">
        <v>3450</v>
      </c>
      <c r="AA184" s="8">
        <f>IFERROR(Z184/Z444, "NA")</f>
        <v>6.7656103515956311E-3</v>
      </c>
      <c r="AB184" s="9"/>
      <c r="AC184" s="10">
        <f t="shared" si="47"/>
        <v>3361</v>
      </c>
      <c r="AD184" s="8">
        <f>IFERROR(AC184/AC444, "NA")</f>
        <v>5.797567436610989E-2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5819.23</v>
      </c>
      <c r="C186" s="8">
        <f>IFERROR(B186/B444, "NA")</f>
        <v>2.2164365489081635E-2</v>
      </c>
      <c r="D186" s="9"/>
      <c r="E186" s="7">
        <v>5861.85</v>
      </c>
      <c r="F186" s="8">
        <f>IFERROR(E186/E444, "NA")</f>
        <v>2.4170936686111946E-2</v>
      </c>
      <c r="G186" s="9"/>
      <c r="H186" s="10">
        <f t="shared" ref="H186:H197" si="48">IFERROR(-(B186-E186), "NA")</f>
        <v>42.6200000000008</v>
      </c>
      <c r="I186" s="8">
        <f>IFERROR(H186/H444, "NA")</f>
        <v>2.1275480532835893E-3</v>
      </c>
      <c r="J186" s="9"/>
      <c r="K186" s="7">
        <v>5392.69</v>
      </c>
      <c r="L186" s="8">
        <f>IFERROR(K186/K444, "NA")</f>
        <v>2.417095318992003E-2</v>
      </c>
      <c r="M186" s="9"/>
      <c r="N186" s="10">
        <f t="shared" ref="N186:N197" si="49">IFERROR(-(B186-K186), "NA")</f>
        <v>-426.53999999999996</v>
      </c>
      <c r="O186" s="8">
        <f>IFERROR(N186/N444, "NA")</f>
        <v>-1.0814171142992535E-2</v>
      </c>
      <c r="P186" s="9"/>
      <c r="Q186" s="7">
        <v>14084.99</v>
      </c>
      <c r="R186" s="8">
        <f>IFERROR(Q186/Q444, "NA")</f>
        <v>2.48016915381939E-2</v>
      </c>
      <c r="S186" s="9"/>
      <c r="T186" s="7">
        <v>13158.58</v>
      </c>
      <c r="U186" s="8">
        <f>IFERROR(T186/T444, "NA")</f>
        <v>2.4305686073668176E-2</v>
      </c>
      <c r="V186" s="9"/>
      <c r="W186" s="10">
        <f t="shared" ref="W186:W197" si="50">IFERROR(-(Q186-T186), "NA")</f>
        <v>-926.40999999999985</v>
      </c>
      <c r="X186" s="8">
        <f>IFERROR(W186/W444, "NA")</f>
        <v>-3.4924944600980036E-2</v>
      </c>
      <c r="Y186" s="9"/>
      <c r="Z186" s="7">
        <v>12395.81</v>
      </c>
      <c r="AA186" s="8">
        <f>IFERROR(Z186/Z444, "NA")</f>
        <v>2.4308759551423951E-2</v>
      </c>
      <c r="AB186" s="9"/>
      <c r="AC186" s="10">
        <f t="shared" ref="AC186:AC197" si="51">IFERROR(-(Q186-Z186), "NA")</f>
        <v>-1689.1800000000003</v>
      </c>
      <c r="AD186" s="8">
        <f>IFERROR(AC186/AC444, "NA")</f>
        <v>-2.9137563113878464E-2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5819.23</v>
      </c>
      <c r="C193" s="15">
        <f>IFERROR(B193/B444, "NA")</f>
        <v>2.2164365489081635E-2</v>
      </c>
      <c r="D193" s="2"/>
      <c r="E193" s="14">
        <f>IFERROR(E186+E187+E188+E189+E190+E191+E192, "NA")</f>
        <v>5861.85</v>
      </c>
      <c r="F193" s="15">
        <f>IFERROR(E193/E444, "NA")</f>
        <v>2.4170936686111946E-2</v>
      </c>
      <c r="G193" s="2"/>
      <c r="H193" s="14">
        <f t="shared" si="48"/>
        <v>42.6200000000008</v>
      </c>
      <c r="I193" s="15">
        <f>IFERROR(H193/H444, "NA")</f>
        <v>2.1275480532835893E-3</v>
      </c>
      <c r="J193" s="2"/>
      <c r="K193" s="14">
        <f>IFERROR(K186+K187+K188+K189+K190+K191+K192, "NA")</f>
        <v>5392.69</v>
      </c>
      <c r="L193" s="15">
        <f>IFERROR(K193/K444, "NA")</f>
        <v>2.417095318992003E-2</v>
      </c>
      <c r="M193" s="2"/>
      <c r="N193" s="14">
        <f t="shared" si="49"/>
        <v>-426.53999999999996</v>
      </c>
      <c r="O193" s="15">
        <f>IFERROR(N193/N444, "NA")</f>
        <v>-1.0814171142992535E-2</v>
      </c>
      <c r="P193" s="2"/>
      <c r="Q193" s="14">
        <f>IFERROR(Q186+Q187+Q188+Q189+Q190+Q191+Q192, "NA")</f>
        <v>14084.99</v>
      </c>
      <c r="R193" s="15">
        <f>IFERROR(Q193/Q444, "NA")</f>
        <v>2.48016915381939E-2</v>
      </c>
      <c r="S193" s="2"/>
      <c r="T193" s="14">
        <f>IFERROR(T186+T187+T188+T189+T190+T191+T192, "NA")</f>
        <v>13158.58</v>
      </c>
      <c r="U193" s="15">
        <f>IFERROR(T193/T444, "NA")</f>
        <v>2.4305686073668176E-2</v>
      </c>
      <c r="V193" s="2"/>
      <c r="W193" s="14">
        <f t="shared" si="50"/>
        <v>-926.40999999999985</v>
      </c>
      <c r="X193" s="15">
        <f>IFERROR(W193/W444, "NA")</f>
        <v>-3.4924944600980036E-2</v>
      </c>
      <c r="Y193" s="2"/>
      <c r="Z193" s="14">
        <f>IFERROR(Z186+Z187+Z188+Z189+Z190+Z191+Z192, "NA")</f>
        <v>12395.81</v>
      </c>
      <c r="AA193" s="15">
        <f>IFERROR(Z193/Z444, "NA")</f>
        <v>2.4308759551423951E-2</v>
      </c>
      <c r="AB193" s="2"/>
      <c r="AC193" s="14">
        <f t="shared" si="51"/>
        <v>-1689.1800000000003</v>
      </c>
      <c r="AD193" s="15">
        <f>IFERROR(AC193/AC444, "NA")</f>
        <v>-2.9137563113878464E-2</v>
      </c>
    </row>
    <row r="194" spans="1:30" ht="16.5" customHeight="1" x14ac:dyDescent="0.45">
      <c r="A194" s="6" t="s">
        <v>178</v>
      </c>
      <c r="B194" s="7">
        <v>250.72</v>
      </c>
      <c r="C194" s="8">
        <f>IFERROR(B194/B444, "NA")</f>
        <v>9.549458803694901E-4</v>
      </c>
      <c r="D194" s="9"/>
      <c r="E194" s="7">
        <v>407.65</v>
      </c>
      <c r="F194" s="8">
        <f>IFERROR(E194/E444, "NA")</f>
        <v>1.680916833438852E-3</v>
      </c>
      <c r="G194" s="9"/>
      <c r="H194" s="10">
        <f t="shared" si="48"/>
        <v>156.92999999999998</v>
      </c>
      <c r="I194" s="8">
        <f>IFERROR(H194/H444, "NA")</f>
        <v>7.8337896762502891E-3</v>
      </c>
      <c r="J194" s="9"/>
      <c r="K194" s="7">
        <v>250.16</v>
      </c>
      <c r="L194" s="8">
        <f>IFERROR(K194/K444, "NA")</f>
        <v>1.1212596403632315E-3</v>
      </c>
      <c r="M194" s="9"/>
      <c r="N194" s="10">
        <f t="shared" si="49"/>
        <v>-0.56000000000000227</v>
      </c>
      <c r="O194" s="8">
        <f>IFERROR(N194/N444, "NA")</f>
        <v>-1.419781460138755E-5</v>
      </c>
      <c r="P194" s="9"/>
      <c r="Q194" s="7">
        <v>846.44</v>
      </c>
      <c r="R194" s="8">
        <f>IFERROR(Q194/Q444, "NA")</f>
        <v>1.4904621008313705E-3</v>
      </c>
      <c r="S194" s="9"/>
      <c r="T194" s="7">
        <v>963.18</v>
      </c>
      <c r="U194" s="8">
        <f>IFERROR(T194/T444, "NA")</f>
        <v>1.7791243973465003E-3</v>
      </c>
      <c r="V194" s="9"/>
      <c r="W194" s="10">
        <f t="shared" si="50"/>
        <v>116.7399999999999</v>
      </c>
      <c r="X194" s="8">
        <f>IFERROR(W194/W444, "NA")</f>
        <v>4.4010082282341578E-3</v>
      </c>
      <c r="Y194" s="9"/>
      <c r="Z194" s="7">
        <v>861.78</v>
      </c>
      <c r="AA194" s="8">
        <f>IFERROR(Z194/Z444, "NA")</f>
        <v>1.6899906344342269E-3</v>
      </c>
      <c r="AB194" s="9"/>
      <c r="AC194" s="10">
        <f t="shared" si="51"/>
        <v>15.339999999999918</v>
      </c>
      <c r="AD194" s="8">
        <f>IFERROR(AC194/AC444, "NA")</f>
        <v>2.6460780862127967E-4</v>
      </c>
    </row>
    <row r="195" spans="1:30" ht="16.5" customHeight="1" x14ac:dyDescent="0.45">
      <c r="A195" s="6" t="s">
        <v>179</v>
      </c>
      <c r="B195" s="7">
        <v>178.12</v>
      </c>
      <c r="C195" s="8">
        <f>IFERROR(B195/B444, "NA")</f>
        <v>6.7842597404041795E-4</v>
      </c>
      <c r="D195" s="9"/>
      <c r="E195" s="7">
        <v>727.55</v>
      </c>
      <c r="F195" s="8">
        <f>IFERROR(E195/E444, "NA")</f>
        <v>3.0000025565275032E-3</v>
      </c>
      <c r="G195" s="9"/>
      <c r="H195" s="10">
        <f t="shared" si="48"/>
        <v>549.42999999999995</v>
      </c>
      <c r="I195" s="8">
        <f>IFERROR(H195/H444, "NA")</f>
        <v>2.7426999692998132E-2</v>
      </c>
      <c r="J195" s="9"/>
      <c r="K195" s="7">
        <v>381.85</v>
      </c>
      <c r="L195" s="8">
        <f>IFERROR(K195/K444, "NA")</f>
        <v>1.7115166040641988E-3</v>
      </c>
      <c r="M195" s="9"/>
      <c r="N195" s="10">
        <f t="shared" si="49"/>
        <v>203.73000000000002</v>
      </c>
      <c r="O195" s="8">
        <f>IFERROR(N195/N444, "NA")</f>
        <v>5.1652156584654886E-3</v>
      </c>
      <c r="P195" s="9"/>
      <c r="Q195" s="7">
        <v>656.86</v>
      </c>
      <c r="R195" s="8">
        <f>IFERROR(Q195/Q444, "NA")</f>
        <v>1.1566383152404117E-3</v>
      </c>
      <c r="S195" s="9"/>
      <c r="T195" s="7">
        <v>1624.13</v>
      </c>
      <c r="U195" s="8">
        <f>IFERROR(T195/T444, "NA")</f>
        <v>2.9999888987129841E-3</v>
      </c>
      <c r="V195" s="9"/>
      <c r="W195" s="10">
        <f t="shared" si="50"/>
        <v>967.2700000000001</v>
      </c>
      <c r="X195" s="8">
        <f>IFERROR(W195/W444, "NA")</f>
        <v>3.6465335180093011E-2</v>
      </c>
      <c r="Y195" s="9"/>
      <c r="Z195" s="7">
        <v>1145.55</v>
      </c>
      <c r="AA195" s="8">
        <f>IFERROR(Z195/Z444, "NA")</f>
        <v>2.2464767937015579E-3</v>
      </c>
      <c r="AB195" s="9"/>
      <c r="AC195" s="10">
        <f t="shared" si="51"/>
        <v>488.68999999999994</v>
      </c>
      <c r="AD195" s="8">
        <f>IFERROR(AC195/AC444, "NA")</f>
        <v>8.429673402551097E-3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55979.520000000011</v>
      </c>
      <c r="C196" s="15">
        <f>IFERROR(B196/B444, "NA")</f>
        <v>0.21321558714526759</v>
      </c>
      <c r="D196" s="2"/>
      <c r="E196" s="14">
        <f>IFERROR(E175+E177+E178+E179+E180+E181+E183+E184+E186+E187+E188+E189+E190+E191+E192+E194+E195, "NA")</f>
        <v>57953.240000000005</v>
      </c>
      <c r="F196" s="15">
        <f>IFERROR(E196/E444, "NA")</f>
        <v>0.2389662128500474</v>
      </c>
      <c r="G196" s="2"/>
      <c r="H196" s="14">
        <f t="shared" si="48"/>
        <v>1973.7199999999939</v>
      </c>
      <c r="I196" s="15">
        <f>IFERROR(H196/H444, "NA")</f>
        <v>9.8526141335682632E-2</v>
      </c>
      <c r="J196" s="2"/>
      <c r="K196" s="14">
        <f>IFERROR(K175+K177+K178+K179+K180+K181+K183+K184+K186+K187+K188+K189+K190+K191+K192+K194+K195, "NA")</f>
        <v>56149.15</v>
      </c>
      <c r="L196" s="15">
        <f>IFERROR(K196/K444, "NA")</f>
        <v>0.25167003412096711</v>
      </c>
      <c r="M196" s="2"/>
      <c r="N196" s="14">
        <f t="shared" si="49"/>
        <v>169.6299999999901</v>
      </c>
      <c r="O196" s="15">
        <f>IFERROR(N196/N444, "NA")</f>
        <v>4.3006701622021783E-3</v>
      </c>
      <c r="P196" s="2"/>
      <c r="Q196" s="14">
        <f>IFERROR(Q175+Q177+Q178+Q179+Q180+Q181+Q183+Q184+Q186+Q187+Q188+Q189+Q190+Q191+Q192+Q194+Q195, "NA")</f>
        <v>135652.82999999999</v>
      </c>
      <c r="R196" s="15">
        <f>IFERROR(Q196/Q444, "NA")</f>
        <v>0.23886560416039027</v>
      </c>
      <c r="S196" s="2"/>
      <c r="T196" s="14">
        <f>IFERROR(T175+T177+T178+T179+T180+T181+T183+T184+T186+T187+T188+T189+T190+T191+T192+T194+T195, "NA")</f>
        <v>136143.59</v>
      </c>
      <c r="U196" s="15">
        <f>IFERROR(T196/T444, "NA")</f>
        <v>0.25147571846522876</v>
      </c>
      <c r="V196" s="2"/>
      <c r="W196" s="14">
        <f t="shared" si="50"/>
        <v>490.76000000000931</v>
      </c>
      <c r="X196" s="15">
        <f>IFERROR(W196/W444, "NA")</f>
        <v>1.8501274611000842E-2</v>
      </c>
      <c r="Y196" s="2"/>
      <c r="Z196" s="14">
        <f>IFERROR(Z175+Z177+Z178+Z179+Z180+Z181+Z183+Z184+Z186+Z187+Z188+Z189+Z190+Z191+Z192+Z194+Z195, "NA")</f>
        <v>133619.13999999998</v>
      </c>
      <c r="AA196" s="15">
        <f>IFERROR(Z196/Z444, "NA")</f>
        <v>0.26203334398704514</v>
      </c>
      <c r="AB196" s="2"/>
      <c r="AC196" s="14">
        <f t="shared" si="51"/>
        <v>-2033.6900000000023</v>
      </c>
      <c r="AD196" s="15">
        <f>IFERROR(AC196/AC444, "NA")</f>
        <v>-3.5080199107888767E-2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55979.520000000011</v>
      </c>
      <c r="C197" s="15">
        <f>IFERROR(B197/B444, "NA")</f>
        <v>0.21321558714526759</v>
      </c>
      <c r="D197" s="2"/>
      <c r="E197" s="14">
        <f>IFERROR(E175+E177+E178+E179+E180+E181+E183+E184+E186+E187+E188+E189+E190+E191+E192+E194+E195, "NA")</f>
        <v>57953.240000000005</v>
      </c>
      <c r="F197" s="15">
        <f>IFERROR(E197/E444, "NA")</f>
        <v>0.2389662128500474</v>
      </c>
      <c r="G197" s="2"/>
      <c r="H197" s="14">
        <f t="shared" si="48"/>
        <v>1973.7199999999939</v>
      </c>
      <c r="I197" s="15">
        <f>IFERROR(H197/H444, "NA")</f>
        <v>9.8526141335682632E-2</v>
      </c>
      <c r="J197" s="2"/>
      <c r="K197" s="14">
        <f>IFERROR(K175+K177+K178+K179+K180+K181+K183+K184+K186+K187+K188+K189+K190+K191+K192+K194+K195, "NA")</f>
        <v>56149.15</v>
      </c>
      <c r="L197" s="15">
        <f>IFERROR(K197/K444, "NA")</f>
        <v>0.25167003412096711</v>
      </c>
      <c r="M197" s="2"/>
      <c r="N197" s="14">
        <f t="shared" si="49"/>
        <v>169.6299999999901</v>
      </c>
      <c r="O197" s="15">
        <f>IFERROR(N197/N444, "NA")</f>
        <v>4.3006701622021783E-3</v>
      </c>
      <c r="P197" s="2"/>
      <c r="Q197" s="14">
        <f>IFERROR(Q175+Q177+Q178+Q179+Q180+Q181+Q183+Q184+Q186+Q187+Q188+Q189+Q190+Q191+Q192+Q194+Q195, "NA")</f>
        <v>135652.82999999999</v>
      </c>
      <c r="R197" s="15">
        <f>IFERROR(Q197/Q444, "NA")</f>
        <v>0.23886560416039027</v>
      </c>
      <c r="S197" s="2"/>
      <c r="T197" s="14">
        <f>IFERROR(T175+T177+T178+T179+T180+T181+T183+T184+T186+T187+T188+T189+T190+T191+T192+T194+T195, "NA")</f>
        <v>136143.59</v>
      </c>
      <c r="U197" s="15">
        <f>IFERROR(T197/T444, "NA")</f>
        <v>0.25147571846522876</v>
      </c>
      <c r="V197" s="2"/>
      <c r="W197" s="14">
        <f t="shared" si="50"/>
        <v>490.76000000000931</v>
      </c>
      <c r="X197" s="15">
        <f>IFERROR(W197/W444, "NA")</f>
        <v>1.8501274611000842E-2</v>
      </c>
      <c r="Y197" s="2"/>
      <c r="Z197" s="14">
        <f>IFERROR(Z175+Z177+Z178+Z179+Z180+Z181+Z183+Z184+Z186+Z187+Z188+Z189+Z190+Z191+Z192+Z194+Z195, "NA")</f>
        <v>133619.13999999998</v>
      </c>
      <c r="AA197" s="15">
        <f>IFERROR(Z197/Z444, "NA")</f>
        <v>0.26203334398704514</v>
      </c>
      <c r="AB197" s="2"/>
      <c r="AC197" s="14">
        <f t="shared" si="51"/>
        <v>-2033.6900000000023</v>
      </c>
      <c r="AD197" s="15">
        <f>IFERROR(AC197/AC444, "NA")</f>
        <v>-3.5080199107888767E-2</v>
      </c>
    </row>
    <row r="198" spans="1:30" ht="16.5" customHeight="1" x14ac:dyDescent="0.45">
      <c r="A198" s="22" t="s">
        <v>181</v>
      </c>
      <c r="B198" s="23">
        <f>IFERROR(B172-B197, "NA")</f>
        <v>138677.6999999999</v>
      </c>
      <c r="C198" s="24">
        <f>IFERROR(B198/B444, "NA")</f>
        <v>0.5281975842139276</v>
      </c>
      <c r="D198" s="25"/>
      <c r="E198" s="23">
        <f>IFERROR(E172-E197, "NA")</f>
        <v>122964.03999999996</v>
      </c>
      <c r="F198" s="24">
        <f>IFERROR(E198/E444, "NA")</f>
        <v>0.50703379061363496</v>
      </c>
      <c r="G198" s="25"/>
      <c r="H198" s="23">
        <f>IFERROR(B198-E198, "NA")</f>
        <v>15713.659999999931</v>
      </c>
      <c r="I198" s="24">
        <f>IFERROR(H198/H444, "NA")</f>
        <v>0.78441029429749953</v>
      </c>
      <c r="J198" s="25"/>
      <c r="K198" s="23">
        <f>IFERROR(K172-K197, "NA")</f>
        <v>108600.55000000005</v>
      </c>
      <c r="L198" s="24">
        <f>IFERROR(K198/K444, "NA")</f>
        <v>0.48676612422549242</v>
      </c>
      <c r="M198" s="25"/>
      <c r="N198" s="23">
        <f>IFERROR(B198-K198, "NA")</f>
        <v>30077.149999999849</v>
      </c>
      <c r="O198" s="24">
        <f>IFERROR(N198/N444, "NA")</f>
        <v>0.76255321328235648</v>
      </c>
      <c r="P198" s="25"/>
      <c r="Q198" s="23">
        <f>IFERROR(Q172-Q197, "NA")</f>
        <v>283771.26000000036</v>
      </c>
      <c r="R198" s="24">
        <f>IFERROR(Q198/Q444, "NA")</f>
        <v>0.49968138123808609</v>
      </c>
      <c r="S198" s="25"/>
      <c r="T198" s="23">
        <f>IFERROR(T172-T197, "NA")</f>
        <v>266161.05000000005</v>
      </c>
      <c r="U198" s="24">
        <f>IFERROR(T198/T444, "NA")</f>
        <v>0.49163564201744414</v>
      </c>
      <c r="V198" s="25"/>
      <c r="W198" s="23">
        <f>IFERROR(Q198-T198, "NA")</f>
        <v>17610.210000000312</v>
      </c>
      <c r="X198" s="24">
        <f>IFERROR(W198/W444, "NA")</f>
        <v>0.66389137494374584</v>
      </c>
      <c r="Y198" s="25"/>
      <c r="Z198" s="23">
        <f>IFERROR(Z172-Z197, "NA")</f>
        <v>244409.27000000011</v>
      </c>
      <c r="AA198" s="24">
        <f>IFERROR(Z198/Z444, "NA")</f>
        <v>0.47929793830084994</v>
      </c>
      <c r="AB198" s="25"/>
      <c r="AC198" s="23">
        <f>IFERROR(Q198-Z198, "NA")</f>
        <v>39361.990000000253</v>
      </c>
      <c r="AD198" s="24">
        <f>IFERROR(AC198/AC444, "NA")</f>
        <v>0.67897587463317122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2457.11</v>
      </c>
      <c r="C202" s="8">
        <f>IFERROR(B202/B444, "NA")</f>
        <v>9.3586753035843889E-3</v>
      </c>
      <c r="D202" s="9"/>
      <c r="E202" s="7">
        <v>2182.65</v>
      </c>
      <c r="F202" s="8">
        <f>IFERROR(E202/E444, "NA")</f>
        <v>9.0000076695825101E-3</v>
      </c>
      <c r="G202" s="9"/>
      <c r="H202" s="10">
        <f t="shared" si="52"/>
        <v>-274.46000000000004</v>
      </c>
      <c r="I202" s="8">
        <f>IFERROR(H202/H444, "NA")</f>
        <v>-1.3700770499863985E-2</v>
      </c>
      <c r="J202" s="9"/>
      <c r="K202" s="7">
        <v>1520.91</v>
      </c>
      <c r="L202" s="8">
        <f>IFERROR(K202/K444, "NA")</f>
        <v>6.8169771331341644E-3</v>
      </c>
      <c r="M202" s="9"/>
      <c r="N202" s="10">
        <f t="shared" si="53"/>
        <v>-936.2</v>
      </c>
      <c r="O202" s="8">
        <f>IFERROR(N202/N444, "NA")</f>
        <v>-2.3735703624676731E-2</v>
      </c>
      <c r="P202" s="9"/>
      <c r="Q202" s="7">
        <v>6191.84</v>
      </c>
      <c r="R202" s="8">
        <f>IFERROR(Q202/Q444, "NA")</f>
        <v>1.0902961644548596E-2</v>
      </c>
      <c r="S202" s="9"/>
      <c r="T202" s="7">
        <v>4872.41</v>
      </c>
      <c r="U202" s="8">
        <f>IFERROR(T202/T444, "NA")</f>
        <v>9.0000036388578064E-3</v>
      </c>
      <c r="V202" s="9"/>
      <c r="W202" s="10">
        <f t="shared" si="54"/>
        <v>-1319.4300000000003</v>
      </c>
      <c r="X202" s="8">
        <f>IFERROR(W202/W444, "NA")</f>
        <v>-4.9741496372957016E-2</v>
      </c>
      <c r="Y202" s="9"/>
      <c r="Z202" s="7">
        <v>3743.66</v>
      </c>
      <c r="AA202" s="8">
        <f>IFERROR(Z202/Z444, "NA")</f>
        <v>7.3414912605375355E-3</v>
      </c>
      <c r="AB202" s="9"/>
      <c r="AC202" s="10">
        <f t="shared" si="55"/>
        <v>-2448.1800000000003</v>
      </c>
      <c r="AD202" s="8">
        <f>IFERROR(AC202/AC444, "NA")</f>
        <v>-4.2229957295335595E-2</v>
      </c>
    </row>
    <row r="203" spans="1:30" ht="16.5" customHeight="1" x14ac:dyDescent="0.45">
      <c r="A203" s="6" t="s">
        <v>185</v>
      </c>
      <c r="B203" s="7">
        <v>1374.26</v>
      </c>
      <c r="C203" s="8">
        <f>IFERROR(B203/B444, "NA")</f>
        <v>5.2343009155894045E-3</v>
      </c>
      <c r="D203" s="9"/>
      <c r="E203" s="7">
        <v>1455.1</v>
      </c>
      <c r="F203" s="8">
        <f>IFERROR(E203/E444, "NA")</f>
        <v>6.0000051130550064E-3</v>
      </c>
      <c r="G203" s="9"/>
      <c r="H203" s="10">
        <f t="shared" si="52"/>
        <v>80.839999999999918</v>
      </c>
      <c r="I203" s="8">
        <f>IFERROR(H203/H444, "NA")</f>
        <v>4.0354524783538705E-3</v>
      </c>
      <c r="J203" s="9"/>
      <c r="K203" s="7">
        <v>1675.78</v>
      </c>
      <c r="L203" s="8">
        <f>IFERROR(K203/K444, "NA")</f>
        <v>7.5111307968016312E-3</v>
      </c>
      <c r="M203" s="9"/>
      <c r="N203" s="10">
        <f t="shared" si="53"/>
        <v>301.52</v>
      </c>
      <c r="O203" s="8">
        <f>IFERROR(N203/N444, "NA")</f>
        <v>7.6445090332327784E-3</v>
      </c>
      <c r="P203" s="9"/>
      <c r="Q203" s="7">
        <v>3311.51</v>
      </c>
      <c r="R203" s="8">
        <f>IFERROR(Q203/Q444, "NA")</f>
        <v>5.8311045691650815E-3</v>
      </c>
      <c r="S203" s="9"/>
      <c r="T203" s="7">
        <v>3248.28</v>
      </c>
      <c r="U203" s="8">
        <f>IFERROR(T203/T444, "NA")</f>
        <v>6.0000147401448227E-3</v>
      </c>
      <c r="V203" s="9"/>
      <c r="W203" s="10">
        <f t="shared" si="54"/>
        <v>-63.230000000000018</v>
      </c>
      <c r="X203" s="8">
        <f>IFERROR(W203/W444, "NA")</f>
        <v>-2.3837223768309588E-3</v>
      </c>
      <c r="Y203" s="9"/>
      <c r="Z203" s="7">
        <v>3531.82</v>
      </c>
      <c r="AA203" s="8">
        <f>IFERROR(Z203/Z444, "NA")</f>
        <v>6.9260631744847779E-3</v>
      </c>
      <c r="AB203" s="9"/>
      <c r="AC203" s="10">
        <f t="shared" si="55"/>
        <v>220.30999999999995</v>
      </c>
      <c r="AD203" s="8">
        <f>IFERROR(AC203/AC444, "NA")</f>
        <v>3.8002442188627391E-3</v>
      </c>
    </row>
    <row r="204" spans="1:30" ht="16.5" customHeight="1" x14ac:dyDescent="0.45">
      <c r="A204" s="6" t="s">
        <v>186</v>
      </c>
      <c r="B204" s="7">
        <v>1010.65</v>
      </c>
      <c r="C204" s="8">
        <f>IFERROR(B204/B444, "NA")</f>
        <v>3.8493780073206173E-3</v>
      </c>
      <c r="D204" s="9"/>
      <c r="E204" s="7">
        <v>485.03</v>
      </c>
      <c r="F204" s="8">
        <f>IFERROR(E204/E444, "NA")</f>
        <v>1.9999879595801458E-3</v>
      </c>
      <c r="G204" s="9"/>
      <c r="H204" s="10">
        <f t="shared" si="52"/>
        <v>-525.62</v>
      </c>
      <c r="I204" s="8">
        <f>IFERROR(H204/H444, "NA")</f>
        <v>-2.6238428150326117E-2</v>
      </c>
      <c r="J204" s="9"/>
      <c r="K204" s="7">
        <v>60.73</v>
      </c>
      <c r="L204" s="8">
        <f>IFERROR(K204/K444, "NA")</f>
        <v>2.722021824402744E-4</v>
      </c>
      <c r="M204" s="9"/>
      <c r="N204" s="10">
        <f t="shared" si="53"/>
        <v>-949.92</v>
      </c>
      <c r="O204" s="8">
        <f>IFERROR(N204/N444, "NA")</f>
        <v>-2.4083550082410723E-2</v>
      </c>
      <c r="P204" s="9"/>
      <c r="Q204" s="7">
        <v>1075.6300000000001</v>
      </c>
      <c r="R204" s="8">
        <f>IFERROR(Q204/Q444, "NA")</f>
        <v>1.8940335399050697E-3</v>
      </c>
      <c r="S204" s="9"/>
      <c r="T204" s="7">
        <v>1082.76</v>
      </c>
      <c r="U204" s="8">
        <f>IFERROR(T204/T444, "NA")</f>
        <v>2.0000049133816074E-3</v>
      </c>
      <c r="V204" s="9"/>
      <c r="W204" s="10">
        <f t="shared" si="54"/>
        <v>7.1299999999998818</v>
      </c>
      <c r="X204" s="8">
        <f>IFERROR(W204/W444, "NA")</f>
        <v>2.6879551710903767E-4</v>
      </c>
      <c r="Y204" s="9"/>
      <c r="Z204" s="7">
        <v>371.93</v>
      </c>
      <c r="AA204" s="8">
        <f>IFERROR(Z204/Z444, "NA")</f>
        <v>7.2937201683158349E-4</v>
      </c>
      <c r="AB204" s="9"/>
      <c r="AC204" s="10">
        <f t="shared" si="55"/>
        <v>-703.7</v>
      </c>
      <c r="AD204" s="8">
        <f>IFERROR(AC204/AC444, "NA")</f>
        <v>-1.213849510604925E-2</v>
      </c>
    </row>
    <row r="205" spans="1:30" ht="16.5" customHeight="1" x14ac:dyDescent="0.45">
      <c r="A205" s="6" t="s">
        <v>187</v>
      </c>
      <c r="B205" s="7">
        <v>730.24</v>
      </c>
      <c r="C205" s="8">
        <f>IFERROR(B205/B444, "NA")</f>
        <v>2.7813484352306019E-3</v>
      </c>
      <c r="D205" s="9"/>
      <c r="E205" s="7">
        <v>727.55</v>
      </c>
      <c r="F205" s="8">
        <f>IFERROR(E205/E444, "NA")</f>
        <v>3.0000025565275032E-3</v>
      </c>
      <c r="G205" s="9"/>
      <c r="H205" s="10">
        <f t="shared" si="52"/>
        <v>-2.6900000000000546</v>
      </c>
      <c r="I205" s="8">
        <f>IFERROR(H205/H444, "NA")</f>
        <v>-1.3428212724854208E-4</v>
      </c>
      <c r="J205" s="9"/>
      <c r="K205" s="7">
        <v>886.98</v>
      </c>
      <c r="L205" s="8">
        <f>IFERROR(K205/K444, "NA")</f>
        <v>3.9755951223592063E-3</v>
      </c>
      <c r="M205" s="9"/>
      <c r="N205" s="10">
        <f t="shared" si="53"/>
        <v>156.74</v>
      </c>
      <c r="O205" s="8">
        <f>IFERROR(N205/N444, "NA")</f>
        <v>3.9738668939669208E-3</v>
      </c>
      <c r="P205" s="9"/>
      <c r="Q205" s="7">
        <v>1961.25</v>
      </c>
      <c r="R205" s="8">
        <f>IFERROR(Q205/Q444, "NA")</f>
        <v>3.4534861245398675E-3</v>
      </c>
      <c r="S205" s="9"/>
      <c r="T205" s="7">
        <v>1624.13</v>
      </c>
      <c r="U205" s="8">
        <f>IFERROR(T205/T444, "NA")</f>
        <v>2.9999888987129841E-3</v>
      </c>
      <c r="V205" s="9"/>
      <c r="W205" s="10">
        <f t="shared" si="54"/>
        <v>-337.11999999999989</v>
      </c>
      <c r="X205" s="8">
        <f>IFERROR(W205/W444, "NA")</f>
        <v>-1.2709164758457257E-2</v>
      </c>
      <c r="Y205" s="9"/>
      <c r="Z205" s="7">
        <v>2282.59</v>
      </c>
      <c r="AA205" s="8">
        <f>IFERROR(Z205/Z444, "NA")</f>
        <v>4.4762650818691799E-3</v>
      </c>
      <c r="AB205" s="9"/>
      <c r="AC205" s="10">
        <f t="shared" si="55"/>
        <v>321.34000000000015</v>
      </c>
      <c r="AD205" s="8">
        <f>IFERROR(AC205/AC444, "NA")</f>
        <v>5.5429643560862127E-3</v>
      </c>
    </row>
    <row r="206" spans="1:30" ht="16.5" customHeight="1" x14ac:dyDescent="0.45">
      <c r="A206" s="6" t="s">
        <v>188</v>
      </c>
      <c r="B206" s="7">
        <v>33.65</v>
      </c>
      <c r="C206" s="8">
        <f>IFERROR(B206/B444, "NA")</f>
        <v>1.2816659570211129E-4</v>
      </c>
      <c r="D206" s="9"/>
      <c r="E206" s="7">
        <v>242.52</v>
      </c>
      <c r="F206" s="8">
        <f>IFERROR(E206/E444, "NA")</f>
        <v>1.0000145969473579E-3</v>
      </c>
      <c r="G206" s="9"/>
      <c r="H206" s="10">
        <f t="shared" si="52"/>
        <v>208.87</v>
      </c>
      <c r="I206" s="8">
        <f>IFERROR(H206/H444, "NA")</f>
        <v>1.0426582869294579E-2</v>
      </c>
      <c r="J206" s="9"/>
      <c r="K206" s="7">
        <v>119.48</v>
      </c>
      <c r="L206" s="8">
        <f>IFERROR(K206/K444, "NA")</f>
        <v>5.3552966833466146E-4</v>
      </c>
      <c r="M206" s="9"/>
      <c r="N206" s="10">
        <f t="shared" si="53"/>
        <v>85.830000000000013</v>
      </c>
      <c r="O206" s="8">
        <f>IFERROR(N206/N444, "NA")</f>
        <v>2.1760686200662295E-3</v>
      </c>
      <c r="P206" s="9"/>
      <c r="Q206" s="7">
        <v>278.77</v>
      </c>
      <c r="R206" s="8">
        <f>IFERROR(Q206/Q444, "NA")</f>
        <v>4.9087486395817906E-4</v>
      </c>
      <c r="S206" s="9"/>
      <c r="T206" s="7">
        <v>541.38</v>
      </c>
      <c r="U206" s="8">
        <f>IFERROR(T206/T444, "NA")</f>
        <v>1.0000024566908037E-3</v>
      </c>
      <c r="V206" s="9"/>
      <c r="W206" s="10">
        <f t="shared" si="54"/>
        <v>262.61</v>
      </c>
      <c r="X206" s="8">
        <f>IFERROR(W206/W444, "NA")</f>
        <v>9.9001950558212561E-3</v>
      </c>
      <c r="Y206" s="9"/>
      <c r="Z206" s="7">
        <v>255.24</v>
      </c>
      <c r="AA206" s="8">
        <f>IFERROR(Z206/Z444, "NA")</f>
        <v>5.0053750322935327E-4</v>
      </c>
      <c r="AB206" s="9"/>
      <c r="AC206" s="10">
        <f t="shared" si="55"/>
        <v>-23.529999999999973</v>
      </c>
      <c r="AD206" s="8">
        <f>IFERROR(AC206/AC444, "NA")</f>
        <v>-4.0588146915637133E-4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4.1234314569823426E-4</v>
      </c>
      <c r="G207" s="9"/>
      <c r="H207" s="10">
        <f t="shared" si="52"/>
        <v>100</v>
      </c>
      <c r="I207" s="8">
        <f>IFERROR(H207/H444, "NA")</f>
        <v>4.9919006412096414E-3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103.77</v>
      </c>
      <c r="R207" s="8">
        <f>IFERROR(Q207/Q444, "NA")</f>
        <v>1.827244130750807E-4</v>
      </c>
      <c r="S207" s="9"/>
      <c r="T207" s="7">
        <v>300</v>
      </c>
      <c r="U207" s="8">
        <f>IFERROR(T207/T444, "NA")</f>
        <v>5.5414078282766473E-4</v>
      </c>
      <c r="V207" s="9"/>
      <c r="W207" s="10">
        <f t="shared" si="54"/>
        <v>196.23000000000002</v>
      </c>
      <c r="X207" s="8">
        <f>IFERROR(W207/W444, "NA")</f>
        <v>7.3977201013053773E-3</v>
      </c>
      <c r="Y207" s="9"/>
      <c r="Z207" s="7">
        <v>99.6</v>
      </c>
      <c r="AA207" s="8">
        <f>IFERROR(Z207/Z444, "NA")</f>
        <v>1.9532022928084777E-4</v>
      </c>
      <c r="AB207" s="9"/>
      <c r="AC207" s="10">
        <f t="shared" si="55"/>
        <v>-4.1700000000000017</v>
      </c>
      <c r="AD207" s="8">
        <f>IFERROR(AC207/AC444, "NA")</f>
        <v>-7.1930545107610333E-5</v>
      </c>
    </row>
    <row r="208" spans="1:30" ht="16.5" customHeight="1" x14ac:dyDescent="0.45">
      <c r="A208" s="6" t="s">
        <v>190</v>
      </c>
      <c r="B208" s="7">
        <v>362.46</v>
      </c>
      <c r="C208" s="8">
        <f>IFERROR(B208/B444, "NA")</f>
        <v>1.3805427720115083E-3</v>
      </c>
      <c r="D208" s="9"/>
      <c r="E208" s="7">
        <v>100</v>
      </c>
      <c r="F208" s="8">
        <f>IFERROR(E208/E444, "NA")</f>
        <v>4.1234314569823426E-4</v>
      </c>
      <c r="G208" s="9"/>
      <c r="H208" s="10">
        <f t="shared" si="52"/>
        <v>-262.45999999999998</v>
      </c>
      <c r="I208" s="8">
        <f>IFERROR(H208/H444, "NA")</f>
        <v>-1.3101742422918825E-2</v>
      </c>
      <c r="J208" s="9"/>
      <c r="K208" s="7">
        <v>173</v>
      </c>
      <c r="L208" s="8">
        <f>IFERROR(K208/K444, "NA")</f>
        <v>7.754154052719821E-4</v>
      </c>
      <c r="M208" s="9"/>
      <c r="N208" s="10">
        <f t="shared" si="53"/>
        <v>-189.45999999999998</v>
      </c>
      <c r="O208" s="8">
        <f>IFERROR(N208/N444, "NA")</f>
        <v>-4.8034249185337028E-3</v>
      </c>
      <c r="P208" s="9"/>
      <c r="Q208" s="7">
        <v>429.25</v>
      </c>
      <c r="R208" s="8">
        <f>IFERROR(Q208/Q444, "NA")</f>
        <v>7.5584903452325714E-4</v>
      </c>
      <c r="S208" s="9"/>
      <c r="T208" s="7">
        <v>300</v>
      </c>
      <c r="U208" s="8">
        <f>IFERROR(T208/T444, "NA")</f>
        <v>5.5414078282766473E-4</v>
      </c>
      <c r="V208" s="9"/>
      <c r="W208" s="10">
        <f t="shared" si="54"/>
        <v>-129.25</v>
      </c>
      <c r="X208" s="8">
        <f>IFERROR(W208/W444, "NA")</f>
        <v>-4.8726256081828463E-3</v>
      </c>
      <c r="Y208" s="9"/>
      <c r="Z208" s="7">
        <v>402.3</v>
      </c>
      <c r="AA208" s="8">
        <f>IFERROR(Z208/Z444, "NA")</f>
        <v>7.8892899839041227E-4</v>
      </c>
      <c r="AB208" s="9"/>
      <c r="AC208" s="10">
        <f t="shared" si="55"/>
        <v>-26.949999999999989</v>
      </c>
      <c r="AD208" s="8">
        <f>IFERROR(AC208/AC444, "NA")</f>
        <v>-4.6487486586333258E-4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5968.369999999999</v>
      </c>
      <c r="C209" s="15">
        <f>IFERROR(B209/B444, "NA")</f>
        <v>2.2732412029438629E-2</v>
      </c>
      <c r="D209" s="2"/>
      <c r="E209" s="14">
        <f>IFERROR(E201+E202+E203+E204+E205+E206+E207+E208, "NA")</f>
        <v>5292.85</v>
      </c>
      <c r="F209" s="15">
        <f>IFERROR(E209/E444, "NA")</f>
        <v>2.1824704187088994E-2</v>
      </c>
      <c r="G209" s="2"/>
      <c r="H209" s="14">
        <f t="shared" si="52"/>
        <v>-675.51999999999862</v>
      </c>
      <c r="I209" s="15">
        <f>IFERROR(H209/H444, "NA")</f>
        <v>-3.37212872114993E-2</v>
      </c>
      <c r="J209" s="2"/>
      <c r="K209" s="14">
        <f>IFERROR(K201+K202+K203+K204+K205+K206+K207+K208, "NA")</f>
        <v>4436.8799999999992</v>
      </c>
      <c r="L209" s="15">
        <f>IFERROR(K209/K444, "NA")</f>
        <v>1.9886850308341916E-2</v>
      </c>
      <c r="M209" s="2"/>
      <c r="N209" s="14">
        <f t="shared" si="53"/>
        <v>-1531.4899999999998</v>
      </c>
      <c r="O209" s="15">
        <f>IFERROR(N209/N444, "NA")</f>
        <v>-3.8828234078355221E-2</v>
      </c>
      <c r="P209" s="2"/>
      <c r="Q209" s="14">
        <f>IFERROR(Q201+Q202+Q203+Q204+Q205+Q206+Q207+Q208, "NA")</f>
        <v>13352.02</v>
      </c>
      <c r="R209" s="15">
        <f>IFERROR(Q209/Q444, "NA")</f>
        <v>2.3511034189715133E-2</v>
      </c>
      <c r="S209" s="2"/>
      <c r="T209" s="14">
        <f>IFERROR(T201+T202+T203+T204+T205+T206+T207+T208, "NA")</f>
        <v>11968.960000000001</v>
      </c>
      <c r="U209" s="15">
        <f>IFERROR(T209/T444, "NA")</f>
        <v>2.2108296213443356E-2</v>
      </c>
      <c r="V209" s="2"/>
      <c r="W209" s="14">
        <f t="shared" si="54"/>
        <v>-1383.0599999999995</v>
      </c>
      <c r="X209" s="15">
        <f>IFERROR(W209/W444, "NA")</f>
        <v>-5.2140298442192375E-2</v>
      </c>
      <c r="Y209" s="2"/>
      <c r="Z209" s="14">
        <f>IFERROR(Z201+Z202+Z203+Z204+Z205+Z206+Z207+Z208, "NA")</f>
        <v>10687.14</v>
      </c>
      <c r="AA209" s="15">
        <f>IFERROR(Z209/Z444, "NA")</f>
        <v>2.095797826462369E-2</v>
      </c>
      <c r="AB209" s="2"/>
      <c r="AC209" s="14">
        <f t="shared" si="55"/>
        <v>-2664.880000000001</v>
      </c>
      <c r="AD209" s="15">
        <f>IFERROR(AC209/AC444, "NA")</f>
        <v>-4.5967930706563222E-2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9215.6299999999992</v>
      </c>
      <c r="F213" s="8">
        <f>IFERROR(E213/E444, "NA")</f>
        <v>3.8000018637910186E-2</v>
      </c>
      <c r="G213" s="9"/>
      <c r="H213" s="10">
        <f t="shared" ref="H213:H227" si="56">IFERROR(-(B213-E213), "NA")</f>
        <v>9215.6299999999992</v>
      </c>
      <c r="I213" s="8">
        <f>IFERROR(H213/H444, "NA")</f>
        <v>0.46003509306150808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20572.400000000001</v>
      </c>
      <c r="U213" s="8">
        <f>IFERROR(T213/T444, "NA")</f>
        <v>3.8000019468812839E-2</v>
      </c>
      <c r="V213" s="9"/>
      <c r="W213" s="10">
        <f t="shared" ref="W213:W227" si="58">IFERROR(-(Q213-T213), "NA")</f>
        <v>20572.400000000001</v>
      </c>
      <c r="X213" s="8">
        <f>IFERROR(W213/W444, "NA")</f>
        <v>0.77556366005246258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4051.44</v>
      </c>
      <c r="C214" s="8">
        <f>IFERROR(B214/B444, "NA")</f>
        <v>1.5431181946251465E-2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-4051.44</v>
      </c>
      <c r="I214" s="8">
        <f>IFERROR(H214/H444, "NA")</f>
        <v>-0.20224385933822392</v>
      </c>
      <c r="J214" s="9"/>
      <c r="K214" s="7">
        <v>7511.92</v>
      </c>
      <c r="L214" s="8">
        <f>IFERROR(K214/K444, "NA")</f>
        <v>3.3669702261102358E-2</v>
      </c>
      <c r="M214" s="9"/>
      <c r="N214" s="10">
        <f t="shared" si="57"/>
        <v>3460.48</v>
      </c>
      <c r="O214" s="8">
        <f>IFERROR(N214/N444, "NA")</f>
        <v>8.7734381199659622E-2</v>
      </c>
      <c r="P214" s="9"/>
      <c r="Q214" s="7">
        <v>9485.5400000000009</v>
      </c>
      <c r="R214" s="8">
        <f>IFERROR(Q214/Q444, "NA")</f>
        <v>1.6702705302112375E-2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-9485.5400000000009</v>
      </c>
      <c r="X214" s="8">
        <f>IFERROR(W214/W444, "NA")</f>
        <v>-0.35759756372489532</v>
      </c>
      <c r="Y214" s="9"/>
      <c r="Z214" s="7">
        <v>17236.990000000002</v>
      </c>
      <c r="AA214" s="8">
        <f>IFERROR(Z214/Z444, "NA")</f>
        <v>3.3802538543289969E-2</v>
      </c>
      <c r="AB214" s="9"/>
      <c r="AC214" s="10">
        <f t="shared" si="59"/>
        <v>7751.4500000000007</v>
      </c>
      <c r="AD214" s="8">
        <f>IFERROR(AC214/AC444, "NA")</f>
        <v>0.13370887862695108</v>
      </c>
    </row>
    <row r="215" spans="1:30" ht="16.5" customHeight="1" x14ac:dyDescent="0.45">
      <c r="A215" s="12" t="s">
        <v>195</v>
      </c>
      <c r="B215" s="7">
        <v>1878.97</v>
      </c>
      <c r="C215" s="8">
        <f>IFERROR(B215/B444, "NA")</f>
        <v>7.1566474985556034E-3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-1878.97</v>
      </c>
      <c r="I215" s="8">
        <f>IFERROR(H215/H444, "NA")</f>
        <v>-9.3796315478136813E-2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-1878.97</v>
      </c>
      <c r="O215" s="8">
        <f>IFERROR(N215/N444, "NA")</f>
        <v>-4.7637978038516167E-2</v>
      </c>
      <c r="P215" s="9"/>
      <c r="Q215" s="7">
        <v>3906.66</v>
      </c>
      <c r="R215" s="8">
        <f>IFERROR(Q215/Q444, "NA")</f>
        <v>6.8790802311255155E-3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-3906.66</v>
      </c>
      <c r="X215" s="8">
        <f>IFERROR(W215/W444, "NA")</f>
        <v>-0.14727807782176863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-3906.66</v>
      </c>
      <c r="AD215" s="8">
        <f>IFERROR(AC215/AC444, "NA")</f>
        <v>-6.7388053561174305E-2</v>
      </c>
    </row>
    <row r="216" spans="1:30" ht="16.5" customHeight="1" x14ac:dyDescent="0.45">
      <c r="A216" s="12" t="s">
        <v>196</v>
      </c>
      <c r="B216" s="7">
        <v>122</v>
      </c>
      <c r="C216" s="8">
        <f>IFERROR(B216/B444, "NA")</f>
        <v>4.6467532468521774E-4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-122</v>
      </c>
      <c r="I216" s="8">
        <f>IFERROR(H216/H444, "NA")</f>
        <v>-6.0901187822757627E-3</v>
      </c>
      <c r="J216" s="9"/>
      <c r="K216" s="7">
        <v>3.97</v>
      </c>
      <c r="L216" s="8">
        <f>IFERROR(K216/K444, "NA")</f>
        <v>1.7794214791501557E-5</v>
      </c>
      <c r="M216" s="9"/>
      <c r="N216" s="10">
        <f t="shared" si="57"/>
        <v>-118.03</v>
      </c>
      <c r="O216" s="8">
        <f>IFERROR(N216/N444, "NA")</f>
        <v>-2.9924429596460099E-3</v>
      </c>
      <c r="P216" s="9"/>
      <c r="Q216" s="7">
        <v>266</v>
      </c>
      <c r="R216" s="8">
        <f>IFERROR(Q216/Q444, "NA")</f>
        <v>4.6838868534230963E-4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-266</v>
      </c>
      <c r="X216" s="8">
        <f>IFERROR(W216/W444, "NA")</f>
        <v>-1.0027995448948836E-2</v>
      </c>
      <c r="Y216" s="9"/>
      <c r="Z216" s="7">
        <v>3.97</v>
      </c>
      <c r="AA216" s="8">
        <f>IFERROR(Z216/Z444, "NA")</f>
        <v>7.7853545205317845E-6</v>
      </c>
      <c r="AB216" s="9"/>
      <c r="AC216" s="10">
        <f t="shared" si="59"/>
        <v>-262.02999999999997</v>
      </c>
      <c r="AD216" s="8">
        <f>IFERROR(AC216/AC444, "NA")</f>
        <v>-4.5198946605628605E-3</v>
      </c>
    </row>
    <row r="217" spans="1:30" ht="16.5" customHeight="1" x14ac:dyDescent="0.45">
      <c r="A217" s="12" t="s">
        <v>197</v>
      </c>
      <c r="B217" s="7">
        <v>9913.3799999999992</v>
      </c>
      <c r="C217" s="8">
        <f>IFERROR(B217/B444, "NA")</f>
        <v>3.7758221887114293E-2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-9913.3799999999992</v>
      </c>
      <c r="I217" s="8">
        <f>IFERROR(H217/H444, "NA")</f>
        <v>-0.49486607978554836</v>
      </c>
      <c r="J217" s="9"/>
      <c r="K217" s="7">
        <v>8786.68</v>
      </c>
      <c r="L217" s="8">
        <f>IFERROR(K217/K444, "NA")</f>
        <v>3.9383393255463701E-2</v>
      </c>
      <c r="M217" s="9"/>
      <c r="N217" s="10">
        <f t="shared" si="57"/>
        <v>-1126.6999999999989</v>
      </c>
      <c r="O217" s="8">
        <f>IFERROR(N217/N444, "NA")</f>
        <v>-2.8565495913184413E-2</v>
      </c>
      <c r="P217" s="9"/>
      <c r="Q217" s="7">
        <v>17136.04</v>
      </c>
      <c r="R217" s="8">
        <f>IFERROR(Q217/Q444, "NA")</f>
        <v>3.0174162584861771E-2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-17136.04</v>
      </c>
      <c r="X217" s="8">
        <f>IFERROR(W217/W444, "NA")</f>
        <v>-0.64601553057520755</v>
      </c>
      <c r="Y217" s="9"/>
      <c r="Z217" s="7">
        <v>17294.86</v>
      </c>
      <c r="AA217" s="8">
        <f>IFERROR(Z217/Z444, "NA")</f>
        <v>3.3916024303013687E-2</v>
      </c>
      <c r="AB217" s="9"/>
      <c r="AC217" s="10">
        <f t="shared" si="59"/>
        <v>158.81999999999971</v>
      </c>
      <c r="AD217" s="8">
        <f>IFERROR(AC217/AC444, "NA")</f>
        <v>2.7395705453214982E-3</v>
      </c>
    </row>
    <row r="218" spans="1:30" ht="16.5" customHeight="1" x14ac:dyDescent="0.45">
      <c r="A218" s="13" t="s">
        <v>198</v>
      </c>
      <c r="B218" s="14">
        <f>IFERROR(B213+B214+B215+B216+B217, "NA")</f>
        <v>15965.789999999999</v>
      </c>
      <c r="C218" s="15">
        <f>IFERROR(B218/B444, "NA")</f>
        <v>6.0810726656606577E-2</v>
      </c>
      <c r="D218" s="2"/>
      <c r="E218" s="14">
        <f>IFERROR(E213+E214+E215+E216+E217, "NA")</f>
        <v>9215.6299999999992</v>
      </c>
      <c r="F218" s="15">
        <f>IFERROR(E218/E444, "NA")</f>
        <v>3.8000018637910186E-2</v>
      </c>
      <c r="G218" s="2"/>
      <c r="H218" s="14">
        <f t="shared" si="56"/>
        <v>-6750.16</v>
      </c>
      <c r="I218" s="15">
        <f>IFERROR(H218/H444, "NA")</f>
        <v>-0.33696128032267675</v>
      </c>
      <c r="J218" s="2"/>
      <c r="K218" s="14">
        <f>IFERROR(K213+K214+K215+K216+K217, "NA")</f>
        <v>16302.57</v>
      </c>
      <c r="L218" s="15">
        <f>IFERROR(K218/K444, "NA")</f>
        <v>7.3070889731357558E-2</v>
      </c>
      <c r="M218" s="2"/>
      <c r="N218" s="14">
        <f t="shared" si="57"/>
        <v>336.78000000000065</v>
      </c>
      <c r="O218" s="15">
        <f>IFERROR(N218/N444, "NA")</f>
        <v>8.5384642883130149E-3</v>
      </c>
      <c r="P218" s="2"/>
      <c r="Q218" s="14">
        <f>IFERROR(Q213+Q214+Q215+Q216+Q217, "NA")</f>
        <v>30794.240000000002</v>
      </c>
      <c r="R218" s="15">
        <f>IFERROR(Q218/Q444, "NA")</f>
        <v>5.4224336803441971E-2</v>
      </c>
      <c r="S218" s="2"/>
      <c r="T218" s="14">
        <f>IFERROR(T213+T214+T215+T216+T217, "NA")</f>
        <v>20572.400000000001</v>
      </c>
      <c r="U218" s="15">
        <f>IFERROR(T218/T444, "NA")</f>
        <v>3.8000019468812839E-2</v>
      </c>
      <c r="V218" s="2"/>
      <c r="W218" s="14">
        <f t="shared" si="58"/>
        <v>-10221.84</v>
      </c>
      <c r="X218" s="15">
        <f>IFERROR(W218/W444, "NA")</f>
        <v>-0.38535550751835779</v>
      </c>
      <c r="Y218" s="2"/>
      <c r="Z218" s="14">
        <f>IFERROR(Z213+Z214+Z215+Z216+Z217, "NA")</f>
        <v>34535.820000000007</v>
      </c>
      <c r="AA218" s="15">
        <f>IFERROR(Z218/Z444, "NA")</f>
        <v>6.7726348200824196E-2</v>
      </c>
      <c r="AB218" s="2"/>
      <c r="AC218" s="14">
        <f t="shared" si="59"/>
        <v>3741.5800000000054</v>
      </c>
      <c r="AD218" s="15">
        <f>IFERROR(AC218/AC444, "NA")</f>
        <v>6.4540500950535484E-2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1304.3399999999999</v>
      </c>
      <c r="C222" s="8">
        <f>IFERROR(B222/B444, "NA")</f>
        <v>4.96798863114686E-3</v>
      </c>
      <c r="D222" s="9"/>
      <c r="E222" s="7">
        <v>100</v>
      </c>
      <c r="F222" s="8">
        <f>IFERROR(E222/E444, "NA")</f>
        <v>4.1234314569823426E-4</v>
      </c>
      <c r="G222" s="9"/>
      <c r="H222" s="10">
        <f t="shared" si="56"/>
        <v>-1204.3399999999999</v>
      </c>
      <c r="I222" s="8">
        <f>IFERROR(H222/H444, "NA")</f>
        <v>-6.0119456182344197E-2</v>
      </c>
      <c r="J222" s="9"/>
      <c r="K222" s="7">
        <v>317.87</v>
      </c>
      <c r="L222" s="8">
        <f>IFERROR(K222/K444, "NA")</f>
        <v>1.4247473692127453E-3</v>
      </c>
      <c r="M222" s="9"/>
      <c r="N222" s="10">
        <f t="shared" si="57"/>
        <v>-986.46999999999991</v>
      </c>
      <c r="O222" s="8">
        <f>IFERROR(N222/N444, "NA")</f>
        <v>-2.5010211017554851E-2</v>
      </c>
      <c r="P222" s="9"/>
      <c r="Q222" s="7">
        <v>1642.78</v>
      </c>
      <c r="R222" s="8">
        <f>IFERROR(Q222/Q444, "NA")</f>
        <v>2.8927051297242081E-3</v>
      </c>
      <c r="S222" s="9"/>
      <c r="T222" s="7">
        <v>300</v>
      </c>
      <c r="U222" s="8">
        <f>IFERROR(T222/T444, "NA")</f>
        <v>5.5414078282766473E-4</v>
      </c>
      <c r="V222" s="9"/>
      <c r="W222" s="10">
        <f t="shared" si="58"/>
        <v>-1342.78</v>
      </c>
      <c r="X222" s="8">
        <f>IFERROR(W222/W444, "NA")</f>
        <v>-5.0621773417065856E-2</v>
      </c>
      <c r="Y222" s="9"/>
      <c r="Z222" s="7">
        <v>754</v>
      </c>
      <c r="AA222" s="8">
        <f>IFERROR(Z222/Z444, "NA")</f>
        <v>1.4786290449574219E-3</v>
      </c>
      <c r="AB222" s="9"/>
      <c r="AC222" s="10">
        <f t="shared" si="59"/>
        <v>-888.78</v>
      </c>
      <c r="AD222" s="8">
        <f>IFERROR(AC222/AC444, "NA")</f>
        <v>-1.5331038340705488E-2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17270.129999999997</v>
      </c>
      <c r="C227" s="15">
        <f>IFERROR(B227/B444, "NA")</f>
        <v>6.5778715287753434E-2</v>
      </c>
      <c r="D227" s="2"/>
      <c r="E227" s="14">
        <f>IFERROR(E211+E213+E214+E215+E216+E217+E219+E220+E221+E222+E223+E224+E225+E226, "NA")</f>
        <v>9315.6299999999992</v>
      </c>
      <c r="F227" s="15">
        <f>IFERROR(E227/E444, "NA")</f>
        <v>3.841236178360842E-2</v>
      </c>
      <c r="G227" s="2"/>
      <c r="H227" s="14">
        <f t="shared" si="56"/>
        <v>-7954.4999999999982</v>
      </c>
      <c r="I227" s="15">
        <f>IFERROR(H227/H444, "NA")</f>
        <v>-0.39708073650502085</v>
      </c>
      <c r="J227" s="2"/>
      <c r="K227" s="14">
        <f>IFERROR(K211+K213+K214+K215+K216+K217+K219+K220+K221+K222+K223+K224+K225+K226, "NA")</f>
        <v>16620.439999999999</v>
      </c>
      <c r="L227" s="15">
        <f>IFERROR(K227/K444, "NA")</f>
        <v>7.4495637100570292E-2</v>
      </c>
      <c r="M227" s="2"/>
      <c r="N227" s="14">
        <f t="shared" si="57"/>
        <v>-649.68999999999869</v>
      </c>
      <c r="O227" s="15">
        <f>IFERROR(N227/N444, "NA")</f>
        <v>-1.6471746729241822E-2</v>
      </c>
      <c r="P227" s="2"/>
      <c r="Q227" s="14">
        <f>IFERROR(Q211+Q213+Q214+Q215+Q216+Q217+Q219+Q220+Q221+Q222+Q223+Q224+Q225+Q226, "NA")</f>
        <v>32437.02</v>
      </c>
      <c r="R227" s="15">
        <f>IFERROR(Q227/Q444, "NA")</f>
        <v>5.7117041933166177E-2</v>
      </c>
      <c r="S227" s="2"/>
      <c r="T227" s="14">
        <f>IFERROR(T211+T213+T214+T215+T216+T217+T219+T220+T221+T222+T223+T224+T225+T226, "NA")</f>
        <v>20872.400000000001</v>
      </c>
      <c r="U227" s="15">
        <f>IFERROR(T227/T444, "NA")</f>
        <v>3.8554160251640504E-2</v>
      </c>
      <c r="V227" s="2"/>
      <c r="W227" s="14">
        <f t="shared" si="58"/>
        <v>-11564.619999999999</v>
      </c>
      <c r="X227" s="15">
        <f>IFERROR(W227/W444, "NA")</f>
        <v>-0.43597728093542359</v>
      </c>
      <c r="Y227" s="2"/>
      <c r="Z227" s="14">
        <f>IFERROR(Z211+Z213+Z214+Z215+Z216+Z217+Z219+Z220+Z221+Z222+Z223+Z224+Z225+Z226, "NA")</f>
        <v>35289.820000000007</v>
      </c>
      <c r="AA227" s="15">
        <f>IFERROR(Z227/Z444, "NA")</f>
        <v>6.9204977245781618E-2</v>
      </c>
      <c r="AB227" s="2"/>
      <c r="AC227" s="14">
        <f t="shared" si="59"/>
        <v>2852.8000000000065</v>
      </c>
      <c r="AD227" s="15">
        <f>IFERROR(AC227/AC444, "NA")</f>
        <v>4.9209462609830015E-2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5335.36</v>
      </c>
      <c r="F229" s="8">
        <f>IFERROR(E229/E444, "NA")</f>
        <v>2.1999991258325309E-2</v>
      </c>
      <c r="G229" s="9"/>
      <c r="H229" s="10">
        <f t="shared" ref="H229:H236" si="60">IFERROR(-(B229-E229), "NA")</f>
        <v>5335.36</v>
      </c>
      <c r="I229" s="8">
        <f>IFERROR(H229/H444, "NA")</f>
        <v>0.26633587005084275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11910.33</v>
      </c>
      <c r="U229" s="8">
        <f>IFERROR(T229/T444, "NA")</f>
        <v>2.19999986331194E-2</v>
      </c>
      <c r="V229" s="9"/>
      <c r="W229" s="10">
        <f t="shared" ref="W229:W236" si="62">IFERROR(-(Q229-T229), "NA")</f>
        <v>11910.33</v>
      </c>
      <c r="X229" s="8">
        <f>IFERROR(W229/W444, "NA")</f>
        <v>0.4490102820882661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547.87</v>
      </c>
      <c r="L231" s="8">
        <f>IFERROR(K231/K444, "NA")</f>
        <v>2.4556464629269413E-3</v>
      </c>
      <c r="M231" s="9"/>
      <c r="N231" s="10">
        <f t="shared" si="61"/>
        <v>547.87</v>
      </c>
      <c r="O231" s="8">
        <f>IFERROR(N231/N444, "NA")</f>
        <v>1.3890279795825295E-2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1184.81</v>
      </c>
      <c r="AA231" s="8">
        <f>IFERROR(Z231/Z444, "NA")</f>
        <v>2.3234674784562374E-3</v>
      </c>
      <c r="AB231" s="9"/>
      <c r="AC231" s="10">
        <f t="shared" si="63"/>
        <v>1184.81</v>
      </c>
      <c r="AD231" s="8">
        <f>IFERROR(AC231/AC444, "NA")</f>
        <v>2.0437417062097785E-2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14.34</v>
      </c>
      <c r="C233" s="8">
        <f>IFERROR(B233/B444, "NA")</f>
        <v>5.4618394721196901E-5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-14.34</v>
      </c>
      <c r="I233" s="8">
        <f>IFERROR(H233/H444, "NA")</f>
        <v>-7.1583855194946259E-4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-14.34</v>
      </c>
      <c r="O233" s="8">
        <f>IFERROR(N233/N444, "NA")</f>
        <v>-3.6356546675695827E-4</v>
      </c>
      <c r="P233" s="9"/>
      <c r="Q233" s="7">
        <v>285.66000000000003</v>
      </c>
      <c r="R233" s="8">
        <f>IFERROR(Q233/Q444, "NA")</f>
        <v>5.0300718742437656E-4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-285.66000000000003</v>
      </c>
      <c r="X233" s="8">
        <f>IFERROR(W233/W444, "NA")</f>
        <v>-1.0769162330626785E-2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-285.66000000000003</v>
      </c>
      <c r="AD233" s="8">
        <f>IFERROR(AC233/AC444, "NA")</f>
        <v>-4.9275010828393195E-3</v>
      </c>
    </row>
    <row r="234" spans="1:30" ht="16.5" customHeight="1" x14ac:dyDescent="0.45">
      <c r="A234" s="6" t="s">
        <v>213</v>
      </c>
      <c r="B234" s="7">
        <v>6225.47</v>
      </c>
      <c r="C234" s="8">
        <f>IFERROR(B234/B444, "NA")</f>
        <v>2.3711658144000676E-2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-6225.47</v>
      </c>
      <c r="I234" s="8">
        <f>IFERROR(H234/H444, "NA")</f>
        <v>-0.3107692768483139</v>
      </c>
      <c r="J234" s="9"/>
      <c r="K234" s="7">
        <v>4772.8999999999996</v>
      </c>
      <c r="L234" s="8">
        <f>IFERROR(K234/K444, "NA")</f>
        <v>2.139294906255863E-2</v>
      </c>
      <c r="M234" s="9"/>
      <c r="N234" s="10">
        <f t="shared" si="61"/>
        <v>-1452.5700000000006</v>
      </c>
      <c r="O234" s="8">
        <f>IFERROR(N234/N444, "NA")</f>
        <v>-3.6827356349173994E-2</v>
      </c>
      <c r="P234" s="9"/>
      <c r="Q234" s="7">
        <v>12761.57</v>
      </c>
      <c r="R234" s="8">
        <f>IFERROR(Q234/Q444, "NA")</f>
        <v>2.2471334568435555E-2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-12761.57</v>
      </c>
      <c r="X234" s="8">
        <f>IFERROR(W234/W444, "NA")</f>
        <v>-0.48110137549414284</v>
      </c>
      <c r="Y234" s="9"/>
      <c r="Z234" s="7">
        <v>10639.82</v>
      </c>
      <c r="AA234" s="8">
        <f>IFERROR(Z234/Z444, "NA")</f>
        <v>2.0865181545250501E-2</v>
      </c>
      <c r="AB234" s="9"/>
      <c r="AC234" s="10">
        <f t="shared" si="63"/>
        <v>-2121.75</v>
      </c>
      <c r="AD234" s="8">
        <f>IFERROR(AC234/AC444, "NA")</f>
        <v>-3.6599192825436971E-2</v>
      </c>
    </row>
    <row r="235" spans="1:30" ht="16.5" customHeight="1" x14ac:dyDescent="0.45">
      <c r="A235" s="6" t="s">
        <v>214</v>
      </c>
      <c r="B235" s="7">
        <v>78.97</v>
      </c>
      <c r="C235" s="8">
        <f>IFERROR(B235/B444, "NA")</f>
        <v>3.007820523802594E-4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-78.97</v>
      </c>
      <c r="I235" s="8">
        <f>IFERROR(H235/H444, "NA")</f>
        <v>-3.942103936363254E-3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-78.97</v>
      </c>
      <c r="O235" s="8">
        <f>IFERROR(N235/N444, "NA")</f>
        <v>-2.0021453911992326E-3</v>
      </c>
      <c r="P235" s="9"/>
      <c r="Q235" s="7">
        <v>129.63</v>
      </c>
      <c r="R235" s="8">
        <f>IFERROR(Q235/Q444, "NA")</f>
        <v>2.2826024541700599E-4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-129.63</v>
      </c>
      <c r="X235" s="8">
        <f>IFERROR(W235/W444, "NA")</f>
        <v>-4.8869513159670586E-3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-129.63</v>
      </c>
      <c r="AD235" s="8">
        <f>IFERROR(AC235/AC444, "NA")</f>
        <v>-2.2360567295682311E-3</v>
      </c>
    </row>
    <row r="236" spans="1:30" ht="16.5" customHeight="1" x14ac:dyDescent="0.45">
      <c r="A236" s="19" t="s">
        <v>215</v>
      </c>
      <c r="B236" s="14">
        <f>IFERROR(B229+B230+B231+B232+B233+B234+B235, "NA")</f>
        <v>6318.7800000000007</v>
      </c>
      <c r="C236" s="15">
        <f>IFERROR(B236/B444, "NA")</f>
        <v>2.4067058591102135E-2</v>
      </c>
      <c r="D236" s="2"/>
      <c r="E236" s="14">
        <f>IFERROR(E229+E230+E231+E232+E233+E234+E235, "NA")</f>
        <v>5335.36</v>
      </c>
      <c r="F236" s="15">
        <f>IFERROR(E236/E444, "NA")</f>
        <v>2.1999991258325309E-2</v>
      </c>
      <c r="G236" s="2"/>
      <c r="H236" s="14">
        <f t="shared" si="60"/>
        <v>-983.42000000000098</v>
      </c>
      <c r="I236" s="15">
        <f>IFERROR(H236/H444, "NA")</f>
        <v>-4.909134928578391E-2</v>
      </c>
      <c r="J236" s="2"/>
      <c r="K236" s="14">
        <f>IFERROR(K229+K230+K231+K232+K233+K234+K235, "NA")</f>
        <v>5320.7699999999995</v>
      </c>
      <c r="L236" s="15">
        <f>IFERROR(K236/K444, "NA")</f>
        <v>2.3848595525485572E-2</v>
      </c>
      <c r="M236" s="2"/>
      <c r="N236" s="14">
        <f t="shared" si="61"/>
        <v>-998.01000000000113</v>
      </c>
      <c r="O236" s="15">
        <f>IFERROR(N236/N444, "NA")</f>
        <v>-2.5302787411304904E-2</v>
      </c>
      <c r="P236" s="2"/>
      <c r="Q236" s="14">
        <f>IFERROR(Q229+Q230+Q231+Q232+Q233+Q234+Q235, "NA")</f>
        <v>13176.859999999999</v>
      </c>
      <c r="R236" s="15">
        <f>IFERROR(Q236/Q444, "NA")</f>
        <v>2.3202602001276936E-2</v>
      </c>
      <c r="S236" s="2"/>
      <c r="T236" s="14">
        <f>IFERROR(T229+T230+T231+T232+T233+T234+T235, "NA")</f>
        <v>11910.33</v>
      </c>
      <c r="U236" s="15">
        <f>IFERROR(T236/T444, "NA")</f>
        <v>2.19999986331194E-2</v>
      </c>
      <c r="V236" s="2"/>
      <c r="W236" s="14">
        <f t="shared" si="62"/>
        <v>-1266.5299999999988</v>
      </c>
      <c r="X236" s="15">
        <f>IFERROR(W236/W444, "NA")</f>
        <v>-4.7747207052470514E-2</v>
      </c>
      <c r="Y236" s="2"/>
      <c r="Z236" s="14">
        <f>IFERROR(Z229+Z230+Z231+Z232+Z233+Z234+Z235, "NA")</f>
        <v>11824.63</v>
      </c>
      <c r="AA236" s="15">
        <f>IFERROR(Z236/Z444, "NA")</f>
        <v>2.3188649023706737E-2</v>
      </c>
      <c r="AB236" s="2"/>
      <c r="AC236" s="14">
        <f t="shared" si="63"/>
        <v>-1352.2299999999996</v>
      </c>
      <c r="AD236" s="15">
        <f>IFERROR(AC236/AC444, "NA")</f>
        <v>-2.3325333575746728E-2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20613.900000000001</v>
      </c>
      <c r="F240" s="8">
        <f>IFERROR(E240/E444, "NA")</f>
        <v>8.5000003711088318E-2</v>
      </c>
      <c r="G240" s="9"/>
      <c r="H240" s="10">
        <f t="shared" ref="H240:H263" si="64">IFERROR(-(B240-E240), "NA")</f>
        <v>20613.900000000001</v>
      </c>
      <c r="I240" s="8">
        <f>IFERROR(H240/H444, "NA")</f>
        <v>1.0290254062783144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46017.18</v>
      </c>
      <c r="U240" s="8">
        <f>IFERROR(T240/T444, "NA")</f>
        <v>8.4999987162405186E-2</v>
      </c>
      <c r="V240" s="9"/>
      <c r="W240" s="10">
        <f t="shared" ref="W240:W263" si="66">IFERROR(-(Q240-T240), "NA")</f>
        <v>46017.18</v>
      </c>
      <c r="X240" s="8">
        <f>IFERROR(W240/W444, "NA")</f>
        <v>1.7348122992987196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3894.38</v>
      </c>
      <c r="C242" s="8">
        <f>IFERROR(B242/B444, "NA")</f>
        <v>1.4832969597931298E-2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-3894.38</v>
      </c>
      <c r="I242" s="8">
        <f>IFERROR(H242/H444, "NA")</f>
        <v>-0.19440358019114004</v>
      </c>
      <c r="J242" s="9"/>
      <c r="K242" s="7">
        <v>3199.2</v>
      </c>
      <c r="L242" s="8">
        <f>IFERROR(K242/K444, "NA")</f>
        <v>1.4339358176567197E-2</v>
      </c>
      <c r="M242" s="9"/>
      <c r="N242" s="10">
        <f t="shared" si="65"/>
        <v>-695.18000000000029</v>
      </c>
      <c r="O242" s="8">
        <f>IFERROR(N242/N444, "NA")</f>
        <v>-1.7625065633201001E-2</v>
      </c>
      <c r="P242" s="9"/>
      <c r="Q242" s="7">
        <v>9384.9599999999991</v>
      </c>
      <c r="R242" s="8">
        <f>IFERROR(Q242/Q444, "NA")</f>
        <v>1.6525598031541959E-2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-9384.9599999999991</v>
      </c>
      <c r="X242" s="8">
        <f>IFERROR(W242/W444, "NA")</f>
        <v>-0.35380577506980021</v>
      </c>
      <c r="Y242" s="9"/>
      <c r="Z242" s="7">
        <v>7848.05</v>
      </c>
      <c r="AA242" s="8">
        <f>IFERROR(Z242/Z444, "NA")</f>
        <v>1.5390390817344954E-2</v>
      </c>
      <c r="AB242" s="9"/>
      <c r="AC242" s="10">
        <f t="shared" si="67"/>
        <v>-1536.9099999999989</v>
      </c>
      <c r="AD242" s="8">
        <f>IFERROR(AC242/AC444, "NA")</f>
        <v>-2.6510976997922608E-2</v>
      </c>
    </row>
    <row r="243" spans="1:30" ht="16.5" customHeight="1" x14ac:dyDescent="0.45">
      <c r="A243" s="12" t="s">
        <v>220</v>
      </c>
      <c r="B243" s="7">
        <v>10819.82</v>
      </c>
      <c r="C243" s="8">
        <f>IFERROR(B243/B444, "NA")</f>
        <v>4.1210683373242726E-2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-10819.82</v>
      </c>
      <c r="I243" s="8">
        <f>IFERROR(H243/H444, "NA")</f>
        <v>-0.540114663957729</v>
      </c>
      <c r="J243" s="9"/>
      <c r="K243" s="7">
        <v>8457.14</v>
      </c>
      <c r="L243" s="8">
        <f>IFERROR(K243/K444, "NA")</f>
        <v>3.7906338962669886E-2</v>
      </c>
      <c r="M243" s="9"/>
      <c r="N243" s="10">
        <f t="shared" si="65"/>
        <v>-2362.6800000000003</v>
      </c>
      <c r="O243" s="8">
        <f>IFERROR(N243/N444, "NA")</f>
        <v>-5.9901593932868216E-2</v>
      </c>
      <c r="P243" s="9"/>
      <c r="Q243" s="7">
        <v>22775.9</v>
      </c>
      <c r="R243" s="8">
        <f>IFERROR(Q243/Q444, "NA")</f>
        <v>4.0105164881533498E-2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-22775.9</v>
      </c>
      <c r="X243" s="8">
        <f>IFERROR(W243/W444, "NA")</f>
        <v>-0.85863391558539026</v>
      </c>
      <c r="Y243" s="9"/>
      <c r="Z243" s="7">
        <v>20176.97</v>
      </c>
      <c r="AA243" s="8">
        <f>IFERROR(Z243/Z444, "NA")</f>
        <v>3.9567975969807101E-2</v>
      </c>
      <c r="AB243" s="9"/>
      <c r="AC243" s="10">
        <f t="shared" si="67"/>
        <v>-2598.9300000000003</v>
      </c>
      <c r="AD243" s="8">
        <f>IFERROR(AC243/AC444, "NA")</f>
        <v>-4.483032412386611E-2</v>
      </c>
    </row>
    <row r="244" spans="1:30" ht="16.5" customHeight="1" x14ac:dyDescent="0.45">
      <c r="A244" s="12" t="s">
        <v>221</v>
      </c>
      <c r="B244" s="7">
        <v>541.80999999999995</v>
      </c>
      <c r="C244" s="8">
        <f>IFERROR(B244/B444, "NA")</f>
        <v>2.0636535874401459E-3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-541.80999999999995</v>
      </c>
      <c r="I244" s="8">
        <f>IFERROR(H244/H444, "NA")</f>
        <v>-2.7046616864137958E-2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-541.80999999999995</v>
      </c>
      <c r="O244" s="8">
        <f>IFERROR(N244/N444, "NA")</f>
        <v>-1.3736639159245993E-2</v>
      </c>
      <c r="P244" s="9"/>
      <c r="Q244" s="7">
        <v>1726.7</v>
      </c>
      <c r="R244" s="8">
        <f>IFERROR(Q244/Q444, "NA")</f>
        <v>3.0404764773705488E-3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-1726.7</v>
      </c>
      <c r="X244" s="8">
        <f>IFERROR(W244/W444, "NA")</f>
        <v>-6.5095262186841932E-2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-1726.7</v>
      </c>
      <c r="AD244" s="8">
        <f>IFERROR(AC244/AC444, "NA")</f>
        <v>-2.9784765524534944E-2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389.55</v>
      </c>
      <c r="C246" s="8">
        <f>IFERROR(B246/B444, "NA")</f>
        <v>1.4837235469764474E-3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-389.55</v>
      </c>
      <c r="I246" s="8">
        <f>IFERROR(H246/H444, "NA")</f>
        <v>-1.9445948947832161E-2</v>
      </c>
      <c r="J246" s="9"/>
      <c r="K246" s="7">
        <v>926.5</v>
      </c>
      <c r="L246" s="8">
        <f>IFERROR(K246/K444, "NA")</f>
        <v>4.1527304796791413E-3</v>
      </c>
      <c r="M246" s="9"/>
      <c r="N246" s="10">
        <f t="shared" si="65"/>
        <v>536.95000000000005</v>
      </c>
      <c r="O246" s="8">
        <f>IFERROR(N246/N444, "NA")</f>
        <v>1.3613422411098239E-2</v>
      </c>
      <c r="P246" s="9"/>
      <c r="Q246" s="7">
        <v>842.82</v>
      </c>
      <c r="R246" s="8">
        <f>IFERROR(Q246/Q444, "NA")</f>
        <v>1.4840877886473888E-3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-842.82</v>
      </c>
      <c r="X246" s="8">
        <f>IFERROR(W246/W444, "NA")</f>
        <v>-3.1773665880763378E-2</v>
      </c>
      <c r="Y246" s="9"/>
      <c r="Z246" s="7">
        <v>1887.26</v>
      </c>
      <c r="AA246" s="8">
        <f>IFERROR(Z246/Z444, "NA")</f>
        <v>3.7010045774354696E-3</v>
      </c>
      <c r="AB246" s="9"/>
      <c r="AC246" s="10">
        <f t="shared" si="67"/>
        <v>1044.44</v>
      </c>
      <c r="AD246" s="8">
        <f>IFERROR(AC246/AC444, "NA")</f>
        <v>1.8016100367432258E-2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211.28</v>
      </c>
      <c r="C248" s="8">
        <f>IFERROR(B248/B444, "NA")</f>
        <v>8.0472625081551481E-4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-211.28</v>
      </c>
      <c r="I248" s="8">
        <f>IFERROR(H248/H444, "NA")</f>
        <v>-1.0546887674747731E-2</v>
      </c>
      <c r="J248" s="9"/>
      <c r="K248" s="7">
        <v>183.48</v>
      </c>
      <c r="L248" s="8">
        <f>IFERROR(K248/K444, "NA")</f>
        <v>8.22388546585568E-4</v>
      </c>
      <c r="M248" s="9"/>
      <c r="N248" s="10">
        <f t="shared" si="65"/>
        <v>-27.800000000000011</v>
      </c>
      <c r="O248" s="8">
        <f>IFERROR(N248/N444, "NA")</f>
        <v>-7.048200819974507E-4</v>
      </c>
      <c r="P248" s="9"/>
      <c r="Q248" s="7">
        <v>596.30999999999995</v>
      </c>
      <c r="R248" s="8">
        <f>IFERROR(Q248/Q444, "NA")</f>
        <v>1.0500182592348595E-3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-596.30999999999995</v>
      </c>
      <c r="X248" s="8">
        <f>IFERROR(W248/W444, "NA")</f>
        <v>-2.2480428444220601E-2</v>
      </c>
      <c r="Y248" s="9"/>
      <c r="Z248" s="7">
        <v>540.71</v>
      </c>
      <c r="AA248" s="8">
        <f>IFERROR(Z248/Z444, "NA")</f>
        <v>1.0603574415105142E-3</v>
      </c>
      <c r="AB248" s="9"/>
      <c r="AC248" s="10">
        <f t="shared" si="67"/>
        <v>-55.599999999999909</v>
      </c>
      <c r="AD248" s="8">
        <f>IFERROR(AC248/AC444, "NA")</f>
        <v>-9.590739347681359E-4</v>
      </c>
    </row>
    <row r="249" spans="1:30" ht="16.5" customHeight="1" x14ac:dyDescent="0.45">
      <c r="A249" s="12" t="s">
        <v>226</v>
      </c>
      <c r="B249" s="7">
        <v>7399.13</v>
      </c>
      <c r="C249" s="8">
        <f>IFERROR(B249/B444, "NA")</f>
        <v>2.8181910943755207E-2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-7399.13</v>
      </c>
      <c r="I249" s="8">
        <f>IFERROR(H249/H444, "NA")</f>
        <v>-0.36935721791393494</v>
      </c>
      <c r="J249" s="9"/>
      <c r="K249" s="7">
        <v>5613.48</v>
      </c>
      <c r="L249" s="8">
        <f>IFERROR(K249/K444, "NA")</f>
        <v>2.516057149818593E-2</v>
      </c>
      <c r="M249" s="9"/>
      <c r="N249" s="10">
        <f t="shared" si="65"/>
        <v>-1785.6500000000005</v>
      </c>
      <c r="O249" s="8">
        <f>IFERROR(N249/N444, "NA")</f>
        <v>-4.5272013648156396E-2</v>
      </c>
      <c r="P249" s="9"/>
      <c r="Q249" s="7">
        <v>14554.32</v>
      </c>
      <c r="R249" s="8">
        <f>IFERROR(Q249/Q444, "NA")</f>
        <v>2.5628115830267983E-2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-14554.32</v>
      </c>
      <c r="X249" s="8">
        <f>IFERROR(W249/W444, "NA")</f>
        <v>-0.54868667188926701</v>
      </c>
      <c r="Y249" s="9"/>
      <c r="Z249" s="7">
        <v>12132.42</v>
      </c>
      <c r="AA249" s="8">
        <f>IFERROR(Z249/Z444, "NA")</f>
        <v>2.3792239519393004E-2</v>
      </c>
      <c r="AB249" s="9"/>
      <c r="AC249" s="10">
        <f t="shared" si="67"/>
        <v>-2421.8999999999996</v>
      </c>
      <c r="AD249" s="8">
        <f>IFERROR(AC249/AC444, "NA")</f>
        <v>-4.177663961537683E-2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3537.15</v>
      </c>
      <c r="C254" s="8">
        <f>IFERROR(B254/B444, "NA")</f>
        <v>1.3472346923855065E-2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-3537.15</v>
      </c>
      <c r="I254" s="8">
        <f>IFERROR(H254/H444, "NA")</f>
        <v>-0.17657101353054686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-3537.15</v>
      </c>
      <c r="O254" s="8">
        <f>IFERROR(N254/N444, "NA")</f>
        <v>-8.9678214138031717E-2</v>
      </c>
      <c r="P254" s="9"/>
      <c r="Q254" s="7">
        <v>8009.34</v>
      </c>
      <c r="R254" s="8">
        <f>IFERROR(Q254/Q444, "NA")</f>
        <v>1.4103324184434489E-2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-8009.34</v>
      </c>
      <c r="X254" s="8">
        <f>IFERROR(W254/W444, "NA")</f>
        <v>-0.30194595890633036</v>
      </c>
      <c r="Y254" s="9"/>
      <c r="Z254" s="7">
        <v>3375</v>
      </c>
      <c r="AA254" s="8">
        <f>IFERROR(Z254/Z444, "NA")</f>
        <v>6.6185318656913784E-3</v>
      </c>
      <c r="AB254" s="9"/>
      <c r="AC254" s="10">
        <f t="shared" si="67"/>
        <v>-4634.34</v>
      </c>
      <c r="AD254" s="8">
        <f>IFERROR(AC254/AC444, "NA")</f>
        <v>-7.9940192425420331E-2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26793.120000000003</v>
      </c>
      <c r="C262" s="15">
        <f>IFERROR(B262/B444, "NA")</f>
        <v>0.10205001422401641</v>
      </c>
      <c r="D262" s="2"/>
      <c r="E262" s="14">
        <f>IFERROR(E240+E241+E242+E243+E244+E245+E246+E247+E248+E249+E250+E251+E252+E253+E254+E255+E256+E257+E258+E259+E260+E261, "NA")</f>
        <v>20613.900000000001</v>
      </c>
      <c r="F262" s="15">
        <f>IFERROR(E262/E444, "NA")</f>
        <v>8.5000003711088318E-2</v>
      </c>
      <c r="G262" s="2"/>
      <c r="H262" s="14">
        <f t="shared" si="64"/>
        <v>-6179.2200000000012</v>
      </c>
      <c r="I262" s="15">
        <f>IFERROR(H262/H444, "NA")</f>
        <v>-0.30846052280175446</v>
      </c>
      <c r="J262" s="2"/>
      <c r="K262" s="14">
        <f>IFERROR(K240+K241+K242+K243+K244+K245+K246+K247+K248+K249+K250+K251+K252+K253+K254+K255+K256+K257+K258+K259+K260+K261, "NA")</f>
        <v>18379.8</v>
      </c>
      <c r="L262" s="15">
        <f>IFERROR(K262/K444, "NA")</f>
        <v>8.2381387663687716E-2</v>
      </c>
      <c r="M262" s="2"/>
      <c r="N262" s="14">
        <f t="shared" si="65"/>
        <v>-8413.3200000000033</v>
      </c>
      <c r="O262" s="15">
        <f>IFERROR(N262/N444, "NA")</f>
        <v>-0.2133049241824026</v>
      </c>
      <c r="P262" s="2"/>
      <c r="Q262" s="14">
        <f>IFERROR(Q240+Q241+Q242+Q243+Q244+Q245+Q246+Q247+Q248+Q249+Q250+Q251+Q252+Q253+Q254+Q255+Q256+Q257+Q258+Q259+Q260+Q261, "NA")</f>
        <v>57890.349999999991</v>
      </c>
      <c r="R262" s="15">
        <f>IFERROR(Q262/Q444, "NA")</f>
        <v>0.10193678545303071</v>
      </c>
      <c r="S262" s="2"/>
      <c r="T262" s="14">
        <f>IFERROR(T240+T241+T242+T243+T244+T245+T246+T247+T248+T249+T250+T251+T252+T253+T254+T255+T256+T257+T258+T259+T260+T261, "NA")</f>
        <v>46017.18</v>
      </c>
      <c r="U262" s="15">
        <f>IFERROR(T262/T444, "NA")</f>
        <v>8.4999987162405186E-2</v>
      </c>
      <c r="V262" s="2"/>
      <c r="W262" s="14">
        <f t="shared" si="66"/>
        <v>-11873.169999999991</v>
      </c>
      <c r="X262" s="15">
        <f>IFERROR(W262/W444, "NA")</f>
        <v>-0.44760937866389383</v>
      </c>
      <c r="Y262" s="2"/>
      <c r="Z262" s="14">
        <f>IFERROR(Z240+Z241+Z242+Z243+Z244+Z245+Z246+Z247+Z248+Z249+Z250+Z251+Z252+Z253+Z254+Z255+Z256+Z257+Z258+Z259+Z260+Z261, "NA")</f>
        <v>45960.409999999996</v>
      </c>
      <c r="AA262" s="15">
        <f>IFERROR(Z262/Z444, "NA")</f>
        <v>9.0130500191182419E-2</v>
      </c>
      <c r="AB262" s="2"/>
      <c r="AC262" s="14">
        <f t="shared" si="67"/>
        <v>-11929.939999999995</v>
      </c>
      <c r="AD262" s="15">
        <f>IFERROR(AC262/AC444, "NA")</f>
        <v>-0.20578587225445663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26793.120000000003</v>
      </c>
      <c r="C263" s="15">
        <f>IFERROR(B263/B444, "NA")</f>
        <v>0.10205001422401641</v>
      </c>
      <c r="D263" s="2"/>
      <c r="E263" s="14">
        <f>IFERROR(E238+E240+E241+E242+E243+E244+E245+E246+E247+E248+E249+E250+E251+E252+E253+E254+E255+E256+E257+E258+E259+E260+E261, "NA")</f>
        <v>20613.900000000001</v>
      </c>
      <c r="F263" s="15">
        <f>IFERROR(E263/E444, "NA")</f>
        <v>8.5000003711088318E-2</v>
      </c>
      <c r="G263" s="2"/>
      <c r="H263" s="14">
        <f t="shared" si="64"/>
        <v>-6179.2200000000012</v>
      </c>
      <c r="I263" s="15">
        <f>IFERROR(H263/H444, "NA")</f>
        <v>-0.30846052280175446</v>
      </c>
      <c r="J263" s="2"/>
      <c r="K263" s="14">
        <f>IFERROR(K238+K240+K241+K242+K243+K244+K245+K246+K247+K248+K249+K250+K251+K252+K253+K254+K255+K256+K257+K258+K259+K260+K261, "NA")</f>
        <v>18379.8</v>
      </c>
      <c r="L263" s="15">
        <f>IFERROR(K263/K444, "NA")</f>
        <v>8.2381387663687716E-2</v>
      </c>
      <c r="M263" s="2"/>
      <c r="N263" s="14">
        <f t="shared" si="65"/>
        <v>-8413.3200000000033</v>
      </c>
      <c r="O263" s="15">
        <f>IFERROR(N263/N444, "NA")</f>
        <v>-0.2133049241824026</v>
      </c>
      <c r="P263" s="2"/>
      <c r="Q263" s="14">
        <f>IFERROR(Q238+Q240+Q241+Q242+Q243+Q244+Q245+Q246+Q247+Q248+Q249+Q250+Q251+Q252+Q253+Q254+Q255+Q256+Q257+Q258+Q259+Q260+Q261, "NA")</f>
        <v>57890.349999999991</v>
      </c>
      <c r="R263" s="15">
        <f>IFERROR(Q263/Q444, "NA")</f>
        <v>0.10193678545303071</v>
      </c>
      <c r="S263" s="2"/>
      <c r="T263" s="14">
        <f>IFERROR(T238+T240+T241+T242+T243+T244+T245+T246+T247+T248+T249+T250+T251+T252+T253+T254+T255+T256+T257+T258+T259+T260+T261, "NA")</f>
        <v>46017.18</v>
      </c>
      <c r="U263" s="15">
        <f>IFERROR(T263/T444, "NA")</f>
        <v>8.4999987162405186E-2</v>
      </c>
      <c r="V263" s="2"/>
      <c r="W263" s="14">
        <f t="shared" si="66"/>
        <v>-11873.169999999991</v>
      </c>
      <c r="X263" s="15">
        <f>IFERROR(W263/W444, "NA")</f>
        <v>-0.44760937866389383</v>
      </c>
      <c r="Y263" s="2"/>
      <c r="Z263" s="14">
        <f>IFERROR(Z238+Z240+Z241+Z242+Z243+Z244+Z245+Z246+Z247+Z248+Z249+Z250+Z251+Z252+Z253+Z254+Z255+Z256+Z257+Z258+Z259+Z260+Z261, "NA")</f>
        <v>45960.409999999996</v>
      </c>
      <c r="AA263" s="15">
        <f>IFERROR(Z263/Z444, "NA")</f>
        <v>9.0130500191182419E-2</v>
      </c>
      <c r="AB263" s="2"/>
      <c r="AC263" s="14">
        <f t="shared" si="67"/>
        <v>-11929.939999999995</v>
      </c>
      <c r="AD263" s="15">
        <f>IFERROR(AC263/AC444, "NA")</f>
        <v>-0.20578587225445663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7116.42</v>
      </c>
      <c r="C265" s="8">
        <f>IFERROR(B265/B444, "NA")</f>
        <v>2.7105121099150635E-2</v>
      </c>
      <c r="D265" s="9"/>
      <c r="E265" s="7">
        <v>5820.4</v>
      </c>
      <c r="F265" s="8">
        <f>IFERROR(E265/E444, "NA")</f>
        <v>2.4000020452220026E-2</v>
      </c>
      <c r="G265" s="9"/>
      <c r="H265" s="10">
        <f>IFERROR(-(B265-E265), "NA")</f>
        <v>-1296.0200000000004</v>
      </c>
      <c r="I265" s="8">
        <f>IFERROR(H265/H444, "NA")</f>
        <v>-6.4696030690205214E-2</v>
      </c>
      <c r="J265" s="9"/>
      <c r="K265" s="7">
        <v>5428.34</v>
      </c>
      <c r="L265" s="8">
        <f>IFERROR(K265/K444, "NA")</f>
        <v>2.4330742549445731E-2</v>
      </c>
      <c r="M265" s="9"/>
      <c r="N265" s="10">
        <f>IFERROR(-(B265-K265), "NA")</f>
        <v>-1688.08</v>
      </c>
      <c r="O265" s="8">
        <f>IFERROR(N265/N444, "NA")</f>
        <v>-4.2798297986268205E-2</v>
      </c>
      <c r="P265" s="9"/>
      <c r="Q265" s="7">
        <v>14948.95</v>
      </c>
      <c r="R265" s="8">
        <f>IFERROR(Q265/Q444, "NA")</f>
        <v>2.6323003901307967E-2</v>
      </c>
      <c r="S265" s="9"/>
      <c r="T265" s="7">
        <v>12993.09</v>
      </c>
      <c r="U265" s="8">
        <f>IFERROR(T265/T444, "NA")</f>
        <v>2.400000354650101E-2</v>
      </c>
      <c r="V265" s="9"/>
      <c r="W265" s="10">
        <f>IFERROR(-(Q265-T265), "NA")</f>
        <v>-1955.8600000000006</v>
      </c>
      <c r="X265" s="8">
        <f>IFERROR(W265/W444, "NA")</f>
        <v>-7.3734417965342386E-2</v>
      </c>
      <c r="Y265" s="9"/>
      <c r="Z265" s="7">
        <v>11572.39</v>
      </c>
      <c r="AA265" s="8">
        <f>IFERROR(Z265/Z444, "NA")</f>
        <v>2.2693994659913553E-2</v>
      </c>
      <c r="AB265" s="9"/>
      <c r="AC265" s="10">
        <f>IFERROR(-(Q265-Z265), "NA")</f>
        <v>-3376.5600000000013</v>
      </c>
      <c r="AD265" s="8">
        <f>IFERROR(AC265/AC444, "NA")</f>
        <v>-5.8244077071595381E-2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7116.42</v>
      </c>
      <c r="C267" s="15">
        <f>IFERROR(B267/B444, "NA")</f>
        <v>2.7105121099150635E-2</v>
      </c>
      <c r="D267" s="2"/>
      <c r="E267" s="14">
        <f>IFERROR(E265+E266, "NA")</f>
        <v>5820.4</v>
      </c>
      <c r="F267" s="15">
        <f>IFERROR(E267/E444, "NA")</f>
        <v>2.4000020452220026E-2</v>
      </c>
      <c r="G267" s="2"/>
      <c r="H267" s="14">
        <f>IFERROR(-(B267-E267), "NA")</f>
        <v>-1296.0200000000004</v>
      </c>
      <c r="I267" s="15">
        <f>IFERROR(H267/H444, "NA")</f>
        <v>-6.4696030690205214E-2</v>
      </c>
      <c r="J267" s="2"/>
      <c r="K267" s="14">
        <f>IFERROR(K265+K266, "NA")</f>
        <v>5428.34</v>
      </c>
      <c r="L267" s="15">
        <f>IFERROR(K267/K444, "NA")</f>
        <v>2.4330742549445731E-2</v>
      </c>
      <c r="M267" s="2"/>
      <c r="N267" s="14">
        <f>IFERROR(-(B267-K267), "NA")</f>
        <v>-1688.08</v>
      </c>
      <c r="O267" s="15">
        <f>IFERROR(N267/N444, "NA")</f>
        <v>-4.2798297986268205E-2</v>
      </c>
      <c r="P267" s="2"/>
      <c r="Q267" s="14">
        <f>IFERROR(Q265+Q266, "NA")</f>
        <v>14948.95</v>
      </c>
      <c r="R267" s="15">
        <f>IFERROR(Q267/Q444, "NA")</f>
        <v>2.6323003901307967E-2</v>
      </c>
      <c r="S267" s="2"/>
      <c r="T267" s="14">
        <f>IFERROR(T265+T266, "NA")</f>
        <v>12993.09</v>
      </c>
      <c r="U267" s="15">
        <f>IFERROR(T267/T444, "NA")</f>
        <v>2.400000354650101E-2</v>
      </c>
      <c r="V267" s="2"/>
      <c r="W267" s="14">
        <f>IFERROR(-(Q267-T267), "NA")</f>
        <v>-1955.8600000000006</v>
      </c>
      <c r="X267" s="15">
        <f>IFERROR(W267/W444, "NA")</f>
        <v>-7.3734417965342386E-2</v>
      </c>
      <c r="Y267" s="2"/>
      <c r="Z267" s="14">
        <f>IFERROR(Z265+Z266, "NA")</f>
        <v>11572.39</v>
      </c>
      <c r="AA267" s="15">
        <f>IFERROR(Z267/Z444, "NA")</f>
        <v>2.2693994659913553E-2</v>
      </c>
      <c r="AB267" s="2"/>
      <c r="AC267" s="14">
        <f>IFERROR(-(Q267-Z267), "NA")</f>
        <v>-3376.5600000000013</v>
      </c>
      <c r="AD267" s="15">
        <f>IFERROR(AC267/AC444, "NA")</f>
        <v>-5.8244077071595381E-2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9.1982861402852532E-4</v>
      </c>
      <c r="D270" s="9"/>
      <c r="E270" s="7">
        <v>236.63</v>
      </c>
      <c r="F270" s="8">
        <f>IFERROR(E270/E444, "NA")</f>
        <v>9.7572758566573175E-4</v>
      </c>
      <c r="G270" s="9"/>
      <c r="H270" s="10">
        <f>IFERROR(-(B270-E270), "NA")</f>
        <v>-4.8700000000000045</v>
      </c>
      <c r="I270" s="8">
        <f>IFERROR(H270/H444, "NA")</f>
        <v>-2.4310556122690978E-4</v>
      </c>
      <c r="J270" s="9"/>
      <c r="K270" s="7">
        <v>229.7</v>
      </c>
      <c r="L270" s="8">
        <f>IFERROR(K270/K444, "NA")</f>
        <v>1.0295544427223948E-3</v>
      </c>
      <c r="M270" s="9"/>
      <c r="N270" s="10">
        <f>IFERROR(-(B270-K270), "NA")</f>
        <v>-11.800000000000011</v>
      </c>
      <c r="O270" s="8">
        <f>IFERROR(N270/N444, "NA")</f>
        <v>-2.991682362435224E-4</v>
      </c>
      <c r="P270" s="9"/>
      <c r="Q270" s="7">
        <v>724.5</v>
      </c>
      <c r="R270" s="8">
        <f>IFERROR(Q270/Q444, "NA")</f>
        <v>1.2757428666560274E-3</v>
      </c>
      <c r="S270" s="9"/>
      <c r="T270" s="7">
        <v>709.89</v>
      </c>
      <c r="U270" s="8">
        <f>IFERROR(T270/T444, "NA")</f>
        <v>1.311263334405103E-3</v>
      </c>
      <c r="V270" s="9"/>
      <c r="W270" s="10">
        <f>IFERROR(-(Q270-T270), "NA")</f>
        <v>-14.610000000000014</v>
      </c>
      <c r="X270" s="8">
        <f>IFERROR(W270/W444, "NA")</f>
        <v>-5.507857650719648E-4</v>
      </c>
      <c r="Y270" s="9"/>
      <c r="Z270" s="7">
        <v>689.1</v>
      </c>
      <c r="AA270" s="8">
        <f>IFERROR(Z270/Z444, "NA")</f>
        <v>1.3513571284882752E-3</v>
      </c>
      <c r="AB270" s="9"/>
      <c r="AC270" s="10">
        <f>IFERROR(-(Q270-Z270), "NA")</f>
        <v>-35.399999999999977</v>
      </c>
      <c r="AD270" s="8">
        <f>IFERROR(AC270/AC444, "NA")</f>
        <v>-6.1063340451064825E-4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4.0689561423050665E-3</v>
      </c>
      <c r="D271" s="9"/>
      <c r="E271" s="7">
        <v>1068.3</v>
      </c>
      <c r="F271" s="8">
        <f>IFERROR(E271/E444, "NA")</f>
        <v>4.4050618254942364E-3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852.8</v>
      </c>
      <c r="L271" s="8">
        <f>IFERROR(K271/K444, "NA")</f>
        <v>3.8223945526933314E-3</v>
      </c>
      <c r="M271" s="9"/>
      <c r="N271" s="10">
        <f>IFERROR(-(B271-K271), "NA")</f>
        <v>-215.5</v>
      </c>
      <c r="O271" s="8">
        <f>IFERROR(N271/N444, "NA")</f>
        <v>-5.4636232974982222E-3</v>
      </c>
      <c r="P271" s="9"/>
      <c r="Q271" s="7">
        <v>3204.9</v>
      </c>
      <c r="R271" s="8">
        <f>IFERROR(Q271/Q444, "NA")</f>
        <v>5.6433793144870983E-3</v>
      </c>
      <c r="S271" s="9"/>
      <c r="T271" s="7">
        <v>3204.9</v>
      </c>
      <c r="U271" s="8">
        <f>IFERROR(T271/T444, "NA")</f>
        <v>5.9198859829479424E-3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2558.4</v>
      </c>
      <c r="AA271" s="8">
        <f>IFERROR(Z271/Z444, "NA")</f>
        <v>5.0171413111658736E-3</v>
      </c>
      <c r="AB271" s="9"/>
      <c r="AC271" s="10">
        <f>IFERROR(-(Q271-Z271), "NA")</f>
        <v>-646.5</v>
      </c>
      <c r="AD271" s="8">
        <f>IFERROR(AC271/AC444, "NA")</f>
        <v>-1.1151821921359727E-2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4.9887847563335917E-3</v>
      </c>
      <c r="D273" s="2"/>
      <c r="E273" s="14">
        <f>IFERROR(E269+E270+E271+E272, "NA")</f>
        <v>1304.9299999999998</v>
      </c>
      <c r="F273" s="15">
        <f>IFERROR(E273/E444, "NA")</f>
        <v>5.3807894111599676E-3</v>
      </c>
      <c r="G273" s="2"/>
      <c r="H273" s="14">
        <f>IFERROR(-(B273-E273), "NA")</f>
        <v>-4.8700000000001182</v>
      </c>
      <c r="I273" s="15">
        <f>IFERROR(H273/H444, "NA")</f>
        <v>-2.4310556122691544E-4</v>
      </c>
      <c r="J273" s="2"/>
      <c r="K273" s="14">
        <f>IFERROR(K269+K270+K271+K272, "NA")</f>
        <v>1082.5</v>
      </c>
      <c r="L273" s="15">
        <f>IFERROR(K273/K444, "NA")</f>
        <v>4.8519489954157264E-3</v>
      </c>
      <c r="M273" s="2"/>
      <c r="N273" s="14">
        <f>IFERROR(-(B273-K273), "NA")</f>
        <v>-227.29999999999995</v>
      </c>
      <c r="O273" s="15">
        <f>IFERROR(N273/N444, "NA")</f>
        <v>-5.7627915337417433E-3</v>
      </c>
      <c r="P273" s="2"/>
      <c r="Q273" s="14">
        <f>IFERROR(Q269+Q270+Q271+Q272, "NA")</f>
        <v>3929.4</v>
      </c>
      <c r="R273" s="15">
        <f>IFERROR(Q273/Q444, "NA")</f>
        <v>6.9191221811431254E-3</v>
      </c>
      <c r="S273" s="2"/>
      <c r="T273" s="14">
        <f>IFERROR(T269+T270+T271+T272, "NA")</f>
        <v>3914.79</v>
      </c>
      <c r="U273" s="15">
        <f>IFERROR(T273/T444, "NA")</f>
        <v>7.2311493173530458E-3</v>
      </c>
      <c r="V273" s="2"/>
      <c r="W273" s="14">
        <f>IFERROR(-(Q273-T273), "NA")</f>
        <v>-14.610000000000127</v>
      </c>
      <c r="X273" s="15">
        <f>IFERROR(W273/W444, "NA")</f>
        <v>-5.5078576507196903E-4</v>
      </c>
      <c r="Y273" s="2"/>
      <c r="Z273" s="14">
        <f>IFERROR(Z269+Z270+Z271+Z272, "NA")</f>
        <v>3247.5</v>
      </c>
      <c r="AA273" s="15">
        <f>IFERROR(Z273/Z444, "NA")</f>
        <v>6.3684984396541484E-3</v>
      </c>
      <c r="AB273" s="2"/>
      <c r="AC273" s="14">
        <f>IFERROR(-(Q273-Z273), "NA")</f>
        <v>-681.90000000000009</v>
      </c>
      <c r="AD273" s="15">
        <f>IFERROR(AC273/AC444, "NA")</f>
        <v>-1.1762455325870377E-2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145.75</v>
      </c>
      <c r="C288" s="8">
        <f>IFERROR(B288/B444, "NA")</f>
        <v>5.5513466043336467E-4</v>
      </c>
      <c r="D288" s="9"/>
      <c r="E288" s="7">
        <v>146</v>
      </c>
      <c r="F288" s="8">
        <f>IFERROR(E288/E444, "NA")</f>
        <v>6.0202099271942206E-4</v>
      </c>
      <c r="G288" s="9"/>
      <c r="H288" s="10">
        <f t="shared" si="72"/>
        <v>0.25</v>
      </c>
      <c r="I288" s="8">
        <f>IFERROR(H288/H444, "NA")</f>
        <v>1.2479751603024105E-5</v>
      </c>
      <c r="J288" s="9"/>
      <c r="K288" s="7">
        <v>144.65</v>
      </c>
      <c r="L288" s="8">
        <f>IFERROR(K288/K444, "NA")</f>
        <v>6.4834588654677581E-4</v>
      </c>
      <c r="M288" s="9"/>
      <c r="N288" s="10">
        <f t="shared" si="73"/>
        <v>-1.0999999999999943</v>
      </c>
      <c r="O288" s="8">
        <f>IFERROR(N288/N444, "NA")</f>
        <v>-2.7888564395582429E-5</v>
      </c>
      <c r="P288" s="9"/>
      <c r="Q288" s="7">
        <v>437.25</v>
      </c>
      <c r="R288" s="8">
        <f>IFERROR(Q288/Q444, "NA")</f>
        <v>7.6993591227791306E-4</v>
      </c>
      <c r="S288" s="9"/>
      <c r="T288" s="7">
        <v>438</v>
      </c>
      <c r="U288" s="8">
        <f>IFERROR(T288/T444, "NA")</f>
        <v>8.090455429283905E-4</v>
      </c>
      <c r="V288" s="9"/>
      <c r="W288" s="10">
        <f t="shared" si="74"/>
        <v>0.75</v>
      </c>
      <c r="X288" s="8">
        <f>IFERROR(W288/W444, "NA")</f>
        <v>2.8274423258314387E-5</v>
      </c>
      <c r="Y288" s="9"/>
      <c r="Z288" s="7">
        <v>433.95</v>
      </c>
      <c r="AA288" s="8">
        <f>IFERROR(Z288/Z444, "NA")</f>
        <v>8.5099611944200698E-4</v>
      </c>
      <c r="AB288" s="9"/>
      <c r="AC288" s="10">
        <f t="shared" si="75"/>
        <v>-3.3000000000000114</v>
      </c>
      <c r="AD288" s="8">
        <f>IFERROR(AC288/AC444, "NA")</f>
        <v>-5.6923452962857276E-5</v>
      </c>
    </row>
    <row r="289" spans="1:30" ht="16.5" customHeight="1" x14ac:dyDescent="0.45">
      <c r="A289" s="6" t="s">
        <v>262</v>
      </c>
      <c r="B289" s="7">
        <v>262.14</v>
      </c>
      <c r="C289" s="8">
        <f>IFERROR(B289/B444, "NA")</f>
        <v>9.9844253781133582E-4</v>
      </c>
      <c r="D289" s="9"/>
      <c r="E289" s="7">
        <v>247</v>
      </c>
      <c r="F289" s="8">
        <f>IFERROR(E289/E444, "NA")</f>
        <v>1.0184875698746386E-3</v>
      </c>
      <c r="G289" s="9"/>
      <c r="H289" s="10">
        <f t="shared" si="72"/>
        <v>-15.139999999999986</v>
      </c>
      <c r="I289" s="8">
        <f>IFERROR(H289/H444, "NA")</f>
        <v>-7.5577375707913913E-4</v>
      </c>
      <c r="J289" s="9"/>
      <c r="K289" s="7">
        <v>220.99</v>
      </c>
      <c r="L289" s="8">
        <f>IFERROR(K289/K444, "NA")</f>
        <v>9.9051474226043547E-4</v>
      </c>
      <c r="M289" s="9"/>
      <c r="N289" s="10">
        <f t="shared" si="73"/>
        <v>-41.149999999999977</v>
      </c>
      <c r="O289" s="8">
        <f>IFERROR(N289/N444, "NA")</f>
        <v>-1.0432858407983837E-3</v>
      </c>
      <c r="P289" s="9"/>
      <c r="Q289" s="7">
        <v>771.58</v>
      </c>
      <c r="R289" s="8">
        <f>IFERROR(Q289/Q444, "NA")</f>
        <v>1.3586441422421777E-3</v>
      </c>
      <c r="S289" s="9"/>
      <c r="T289" s="7">
        <v>741</v>
      </c>
      <c r="U289" s="8">
        <f>IFERROR(T289/T444, "NA")</f>
        <v>1.3687277335843319E-3</v>
      </c>
      <c r="V289" s="9"/>
      <c r="W289" s="10">
        <f t="shared" si="74"/>
        <v>-30.580000000000041</v>
      </c>
      <c r="X289" s="8">
        <f>IFERROR(W289/W444, "NA")</f>
        <v>-1.1528424843190068E-3</v>
      </c>
      <c r="Y289" s="9"/>
      <c r="Z289" s="7">
        <v>660.05</v>
      </c>
      <c r="AA289" s="8">
        <f>IFERROR(Z289/Z444, "NA")</f>
        <v>1.294388728281361E-3</v>
      </c>
      <c r="AB289" s="9"/>
      <c r="AC289" s="10">
        <f t="shared" si="75"/>
        <v>-111.53000000000009</v>
      </c>
      <c r="AD289" s="8">
        <f>IFERROR(AC289/AC444, "NA")</f>
        <v>-1.9238402148325621E-3</v>
      </c>
    </row>
    <row r="290" spans="1:30" ht="16.5" customHeight="1" x14ac:dyDescent="0.45">
      <c r="A290" s="6" t="s">
        <v>263</v>
      </c>
      <c r="B290" s="7">
        <v>64.63</v>
      </c>
      <c r="C290" s="8">
        <f>IFERROR(B290/B444, "NA")</f>
        <v>2.4616365765906244E-4</v>
      </c>
      <c r="D290" s="9"/>
      <c r="E290" s="7">
        <v>1212.58</v>
      </c>
      <c r="F290" s="8">
        <f>IFERROR(E290/E444, "NA")</f>
        <v>4.999990516107649E-3</v>
      </c>
      <c r="G290" s="9"/>
      <c r="H290" s="10">
        <f t="shared" si="72"/>
        <v>1147.9499999999998</v>
      </c>
      <c r="I290" s="8">
        <f>IFERROR(H290/H444, "NA")</f>
        <v>5.730452341076607E-2</v>
      </c>
      <c r="J290" s="9"/>
      <c r="K290" s="7">
        <v>338.75</v>
      </c>
      <c r="L290" s="8">
        <f>IFERROR(K290/K444, "NA")</f>
        <v>1.5183350782421038E-3</v>
      </c>
      <c r="M290" s="9"/>
      <c r="N290" s="10">
        <f t="shared" si="73"/>
        <v>274.12</v>
      </c>
      <c r="O290" s="8">
        <f>IFERROR(N290/N444, "NA")</f>
        <v>6.9498302473791768E-3</v>
      </c>
      <c r="P290" s="9"/>
      <c r="Q290" s="7">
        <v>1453.04</v>
      </c>
      <c r="R290" s="8">
        <f>IFERROR(Q290/Q444, "NA")</f>
        <v>2.5585996065781561E-3</v>
      </c>
      <c r="S290" s="9"/>
      <c r="T290" s="7">
        <v>3005.76</v>
      </c>
      <c r="U290" s="8">
        <f>IFERROR(T290/T444, "NA")</f>
        <v>5.5520473313069394E-3</v>
      </c>
      <c r="V290" s="9"/>
      <c r="W290" s="10">
        <f t="shared" si="74"/>
        <v>1552.7200000000003</v>
      </c>
      <c r="X290" s="8">
        <f>IFERROR(W290/W444, "NA")</f>
        <v>5.8536349975533232E-2</v>
      </c>
      <c r="Y290" s="9"/>
      <c r="Z290" s="7">
        <v>5173.18</v>
      </c>
      <c r="AA290" s="8">
        <f>IFERROR(Z290/Z444, "NA")</f>
        <v>1.0144846422802171E-2</v>
      </c>
      <c r="AB290" s="9"/>
      <c r="AC290" s="10">
        <f t="shared" si="75"/>
        <v>3720.1400000000003</v>
      </c>
      <c r="AD290" s="8">
        <f>IFERROR(AC290/AC444, "NA")</f>
        <v>6.4170671001588825E-2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1212.58</v>
      </c>
      <c r="F291" s="8">
        <f>IFERROR(E291/E444, "NA")</f>
        <v>4.999990516107649E-3</v>
      </c>
      <c r="G291" s="9"/>
      <c r="H291" s="10">
        <f t="shared" si="72"/>
        <v>1212.58</v>
      </c>
      <c r="I291" s="8">
        <f>IFERROR(H291/H444, "NA")</f>
        <v>6.0530788795179868E-2</v>
      </c>
      <c r="J291" s="9"/>
      <c r="K291" s="7">
        <v>1368.1</v>
      </c>
      <c r="L291" s="8">
        <f>IFERROR(K291/K444, "NA")</f>
        <v>6.1320567396103967E-3</v>
      </c>
      <c r="M291" s="9"/>
      <c r="N291" s="10">
        <f t="shared" si="73"/>
        <v>1368.1</v>
      </c>
      <c r="O291" s="8">
        <f>IFERROR(N291/N444, "NA")</f>
        <v>3.4685768135996831E-2</v>
      </c>
      <c r="P291" s="9"/>
      <c r="Q291" s="7">
        <v>3829.47</v>
      </c>
      <c r="R291" s="8">
        <f>IFERROR(Q291/Q444, "NA")</f>
        <v>6.7431594693902796E-3</v>
      </c>
      <c r="S291" s="9"/>
      <c r="T291" s="7">
        <v>2706.89</v>
      </c>
      <c r="U291" s="8">
        <f>IFERROR(T291/T444, "NA")</f>
        <v>4.9999938120945915E-3</v>
      </c>
      <c r="V291" s="9"/>
      <c r="W291" s="10">
        <f t="shared" si="74"/>
        <v>-1122.58</v>
      </c>
      <c r="X291" s="8">
        <f>IFERROR(W291/W444, "NA")</f>
        <v>-4.2320402748424753E-2</v>
      </c>
      <c r="Y291" s="9"/>
      <c r="Z291" s="7">
        <v>6213.2</v>
      </c>
      <c r="AA291" s="8">
        <f>IFERROR(Z291/Z444, "NA")</f>
        <v>1.218437398160405E-2</v>
      </c>
      <c r="AB291" s="9"/>
      <c r="AC291" s="10">
        <f t="shared" si="75"/>
        <v>2383.73</v>
      </c>
      <c r="AD291" s="8">
        <f>IFERROR(AC291/AC444, "NA")</f>
        <v>4.1118225009439791E-2</v>
      </c>
    </row>
    <row r="292" spans="1:30" ht="16.5" customHeight="1" x14ac:dyDescent="0.45">
      <c r="A292" s="6" t="s">
        <v>265</v>
      </c>
      <c r="B292" s="7">
        <v>409.28</v>
      </c>
      <c r="C292" s="8">
        <f>IFERROR(B292/B444, "NA")</f>
        <v>1.5588714498948025E-3</v>
      </c>
      <c r="D292" s="9"/>
      <c r="E292" s="7">
        <v>242.52</v>
      </c>
      <c r="F292" s="8">
        <f>IFERROR(E292/E444, "NA")</f>
        <v>1.0000145969473579E-3</v>
      </c>
      <c r="G292" s="9"/>
      <c r="H292" s="10">
        <f t="shared" si="72"/>
        <v>-166.75999999999996</v>
      </c>
      <c r="I292" s="8">
        <f>IFERROR(H292/H444, "NA")</f>
        <v>-8.3244935092811959E-3</v>
      </c>
      <c r="J292" s="9"/>
      <c r="K292" s="7">
        <v>681.63</v>
      </c>
      <c r="L292" s="8">
        <f>IFERROR(K292/K444, "NA")</f>
        <v>3.0551815184713363E-3</v>
      </c>
      <c r="M292" s="9"/>
      <c r="N292" s="10">
        <f t="shared" si="73"/>
        <v>272.35000000000002</v>
      </c>
      <c r="O292" s="8">
        <f>IFERROR(N292/N444, "NA")</f>
        <v>6.9049550119426491E-3</v>
      </c>
      <c r="P292" s="9"/>
      <c r="Q292" s="7">
        <v>804.07</v>
      </c>
      <c r="R292" s="8">
        <f>IFERROR(Q292/Q444, "NA")</f>
        <v>1.415854474523274E-3</v>
      </c>
      <c r="S292" s="9"/>
      <c r="T292" s="7">
        <v>541.38</v>
      </c>
      <c r="U292" s="8">
        <f>IFERROR(T292/T444, "NA")</f>
        <v>1.0000024566908037E-3</v>
      </c>
      <c r="V292" s="9"/>
      <c r="W292" s="10">
        <f t="shared" si="74"/>
        <v>-262.69000000000005</v>
      </c>
      <c r="X292" s="8">
        <f>IFERROR(W292/W444, "NA")</f>
        <v>-9.9032109943021432E-3</v>
      </c>
      <c r="Y292" s="9"/>
      <c r="Z292" s="7">
        <v>681.63</v>
      </c>
      <c r="AA292" s="8">
        <f>IFERROR(Z292/Z444, "NA")</f>
        <v>1.3367081112922116E-3</v>
      </c>
      <c r="AB292" s="9"/>
      <c r="AC292" s="10">
        <f t="shared" si="75"/>
        <v>-122.44000000000005</v>
      </c>
      <c r="AD292" s="8">
        <f>IFERROR(AC292/AC444, "NA")</f>
        <v>-2.1120326002340073E-3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363.77</v>
      </c>
      <c r="F293" s="8">
        <f>IFERROR(E293/E444, "NA")</f>
        <v>1.4999806611064668E-3</v>
      </c>
      <c r="G293" s="9"/>
      <c r="H293" s="10">
        <f t="shared" si="72"/>
        <v>363.77</v>
      </c>
      <c r="I293" s="8">
        <f>IFERROR(H293/H444, "NA")</f>
        <v>1.8159036962528314E-2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812.06</v>
      </c>
      <c r="U293" s="8">
        <f>IFERROR(T293/T444, "NA")</f>
        <v>1.499985213676778E-3</v>
      </c>
      <c r="V293" s="9"/>
      <c r="W293" s="10">
        <f t="shared" si="74"/>
        <v>812.06</v>
      </c>
      <c r="X293" s="8">
        <f>IFERROR(W293/W444, "NA")</f>
        <v>3.0614037534862373E-2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1.1426061528878565E-3</v>
      </c>
      <c r="D294" s="9"/>
      <c r="E294" s="7">
        <v>311</v>
      </c>
      <c r="F294" s="8">
        <f>IFERROR(E294/E444, "NA")</f>
        <v>1.2823871831215085E-3</v>
      </c>
      <c r="G294" s="9"/>
      <c r="H294" s="10">
        <f t="shared" si="72"/>
        <v>11.009999999999991</v>
      </c>
      <c r="I294" s="8">
        <f>IFERROR(H294/H444, "NA")</f>
        <v>5.4960826059718114E-4</v>
      </c>
      <c r="J294" s="9"/>
      <c r="K294" s="7">
        <v>538.98</v>
      </c>
      <c r="L294" s="8">
        <f>IFERROR(K294/K444, "NA")</f>
        <v>2.4157999718699011E-3</v>
      </c>
      <c r="M294" s="9"/>
      <c r="N294" s="10">
        <f t="shared" si="73"/>
        <v>238.99</v>
      </c>
      <c r="O294" s="8">
        <f>IFERROR(N294/N444, "NA")</f>
        <v>6.0591709135457078E-3</v>
      </c>
      <c r="P294" s="9"/>
      <c r="Q294" s="7">
        <v>899.98</v>
      </c>
      <c r="R294" s="8">
        <f>IFERROR(Q294/Q444, "NA")</f>
        <v>1.5847385302044054E-3</v>
      </c>
      <c r="S294" s="9"/>
      <c r="T294" s="7">
        <v>933</v>
      </c>
      <c r="U294" s="8">
        <f>IFERROR(T294/T444, "NA")</f>
        <v>1.7233778345940374E-3</v>
      </c>
      <c r="V294" s="9"/>
      <c r="W294" s="10">
        <f t="shared" si="74"/>
        <v>33.019999999999982</v>
      </c>
      <c r="X294" s="8">
        <f>IFERROR(W294/W444, "NA")</f>
        <v>1.244828607986054E-3</v>
      </c>
      <c r="Y294" s="9"/>
      <c r="Z294" s="7">
        <v>1188.99</v>
      </c>
      <c r="AA294" s="8">
        <f>IFERROR(Z294/Z444, "NA")</f>
        <v>2.3316646527373011E-3</v>
      </c>
      <c r="AB294" s="9"/>
      <c r="AC294" s="10">
        <f t="shared" si="75"/>
        <v>289.01</v>
      </c>
      <c r="AD294" s="8">
        <f>IFERROR(AC294/AC444, "NA")</f>
        <v>4.9852870123622195E-3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1181.79</v>
      </c>
      <c r="C295" s="15">
        <f>IFERROR(B295/B444, "NA")</f>
        <v>4.5012184586864217E-3</v>
      </c>
      <c r="D295" s="2"/>
      <c r="E295" s="14">
        <f>IFERROR(E286+E287+E288+E289+E290+E291+E292+E293+E294, "NA")</f>
        <v>3735.45</v>
      </c>
      <c r="F295" s="15">
        <f>IFERROR(E295/E444, "NA")</f>
        <v>1.5402872035984691E-2</v>
      </c>
      <c r="G295" s="2"/>
      <c r="H295" s="14">
        <f t="shared" si="72"/>
        <v>2553.66</v>
      </c>
      <c r="I295" s="15">
        <f>IFERROR(H295/H444, "NA")</f>
        <v>0.12747616991431412</v>
      </c>
      <c r="J295" s="2"/>
      <c r="K295" s="14">
        <f>IFERROR(K286+K287+K288+K289+K290+K291+K292+K293+K294, "NA")</f>
        <v>3293.1</v>
      </c>
      <c r="L295" s="15">
        <f>IFERROR(K295/K444, "NA")</f>
        <v>1.4760233937000948E-2</v>
      </c>
      <c r="M295" s="2"/>
      <c r="N295" s="14">
        <f t="shared" si="73"/>
        <v>2111.31</v>
      </c>
      <c r="O295" s="15">
        <f>IFERROR(N295/N444, "NA")</f>
        <v>5.3528549903670397E-2</v>
      </c>
      <c r="P295" s="2"/>
      <c r="Q295" s="14">
        <f>IFERROR(Q286+Q287+Q288+Q289+Q290+Q291+Q292+Q293+Q294, "NA")</f>
        <v>8195.39</v>
      </c>
      <c r="R295" s="15">
        <f>IFERROR(Q295/Q444, "NA")</f>
        <v>1.4430932135216205E-2</v>
      </c>
      <c r="S295" s="2"/>
      <c r="T295" s="14">
        <f>IFERROR(T286+T287+T288+T289+T290+T291+T292+T293+T294, "NA")</f>
        <v>9178.09</v>
      </c>
      <c r="U295" s="15">
        <f>IFERROR(T295/T444, "NA")</f>
        <v>1.6953179924875873E-2</v>
      </c>
      <c r="V295" s="2"/>
      <c r="W295" s="14">
        <f t="shared" si="74"/>
        <v>982.70000000000073</v>
      </c>
      <c r="X295" s="15">
        <f>IFERROR(W295/W444, "NA")</f>
        <v>3.7047034314594093E-2</v>
      </c>
      <c r="Y295" s="2"/>
      <c r="Z295" s="14">
        <f>IFERROR(Z286+Z287+Z288+Z289+Z290+Z291+Z292+Z293+Z294, "NA")</f>
        <v>14351</v>
      </c>
      <c r="AA295" s="15">
        <f>IFERROR(Z295/Z444, "NA")</f>
        <v>2.8142978016159101E-2</v>
      </c>
      <c r="AB295" s="2"/>
      <c r="AC295" s="14">
        <f t="shared" si="75"/>
        <v>6155.6100000000006</v>
      </c>
      <c r="AD295" s="15">
        <f>IFERROR(AC295/AC444, "NA")</f>
        <v>0.10618138675536141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525.57000000000005</v>
      </c>
      <c r="C299" s="8">
        <f>IFERROR(B299/B444, "NA")</f>
        <v>2.0017984458590979E-3</v>
      </c>
      <c r="D299" s="9"/>
      <c r="E299" s="7">
        <v>517</v>
      </c>
      <c r="F299" s="8">
        <f>IFERROR(E299/E444, "NA")</f>
        <v>2.131814063259871E-3</v>
      </c>
      <c r="G299" s="9"/>
      <c r="H299" s="10">
        <f t="shared" si="76"/>
        <v>-8.57000000000005</v>
      </c>
      <c r="I299" s="8">
        <f>IFERROR(H299/H444, "NA")</f>
        <v>-4.2780588495166882E-4</v>
      </c>
      <c r="J299" s="9"/>
      <c r="K299" s="7">
        <v>613.4</v>
      </c>
      <c r="L299" s="8">
        <f>IFERROR(K299/K444, "NA")</f>
        <v>2.7493630612360335E-3</v>
      </c>
      <c r="M299" s="9"/>
      <c r="N299" s="10">
        <f t="shared" si="77"/>
        <v>87.829999999999927</v>
      </c>
      <c r="O299" s="8">
        <f>IFERROR(N299/N444, "NA")</f>
        <v>2.2267751007854684E-3</v>
      </c>
      <c r="P299" s="9"/>
      <c r="Q299" s="7">
        <v>1576.71</v>
      </c>
      <c r="R299" s="8">
        <f>IFERROR(Q299/Q444, "NA")</f>
        <v>2.7763651280679437E-3</v>
      </c>
      <c r="S299" s="9"/>
      <c r="T299" s="7">
        <v>1551</v>
      </c>
      <c r="U299" s="8">
        <f>IFERROR(T299/T444, "NA")</f>
        <v>2.8649078472190266E-3</v>
      </c>
      <c r="V299" s="9"/>
      <c r="W299" s="10">
        <f t="shared" si="78"/>
        <v>-25.710000000000036</v>
      </c>
      <c r="X299" s="8">
        <f>IFERROR(W299/W444, "NA")</f>
        <v>-9.6924722929501853E-4</v>
      </c>
      <c r="Y299" s="9"/>
      <c r="Z299" s="7">
        <v>2027.91</v>
      </c>
      <c r="AA299" s="8">
        <f>IFERROR(Z299/Z444, "NA")</f>
        <v>3.9768257646679121E-3</v>
      </c>
      <c r="AB299" s="9"/>
      <c r="AC299" s="10">
        <f t="shared" si="79"/>
        <v>451.20000000000005</v>
      </c>
      <c r="AD299" s="8">
        <f>IFERROR(AC299/AC444, "NA")</f>
        <v>7.7829884778306407E-3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460</v>
      </c>
      <c r="C304" s="8">
        <f>IFERROR(B304/B444, "NA")</f>
        <v>1.7520545029114766E-3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-460</v>
      </c>
      <c r="I304" s="8">
        <f>IFERROR(H304/H444, "NA")</f>
        <v>-2.2962742949564352E-2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-460</v>
      </c>
      <c r="O304" s="8">
        <f>IFERROR(N304/N444, "NA")</f>
        <v>-1.1662490565425438E-2</v>
      </c>
      <c r="P304" s="9"/>
      <c r="Q304" s="7">
        <v>460</v>
      </c>
      <c r="R304" s="8">
        <f>IFERROR(Q304/Q444, "NA")</f>
        <v>8.0999547089271587E-4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-460</v>
      </c>
      <c r="X304" s="8">
        <f>IFERROR(W304/W444, "NA")</f>
        <v>-1.734164626509949E-2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-460</v>
      </c>
      <c r="AD304" s="8">
        <f>IFERROR(AC304/AC444, "NA")</f>
        <v>-7.9347843523982584E-3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73.739999999999995</v>
      </c>
      <c r="C310" s="8">
        <f>IFERROR(B310/B444, "NA")</f>
        <v>2.8086195444498321E-4</v>
      </c>
      <c r="D310" s="9"/>
      <c r="E310" s="7">
        <v>55</v>
      </c>
      <c r="F310" s="8">
        <f>IFERROR(E310/E444, "NA")</f>
        <v>2.2678873013402885E-4</v>
      </c>
      <c r="G310" s="9"/>
      <c r="H310" s="10">
        <f t="shared" si="76"/>
        <v>-18.739999999999995</v>
      </c>
      <c r="I310" s="8">
        <f>IFERROR(H310/H444, "NA")</f>
        <v>-9.3548218016268659E-4</v>
      </c>
      <c r="J310" s="9"/>
      <c r="K310" s="7">
        <v>158.9</v>
      </c>
      <c r="L310" s="8">
        <f>IFERROR(K310/K444, "NA")</f>
        <v>7.1221680865732925E-4</v>
      </c>
      <c r="M310" s="9"/>
      <c r="N310" s="10">
        <f t="shared" si="77"/>
        <v>85.160000000000011</v>
      </c>
      <c r="O310" s="8">
        <f>IFERROR(N310/N444, "NA")</f>
        <v>2.1590819490252839E-3</v>
      </c>
      <c r="P310" s="9"/>
      <c r="Q310" s="7">
        <v>619.74</v>
      </c>
      <c r="R310" s="8">
        <f>IFERROR(Q310/Q444, "NA")</f>
        <v>1.091275202458808E-3</v>
      </c>
      <c r="S310" s="9"/>
      <c r="T310" s="7">
        <v>165</v>
      </c>
      <c r="U310" s="8">
        <f>IFERROR(T310/T444, "NA")</f>
        <v>3.0477743055521561E-4</v>
      </c>
      <c r="V310" s="9"/>
      <c r="W310" s="10">
        <f t="shared" si="78"/>
        <v>-454.74</v>
      </c>
      <c r="X310" s="8">
        <f>IFERROR(W310/W444, "NA")</f>
        <v>-1.7143348309981179E-2</v>
      </c>
      <c r="Y310" s="9"/>
      <c r="Z310" s="7">
        <v>158.9</v>
      </c>
      <c r="AA310" s="8">
        <f>IFERROR(Z310/Z444, "NA")</f>
        <v>3.1161028546914369E-4</v>
      </c>
      <c r="AB310" s="9"/>
      <c r="AC310" s="10">
        <f t="shared" si="79"/>
        <v>-460.84000000000003</v>
      </c>
      <c r="AD310" s="8">
        <f>IFERROR(AC310/AC444, "NA")</f>
        <v>-7.9492739586069869E-3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26.73</v>
      </c>
      <c r="AA311" s="8">
        <f>IFERROR(Z311/Z444, "NA")</f>
        <v>5.2418772376275715E-5</v>
      </c>
      <c r="AB311" s="9"/>
      <c r="AC311" s="10">
        <f t="shared" si="79"/>
        <v>26.73</v>
      </c>
      <c r="AD311" s="8">
        <f>IFERROR(AC311/AC444, "NA")</f>
        <v>4.6107996899914235E-4</v>
      </c>
    </row>
    <row r="312" spans="1:30" ht="16.5" customHeight="1" x14ac:dyDescent="0.45">
      <c r="A312" s="6" t="s">
        <v>284</v>
      </c>
      <c r="B312" s="7">
        <v>1251.83</v>
      </c>
      <c r="C312" s="8">
        <f>IFERROR(B312/B444, "NA")</f>
        <v>4.7679878008253778E-3</v>
      </c>
      <c r="D312" s="9"/>
      <c r="E312" s="7">
        <v>35</v>
      </c>
      <c r="F312" s="8">
        <f>IFERROR(E312/E444, "NA")</f>
        <v>1.4432010099438199E-4</v>
      </c>
      <c r="G312" s="9"/>
      <c r="H312" s="10">
        <f t="shared" si="76"/>
        <v>-1216.83</v>
      </c>
      <c r="I312" s="8">
        <f>IFERROR(H312/H444, "NA")</f>
        <v>-6.0742944572431283E-2</v>
      </c>
      <c r="J312" s="9"/>
      <c r="K312" s="7">
        <v>271.11</v>
      </c>
      <c r="L312" s="8">
        <f>IFERROR(K312/K444, "NA")</f>
        <v>1.2151611012906768E-3</v>
      </c>
      <c r="M312" s="9"/>
      <c r="N312" s="10">
        <f t="shared" si="77"/>
        <v>-980.71999999999991</v>
      </c>
      <c r="O312" s="8">
        <f>IFERROR(N312/N444, "NA")</f>
        <v>-2.4864429885487035E-2</v>
      </c>
      <c r="P312" s="9"/>
      <c r="Q312" s="7">
        <v>2060.37</v>
      </c>
      <c r="R312" s="8">
        <f>IFERROR(Q312/Q444, "NA")</f>
        <v>3.6280225399200543E-3</v>
      </c>
      <c r="S312" s="9"/>
      <c r="T312" s="7">
        <v>105</v>
      </c>
      <c r="U312" s="8">
        <f>IFERROR(T312/T444, "NA")</f>
        <v>1.9394927398968265E-4</v>
      </c>
      <c r="V312" s="9"/>
      <c r="W312" s="10">
        <f t="shared" si="78"/>
        <v>-1955.37</v>
      </c>
      <c r="X312" s="8">
        <f>IFERROR(W312/W444, "NA")</f>
        <v>-7.3715945342146927E-2</v>
      </c>
      <c r="Y312" s="9"/>
      <c r="Z312" s="7">
        <v>678.7</v>
      </c>
      <c r="AA312" s="8">
        <f>IFERROR(Z312/Z444, "NA")</f>
        <v>1.3309622451095522E-3</v>
      </c>
      <c r="AB312" s="9"/>
      <c r="AC312" s="10">
        <f t="shared" si="79"/>
        <v>-1381.6699999999998</v>
      </c>
      <c r="AD312" s="8">
        <f>IFERROR(AC312/AC444, "NA")</f>
        <v>-2.3833159774300221E-2</v>
      </c>
    </row>
    <row r="313" spans="1:30" ht="16.5" customHeight="1" x14ac:dyDescent="0.45">
      <c r="A313" s="6" t="s">
        <v>285</v>
      </c>
      <c r="B313" s="7">
        <v>478.95</v>
      </c>
      <c r="C313" s="8">
        <f>IFERROR(B313/B444, "NA")</f>
        <v>1.8242315308031559E-3</v>
      </c>
      <c r="D313" s="9"/>
      <c r="E313" s="7">
        <v>250</v>
      </c>
      <c r="F313" s="8">
        <f>IFERROR(E313/E444, "NA")</f>
        <v>1.0308578642455857E-3</v>
      </c>
      <c r="G313" s="9"/>
      <c r="H313" s="10">
        <f t="shared" si="76"/>
        <v>-228.95</v>
      </c>
      <c r="I313" s="8">
        <f>IFERROR(H313/H444, "NA")</f>
        <v>-1.1428956518049474E-2</v>
      </c>
      <c r="J313" s="9"/>
      <c r="K313" s="7">
        <v>200</v>
      </c>
      <c r="L313" s="8">
        <f>IFERROR(K313/K444, "NA")</f>
        <v>8.9643399453408332E-4</v>
      </c>
      <c r="M313" s="9"/>
      <c r="N313" s="10">
        <f t="shared" si="77"/>
        <v>-278.95</v>
      </c>
      <c r="O313" s="8">
        <f>IFERROR(N313/N444, "NA")</f>
        <v>-7.0722863983161436E-3</v>
      </c>
      <c r="P313" s="9"/>
      <c r="Q313" s="7">
        <v>1018.95</v>
      </c>
      <c r="R313" s="8">
        <f>IFERROR(Q313/Q444, "NA")</f>
        <v>1.7942280110133323E-3</v>
      </c>
      <c r="S313" s="9"/>
      <c r="T313" s="7">
        <v>750</v>
      </c>
      <c r="U313" s="8">
        <f>IFERROR(T313/T444, "NA")</f>
        <v>1.3853519570691619E-3</v>
      </c>
      <c r="V313" s="9"/>
      <c r="W313" s="10">
        <f t="shared" si="78"/>
        <v>-268.95000000000005</v>
      </c>
      <c r="X313" s="8">
        <f>IFERROR(W313/W444, "NA")</f>
        <v>-1.0139208180431541E-2</v>
      </c>
      <c r="Y313" s="9"/>
      <c r="Z313" s="7">
        <v>696</v>
      </c>
      <c r="AA313" s="8">
        <f>IFERROR(Z313/Z444, "NA")</f>
        <v>1.3648883491914664E-3</v>
      </c>
      <c r="AB313" s="9"/>
      <c r="AC313" s="10">
        <f t="shared" si="79"/>
        <v>-322.95000000000005</v>
      </c>
      <c r="AD313" s="8">
        <f>IFERROR(AC313/AC444, "NA")</f>
        <v>-5.5707361013196044E-3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294</v>
      </c>
      <c r="C316" s="8">
        <f>IFERROR(B316/B444, "NA")</f>
        <v>1.1197913562086394E-3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-294</v>
      </c>
      <c r="I316" s="8">
        <f>IFERROR(H316/H444, "NA")</f>
        <v>-1.4676187885156346E-2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-294</v>
      </c>
      <c r="O316" s="8">
        <f>IFERROR(N316/N444, "NA")</f>
        <v>-7.4538526657284328E-3</v>
      </c>
      <c r="P316" s="9"/>
      <c r="Q316" s="7">
        <v>294</v>
      </c>
      <c r="R316" s="8">
        <f>IFERROR(Q316/Q444, "NA")</f>
        <v>5.176927574836054E-4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-1.108357391725924E-2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-5.0713621730545397E-3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323.94</v>
      </c>
      <c r="C319" s="8">
        <f>IFERROR(B319/B444, "NA")</f>
        <v>1.2338272514633561E-3</v>
      </c>
      <c r="D319" s="9"/>
      <c r="E319" s="7">
        <v>314</v>
      </c>
      <c r="F319" s="8">
        <f>IFERROR(E319/E444, "NA")</f>
        <v>1.2947574774924556E-3</v>
      </c>
      <c r="G319" s="9"/>
      <c r="H319" s="10">
        <f t="shared" si="76"/>
        <v>-9.9399999999999977</v>
      </c>
      <c r="I319" s="8">
        <f>IFERROR(H319/H444, "NA")</f>
        <v>-4.9619492373623826E-4</v>
      </c>
      <c r="J319" s="9"/>
      <c r="K319" s="7">
        <v>315.81</v>
      </c>
      <c r="L319" s="8">
        <f>IFERROR(K319/K444, "NA")</f>
        <v>1.4155140990690443E-3</v>
      </c>
      <c r="M319" s="9"/>
      <c r="N319" s="10">
        <f t="shared" si="77"/>
        <v>-8.1299999999999955</v>
      </c>
      <c r="O319" s="8">
        <f>IFERROR(N319/N444, "NA")</f>
        <v>-2.0612184412371472E-4</v>
      </c>
      <c r="P319" s="9"/>
      <c r="Q319" s="7">
        <v>971.82</v>
      </c>
      <c r="R319" s="8">
        <f>IFERROR(Q319/Q444, "NA")</f>
        <v>1.7112386924412156E-3</v>
      </c>
      <c r="S319" s="9"/>
      <c r="T319" s="7">
        <v>942</v>
      </c>
      <c r="U319" s="8">
        <f>IFERROR(T319/T444, "NA")</f>
        <v>1.7400020580788673E-3</v>
      </c>
      <c r="V319" s="9"/>
      <c r="W319" s="10">
        <f t="shared" si="78"/>
        <v>-29.82000000000005</v>
      </c>
      <c r="X319" s="8">
        <f>IFERROR(W319/W444, "NA")</f>
        <v>-1.1241910687505819E-3</v>
      </c>
      <c r="Y319" s="9"/>
      <c r="Z319" s="7">
        <v>947.43</v>
      </c>
      <c r="AA319" s="8">
        <f>IFERROR(Z319/Z444, "NA")</f>
        <v>1.8579542653368835E-3</v>
      </c>
      <c r="AB319" s="9"/>
      <c r="AC319" s="10">
        <f t="shared" si="79"/>
        <v>-24.3900000000001</v>
      </c>
      <c r="AD319" s="8">
        <f>IFERROR(AC319/AC444, "NA")</f>
        <v>-4.207160659891181E-4</v>
      </c>
    </row>
    <row r="320" spans="1:30" ht="16.5" customHeight="1" x14ac:dyDescent="0.45">
      <c r="A320" s="6" t="s">
        <v>292</v>
      </c>
      <c r="B320" s="7">
        <v>1030.51</v>
      </c>
      <c r="C320" s="8">
        <f>IFERROR(B320/B444, "NA")</f>
        <v>3.9250210560767516E-3</v>
      </c>
      <c r="D320" s="9"/>
      <c r="E320" s="7">
        <v>1101</v>
      </c>
      <c r="F320" s="8">
        <f>IFERROR(E320/E444, "NA")</f>
        <v>4.5398980341375596E-3</v>
      </c>
      <c r="G320" s="9"/>
      <c r="H320" s="10">
        <f t="shared" si="76"/>
        <v>70.490000000000009</v>
      </c>
      <c r="I320" s="8">
        <f>IFERROR(H320/H444, "NA")</f>
        <v>3.518790761988677E-3</v>
      </c>
      <c r="J320" s="9"/>
      <c r="K320" s="7">
        <v>993.76</v>
      </c>
      <c r="L320" s="8">
        <f>IFERROR(K320/K444, "NA")</f>
        <v>4.4542012320409529E-3</v>
      </c>
      <c r="M320" s="9"/>
      <c r="N320" s="10">
        <f t="shared" si="77"/>
        <v>-36.75</v>
      </c>
      <c r="O320" s="8">
        <f>IFERROR(N320/N444, "NA")</f>
        <v>-9.3173158321605411E-4</v>
      </c>
      <c r="P320" s="9"/>
      <c r="Q320" s="7">
        <v>3242.05</v>
      </c>
      <c r="R320" s="8">
        <f>IFERROR(Q320/Q444, "NA")</f>
        <v>5.7087952530602819E-3</v>
      </c>
      <c r="S320" s="9"/>
      <c r="T320" s="7">
        <v>3303</v>
      </c>
      <c r="U320" s="8">
        <f>IFERROR(T320/T444, "NA")</f>
        <v>6.101090018932589E-3</v>
      </c>
      <c r="V320" s="9"/>
      <c r="W320" s="10">
        <f t="shared" si="78"/>
        <v>60.949999999999818</v>
      </c>
      <c r="X320" s="8">
        <f>IFERROR(W320/W444, "NA")</f>
        <v>2.2977681301256758E-3</v>
      </c>
      <c r="Y320" s="9"/>
      <c r="Z320" s="7">
        <v>2943.15</v>
      </c>
      <c r="AA320" s="8">
        <f>IFERROR(Z320/Z444, "NA")</f>
        <v>5.7716539438546904E-3</v>
      </c>
      <c r="AB320" s="9"/>
      <c r="AC320" s="10">
        <f t="shared" si="79"/>
        <v>-298.90000000000009</v>
      </c>
      <c r="AD320" s="8">
        <f>IFERROR(AC320/AC444, "NA")</f>
        <v>-5.1558848759387836E-3</v>
      </c>
    </row>
    <row r="321" spans="1:30" ht="16.5" customHeight="1" x14ac:dyDescent="0.45">
      <c r="A321" s="6" t="s">
        <v>293</v>
      </c>
      <c r="B321" s="7">
        <v>1961.02</v>
      </c>
      <c r="C321" s="8">
        <f>IFERROR(B321/B444, "NA")</f>
        <v>7.4691606984770955E-3</v>
      </c>
      <c r="D321" s="9"/>
      <c r="E321" s="7">
        <v>2425.16</v>
      </c>
      <c r="F321" s="8">
        <f>IFERROR(E321/E444, "NA")</f>
        <v>9.9999810322152979E-3</v>
      </c>
      <c r="G321" s="9"/>
      <c r="H321" s="10">
        <f t="shared" si="76"/>
        <v>464.13999999999987</v>
      </c>
      <c r="I321" s="8">
        <f>IFERROR(H321/H444, "NA")</f>
        <v>2.3169407636110424E-2</v>
      </c>
      <c r="J321" s="9"/>
      <c r="K321" s="7">
        <v>4576.1499999999996</v>
      </c>
      <c r="L321" s="8">
        <f>IFERROR(K321/K444, "NA")</f>
        <v>2.0511082120435727E-2</v>
      </c>
      <c r="M321" s="9"/>
      <c r="N321" s="10">
        <f t="shared" si="77"/>
        <v>2615.1299999999997</v>
      </c>
      <c r="O321" s="8">
        <f>IFERROR(N321/N444, "NA")</f>
        <v>6.6302019461654399E-2</v>
      </c>
      <c r="P321" s="9"/>
      <c r="Q321" s="7">
        <v>4277.5600000000004</v>
      </c>
      <c r="R321" s="8">
        <f>IFERROR(Q321/Q444, "NA")</f>
        <v>7.5321831010257525E-3</v>
      </c>
      <c r="S321" s="9"/>
      <c r="T321" s="7">
        <v>5271.61</v>
      </c>
      <c r="U321" s="8">
        <f>IFERROR(T321/T444, "NA")</f>
        <v>9.7373803072071524E-3</v>
      </c>
      <c r="V321" s="9"/>
      <c r="W321" s="10">
        <f t="shared" si="78"/>
        <v>994.04999999999927</v>
      </c>
      <c r="X321" s="8">
        <f>IFERROR(W321/W444, "NA")</f>
        <v>3.7474920586569864E-2</v>
      </c>
      <c r="Y321" s="9"/>
      <c r="Z321" s="7">
        <v>8798.1299999999992</v>
      </c>
      <c r="AA321" s="8">
        <f>IFERROR(Z321/Z444, "NA")</f>
        <v>1.7253541855850454E-2</v>
      </c>
      <c r="AB321" s="9"/>
      <c r="AC321" s="10">
        <f t="shared" si="79"/>
        <v>4520.5699999999988</v>
      </c>
      <c r="AD321" s="8">
        <f>IFERROR(AC321/AC444, "NA")</f>
        <v>7.7977713260697801E-2</v>
      </c>
    </row>
    <row r="322" spans="1:30" ht="16.5" customHeight="1" x14ac:dyDescent="0.45">
      <c r="A322" s="6" t="s">
        <v>294</v>
      </c>
      <c r="B322" s="7">
        <v>467.37</v>
      </c>
      <c r="C322" s="8">
        <f>IFERROR(B322/B444, "NA")</f>
        <v>1.780125463099428E-3</v>
      </c>
      <c r="D322" s="9"/>
      <c r="E322" s="7">
        <v>191</v>
      </c>
      <c r="F322" s="8">
        <f>IFERROR(E322/E444, "NA")</f>
        <v>7.8757540828362749E-4</v>
      </c>
      <c r="G322" s="9"/>
      <c r="H322" s="10">
        <f t="shared" si="76"/>
        <v>-276.37</v>
      </c>
      <c r="I322" s="8">
        <f>IFERROR(H322/H444, "NA")</f>
        <v>-1.3796115802111087E-2</v>
      </c>
      <c r="J322" s="9"/>
      <c r="K322" s="7">
        <v>224.6</v>
      </c>
      <c r="L322" s="8">
        <f>IFERROR(K322/K444, "NA")</f>
        <v>1.0066953758617757E-3</v>
      </c>
      <c r="M322" s="9"/>
      <c r="N322" s="10">
        <f t="shared" si="77"/>
        <v>-242.77</v>
      </c>
      <c r="O322" s="8">
        <f>IFERROR(N322/N444, "NA")</f>
        <v>-6.1550061621050735E-3</v>
      </c>
      <c r="P322" s="9"/>
      <c r="Q322" s="7">
        <v>879.32</v>
      </c>
      <c r="R322" s="8">
        <f>IFERROR(Q322/Q444, "NA")</f>
        <v>1.5483591684030064E-3</v>
      </c>
      <c r="S322" s="9"/>
      <c r="T322" s="7">
        <v>573</v>
      </c>
      <c r="U322" s="8">
        <f>IFERROR(T322/T444, "NA")</f>
        <v>1.0584088952008397E-3</v>
      </c>
      <c r="V322" s="9"/>
      <c r="W322" s="10">
        <f t="shared" si="78"/>
        <v>-306.32000000000005</v>
      </c>
      <c r="X322" s="8">
        <f>IFERROR(W322/W444, "NA")</f>
        <v>-1.154802844331582E-2</v>
      </c>
      <c r="Y322" s="9"/>
      <c r="Z322" s="7">
        <v>559.03</v>
      </c>
      <c r="AA322" s="8">
        <f>IFERROR(Z322/Z444, "NA")</f>
        <v>1.0962838130007262E-3</v>
      </c>
      <c r="AB322" s="9"/>
      <c r="AC322" s="10">
        <f t="shared" si="79"/>
        <v>-320.29000000000008</v>
      </c>
      <c r="AD322" s="8">
        <f>IFERROR(AC322/AC444, "NA")</f>
        <v>-5.524852348325302E-3</v>
      </c>
    </row>
    <row r="323" spans="1:30" ht="16.5" customHeight="1" x14ac:dyDescent="0.45">
      <c r="A323" s="6" t="s">
        <v>295</v>
      </c>
      <c r="B323" s="7">
        <v>3</v>
      </c>
      <c r="C323" s="8">
        <f>IFERROR(B323/B444, "NA")</f>
        <v>1.1426442410292239E-5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-3</v>
      </c>
      <c r="I323" s="8">
        <f>IFERROR(H323/H444, "NA")</f>
        <v>-1.4975701923628925E-4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-3</v>
      </c>
      <c r="O323" s="8">
        <f>IFERROR(N323/N444, "NA")</f>
        <v>-7.6059721078861563E-5</v>
      </c>
      <c r="P323" s="9"/>
      <c r="Q323" s="7">
        <v>3</v>
      </c>
      <c r="R323" s="8">
        <f>IFERROR(Q323/Q444, "NA")</f>
        <v>5.2825791579959732E-6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-3</v>
      </c>
      <c r="X323" s="8">
        <f>IFERROR(W323/W444, "NA")</f>
        <v>-1.1309769303325755E-4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-3</v>
      </c>
      <c r="AD323" s="8">
        <f>IFERROR(AC323/AC444, "NA")</f>
        <v>-5.174859360259734E-5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6869.9299999999994</v>
      </c>
      <c r="C324" s="15">
        <f>IFERROR(B324/B444, "NA")</f>
        <v>2.6166286502579652E-2</v>
      </c>
      <c r="D324" s="2"/>
      <c r="E324" s="14">
        <f>IFERROR(E297+E298+E299+E300+E301+E302+E303+E304+E305+E306+E307+E308+E309+E310+E311+E312+E313+E314+E315+E316+E317+E318+E319+E320+E321+E322+E323, "NA")</f>
        <v>4888.16</v>
      </c>
      <c r="F324" s="15">
        <f>IFERROR(E324/E444, "NA")</f>
        <v>2.0155992710762807E-2</v>
      </c>
      <c r="G324" s="2"/>
      <c r="H324" s="14">
        <f t="shared" si="76"/>
        <v>-1981.7699999999995</v>
      </c>
      <c r="I324" s="15">
        <f>IFERROR(H324/H444, "NA")</f>
        <v>-9.8927989337300293E-2</v>
      </c>
      <c r="J324" s="2"/>
      <c r="K324" s="14">
        <f>IFERROR(K297+K298+K299+K300+K301+K302+K303+K304+K305+K306+K307+K308+K309+K310+K311+K312+K313+K314+K315+K316+K317+K318+K319+K320+K321+K322+K323, "NA")</f>
        <v>7353.73</v>
      </c>
      <c r="L324" s="15">
        <f>IFERROR(K324/K444, "NA")</f>
        <v>3.296066779312562E-2</v>
      </c>
      <c r="M324" s="2"/>
      <c r="N324" s="14">
        <f t="shared" si="77"/>
        <v>483.80000000000018</v>
      </c>
      <c r="O324" s="15">
        <f>IFERROR(N324/N444, "NA")</f>
        <v>1.2265897685984413E-2</v>
      </c>
      <c r="P324" s="2"/>
      <c r="Q324" s="14">
        <f>IFERROR(Q297+Q298+Q299+Q300+Q301+Q302+Q303+Q304+Q305+Q306+Q307+Q308+Q309+Q310+Q311+Q312+Q313+Q314+Q315+Q316+Q317+Q318+Q319+Q320+Q321+Q322+Q323, "NA")</f>
        <v>15403.52</v>
      </c>
      <c r="R324" s="15">
        <f>IFERROR(Q324/Q444, "NA")</f>
        <v>2.712343790392471E-2</v>
      </c>
      <c r="S324" s="2"/>
      <c r="T324" s="14">
        <f>IFERROR(T297+T298+T299+T300+T301+T302+T303+T304+T305+T306+T307+T308+T309+T310+T311+T312+T313+T314+T315+T316+T317+T318+T319+T320+T321+T322+T323, "NA")</f>
        <v>12660.61</v>
      </c>
      <c r="U324" s="15">
        <f>IFERROR(T324/T444, "NA")</f>
        <v>2.3385867788252537E-2</v>
      </c>
      <c r="V324" s="2"/>
      <c r="W324" s="14">
        <f t="shared" si="78"/>
        <v>-2742.91</v>
      </c>
      <c r="X324" s="15">
        <f>IFERROR(W324/W444, "NA")</f>
        <v>-0.10340559773261748</v>
      </c>
      <c r="Y324" s="2"/>
      <c r="Z324" s="14">
        <f>IFERROR(Z297+Z298+Z299+Z300+Z301+Z302+Z303+Z304+Z305+Z306+Z307+Z308+Z309+Z310+Z311+Z312+Z313+Z314+Z315+Z316+Z317+Z318+Z319+Z320+Z321+Z322+Z323, "NA")</f>
        <v>16835.98</v>
      </c>
      <c r="AA324" s="15">
        <f>IFERROR(Z324/Z444, "NA")</f>
        <v>3.3016139294857104E-2</v>
      </c>
      <c r="AB324" s="2"/>
      <c r="AC324" s="14">
        <f t="shared" si="79"/>
        <v>1432.4599999999991</v>
      </c>
      <c r="AD324" s="15">
        <f>IFERROR(AC324/AC444, "NA")</f>
        <v>2.470926346399218E-2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72828.340000000011</v>
      </c>
      <c r="C325" s="15">
        <f>IFERROR(B325/B444, "NA")</f>
        <v>0.27738961094906095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56306.680000000008</v>
      </c>
      <c r="F325" s="15">
        <f>IFERROR(E325/E444, "NA")</f>
        <v>0.23217673555023857</v>
      </c>
      <c r="G325" s="2"/>
      <c r="H325" s="14">
        <f t="shared" si="76"/>
        <v>-16521.660000000003</v>
      </c>
      <c r="I325" s="15">
        <f>IFERROR(H325/H444, "NA")</f>
        <v>-0.82474485147847709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61915.56</v>
      </c>
      <c r="L325" s="15">
        <f>IFERROR(K325/K444, "NA")</f>
        <v>0.27751606387307354</v>
      </c>
      <c r="M325" s="2"/>
      <c r="N325" s="14">
        <f t="shared" si="77"/>
        <v>-10912.780000000013</v>
      </c>
      <c r="O325" s="15">
        <f>IFERROR(N325/N444, "NA")</f>
        <v>-0.27667433433165994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159333.51</v>
      </c>
      <c r="R325" s="15">
        <f>IFERROR(Q325/Q444, "NA")</f>
        <v>0.28056395969878101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129515.44999999998</v>
      </c>
      <c r="U325" s="15">
        <f>IFERROR(T325/T444, "NA")</f>
        <v>0.23923264283759088</v>
      </c>
      <c r="V325" s="2"/>
      <c r="W325" s="14">
        <f t="shared" si="78"/>
        <v>-29818.060000000027</v>
      </c>
      <c r="X325" s="15">
        <f>IFERROR(W325/W444, "NA")</f>
        <v>-1.1241179322424195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149768.87</v>
      </c>
      <c r="AA325" s="15">
        <f>IFERROR(Z325/Z444, "NA")</f>
        <v>0.29370371513587834</v>
      </c>
      <c r="AB325" s="2"/>
      <c r="AC325" s="14">
        <f t="shared" si="79"/>
        <v>-9564.640000000014</v>
      </c>
      <c r="AD325" s="15">
        <f>IFERROR(AC325/AC444, "NA")</f>
        <v>-0.16498555610504911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10440.49</v>
      </c>
      <c r="C329" s="8">
        <f>IFERROR(B329/B444, "NA")</f>
        <v>3.9765885906744007E-2</v>
      </c>
      <c r="D329" s="9"/>
      <c r="E329" s="7">
        <v>10440.49</v>
      </c>
      <c r="F329" s="8">
        <f>IFERROR(E329/E444, "NA")</f>
        <v>4.3050644892309579E-2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10136.4</v>
      </c>
      <c r="L329" s="8">
        <f>IFERROR(K329/K444, "NA")</f>
        <v>4.543306771097641E-2</v>
      </c>
      <c r="M329" s="9"/>
      <c r="N329" s="10">
        <f t="shared" si="81"/>
        <v>-304.09000000000015</v>
      </c>
      <c r="O329" s="8">
        <f>IFERROR(N329/N444, "NA")</f>
        <v>-7.7096668609570075E-3</v>
      </c>
      <c r="P329" s="9"/>
      <c r="Q329" s="7">
        <v>31321.47</v>
      </c>
      <c r="R329" s="8">
        <f>IFERROR(Q329/Q444, "NA")</f>
        <v>5.5152714873265375E-2</v>
      </c>
      <c r="S329" s="9"/>
      <c r="T329" s="7">
        <v>31321.47</v>
      </c>
      <c r="U329" s="8">
        <f>IFERROR(T329/T444, "NA")</f>
        <v>5.7855013017044057E-2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30409.200000000001</v>
      </c>
      <c r="AA329" s="8">
        <f>IFERROR(Z329/Z444, "NA")</f>
        <v>5.9633854580794746E-2</v>
      </c>
      <c r="AB329" s="9"/>
      <c r="AC329" s="10">
        <f t="shared" si="83"/>
        <v>-912.27000000000044</v>
      </c>
      <c r="AD329" s="8">
        <f>IFERROR(AC329/AC444, "NA")</f>
        <v>-1.5736229828613835E-2</v>
      </c>
    </row>
    <row r="330" spans="1:30" ht="16.5" customHeight="1" x14ac:dyDescent="0.45">
      <c r="A330" s="6" t="s">
        <v>301</v>
      </c>
      <c r="B330" s="7">
        <v>419.22</v>
      </c>
      <c r="C330" s="8">
        <f>IFERROR(B330/B444, "NA")</f>
        <v>1.5967310624142377E-3</v>
      </c>
      <c r="D330" s="9"/>
      <c r="E330" s="7">
        <v>728.65</v>
      </c>
      <c r="F330" s="8">
        <f>IFERROR(E330/E444, "NA")</f>
        <v>3.0045383311301838E-3</v>
      </c>
      <c r="G330" s="9"/>
      <c r="H330" s="10">
        <f t="shared" si="80"/>
        <v>309.42999999999995</v>
      </c>
      <c r="I330" s="8">
        <f>IFERROR(H330/H444, "NA")</f>
        <v>1.5446438154094992E-2</v>
      </c>
      <c r="J330" s="9"/>
      <c r="K330" s="7">
        <v>728.65</v>
      </c>
      <c r="L330" s="8">
        <f>IFERROR(K330/K444, "NA")</f>
        <v>3.265933150586299E-3</v>
      </c>
      <c r="M330" s="9"/>
      <c r="N330" s="10">
        <f t="shared" si="81"/>
        <v>309.42999999999995</v>
      </c>
      <c r="O330" s="8">
        <f>IFERROR(N330/N444, "NA")</f>
        <v>7.8450531644773756E-3</v>
      </c>
      <c r="P330" s="9"/>
      <c r="Q330" s="7">
        <v>1876.52</v>
      </c>
      <c r="R330" s="8">
        <f>IFERROR(Q330/Q444, "NA")</f>
        <v>3.3042884805208677E-3</v>
      </c>
      <c r="S330" s="9"/>
      <c r="T330" s="7">
        <v>2185.9499999999998</v>
      </c>
      <c r="U330" s="8">
        <f>IFERROR(T330/T444, "NA")</f>
        <v>4.0377468140737789E-3</v>
      </c>
      <c r="V330" s="9"/>
      <c r="W330" s="10">
        <f t="shared" si="82"/>
        <v>309.42999999999984</v>
      </c>
      <c r="X330" s="8">
        <f>IFERROR(W330/W444, "NA")</f>
        <v>1.1665273051760287E-2</v>
      </c>
      <c r="Y330" s="9"/>
      <c r="Z330" s="7">
        <v>2185.9499999999998</v>
      </c>
      <c r="AA330" s="8">
        <f>IFERROR(Z330/Z444, "NA")</f>
        <v>4.2867495501653528E-3</v>
      </c>
      <c r="AB330" s="9"/>
      <c r="AC330" s="10">
        <f t="shared" si="83"/>
        <v>309.42999999999984</v>
      </c>
      <c r="AD330" s="8">
        <f>IFERROR(AC330/AC444, "NA")</f>
        <v>5.3375224394838954E-3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1364.78</v>
      </c>
      <c r="C332" s="8">
        <f>IFERROR(B332/B444, "NA")</f>
        <v>5.1981933575728804E-3</v>
      </c>
      <c r="D332" s="9"/>
      <c r="E332" s="7">
        <v>133</v>
      </c>
      <c r="F332" s="8">
        <f>IFERROR(E332/E444, "NA")</f>
        <v>5.4841638377865157E-4</v>
      </c>
      <c r="G332" s="9"/>
      <c r="H332" s="10">
        <f t="shared" si="80"/>
        <v>-1231.78</v>
      </c>
      <c r="I332" s="8">
        <f>IFERROR(H332/H444, "NA")</f>
        <v>-6.1489233718292124E-2</v>
      </c>
      <c r="J332" s="9"/>
      <c r="K332" s="7">
        <v>15.16</v>
      </c>
      <c r="L332" s="8">
        <f>IFERROR(K332/K444, "NA")</f>
        <v>6.7949696785683523E-5</v>
      </c>
      <c r="M332" s="9"/>
      <c r="N332" s="10">
        <f t="shared" si="81"/>
        <v>-1349.62</v>
      </c>
      <c r="O332" s="8">
        <f>IFERROR(N332/N444, "NA")</f>
        <v>-3.4217240254151043E-2</v>
      </c>
      <c r="P332" s="9"/>
      <c r="Q332" s="7">
        <v>1395.1</v>
      </c>
      <c r="R332" s="8">
        <f>IFERROR(Q332/Q444, "NA")</f>
        <v>2.4565753944400604E-3</v>
      </c>
      <c r="S332" s="9"/>
      <c r="T332" s="7">
        <v>399</v>
      </c>
      <c r="U332" s="8">
        <f>IFERROR(T332/T444, "NA")</f>
        <v>7.3700724116079405E-4</v>
      </c>
      <c r="V332" s="9"/>
      <c r="W332" s="10">
        <f t="shared" si="82"/>
        <v>-996.09999999999991</v>
      </c>
      <c r="X332" s="8">
        <f>IFERROR(W332/W444, "NA")</f>
        <v>-3.7552204010142608E-2</v>
      </c>
      <c r="Y332" s="9"/>
      <c r="Z332" s="7">
        <v>45.48</v>
      </c>
      <c r="AA332" s="8">
        <f>IFERROR(Z332/Z444, "NA")</f>
        <v>8.9188393852338913E-5</v>
      </c>
      <c r="AB332" s="9"/>
      <c r="AC332" s="10">
        <f t="shared" si="83"/>
        <v>-1349.62</v>
      </c>
      <c r="AD332" s="8">
        <f>IFERROR(AC332/AC444, "NA")</f>
        <v>-2.3280312299312472E-2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3.6722300618197198E-3</v>
      </c>
      <c r="D333" s="9"/>
      <c r="E333" s="7">
        <v>964</v>
      </c>
      <c r="F333" s="8">
        <f>IFERROR(E333/E444, "NA")</f>
        <v>3.974987924530978E-3</v>
      </c>
      <c r="G333" s="9"/>
      <c r="H333" s="10">
        <f t="shared" si="80"/>
        <v>-0.13999999999998636</v>
      </c>
      <c r="I333" s="8">
        <f>IFERROR(H333/H444, "NA")</f>
        <v>-6.9886608976928175E-6</v>
      </c>
      <c r="J333" s="9"/>
      <c r="K333" s="7">
        <v>964.14</v>
      </c>
      <c r="L333" s="8">
        <f>IFERROR(K333/K444, "NA")</f>
        <v>4.3214393574504554E-3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2892.42</v>
      </c>
      <c r="R333" s="8">
        <f>IFERROR(Q333/Q444, "NA")</f>
        <v>5.0931458693902372E-3</v>
      </c>
      <c r="S333" s="9"/>
      <c r="T333" s="7">
        <v>2892</v>
      </c>
      <c r="U333" s="8">
        <f>IFERROR(T333/T444, "NA")</f>
        <v>5.3419171464586879E-3</v>
      </c>
      <c r="V333" s="9"/>
      <c r="W333" s="10">
        <f t="shared" si="82"/>
        <v>-0.42000000000007276</v>
      </c>
      <c r="X333" s="8">
        <f>IFERROR(W333/W444, "NA")</f>
        <v>-1.58336770246588E-5</v>
      </c>
      <c r="Y333" s="9"/>
      <c r="Z333" s="7">
        <v>2892.42</v>
      </c>
      <c r="AA333" s="8">
        <f>IFERROR(Z333/Z444, "NA")</f>
        <v>5.6721700559890535E-3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1607.84</v>
      </c>
      <c r="C334" s="8">
        <f>IFERROR(B334/B444, "NA")</f>
        <v>6.1239637216547581E-3</v>
      </c>
      <c r="D334" s="9"/>
      <c r="E334" s="7">
        <v>1607.84</v>
      </c>
      <c r="F334" s="8">
        <f>IFERROR(E334/E444, "NA")</f>
        <v>6.6298180337944898E-3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1561</v>
      </c>
      <c r="L334" s="8">
        <f>IFERROR(K334/K444, "NA")</f>
        <v>6.9966673273385207E-3</v>
      </c>
      <c r="M334" s="9"/>
      <c r="N334" s="10">
        <f t="shared" si="81"/>
        <v>-46.839999999999918</v>
      </c>
      <c r="O334" s="8">
        <f>IFERROR(N334/N444, "NA")</f>
        <v>-1.1875457784446231E-3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363.77</v>
      </c>
      <c r="F335" s="8">
        <f>IFERROR(E335/E444, "NA")</f>
        <v>1.4999806611064668E-3</v>
      </c>
      <c r="G335" s="9"/>
      <c r="H335" s="10">
        <f t="shared" si="80"/>
        <v>363.77</v>
      </c>
      <c r="I335" s="8">
        <f>IFERROR(H335/H444, "NA")</f>
        <v>1.8159036962528314E-2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812.06</v>
      </c>
      <c r="U335" s="8">
        <f>IFERROR(T335/T444, "NA")</f>
        <v>1.499985213676778E-3</v>
      </c>
      <c r="V335" s="9"/>
      <c r="W335" s="10">
        <f t="shared" si="82"/>
        <v>812.06</v>
      </c>
      <c r="X335" s="8">
        <f>IFERROR(W335/W444, "NA")</f>
        <v>3.0614037534862373E-2</v>
      </c>
      <c r="Y335" s="9"/>
      <c r="Z335" s="7">
        <v>3309.62</v>
      </c>
      <c r="AA335" s="8">
        <f>IFERROR(Z335/Z444, "NA")</f>
        <v>6.4903186469124439E-3</v>
      </c>
      <c r="AB335" s="9"/>
      <c r="AC335" s="10">
        <f t="shared" si="83"/>
        <v>3309.62</v>
      </c>
      <c r="AD335" s="8">
        <f>IFERROR(AC335/AC444, "NA")</f>
        <v>5.7089393453009403E-2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3471.72</v>
      </c>
      <c r="C338" s="8">
        <f>IFERROR(B338/B444, "NA")</f>
        <v>1.3223136214886591E-2</v>
      </c>
      <c r="D338" s="9"/>
      <c r="E338" s="7">
        <v>4850.33</v>
      </c>
      <c r="F338" s="8">
        <f>IFERROR(E338/E444, "NA")</f>
        <v>2.0000003298745166E-2</v>
      </c>
      <c r="G338" s="9"/>
      <c r="H338" s="10">
        <f t="shared" si="84"/>
        <v>1378.6100000000001</v>
      </c>
      <c r="I338" s="8">
        <f>IFERROR(H338/H444, "NA")</f>
        <v>6.8818841429780245E-2</v>
      </c>
      <c r="J338" s="9"/>
      <c r="K338" s="7">
        <v>3984.79</v>
      </c>
      <c r="L338" s="8">
        <f>IFERROR(K338/K444, "NA")</f>
        <v>1.7860506085397351E-2</v>
      </c>
      <c r="M338" s="9"/>
      <c r="N338" s="10">
        <f t="shared" si="85"/>
        <v>513.07000000000016</v>
      </c>
      <c r="O338" s="8">
        <f>IFERROR(N338/N444, "NA")</f>
        <v>1.3007987031310505E-2</v>
      </c>
      <c r="P338" s="9"/>
      <c r="Q338" s="7">
        <v>11531.33</v>
      </c>
      <c r="R338" s="8">
        <f>IFERROR(Q338/Q444, "NA")</f>
        <v>2.0305054507324567E-2</v>
      </c>
      <c r="S338" s="9"/>
      <c r="T338" s="7">
        <v>10827.57</v>
      </c>
      <c r="U338" s="8">
        <f>IFERROR(T338/T444, "NA")</f>
        <v>1.9999993719737791E-2</v>
      </c>
      <c r="V338" s="9"/>
      <c r="W338" s="10">
        <f t="shared" si="86"/>
        <v>-703.76000000000022</v>
      </c>
      <c r="X338" s="8">
        <f>IFERROR(W338/W444, "NA")</f>
        <v>-2.6531210816361787E-2</v>
      </c>
      <c r="Y338" s="9"/>
      <c r="Z338" s="7">
        <v>13691.89</v>
      </c>
      <c r="AA338" s="8">
        <f>IFERROR(Z338/Z444, "NA")</f>
        <v>2.6850432671567739E-2</v>
      </c>
      <c r="AB338" s="9"/>
      <c r="AC338" s="10">
        <f t="shared" si="87"/>
        <v>2160.5599999999995</v>
      </c>
      <c r="AD338" s="8">
        <f>IFERROR(AC338/AC444, "NA")</f>
        <v>3.7268647131342564E-2</v>
      </c>
    </row>
    <row r="339" spans="1:30" ht="16.5" customHeight="1" x14ac:dyDescent="0.45">
      <c r="A339" s="12" t="s">
        <v>309</v>
      </c>
      <c r="B339" s="7">
        <v>414.64</v>
      </c>
      <c r="C339" s="8">
        <f>IFERROR(B339/B444, "NA")</f>
        <v>1.579286693667858E-3</v>
      </c>
      <c r="D339" s="9"/>
      <c r="E339" s="7">
        <v>485.03</v>
      </c>
      <c r="F339" s="8">
        <f>IFERROR(E339/E444, "NA")</f>
        <v>1.9999879595801458E-3</v>
      </c>
      <c r="G339" s="9"/>
      <c r="H339" s="10">
        <f t="shared" si="84"/>
        <v>70.389999999999986</v>
      </c>
      <c r="I339" s="8">
        <f>IFERROR(H339/H444, "NA")</f>
        <v>3.5137988613474663E-3</v>
      </c>
      <c r="J339" s="9"/>
      <c r="K339" s="7">
        <v>306.98</v>
      </c>
      <c r="L339" s="8">
        <f>IFERROR(K339/K444, "NA")</f>
        <v>1.3759365382103646E-3</v>
      </c>
      <c r="M339" s="9"/>
      <c r="N339" s="10">
        <f t="shared" si="85"/>
        <v>-107.65999999999997</v>
      </c>
      <c r="O339" s="8">
        <f>IFERROR(N339/N444, "NA")</f>
        <v>-2.7295298571167444E-3</v>
      </c>
      <c r="P339" s="9"/>
      <c r="Q339" s="7">
        <v>1138.1099999999999</v>
      </c>
      <c r="R339" s="8">
        <f>IFERROR(Q339/Q444, "NA")</f>
        <v>2.004052055168932E-3</v>
      </c>
      <c r="S339" s="9"/>
      <c r="T339" s="7">
        <v>1082.76</v>
      </c>
      <c r="U339" s="8">
        <f>IFERROR(T339/T444, "NA")</f>
        <v>2.0000049133816074E-3</v>
      </c>
      <c r="V339" s="9"/>
      <c r="W339" s="10">
        <f t="shared" si="86"/>
        <v>-55.349999999999909</v>
      </c>
      <c r="X339" s="8">
        <f>IFERROR(W339/W444, "NA")</f>
        <v>-2.0866524364635984E-3</v>
      </c>
      <c r="Y339" s="9"/>
      <c r="Z339" s="7">
        <v>949.77</v>
      </c>
      <c r="AA339" s="8">
        <f>IFERROR(Z339/Z444, "NA")</f>
        <v>1.8625431140970963E-3</v>
      </c>
      <c r="AB339" s="9"/>
      <c r="AC339" s="10">
        <f t="shared" si="87"/>
        <v>-188.33999999999992</v>
      </c>
      <c r="AD339" s="8">
        <f>IFERROR(AC339/AC444, "NA")</f>
        <v>-3.2487767063710598E-3</v>
      </c>
    </row>
    <row r="340" spans="1:30" ht="16.5" customHeight="1" x14ac:dyDescent="0.45">
      <c r="A340" s="12" t="s">
        <v>310</v>
      </c>
      <c r="B340" s="7">
        <v>-258.2</v>
      </c>
      <c r="C340" s="8">
        <f>IFERROR(B340/B444, "NA")</f>
        <v>-9.8343581011248529E-4</v>
      </c>
      <c r="D340" s="9"/>
      <c r="E340" s="7">
        <v>970.07</v>
      </c>
      <c r="F340" s="8">
        <f>IFERROR(E340/E444, "NA")</f>
        <v>4.0000171534748611E-3</v>
      </c>
      <c r="G340" s="9"/>
      <c r="H340" s="10">
        <f t="shared" si="84"/>
        <v>1228.27</v>
      </c>
      <c r="I340" s="8">
        <f>IFERROR(H340/H444, "NA")</f>
        <v>6.1314018005785668E-2</v>
      </c>
      <c r="J340" s="9"/>
      <c r="K340" s="7">
        <v>537.78</v>
      </c>
      <c r="L340" s="8">
        <f>IFERROR(K340/K444, "NA")</f>
        <v>2.4104213679026964E-3</v>
      </c>
      <c r="M340" s="9"/>
      <c r="N340" s="10">
        <f t="shared" si="85"/>
        <v>795.98</v>
      </c>
      <c r="O340" s="8">
        <f>IFERROR(N340/N444, "NA")</f>
        <v>2.0180672261450743E-2</v>
      </c>
      <c r="P340" s="9"/>
      <c r="Q340" s="7">
        <v>1235.32</v>
      </c>
      <c r="R340" s="8">
        <f>IFERROR(Q340/Q444, "NA")</f>
        <v>2.175225228485195E-3</v>
      </c>
      <c r="S340" s="9"/>
      <c r="T340" s="7">
        <v>2165.52</v>
      </c>
      <c r="U340" s="8">
        <f>IFERROR(T340/T444, "NA")</f>
        <v>4.0000098267632149E-3</v>
      </c>
      <c r="V340" s="9"/>
      <c r="W340" s="10">
        <f t="shared" si="86"/>
        <v>930.2</v>
      </c>
      <c r="X340" s="8">
        <f>IFERROR(W340/W444, "NA")</f>
        <v>3.506782468651206E-2</v>
      </c>
      <c r="Y340" s="9"/>
      <c r="Z340" s="7">
        <v>1597.97</v>
      </c>
      <c r="AA340" s="8">
        <f>IFERROR(Z340/Z444, "NA")</f>
        <v>3.1336934416055858E-3</v>
      </c>
      <c r="AB340" s="9"/>
      <c r="AC340" s="10">
        <f t="shared" si="87"/>
        <v>362.65000000000009</v>
      </c>
      <c r="AD340" s="8">
        <f>IFERROR(AC340/AC444, "NA")</f>
        <v>6.255542489993977E-3</v>
      </c>
    </row>
    <row r="341" spans="1:30" ht="16.5" customHeight="1" x14ac:dyDescent="0.45">
      <c r="A341" s="12" t="s">
        <v>311</v>
      </c>
      <c r="B341" s="7">
        <v>395.63</v>
      </c>
      <c r="C341" s="8">
        <f>IFERROR(B341/B444, "NA")</f>
        <v>1.5068811369279729E-3</v>
      </c>
      <c r="D341" s="9"/>
      <c r="E341" s="7">
        <v>485.03</v>
      </c>
      <c r="F341" s="8">
        <f>IFERROR(E341/E444, "NA")</f>
        <v>1.9999879595801458E-3</v>
      </c>
      <c r="G341" s="9"/>
      <c r="H341" s="10">
        <f t="shared" si="84"/>
        <v>89.399999999999977</v>
      </c>
      <c r="I341" s="8">
        <f>IFERROR(H341/H444, "NA")</f>
        <v>4.4627591732414188E-3</v>
      </c>
      <c r="J341" s="9"/>
      <c r="K341" s="7">
        <v>380.17</v>
      </c>
      <c r="L341" s="8">
        <f>IFERROR(K341/K444, "NA")</f>
        <v>1.7039865585101125E-3</v>
      </c>
      <c r="M341" s="9"/>
      <c r="N341" s="10">
        <f t="shared" si="85"/>
        <v>-15.45999999999998</v>
      </c>
      <c r="O341" s="8">
        <f>IFERROR(N341/N444, "NA")</f>
        <v>-3.919610959597327E-4</v>
      </c>
      <c r="P341" s="9"/>
      <c r="Q341" s="7">
        <v>1155.97</v>
      </c>
      <c r="R341" s="8">
        <f>IFERROR(Q341/Q444, "NA")</f>
        <v>2.0355010097562018E-3</v>
      </c>
      <c r="S341" s="9"/>
      <c r="T341" s="7">
        <v>1082.76</v>
      </c>
      <c r="U341" s="8">
        <f>IFERROR(T341/T444, "NA")</f>
        <v>2.0000049133816074E-3</v>
      </c>
      <c r="V341" s="9"/>
      <c r="W341" s="10">
        <f t="shared" si="86"/>
        <v>-73.210000000000036</v>
      </c>
      <c r="X341" s="8">
        <f>IFERROR(W341/W444, "NA")</f>
        <v>-2.7599607023215964E-3</v>
      </c>
      <c r="Y341" s="9"/>
      <c r="Z341" s="7">
        <v>1140.51</v>
      </c>
      <c r="AA341" s="8">
        <f>IFERROR(Z341/Z444, "NA")</f>
        <v>2.2365931194487923E-3</v>
      </c>
      <c r="AB341" s="9"/>
      <c r="AC341" s="10">
        <f t="shared" si="87"/>
        <v>-15.460000000000036</v>
      </c>
      <c r="AD341" s="8">
        <f>IFERROR(AC341/AC444, "NA")</f>
        <v>-2.6667775236538559E-4</v>
      </c>
    </row>
    <row r="342" spans="1:30" ht="16.5" customHeight="1" x14ac:dyDescent="0.45">
      <c r="A342" s="13" t="s">
        <v>312</v>
      </c>
      <c r="B342" s="14">
        <f>IFERROR(B337+B338+B339+B340+B341, "NA")</f>
        <v>4023.79</v>
      </c>
      <c r="C342" s="15">
        <f>IFERROR(B342/B444, "NA")</f>
        <v>1.5325868235369937E-2</v>
      </c>
      <c r="D342" s="2"/>
      <c r="E342" s="14">
        <f>IFERROR(E337+E338+E339+E340+E341, "NA")</f>
        <v>6790.4599999999991</v>
      </c>
      <c r="F342" s="15">
        <f>IFERROR(E342/E444, "NA")</f>
        <v>2.7999996371380315E-2</v>
      </c>
      <c r="G342" s="2"/>
      <c r="H342" s="14">
        <f t="shared" si="84"/>
        <v>2766.6699999999992</v>
      </c>
      <c r="I342" s="15">
        <f>IFERROR(H342/H444, "NA")</f>
        <v>0.13810941747015476</v>
      </c>
      <c r="J342" s="2"/>
      <c r="K342" s="14">
        <f>IFERROR(K337+K338+K339+K340+K341, "NA")</f>
        <v>5209.72</v>
      </c>
      <c r="L342" s="15">
        <f>IFERROR(K342/K444, "NA")</f>
        <v>2.3350850550020525E-2</v>
      </c>
      <c r="M342" s="2"/>
      <c r="N342" s="14">
        <f t="shared" si="85"/>
        <v>1185.9300000000003</v>
      </c>
      <c r="O342" s="15">
        <f>IFERROR(N342/N444, "NA")</f>
        <v>3.0067168339684772E-2</v>
      </c>
      <c r="P342" s="2"/>
      <c r="Q342" s="14">
        <f>IFERROR(Q337+Q338+Q339+Q340+Q341, "NA")</f>
        <v>15060.73</v>
      </c>
      <c r="R342" s="15">
        <f>IFERROR(Q342/Q444, "NA")</f>
        <v>2.6519832800734895E-2</v>
      </c>
      <c r="S342" s="2"/>
      <c r="T342" s="14">
        <f>IFERROR(T337+T338+T339+T340+T341, "NA")</f>
        <v>15158.61</v>
      </c>
      <c r="U342" s="15">
        <f>IFERROR(T342/T444, "NA")</f>
        <v>2.8000013373264226E-2</v>
      </c>
      <c r="V342" s="2"/>
      <c r="W342" s="14">
        <f t="shared" si="86"/>
        <v>97.880000000001019</v>
      </c>
      <c r="X342" s="15">
        <f>IFERROR(W342/W444, "NA")</f>
        <v>3.6900007313651214E-3</v>
      </c>
      <c r="Y342" s="2"/>
      <c r="Z342" s="14">
        <f>IFERROR(Z337+Z338+Z339+Z340+Z341, "NA")</f>
        <v>17380.14</v>
      </c>
      <c r="AA342" s="15">
        <f>IFERROR(Z342/Z444, "NA")</f>
        <v>3.4083262346719212E-2</v>
      </c>
      <c r="AB342" s="2"/>
      <c r="AC342" s="14">
        <f t="shared" si="87"/>
        <v>2319.41</v>
      </c>
      <c r="AD342" s="15">
        <f>IFERROR(AC342/AC444, "NA")</f>
        <v>4.0008735162600097E-2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18820.259999999998</v>
      </c>
      <c r="C343" s="15">
        <f>IFERROR(B343/B444, "NA")</f>
        <v>7.1682872345575535E-2</v>
      </c>
      <c r="D343" s="2"/>
      <c r="E343" s="14">
        <f>IFERROR(E328+E329+E330+E331+E332+E333+E334+E335+E337+E338+E339+E340+E341, "NA")</f>
        <v>21028.21</v>
      </c>
      <c r="F343" s="15">
        <f>IFERROR(E343/E444, "NA")</f>
        <v>8.6708382598030667E-2</v>
      </c>
      <c r="G343" s="2"/>
      <c r="H343" s="14">
        <f t="shared" si="84"/>
        <v>2207.9500000000007</v>
      </c>
      <c r="I343" s="15">
        <f>IFERROR(H343/H444, "NA")</f>
        <v>0.11021867020758833</v>
      </c>
      <c r="J343" s="2"/>
      <c r="K343" s="14">
        <f>IFERROR(K328+K329+K330+K331+K332+K333+K334+K335+K337+K338+K339+K340+K341, "NA")</f>
        <v>18615.069999999996</v>
      </c>
      <c r="L343" s="15">
        <f>IFERROR(K343/K444, "NA")</f>
        <v>8.3435907793157876E-2</v>
      </c>
      <c r="M343" s="2"/>
      <c r="N343" s="14">
        <f t="shared" si="85"/>
        <v>-205.19000000000233</v>
      </c>
      <c r="O343" s="15">
        <f>IFERROR(N343/N444, "NA")</f>
        <v>-5.2022313893905934E-3</v>
      </c>
      <c r="P343" s="2"/>
      <c r="Q343" s="14">
        <f>IFERROR(Q328+Q329+Q330+Q331+Q332+Q333+Q334+Q335+Q337+Q338+Q339+Q340+Q341, "NA")</f>
        <v>52546.239999999998</v>
      </c>
      <c r="R343" s="15">
        <f>IFERROR(Q343/Q444, "NA")</f>
        <v>9.2526557418351432E-2</v>
      </c>
      <c r="S343" s="2"/>
      <c r="T343" s="14">
        <f>IFERROR(T328+T329+T330+T331+T332+T333+T334+T335+T337+T338+T339+T340+T341, "NA")</f>
        <v>52769.09</v>
      </c>
      <c r="U343" s="15">
        <f>IFERROR(T343/T444, "NA")</f>
        <v>9.7471682805678306E-2</v>
      </c>
      <c r="V343" s="2"/>
      <c r="W343" s="14">
        <f t="shared" si="86"/>
        <v>222.84999999999854</v>
      </c>
      <c r="X343" s="15">
        <f>IFERROR(W343/W444, "NA")</f>
        <v>8.4012736308204262E-3</v>
      </c>
      <c r="Y343" s="2"/>
      <c r="Z343" s="14">
        <f>IFERROR(Z328+Z329+Z330+Z331+Z332+Z333+Z334+Z335+Z337+Z338+Z339+Z340+Z341, "NA")</f>
        <v>56222.810000000005</v>
      </c>
      <c r="AA343" s="15">
        <f>IFERROR(Z343/Z444, "NA")</f>
        <v>0.11025554357443315</v>
      </c>
      <c r="AB343" s="2"/>
      <c r="AC343" s="14">
        <f t="shared" si="87"/>
        <v>3676.570000000007</v>
      </c>
      <c r="AD343" s="15">
        <f>IFERROR(AC343/AC444, "NA")</f>
        <v>6.341910892716722E-2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18820.259999999998</v>
      </c>
      <c r="C344" s="15">
        <f>IFERROR(B344/B444, "NA")</f>
        <v>7.1682872345575535E-2</v>
      </c>
      <c r="D344" s="2"/>
      <c r="E344" s="14">
        <f>IFERROR(E328+E329+E330+E331+E332+E333+E334+E335+E337+E338+E339+E340+E341, "NA")</f>
        <v>21028.21</v>
      </c>
      <c r="F344" s="15">
        <f>IFERROR(E344/E444, "NA")</f>
        <v>8.6708382598030667E-2</v>
      </c>
      <c r="G344" s="2"/>
      <c r="H344" s="14">
        <f t="shared" si="84"/>
        <v>2207.9500000000007</v>
      </c>
      <c r="I344" s="15">
        <f>IFERROR(H344/H444, "NA")</f>
        <v>0.11021867020758833</v>
      </c>
      <c r="J344" s="2"/>
      <c r="K344" s="14">
        <f>IFERROR(K328+K329+K330+K331+K332+K333+K334+K335+K337+K338+K339+K340+K341, "NA")</f>
        <v>18615.069999999996</v>
      </c>
      <c r="L344" s="15">
        <f>IFERROR(K344/K444, "NA")</f>
        <v>8.3435907793157876E-2</v>
      </c>
      <c r="M344" s="2"/>
      <c r="N344" s="14">
        <f t="shared" si="85"/>
        <v>-205.19000000000233</v>
      </c>
      <c r="O344" s="15">
        <f>IFERROR(N344/N444, "NA")</f>
        <v>-5.2022313893905934E-3</v>
      </c>
      <c r="P344" s="2"/>
      <c r="Q344" s="14">
        <f>IFERROR(Q328+Q329+Q330+Q331+Q332+Q333+Q334+Q335+Q337+Q338+Q339+Q340+Q341, "NA")</f>
        <v>52546.239999999998</v>
      </c>
      <c r="R344" s="15">
        <f>IFERROR(Q344/Q444, "NA")</f>
        <v>9.2526557418351432E-2</v>
      </c>
      <c r="S344" s="2"/>
      <c r="T344" s="14">
        <f>IFERROR(T328+T329+T330+T331+T332+T333+T334+T335+T337+T338+T339+T340+T341, "NA")</f>
        <v>52769.09</v>
      </c>
      <c r="U344" s="15">
        <f>IFERROR(T344/T444, "NA")</f>
        <v>9.7471682805678306E-2</v>
      </c>
      <c r="V344" s="2"/>
      <c r="W344" s="14">
        <f t="shared" si="86"/>
        <v>222.84999999999854</v>
      </c>
      <c r="X344" s="15">
        <f>IFERROR(W344/W444, "NA")</f>
        <v>8.4012736308204262E-3</v>
      </c>
      <c r="Y344" s="2"/>
      <c r="Z344" s="14">
        <f>IFERROR(Z328+Z329+Z330+Z331+Z332+Z333+Z334+Z335+Z337+Z338+Z339+Z340+Z341, "NA")</f>
        <v>56222.810000000005</v>
      </c>
      <c r="AA344" s="15">
        <f>IFERROR(Z344/Z444, "NA")</f>
        <v>0.11025554357443315</v>
      </c>
      <c r="AB344" s="2"/>
      <c r="AC344" s="14">
        <f t="shared" si="87"/>
        <v>3676.570000000007</v>
      </c>
      <c r="AD344" s="15">
        <f>IFERROR(AC344/AC444, "NA")</f>
        <v>6.341910892716722E-2</v>
      </c>
    </row>
    <row r="345" spans="1:30" ht="16.5" customHeight="1" x14ac:dyDescent="0.45">
      <c r="A345" s="22" t="s">
        <v>315</v>
      </c>
      <c r="B345" s="23">
        <f>IFERROR(B198-B325-B344, "NA")</f>
        <v>47029.099999999889</v>
      </c>
      <c r="C345" s="24">
        <f>IFERROR(B345/B444, "NA")</f>
        <v>0.17912510091929118</v>
      </c>
      <c r="D345" s="25"/>
      <c r="E345" s="23">
        <f>IFERROR(E198-E325-E344, "NA")</f>
        <v>45629.149999999958</v>
      </c>
      <c r="F345" s="24">
        <f>IFERROR(E345/E444, "NA")</f>
        <v>0.18814867246536568</v>
      </c>
      <c r="G345" s="25"/>
      <c r="H345" s="23">
        <f>IFERROR(B345-E345, "NA")</f>
        <v>1399.9499999999316</v>
      </c>
      <c r="I345" s="24">
        <f>IFERROR(H345/H444, "NA")</f>
        <v>6.9884113026610961E-2</v>
      </c>
      <c r="J345" s="25"/>
      <c r="K345" s="23">
        <f>IFERROR(K198-K325-K344, "NA")</f>
        <v>28069.920000000053</v>
      </c>
      <c r="L345" s="24">
        <f>IFERROR(K345/K444, "NA")</f>
        <v>0.12581415255926101</v>
      </c>
      <c r="M345" s="25"/>
      <c r="N345" s="23">
        <f>IFERROR(B345-K345, "NA")</f>
        <v>18959.179999999837</v>
      </c>
      <c r="O345" s="24">
        <f>IFERROR(N345/N444, "NA")</f>
        <v>0.48067664756130601</v>
      </c>
      <c r="P345" s="25"/>
      <c r="Q345" s="23">
        <f>IFERROR(Q198-Q325-Q344, "NA")</f>
        <v>71891.510000000359</v>
      </c>
      <c r="R345" s="24">
        <f>IFERROR(Q345/Q444, "NA")</f>
        <v>0.12659086412095366</v>
      </c>
      <c r="S345" s="25"/>
      <c r="T345" s="23">
        <f>IFERROR(T198-T325-T344, "NA")</f>
        <v>83876.510000000068</v>
      </c>
      <c r="U345" s="24">
        <f>IFERROR(T345/T444, "NA")</f>
        <v>0.15493131637417495</v>
      </c>
      <c r="V345" s="25"/>
      <c r="W345" s="23">
        <f>IFERROR(Q345-T345, "NA")</f>
        <v>-11984.999999999709</v>
      </c>
      <c r="X345" s="24">
        <f>IFERROR(W345/W444, "NA")</f>
        <v>-0.45182528366785291</v>
      </c>
      <c r="Y345" s="25"/>
      <c r="Z345" s="23">
        <f>IFERROR(Z198-Z325-Z344, "NA")</f>
        <v>38417.590000000106</v>
      </c>
      <c r="AA345" s="24">
        <f>IFERROR(Z345/Z444, "NA")</f>
        <v>7.5338679590538402E-2</v>
      </c>
      <c r="AB345" s="25"/>
      <c r="AC345" s="23">
        <f>IFERROR(Q345-Z345, "NA")</f>
        <v>33473.920000000253</v>
      </c>
      <c r="AD345" s="24">
        <f>IFERROR(AC345/AC444, "NA")</f>
        <v>0.57740942745528945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47029.099999999889</v>
      </c>
      <c r="C404" s="24">
        <f>IFERROR(B404/B444, "NA")</f>
        <v>0.17912510091929118</v>
      </c>
      <c r="D404" s="25"/>
      <c r="E404" s="23">
        <f>IFERROR(E345-E403, "NA")</f>
        <v>45629.149999999958</v>
      </c>
      <c r="F404" s="24">
        <f>IFERROR(E404/E444, "NA")</f>
        <v>0.18814867246536568</v>
      </c>
      <c r="G404" s="25"/>
      <c r="H404" s="23">
        <f>IFERROR(B404-E404, "NA")</f>
        <v>1399.9499999999316</v>
      </c>
      <c r="I404" s="24">
        <f>IFERROR(H404/H444, "NA")</f>
        <v>6.9884113026610961E-2</v>
      </c>
      <c r="J404" s="25"/>
      <c r="K404" s="23">
        <f>IFERROR(K345-K403, "NA")</f>
        <v>28069.920000000053</v>
      </c>
      <c r="L404" s="24">
        <f>IFERROR(K404/K444, "NA")</f>
        <v>0.12581415255926101</v>
      </c>
      <c r="M404" s="25"/>
      <c r="N404" s="23">
        <f>IFERROR(B404-K404, "NA")</f>
        <v>18959.179999999837</v>
      </c>
      <c r="O404" s="24">
        <f>IFERROR(N404/N444, "NA")</f>
        <v>0.48067664756130601</v>
      </c>
      <c r="P404" s="25"/>
      <c r="Q404" s="23">
        <f>IFERROR(Q345-Q403, "NA")</f>
        <v>71891.510000000359</v>
      </c>
      <c r="R404" s="24">
        <f>IFERROR(Q404/Q444, "NA")</f>
        <v>0.12659086412095366</v>
      </c>
      <c r="S404" s="25"/>
      <c r="T404" s="23">
        <f>IFERROR(T345-T403, "NA")</f>
        <v>83876.510000000068</v>
      </c>
      <c r="U404" s="24">
        <f>IFERROR(T404/T444, "NA")</f>
        <v>0.15493131637417495</v>
      </c>
      <c r="V404" s="25"/>
      <c r="W404" s="23">
        <f>IFERROR(Q404-T404, "NA")</f>
        <v>-11984.999999999709</v>
      </c>
      <c r="X404" s="24">
        <f>IFERROR(W404/W444, "NA")</f>
        <v>-0.45182528366785291</v>
      </c>
      <c r="Y404" s="25"/>
      <c r="Z404" s="23">
        <f>IFERROR(Z345-Z403, "NA")</f>
        <v>38417.590000000106</v>
      </c>
      <c r="AA404" s="24">
        <f>IFERROR(Z404/Z444, "NA")</f>
        <v>7.5338679590538402E-2</v>
      </c>
      <c r="AB404" s="25"/>
      <c r="AC404" s="23">
        <f>IFERROR(Q404-Z404, "NA")</f>
        <v>33473.920000000253</v>
      </c>
      <c r="AD404" s="24">
        <f>IFERROR(AC404/AC444, "NA")</f>
        <v>0.57740942745528945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3576.97</v>
      </c>
      <c r="F407" s="8">
        <f>IFERROR(E407/E444, "NA")</f>
        <v>1.4749390618682129E-2</v>
      </c>
      <c r="G407" s="9"/>
      <c r="H407" s="10">
        <f t="shared" ref="H407:H429" si="100">IFERROR(-(B407-E407), "NA")</f>
        <v>3576.97</v>
      </c>
      <c r="I407" s="8">
        <f>IFERROR(H407/H444, "NA")</f>
        <v>0.17855878836587652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9857.5400000000009</v>
      </c>
      <c r="U407" s="8">
        <f>IFERROR(T407/T444, "NA")</f>
        <v>1.8208216441183395E-2</v>
      </c>
      <c r="V407" s="9"/>
      <c r="W407" s="10">
        <f t="shared" ref="W407:W429" si="102">IFERROR(-(Q407-T407), "NA")</f>
        <v>9857.5400000000009</v>
      </c>
      <c r="X407" s="8">
        <f>IFERROR(W407/W444, "NA")</f>
        <v>0.37162167766101922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4098.8599999999997</v>
      </c>
      <c r="C410" s="8">
        <f>IFERROR(B410/B444, "NA")</f>
        <v>1.5611795912616815E-2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-4098.8599999999997</v>
      </c>
      <c r="I410" s="8">
        <f>IFERROR(H410/H444, "NA")</f>
        <v>-0.20461101862228551</v>
      </c>
      <c r="J410" s="9"/>
      <c r="K410" s="7">
        <v>3345.17</v>
      </c>
      <c r="L410" s="8">
        <f>IFERROR(K410/K444, "NA")</f>
        <v>1.4993620527477899E-2</v>
      </c>
      <c r="M410" s="9"/>
      <c r="N410" s="10">
        <f t="shared" si="101"/>
        <v>-753.6899999999996</v>
      </c>
      <c r="O410" s="8">
        <f>IFERROR(N410/N444, "NA")</f>
        <v>-1.9108483726642381E-2</v>
      </c>
      <c r="P410" s="9"/>
      <c r="Q410" s="7">
        <v>12415.31</v>
      </c>
      <c r="R410" s="8">
        <f>IFERROR(Q410/Q444, "NA")</f>
        <v>2.186161928201966E-2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-12415.31</v>
      </c>
      <c r="X410" s="8">
        <f>IFERROR(W410/W444, "NA")</f>
        <v>-0.46804763976424424</v>
      </c>
      <c r="Y410" s="9"/>
      <c r="Z410" s="7">
        <v>9479.1</v>
      </c>
      <c r="AA410" s="8">
        <f>IFERROR(Z410/Z444, "NA")</f>
        <v>1.858895567646671E-2</v>
      </c>
      <c r="AB410" s="9"/>
      <c r="AC410" s="10">
        <f t="shared" si="103"/>
        <v>-2936.2099999999991</v>
      </c>
      <c r="AD410" s="8">
        <f>IFERROR(AC410/AC444, "NA")</f>
        <v>-5.0648246007294097E-2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-25.29</v>
      </c>
      <c r="C417" s="8">
        <f>IFERROR(B417/B444, "NA")</f>
        <v>-9.6324909518763575E-5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25.29</v>
      </c>
      <c r="I417" s="8">
        <f>IFERROR(H417/H444, "NA")</f>
        <v>1.2624516721619183E-3</v>
      </c>
      <c r="J417" s="9"/>
      <c r="K417" s="7">
        <v>-54.49</v>
      </c>
      <c r="L417" s="8">
        <f>IFERROR(K417/K444, "NA")</f>
        <v>-2.4423344181081103E-4</v>
      </c>
      <c r="M417" s="9"/>
      <c r="N417" s="10">
        <f t="shared" si="101"/>
        <v>-29.200000000000003</v>
      </c>
      <c r="O417" s="8">
        <f>IFERROR(N417/N444, "NA")</f>
        <v>-7.4031461850091926E-4</v>
      </c>
      <c r="P417" s="9"/>
      <c r="Q417" s="7">
        <v>-75.349999999999994</v>
      </c>
      <c r="R417" s="8">
        <f>IFERROR(Q417/Q444, "NA")</f>
        <v>-1.3268077985166551E-4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75.349999999999994</v>
      </c>
      <c r="X417" s="8">
        <f>IFERROR(W417/W444, "NA")</f>
        <v>2.8406370566853184E-3</v>
      </c>
      <c r="Y417" s="9"/>
      <c r="Z417" s="7">
        <v>-139.33000000000001</v>
      </c>
      <c r="AA417" s="8">
        <f>IFERROR(Z417/Z444, "NA")</f>
        <v>-2.7323260588052732E-4</v>
      </c>
      <c r="AB417" s="9"/>
      <c r="AC417" s="10">
        <f t="shared" si="103"/>
        <v>-63.980000000000018</v>
      </c>
      <c r="AD417" s="8">
        <f>IFERROR(AC417/AC444, "NA")</f>
        <v>-1.103625006231393E-3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-20</v>
      </c>
      <c r="C421" s="8">
        <f>IFERROR(B421/B444, "NA")</f>
        <v>-7.6176282735281595E-5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20</v>
      </c>
      <c r="I421" s="8">
        <f>IFERROR(H421/H444, "NA")</f>
        <v>9.9838012824192825E-4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20</v>
      </c>
      <c r="O421" s="8">
        <f>IFERROR(N421/N444, "NA")</f>
        <v>5.0706480719241035E-4</v>
      </c>
      <c r="P421" s="9"/>
      <c r="Q421" s="7">
        <v>76</v>
      </c>
      <c r="R421" s="8">
        <f>IFERROR(Q421/Q444, "NA")</f>
        <v>1.3382533866923132E-4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-76</v>
      </c>
      <c r="X421" s="8">
        <f>IFERROR(W421/W444, "NA")</f>
        <v>-2.8651415568425246E-3</v>
      </c>
      <c r="Y421" s="9"/>
      <c r="Z421" s="7">
        <v>-20</v>
      </c>
      <c r="AA421" s="8">
        <f>IFERROR(Z421/Z444, "NA")</f>
        <v>-3.9220929574467423E-5</v>
      </c>
      <c r="AB421" s="9"/>
      <c r="AC421" s="10">
        <f t="shared" si="103"/>
        <v>-96</v>
      </c>
      <c r="AD421" s="8">
        <f>IFERROR(AC421/AC444, "NA")</f>
        <v>-1.6559549952831149E-3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4053.5699999999997</v>
      </c>
      <c r="C428" s="15">
        <f>IFERROR(B428/B444, "NA")</f>
        <v>1.543929472036277E-2</v>
      </c>
      <c r="D428" s="2"/>
      <c r="E428" s="14">
        <f>IFERROR(E407+E408+E409+E410+E411+E412+E413+E414+E415+E416+E417+E418+E419+E420+E421+E422+E423+E424+E425+E426+E427, "NA")</f>
        <v>3576.97</v>
      </c>
      <c r="F428" s="15">
        <f>IFERROR(E428/E444, "NA")</f>
        <v>1.4749390618682129E-2</v>
      </c>
      <c r="G428" s="2"/>
      <c r="H428" s="14">
        <f t="shared" si="100"/>
        <v>-476.59999999999991</v>
      </c>
      <c r="I428" s="15">
        <f>IFERROR(H428/H444, "NA")</f>
        <v>-2.3791398456005149E-2</v>
      </c>
      <c r="J428" s="2"/>
      <c r="K428" s="14">
        <f>IFERROR(K407+K408+K409+K410+K411+K412+K413+K414+K415+K416+K417+K418+K419+K420+K421+K422+K423+K424+K425+K426+K427, "NA")</f>
        <v>3290.6800000000003</v>
      </c>
      <c r="L428" s="15">
        <f>IFERROR(K428/K444, "NA")</f>
        <v>1.4749387085667089E-2</v>
      </c>
      <c r="M428" s="2"/>
      <c r="N428" s="14">
        <f t="shared" si="101"/>
        <v>-762.88999999999942</v>
      </c>
      <c r="O428" s="15">
        <f>IFERROR(N428/N444, "NA")</f>
        <v>-1.9341733537950885E-2</v>
      </c>
      <c r="P428" s="2"/>
      <c r="Q428" s="14">
        <f>IFERROR(Q407+Q408+Q409+Q410+Q411+Q412+Q413+Q414+Q415+Q416+Q417+Q418+Q419+Q420+Q421+Q422+Q423+Q424+Q425+Q426+Q427, "NA")</f>
        <v>12415.96</v>
      </c>
      <c r="R428" s="15">
        <f>IFERROR(Q428/Q444, "NA")</f>
        <v>2.1862763840837227E-2</v>
      </c>
      <c r="S428" s="2"/>
      <c r="T428" s="14">
        <f>IFERROR(T407+T408+T409+T410+T411+T412+T413+T414+T415+T416+T417+T418+T419+T420+T421+T422+T423+T424+T425+T426+T427, "NA")</f>
        <v>9857.5400000000009</v>
      </c>
      <c r="U428" s="15">
        <f>IFERROR(T428/T444, "NA")</f>
        <v>1.8208216441183395E-2</v>
      </c>
      <c r="V428" s="2"/>
      <c r="W428" s="14">
        <f t="shared" si="102"/>
        <v>-2558.4199999999983</v>
      </c>
      <c r="X428" s="15">
        <f>IFERROR(W428/W444, "NA")</f>
        <v>-9.645046660338219E-2</v>
      </c>
      <c r="Y428" s="2"/>
      <c r="Z428" s="14">
        <f>IFERROR(Z407+Z408+Z409+Z410+Z411+Z412+Z413+Z414+Z415+Z416+Z417+Z418+Z419+Z420+Z421+Z422+Z423+Z424+Z425+Z426+Z427, "NA")</f>
        <v>9319.77</v>
      </c>
      <c r="AA428" s="15">
        <f>IFERROR(Z428/Z444, "NA")</f>
        <v>1.8276502141011716E-2</v>
      </c>
      <c r="AB428" s="2"/>
      <c r="AC428" s="14">
        <f t="shared" si="103"/>
        <v>-3096.1899999999987</v>
      </c>
      <c r="AD428" s="15">
        <f>IFERROR(AC428/AC444, "NA")</f>
        <v>-5.3407826008808598E-2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4053.5699999999997</v>
      </c>
      <c r="C429" s="15">
        <f>IFERROR(B429/B444, "NA")</f>
        <v>1.543929472036277E-2</v>
      </c>
      <c r="D429" s="2"/>
      <c r="E429" s="14">
        <f>IFERROR(E407+E408+E409+E410+E411+E412+E413+E414+E415+E416+E417+E418+E419+E420+E421+E422+E423+E424+E425+E426+E427, "NA")</f>
        <v>3576.97</v>
      </c>
      <c r="F429" s="15">
        <f>IFERROR(E429/E444, "NA")</f>
        <v>1.4749390618682129E-2</v>
      </c>
      <c r="G429" s="2"/>
      <c r="H429" s="14">
        <f t="shared" si="100"/>
        <v>-476.59999999999991</v>
      </c>
      <c r="I429" s="15">
        <f>IFERROR(H429/H444, "NA")</f>
        <v>-2.3791398456005149E-2</v>
      </c>
      <c r="J429" s="2"/>
      <c r="K429" s="14">
        <f>IFERROR(K407+K408+K409+K410+K411+K412+K413+K414+K415+K416+K417+K418+K419+K420+K421+K422+K423+K424+K425+K426+K427, "NA")</f>
        <v>3290.6800000000003</v>
      </c>
      <c r="L429" s="15">
        <f>IFERROR(K429/K444, "NA")</f>
        <v>1.4749387085667089E-2</v>
      </c>
      <c r="M429" s="2"/>
      <c r="N429" s="14">
        <f t="shared" si="101"/>
        <v>-762.88999999999942</v>
      </c>
      <c r="O429" s="15">
        <f>IFERROR(N429/N444, "NA")</f>
        <v>-1.9341733537950885E-2</v>
      </c>
      <c r="P429" s="2"/>
      <c r="Q429" s="14">
        <f>IFERROR(Q407+Q408+Q409+Q410+Q411+Q412+Q413+Q414+Q415+Q416+Q417+Q418+Q419+Q420+Q421+Q422+Q423+Q424+Q425+Q426+Q427, "NA")</f>
        <v>12415.96</v>
      </c>
      <c r="R429" s="15">
        <f>IFERROR(Q429/Q444, "NA")</f>
        <v>2.1862763840837227E-2</v>
      </c>
      <c r="S429" s="2"/>
      <c r="T429" s="14">
        <f>IFERROR(T407+T408+T409+T410+T411+T412+T413+T414+T415+T416+T417+T418+T419+T420+T421+T422+T423+T424+T425+T426+T427, "NA")</f>
        <v>9857.5400000000009</v>
      </c>
      <c r="U429" s="15">
        <f>IFERROR(T429/T444, "NA")</f>
        <v>1.8208216441183395E-2</v>
      </c>
      <c r="V429" s="2"/>
      <c r="W429" s="14">
        <f t="shared" si="102"/>
        <v>-2558.4199999999983</v>
      </c>
      <c r="X429" s="15">
        <f>IFERROR(W429/W444, "NA")</f>
        <v>-9.645046660338219E-2</v>
      </c>
      <c r="Y429" s="2"/>
      <c r="Z429" s="14">
        <f>IFERROR(Z407+Z408+Z409+Z410+Z411+Z412+Z413+Z414+Z415+Z416+Z417+Z418+Z419+Z420+Z421+Z422+Z423+Z424+Z425+Z426+Z427, "NA")</f>
        <v>9319.77</v>
      </c>
      <c r="AA429" s="15">
        <f>IFERROR(Z429/Z444, "NA")</f>
        <v>1.8276502141011716E-2</v>
      </c>
      <c r="AB429" s="2"/>
      <c r="AC429" s="14">
        <f t="shared" si="103"/>
        <v>-3096.1899999999987</v>
      </c>
      <c r="AD429" s="15">
        <f>IFERROR(AC429/AC444, "NA")</f>
        <v>-5.3407826008808598E-2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42975.52999999989</v>
      </c>
      <c r="C443" s="24">
        <f>IFERROR(B443/B444, "NA")</f>
        <v>0.16368580619892839</v>
      </c>
      <c r="D443" s="25"/>
      <c r="E443" s="23">
        <f>IFERROR(E404-E429-E442, "NA")</f>
        <v>42052.179999999957</v>
      </c>
      <c r="F443" s="24">
        <f>IFERROR(E443/E444, "NA")</f>
        <v>0.17339928184668355</v>
      </c>
      <c r="G443" s="25"/>
      <c r="H443" s="23">
        <f>IFERROR(B443-E443, "NA")</f>
        <v>923.34999999993306</v>
      </c>
      <c r="I443" s="24">
        <f>IFERROR(H443/H444, "NA")</f>
        <v>4.6092714570605882E-2</v>
      </c>
      <c r="J443" s="25"/>
      <c r="K443" s="23">
        <f>IFERROR(K404-K429-K442, "NA")</f>
        <v>24779.240000000053</v>
      </c>
      <c r="L443" s="24">
        <f>IFERROR(K443/K444, "NA")</f>
        <v>0.11106476547359394</v>
      </c>
      <c r="M443" s="25"/>
      <c r="N443" s="23">
        <f>IFERROR(B443-K443, "NA")</f>
        <v>18196.289999999837</v>
      </c>
      <c r="O443" s="24">
        <f>IFERROR(N443/N444, "NA")</f>
        <v>0.46133491402335514</v>
      </c>
      <c r="P443" s="25"/>
      <c r="Q443" s="23">
        <f>IFERROR(Q404-Q429-Q442, "NA")</f>
        <v>59475.550000000359</v>
      </c>
      <c r="R443" s="24">
        <f>IFERROR(Q443/Q444, "NA")</f>
        <v>0.10472810028011643</v>
      </c>
      <c r="S443" s="25"/>
      <c r="T443" s="23">
        <f>IFERROR(T404-T429-T442, "NA")</f>
        <v>74018.970000000059</v>
      </c>
      <c r="U443" s="24">
        <f>IFERROR(T443/T444, "NA")</f>
        <v>0.13672309993299156</v>
      </c>
      <c r="V443" s="25"/>
      <c r="W443" s="23">
        <f>IFERROR(Q443-T443, "NA")</f>
        <v>-14543.4199999997</v>
      </c>
      <c r="X443" s="24">
        <f>IFERROR(W443/W444, "NA")</f>
        <v>-0.54827575027123487</v>
      </c>
      <c r="Y443" s="25"/>
      <c r="Z443" s="23">
        <f>IFERROR(Z404-Z429-Z442, "NA")</f>
        <v>29097.820000000105</v>
      </c>
      <c r="AA443" s="24">
        <f>IFERROR(Z443/Z444, "NA")</f>
        <v>5.7062177449526692E-2</v>
      </c>
      <c r="AB443" s="25"/>
      <c r="AC443" s="23">
        <f>IFERROR(Q443-Z443, "NA")</f>
        <v>30377.730000000254</v>
      </c>
      <c r="AD443" s="24">
        <f>IFERROR(AC443/AC444, "NA")</f>
        <v>0.52400160144648089</v>
      </c>
    </row>
    <row r="444" spans="1:30" ht="15.75" hidden="1" x14ac:dyDescent="0.45">
      <c r="A444" s="26" t="s">
        <v>117</v>
      </c>
      <c r="B444" s="7">
        <v>262548.90999999997</v>
      </c>
      <c r="C444" s="27"/>
      <c r="D444" s="9"/>
      <c r="E444" s="7">
        <v>242516.46</v>
      </c>
      <c r="F444" s="27"/>
      <c r="G444" s="9"/>
      <c r="H444" s="10">
        <f>IFERROR(B444-E444, "NA")</f>
        <v>20032.449999999983</v>
      </c>
      <c r="I444" s="27"/>
      <c r="J444" s="9"/>
      <c r="K444" s="7">
        <v>223106.22</v>
      </c>
      <c r="L444" s="27"/>
      <c r="M444" s="9"/>
      <c r="N444" s="10">
        <f>IFERROR(B444-K444, "NA")</f>
        <v>39442.689999999973</v>
      </c>
      <c r="O444" s="27"/>
      <c r="P444" s="9"/>
      <c r="Q444" s="7">
        <v>567904.41</v>
      </c>
      <c r="R444" s="27"/>
      <c r="S444" s="9"/>
      <c r="T444" s="7">
        <v>541378.67000000004</v>
      </c>
      <c r="U444" s="27"/>
      <c r="V444" s="9"/>
      <c r="W444" s="10">
        <f>IFERROR(Q444-T444, "NA")</f>
        <v>26525.739999999991</v>
      </c>
      <c r="X444" s="27"/>
      <c r="Y444" s="9"/>
      <c r="Z444" s="7">
        <v>509931.82</v>
      </c>
      <c r="AA444" s="27"/>
      <c r="AB444" s="9"/>
      <c r="AC444" s="10">
        <f>IFERROR(Q444-Z444, "NA")</f>
        <v>57972.590000000026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54835.83</v>
      </c>
      <c r="F10" s="8">
        <f>IFERROR(E10/E444, "NA")</f>
        <v>0.42600001864474457</v>
      </c>
      <c r="G10" s="9"/>
      <c r="H10" s="10">
        <f t="shared" ref="H10:H19" si="0">IFERROR(B10-E10, "NA")</f>
        <v>-54835.83</v>
      </c>
      <c r="I10" s="8">
        <f>IFERROR(H10/H444, "NA")</f>
        <v>-4.7640495415426489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119832.41</v>
      </c>
      <c r="U10" s="8">
        <f>IFERROR(T10/T444, "NA")</f>
        <v>0.42599998044769449</v>
      </c>
      <c r="V10" s="9"/>
      <c r="W10" s="10">
        <f t="shared" ref="W10:W19" si="2">IFERROR(Q10-T10, "NA")</f>
        <v>-119832.41</v>
      </c>
      <c r="X10" s="8">
        <f>IFERROR(W10/W444, "NA")</f>
        <v>-12.290780920184831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52406.400000000001</v>
      </c>
      <c r="C11" s="8">
        <f>IFERROR(B11/B444, "NA")</f>
        <v>0.37370962913563677</v>
      </c>
      <c r="D11" s="9"/>
      <c r="E11" s="7">
        <v>0</v>
      </c>
      <c r="F11" s="8">
        <f>IFERROR(E11/E444, "NA")</f>
        <v>0</v>
      </c>
      <c r="G11" s="9"/>
      <c r="H11" s="10">
        <f t="shared" si="0"/>
        <v>52406.400000000001</v>
      </c>
      <c r="I11" s="8">
        <f>IFERROR(H11/H444, "NA")</f>
        <v>4.5529845339060371</v>
      </c>
      <c r="J11" s="9"/>
      <c r="K11" s="7">
        <v>53448.3</v>
      </c>
      <c r="L11" s="8">
        <f>IFERROR(K11/K444, "NA")</f>
        <v>0.44428623084500196</v>
      </c>
      <c r="M11" s="9"/>
      <c r="N11" s="10">
        <f t="shared" si="1"/>
        <v>-1041.9000000000015</v>
      </c>
      <c r="O11" s="8">
        <f>IFERROR(N11/N444, "NA")</f>
        <v>-5.2274195943695055E-2</v>
      </c>
      <c r="P11" s="9"/>
      <c r="Q11" s="7">
        <v>107352.33</v>
      </c>
      <c r="R11" s="8">
        <f>IFERROR(Q11/Q444, "NA")</f>
        <v>0.36884937264154977</v>
      </c>
      <c r="S11" s="9"/>
      <c r="T11" s="7">
        <v>0</v>
      </c>
      <c r="U11" s="8">
        <f>IFERROR(T11/T444, "NA")</f>
        <v>0</v>
      </c>
      <c r="V11" s="9"/>
      <c r="W11" s="10">
        <f t="shared" si="2"/>
        <v>107352.33</v>
      </c>
      <c r="X11" s="8">
        <f>IFERROR(W11/W444, "NA")</f>
        <v>11.010743832168489</v>
      </c>
      <c r="Y11" s="9"/>
      <c r="Z11" s="7">
        <v>113220.69</v>
      </c>
      <c r="AA11" s="8">
        <f>IFERROR(Z11/Z444, "NA")</f>
        <v>0.42486146399793856</v>
      </c>
      <c r="AB11" s="9"/>
      <c r="AC11" s="10">
        <f t="shared" si="3"/>
        <v>-5868.3600000000006</v>
      </c>
      <c r="AD11" s="8">
        <f>IFERROR(AC11/AC444, "NA")</f>
        <v>-0.23895880941638631</v>
      </c>
    </row>
    <row r="12" spans="1:30" ht="16.5" customHeight="1" x14ac:dyDescent="0.45">
      <c r="A12" s="12" t="s">
        <v>14</v>
      </c>
      <c r="B12" s="7">
        <v>4896.6000000000004</v>
      </c>
      <c r="C12" s="8">
        <f>IFERROR(B12/B444, "NA")</f>
        <v>3.4917616360321618E-2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4896.6000000000004</v>
      </c>
      <c r="I12" s="8">
        <f>IFERROR(H12/H444, "NA")</f>
        <v>0.42540880634281886</v>
      </c>
      <c r="J12" s="9"/>
      <c r="K12" s="7">
        <v>5594.5</v>
      </c>
      <c r="L12" s="8">
        <f>IFERROR(K12/K444, "NA")</f>
        <v>4.6503992053299421E-2</v>
      </c>
      <c r="M12" s="9"/>
      <c r="N12" s="10">
        <f t="shared" si="1"/>
        <v>-697.89999999999964</v>
      </c>
      <c r="O12" s="8">
        <f>IFERROR(N12/N444, "NA")</f>
        <v>-3.5015031528078229E-2</v>
      </c>
      <c r="P12" s="9"/>
      <c r="Q12" s="7">
        <v>9631.6</v>
      </c>
      <c r="R12" s="8">
        <f>IFERROR(Q12/Q444, "NA")</f>
        <v>3.3092990320138842E-2</v>
      </c>
      <c r="S12" s="9"/>
      <c r="T12" s="7">
        <v>0</v>
      </c>
      <c r="U12" s="8">
        <f>IFERROR(T12/T444, "NA")</f>
        <v>0</v>
      </c>
      <c r="V12" s="9"/>
      <c r="W12" s="10">
        <f t="shared" si="2"/>
        <v>9631.6</v>
      </c>
      <c r="X12" s="8">
        <f>IFERROR(W12/W444, "NA")</f>
        <v>0.98787870085273444</v>
      </c>
      <c r="Y12" s="9"/>
      <c r="Z12" s="7">
        <v>10544.25</v>
      </c>
      <c r="AA12" s="8">
        <f>IFERROR(Z12/Z444, "NA")</f>
        <v>3.956737493615578E-2</v>
      </c>
      <c r="AB12" s="9"/>
      <c r="AC12" s="10">
        <f t="shared" si="3"/>
        <v>-912.64999999999964</v>
      </c>
      <c r="AD12" s="8">
        <f>IFERROR(AC12/AC444, "NA")</f>
        <v>-3.7162982062086319E-2</v>
      </c>
    </row>
    <row r="13" spans="1:30" ht="16.5" customHeight="1" x14ac:dyDescent="0.45">
      <c r="A13" s="12" t="s">
        <v>15</v>
      </c>
      <c r="B13" s="7">
        <v>153.5</v>
      </c>
      <c r="C13" s="8">
        <f>IFERROR(B13/B444, "NA")</f>
        <v>1.0946073012517601E-3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153.5</v>
      </c>
      <c r="I13" s="8">
        <f>IFERROR(H13/H444, "NA")</f>
        <v>1.333583543144686E-2</v>
      </c>
      <c r="J13" s="9"/>
      <c r="K13" s="7">
        <v>242</v>
      </c>
      <c r="L13" s="8">
        <f>IFERROR(K13/K444, "NA")</f>
        <v>2.0116124902848261E-3</v>
      </c>
      <c r="M13" s="9"/>
      <c r="N13" s="10">
        <f t="shared" si="1"/>
        <v>-88.5</v>
      </c>
      <c r="O13" s="8">
        <f>IFERROR(N13/N444, "NA")</f>
        <v>-4.440221077854886E-3</v>
      </c>
      <c r="P13" s="9"/>
      <c r="Q13" s="7">
        <v>258</v>
      </c>
      <c r="R13" s="8">
        <f>IFERROR(Q13/Q444, "NA")</f>
        <v>8.864561965401201E-4</v>
      </c>
      <c r="S13" s="9"/>
      <c r="T13" s="7">
        <v>0</v>
      </c>
      <c r="U13" s="8">
        <f>IFERROR(T13/T444, "NA")</f>
        <v>0</v>
      </c>
      <c r="V13" s="9"/>
      <c r="W13" s="10">
        <f t="shared" si="2"/>
        <v>258</v>
      </c>
      <c r="X13" s="8">
        <f>IFERROR(W13/W444, "NA")</f>
        <v>2.6462135555879132E-2</v>
      </c>
      <c r="Y13" s="9"/>
      <c r="Z13" s="7">
        <v>308.5</v>
      </c>
      <c r="AA13" s="8">
        <f>IFERROR(Z13/Z444, "NA")</f>
        <v>1.1576484973140867E-3</v>
      </c>
      <c r="AB13" s="9"/>
      <c r="AC13" s="10">
        <f t="shared" si="3"/>
        <v>-50.5</v>
      </c>
      <c r="AD13" s="8">
        <f>IFERROR(AC13/AC444, "NA")</f>
        <v>-2.056353031430844E-3</v>
      </c>
    </row>
    <row r="14" spans="1:30" ht="16.5" customHeight="1" x14ac:dyDescent="0.45">
      <c r="A14" s="12" t="s">
        <v>16</v>
      </c>
      <c r="B14" s="7">
        <v>50</v>
      </c>
      <c r="C14" s="8">
        <f>IFERROR(B14/B444, "NA")</f>
        <v>3.5654960952826061E-4</v>
      </c>
      <c r="D14" s="9"/>
      <c r="E14" s="7">
        <v>0</v>
      </c>
      <c r="F14" s="8">
        <f>IFERROR(E14/E444, "NA")</f>
        <v>0</v>
      </c>
      <c r="G14" s="9"/>
      <c r="H14" s="10">
        <f t="shared" si="0"/>
        <v>50</v>
      </c>
      <c r="I14" s="8">
        <f>IFERROR(H14/H444, "NA")</f>
        <v>4.3439203359761759E-3</v>
      </c>
      <c r="J14" s="9"/>
      <c r="K14" s="7">
        <v>550</v>
      </c>
      <c r="L14" s="8">
        <f>IFERROR(K14/K444, "NA")</f>
        <v>4.5718465688291505E-3</v>
      </c>
      <c r="M14" s="9"/>
      <c r="N14" s="10">
        <f t="shared" si="1"/>
        <v>-500</v>
      </c>
      <c r="O14" s="8">
        <f>IFERROR(N14/N444, "NA")</f>
        <v>-2.5085994790140599E-2</v>
      </c>
      <c r="P14" s="9"/>
      <c r="Q14" s="7">
        <v>120</v>
      </c>
      <c r="R14" s="8">
        <f>IFERROR(Q14/Q444, "NA")</f>
        <v>4.1230520769307912E-4</v>
      </c>
      <c r="S14" s="9"/>
      <c r="T14" s="7">
        <v>0</v>
      </c>
      <c r="U14" s="8">
        <f>IFERROR(T14/T444, "NA")</f>
        <v>0</v>
      </c>
      <c r="V14" s="9"/>
      <c r="W14" s="10">
        <f t="shared" si="2"/>
        <v>120</v>
      </c>
      <c r="X14" s="8">
        <f>IFERROR(W14/W444, "NA")</f>
        <v>1.2307970025990295E-2</v>
      </c>
      <c r="Y14" s="9"/>
      <c r="Z14" s="7">
        <v>885</v>
      </c>
      <c r="AA14" s="8">
        <f>IFERROR(Z14/Z444, "NA")</f>
        <v>3.3209689469139926E-3</v>
      </c>
      <c r="AB14" s="9"/>
      <c r="AC14" s="10">
        <f t="shared" si="3"/>
        <v>-765</v>
      </c>
      <c r="AD14" s="8">
        <f>IFERROR(AC14/AC444, "NA")</f>
        <v>-3.1150694436526648E-2</v>
      </c>
    </row>
    <row r="15" spans="1:30" ht="16.5" customHeight="1" x14ac:dyDescent="0.45">
      <c r="A15" s="12" t="s">
        <v>17</v>
      </c>
      <c r="B15" s="7">
        <v>60</v>
      </c>
      <c r="C15" s="8">
        <f>IFERROR(B15/B444, "NA")</f>
        <v>4.2785953143391272E-4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60</v>
      </c>
      <c r="I15" s="8">
        <f>IFERROR(H15/H444, "NA")</f>
        <v>5.2127044031714106E-3</v>
      </c>
      <c r="J15" s="9"/>
      <c r="K15" s="7">
        <v>20.5</v>
      </c>
      <c r="L15" s="8">
        <f>IFERROR(K15/K444, "NA")</f>
        <v>1.7040519029272287E-4</v>
      </c>
      <c r="M15" s="9"/>
      <c r="N15" s="10">
        <f t="shared" si="1"/>
        <v>39.5</v>
      </c>
      <c r="O15" s="8">
        <f>IFERROR(N15/N444, "NA")</f>
        <v>1.9817935884211073E-3</v>
      </c>
      <c r="P15" s="9"/>
      <c r="Q15" s="7">
        <v>164</v>
      </c>
      <c r="R15" s="8">
        <f>IFERROR(Q15/Q444, "NA")</f>
        <v>5.6348378384720821E-4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164</v>
      </c>
      <c r="X15" s="8">
        <f>IFERROR(W15/W444, "NA")</f>
        <v>1.6820892368853403E-2</v>
      </c>
      <c r="Y15" s="9"/>
      <c r="Z15" s="7">
        <v>51</v>
      </c>
      <c r="AA15" s="8">
        <f>IFERROR(Z15/Z444, "NA")</f>
        <v>1.9137787151707753E-4</v>
      </c>
      <c r="AB15" s="9"/>
      <c r="AC15" s="10">
        <f t="shared" si="3"/>
        <v>113</v>
      </c>
      <c r="AD15" s="8">
        <f>IFERROR(AC15/AC444, "NA")</f>
        <v>4.6013444069640669E-3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1.1000000000000001</v>
      </c>
      <c r="AA16" s="8">
        <f>IFERROR(Z16/Z444, "NA")</f>
        <v>4.1277580131134378E-6</v>
      </c>
      <c r="AB16" s="9"/>
      <c r="AC16" s="10">
        <f t="shared" si="3"/>
        <v>-1.1000000000000001</v>
      </c>
      <c r="AD16" s="8">
        <f>IFERROR(AC16/AC444, "NA")</f>
        <v>-4.4791848209384727E-5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57566.5</v>
      </c>
      <c r="C18" s="15">
        <f>IFERROR(B18/B444, "NA")</f>
        <v>0.4105062619381723</v>
      </c>
      <c r="D18" s="2"/>
      <c r="E18" s="14">
        <f>IFERROR(E10+E11+E12+E13+E14+E15+E16+E17, "NA")</f>
        <v>54835.83</v>
      </c>
      <c r="F18" s="15">
        <f>IFERROR(E18/E444, "NA")</f>
        <v>0.42600001864474457</v>
      </c>
      <c r="G18" s="2"/>
      <c r="H18" s="14">
        <f t="shared" si="0"/>
        <v>2730.6699999999983</v>
      </c>
      <c r="I18" s="15">
        <f>IFERROR(H18/H444, "NA")</f>
        <v>0.23723625887680114</v>
      </c>
      <c r="J18" s="2"/>
      <c r="K18" s="14">
        <f>IFERROR(K10+K11+K12+K13+K14+K15+K16+K17, "NA")</f>
        <v>59855.3</v>
      </c>
      <c r="L18" s="15">
        <f>IFERROR(K18/K444, "NA")</f>
        <v>0.49754408714770809</v>
      </c>
      <c r="M18" s="2"/>
      <c r="N18" s="14">
        <f t="shared" si="1"/>
        <v>-2288.8000000000029</v>
      </c>
      <c r="O18" s="15">
        <f>IFERROR(N18/N444, "NA")</f>
        <v>-0.11483364975134776</v>
      </c>
      <c r="P18" s="2"/>
      <c r="Q18" s="14">
        <f>IFERROR(Q10+Q11+Q12+Q13+Q14+Q15+Q16+Q17, "NA")</f>
        <v>117525.93000000001</v>
      </c>
      <c r="R18" s="15">
        <f>IFERROR(Q18/Q444, "NA")</f>
        <v>0.40380460814976904</v>
      </c>
      <c r="S18" s="2"/>
      <c r="T18" s="14">
        <f>IFERROR(T10+T11+T12+T13+T14+T15+T16+T17, "NA")</f>
        <v>119832.41</v>
      </c>
      <c r="U18" s="15">
        <f>IFERROR(T18/T444, "NA")</f>
        <v>0.42599998044769449</v>
      </c>
      <c r="V18" s="2"/>
      <c r="W18" s="14">
        <f t="shared" si="2"/>
        <v>-2306.4799999999959</v>
      </c>
      <c r="X18" s="15">
        <f>IFERROR(W18/W444, "NA")</f>
        <v>-0.2365673892128837</v>
      </c>
      <c r="Y18" s="2"/>
      <c r="Z18" s="14">
        <f>IFERROR(Z10+Z11+Z12+Z13+Z14+Z15+Z16+Z17, "NA")</f>
        <v>125010.54000000001</v>
      </c>
      <c r="AA18" s="15">
        <f>IFERROR(Z18/Z444, "NA")</f>
        <v>0.46910296200785262</v>
      </c>
      <c r="AB18" s="2"/>
      <c r="AC18" s="14">
        <f t="shared" si="3"/>
        <v>-7484.6100000000006</v>
      </c>
      <c r="AD18" s="15">
        <f>IFERROR(AC18/AC444, "NA")</f>
        <v>-0.30477228638767545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11842.48</v>
      </c>
      <c r="F21" s="8">
        <f>IFERROR(E21/E444, "NA")</f>
        <v>9.2000006214914859E-2</v>
      </c>
      <c r="G21" s="9"/>
      <c r="H21" s="10">
        <f t="shared" ref="H21:H29" si="4">IFERROR(B21-E21, "NA")</f>
        <v>-11842.48</v>
      </c>
      <c r="I21" s="8">
        <f>IFERROR(H21/H444, "NA")</f>
        <v>-1.0288557940078229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25879.3</v>
      </c>
      <c r="U21" s="8">
        <f>IFERROR(T21/T444, "NA")</f>
        <v>9.1999996445035356E-2</v>
      </c>
      <c r="V21" s="9"/>
      <c r="W21" s="10">
        <f t="shared" ref="W21:W29" si="6">IFERROR(Q21-T21, "NA")</f>
        <v>-25879.3</v>
      </c>
      <c r="X21" s="8">
        <f>IFERROR(W21/W444, "NA")</f>
        <v>-2.6543470724467553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7394.5</v>
      </c>
      <c r="L22" s="8">
        <f>IFERROR(K22/K444, "NA")</f>
        <v>6.1466399005831181E-2</v>
      </c>
      <c r="M22" s="9"/>
      <c r="N22" s="10">
        <f t="shared" si="5"/>
        <v>-7394.5</v>
      </c>
      <c r="O22" s="8">
        <f>IFERROR(N22/N444, "NA")</f>
        <v>-0.37099677695138933</v>
      </c>
      <c r="P22" s="9"/>
      <c r="Q22" s="7">
        <v>2374.6799999999998</v>
      </c>
      <c r="R22" s="8">
        <f>IFERROR(Q22/Q444, "NA")</f>
        <v>8.1591077550383431E-3</v>
      </c>
      <c r="S22" s="9"/>
      <c r="T22" s="7">
        <v>0</v>
      </c>
      <c r="U22" s="8">
        <f>IFERROR(T22/T444, "NA")</f>
        <v>0</v>
      </c>
      <c r="V22" s="9"/>
      <c r="W22" s="10">
        <f t="shared" si="6"/>
        <v>2374.6799999999998</v>
      </c>
      <c r="X22" s="8">
        <f>IFERROR(W22/W444, "NA")</f>
        <v>0.24356241884432192</v>
      </c>
      <c r="Y22" s="9"/>
      <c r="Z22" s="7">
        <v>16681.900000000001</v>
      </c>
      <c r="AA22" s="8">
        <f>IFERROR(Z22/Z444, "NA")</f>
        <v>6.2598951271779141E-2</v>
      </c>
      <c r="AB22" s="9"/>
      <c r="AC22" s="10">
        <f t="shared" si="7"/>
        <v>-14307.220000000001</v>
      </c>
      <c r="AD22" s="8">
        <f>IFERROR(AC22/AC444, "NA")</f>
        <v>-0.58258802412570299</v>
      </c>
    </row>
    <row r="23" spans="1:30" ht="16.5" customHeight="1" x14ac:dyDescent="0.45">
      <c r="A23" s="12" t="s">
        <v>24</v>
      </c>
      <c r="B23" s="7">
        <v>6836.09</v>
      </c>
      <c r="C23" s="8">
        <f>IFERROR(B23/B444, "NA")</f>
        <v>4.8748104404000944E-2</v>
      </c>
      <c r="D23" s="9"/>
      <c r="E23" s="7">
        <v>0</v>
      </c>
      <c r="F23" s="8">
        <f>IFERROR(E23/E444, "NA")</f>
        <v>0</v>
      </c>
      <c r="G23" s="9"/>
      <c r="H23" s="10">
        <f t="shared" si="4"/>
        <v>6836.09</v>
      </c>
      <c r="I23" s="8">
        <f>IFERROR(H23/H444, "NA")</f>
        <v>0.5939086073912675</v>
      </c>
      <c r="J23" s="9"/>
      <c r="K23" s="7">
        <v>0</v>
      </c>
      <c r="L23" s="8">
        <f>IFERROR(K23/K444, "NA")</f>
        <v>0</v>
      </c>
      <c r="M23" s="9"/>
      <c r="N23" s="10">
        <f t="shared" si="5"/>
        <v>6836.09</v>
      </c>
      <c r="O23" s="8">
        <f>IFERROR(N23/N444, "NA")</f>
        <v>0.34298023624986451</v>
      </c>
      <c r="P23" s="9"/>
      <c r="Q23" s="7">
        <v>12279.05</v>
      </c>
      <c r="R23" s="8">
        <f>IFERROR(Q23/Q444, "NA")</f>
        <v>4.2189302171030861E-2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12279.05</v>
      </c>
      <c r="X23" s="8">
        <f>IFERROR(W23/W444, "NA")</f>
        <v>1.259418161230301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12279.05</v>
      </c>
      <c r="AD23" s="8">
        <f>IFERROR(AC23/AC444, "NA")</f>
        <v>0.50000122159585947</v>
      </c>
    </row>
    <row r="24" spans="1:30" ht="16.5" customHeight="1" x14ac:dyDescent="0.45">
      <c r="A24" s="12" t="s">
        <v>25</v>
      </c>
      <c r="B24" s="7">
        <v>1180.71</v>
      </c>
      <c r="C24" s="8">
        <f>IFERROR(B24/B444, "NA")</f>
        <v>8.4196337893222527E-3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1180.71</v>
      </c>
      <c r="I24" s="8">
        <f>IFERROR(H24/H444, "NA")</f>
        <v>0.10257820359780861</v>
      </c>
      <c r="J24" s="9"/>
      <c r="K24" s="7">
        <v>1621.03</v>
      </c>
      <c r="L24" s="8">
        <f>IFERROR(K24/K444, "NA")</f>
        <v>1.3474728079034758E-2</v>
      </c>
      <c r="M24" s="9"/>
      <c r="N24" s="10">
        <f t="shared" si="5"/>
        <v>-440.31999999999994</v>
      </c>
      <c r="O24" s="8">
        <f>IFERROR(N24/N444, "NA")</f>
        <v>-2.2091730451989415E-2</v>
      </c>
      <c r="P24" s="9"/>
      <c r="Q24" s="7">
        <v>3009.4</v>
      </c>
      <c r="R24" s="8">
        <f>IFERROR(Q24/Q444, "NA")</f>
        <v>1.033992743359627E-2</v>
      </c>
      <c r="S24" s="9"/>
      <c r="T24" s="7">
        <v>0</v>
      </c>
      <c r="U24" s="8">
        <f>IFERROR(T24/T444, "NA")</f>
        <v>0</v>
      </c>
      <c r="V24" s="9"/>
      <c r="W24" s="10">
        <f t="shared" si="6"/>
        <v>3009.4</v>
      </c>
      <c r="X24" s="8">
        <f>IFERROR(W24/W444, "NA")</f>
        <v>0.30866337496845997</v>
      </c>
      <c r="Y24" s="9"/>
      <c r="Z24" s="7">
        <v>3411.04</v>
      </c>
      <c r="AA24" s="8">
        <f>IFERROR(Z24/Z444, "NA")</f>
        <v>1.2799952448227689E-2</v>
      </c>
      <c r="AB24" s="9"/>
      <c r="AC24" s="10">
        <f t="shared" si="7"/>
        <v>-401.63999999999987</v>
      </c>
      <c r="AD24" s="8">
        <f>IFERROR(AC24/AC444, "NA")</f>
        <v>-1.635472537710661E-2</v>
      </c>
    </row>
    <row r="25" spans="1:30" ht="16.5" customHeight="1" x14ac:dyDescent="0.45">
      <c r="A25" s="12" t="s">
        <v>26</v>
      </c>
      <c r="B25" s="7">
        <v>83.22</v>
      </c>
      <c r="C25" s="8">
        <f>IFERROR(B25/B444, "NA")</f>
        <v>5.9344117009883692E-4</v>
      </c>
      <c r="D25" s="9"/>
      <c r="E25" s="7">
        <v>0</v>
      </c>
      <c r="F25" s="8">
        <f>IFERROR(E25/E444, "NA")</f>
        <v>0</v>
      </c>
      <c r="G25" s="9"/>
      <c r="H25" s="10">
        <f t="shared" si="4"/>
        <v>83.22</v>
      </c>
      <c r="I25" s="8">
        <f>IFERROR(H25/H444, "NA")</f>
        <v>7.2300210071987465E-3</v>
      </c>
      <c r="J25" s="9"/>
      <c r="K25" s="7">
        <v>0</v>
      </c>
      <c r="L25" s="8">
        <f>IFERROR(K25/K444, "NA")</f>
        <v>0</v>
      </c>
      <c r="M25" s="9"/>
      <c r="N25" s="10">
        <f t="shared" si="5"/>
        <v>83.22</v>
      </c>
      <c r="O25" s="8">
        <f>IFERROR(N25/N444, "NA")</f>
        <v>4.1753129728710012E-3</v>
      </c>
      <c r="P25" s="9"/>
      <c r="Q25" s="7">
        <v>233.61</v>
      </c>
      <c r="R25" s="8">
        <f>IFERROR(Q25/Q444, "NA")</f>
        <v>8.0265516307650184E-4</v>
      </c>
      <c r="S25" s="9"/>
      <c r="T25" s="7">
        <v>0</v>
      </c>
      <c r="U25" s="8">
        <f>IFERROR(T25/T444, "NA")</f>
        <v>0</v>
      </c>
      <c r="V25" s="9"/>
      <c r="W25" s="10">
        <f t="shared" si="6"/>
        <v>233.61</v>
      </c>
      <c r="X25" s="8">
        <f>IFERROR(W25/W444, "NA")</f>
        <v>2.3960540648096607E-2</v>
      </c>
      <c r="Y25" s="9"/>
      <c r="Z25" s="7">
        <v>0</v>
      </c>
      <c r="AA25" s="8">
        <f>IFERROR(Z25/Z444, "NA")</f>
        <v>0</v>
      </c>
      <c r="AB25" s="9"/>
      <c r="AC25" s="10">
        <f t="shared" si="7"/>
        <v>233.61</v>
      </c>
      <c r="AD25" s="8">
        <f>IFERROR(AC25/AC444, "NA")</f>
        <v>9.512566963813059E-3</v>
      </c>
    </row>
    <row r="26" spans="1:30" ht="16.5" customHeight="1" x14ac:dyDescent="0.45">
      <c r="A26" s="12" t="s">
        <v>27</v>
      </c>
      <c r="B26" s="7">
        <v>3681.42</v>
      </c>
      <c r="C26" s="8">
        <f>IFERROR(B26/B444, "NA")</f>
        <v>2.6252177270190583E-2</v>
      </c>
      <c r="D26" s="9"/>
      <c r="E26" s="7">
        <v>0</v>
      </c>
      <c r="F26" s="8">
        <f>IFERROR(E26/E444, "NA")</f>
        <v>0</v>
      </c>
      <c r="G26" s="9"/>
      <c r="H26" s="10">
        <f t="shared" si="4"/>
        <v>3681.42</v>
      </c>
      <c r="I26" s="8">
        <f>IFERROR(H26/H444, "NA")</f>
        <v>0.31983590406538825</v>
      </c>
      <c r="J26" s="9"/>
      <c r="K26" s="7">
        <v>0</v>
      </c>
      <c r="L26" s="8">
        <f>IFERROR(K26/K444, "NA")</f>
        <v>0</v>
      </c>
      <c r="M26" s="9"/>
      <c r="N26" s="10">
        <f t="shared" si="5"/>
        <v>3681.42</v>
      </c>
      <c r="O26" s="8">
        <f>IFERROR(N26/N444, "NA")</f>
        <v>0.18470416588063882</v>
      </c>
      <c r="P26" s="9"/>
      <c r="Q26" s="7">
        <v>5817.99</v>
      </c>
      <c r="R26" s="8">
        <f>IFERROR(Q26/Q444, "NA")</f>
        <v>1.9989896460885479E-2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5817.99</v>
      </c>
      <c r="X26" s="8">
        <f>IFERROR(W26/W444, "NA")</f>
        <v>0.59673038776259391</v>
      </c>
      <c r="Y26" s="9"/>
      <c r="Z26" s="7">
        <v>0</v>
      </c>
      <c r="AA26" s="8">
        <f>IFERROR(Z26/Z444, "NA")</f>
        <v>0</v>
      </c>
      <c r="AB26" s="9"/>
      <c r="AC26" s="10">
        <f t="shared" si="7"/>
        <v>5817.99</v>
      </c>
      <c r="AD26" s="8">
        <f>IFERROR(AC26/AC444, "NA")</f>
        <v>0.23690774996701655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862.56</v>
      </c>
      <c r="C28" s="8">
        <f>IFERROR(B28/B444, "NA")</f>
        <v>6.1509086238939288E-3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862.56</v>
      </c>
      <c r="I28" s="8">
        <f>IFERROR(H28/H444, "NA")</f>
        <v>7.4937838499992193E-2</v>
      </c>
      <c r="J28" s="9"/>
      <c r="K28" s="7">
        <v>951.09</v>
      </c>
      <c r="L28" s="8">
        <f>IFERROR(K28/K444, "NA")</f>
        <v>7.9058864602685758E-3</v>
      </c>
      <c r="M28" s="9"/>
      <c r="N28" s="10">
        <f t="shared" si="5"/>
        <v>-88.530000000000086</v>
      </c>
      <c r="O28" s="8">
        <f>IFERROR(N28/N444, "NA")</f>
        <v>-4.4417262375422992E-3</v>
      </c>
      <c r="P28" s="9"/>
      <c r="Q28" s="7">
        <v>2324.12</v>
      </c>
      <c r="R28" s="8">
        <f>IFERROR(Q28/Q444, "NA")</f>
        <v>7.9853898275303245E-3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2324.12</v>
      </c>
      <c r="X28" s="8">
        <f>IFERROR(W28/W444, "NA")</f>
        <v>0.23837666080670469</v>
      </c>
      <c r="Y28" s="9"/>
      <c r="Z28" s="7">
        <v>2538.44</v>
      </c>
      <c r="AA28" s="8">
        <f>IFERROR(Z28/Z444, "NA")</f>
        <v>9.525514591643339E-3</v>
      </c>
      <c r="AB28" s="9"/>
      <c r="AC28" s="10">
        <f t="shared" si="7"/>
        <v>-214.32000000000016</v>
      </c>
      <c r="AD28" s="8">
        <f>IFERROR(AC28/AC444, "NA")</f>
        <v>-8.7270808256684918E-3</v>
      </c>
    </row>
    <row r="29" spans="1:30" ht="16.5" customHeight="1" x14ac:dyDescent="0.45">
      <c r="A29" s="13" t="s">
        <v>30</v>
      </c>
      <c r="B29" s="14">
        <f>IFERROR(B21+B22+B23+B24+B25+B26+B27+B28, "NA")</f>
        <v>12644</v>
      </c>
      <c r="C29" s="15">
        <f>IFERROR(B29/B444, "NA")</f>
        <v>9.0164265257506551E-2</v>
      </c>
      <c r="D29" s="2"/>
      <c r="E29" s="14">
        <f>IFERROR(E21+E22+E23+E24+E25+E26+E27+E28, "NA")</f>
        <v>11842.48</v>
      </c>
      <c r="F29" s="15">
        <f>IFERROR(E29/E444, "NA")</f>
        <v>9.2000006214914859E-2</v>
      </c>
      <c r="G29" s="2"/>
      <c r="H29" s="14">
        <f t="shared" si="4"/>
        <v>801.52000000000044</v>
      </c>
      <c r="I29" s="15">
        <f>IFERROR(H29/H444, "NA")</f>
        <v>6.9634780553832529E-2</v>
      </c>
      <c r="J29" s="2"/>
      <c r="K29" s="14">
        <f>IFERROR(K21+K22+K23+K24+K25+K26+K27+K28, "NA")</f>
        <v>9966.6200000000008</v>
      </c>
      <c r="L29" s="15">
        <f>IFERROR(K29/K444, "NA")</f>
        <v>8.2847013545134518E-2</v>
      </c>
      <c r="M29" s="2"/>
      <c r="N29" s="14">
        <f t="shared" si="5"/>
        <v>2677.3799999999992</v>
      </c>
      <c r="O29" s="15">
        <f>IFERROR(N29/N444, "NA")</f>
        <v>0.13432948146245324</v>
      </c>
      <c r="P29" s="2"/>
      <c r="Q29" s="14">
        <f>IFERROR(Q21+Q22+Q23+Q24+Q25+Q26+Q27+Q28, "NA")</f>
        <v>26038.850000000002</v>
      </c>
      <c r="R29" s="15">
        <f>IFERROR(Q29/Q444, "NA")</f>
        <v>8.946627881115779E-2</v>
      </c>
      <c r="S29" s="2"/>
      <c r="T29" s="14">
        <f>IFERROR(T21+T22+T23+T24+T25+T26+T27+T28, "NA")</f>
        <v>25879.3</v>
      </c>
      <c r="U29" s="15">
        <f>IFERROR(T29/T444, "NA")</f>
        <v>9.1999996445035356E-2</v>
      </c>
      <c r="V29" s="2"/>
      <c r="W29" s="14">
        <f t="shared" si="6"/>
        <v>159.55000000000291</v>
      </c>
      <c r="X29" s="15">
        <f>IFERROR(W29/W444, "NA")</f>
        <v>1.636447181372323E-2</v>
      </c>
      <c r="Y29" s="2"/>
      <c r="Z29" s="14">
        <f>IFERROR(Z21+Z22+Z23+Z24+Z25+Z26+Z27+Z28, "NA")</f>
        <v>22631.38</v>
      </c>
      <c r="AA29" s="15">
        <f>IFERROR(Z29/Z444, "NA")</f>
        <v>8.4924418311650166E-2</v>
      </c>
      <c r="AB29" s="2"/>
      <c r="AC29" s="14">
        <f t="shared" si="7"/>
        <v>3407.4700000000012</v>
      </c>
      <c r="AD29" s="15">
        <f>IFERROR(AC29/AC444, "NA")</f>
        <v>0.13875170819821109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31150.87</v>
      </c>
      <c r="F31" s="8">
        <f>IFERROR(E31/E444, "NA")</f>
        <v>0.24200000621491485</v>
      </c>
      <c r="G31" s="9"/>
      <c r="H31" s="10">
        <f t="shared" ref="H31:H40" si="8">IFERROR(B31-E31, "NA")</f>
        <v>-31150.87</v>
      </c>
      <c r="I31" s="8">
        <f>IFERROR(H31/H444, "NA")</f>
        <v>-2.7063379535270036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68073.820000000007</v>
      </c>
      <c r="U31" s="8">
        <f>IFERROR(T31/T444, "NA")</f>
        <v>0.2420000231072702</v>
      </c>
      <c r="V31" s="9"/>
      <c r="W31" s="10">
        <f t="shared" ref="W31:W40" si="10">IFERROR(Q31-T31, "NA")</f>
        <v>-68073.820000000007</v>
      </c>
      <c r="X31" s="8">
        <f>IFERROR(W31/W444, "NA")</f>
        <v>-6.9820878009554894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14003.33</v>
      </c>
      <c r="C33" s="8">
        <f>IFERROR(B33/B444, "NA")</f>
        <v>9.985763687190756E-2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14003.33</v>
      </c>
      <c r="I33" s="8">
        <f>IFERROR(H33/H444, "NA")</f>
        <v>1.2165869991677052</v>
      </c>
      <c r="J33" s="9"/>
      <c r="K33" s="7">
        <v>13320.58</v>
      </c>
      <c r="L33" s="8">
        <f>IFERROR(K33/K444, "NA")</f>
        <v>0.11072663266875309</v>
      </c>
      <c r="M33" s="9"/>
      <c r="N33" s="10">
        <f t="shared" si="9"/>
        <v>682.75</v>
      </c>
      <c r="O33" s="8">
        <f>IFERROR(N33/N444, "NA")</f>
        <v>3.4254925885936989E-2</v>
      </c>
      <c r="P33" s="9"/>
      <c r="Q33" s="7">
        <v>36920.11</v>
      </c>
      <c r="R33" s="8">
        <f>IFERROR(Q33/Q444, "NA")</f>
        <v>0.12685294684667772</v>
      </c>
      <c r="S33" s="9"/>
      <c r="T33" s="7">
        <v>0</v>
      </c>
      <c r="U33" s="8">
        <f>IFERROR(T33/T444, "NA")</f>
        <v>0</v>
      </c>
      <c r="V33" s="9"/>
      <c r="W33" s="10">
        <f t="shared" si="10"/>
        <v>36920.11</v>
      </c>
      <c r="X33" s="8">
        <f>IFERROR(W33/W444, "NA")</f>
        <v>3.786763393635538</v>
      </c>
      <c r="Y33" s="9"/>
      <c r="Z33" s="7">
        <v>33144.22</v>
      </c>
      <c r="AA33" s="8">
        <f>IFERROR(Z33/Z444, "NA")</f>
        <v>0.12437392699399513</v>
      </c>
      <c r="AB33" s="9"/>
      <c r="AC33" s="10">
        <f t="shared" si="11"/>
        <v>3775.8899999999994</v>
      </c>
      <c r="AD33" s="8">
        <f>IFERROR(AC33/AC444, "NA")</f>
        <v>0.15375371975939423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1191.8800000000001</v>
      </c>
      <c r="C35" s="8">
        <f>IFERROR(B35/B444, "NA")</f>
        <v>8.4992869720908661E-3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1191.8800000000001</v>
      </c>
      <c r="I35" s="8">
        <f>IFERROR(H35/H444, "NA")</f>
        <v>0.1035486354008657</v>
      </c>
      <c r="J35" s="9"/>
      <c r="K35" s="7">
        <v>1382.84</v>
      </c>
      <c r="L35" s="8">
        <f>IFERROR(K35/K444, "NA")</f>
        <v>1.1494786016799458E-2</v>
      </c>
      <c r="M35" s="9"/>
      <c r="N35" s="10">
        <f t="shared" si="9"/>
        <v>-190.95999999999981</v>
      </c>
      <c r="O35" s="8">
        <f>IFERROR(N35/N444, "NA")</f>
        <v>-9.5808431302504878E-3</v>
      </c>
      <c r="P35" s="9"/>
      <c r="Q35" s="7">
        <v>2646.54</v>
      </c>
      <c r="R35" s="8">
        <f>IFERROR(Q35/Q444, "NA")</f>
        <v>9.093185203067013E-3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2646.54</v>
      </c>
      <c r="X35" s="8">
        <f>IFERROR(W35/W444, "NA")</f>
        <v>0.27144612493820297</v>
      </c>
      <c r="Y35" s="9"/>
      <c r="Z35" s="7">
        <v>4258.53</v>
      </c>
      <c r="AA35" s="8">
        <f>IFERROR(Z35/Z444, "NA")</f>
        <v>1.5980164846894514E-2</v>
      </c>
      <c r="AB35" s="9"/>
      <c r="AC35" s="10">
        <f t="shared" si="11"/>
        <v>-1611.9899999999998</v>
      </c>
      <c r="AD35" s="8">
        <f>IFERROR(AC35/AC444, "NA")</f>
        <v>-6.5640010359132792E-2</v>
      </c>
    </row>
    <row r="36" spans="1:30" ht="16.5" customHeight="1" x14ac:dyDescent="0.45">
      <c r="A36" s="12" t="s">
        <v>36</v>
      </c>
      <c r="B36" s="7">
        <v>19084.72</v>
      </c>
      <c r="C36" s="8">
        <f>IFERROR(B36/B444, "NA")</f>
        <v>0.13609298927912372</v>
      </c>
      <c r="D36" s="9"/>
      <c r="E36" s="7">
        <v>0</v>
      </c>
      <c r="F36" s="8">
        <f>IFERROR(E36/E444, "NA")</f>
        <v>0</v>
      </c>
      <c r="G36" s="9"/>
      <c r="H36" s="10">
        <f t="shared" si="8"/>
        <v>19084.72</v>
      </c>
      <c r="I36" s="8">
        <f>IFERROR(H36/H444, "NA")</f>
        <v>1.6580500662882249</v>
      </c>
      <c r="J36" s="9"/>
      <c r="K36" s="7">
        <v>23694.03</v>
      </c>
      <c r="L36" s="8">
        <f>IFERROR(K36/K444, "NA")</f>
        <v>0.196955399558609</v>
      </c>
      <c r="M36" s="9"/>
      <c r="N36" s="10">
        <f t="shared" si="9"/>
        <v>-4609.3099999999977</v>
      </c>
      <c r="O36" s="8">
        <f>IFERROR(N36/N444, "NA")</f>
        <v>-0.2312582532922858</v>
      </c>
      <c r="P36" s="9"/>
      <c r="Q36" s="7">
        <v>40018.17</v>
      </c>
      <c r="R36" s="8">
        <f>IFERROR(Q36/Q444, "NA")</f>
        <v>0.13749749911122458</v>
      </c>
      <c r="S36" s="9"/>
      <c r="T36" s="7">
        <v>0</v>
      </c>
      <c r="U36" s="8">
        <f>IFERROR(T36/T444, "NA")</f>
        <v>0</v>
      </c>
      <c r="V36" s="9"/>
      <c r="W36" s="10">
        <f t="shared" si="10"/>
        <v>40018.17</v>
      </c>
      <c r="X36" s="8">
        <f>IFERROR(W36/W444, "NA")</f>
        <v>4.1045203071248668</v>
      </c>
      <c r="Y36" s="9"/>
      <c r="Z36" s="7">
        <v>54193.03</v>
      </c>
      <c r="AA36" s="8">
        <f>IFERROR(Z36/Z444, "NA")</f>
        <v>0.20335973985217898</v>
      </c>
      <c r="AB36" s="9"/>
      <c r="AC36" s="10">
        <f t="shared" si="11"/>
        <v>-14174.86</v>
      </c>
      <c r="AD36" s="8">
        <f>IFERROR(AC36/AC444, "NA")</f>
        <v>-0.57719834319025376</v>
      </c>
    </row>
    <row r="37" spans="1:30" ht="16.5" customHeight="1" x14ac:dyDescent="0.45">
      <c r="A37" s="12" t="s">
        <v>37</v>
      </c>
      <c r="B37" s="7">
        <v>1177.28</v>
      </c>
      <c r="C37" s="8">
        <f>IFERROR(B37/B444, "NA")</f>
        <v>8.3951744861086135E-3</v>
      </c>
      <c r="D37" s="9"/>
      <c r="E37" s="7">
        <v>0</v>
      </c>
      <c r="F37" s="8">
        <f>IFERROR(E37/E444, "NA")</f>
        <v>0</v>
      </c>
      <c r="G37" s="9"/>
      <c r="H37" s="10">
        <f t="shared" si="8"/>
        <v>1177.28</v>
      </c>
      <c r="I37" s="8">
        <f>IFERROR(H37/H444, "NA")</f>
        <v>0.10228021066276065</v>
      </c>
      <c r="J37" s="9"/>
      <c r="K37" s="7">
        <v>0</v>
      </c>
      <c r="L37" s="8">
        <f>IFERROR(K37/K444, "NA")</f>
        <v>0</v>
      </c>
      <c r="M37" s="9"/>
      <c r="N37" s="10">
        <f t="shared" si="9"/>
        <v>1177.28</v>
      </c>
      <c r="O37" s="8">
        <f>IFERROR(N37/N444, "NA")</f>
        <v>5.9066479893073447E-2</v>
      </c>
      <c r="P37" s="9"/>
      <c r="Q37" s="7">
        <v>2128.13</v>
      </c>
      <c r="R37" s="8">
        <f>IFERROR(Q37/Q444, "NA")</f>
        <v>7.3119923470656044E-3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2128.13</v>
      </c>
      <c r="X37" s="8">
        <f>IFERROR(W37/W444, "NA")</f>
        <v>0.21827466876175605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2128.13</v>
      </c>
      <c r="AD37" s="8">
        <f>IFERROR(AC37/AC444, "NA")</f>
        <v>8.6657159936216283E-2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1205.45</v>
      </c>
      <c r="L39" s="8">
        <f>IFERROR(K39/K444, "NA")</f>
        <v>1.0020240811627452E-2</v>
      </c>
      <c r="M39" s="9"/>
      <c r="N39" s="10">
        <f t="shared" si="9"/>
        <v>-1205.45</v>
      </c>
      <c r="O39" s="8">
        <f>IFERROR(N39/N444, "NA")</f>
        <v>-6.0479824839549973E-2</v>
      </c>
      <c r="P39" s="9"/>
      <c r="Q39" s="7">
        <v>137.65</v>
      </c>
      <c r="R39" s="8">
        <f>IFERROR(Q39/Q444, "NA")</f>
        <v>4.7294843199126952E-4</v>
      </c>
      <c r="S39" s="9"/>
      <c r="T39" s="7">
        <v>0</v>
      </c>
      <c r="U39" s="8">
        <f>IFERROR(T39/T444, "NA")</f>
        <v>0</v>
      </c>
      <c r="V39" s="9"/>
      <c r="W39" s="10">
        <f t="shared" si="10"/>
        <v>137.65</v>
      </c>
      <c r="X39" s="8">
        <f>IFERROR(W39/W444, "NA")</f>
        <v>1.4118267283979701E-2</v>
      </c>
      <c r="Y39" s="9"/>
      <c r="Z39" s="7">
        <v>2289.58</v>
      </c>
      <c r="AA39" s="8">
        <f>IFERROR(Z39/Z444, "NA")</f>
        <v>8.5916656287856937E-3</v>
      </c>
      <c r="AB39" s="9"/>
      <c r="AC39" s="10">
        <f t="shared" si="11"/>
        <v>-2151.9299999999998</v>
      </c>
      <c r="AD39" s="8">
        <f>IFERROR(AC39/AC444, "NA")</f>
        <v>-8.7626292652019322E-2</v>
      </c>
    </row>
    <row r="40" spans="1:30" ht="16.5" customHeight="1" x14ac:dyDescent="0.45">
      <c r="A40" s="13" t="s">
        <v>40</v>
      </c>
      <c r="B40" s="14">
        <f>IFERROR(B31+B32+B33+B34+B35+B36+B37+B38+B39, "NA")</f>
        <v>35457.21</v>
      </c>
      <c r="C40" s="15">
        <f>IFERROR(B40/B444, "NA")</f>
        <v>0.25284508760923075</v>
      </c>
      <c r="D40" s="2"/>
      <c r="E40" s="14">
        <f>IFERROR(E31+E32+E33+E34+E35+E36+E37+E38+E39, "NA")</f>
        <v>31150.87</v>
      </c>
      <c r="F40" s="15">
        <f>IFERROR(E40/E444, "NA")</f>
        <v>0.24200000621491485</v>
      </c>
      <c r="G40" s="2"/>
      <c r="H40" s="14">
        <f t="shared" si="8"/>
        <v>4306.34</v>
      </c>
      <c r="I40" s="15">
        <f>IFERROR(H40/H444, "NA")</f>
        <v>0.37412795799255288</v>
      </c>
      <c r="J40" s="2"/>
      <c r="K40" s="14">
        <f>IFERROR(K31+K32+K33+K34+K35+K36+K37+K38+K39, "NA")</f>
        <v>39602.899999999994</v>
      </c>
      <c r="L40" s="15">
        <f>IFERROR(K40/K444, "NA")</f>
        <v>0.32919705905578894</v>
      </c>
      <c r="M40" s="2"/>
      <c r="N40" s="14">
        <f t="shared" si="9"/>
        <v>-4145.6899999999951</v>
      </c>
      <c r="O40" s="15">
        <f>IFERROR(N40/N444, "NA")</f>
        <v>-0.20799751548307571</v>
      </c>
      <c r="P40" s="2"/>
      <c r="Q40" s="14">
        <f>IFERROR(Q31+Q32+Q33+Q34+Q35+Q36+Q37+Q38+Q39, "NA")</f>
        <v>81850.600000000006</v>
      </c>
      <c r="R40" s="15">
        <f>IFERROR(Q40/Q444, "NA")</f>
        <v>0.28122857194002621</v>
      </c>
      <c r="S40" s="2"/>
      <c r="T40" s="14">
        <f>IFERROR(T31+T32+T33+T34+T35+T36+T37+T38+T39, "NA")</f>
        <v>68073.820000000007</v>
      </c>
      <c r="U40" s="15">
        <f>IFERROR(T40/T444, "NA")</f>
        <v>0.2420000231072702</v>
      </c>
      <c r="V40" s="2"/>
      <c r="W40" s="14">
        <f t="shared" si="10"/>
        <v>13776.779999999999</v>
      </c>
      <c r="X40" s="15">
        <f>IFERROR(W40/W444, "NA")</f>
        <v>1.4130349607888546</v>
      </c>
      <c r="Y40" s="2"/>
      <c r="Z40" s="14">
        <f>IFERROR(Z31+Z32+Z33+Z34+Z35+Z36+Z37+Z38+Z39, "NA")</f>
        <v>93885.36</v>
      </c>
      <c r="AA40" s="15">
        <f>IFERROR(Z40/Z444, "NA")</f>
        <v>0.35230549732185434</v>
      </c>
      <c r="AB40" s="2"/>
      <c r="AC40" s="14">
        <f t="shared" si="11"/>
        <v>-12034.759999999995</v>
      </c>
      <c r="AD40" s="15">
        <f>IFERROR(AC40/AC444, "NA")</f>
        <v>-0.49005376650579513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25358.35</v>
      </c>
      <c r="F42" s="8">
        <f>IFERROR(E42/E444, "NA")</f>
        <v>0.1969999829089841</v>
      </c>
      <c r="G42" s="9"/>
      <c r="H42" s="10">
        <f>IFERROR(B42-E42, "NA")</f>
        <v>-25358.35</v>
      </c>
      <c r="I42" s="8">
        <f>IFERROR(H42/H444, "NA")</f>
        <v>-2.2030930450360291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55415.46</v>
      </c>
      <c r="U42" s="8">
        <f>IFERROR(T42/T444, "NA")</f>
        <v>0.19700000088874114</v>
      </c>
      <c r="V42" s="9"/>
      <c r="W42" s="10">
        <f>IFERROR(Q42-T42, "NA")</f>
        <v>-55415.46</v>
      </c>
      <c r="X42" s="8">
        <f>IFERROR(W42/W444, "NA")</f>
        <v>-5.6837651721372007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3925.98</v>
      </c>
      <c r="C43" s="8">
        <f>IFERROR(B43/B444, "NA")</f>
        <v>2.7996132720315214E-2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3925.98</v>
      </c>
      <c r="I43" s="8">
        <f>IFERROR(H43/H444, "NA")</f>
        <v>0.34108288721271496</v>
      </c>
      <c r="J43" s="9"/>
      <c r="K43" s="7">
        <v>6161.37</v>
      </c>
      <c r="L43" s="8">
        <f>IFERROR(K43/K444, "NA")</f>
        <v>5.1216069625067015E-2</v>
      </c>
      <c r="M43" s="9"/>
      <c r="N43" s="10">
        <f>IFERROR(B43-K43, "NA")</f>
        <v>-2235.39</v>
      </c>
      <c r="O43" s="8">
        <f>IFERROR(N43/N444, "NA")</f>
        <v>-0.11215396378786478</v>
      </c>
      <c r="P43" s="9"/>
      <c r="Q43" s="7">
        <v>10042.450000000001</v>
      </c>
      <c r="R43" s="8">
        <f>IFERROR(Q43/Q444, "NA")</f>
        <v>3.4504620274978026E-2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10042.450000000001</v>
      </c>
      <c r="X43" s="8">
        <f>IFERROR(W43/W444, "NA")</f>
        <v>1.0300181132292188</v>
      </c>
      <c r="Y43" s="9"/>
      <c r="Z43" s="7">
        <v>12144.89</v>
      </c>
      <c r="AA43" s="8">
        <f>IFERROR(Z43/Z444, "NA")</f>
        <v>4.5573788196255682E-2</v>
      </c>
      <c r="AB43" s="9"/>
      <c r="AC43" s="10">
        <f>IFERROR(Q43-Z43, "NA")</f>
        <v>-2102.4399999999987</v>
      </c>
      <c r="AD43" s="8">
        <f>IFERROR(AC43/AC444, "NA")</f>
        <v>-8.5611066681217041E-2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17315.47</v>
      </c>
      <c r="C48" s="8">
        <f>IFERROR(B48/B444, "NA")</f>
        <v>0.12347648134596623</v>
      </c>
      <c r="D48" s="9"/>
      <c r="E48" s="7">
        <v>0</v>
      </c>
      <c r="F48" s="8">
        <f>IFERROR(E48/E444, "NA")</f>
        <v>0</v>
      </c>
      <c r="G48" s="9"/>
      <c r="H48" s="10">
        <f t="shared" si="12"/>
        <v>17315.47</v>
      </c>
      <c r="I48" s="8">
        <f>IFERROR(H48/H444, "NA")</f>
        <v>1.504340445199708</v>
      </c>
      <c r="J48" s="9"/>
      <c r="K48" s="7">
        <v>6595.22</v>
      </c>
      <c r="L48" s="8">
        <f>IFERROR(K48/K444, "NA")</f>
        <v>5.4822425323042524E-2</v>
      </c>
      <c r="M48" s="9"/>
      <c r="N48" s="10">
        <f t="shared" si="13"/>
        <v>10720.25</v>
      </c>
      <c r="O48" s="8">
        <f>IFERROR(N48/N444, "NA")</f>
        <v>0.5378562712980095</v>
      </c>
      <c r="P48" s="9"/>
      <c r="Q48" s="7">
        <v>40123.21</v>
      </c>
      <c r="R48" s="8">
        <f>IFERROR(Q48/Q444, "NA")</f>
        <v>0.13785840360302526</v>
      </c>
      <c r="S48" s="9"/>
      <c r="T48" s="7">
        <v>0</v>
      </c>
      <c r="U48" s="8">
        <f>IFERROR(T48/T444, "NA")</f>
        <v>0</v>
      </c>
      <c r="V48" s="9"/>
      <c r="W48" s="10">
        <f t="shared" si="14"/>
        <v>40123.21</v>
      </c>
      <c r="X48" s="8">
        <f>IFERROR(W48/W444, "NA")</f>
        <v>4.1152938835542834</v>
      </c>
      <c r="Y48" s="9"/>
      <c r="Z48" s="7">
        <v>17236.400000000001</v>
      </c>
      <c r="AA48" s="8">
        <f>IFERROR(Z48/Z444, "NA")</f>
        <v>6.4679716561116776E-2</v>
      </c>
      <c r="AB48" s="9"/>
      <c r="AC48" s="10">
        <f t="shared" si="15"/>
        <v>22886.809999999998</v>
      </c>
      <c r="AD48" s="8">
        <f>IFERROR(AC48/AC444, "NA")</f>
        <v>0.93194774501548017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7900</v>
      </c>
      <c r="C52" s="8">
        <f>IFERROR(B52/B444, "NA")</f>
        <v>5.6334838305465179E-2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7900</v>
      </c>
      <c r="I52" s="8">
        <f>IFERROR(H52/H444, "NA")</f>
        <v>0.68633941308423574</v>
      </c>
      <c r="J52" s="9"/>
      <c r="K52" s="7">
        <v>0</v>
      </c>
      <c r="L52" s="8">
        <f>IFERROR(K52/K444, "NA")</f>
        <v>0</v>
      </c>
      <c r="M52" s="9"/>
      <c r="N52" s="10">
        <f t="shared" si="13"/>
        <v>7900</v>
      </c>
      <c r="O52" s="8">
        <f>IFERROR(N52/N444, "NA")</f>
        <v>0.39635871768422148</v>
      </c>
      <c r="P52" s="9"/>
      <c r="Q52" s="7">
        <v>7900</v>
      </c>
      <c r="R52" s="8">
        <f>IFERROR(Q52/Q444, "NA")</f>
        <v>2.7143426173127708E-2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7900</v>
      </c>
      <c r="X52" s="8">
        <f>IFERROR(W52/W444, "NA")</f>
        <v>0.81027469337769442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7900</v>
      </c>
      <c r="AD52" s="8">
        <f>IFERROR(AC52/AC444, "NA")</f>
        <v>0.32168690986739934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customHeight="1" x14ac:dyDescent="0.45">
      <c r="A55" s="17" t="s">
        <v>53</v>
      </c>
      <c r="B55" s="7">
        <v>251.57</v>
      </c>
      <c r="C55" s="8">
        <f>IFERROR(B55/B444, "NA")</f>
        <v>1.7939437053804904E-3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251.57</v>
      </c>
      <c r="I55" s="8">
        <f>IFERROR(H55/H444, "NA")</f>
        <v>2.1856000778430529E-2</v>
      </c>
      <c r="J55" s="9"/>
      <c r="K55" s="7">
        <v>467.61</v>
      </c>
      <c r="L55" s="8">
        <f>IFERROR(K55/K444, "NA")</f>
        <v>3.8869839528185434E-3</v>
      </c>
      <c r="M55" s="9"/>
      <c r="N55" s="10">
        <f t="shared" si="13"/>
        <v>-216.04000000000002</v>
      </c>
      <c r="O55" s="8">
        <f>IFERROR(N55/N444, "NA")</f>
        <v>-1.083915662892395E-2</v>
      </c>
      <c r="P55" s="9"/>
      <c r="Q55" s="7">
        <v>646.71</v>
      </c>
      <c r="R55" s="8">
        <f>IFERROR(Q55/Q444, "NA")</f>
        <v>2.2220158405599267E-3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646.71</v>
      </c>
      <c r="X55" s="8">
        <f>IFERROR(W55/W444, "NA")</f>
        <v>6.6330727462568198E-2</v>
      </c>
      <c r="Y55" s="9"/>
      <c r="Z55" s="7">
        <v>658.88</v>
      </c>
      <c r="AA55" s="8">
        <f>IFERROR(Z55/Z444, "NA")</f>
        <v>2.472451999709256E-3</v>
      </c>
      <c r="AB55" s="9"/>
      <c r="AC55" s="10">
        <f t="shared" si="15"/>
        <v>-12.169999999999959</v>
      </c>
      <c r="AD55" s="8">
        <f>IFERROR(AC55/AC444, "NA")</f>
        <v>-4.9556072064382741E-4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661.07</v>
      </c>
      <c r="R60" s="8">
        <f>IFERROR(Q60/Q444, "NA")</f>
        <v>2.2713550304138655E-3</v>
      </c>
      <c r="S60" s="9"/>
      <c r="T60" s="7">
        <v>0</v>
      </c>
      <c r="U60" s="8">
        <f>IFERROR(T60/T444, "NA")</f>
        <v>0</v>
      </c>
      <c r="V60" s="9"/>
      <c r="W60" s="10">
        <f t="shared" si="14"/>
        <v>661.07</v>
      </c>
      <c r="X60" s="8">
        <f>IFERROR(W60/W444, "NA")</f>
        <v>6.7803581209011712E-2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661.07</v>
      </c>
      <c r="AD60" s="8">
        <f>IFERROR(AC60/AC444, "NA")</f>
        <v>2.6918679177979962E-2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25467.040000000001</v>
      </c>
      <c r="C61" s="15">
        <f>IFERROR(B61/B444, "NA")</f>
        <v>0.1816052633568119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25467.040000000001</v>
      </c>
      <c r="I61" s="15">
        <f>IFERROR(H61/H444, "NA")</f>
        <v>2.212535859062374</v>
      </c>
      <c r="J61" s="2"/>
      <c r="K61" s="14">
        <f>IFERROR(K46+K47+K48+K49+K50+K51+K52+K53+K54+K55+K56+K57+K58+K59+K60, "NA")</f>
        <v>7062.83</v>
      </c>
      <c r="L61" s="15">
        <f>IFERROR(K61/K444, "NA")</f>
        <v>5.8709409275861067E-2</v>
      </c>
      <c r="M61" s="2"/>
      <c r="N61" s="14">
        <f t="shared" si="13"/>
        <v>18404.21</v>
      </c>
      <c r="O61" s="15">
        <f>IFERROR(N61/N444, "NA")</f>
        <v>0.923375832353307</v>
      </c>
      <c r="P61" s="2"/>
      <c r="Q61" s="14">
        <f>IFERROR(Q46+Q47+Q48+Q49+Q50+Q51+Q52+Q53+Q54+Q55+Q56+Q57+Q58+Q59+Q60, "NA")</f>
        <v>49330.99</v>
      </c>
      <c r="R61" s="15">
        <f>IFERROR(Q61/Q444, "NA")</f>
        <v>0.16949520064712675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49330.99</v>
      </c>
      <c r="X61" s="15">
        <f>IFERROR(W61/W444, "NA")</f>
        <v>5.0597028856035582</v>
      </c>
      <c r="Y61" s="2"/>
      <c r="Z61" s="14">
        <f>IFERROR(Z46+Z47+Z48+Z49+Z50+Z51+Z52+Z53+Z54+Z55+Z56+Z57+Z58+Z59+Z60, "NA")</f>
        <v>17895.280000000002</v>
      </c>
      <c r="AA61" s="15">
        <f>IFERROR(Z61/Z444, "NA")</f>
        <v>6.7152168560826037E-2</v>
      </c>
      <c r="AB61" s="2"/>
      <c r="AC61" s="14">
        <f t="shared" si="15"/>
        <v>31435.709999999995</v>
      </c>
      <c r="AD61" s="15">
        <f>IFERROR(AC61/AC444, "NA")</f>
        <v>1.2800577733402156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29393.02</v>
      </c>
      <c r="C62" s="15">
        <f>IFERROR(B62/B444, "NA")</f>
        <v>0.20960139607712711</v>
      </c>
      <c r="D62" s="2"/>
      <c r="E62" s="14">
        <f>IFERROR(E42+E43+E44+E46+E47+E48+E49+E50+E51+E52+E53+E54+E55+E56+E57+E58+E59+E60, "NA")</f>
        <v>25358.35</v>
      </c>
      <c r="F62" s="15">
        <f>IFERROR(E62/E444, "NA")</f>
        <v>0.1969999829089841</v>
      </c>
      <c r="G62" s="2"/>
      <c r="H62" s="14">
        <f t="shared" si="12"/>
        <v>4034.6700000000019</v>
      </c>
      <c r="I62" s="15">
        <f>IFERROR(H62/H444, "NA")</f>
        <v>0.35052570123906013</v>
      </c>
      <c r="J62" s="2"/>
      <c r="K62" s="14">
        <f>IFERROR(K42+K43+K44+K46+K47+K48+K49+K50+K51+K52+K53+K54+K55+K56+K57+K58+K59+K60, "NA")</f>
        <v>13224.2</v>
      </c>
      <c r="L62" s="15">
        <f>IFERROR(K62/K444, "NA")</f>
        <v>0.10992547890092809</v>
      </c>
      <c r="M62" s="2"/>
      <c r="N62" s="14">
        <f t="shared" si="13"/>
        <v>16168.82</v>
      </c>
      <c r="O62" s="15">
        <f>IFERROR(N62/N444, "NA")</f>
        <v>0.81122186856544221</v>
      </c>
      <c r="P62" s="2"/>
      <c r="Q62" s="14">
        <f>IFERROR(Q42+Q43+Q44+Q46+Q47+Q48+Q49+Q50+Q51+Q52+Q53+Q54+Q55+Q56+Q57+Q58+Q59+Q60, "NA")</f>
        <v>59373.440000000002</v>
      </c>
      <c r="R62" s="15">
        <f>IFERROR(Q62/Q444, "NA")</f>
        <v>0.20399982092210478</v>
      </c>
      <c r="S62" s="2"/>
      <c r="T62" s="14">
        <f>IFERROR(T42+T43+T44+T46+T47+T48+T49+T50+T51+T52+T53+T54+T55+T56+T57+T58+T59+T60, "NA")</f>
        <v>55415.46</v>
      </c>
      <c r="U62" s="15">
        <f>IFERROR(T62/T444, "NA")</f>
        <v>0.19700000088874114</v>
      </c>
      <c r="V62" s="2"/>
      <c r="W62" s="14">
        <f t="shared" si="14"/>
        <v>3957.9800000000032</v>
      </c>
      <c r="X62" s="15">
        <f>IFERROR(W62/W444, "NA")</f>
        <v>0.40595582669557589</v>
      </c>
      <c r="Y62" s="2"/>
      <c r="Z62" s="14">
        <f>IFERROR(Z42+Z43+Z44+Z46+Z47+Z48+Z49+Z50+Z51+Z52+Z53+Z54+Z55+Z56+Z57+Z58+Z59+Z60, "NA")</f>
        <v>30040.170000000002</v>
      </c>
      <c r="AA62" s="15">
        <f>IFERROR(Z62/Z444, "NA")</f>
        <v>0.11272595675708172</v>
      </c>
      <c r="AB62" s="2"/>
      <c r="AC62" s="14">
        <f t="shared" si="15"/>
        <v>29333.27</v>
      </c>
      <c r="AD62" s="15">
        <f>IFERROR(AC62/AC444, "NA")</f>
        <v>1.1944467066589988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10426.530000000001</v>
      </c>
      <c r="F64" s="8">
        <f>IFERROR(E64/E444, "NA")</f>
        <v>8.0999995338813857E-2</v>
      </c>
      <c r="G64" s="9"/>
      <c r="H64" s="10">
        <f t="shared" ref="H64:H73" si="16">IFERROR(B64-E64, "NA")</f>
        <v>-10426.530000000001</v>
      </c>
      <c r="I64" s="8">
        <f>IFERROR(H64/H444, "NA")</f>
        <v>-0.90584031401331355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22785.040000000001</v>
      </c>
      <c r="U64" s="8">
        <f>IFERROR(T64/T444, "NA")</f>
        <v>8.1000011553635093E-2</v>
      </c>
      <c r="V64" s="9"/>
      <c r="W64" s="10">
        <f t="shared" ref="W64:W73" si="18">IFERROR(Q64-T64, "NA")</f>
        <v>-22785.040000000001</v>
      </c>
      <c r="X64" s="8">
        <f>IFERROR(W64/W444, "NA")</f>
        <v>-2.3369799113415826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3596.51</v>
      </c>
      <c r="C65" s="8">
        <f>IFERROR(B65/B444, "NA")</f>
        <v>2.5646684723289695E-2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3596.51</v>
      </c>
      <c r="I65" s="8">
        <f>IFERROR(H65/H444, "NA")</f>
        <v>0.31245905855083356</v>
      </c>
      <c r="J65" s="9"/>
      <c r="K65" s="7">
        <v>2241.36</v>
      </c>
      <c r="L65" s="8">
        <f>IFERROR(K65/K444, "NA")</f>
        <v>1.8631189137292555E-2</v>
      </c>
      <c r="M65" s="9"/>
      <c r="N65" s="10">
        <f t="shared" si="17"/>
        <v>1355.15</v>
      </c>
      <c r="O65" s="8">
        <f>IFERROR(N65/N444, "NA")</f>
        <v>6.7990571679718073E-2</v>
      </c>
      <c r="P65" s="9"/>
      <c r="Q65" s="7">
        <v>7731.03</v>
      </c>
      <c r="R65" s="8">
        <f>IFERROR(Q65/Q444, "NA")</f>
        <v>2.6562866081928545E-2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7731.03</v>
      </c>
      <c r="X65" s="8">
        <f>IFERROR(W65/W444, "NA")</f>
        <v>0.79294404591693124</v>
      </c>
      <c r="Y65" s="9"/>
      <c r="Z65" s="7">
        <v>5701.07</v>
      </c>
      <c r="AA65" s="8">
        <f>IFERROR(Z65/Z444, "NA")</f>
        <v>2.1393306705291475E-2</v>
      </c>
      <c r="AB65" s="9"/>
      <c r="AC65" s="10">
        <f t="shared" si="19"/>
        <v>2029.96</v>
      </c>
      <c r="AD65" s="8">
        <f>IFERROR(AC65/AC444, "NA")</f>
        <v>8.2659691082838729E-2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3282.05</v>
      </c>
      <c r="C68" s="8">
        <f>IFERROR(B68/B444, "NA")</f>
        <v>2.3404272919044556E-2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3282.05</v>
      </c>
      <c r="I68" s="8">
        <f>IFERROR(H68/H444, "NA")</f>
        <v>0.28513927477381218</v>
      </c>
      <c r="J68" s="9"/>
      <c r="K68" s="7">
        <v>0</v>
      </c>
      <c r="L68" s="8">
        <f>IFERROR(K68/K444, "NA")</f>
        <v>0</v>
      </c>
      <c r="M68" s="9"/>
      <c r="N68" s="10">
        <f t="shared" si="17"/>
        <v>3282.05</v>
      </c>
      <c r="O68" s="8">
        <f>IFERROR(N68/N444, "NA")</f>
        <v>0.16466697840196193</v>
      </c>
      <c r="P68" s="9"/>
      <c r="Q68" s="7">
        <v>3269.8</v>
      </c>
      <c r="R68" s="8">
        <f>IFERROR(Q68/Q444, "NA")</f>
        <v>1.1234629734290251E-2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3269.8</v>
      </c>
      <c r="X68" s="8">
        <f>IFERROR(W68/W444, "NA")</f>
        <v>0.3353716699248589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3269.8</v>
      </c>
      <c r="AD68" s="8">
        <f>IFERROR(AC68/AC444, "NA")</f>
        <v>0.13314580479549651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1125</v>
      </c>
      <c r="R69" s="8">
        <f>IFERROR(Q69/Q444, "NA")</f>
        <v>3.8653613221226171E-3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1125</v>
      </c>
      <c r="X69" s="8">
        <f>IFERROR(W69/W444, "NA")</f>
        <v>0.11538721899365902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1125</v>
      </c>
      <c r="AD69" s="8">
        <f>IFERROR(AC69/AC444, "NA")</f>
        <v>4.5809844759598012E-2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6878.56</v>
      </c>
      <c r="C73" s="15">
        <f>IFERROR(B73/B444, "NA")</f>
        <v>4.9050957642334247E-2</v>
      </c>
      <c r="D73" s="2"/>
      <c r="E73" s="14">
        <f>IFERROR(E64+E65+E66+E67+E68+E69+E70+E71+E72, "NA")</f>
        <v>10426.530000000001</v>
      </c>
      <c r="F73" s="15">
        <f>IFERROR(E73/E444, "NA")</f>
        <v>8.0999995338813857E-2</v>
      </c>
      <c r="G73" s="2"/>
      <c r="H73" s="14">
        <f t="shared" si="16"/>
        <v>-3547.9700000000003</v>
      </c>
      <c r="I73" s="15">
        <f>IFERROR(H73/H444, "NA")</f>
        <v>-0.30824198068866787</v>
      </c>
      <c r="J73" s="2"/>
      <c r="K73" s="14">
        <f>IFERROR(K64+K65+K66+K67+K68+K69+K70+K71+K72, "NA")</f>
        <v>2241.36</v>
      </c>
      <c r="L73" s="15">
        <f>IFERROR(K73/K444, "NA")</f>
        <v>1.8631189137292555E-2</v>
      </c>
      <c r="M73" s="2"/>
      <c r="N73" s="14">
        <f t="shared" si="17"/>
        <v>4637.2000000000007</v>
      </c>
      <c r="O73" s="15">
        <f>IFERROR(N73/N444, "NA")</f>
        <v>0.23265755008168001</v>
      </c>
      <c r="P73" s="2"/>
      <c r="Q73" s="14">
        <f>IFERROR(Q64+Q65+Q66+Q67+Q68+Q69+Q70+Q71+Q72, "NA")</f>
        <v>12125.83</v>
      </c>
      <c r="R73" s="15">
        <f>IFERROR(Q73/Q444, "NA")</f>
        <v>4.1662857138341412E-2</v>
      </c>
      <c r="S73" s="2"/>
      <c r="T73" s="14">
        <f>IFERROR(T64+T65+T66+T67+T68+T69+T70+T71+T72, "NA")</f>
        <v>22785.040000000001</v>
      </c>
      <c r="U73" s="15">
        <f>IFERROR(T73/T444, "NA")</f>
        <v>8.1000011553635093E-2</v>
      </c>
      <c r="V73" s="2"/>
      <c r="W73" s="14">
        <f t="shared" si="18"/>
        <v>-10659.210000000001</v>
      </c>
      <c r="X73" s="15">
        <f>IFERROR(W73/W444, "NA")</f>
        <v>-1.0932769765061334</v>
      </c>
      <c r="Y73" s="2"/>
      <c r="Z73" s="14">
        <f>IFERROR(Z64+Z65+Z66+Z67+Z68+Z69+Z70+Z71+Z72, "NA")</f>
        <v>5701.07</v>
      </c>
      <c r="AA73" s="15">
        <f>IFERROR(Z73/Z444, "NA")</f>
        <v>2.1393306705291475E-2</v>
      </c>
      <c r="AB73" s="2"/>
      <c r="AC73" s="14">
        <f t="shared" si="19"/>
        <v>6424.76</v>
      </c>
      <c r="AD73" s="15">
        <f>IFERROR(AC73/AC444, "NA")</f>
        <v>0.26161534063793324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1930.84</v>
      </c>
      <c r="F75" s="8">
        <f>IFERROR(E75/E444, "NA")</f>
        <v>1.5000007768643579E-2</v>
      </c>
      <c r="G75" s="9"/>
      <c r="H75" s="10">
        <f t="shared" ref="H75:H92" si="20">IFERROR(B75-E75, "NA")</f>
        <v>-1930.84</v>
      </c>
      <c r="I75" s="8">
        <f>IFERROR(H75/H444, "NA")</f>
        <v>-0.16774830283032477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4219.45</v>
      </c>
      <c r="U75" s="8">
        <f>IFERROR(T75/T444, "NA")</f>
        <v>1.4999995556294197E-2</v>
      </c>
      <c r="V75" s="9"/>
      <c r="W75" s="10">
        <f t="shared" ref="W75:W92" si="22">IFERROR(Q75-T75, "NA")</f>
        <v>-4219.45</v>
      </c>
      <c r="X75" s="8">
        <f>IFERROR(W75/W444, "NA")</f>
        <v>-0.43277386771803955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392.6</v>
      </c>
      <c r="C77" s="8">
        <f>IFERROR(B77/B444, "NA")</f>
        <v>2.7996275340159025E-3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392.6</v>
      </c>
      <c r="I77" s="8">
        <f>IFERROR(H77/H444, "NA")</f>
        <v>3.4108462478084932E-2</v>
      </c>
      <c r="J77" s="9"/>
      <c r="K77" s="7">
        <v>634.66</v>
      </c>
      <c r="L77" s="8">
        <f>IFERROR(K77/K444, "NA")</f>
        <v>5.2755784424965606E-3</v>
      </c>
      <c r="M77" s="9"/>
      <c r="N77" s="10">
        <f t="shared" si="21"/>
        <v>-242.05999999999995</v>
      </c>
      <c r="O77" s="8">
        <f>IFERROR(N77/N444, "NA")</f>
        <v>-1.2144631797802865E-2</v>
      </c>
      <c r="P77" s="9"/>
      <c r="Q77" s="7">
        <v>982.13</v>
      </c>
      <c r="R77" s="8">
        <f>IFERROR(Q77/Q444, "NA")</f>
        <v>3.3744776135966985E-3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982.13</v>
      </c>
      <c r="X77" s="8">
        <f>IFERROR(W77/W444, "NA")</f>
        <v>0.10073355501354873</v>
      </c>
      <c r="Y77" s="9"/>
      <c r="Z77" s="7">
        <v>1096.67</v>
      </c>
      <c r="AA77" s="8">
        <f>IFERROR(Z77/Z444, "NA")</f>
        <v>4.1152621638555573E-3</v>
      </c>
      <c r="AB77" s="9"/>
      <c r="AC77" s="10">
        <f t="shared" si="23"/>
        <v>-114.54000000000008</v>
      </c>
      <c r="AD77" s="8">
        <f>IFERROR(AC77/AC444, "NA")</f>
        <v>-4.6640529944572085E-3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1756.44</v>
      </c>
      <c r="C80" s="8">
        <f>IFERROR(B80/B444, "NA")</f>
        <v>1.2525159923196362E-2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1756.44</v>
      </c>
      <c r="I80" s="8">
        <f>IFERROR(H80/H444, "NA")</f>
        <v>0.15259670869843989</v>
      </c>
      <c r="J80" s="9"/>
      <c r="K80" s="7">
        <v>535.94000000000005</v>
      </c>
      <c r="L80" s="8">
        <f>IFERROR(K80/K444, "NA")</f>
        <v>4.4549735456332635E-3</v>
      </c>
      <c r="M80" s="9"/>
      <c r="N80" s="10">
        <f t="shared" si="21"/>
        <v>1220.5</v>
      </c>
      <c r="O80" s="8">
        <f>IFERROR(N80/N444, "NA")</f>
        <v>6.12349132827332E-2</v>
      </c>
      <c r="P80" s="9"/>
      <c r="Q80" s="7">
        <v>4067.69</v>
      </c>
      <c r="R80" s="8">
        <f>IFERROR(Q80/Q444, "NA")</f>
        <v>1.3976081419008843E-2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4067.69</v>
      </c>
      <c r="X80" s="8">
        <f>IFERROR(W80/W444, "NA")</f>
        <v>0.41720838829183721</v>
      </c>
      <c r="Y80" s="9"/>
      <c r="Z80" s="7">
        <v>2222.35</v>
      </c>
      <c r="AA80" s="8">
        <f>IFERROR(Z80/Z444, "NA")</f>
        <v>8.3393845640387688E-3</v>
      </c>
      <c r="AB80" s="9"/>
      <c r="AC80" s="10">
        <f t="shared" si="23"/>
        <v>1845.3400000000001</v>
      </c>
      <c r="AD80" s="8">
        <f>IFERROR(AC80/AC444, "NA")</f>
        <v>7.5141990158823641E-2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133.44999999999999</v>
      </c>
      <c r="C83" s="8">
        <f>IFERROR(B83/B444, "NA")</f>
        <v>9.5163090783092748E-4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133.44999999999999</v>
      </c>
      <c r="I83" s="8">
        <f>IFERROR(H83/H444, "NA")</f>
        <v>1.1593923376720413E-2</v>
      </c>
      <c r="J83" s="9"/>
      <c r="K83" s="7">
        <v>0</v>
      </c>
      <c r="L83" s="8">
        <f>IFERROR(K83/K444, "NA")</f>
        <v>0</v>
      </c>
      <c r="M83" s="9"/>
      <c r="N83" s="10">
        <f t="shared" si="21"/>
        <v>133.44999999999999</v>
      </c>
      <c r="O83" s="8">
        <f>IFERROR(N83/N444, "NA")</f>
        <v>6.6954520094885256E-3</v>
      </c>
      <c r="P83" s="9"/>
      <c r="Q83" s="7">
        <v>367.97</v>
      </c>
      <c r="R83" s="8">
        <f>IFERROR(Q83/Q444, "NA")</f>
        <v>1.2642995606235196E-3</v>
      </c>
      <c r="S83" s="9"/>
      <c r="T83" s="7">
        <v>0</v>
      </c>
      <c r="U83" s="8">
        <f>IFERROR(T83/T444, "NA")</f>
        <v>0</v>
      </c>
      <c r="V83" s="9"/>
      <c r="W83" s="10">
        <f t="shared" si="22"/>
        <v>367.97</v>
      </c>
      <c r="X83" s="8">
        <f>IFERROR(W83/W444, "NA")</f>
        <v>3.7741364420530409E-2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367.97</v>
      </c>
      <c r="AD83" s="8">
        <f>IFERROR(AC83/AC444, "NA")</f>
        <v>1.4983687623279361E-2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2282.4899999999998</v>
      </c>
      <c r="C88" s="15">
        <f>IFERROR(B88/B444, "NA")</f>
        <v>1.6276418365043191E-2</v>
      </c>
      <c r="D88" s="2"/>
      <c r="E88" s="14">
        <f>IFERROR(E75+E76+E77+E78+E79+E80+E81+E82+E83+E84+E85+E86+E87, "NA")</f>
        <v>1930.84</v>
      </c>
      <c r="F88" s="15">
        <f>IFERROR(E88/E444, "NA")</f>
        <v>1.5000007768643579E-2</v>
      </c>
      <c r="G88" s="2"/>
      <c r="H88" s="14">
        <f t="shared" si="20"/>
        <v>351.64999999999986</v>
      </c>
      <c r="I88" s="15">
        <f>IFERROR(H88/H444, "NA")</f>
        <v>3.0550791722920433E-2</v>
      </c>
      <c r="J88" s="2"/>
      <c r="K88" s="14">
        <f>IFERROR(K75+K76+K77+K78+K79+K80+K81+K82+K83+K84+K85+K86+K87, "NA")</f>
        <v>1170.5999999999999</v>
      </c>
      <c r="L88" s="15">
        <f>IFERROR(K88/K444, "NA")</f>
        <v>9.7305519881298232E-3</v>
      </c>
      <c r="M88" s="2"/>
      <c r="N88" s="14">
        <f t="shared" si="21"/>
        <v>1111.8899999999999</v>
      </c>
      <c r="O88" s="15">
        <f>IFERROR(N88/N444, "NA")</f>
        <v>5.5785733494418857E-2</v>
      </c>
      <c r="P88" s="2"/>
      <c r="Q88" s="14">
        <f>IFERROR(Q75+Q76+Q77+Q78+Q79+Q80+Q81+Q82+Q83+Q84+Q85+Q86+Q87, "NA")</f>
        <v>5417.79</v>
      </c>
      <c r="R88" s="15">
        <f>IFERROR(Q88/Q444, "NA")</f>
        <v>1.8614858593229061E-2</v>
      </c>
      <c r="S88" s="2"/>
      <c r="T88" s="14">
        <f>IFERROR(T75+T76+T77+T78+T79+T80+T81+T82+T83+T84+T85+T86+T87, "NA")</f>
        <v>4219.45</v>
      </c>
      <c r="U88" s="15">
        <f>IFERROR(T88/T444, "NA")</f>
        <v>1.4999995556294197E-2</v>
      </c>
      <c r="V88" s="2"/>
      <c r="W88" s="14">
        <f t="shared" si="22"/>
        <v>1198.3400000000001</v>
      </c>
      <c r="X88" s="15">
        <f>IFERROR(W88/W444, "NA")</f>
        <v>0.12290944000787676</v>
      </c>
      <c r="Y88" s="2"/>
      <c r="Z88" s="14">
        <f>IFERROR(Z75+Z76+Z77+Z78+Z79+Z80+Z81+Z82+Z83+Z84+Z85+Z86+Z87, "NA")</f>
        <v>3319.02</v>
      </c>
      <c r="AA88" s="15">
        <f>IFERROR(Z88/Z444, "NA")</f>
        <v>1.2454646727894328E-2</v>
      </c>
      <c r="AB88" s="2"/>
      <c r="AC88" s="14">
        <f t="shared" si="23"/>
        <v>2098.77</v>
      </c>
      <c r="AD88" s="15">
        <f>IFERROR(AC88/AC444, "NA")</f>
        <v>8.5461624787645796E-2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-72.290000000000006</v>
      </c>
      <c r="L89" s="8">
        <f>IFERROR(K89/K444, "NA")</f>
        <v>-6.0090688811028964E-4</v>
      </c>
      <c r="M89" s="9"/>
      <c r="N89" s="10">
        <f t="shared" si="21"/>
        <v>72.290000000000006</v>
      </c>
      <c r="O89" s="8">
        <f>IFERROR(N89/N444, "NA")</f>
        <v>3.6269331267585283E-3</v>
      </c>
      <c r="P89" s="9"/>
      <c r="Q89" s="7">
        <v>-26.7</v>
      </c>
      <c r="R89" s="8">
        <f>IFERROR(Q89/Q444, "NA")</f>
        <v>-9.1737908711710106E-5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-26.7</v>
      </c>
      <c r="X89" s="8">
        <f>IFERROR(W89/W444, "NA")</f>
        <v>-2.7385233307828404E-3</v>
      </c>
      <c r="Y89" s="9"/>
      <c r="Z89" s="7">
        <v>-79.349999999999994</v>
      </c>
      <c r="AA89" s="8">
        <f>IFERROR(Z89/Z444, "NA")</f>
        <v>-2.9776145303686471E-4</v>
      </c>
      <c r="AB89" s="9"/>
      <c r="AC89" s="10">
        <f t="shared" si="23"/>
        <v>52.649999999999991</v>
      </c>
      <c r="AD89" s="8">
        <f>IFERROR(AC89/AC444, "NA")</f>
        <v>2.1439007347491866E-3</v>
      </c>
    </row>
    <row r="90" spans="1:30" ht="16.5" customHeight="1" x14ac:dyDescent="0.45">
      <c r="A90" s="6" t="s">
        <v>86</v>
      </c>
      <c r="B90" s="7">
        <v>20.059999999999999</v>
      </c>
      <c r="C90" s="8">
        <f>IFERROR(B90/B444, "NA")</f>
        <v>1.4304770334273815E-4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20.059999999999999</v>
      </c>
      <c r="I90" s="8">
        <f>IFERROR(H90/H444, "NA")</f>
        <v>1.7427808387936415E-3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20.059999999999999</v>
      </c>
      <c r="O90" s="8">
        <f>IFERROR(N90/N444, "NA")</f>
        <v>1.0064501109804409E-3</v>
      </c>
      <c r="P90" s="9"/>
      <c r="Q90" s="7">
        <v>-217.1</v>
      </c>
      <c r="R90" s="8">
        <f>IFERROR(Q90/Q444, "NA")</f>
        <v>-7.4592883825139568E-4</v>
      </c>
      <c r="S90" s="9"/>
      <c r="T90" s="7">
        <v>0</v>
      </c>
      <c r="U90" s="8">
        <f>IFERROR(T90/T444, "NA")</f>
        <v>0</v>
      </c>
      <c r="V90" s="9"/>
      <c r="W90" s="10">
        <f t="shared" si="22"/>
        <v>-217.1</v>
      </c>
      <c r="X90" s="8">
        <f>IFERROR(W90/W444, "NA")</f>
        <v>-2.2267169105354107E-2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-217.1</v>
      </c>
      <c r="AD90" s="8">
        <f>IFERROR(AC90/AC444, "NA")</f>
        <v>-8.8402820420522017E-3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-6822.3</v>
      </c>
      <c r="F94" s="8">
        <f>IFERROR(E94/E444, "NA")</f>
        <v>-5.3000017091015872E-2</v>
      </c>
      <c r="G94" s="9"/>
      <c r="H94" s="10">
        <f t="shared" ref="H94:H124" si="24">IFERROR(B94-E94, "NA")</f>
        <v>6822.3</v>
      </c>
      <c r="I94" s="8">
        <f>IFERROR(H94/H444, "NA")</f>
        <v>0.59271055416260532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-14908.73</v>
      </c>
      <c r="U94" s="8">
        <f>IFERROR(T94/T444, "NA")</f>
        <v>-5.300000799867044E-2</v>
      </c>
      <c r="V94" s="9"/>
      <c r="W94" s="10">
        <f t="shared" ref="W94:W124" si="26">IFERROR(Q94-T94, "NA")</f>
        <v>14908.73</v>
      </c>
      <c r="X94" s="8">
        <f>IFERROR(W94/W444, "NA")</f>
        <v>1.5291350163798523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-2079.94</v>
      </c>
      <c r="C96" s="8">
        <f>IFERROR(B96/B444, "NA")</f>
        <v>-1.4832035896844209E-2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-2079.94</v>
      </c>
      <c r="I96" s="8">
        <f>IFERROR(H96/H444, "NA")</f>
        <v>-0.18070187327220574</v>
      </c>
      <c r="J96" s="9"/>
      <c r="K96" s="7">
        <v>-2117.9</v>
      </c>
      <c r="L96" s="8">
        <f>IFERROR(K96/K444, "NA")</f>
        <v>-1.7604934269315014E-2</v>
      </c>
      <c r="M96" s="9"/>
      <c r="N96" s="10">
        <f t="shared" si="25"/>
        <v>37.960000000000036</v>
      </c>
      <c r="O96" s="8">
        <f>IFERROR(N96/N444, "NA")</f>
        <v>1.9045287244674762E-3</v>
      </c>
      <c r="P96" s="9"/>
      <c r="Q96" s="7">
        <v>-4914.38</v>
      </c>
      <c r="R96" s="8">
        <f>IFERROR(Q96/Q444, "NA")</f>
        <v>-1.6885203888189287E-2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-4914.38</v>
      </c>
      <c r="X96" s="8">
        <f>IFERROR(W96/W444, "NA")</f>
        <v>-0.50405034780271818</v>
      </c>
      <c r="Y96" s="9"/>
      <c r="Z96" s="7">
        <v>-5454.95</v>
      </c>
      <c r="AA96" s="8">
        <f>IFERROR(Z96/Z444, "NA")</f>
        <v>-2.0469739612393765E-2</v>
      </c>
      <c r="AB96" s="9"/>
      <c r="AC96" s="10">
        <f t="shared" si="27"/>
        <v>540.56999999999971</v>
      </c>
      <c r="AD96" s="8">
        <f>IFERROR(AC96/AC444, "NA")</f>
        <v>2.2011935805951895E-2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-988.71</v>
      </c>
      <c r="C98" s="8">
        <f>IFERROR(B98/B444, "NA")</f>
        <v>-7.0504832887337311E-3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-988.71</v>
      </c>
      <c r="I98" s="8">
        <f>IFERROR(H98/H444, "NA")</f>
        <v>-8.5897549507660098E-2</v>
      </c>
      <c r="J98" s="9"/>
      <c r="K98" s="7">
        <v>-1864.34</v>
      </c>
      <c r="L98" s="8">
        <f>IFERROR(K98/K444, "NA")</f>
        <v>-1.5497229876601704E-2</v>
      </c>
      <c r="M98" s="9"/>
      <c r="N98" s="10">
        <f t="shared" si="25"/>
        <v>875.62999999999988</v>
      </c>
      <c r="O98" s="8">
        <f>IFERROR(N98/N444, "NA")</f>
        <v>4.3932099236181618E-2</v>
      </c>
      <c r="P98" s="9"/>
      <c r="Q98" s="7">
        <v>-3192.74</v>
      </c>
      <c r="R98" s="8">
        <f>IFERROR(Q98/Q444, "NA")</f>
        <v>-1.0969861073416678E-2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-3192.74</v>
      </c>
      <c r="X98" s="8">
        <f>IFERROR(W98/W444, "NA")</f>
        <v>-0.32746790183983543</v>
      </c>
      <c r="Y98" s="9"/>
      <c r="Z98" s="7">
        <v>-4050.97</v>
      </c>
      <c r="AA98" s="8">
        <f>IFERROR(Z98/Z444, "NA")</f>
        <v>-1.5201294434892853E-2</v>
      </c>
      <c r="AB98" s="9"/>
      <c r="AC98" s="10">
        <f t="shared" si="27"/>
        <v>858.23</v>
      </c>
      <c r="AD98" s="8">
        <f>IFERROR(AC98/AC444, "NA")</f>
        <v>3.4947007171582042E-2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-21.05</v>
      </c>
      <c r="C100" s="8">
        <f>IFERROR(B100/B444, "NA")</f>
        <v>-1.5010738561139773E-4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-21.05</v>
      </c>
      <c r="I100" s="8">
        <f>IFERROR(H100/H444, "NA")</f>
        <v>-1.82879046144597E-3</v>
      </c>
      <c r="J100" s="9"/>
      <c r="K100" s="7">
        <v>-157.57</v>
      </c>
      <c r="L100" s="8">
        <f>IFERROR(K100/K444, "NA")</f>
        <v>-1.3097924797280166E-3</v>
      </c>
      <c r="M100" s="9"/>
      <c r="N100" s="10">
        <f t="shared" si="25"/>
        <v>136.51999999999998</v>
      </c>
      <c r="O100" s="8">
        <f>IFERROR(N100/N444, "NA")</f>
        <v>6.8494800174999882E-3</v>
      </c>
      <c r="P100" s="9"/>
      <c r="Q100" s="7">
        <v>-149.99</v>
      </c>
      <c r="R100" s="8">
        <f>IFERROR(Q100/Q444, "NA")</f>
        <v>-5.1534715084904125E-4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-149.99</v>
      </c>
      <c r="X100" s="8">
        <f>IFERROR(W100/W444, "NA")</f>
        <v>-1.5383936868319037E-2</v>
      </c>
      <c r="Y100" s="9"/>
      <c r="Z100" s="7">
        <v>-876.57</v>
      </c>
      <c r="AA100" s="8">
        <f>IFERROR(Z100/Z444, "NA")</f>
        <v>-3.2893353105044052E-3</v>
      </c>
      <c r="AB100" s="9"/>
      <c r="AC100" s="10">
        <f t="shared" si="27"/>
        <v>726.58</v>
      </c>
      <c r="AD100" s="8">
        <f>IFERROR(AC100/AC444, "NA")</f>
        <v>2.9586237338158867E-2</v>
      </c>
    </row>
    <row r="101" spans="1:30" ht="16.5" customHeight="1" x14ac:dyDescent="0.45">
      <c r="A101" s="12" t="s">
        <v>96</v>
      </c>
      <c r="B101" s="7">
        <v>-20</v>
      </c>
      <c r="C101" s="8">
        <f>IFERROR(B101/B444, "NA")</f>
        <v>-1.4261984381130425E-4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-20</v>
      </c>
      <c r="I101" s="8">
        <f>IFERROR(H101/H444, "NA")</f>
        <v>-1.7375681343904704E-3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-20</v>
      </c>
      <c r="O101" s="8">
        <f>IFERROR(N101/N444, "NA")</f>
        <v>-1.003439791605624E-3</v>
      </c>
      <c r="P101" s="9"/>
      <c r="Q101" s="7">
        <v>-57.25</v>
      </c>
      <c r="R101" s="8">
        <f>IFERROR(Q101/Q444, "NA")</f>
        <v>-1.9670394283690651E-4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-57.25</v>
      </c>
      <c r="X101" s="8">
        <f>IFERROR(W101/W444, "NA")</f>
        <v>-5.8719273665662035E-3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-57.25</v>
      </c>
      <c r="AD101" s="8">
        <f>IFERROR(AC101/AC444, "NA")</f>
        <v>-2.3312120999884321E-3</v>
      </c>
    </row>
    <row r="102" spans="1:30" ht="16.5" customHeight="1" x14ac:dyDescent="0.45">
      <c r="A102" s="12" t="s">
        <v>97</v>
      </c>
      <c r="B102" s="7">
        <v>-779.7</v>
      </c>
      <c r="C102" s="8">
        <f>IFERROR(B102/B444, "NA")</f>
        <v>-5.5600346109836961E-3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-779.7</v>
      </c>
      <c r="I102" s="8">
        <f>IFERROR(H102/H444, "NA")</f>
        <v>-6.7739093719212495E-2</v>
      </c>
      <c r="J102" s="9"/>
      <c r="K102" s="7">
        <v>-939.85</v>
      </c>
      <c r="L102" s="8">
        <f>IFERROR(K102/K444, "NA")</f>
        <v>-7.8124545412983212E-3</v>
      </c>
      <c r="M102" s="9"/>
      <c r="N102" s="10">
        <f t="shared" si="25"/>
        <v>160.14999999999998</v>
      </c>
      <c r="O102" s="8">
        <f>IFERROR(N102/N444, "NA")</f>
        <v>8.035044131282032E-3</v>
      </c>
      <c r="P102" s="9"/>
      <c r="Q102" s="7">
        <v>-2386.13</v>
      </c>
      <c r="R102" s="8">
        <f>IFERROR(Q102/Q444, "NA")</f>
        <v>-8.1984485436057252E-3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-2386.13</v>
      </c>
      <c r="X102" s="8">
        <f>IFERROR(W102/W444, "NA")</f>
        <v>-0.2447368043176352</v>
      </c>
      <c r="Y102" s="9"/>
      <c r="Z102" s="7">
        <v>-2247.4499999999998</v>
      </c>
      <c r="AA102" s="8">
        <f>IFERROR(Z102/Z444, "NA")</f>
        <v>-8.4335724968834479E-3</v>
      </c>
      <c r="AB102" s="9"/>
      <c r="AC102" s="10">
        <f t="shared" si="27"/>
        <v>-138.68000000000029</v>
      </c>
      <c r="AD102" s="8">
        <f>IFERROR(AC102/AC444, "NA")</f>
        <v>-5.6470304633431693E-3</v>
      </c>
    </row>
    <row r="103" spans="1:30" ht="16.5" customHeight="1" x14ac:dyDescent="0.45">
      <c r="A103" s="12" t="s">
        <v>98</v>
      </c>
      <c r="B103" s="7">
        <v>-30</v>
      </c>
      <c r="C103" s="8">
        <f>IFERROR(B103/B444, "NA")</f>
        <v>-2.1392976571695636E-4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-30</v>
      </c>
      <c r="I103" s="8">
        <f>IFERROR(H103/H444, "NA")</f>
        <v>-2.6063522015857053E-3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-30</v>
      </c>
      <c r="O103" s="8">
        <f>IFERROR(N103/N444, "NA")</f>
        <v>-1.505159687408436E-3</v>
      </c>
      <c r="P103" s="9"/>
      <c r="Q103" s="7">
        <v>-30</v>
      </c>
      <c r="R103" s="8">
        <f>IFERROR(Q103/Q444, "NA")</f>
        <v>-1.0307630192326978E-4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-30</v>
      </c>
      <c r="X103" s="8">
        <f>IFERROR(W103/W444, "NA")</f>
        <v>-3.0769925064975737E-3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-30</v>
      </c>
      <c r="AD103" s="8">
        <f>IFERROR(AC103/AC444, "NA")</f>
        <v>-1.221595860255947E-3</v>
      </c>
    </row>
    <row r="104" spans="1:30" ht="16.5" customHeight="1" x14ac:dyDescent="0.45">
      <c r="A104" s="12" t="s">
        <v>99</v>
      </c>
      <c r="B104" s="7">
        <v>-89.5</v>
      </c>
      <c r="C104" s="8">
        <f>IFERROR(B104/B444, "NA")</f>
        <v>-6.3822380105558649E-4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-89.5</v>
      </c>
      <c r="I104" s="8">
        <f>IFERROR(H104/H444, "NA")</f>
        <v>-7.7756174013973549E-3</v>
      </c>
      <c r="J104" s="9"/>
      <c r="K104" s="7">
        <v>-607.53</v>
      </c>
      <c r="L104" s="8">
        <f>IFERROR(K104/K444, "NA")</f>
        <v>-5.050061719928679E-3</v>
      </c>
      <c r="M104" s="9"/>
      <c r="N104" s="10">
        <f t="shared" si="25"/>
        <v>518.03</v>
      </c>
      <c r="O104" s="8">
        <f>IFERROR(N104/N444, "NA")</f>
        <v>2.5990595762273069E-2</v>
      </c>
      <c r="P104" s="9"/>
      <c r="Q104" s="7">
        <v>-261.62</v>
      </c>
      <c r="R104" s="8">
        <f>IFERROR(Q104/Q444, "NA")</f>
        <v>-8.9889407030552802E-4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-261.62</v>
      </c>
      <c r="X104" s="8">
        <f>IFERROR(W104/W444, "NA")</f>
        <v>-2.6833425984996509E-2</v>
      </c>
      <c r="Y104" s="9"/>
      <c r="Z104" s="7">
        <v>-1389.76</v>
      </c>
      <c r="AA104" s="8">
        <f>IFERROR(Z104/Z444, "NA")</f>
        <v>-5.2150845239132097E-3</v>
      </c>
      <c r="AB104" s="9"/>
      <c r="AC104" s="10">
        <f t="shared" si="27"/>
        <v>1128.1399999999999</v>
      </c>
      <c r="AD104" s="8">
        <f>IFERROR(AC104/AC444, "NA")</f>
        <v>4.5937705126304795E-2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-50</v>
      </c>
      <c r="R106" s="8">
        <f>IFERROR(Q106/Q444, "NA")</f>
        <v>-1.7179383653878299E-4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-50</v>
      </c>
      <c r="X106" s="8">
        <f>IFERROR(W106/W444, "NA")</f>
        <v>-5.1283208441626231E-3</v>
      </c>
      <c r="Y106" s="9"/>
      <c r="Z106" s="7">
        <v>0</v>
      </c>
      <c r="AA106" s="8">
        <f>IFERROR(Z106/Z444, "NA")</f>
        <v>0</v>
      </c>
      <c r="AB106" s="9"/>
      <c r="AC106" s="10">
        <f t="shared" si="27"/>
        <v>-50</v>
      </c>
      <c r="AD106" s="8">
        <f>IFERROR(AC106/AC444, "NA")</f>
        <v>-2.0359931004265783E-3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-4008.9000000000005</v>
      </c>
      <c r="C118" s="15">
        <f>IFERROR(B118/B444, "NA")</f>
        <v>-2.8587434592756884E-2</v>
      </c>
      <c r="D118" s="2"/>
      <c r="E118" s="14">
        <f>IFERROR(E94+E95+E96+E97+E98+E99+E100+E101+E102+E103+E104+E105+E106+E107+E108+E109+E110+E111+E112+E113+E114+E115+E116+E117, "NA")</f>
        <v>-6822.3</v>
      </c>
      <c r="F118" s="15">
        <f>IFERROR(E118/E444, "NA")</f>
        <v>-5.3000017091015872E-2</v>
      </c>
      <c r="G118" s="2"/>
      <c r="H118" s="14">
        <f t="shared" si="24"/>
        <v>2813.3999999999996</v>
      </c>
      <c r="I118" s="15">
        <f>IFERROR(H118/H444, "NA")</f>
        <v>0.24442370946470743</v>
      </c>
      <c r="J118" s="2"/>
      <c r="K118" s="14">
        <f>IFERROR(K94+K95+K96+K97+K98+K99+K100+K101+K102+K103+K104+K105+K106+K107+K108+K109+K110+K111+K112+K113+K114+K115+K116+K117, "NA")</f>
        <v>-5687.19</v>
      </c>
      <c r="L118" s="15">
        <f>IFERROR(K118/K444, "NA")</f>
        <v>-4.7274472886871734E-2</v>
      </c>
      <c r="M118" s="2"/>
      <c r="N118" s="14">
        <f t="shared" si="25"/>
        <v>1678.2899999999991</v>
      </c>
      <c r="O118" s="15">
        <f>IFERROR(N118/N444, "NA")</f>
        <v>8.420314839269008E-2</v>
      </c>
      <c r="P118" s="2"/>
      <c r="Q118" s="14">
        <f>IFERROR(Q94+Q95+Q96+Q97+Q98+Q99+Q100+Q101+Q102+Q103+Q104+Q105+Q106+Q107+Q108+Q109+Q110+Q111+Q112+Q113+Q114+Q115+Q116+Q117, "NA")</f>
        <v>-11042.110000000002</v>
      </c>
      <c r="R118" s="15">
        <f>IFERROR(Q118/Q444, "NA")</f>
        <v>-3.7939328807665228E-2</v>
      </c>
      <c r="S118" s="2"/>
      <c r="T118" s="14">
        <f>IFERROR(T94+T95+T96+T97+T98+T99+T100+T101+T102+T103+T104+T105+T106+T107+T108+T109+T110+T111+T112+T113+T114+T115+T116+T117, "NA")</f>
        <v>-14908.73</v>
      </c>
      <c r="U118" s="15">
        <f>IFERROR(T118/T444, "NA")</f>
        <v>-5.300000799867044E-2</v>
      </c>
      <c r="V118" s="2"/>
      <c r="W118" s="14">
        <f t="shared" si="26"/>
        <v>3866.6199999999972</v>
      </c>
      <c r="X118" s="15">
        <f>IFERROR(W118/W444, "NA")</f>
        <v>0.39658535884912133</v>
      </c>
      <c r="Y118" s="2"/>
      <c r="Z118" s="14">
        <f>IFERROR(Z94+Z95+Z96+Z97+Z98+Z99+Z100+Z101+Z102+Z103+Z104+Z105+Z106+Z107+Z108+Z109+Z110+Z111+Z112+Z113+Z114+Z115+Z116+Z117, "NA")</f>
        <v>-14019.699999999999</v>
      </c>
      <c r="AA118" s="15">
        <f>IFERROR(Z118/Z444, "NA")</f>
        <v>-5.2609026378587678E-2</v>
      </c>
      <c r="AB118" s="2"/>
      <c r="AC118" s="14">
        <f t="shared" si="27"/>
        <v>2977.5899999999965</v>
      </c>
      <c r="AD118" s="15">
        <f>IFERROR(AC118/AC444, "NA")</f>
        <v>0.12124705391798336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140232.94000000003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128722.59999999999</v>
      </c>
      <c r="F122" s="15">
        <f>IFERROR(E122/E444, "NA")</f>
        <v>0.99999999999999989</v>
      </c>
      <c r="G122" s="2"/>
      <c r="H122" s="14">
        <f t="shared" si="24"/>
        <v>11510.34000000004</v>
      </c>
      <c r="I122" s="15">
        <f>IFERROR(H122/H444, "NA")</f>
        <v>1.0000000000000038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120301.5</v>
      </c>
      <c r="L122" s="15">
        <f>IFERROR(K122/K444, "NA")</f>
        <v>1</v>
      </c>
      <c r="M122" s="2"/>
      <c r="N122" s="14">
        <f t="shared" si="25"/>
        <v>19931.440000000031</v>
      </c>
      <c r="O122" s="15">
        <f>IFERROR(N122/N444, "NA")</f>
        <v>1.0000000000000016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291046.53000000003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281296.75</v>
      </c>
      <c r="U122" s="15">
        <f>IFERROR(T122/T444, "NA")</f>
        <v>1</v>
      </c>
      <c r="V122" s="2"/>
      <c r="W122" s="14">
        <f t="shared" si="26"/>
        <v>9749.7800000000279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266488.49</v>
      </c>
      <c r="AA122" s="15">
        <f>IFERROR(Z122/Z444, "NA")</f>
        <v>1</v>
      </c>
      <c r="AB122" s="2"/>
      <c r="AC122" s="14">
        <f t="shared" si="27"/>
        <v>24558.040000000037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140232.94000000003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128722.59999999999</v>
      </c>
      <c r="F124" s="15">
        <f>IFERROR(E124/E444, "NA")</f>
        <v>0.99999999999999989</v>
      </c>
      <c r="G124" s="2"/>
      <c r="H124" s="14">
        <f t="shared" si="24"/>
        <v>11510.34000000004</v>
      </c>
      <c r="I124" s="15">
        <f>IFERROR(H124/H444, "NA")</f>
        <v>1.0000000000000038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120301.5</v>
      </c>
      <c r="L124" s="15">
        <f>IFERROR(K124/K444, "NA")</f>
        <v>1</v>
      </c>
      <c r="M124" s="2"/>
      <c r="N124" s="14">
        <f t="shared" si="25"/>
        <v>19931.440000000031</v>
      </c>
      <c r="O124" s="15">
        <f>IFERROR(N124/N444, "NA")</f>
        <v>1.0000000000000016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291046.53000000003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281296.75</v>
      </c>
      <c r="U124" s="15">
        <f>IFERROR(T124/T444, "NA")</f>
        <v>1</v>
      </c>
      <c r="V124" s="2"/>
      <c r="W124" s="14">
        <f t="shared" si="26"/>
        <v>9749.7800000000279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266488.49</v>
      </c>
      <c r="AA124" s="15">
        <f>IFERROR(Z124/Z444, "NA")</f>
        <v>1</v>
      </c>
      <c r="AB124" s="2"/>
      <c r="AC124" s="14">
        <f t="shared" si="27"/>
        <v>24558.040000000037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27160.47</v>
      </c>
      <c r="F129" s="8">
        <f>IFERROR(E129/E444, "NA")</f>
        <v>0.21100001087610101</v>
      </c>
      <c r="G129" s="9"/>
      <c r="H129" s="10">
        <f t="shared" ref="H129:H141" si="28">IFERROR(-(B129-E129), "NA")</f>
        <v>27160.47</v>
      </c>
      <c r="I129" s="8">
        <f>IFERROR(H129/H444, "NA")</f>
        <v>2.3596583593534168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59762.78</v>
      </c>
      <c r="U129" s="8">
        <f>IFERROR(T129/T444, "NA")</f>
        <v>0.21245456977373539</v>
      </c>
      <c r="V129" s="9"/>
      <c r="W129" s="10">
        <f t="shared" ref="W129:W141" si="30">IFERROR(-(Q129-T129), "NA")</f>
        <v>59762.78</v>
      </c>
      <c r="X129" s="8">
        <f>IFERROR(W129/W444, "NA")</f>
        <v>6.1296542075821021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6341.71</v>
      </c>
      <c r="C130" s="8">
        <f>IFERROR(B130/B444, "NA")</f>
        <v>4.5222684484829315E-2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-6341.71</v>
      </c>
      <c r="I130" s="8">
        <f>IFERROR(H130/H444, "NA")</f>
        <v>-0.55095766067726948</v>
      </c>
      <c r="J130" s="9"/>
      <c r="K130" s="7">
        <v>6100.37</v>
      </c>
      <c r="L130" s="8">
        <f>IFERROR(K130/K444, "NA")</f>
        <v>5.0709010278342334E-2</v>
      </c>
      <c r="M130" s="9"/>
      <c r="N130" s="10">
        <f t="shared" si="29"/>
        <v>-241.34000000000015</v>
      </c>
      <c r="O130" s="8">
        <f>IFERROR(N130/N444, "NA")</f>
        <v>-1.2108507965305071E-2</v>
      </c>
      <c r="P130" s="9"/>
      <c r="Q130" s="7">
        <v>13046.42</v>
      </c>
      <c r="R130" s="8">
        <f>IFERROR(Q130/Q444, "NA")</f>
        <v>4.4825890897926178E-2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-13046.42</v>
      </c>
      <c r="X130" s="8">
        <f>IFERROR(W130/W444, "NA")</f>
        <v>-1.3381245525540024</v>
      </c>
      <c r="Y130" s="9"/>
      <c r="Z130" s="7">
        <v>14342.47</v>
      </c>
      <c r="AA130" s="8">
        <f>IFERROR(Z130/Z444, "NA")</f>
        <v>5.3820223154853707E-2</v>
      </c>
      <c r="AB130" s="9"/>
      <c r="AC130" s="10">
        <f t="shared" si="31"/>
        <v>1296.0499999999993</v>
      </c>
      <c r="AD130" s="8">
        <f>IFERROR(AC130/AC444, "NA")</f>
        <v>5.2774977156157303E-2</v>
      </c>
    </row>
    <row r="131" spans="1:30" ht="16.5" customHeight="1" x14ac:dyDescent="0.45">
      <c r="A131" s="12" t="s">
        <v>123</v>
      </c>
      <c r="B131" s="7">
        <v>3731.5</v>
      </c>
      <c r="C131" s="8">
        <f>IFERROR(B131/B444, "NA")</f>
        <v>2.6609297359094088E-2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-3731.5</v>
      </c>
      <c r="I131" s="8">
        <f>IFERROR(H131/H444, "NA")</f>
        <v>-0.324186774673902</v>
      </c>
      <c r="J131" s="9"/>
      <c r="K131" s="7">
        <v>3851.35</v>
      </c>
      <c r="L131" s="8">
        <f>IFERROR(K131/K444, "NA")</f>
        <v>3.201414778701845E-2</v>
      </c>
      <c r="M131" s="9"/>
      <c r="N131" s="10">
        <f t="shared" si="29"/>
        <v>119.84999999999991</v>
      </c>
      <c r="O131" s="8">
        <f>IFERROR(N131/N444, "NA")</f>
        <v>6.0131129511966971E-3</v>
      </c>
      <c r="P131" s="9"/>
      <c r="Q131" s="7">
        <v>7657.28</v>
      </c>
      <c r="R131" s="8">
        <f>IFERROR(Q131/Q444, "NA")</f>
        <v>2.6309470173033842E-2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-7657.28</v>
      </c>
      <c r="X131" s="8">
        <f>IFERROR(W131/W444, "NA")</f>
        <v>-0.78537977267179138</v>
      </c>
      <c r="Y131" s="9"/>
      <c r="Z131" s="7">
        <v>8182.51</v>
      </c>
      <c r="AA131" s="8">
        <f>IFERROR(Z131/Z444, "NA")</f>
        <v>3.0704928381709847E-2</v>
      </c>
      <c r="AB131" s="9"/>
      <c r="AC131" s="10">
        <f t="shared" si="31"/>
        <v>525.23000000000047</v>
      </c>
      <c r="AD131" s="8">
        <f>IFERROR(AC131/AC444, "NA")</f>
        <v>2.1387293122741052E-2</v>
      </c>
    </row>
    <row r="132" spans="1:30" ht="16.5" customHeight="1" x14ac:dyDescent="0.45">
      <c r="A132" s="12" t="s">
        <v>124</v>
      </c>
      <c r="B132" s="7">
        <v>5193.67</v>
      </c>
      <c r="C132" s="8">
        <f>IFERROR(B132/B444, "NA")</f>
        <v>3.7036020210372826E-2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-5193.67</v>
      </c>
      <c r="I132" s="8">
        <f>IFERROR(H132/H444, "NA")</f>
        <v>-0.4512177746269877</v>
      </c>
      <c r="J132" s="9"/>
      <c r="K132" s="7">
        <v>3846.3</v>
      </c>
      <c r="L132" s="8">
        <f>IFERROR(K132/K444, "NA")</f>
        <v>3.197216992306829E-2</v>
      </c>
      <c r="M132" s="9"/>
      <c r="N132" s="10">
        <f t="shared" si="29"/>
        <v>-1347.37</v>
      </c>
      <c r="O132" s="8">
        <f>IFERROR(N132/N444, "NA")</f>
        <v>-6.7600233600783474E-2</v>
      </c>
      <c r="P132" s="9"/>
      <c r="Q132" s="7">
        <v>9600.76</v>
      </c>
      <c r="R132" s="8">
        <f>IFERROR(Q132/Q444, "NA")</f>
        <v>3.2987027881761721E-2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-9600.76</v>
      </c>
      <c r="X132" s="8">
        <f>IFERROR(W132/W444, "NA")</f>
        <v>-0.98471555255605492</v>
      </c>
      <c r="Y132" s="9"/>
      <c r="Z132" s="7">
        <v>9329.2999999999993</v>
      </c>
      <c r="AA132" s="8">
        <f>IFERROR(Z132/Z444, "NA")</f>
        <v>3.500826621067199E-2</v>
      </c>
      <c r="AB132" s="9"/>
      <c r="AC132" s="10">
        <f t="shared" si="31"/>
        <v>-271.46000000000095</v>
      </c>
      <c r="AD132" s="8">
        <f>IFERROR(AC132/AC444, "NA")</f>
        <v>-1.1053813740836017E-2</v>
      </c>
    </row>
    <row r="133" spans="1:30" ht="16.5" customHeight="1" x14ac:dyDescent="0.45">
      <c r="A133" s="12" t="s">
        <v>125</v>
      </c>
      <c r="B133" s="7">
        <v>2917.1</v>
      </c>
      <c r="C133" s="8">
        <f>IFERROR(B133/B444, "NA")</f>
        <v>2.080181731909778E-2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-2917.1</v>
      </c>
      <c r="I133" s="8">
        <f>IFERROR(H133/H444, "NA")</f>
        <v>-0.25343300024152204</v>
      </c>
      <c r="J133" s="9"/>
      <c r="K133" s="7">
        <v>2688.2</v>
      </c>
      <c r="L133" s="8">
        <f>IFERROR(K133/K444, "NA")</f>
        <v>2.2345523538775492E-2</v>
      </c>
      <c r="M133" s="9"/>
      <c r="N133" s="10">
        <f t="shared" si="29"/>
        <v>-228.90000000000009</v>
      </c>
      <c r="O133" s="8">
        <f>IFERROR(N133/N444, "NA")</f>
        <v>-1.1484368414926371E-2</v>
      </c>
      <c r="P133" s="9"/>
      <c r="Q133" s="7">
        <v>6207.77</v>
      </c>
      <c r="R133" s="8">
        <f>IFERROR(Q133/Q444, "NA")</f>
        <v>2.1329132493007216E-2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-6207.77</v>
      </c>
      <c r="X133" s="8">
        <f>IFERROR(W133/W444, "NA")</f>
        <v>-0.63670872573534809</v>
      </c>
      <c r="Y133" s="9"/>
      <c r="Z133" s="7">
        <v>6284.84</v>
      </c>
      <c r="AA133" s="8">
        <f>IFERROR(Z133/Z444, "NA")</f>
        <v>2.3583907882850776E-2</v>
      </c>
      <c r="AB133" s="9"/>
      <c r="AC133" s="10">
        <f t="shared" si="31"/>
        <v>77.069999999999709</v>
      </c>
      <c r="AD133" s="8">
        <f>IFERROR(AC133/AC444, "NA")</f>
        <v>3.1382797649975158E-3</v>
      </c>
    </row>
    <row r="134" spans="1:30" ht="16.5" customHeight="1" x14ac:dyDescent="0.45">
      <c r="A134" s="12" t="s">
        <v>126</v>
      </c>
      <c r="B134" s="7">
        <v>1302.06</v>
      </c>
      <c r="C134" s="8">
        <f>IFERROR(B134/B444, "NA")</f>
        <v>9.2849796916473406E-3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-1302.06</v>
      </c>
      <c r="I134" s="8">
        <f>IFERROR(H134/H444, "NA")</f>
        <v>-0.11312089825322279</v>
      </c>
      <c r="J134" s="9"/>
      <c r="K134" s="7">
        <v>936.11</v>
      </c>
      <c r="L134" s="8">
        <f>IFERROR(K134/K444, "NA")</f>
        <v>7.7813659846302828E-3</v>
      </c>
      <c r="M134" s="9"/>
      <c r="N134" s="10">
        <f t="shared" si="29"/>
        <v>-365.94999999999993</v>
      </c>
      <c r="O134" s="8">
        <f>IFERROR(N134/N444, "NA")</f>
        <v>-1.83604395869039E-2</v>
      </c>
      <c r="P134" s="9"/>
      <c r="Q134" s="7">
        <v>2941.55</v>
      </c>
      <c r="R134" s="8">
        <f>IFERROR(Q134/Q444, "NA")</f>
        <v>1.0106803197413142E-2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-2941.55</v>
      </c>
      <c r="X134" s="8">
        <f>IFERROR(W134/W444, "NA")</f>
        <v>-0.3017042435829313</v>
      </c>
      <c r="Y134" s="9"/>
      <c r="Z134" s="7">
        <v>2227.3200000000002</v>
      </c>
      <c r="AA134" s="8">
        <f>IFERROR(Z134/Z444, "NA")</f>
        <v>8.358034525243474E-3</v>
      </c>
      <c r="AB134" s="9"/>
      <c r="AC134" s="10">
        <f t="shared" si="31"/>
        <v>-714.23</v>
      </c>
      <c r="AD134" s="8">
        <f>IFERROR(AC134/AC444, "NA")</f>
        <v>-2.9083347042353498E-2</v>
      </c>
    </row>
    <row r="135" spans="1:30" ht="16.5" customHeight="1" x14ac:dyDescent="0.45">
      <c r="A135" s="12" t="s">
        <v>127</v>
      </c>
      <c r="B135" s="7">
        <v>789.86</v>
      </c>
      <c r="C135" s="8">
        <f>IFERROR(B135/B444, "NA")</f>
        <v>5.6324854916398387E-3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-789.86</v>
      </c>
      <c r="I135" s="8">
        <f>IFERROR(H135/H444, "NA")</f>
        <v>-6.8621778331482849E-2</v>
      </c>
      <c r="J135" s="9"/>
      <c r="K135" s="7">
        <v>1017.48</v>
      </c>
      <c r="L135" s="8">
        <f>IFERROR(K135/K444, "NA")</f>
        <v>8.4577499033677891E-3</v>
      </c>
      <c r="M135" s="9"/>
      <c r="N135" s="10">
        <f t="shared" si="29"/>
        <v>227.62</v>
      </c>
      <c r="O135" s="8">
        <f>IFERROR(N135/N444, "NA")</f>
        <v>1.1420148268263607E-2</v>
      </c>
      <c r="P135" s="9"/>
      <c r="Q135" s="7">
        <v>2013.67</v>
      </c>
      <c r="R135" s="8">
        <f>IFERROR(Q135/Q444, "NA")</f>
        <v>6.9187218964610227E-3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-2013.67</v>
      </c>
      <c r="X135" s="8">
        <f>IFERROR(W135/W444, "NA")</f>
        <v>-0.20653491668529897</v>
      </c>
      <c r="Y135" s="9"/>
      <c r="Z135" s="7">
        <v>2440.5300000000002</v>
      </c>
      <c r="AA135" s="8">
        <f>IFERROR(Z135/Z444, "NA")</f>
        <v>9.1581066034033976E-3</v>
      </c>
      <c r="AB135" s="9"/>
      <c r="AC135" s="10">
        <f t="shared" si="31"/>
        <v>426.86000000000013</v>
      </c>
      <c r="AD135" s="8">
        <f>IFERROR(AC135/AC444, "NA")</f>
        <v>1.7381680296961789E-2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1260.17</v>
      </c>
      <c r="L136" s="8">
        <f>IFERROR(K136/K444, "NA")</f>
        <v>1.0475097982984419E-2</v>
      </c>
      <c r="M136" s="9"/>
      <c r="N136" s="10">
        <f t="shared" si="29"/>
        <v>1260.17</v>
      </c>
      <c r="O136" s="8">
        <f>IFERROR(N136/N444, "NA")</f>
        <v>6.3225236109382965E-2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2277.38</v>
      </c>
      <c r="AA136" s="8">
        <f>IFERROR(Z136/Z444, "NA")</f>
        <v>8.5458850399129822E-3</v>
      </c>
      <c r="AB136" s="9"/>
      <c r="AC136" s="10">
        <f t="shared" si="31"/>
        <v>2277.38</v>
      </c>
      <c r="AD136" s="8">
        <f>IFERROR(AC136/AC444, "NA")</f>
        <v>9.2734599340989612E-2</v>
      </c>
    </row>
    <row r="137" spans="1:30" ht="16.5" customHeight="1" x14ac:dyDescent="0.45">
      <c r="A137" s="12" t="s">
        <v>129</v>
      </c>
      <c r="B137" s="7">
        <v>610.95000000000005</v>
      </c>
      <c r="C137" s="8">
        <f>IFERROR(B137/B444, "NA")</f>
        <v>4.3566796788258172E-3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-610.95000000000005</v>
      </c>
      <c r="I137" s="8">
        <f>IFERROR(H137/H444, "NA")</f>
        <v>-5.3078362585292894E-2</v>
      </c>
      <c r="J137" s="9"/>
      <c r="K137" s="7">
        <v>309.02999999999997</v>
      </c>
      <c r="L137" s="8">
        <f>IFERROR(K137/K444, "NA")</f>
        <v>2.5687959003004948E-3</v>
      </c>
      <c r="M137" s="9"/>
      <c r="N137" s="10">
        <f t="shared" si="29"/>
        <v>-301.92000000000007</v>
      </c>
      <c r="O137" s="8">
        <f>IFERROR(N137/N444, "NA")</f>
        <v>-1.5147927094078502E-2</v>
      </c>
      <c r="P137" s="9"/>
      <c r="Q137" s="7">
        <v>1487.07</v>
      </c>
      <c r="R137" s="8">
        <f>IFERROR(Q137/Q444, "NA")</f>
        <v>5.1093892100345598E-3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-1487.07</v>
      </c>
      <c r="X137" s="8">
        <f>IFERROR(W137/W444, "NA")</f>
        <v>-0.15252344155457823</v>
      </c>
      <c r="Y137" s="9"/>
      <c r="Z137" s="7">
        <v>984.88</v>
      </c>
      <c r="AA137" s="8">
        <f>IFERROR(Z137/Z444, "NA")</f>
        <v>3.6957693745046927E-3</v>
      </c>
      <c r="AB137" s="9"/>
      <c r="AC137" s="10">
        <f t="shared" si="31"/>
        <v>-502.18999999999994</v>
      </c>
      <c r="AD137" s="8">
        <f>IFERROR(AC137/AC444, "NA")</f>
        <v>-2.0449107502064464E-2</v>
      </c>
    </row>
    <row r="138" spans="1:30" ht="16.5" customHeight="1" x14ac:dyDescent="0.45">
      <c r="A138" s="12" t="s">
        <v>130</v>
      </c>
      <c r="B138" s="7">
        <v>9065.7800000000007</v>
      </c>
      <c r="C138" s="8">
        <f>IFERROR(B138/B444, "NA")</f>
        <v>6.4648006381382295E-2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-9065.7800000000007</v>
      </c>
      <c r="I138" s="8">
        <f>IFERROR(H138/H444, "NA")</f>
        <v>-0.787620522069722</v>
      </c>
      <c r="J138" s="9"/>
      <c r="K138" s="7">
        <v>6538.82</v>
      </c>
      <c r="L138" s="8">
        <f>IFERROR(K138/K444, "NA")</f>
        <v>5.4353603238529856E-2</v>
      </c>
      <c r="M138" s="9"/>
      <c r="N138" s="10">
        <f t="shared" si="29"/>
        <v>-2526.9600000000009</v>
      </c>
      <c r="O138" s="8">
        <f>IFERROR(N138/N444, "NA")</f>
        <v>-0.12678261078978742</v>
      </c>
      <c r="P138" s="9"/>
      <c r="Q138" s="7">
        <v>19803.650000000001</v>
      </c>
      <c r="R138" s="8">
        <f>IFERROR(Q138/Q444, "NA")</f>
        <v>6.8042900219425398E-2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-19803.650000000001</v>
      </c>
      <c r="X138" s="8">
        <f>IFERROR(W138/W444, "NA")</f>
        <v>-2.0311894217100228</v>
      </c>
      <c r="Y138" s="9"/>
      <c r="Z138" s="7">
        <v>14382.4</v>
      </c>
      <c r="AA138" s="8">
        <f>IFERROR(Z138/Z444, "NA")</f>
        <v>5.3970060770729723E-2</v>
      </c>
      <c r="AB138" s="9"/>
      <c r="AC138" s="10">
        <f t="shared" si="31"/>
        <v>-5421.2500000000018</v>
      </c>
      <c r="AD138" s="8">
        <f>IFERROR(AC138/AC444, "NA")</f>
        <v>-0.22075255191375182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19.8</v>
      </c>
      <c r="L140" s="8">
        <f>IFERROR(K140/K444, "NA")</f>
        <v>1.645864764778494E-4</v>
      </c>
      <c r="M140" s="9"/>
      <c r="N140" s="10">
        <f t="shared" si="29"/>
        <v>19.8</v>
      </c>
      <c r="O140" s="8">
        <f>IFERROR(N140/N444, "NA")</f>
        <v>9.9340539368956786E-4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41.86</v>
      </c>
      <c r="AA140" s="8">
        <f>IFERROR(Z140/Z444, "NA")</f>
        <v>1.5707995493538952E-4</v>
      </c>
      <c r="AB140" s="9"/>
      <c r="AC140" s="10">
        <f t="shared" si="31"/>
        <v>41.86</v>
      </c>
      <c r="AD140" s="8">
        <f>IFERROR(AC140/AC444, "NA")</f>
        <v>1.7045334236771312E-3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29952.630000000005</v>
      </c>
      <c r="C141" s="15">
        <f>IFERROR(B141/B444, "NA")</f>
        <v>0.21359197061688934</v>
      </c>
      <c r="D141" s="2"/>
      <c r="E141" s="14">
        <f>IFERROR(E129+E130+E131+E132+E133+E134+E135+E136+E137+E138+E139+E140, "NA")</f>
        <v>27160.47</v>
      </c>
      <c r="F141" s="15">
        <f>IFERROR(E141/E444, "NA")</f>
        <v>0.21100001087610101</v>
      </c>
      <c r="G141" s="2"/>
      <c r="H141" s="14">
        <f t="shared" si="28"/>
        <v>-2792.1600000000035</v>
      </c>
      <c r="I141" s="15">
        <f>IFERROR(H141/H444, "NA")</f>
        <v>-0.24257841210598508</v>
      </c>
      <c r="J141" s="2"/>
      <c r="K141" s="14">
        <f>IFERROR(K129+K130+K131+K132+K133+K134+K135+K136+K137+K138+K139+K140, "NA")</f>
        <v>26567.63</v>
      </c>
      <c r="L141" s="15">
        <f>IFERROR(K141/K444, "NA")</f>
        <v>0.22084205101349527</v>
      </c>
      <c r="M141" s="2"/>
      <c r="N141" s="14">
        <f t="shared" si="29"/>
        <v>-3385.0000000000036</v>
      </c>
      <c r="O141" s="15">
        <f>IFERROR(N141/N444, "NA")</f>
        <v>-0.16983218472925204</v>
      </c>
      <c r="P141" s="2"/>
      <c r="Q141" s="14">
        <f>IFERROR(Q129+Q130+Q131+Q132+Q133+Q134+Q135+Q136+Q137+Q138+Q139+Q140, "NA")</f>
        <v>62758.17</v>
      </c>
      <c r="R141" s="15">
        <f>IFERROR(Q141/Q444, "NA")</f>
        <v>0.21562933596906306</v>
      </c>
      <c r="S141" s="2"/>
      <c r="T141" s="14">
        <f>IFERROR(T129+T130+T131+T132+T133+T134+T135+T136+T137+T138+T139+T140, "NA")</f>
        <v>59762.78</v>
      </c>
      <c r="U141" s="15">
        <f>IFERROR(T141/T444, "NA")</f>
        <v>0.21245456977373539</v>
      </c>
      <c r="V141" s="2"/>
      <c r="W141" s="14">
        <f t="shared" si="30"/>
        <v>-2995.3899999999994</v>
      </c>
      <c r="X141" s="15">
        <f>IFERROR(W141/W444, "NA")</f>
        <v>-0.3072264194679255</v>
      </c>
      <c r="Y141" s="2"/>
      <c r="Z141" s="14">
        <f>IFERROR(Z129+Z130+Z131+Z132+Z133+Z134+Z135+Z136+Z137+Z138+Z139+Z140, "NA")</f>
        <v>60493.489999999991</v>
      </c>
      <c r="AA141" s="15">
        <f>IFERROR(Z141/Z444, "NA")</f>
        <v>0.22700226189881595</v>
      </c>
      <c r="AB141" s="2"/>
      <c r="AC141" s="14">
        <f t="shared" si="31"/>
        <v>-2264.6800000000076</v>
      </c>
      <c r="AD141" s="15">
        <f>IFERROR(AC141/AC444, "NA")</f>
        <v>-9.2217457093481572E-2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1544.67</v>
      </c>
      <c r="F143" s="8">
        <f>IFERROR(E143/E444, "NA")</f>
        <v>1.1999990677627704E-2</v>
      </c>
      <c r="G143" s="9"/>
      <c r="H143" s="10">
        <f t="shared" ref="H143:H149" si="32">IFERROR(-(B143-E143), "NA")</f>
        <v>1544.67</v>
      </c>
      <c r="I143" s="8">
        <f>IFERROR(H143/H444, "NA")</f>
        <v>0.13419846850744641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3375.56</v>
      </c>
      <c r="U143" s="8">
        <f>IFERROR(T143/T444, "NA")</f>
        <v>1.1999996445035358E-2</v>
      </c>
      <c r="V143" s="9"/>
      <c r="W143" s="10">
        <f t="shared" ref="W143:W149" si="34">IFERROR(-(Q143-T143), "NA")</f>
        <v>3375.56</v>
      </c>
      <c r="X143" s="8">
        <f>IFERROR(W143/W444, "NA")</f>
        <v>0.34621909417443164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1538.79</v>
      </c>
      <c r="C144" s="8">
        <f>IFERROR(B144/B444, "NA")</f>
        <v>1.0973099472919842E-2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-1538.79</v>
      </c>
      <c r="I144" s="8">
        <f>IFERROR(H144/H444, "NA")</f>
        <v>-0.13368762347593557</v>
      </c>
      <c r="J144" s="9"/>
      <c r="K144" s="7">
        <v>2055.33</v>
      </c>
      <c r="L144" s="8">
        <f>IFERROR(K144/K444, "NA")</f>
        <v>1.7084824378748396E-2</v>
      </c>
      <c r="M144" s="9"/>
      <c r="N144" s="10">
        <f t="shared" si="33"/>
        <v>516.54</v>
      </c>
      <c r="O144" s="8">
        <f>IFERROR(N144/N444, "NA")</f>
        <v>2.5915839497798448E-2</v>
      </c>
      <c r="P144" s="9"/>
      <c r="Q144" s="7">
        <v>3576.25</v>
      </c>
      <c r="R144" s="8">
        <f>IFERROR(Q144/Q444, "NA")</f>
        <v>1.2287554158436452E-2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-3576.25</v>
      </c>
      <c r="X144" s="8">
        <f>IFERROR(W144/W444, "NA")</f>
        <v>-0.36680314837873162</v>
      </c>
      <c r="Y144" s="9"/>
      <c r="Z144" s="7">
        <v>3890.78</v>
      </c>
      <c r="AA144" s="8">
        <f>IFERROR(Z144/Z444, "NA")</f>
        <v>1.4600180292965E-2</v>
      </c>
      <c r="AB144" s="9"/>
      <c r="AC144" s="10">
        <f t="shared" si="35"/>
        <v>314.5300000000002</v>
      </c>
      <c r="AD144" s="8">
        <f>IFERROR(AC144/AC444, "NA")</f>
        <v>1.2807618197543441E-2</v>
      </c>
    </row>
    <row r="145" spans="1:30" ht="16.5" customHeight="1" x14ac:dyDescent="0.45">
      <c r="A145" s="12" t="s">
        <v>136</v>
      </c>
      <c r="B145" s="7">
        <v>48.47</v>
      </c>
      <c r="C145" s="8">
        <f>IFERROR(B145/B444, "NA")</f>
        <v>3.4563919147669584E-4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-48.47</v>
      </c>
      <c r="I145" s="8">
        <f>IFERROR(H145/H444, "NA")</f>
        <v>-4.2109963736953046E-3</v>
      </c>
      <c r="J145" s="9"/>
      <c r="K145" s="7">
        <v>125.8</v>
      </c>
      <c r="L145" s="8">
        <f>IFERROR(K145/K444, "NA")</f>
        <v>1.0457059970158311E-3</v>
      </c>
      <c r="M145" s="9"/>
      <c r="N145" s="10">
        <f t="shared" si="33"/>
        <v>77.33</v>
      </c>
      <c r="O145" s="8">
        <f>IFERROR(N145/N444, "NA")</f>
        <v>3.8797999542431448E-3</v>
      </c>
      <c r="P145" s="9"/>
      <c r="Q145" s="7">
        <v>84.85</v>
      </c>
      <c r="R145" s="8">
        <f>IFERROR(Q145/Q444, "NA")</f>
        <v>2.9153414060631471E-4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-84.85</v>
      </c>
      <c r="X145" s="8">
        <f>IFERROR(W145/W444, "NA")</f>
        <v>-8.7027604725439696E-3</v>
      </c>
      <c r="Y145" s="9"/>
      <c r="Z145" s="7">
        <v>242.39</v>
      </c>
      <c r="AA145" s="8">
        <f>IFERROR(Z145/Z444, "NA")</f>
        <v>9.0957024072596906E-4</v>
      </c>
      <c r="AB145" s="9"/>
      <c r="AC145" s="10">
        <f t="shared" si="35"/>
        <v>157.54</v>
      </c>
      <c r="AD145" s="8">
        <f>IFERROR(AC145/AC444, "NA")</f>
        <v>6.4150070608240623E-3</v>
      </c>
    </row>
    <row r="146" spans="1:30" ht="16.5" customHeight="1" x14ac:dyDescent="0.45">
      <c r="A146" s="12" t="s">
        <v>137</v>
      </c>
      <c r="B146" s="7">
        <v>108.09</v>
      </c>
      <c r="C146" s="8">
        <f>IFERROR(B146/B444, "NA")</f>
        <v>7.7078894587819381E-4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-108.09</v>
      </c>
      <c r="I146" s="8">
        <f>IFERROR(H146/H444, "NA")</f>
        <v>-9.3906869823132972E-3</v>
      </c>
      <c r="J146" s="9"/>
      <c r="K146" s="7">
        <v>-1211.1500000000001</v>
      </c>
      <c r="L146" s="8">
        <f>IFERROR(K146/K444, "NA")</f>
        <v>-1.0067621766977137E-2</v>
      </c>
      <c r="M146" s="9"/>
      <c r="N146" s="10">
        <f t="shared" si="33"/>
        <v>-1319.24</v>
      </c>
      <c r="O146" s="8">
        <f>IFERROR(N146/N444, "NA")</f>
        <v>-6.6188895533890166E-2</v>
      </c>
      <c r="P146" s="9"/>
      <c r="Q146" s="7">
        <v>240.37</v>
      </c>
      <c r="R146" s="8">
        <f>IFERROR(Q146/Q444, "NA")</f>
        <v>8.2588168977654533E-4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-240.37</v>
      </c>
      <c r="X146" s="8">
        <f>IFERROR(W146/W444, "NA")</f>
        <v>-2.4653889626227395E-2</v>
      </c>
      <c r="Y146" s="9"/>
      <c r="Z146" s="7">
        <v>-871.57</v>
      </c>
      <c r="AA146" s="8">
        <f>IFERROR(Z146/Z444, "NA")</f>
        <v>-3.2705727740811623E-3</v>
      </c>
      <c r="AB146" s="9"/>
      <c r="AC146" s="10">
        <f t="shared" si="35"/>
        <v>-1111.94</v>
      </c>
      <c r="AD146" s="8">
        <f>IFERROR(AC146/AC444, "NA")</f>
        <v>-4.5278043361766586E-2</v>
      </c>
    </row>
    <row r="147" spans="1:30" ht="16.5" customHeight="1" x14ac:dyDescent="0.45">
      <c r="A147" s="12" t="s">
        <v>138</v>
      </c>
      <c r="B147" s="7">
        <v>6.99</v>
      </c>
      <c r="C147" s="8">
        <f>IFERROR(B147/B444, "NA")</f>
        <v>4.9845635412050837E-5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-6.99</v>
      </c>
      <c r="I147" s="8">
        <f>IFERROR(H147/H444, "NA")</f>
        <v>-6.0728006296946935E-4</v>
      </c>
      <c r="J147" s="9"/>
      <c r="K147" s="7">
        <v>11.58</v>
      </c>
      <c r="L147" s="8">
        <f>IFERROR(K147/K444, "NA")</f>
        <v>9.6258151394621014E-5</v>
      </c>
      <c r="M147" s="9"/>
      <c r="N147" s="10">
        <f t="shared" si="33"/>
        <v>4.59</v>
      </c>
      <c r="O147" s="8">
        <f>IFERROR(N147/N444, "NA")</f>
        <v>2.3028943217349068E-4</v>
      </c>
      <c r="P147" s="9"/>
      <c r="Q147" s="7">
        <v>13.96</v>
      </c>
      <c r="R147" s="8">
        <f>IFERROR(Q147/Q444, "NA")</f>
        <v>4.796483916162821E-5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-13.96</v>
      </c>
      <c r="X147" s="8">
        <f>IFERROR(W147/W444, "NA")</f>
        <v>-1.4318271796902044E-3</v>
      </c>
      <c r="Y147" s="9"/>
      <c r="Z147" s="7">
        <v>22.21</v>
      </c>
      <c r="AA147" s="8">
        <f>IFERROR(Z147/Z444, "NA")</f>
        <v>8.3343186792044944E-5</v>
      </c>
      <c r="AB147" s="9"/>
      <c r="AC147" s="10">
        <f t="shared" si="35"/>
        <v>8.25</v>
      </c>
      <c r="AD147" s="8">
        <f>IFERROR(AC147/AC444, "NA")</f>
        <v>3.3593886157038538E-4</v>
      </c>
    </row>
    <row r="148" spans="1:30" ht="16.5" customHeight="1" x14ac:dyDescent="0.45">
      <c r="A148" s="13" t="s">
        <v>139</v>
      </c>
      <c r="B148" s="14">
        <f>IFERROR(B143+B144+B145+B146+B147, "NA")</f>
        <v>1702.34</v>
      </c>
      <c r="C148" s="15">
        <f>IFERROR(B148/B444, "NA")</f>
        <v>1.2139373245686784E-2</v>
      </c>
      <c r="D148" s="2"/>
      <c r="E148" s="14">
        <f>IFERROR(E143+E144+E145+E146+E147, "NA")</f>
        <v>1544.67</v>
      </c>
      <c r="F148" s="15">
        <f>IFERROR(E148/E444, "NA")</f>
        <v>1.1999990677627704E-2</v>
      </c>
      <c r="G148" s="2"/>
      <c r="H148" s="14">
        <f t="shared" si="32"/>
        <v>-157.66999999999985</v>
      </c>
      <c r="I148" s="15">
        <f>IFERROR(H148/H444, "NA")</f>
        <v>-1.369811838746726E-2</v>
      </c>
      <c r="J148" s="2"/>
      <c r="K148" s="14">
        <f>IFERROR(K143+K144+K145+K146+K147, "NA")</f>
        <v>981.56000000000006</v>
      </c>
      <c r="L148" s="15">
        <f>IFERROR(K148/K444, "NA")</f>
        <v>8.1591667601817099E-3</v>
      </c>
      <c r="M148" s="2"/>
      <c r="N148" s="14">
        <f t="shared" si="33"/>
        <v>-720.77999999999986</v>
      </c>
      <c r="O148" s="15">
        <f>IFERROR(N148/N444, "NA")</f>
        <v>-3.6162966649675075E-2</v>
      </c>
      <c r="P148" s="2"/>
      <c r="Q148" s="14">
        <f>IFERROR(Q143+Q144+Q145+Q146+Q147, "NA")</f>
        <v>3915.43</v>
      </c>
      <c r="R148" s="15">
        <f>IFERROR(Q148/Q444, "NA")</f>
        <v>1.345293482798094E-2</v>
      </c>
      <c r="S148" s="2"/>
      <c r="T148" s="14">
        <f>IFERROR(T143+T144+T145+T146+T147, "NA")</f>
        <v>3375.56</v>
      </c>
      <c r="U148" s="15">
        <f>IFERROR(T148/T444, "NA")</f>
        <v>1.1999996445035358E-2</v>
      </c>
      <c r="V148" s="2"/>
      <c r="W148" s="14">
        <f t="shared" si="34"/>
        <v>-539.86999999999989</v>
      </c>
      <c r="X148" s="15">
        <f>IFERROR(W148/W444, "NA")</f>
        <v>-5.5372531482761493E-2</v>
      </c>
      <c r="Y148" s="2"/>
      <c r="Z148" s="14">
        <f>IFERROR(Z143+Z144+Z145+Z146+Z147, "NA")</f>
        <v>3283.81</v>
      </c>
      <c r="AA148" s="15">
        <f>IFERROR(Z148/Z444, "NA")</f>
        <v>1.2322520946401851E-2</v>
      </c>
      <c r="AB148" s="2"/>
      <c r="AC148" s="14">
        <f t="shared" si="35"/>
        <v>-631.61999999999989</v>
      </c>
      <c r="AD148" s="15">
        <f>IFERROR(AC148/AC444, "NA")</f>
        <v>-2.5719479241828703E-2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31654.970000000008</v>
      </c>
      <c r="C149" s="15">
        <f>IFERROR(B149/B444, "NA")</f>
        <v>0.22573134386257615</v>
      </c>
      <c r="D149" s="2"/>
      <c r="E149" s="14">
        <f>IFERROR(E127+E129+E130+E131+E132+E133+E134+E135+E136+E137+E138+E139+E140+E143+E144+E145+E146+E147, "NA")</f>
        <v>28705.14</v>
      </c>
      <c r="F149" s="15">
        <f>IFERROR(E149/E444, "NA")</f>
        <v>0.22300000155372871</v>
      </c>
      <c r="G149" s="2"/>
      <c r="H149" s="14">
        <f t="shared" si="32"/>
        <v>-2949.830000000009</v>
      </c>
      <c r="I149" s="15">
        <f>IFERROR(H149/H444, "NA")</f>
        <v>-0.25627653049345284</v>
      </c>
      <c r="J149" s="2"/>
      <c r="K149" s="14">
        <f>IFERROR(K127+K129+K130+K131+K132+K133+K134+K135+K136+K137+K138+K139+K140+K143+K144+K145+K146+K147, "NA")</f>
        <v>27549.19</v>
      </c>
      <c r="L149" s="15">
        <f>IFERROR(K149/K444, "NA")</f>
        <v>0.22900121777367696</v>
      </c>
      <c r="M149" s="2"/>
      <c r="N149" s="14">
        <f t="shared" si="33"/>
        <v>-4105.7800000000097</v>
      </c>
      <c r="O149" s="15">
        <f>IFERROR(N149/N444, "NA")</f>
        <v>-0.20599515137892743</v>
      </c>
      <c r="P149" s="2"/>
      <c r="Q149" s="14">
        <f>IFERROR(Q127+Q129+Q130+Q131+Q132+Q133+Q134+Q135+Q136+Q137+Q138+Q139+Q140+Q143+Q144+Q145+Q146+Q147, "NA")</f>
        <v>66673.600000000006</v>
      </c>
      <c r="R149" s="15">
        <f>IFERROR(Q149/Q444, "NA")</f>
        <v>0.22908227079704402</v>
      </c>
      <c r="S149" s="2"/>
      <c r="T149" s="14">
        <f>IFERROR(T127+T129+T130+T131+T132+T133+T134+T135+T136+T137+T138+T139+T140+T143+T144+T145+T146+T147, "NA")</f>
        <v>63138.34</v>
      </c>
      <c r="U149" s="15">
        <f>IFERROR(T149/T444, "NA")</f>
        <v>0.22445456621877075</v>
      </c>
      <c r="V149" s="2"/>
      <c r="W149" s="14">
        <f t="shared" si="34"/>
        <v>-3535.2600000000093</v>
      </c>
      <c r="X149" s="15">
        <f>IFERROR(W149/W444, "NA")</f>
        <v>-0.36259895095068806</v>
      </c>
      <c r="Y149" s="2"/>
      <c r="Z149" s="14">
        <f>IFERROR(Z127+Z129+Z130+Z131+Z132+Z133+Z134+Z135+Z136+Z137+Z138+Z139+Z140+Z143+Z144+Z145+Z146+Z147, "NA")</f>
        <v>63777.299999999988</v>
      </c>
      <c r="AA149" s="15">
        <f>IFERROR(Z149/Z444, "NA")</f>
        <v>0.23932478284521777</v>
      </c>
      <c r="AB149" s="2"/>
      <c r="AC149" s="14">
        <f t="shared" si="35"/>
        <v>-2896.3000000000175</v>
      </c>
      <c r="AD149" s="15">
        <f>IFERROR(AC149/AC444, "NA")</f>
        <v>-0.11793693633531067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5277.63</v>
      </c>
      <c r="F153" s="8">
        <f>IFERROR(E153/E444, "NA")</f>
        <v>4.1000026413388166E-2</v>
      </c>
      <c r="G153" s="9"/>
      <c r="H153" s="10">
        <f t="shared" ref="H153:H158" si="36">IFERROR(-(B153-E153), "NA")</f>
        <v>5277.63</v>
      </c>
      <c r="I153" s="8">
        <f>IFERROR(H153/H444, "NA")</f>
        <v>0.45851208565515889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11533.17</v>
      </c>
      <c r="U153" s="8">
        <f>IFERROR(T153/T444, "NA")</f>
        <v>4.1000011553635085E-2</v>
      </c>
      <c r="V153" s="9"/>
      <c r="W153" s="10">
        <f t="shared" ref="W153:W158" si="38">IFERROR(-(Q153-T153), "NA")</f>
        <v>11533.17</v>
      </c>
      <c r="X153" s="8">
        <f>IFERROR(W153/W444, "NA")</f>
        <v>1.1829159222054206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3816.44</v>
      </c>
      <c r="C154" s="8">
        <f>IFERROR(B154/B444, "NA")</f>
        <v>2.7215003835760698E-2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-3816.44</v>
      </c>
      <c r="I154" s="8">
        <f>IFERROR(H154/H444, "NA")</f>
        <v>-0.33156622654065832</v>
      </c>
      <c r="J154" s="9"/>
      <c r="K154" s="7">
        <v>4446.7299999999996</v>
      </c>
      <c r="L154" s="8">
        <f>IFERROR(K154/K444, "NA")</f>
        <v>3.6963213260017537E-2</v>
      </c>
      <c r="M154" s="9"/>
      <c r="N154" s="10">
        <f t="shared" si="37"/>
        <v>630.28999999999951</v>
      </c>
      <c r="O154" s="8">
        <f>IFERROR(N154/N444, "NA")</f>
        <v>3.1622903312555413E-2</v>
      </c>
      <c r="P154" s="9"/>
      <c r="Q154" s="7">
        <v>8420.2000000000007</v>
      </c>
      <c r="R154" s="8">
        <f>IFERROR(Q154/Q444, "NA")</f>
        <v>2.893076924847721E-2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-8420.2000000000007</v>
      </c>
      <c r="X154" s="8">
        <f>IFERROR(W154/W444, "NA")</f>
        <v>-0.86362974344036236</v>
      </c>
      <c r="Y154" s="9"/>
      <c r="Z154" s="7">
        <v>9520.1</v>
      </c>
      <c r="AA154" s="8">
        <f>IFERROR(Z154/Z444, "NA")</f>
        <v>3.572424460058294E-2</v>
      </c>
      <c r="AB154" s="9"/>
      <c r="AC154" s="10">
        <f t="shared" si="39"/>
        <v>1099.8999999999996</v>
      </c>
      <c r="AD154" s="8">
        <f>IFERROR(AC154/AC444, "NA")</f>
        <v>4.4787776223183855E-2</v>
      </c>
    </row>
    <row r="155" spans="1:30" ht="16.5" customHeight="1" x14ac:dyDescent="0.45">
      <c r="A155" s="12" t="s">
        <v>144</v>
      </c>
      <c r="B155" s="7">
        <v>1245.9100000000001</v>
      </c>
      <c r="C155" s="8">
        <f>IFERROR(B155/B444, "NA")</f>
        <v>8.8845744801471036E-3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-1245.9100000000001</v>
      </c>
      <c r="I155" s="8">
        <f>IFERROR(H155/H444, "NA")</f>
        <v>-0.10824267571592155</v>
      </c>
      <c r="J155" s="9"/>
      <c r="K155" s="7">
        <v>865.97</v>
      </c>
      <c r="L155" s="8">
        <f>IFERROR(K155/K444, "NA")</f>
        <v>7.1983308603799619E-3</v>
      </c>
      <c r="M155" s="9"/>
      <c r="N155" s="10">
        <f t="shared" si="37"/>
        <v>-379.94000000000005</v>
      </c>
      <c r="O155" s="8">
        <f>IFERROR(N155/N444, "NA")</f>
        <v>-1.9062345721132041E-2</v>
      </c>
      <c r="P155" s="9"/>
      <c r="Q155" s="7">
        <v>2882.65</v>
      </c>
      <c r="R155" s="8">
        <f>IFERROR(Q155/Q444, "NA")</f>
        <v>9.9044300579704554E-3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-2882.65</v>
      </c>
      <c r="X155" s="8">
        <f>IFERROR(W155/W444, "NA")</f>
        <v>-0.29566308162850768</v>
      </c>
      <c r="Y155" s="9"/>
      <c r="Z155" s="7">
        <v>1910.82</v>
      </c>
      <c r="AA155" s="8">
        <f>IFERROR(Z155/Z444, "NA")</f>
        <v>7.1703659696521977E-3</v>
      </c>
      <c r="AB155" s="9"/>
      <c r="AC155" s="10">
        <f t="shared" si="39"/>
        <v>-971.83000000000015</v>
      </c>
      <c r="AD155" s="8">
        <f>IFERROR(AC155/AC444, "NA")</f>
        <v>-3.9572783495751239E-2</v>
      </c>
    </row>
    <row r="156" spans="1:30" ht="16.5" customHeight="1" x14ac:dyDescent="0.45">
      <c r="A156" s="12" t="s">
        <v>145</v>
      </c>
      <c r="B156" s="7">
        <v>57.62</v>
      </c>
      <c r="C156" s="8">
        <f>IFERROR(B156/B444, "NA")</f>
        <v>4.1088777002036754E-4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-57.62</v>
      </c>
      <c r="I156" s="8">
        <f>IFERROR(H156/H444, "NA")</f>
        <v>-5.005933795178945E-3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-57.62</v>
      </c>
      <c r="O156" s="8">
        <f>IFERROR(N156/N444, "NA")</f>
        <v>-2.8909100396158024E-3</v>
      </c>
      <c r="P156" s="9"/>
      <c r="Q156" s="7">
        <v>57.62</v>
      </c>
      <c r="R156" s="8">
        <f>IFERROR(Q156/Q444, "NA")</f>
        <v>1.979752172272935E-4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-57.62</v>
      </c>
      <c r="X156" s="8">
        <f>IFERROR(W156/W444, "NA")</f>
        <v>-5.9098769408130062E-3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-57.62</v>
      </c>
      <c r="AD156" s="8">
        <f>IFERROR(AC156/AC444, "NA")</f>
        <v>-2.3462784489315888E-3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5119.97</v>
      </c>
      <c r="C158" s="15">
        <f>IFERROR(B158/B444, "NA")</f>
        <v>3.6510466085928173E-2</v>
      </c>
      <c r="D158" s="2"/>
      <c r="E158" s="14">
        <f>IFERROR(E153+E154+E155+E156+E157, "NA")</f>
        <v>5277.63</v>
      </c>
      <c r="F158" s="15">
        <f>IFERROR(E158/E444, "NA")</f>
        <v>4.1000026413388166E-2</v>
      </c>
      <c r="G158" s="2"/>
      <c r="H158" s="14">
        <f t="shared" si="36"/>
        <v>157.65999999999985</v>
      </c>
      <c r="I158" s="15">
        <f>IFERROR(H158/H444, "NA")</f>
        <v>1.3697249603400064E-2</v>
      </c>
      <c r="J158" s="2"/>
      <c r="K158" s="14">
        <f>IFERROR(K153+K154+K155+K156+K157, "NA")</f>
        <v>5312.7</v>
      </c>
      <c r="L158" s="15">
        <f>IFERROR(K158/K444, "NA")</f>
        <v>4.4161544120397501E-2</v>
      </c>
      <c r="M158" s="2"/>
      <c r="N158" s="14">
        <f t="shared" si="37"/>
        <v>192.72999999999956</v>
      </c>
      <c r="O158" s="15">
        <f>IFERROR(N158/N444, "NA")</f>
        <v>9.6696475518075736E-3</v>
      </c>
      <c r="P158" s="2"/>
      <c r="Q158" s="14">
        <f>IFERROR(Q153+Q154+Q155+Q156+Q157, "NA")</f>
        <v>11360.470000000001</v>
      </c>
      <c r="R158" s="15">
        <f>IFERROR(Q158/Q444, "NA")</f>
        <v>3.9033174523674961E-2</v>
      </c>
      <c r="S158" s="2"/>
      <c r="T158" s="14">
        <f>IFERROR(T153+T154+T155+T156+T157, "NA")</f>
        <v>11533.17</v>
      </c>
      <c r="U158" s="15">
        <f>IFERROR(T158/T444, "NA")</f>
        <v>4.1000011553635085E-2</v>
      </c>
      <c r="V158" s="2"/>
      <c r="W158" s="14">
        <f t="shared" si="38"/>
        <v>172.69999999999891</v>
      </c>
      <c r="X158" s="15">
        <f>IFERROR(W158/W444, "NA")</f>
        <v>1.7713220195737588E-2</v>
      </c>
      <c r="Y158" s="2"/>
      <c r="Z158" s="14">
        <f>IFERROR(Z153+Z154+Z155+Z156+Z157, "NA")</f>
        <v>11430.92</v>
      </c>
      <c r="AA158" s="15">
        <f>IFERROR(Z158/Z444, "NA")</f>
        <v>4.2894610570235137E-2</v>
      </c>
      <c r="AB158" s="2"/>
      <c r="AC158" s="14">
        <f t="shared" si="39"/>
        <v>70.449999999998909</v>
      </c>
      <c r="AD158" s="15">
        <f>IFERROR(AC158/AC444, "NA")</f>
        <v>2.868714278501004E-3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257.47000000000003</v>
      </c>
      <c r="C161" s="8">
        <f>IFERROR(B161/B444, "NA")</f>
        <v>1.8360165593048253E-3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-257.47000000000003</v>
      </c>
      <c r="I161" s="8">
        <f>IFERROR(H161/H444, "NA")</f>
        <v>-2.2368583378075721E-2</v>
      </c>
      <c r="J161" s="9"/>
      <c r="K161" s="7">
        <v>306.29000000000002</v>
      </c>
      <c r="L161" s="8">
        <f>IFERROR(K161/K444, "NA")</f>
        <v>2.5460197919394191E-3</v>
      </c>
      <c r="M161" s="9"/>
      <c r="N161" s="10">
        <f t="shared" si="41"/>
        <v>48.819999999999993</v>
      </c>
      <c r="O161" s="8">
        <f>IFERROR(N161/N444, "NA")</f>
        <v>2.4493965313093276E-3</v>
      </c>
      <c r="P161" s="9"/>
      <c r="Q161" s="7">
        <v>691.18</v>
      </c>
      <c r="R161" s="8">
        <f>IFERROR(Q161/Q444, "NA")</f>
        <v>2.37480927877752E-3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-691.18</v>
      </c>
      <c r="X161" s="8">
        <f>IFERROR(W161/W444, "NA")</f>
        <v>-7.0891856021366426E-2</v>
      </c>
      <c r="Y161" s="9"/>
      <c r="Z161" s="7">
        <v>841.01</v>
      </c>
      <c r="AA161" s="8">
        <f>IFERROR(Z161/Z444, "NA")</f>
        <v>3.1558961514623015E-3</v>
      </c>
      <c r="AB161" s="9"/>
      <c r="AC161" s="10">
        <f t="shared" si="43"/>
        <v>149.83000000000004</v>
      </c>
      <c r="AD161" s="8">
        <f>IFERROR(AC161/AC444, "NA")</f>
        <v>6.1010569247382856E-3</v>
      </c>
    </row>
    <row r="162" spans="1:30" ht="16.5" customHeight="1" x14ac:dyDescent="0.45">
      <c r="A162" s="12" t="s">
        <v>150</v>
      </c>
      <c r="B162" s="7">
        <v>7.28</v>
      </c>
      <c r="C162" s="8">
        <f>IFERROR(B162/B444, "NA")</f>
        <v>5.1913623147314751E-5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-7.28</v>
      </c>
      <c r="I162" s="8">
        <f>IFERROR(H162/H444, "NA")</f>
        <v>-6.3247480091813124E-4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-7.28</v>
      </c>
      <c r="O162" s="8">
        <f>IFERROR(N162/N444, "NA")</f>
        <v>-3.6525208414444715E-4</v>
      </c>
      <c r="P162" s="9"/>
      <c r="Q162" s="7">
        <v>7.28</v>
      </c>
      <c r="R162" s="8">
        <f>IFERROR(Q162/Q444, "NA")</f>
        <v>2.50131826000468E-5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-7.28</v>
      </c>
      <c r="X162" s="8">
        <f>IFERROR(W162/W444, "NA")</f>
        <v>-7.4668351491007795E-4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-7.28</v>
      </c>
      <c r="AD162" s="8">
        <f>IFERROR(AC162/AC444, "NA")</f>
        <v>-2.9644059542210981E-4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264.75</v>
      </c>
      <c r="C166" s="15">
        <f>IFERROR(B166/B444, "NA")</f>
        <v>1.8879301824521399E-3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-264.75</v>
      </c>
      <c r="I166" s="15">
        <f>IFERROR(H166/H444, "NA")</f>
        <v>-2.3001058178993852E-2</v>
      </c>
      <c r="J166" s="2"/>
      <c r="K166" s="14">
        <f>IFERROR(K160+K161+K162+K163+K164+K165, "NA")</f>
        <v>306.29000000000002</v>
      </c>
      <c r="L166" s="15">
        <f>IFERROR(K166/K444, "NA")</f>
        <v>2.5460197919394191E-3</v>
      </c>
      <c r="M166" s="2"/>
      <c r="N166" s="14">
        <f t="shared" si="41"/>
        <v>41.54000000000002</v>
      </c>
      <c r="O166" s="15">
        <f>IFERROR(N166/N444, "NA")</f>
        <v>2.084144447164882E-3</v>
      </c>
      <c r="P166" s="2"/>
      <c r="Q166" s="14">
        <f>IFERROR(Q160+Q161+Q162+Q163+Q164+Q165, "NA")</f>
        <v>698.45999999999992</v>
      </c>
      <c r="R166" s="15">
        <f>IFERROR(Q166/Q444, "NA")</f>
        <v>2.399822461377567E-3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-698.45999999999992</v>
      </c>
      <c r="X166" s="15">
        <f>IFERROR(W166/W444, "NA")</f>
        <v>-7.1638539536276497E-2</v>
      </c>
      <c r="Y166" s="2"/>
      <c r="Z166" s="14">
        <f>IFERROR(Z160+Z161+Z162+Z163+Z164+Z165, "NA")</f>
        <v>841.01</v>
      </c>
      <c r="AA166" s="15">
        <f>IFERROR(Z166/Z444, "NA")</f>
        <v>3.1558961514623015E-3</v>
      </c>
      <c r="AB166" s="2"/>
      <c r="AC166" s="14">
        <f t="shared" si="43"/>
        <v>142.55000000000007</v>
      </c>
      <c r="AD166" s="15">
        <f>IFERROR(AC166/AC444, "NA")</f>
        <v>5.804616329316177E-3</v>
      </c>
    </row>
    <row r="167" spans="1:30" ht="16.5" customHeight="1" x14ac:dyDescent="0.45">
      <c r="A167" s="6" t="s">
        <v>155</v>
      </c>
      <c r="B167" s="7">
        <v>449.64</v>
      </c>
      <c r="C167" s="8">
        <f>IFERROR(B167/B444, "NA")</f>
        <v>3.206379328565742E-3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-449.64</v>
      </c>
      <c r="I167" s="8">
        <f>IFERROR(H167/H444, "NA")</f>
        <v>-3.9064006797366553E-2</v>
      </c>
      <c r="J167" s="9"/>
      <c r="K167" s="7">
        <v>379.75</v>
      </c>
      <c r="L167" s="8">
        <f>IFERROR(K167/K444, "NA")</f>
        <v>3.1566522445688541E-3</v>
      </c>
      <c r="M167" s="9"/>
      <c r="N167" s="10">
        <f t="shared" si="41"/>
        <v>-69.889999999999986</v>
      </c>
      <c r="O167" s="8">
        <f>IFERROR(N167/N444, "NA")</f>
        <v>-3.5065203517658521E-3</v>
      </c>
      <c r="P167" s="9"/>
      <c r="Q167" s="7">
        <v>956.14</v>
      </c>
      <c r="R167" s="8">
        <f>IFERROR(Q167/Q444, "NA")</f>
        <v>3.2851791773638389E-3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-956.14</v>
      </c>
      <c r="X167" s="8">
        <f>IFERROR(W167/W444, "NA")</f>
        <v>-9.8067853838753008E-2</v>
      </c>
      <c r="Y167" s="9"/>
      <c r="Z167" s="7">
        <v>901.5</v>
      </c>
      <c r="AA167" s="8">
        <f>IFERROR(Z167/Z444, "NA")</f>
        <v>3.382885317110694E-3</v>
      </c>
      <c r="AB167" s="9"/>
      <c r="AC167" s="10">
        <f t="shared" si="43"/>
        <v>-54.639999999999986</v>
      </c>
      <c r="AD167" s="8">
        <f>IFERROR(AC167/AC444, "NA")</f>
        <v>-2.2249332601461643E-3</v>
      </c>
    </row>
    <row r="168" spans="1:30" ht="16.5" customHeight="1" x14ac:dyDescent="0.45">
      <c r="A168" s="6" t="s">
        <v>156</v>
      </c>
      <c r="B168" s="7">
        <v>189.2</v>
      </c>
      <c r="C168" s="8">
        <f>IFERROR(B168/B444, "NA")</f>
        <v>1.349183722454938E-3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-189.2</v>
      </c>
      <c r="I168" s="8">
        <f>IFERROR(H168/H444, "NA")</f>
        <v>-1.6437394551333848E-2</v>
      </c>
      <c r="J168" s="9"/>
      <c r="K168" s="7">
        <v>35.799999999999997</v>
      </c>
      <c r="L168" s="8">
        <f>IFERROR(K168/K444, "NA")</f>
        <v>2.9758564938924285E-4</v>
      </c>
      <c r="M168" s="9"/>
      <c r="N168" s="10">
        <f t="shared" si="41"/>
        <v>-153.39999999999998</v>
      </c>
      <c r="O168" s="8">
        <f>IFERROR(N168/N444, "NA")</f>
        <v>-7.6963832016151345E-3</v>
      </c>
      <c r="P168" s="9"/>
      <c r="Q168" s="7">
        <v>237.51</v>
      </c>
      <c r="R168" s="8">
        <f>IFERROR(Q168/Q444, "NA")</f>
        <v>8.1605508232652688E-4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-237.51</v>
      </c>
      <c r="X168" s="8">
        <f>IFERROR(W168/W444, "NA")</f>
        <v>-2.436054967394129E-2</v>
      </c>
      <c r="Y168" s="9"/>
      <c r="Z168" s="7">
        <v>101.2</v>
      </c>
      <c r="AA168" s="8">
        <f>IFERROR(Z168/Z444, "NA")</f>
        <v>3.7975373720643623E-4</v>
      </c>
      <c r="AB168" s="9"/>
      <c r="AC168" s="10">
        <f t="shared" si="43"/>
        <v>-136.31</v>
      </c>
      <c r="AD168" s="8">
        <f>IFERROR(AC168/AC444, "NA")</f>
        <v>-5.5505243903829372E-3</v>
      </c>
    </row>
    <row r="169" spans="1:30" ht="16.5" customHeight="1" x14ac:dyDescent="0.45">
      <c r="A169" s="6" t="s">
        <v>157</v>
      </c>
      <c r="B169" s="7">
        <v>-985.71</v>
      </c>
      <c r="C169" s="8">
        <f>IFERROR(B169/B444, "NA")</f>
        <v>-7.0290903121620358E-3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985.71</v>
      </c>
      <c r="I169" s="8">
        <f>IFERROR(H169/H444, "NA")</f>
        <v>8.5636914287501531E-2</v>
      </c>
      <c r="J169" s="9"/>
      <c r="K169" s="7">
        <v>-2437.16</v>
      </c>
      <c r="L169" s="8">
        <f>IFERROR(K169/K444, "NA")</f>
        <v>-2.025876651579573E-2</v>
      </c>
      <c r="M169" s="9"/>
      <c r="N169" s="10">
        <f t="shared" si="41"/>
        <v>-1451.4499999999998</v>
      </c>
      <c r="O169" s="8">
        <f>IFERROR(N169/N444, "NA")</f>
        <v>-7.2822134276299133E-2</v>
      </c>
      <c r="P169" s="9"/>
      <c r="Q169" s="7">
        <v>-2703.73</v>
      </c>
      <c r="R169" s="8">
        <f>IFERROR(Q169/Q444, "NA")</f>
        <v>-9.2896829933000746E-3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2703.73</v>
      </c>
      <c r="X169" s="8">
        <f>IFERROR(W169/W444, "NA")</f>
        <v>0.27731189831975617</v>
      </c>
      <c r="Y169" s="9"/>
      <c r="Z169" s="7">
        <v>-6002.03</v>
      </c>
      <c r="AA169" s="8">
        <f>IFERROR(Z169/Z444, "NA")</f>
        <v>-2.2522661297679311E-2</v>
      </c>
      <c r="AB169" s="9"/>
      <c r="AC169" s="10">
        <f t="shared" si="43"/>
        <v>-3298.2999999999997</v>
      </c>
      <c r="AD169" s="8">
        <f>IFERROR(AC169/AC444, "NA")</f>
        <v>-0.13430632086273964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5037.8500000000004</v>
      </c>
      <c r="C170" s="15">
        <f>IFERROR(B170/B444, "NA")</f>
        <v>3.5924869007238958E-2</v>
      </c>
      <c r="D170" s="2"/>
      <c r="E170" s="14">
        <f>IFERROR(E151+E153+E154+E155+E156+E157+E160+E161+E162+E163+E164+E165+E167+E168+E169, "NA")</f>
        <v>5277.63</v>
      </c>
      <c r="F170" s="15">
        <f>IFERROR(E170/E444, "NA")</f>
        <v>4.1000026413388166E-2</v>
      </c>
      <c r="G170" s="2"/>
      <c r="H170" s="14">
        <f t="shared" si="40"/>
        <v>239.77999999999975</v>
      </c>
      <c r="I170" s="15">
        <f>IFERROR(H170/H444, "NA")</f>
        <v>2.0831704363207325E-2</v>
      </c>
      <c r="J170" s="2"/>
      <c r="K170" s="14">
        <f>IFERROR(K151+K153+K154+K155+K156+K157+K160+K161+K162+K163+K164+K165+K167+K168+K169, "NA")</f>
        <v>3597.38</v>
      </c>
      <c r="L170" s="15">
        <f>IFERROR(K170/K444, "NA")</f>
        <v>2.9903035290499289E-2</v>
      </c>
      <c r="M170" s="2"/>
      <c r="N170" s="14">
        <f t="shared" si="41"/>
        <v>-1440.4700000000003</v>
      </c>
      <c r="O170" s="15">
        <f>IFERROR(N170/N444, "NA")</f>
        <v>-7.2271245830707667E-2</v>
      </c>
      <c r="P170" s="2"/>
      <c r="Q170" s="14">
        <f>IFERROR(Q151+Q153+Q154+Q155+Q156+Q157+Q160+Q161+Q162+Q163+Q164+Q165+Q167+Q168+Q169, "NA")</f>
        <v>10548.850000000002</v>
      </c>
      <c r="R170" s="15">
        <f>IFERROR(Q170/Q444, "NA")</f>
        <v>3.6244548251442826E-2</v>
      </c>
      <c r="S170" s="2"/>
      <c r="T170" s="14">
        <f>IFERROR(T151+T153+T154+T155+T156+T157+T160+T161+T162+T163+T164+T165+T167+T168+T169, "NA")</f>
        <v>11533.17</v>
      </c>
      <c r="U170" s="15">
        <f>IFERROR(T170/T444, "NA")</f>
        <v>4.1000011553635085E-2</v>
      </c>
      <c r="V170" s="2"/>
      <c r="W170" s="14">
        <f t="shared" si="42"/>
        <v>984.31999999999789</v>
      </c>
      <c r="X170" s="15">
        <f>IFERROR(W170/W444, "NA")</f>
        <v>0.10095817546652285</v>
      </c>
      <c r="Y170" s="2"/>
      <c r="Z170" s="14">
        <f>IFERROR(Z151+Z153+Z154+Z155+Z156+Z157+Z160+Z161+Z162+Z163+Z164+Z165+Z167+Z168+Z169, "NA")</f>
        <v>7272.6000000000013</v>
      </c>
      <c r="AA170" s="15">
        <f>IFERROR(Z170/Z444, "NA")</f>
        <v>2.7290484478335261E-2</v>
      </c>
      <c r="AB170" s="2"/>
      <c r="AC170" s="14">
        <f t="shared" si="43"/>
        <v>-3276.2500000000009</v>
      </c>
      <c r="AD170" s="15">
        <f>IFERROR(AC170/AC444, "NA")</f>
        <v>-0.13340844790545156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36692.820000000014</v>
      </c>
      <c r="C171" s="15">
        <f>IFERROR(B171/B444, "NA")</f>
        <v>0.26165621286981511</v>
      </c>
      <c r="D171" s="2"/>
      <c r="E171" s="14">
        <f>IFERROR(E127+E129+E130+E131+E132+E133+E134+E135+E136+E137+E138+E139+E140+E143+E144+E145+E146+E147+E151+E153+E154+E155+E156+E157+E160+E161+E162+E163+E164+E165+E167+E168+E169, "NA")</f>
        <v>33982.769999999997</v>
      </c>
      <c r="F171" s="15">
        <f>IFERROR(E171/E444, "NA")</f>
        <v>0.26400002796711686</v>
      </c>
      <c r="G171" s="2"/>
      <c r="H171" s="14">
        <f t="shared" si="40"/>
        <v>-2710.0500000000175</v>
      </c>
      <c r="I171" s="15">
        <f>IFERROR(H171/H444, "NA")</f>
        <v>-0.23544482613024623</v>
      </c>
      <c r="J171" s="2"/>
      <c r="K171" s="14">
        <f>IFERROR(K127+K129+K130+K131+K132+K133+K134+K135+K136+K137+K138+K139+K140+K143+K144+K145+K146+K147+K151+K153+K154+K155+K156+K157+K160+K161+K162+K163+K164+K165+K167+K168+K169, "NA")</f>
        <v>31146.570000000003</v>
      </c>
      <c r="L171" s="15">
        <f>IFERROR(K171/K444, "NA")</f>
        <v>0.2589042530641763</v>
      </c>
      <c r="M171" s="2"/>
      <c r="N171" s="14">
        <f t="shared" si="41"/>
        <v>-5546.2500000000109</v>
      </c>
      <c r="O171" s="15">
        <f>IFERROR(N171/N444, "NA")</f>
        <v>-0.27826639720963514</v>
      </c>
      <c r="P171" s="2"/>
      <c r="Q171" s="14">
        <f>IFERROR(Q127+Q129+Q130+Q131+Q132+Q133+Q134+Q135+Q136+Q137+Q138+Q139+Q140+Q143+Q144+Q145+Q146+Q147+Q151+Q153+Q154+Q155+Q156+Q157+Q160+Q161+Q162+Q163+Q164+Q165+Q167+Q168+Q169, "NA")</f>
        <v>77222.449999999983</v>
      </c>
      <c r="R171" s="15">
        <f>IFERROR(Q171/Q444, "NA")</f>
        <v>0.26532681904848676</v>
      </c>
      <c r="S171" s="2"/>
      <c r="T171" s="14">
        <f>IFERROR(T127+T129+T130+T131+T132+T133+T134+T135+T136+T137+T138+T139+T140+T143+T144+T145+T146+T147+T151+T153+T154+T155+T156+T157+T160+T161+T162+T163+T164+T165+T167+T168+T169, "NA")</f>
        <v>74671.509999999995</v>
      </c>
      <c r="U171" s="15">
        <f>IFERROR(T171/T444, "NA")</f>
        <v>0.26545457777240583</v>
      </c>
      <c r="V171" s="2"/>
      <c r="W171" s="14">
        <f t="shared" si="42"/>
        <v>-2550.9399999999878</v>
      </c>
      <c r="X171" s="15">
        <f>IFERROR(W171/W444, "NA")</f>
        <v>-0.26164077548416276</v>
      </c>
      <c r="Y171" s="2"/>
      <c r="Z171" s="14">
        <f>IFERROR(Z127+Z129+Z130+Z131+Z132+Z133+Z134+Z135+Z136+Z137+Z138+Z139+Z140+Z143+Z144+Z145+Z146+Z147+Z151+Z153+Z154+Z155+Z156+Z157+Z160+Z161+Z162+Z163+Z164+Z165+Z167+Z168+Z169, "NA")</f>
        <v>71049.899999999994</v>
      </c>
      <c r="AA171" s="15">
        <f>IFERROR(Z171/Z444, "NA")</f>
        <v>0.26661526732355306</v>
      </c>
      <c r="AB171" s="2"/>
      <c r="AC171" s="14">
        <f t="shared" si="43"/>
        <v>-6172.5499999999884</v>
      </c>
      <c r="AD171" s="15">
        <f>IFERROR(AC171/AC444, "NA")</f>
        <v>-0.25134538424076103</v>
      </c>
    </row>
    <row r="172" spans="1:30" ht="16.5" customHeight="1" x14ac:dyDescent="0.45">
      <c r="A172" s="22" t="s">
        <v>160</v>
      </c>
      <c r="B172" s="23">
        <f>IFERROR(B124-B171, "NA")</f>
        <v>103540.12000000002</v>
      </c>
      <c r="C172" s="24">
        <f>IFERROR(B172/B444, "NA")</f>
        <v>0.73834378713018511</v>
      </c>
      <c r="D172" s="25"/>
      <c r="E172" s="23">
        <f>IFERROR(E124-E171, "NA")</f>
        <v>94739.829999999987</v>
      </c>
      <c r="F172" s="24">
        <f>IFERROR(E172/E444, "NA")</f>
        <v>0.73599997203288303</v>
      </c>
      <c r="G172" s="25"/>
      <c r="H172" s="23">
        <f>IFERROR(B172-E172, "NA")</f>
        <v>8800.2900000000373</v>
      </c>
      <c r="I172" s="24">
        <f>IFERROR(H172/H444, "NA")</f>
        <v>0.7645551738697588</v>
      </c>
      <c r="J172" s="25"/>
      <c r="K172" s="23">
        <f>IFERROR(K124-K171, "NA")</f>
        <v>89154.93</v>
      </c>
      <c r="L172" s="24">
        <f>IFERROR(K172/K444, "NA")</f>
        <v>0.7410957469358237</v>
      </c>
      <c r="M172" s="25"/>
      <c r="N172" s="23">
        <f>IFERROR(B172-K172, "NA")</f>
        <v>14385.190000000031</v>
      </c>
      <c r="O172" s="24">
        <f>IFERROR(N172/N444, "NA")</f>
        <v>0.72173360279036691</v>
      </c>
      <c r="P172" s="25"/>
      <c r="Q172" s="23">
        <f>IFERROR(Q124-Q171, "NA")</f>
        <v>213824.08000000005</v>
      </c>
      <c r="R172" s="24">
        <f>IFERROR(Q172/Q444, "NA")</f>
        <v>0.73467318095151324</v>
      </c>
      <c r="S172" s="25"/>
      <c r="T172" s="23">
        <f>IFERROR(T124-T171, "NA")</f>
        <v>206625.24</v>
      </c>
      <c r="U172" s="24">
        <f>IFERROR(T172/T444, "NA")</f>
        <v>0.73454542222759411</v>
      </c>
      <c r="V172" s="25"/>
      <c r="W172" s="23">
        <f>IFERROR(Q172-T172, "NA")</f>
        <v>7198.8400000000547</v>
      </c>
      <c r="X172" s="24">
        <f>IFERROR(W172/W444, "NA")</f>
        <v>0.73835922451583869</v>
      </c>
      <c r="Y172" s="25"/>
      <c r="Z172" s="23">
        <f>IFERROR(Z124-Z171, "NA")</f>
        <v>195438.59</v>
      </c>
      <c r="AA172" s="24">
        <f>IFERROR(Z172/Z444, "NA")</f>
        <v>0.73338473267644699</v>
      </c>
      <c r="AB172" s="25"/>
      <c r="AC172" s="23">
        <f>IFERROR(Q172-Z172, "NA")</f>
        <v>18385.490000000049</v>
      </c>
      <c r="AD172" s="24">
        <f>IFERROR(AC172/AC444, "NA")</f>
        <v>0.74865461575923897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7050</v>
      </c>
      <c r="C178" s="8">
        <f>IFERROR(B178/B444, "NA")</f>
        <v>5.0273494943484744E-2</v>
      </c>
      <c r="D178" s="9"/>
      <c r="E178" s="7">
        <v>7050</v>
      </c>
      <c r="F178" s="8">
        <f>IFERROR(E178/E444, "NA")</f>
        <v>5.4768937234021063E-2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7050</v>
      </c>
      <c r="L178" s="8">
        <f>IFERROR(K178/K444, "NA")</f>
        <v>5.8602760564082743E-2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18330</v>
      </c>
      <c r="R178" s="8">
        <f>IFERROR(Q178/Q444, "NA")</f>
        <v>6.2979620475117834E-2</v>
      </c>
      <c r="S178" s="9"/>
      <c r="T178" s="7">
        <v>18330</v>
      </c>
      <c r="U178" s="8">
        <f>IFERROR(T178/T444, "NA")</f>
        <v>6.5162501877465695E-2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18330</v>
      </c>
      <c r="AA178" s="8">
        <f>IFERROR(Z178/Z444, "NA")</f>
        <v>6.8783458527608449E-2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23393.759999999998</v>
      </c>
      <c r="C180" s="8">
        <f>IFERROR(B180/B444, "NA")</f>
        <v>0.16682071986795682</v>
      </c>
      <c r="D180" s="9"/>
      <c r="E180" s="7">
        <v>23942.400000000001</v>
      </c>
      <c r="F180" s="8">
        <f>IFERROR(E180/E444, "NA")</f>
        <v>0.18599997203288313</v>
      </c>
      <c r="G180" s="9"/>
      <c r="H180" s="10">
        <f t="shared" si="44"/>
        <v>548.64000000000306</v>
      </c>
      <c r="I180" s="8">
        <f>IFERROR(H180/H444, "NA")</f>
        <v>4.7664969062599649E-2</v>
      </c>
      <c r="J180" s="9"/>
      <c r="K180" s="7">
        <v>22479.89</v>
      </c>
      <c r="L180" s="8">
        <f>IFERROR(K180/K444, "NA")</f>
        <v>0.18686292357119405</v>
      </c>
      <c r="M180" s="9"/>
      <c r="N180" s="10">
        <f t="shared" si="45"/>
        <v>-913.86999999999898</v>
      </c>
      <c r="O180" s="8">
        <f>IFERROR(N180/N444, "NA")</f>
        <v>-4.5850676117731526E-2</v>
      </c>
      <c r="P180" s="9"/>
      <c r="Q180" s="7">
        <v>50540.69</v>
      </c>
      <c r="R180" s="8">
        <f>IFERROR(Q180/Q444, "NA")</f>
        <v>0.17365158072834608</v>
      </c>
      <c r="S180" s="9"/>
      <c r="T180" s="7">
        <v>55918.239999999998</v>
      </c>
      <c r="U180" s="8">
        <f>IFERROR(T180/T444, "NA")</f>
        <v>0.19878736601116082</v>
      </c>
      <c r="V180" s="9"/>
      <c r="W180" s="10">
        <f t="shared" si="46"/>
        <v>5377.5499999999956</v>
      </c>
      <c r="X180" s="8">
        <f>IFERROR(W180/W444, "NA")</f>
        <v>0.55155603511053375</v>
      </c>
      <c r="Y180" s="9"/>
      <c r="Z180" s="7">
        <v>53166.92</v>
      </c>
      <c r="AA180" s="8">
        <f>IFERROR(Z180/Z444, "NA")</f>
        <v>0.19950925460232824</v>
      </c>
      <c r="AB180" s="9"/>
      <c r="AC180" s="10">
        <f t="shared" si="47"/>
        <v>2626.2299999999959</v>
      </c>
      <c r="AD180" s="8">
        <f>IFERROR(AC180/AC444, "NA")</f>
        <v>0.10693972320266568</v>
      </c>
    </row>
    <row r="181" spans="1:30" ht="16.5" customHeight="1" x14ac:dyDescent="0.45">
      <c r="A181" s="12" t="s">
        <v>166</v>
      </c>
      <c r="B181" s="7">
        <v>284.77999999999997</v>
      </c>
      <c r="C181" s="8">
        <f>IFERROR(B181/B444, "NA")</f>
        <v>2.0307639560291609E-3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-284.77999999999997</v>
      </c>
      <c r="I181" s="8">
        <f>IFERROR(H181/H444, "NA")</f>
        <v>-2.4741232665585904E-2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-284.77999999999997</v>
      </c>
      <c r="O181" s="8">
        <f>IFERROR(N181/N444, "NA")</f>
        <v>-1.4287979192672478E-2</v>
      </c>
      <c r="P181" s="9"/>
      <c r="Q181" s="7">
        <v>284.77999999999997</v>
      </c>
      <c r="R181" s="8">
        <f>IFERROR(Q181/Q444, "NA")</f>
        <v>9.7846897539029232E-4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-284.77999999999997</v>
      </c>
      <c r="X181" s="8">
        <f>IFERROR(W181/W444, "NA")</f>
        <v>-2.9208864200012633E-2</v>
      </c>
      <c r="Y181" s="9"/>
      <c r="Z181" s="7">
        <v>0</v>
      </c>
      <c r="AA181" s="8">
        <f>IFERROR(Z181/Z444, "NA")</f>
        <v>0</v>
      </c>
      <c r="AB181" s="9"/>
      <c r="AC181" s="10">
        <f t="shared" si="47"/>
        <v>-284.77999999999997</v>
      </c>
      <c r="AD181" s="8">
        <f>IFERROR(AC181/AC444, "NA")</f>
        <v>-1.1596202302789618E-2</v>
      </c>
    </row>
    <row r="182" spans="1:30" ht="16.5" customHeight="1" x14ac:dyDescent="0.45">
      <c r="A182" s="13" t="s">
        <v>167</v>
      </c>
      <c r="B182" s="14">
        <f>IFERROR(B177+B178+B179+B180+B181, "NA")</f>
        <v>30728.539999999997</v>
      </c>
      <c r="C182" s="15">
        <f>IFERROR(B182/B444, "NA")</f>
        <v>0.21912497876747072</v>
      </c>
      <c r="D182" s="2"/>
      <c r="E182" s="14">
        <f>IFERROR(E177+E178+E179+E180+E181, "NA")</f>
        <v>30992.400000000001</v>
      </c>
      <c r="F182" s="15">
        <f>IFERROR(E182/E444, "NA")</f>
        <v>0.24076890926690417</v>
      </c>
      <c r="G182" s="2"/>
      <c r="H182" s="14">
        <f t="shared" si="44"/>
        <v>263.86000000000422</v>
      </c>
      <c r="I182" s="15">
        <f>IFERROR(H182/H444, "NA")</f>
        <v>2.2923736397013842E-2</v>
      </c>
      <c r="J182" s="2"/>
      <c r="K182" s="14">
        <f>IFERROR(K177+K178+K179+K180+K181, "NA")</f>
        <v>29529.89</v>
      </c>
      <c r="L182" s="15">
        <f>IFERROR(K182/K444, "NA")</f>
        <v>0.24546568413527678</v>
      </c>
      <c r="M182" s="2"/>
      <c r="N182" s="14">
        <f t="shared" si="45"/>
        <v>-1198.6499999999978</v>
      </c>
      <c r="O182" s="15">
        <f>IFERROR(N182/N444, "NA")</f>
        <v>-6.0138655310403952E-2</v>
      </c>
      <c r="P182" s="2"/>
      <c r="Q182" s="14">
        <f>IFERROR(Q177+Q178+Q179+Q180+Q181, "NA")</f>
        <v>69155.47</v>
      </c>
      <c r="R182" s="15">
        <f>IFERROR(Q182/Q444, "NA")</f>
        <v>0.2376096701788542</v>
      </c>
      <c r="S182" s="2"/>
      <c r="T182" s="14">
        <f>IFERROR(T177+T178+T179+T180+T181, "NA")</f>
        <v>74248.239999999991</v>
      </c>
      <c r="U182" s="15">
        <f>IFERROR(T182/T444, "NA")</f>
        <v>0.26394986788862645</v>
      </c>
      <c r="V182" s="2"/>
      <c r="W182" s="14">
        <f t="shared" si="46"/>
        <v>5092.7699999999895</v>
      </c>
      <c r="X182" s="15">
        <f>IFERROR(W182/W444, "NA")</f>
        <v>0.52234717091052052</v>
      </c>
      <c r="Y182" s="2"/>
      <c r="Z182" s="14">
        <f>IFERROR(Z177+Z178+Z179+Z180+Z181, "NA")</f>
        <v>71496.92</v>
      </c>
      <c r="AA182" s="15">
        <f>IFERROR(Z182/Z444, "NA")</f>
        <v>0.26829271312993669</v>
      </c>
      <c r="AB182" s="2"/>
      <c r="AC182" s="14">
        <f t="shared" si="47"/>
        <v>2341.4499999999971</v>
      </c>
      <c r="AD182" s="15">
        <f>IFERROR(AC182/AC444, "NA")</f>
        <v>9.5343520899876105E-2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-577</v>
      </c>
      <c r="C184" s="8">
        <f>IFERROR(B184/B444, "NA")</f>
        <v>-4.1145824939561272E-3</v>
      </c>
      <c r="D184" s="9"/>
      <c r="E184" s="7">
        <v>422.5</v>
      </c>
      <c r="F184" s="8">
        <f>IFERROR(E184/E444, "NA")</f>
        <v>3.282251912251617E-3</v>
      </c>
      <c r="G184" s="9"/>
      <c r="H184" s="10">
        <f t="shared" si="44"/>
        <v>999.5</v>
      </c>
      <c r="I184" s="8">
        <f>IFERROR(H184/H444, "NA")</f>
        <v>8.683496751616375E-2</v>
      </c>
      <c r="J184" s="9"/>
      <c r="K184" s="7">
        <v>500</v>
      </c>
      <c r="L184" s="8">
        <f>IFERROR(K184/K444, "NA")</f>
        <v>4.1562241534810456E-3</v>
      </c>
      <c r="M184" s="9"/>
      <c r="N184" s="10">
        <f t="shared" si="45"/>
        <v>1077</v>
      </c>
      <c r="O184" s="8">
        <f>IFERROR(N184/N444, "NA")</f>
        <v>5.4035232777962849E-2</v>
      </c>
      <c r="P184" s="9"/>
      <c r="Q184" s="7">
        <v>9</v>
      </c>
      <c r="R184" s="8">
        <f>IFERROR(Q184/Q444, "NA")</f>
        <v>3.0922890576980935E-5</v>
      </c>
      <c r="S184" s="9"/>
      <c r="T184" s="7">
        <v>1007.5</v>
      </c>
      <c r="U184" s="8">
        <f>IFERROR(T184/T444, "NA")</f>
        <v>3.5816268762436823E-3</v>
      </c>
      <c r="V184" s="9"/>
      <c r="W184" s="10">
        <f t="shared" si="46"/>
        <v>998.5</v>
      </c>
      <c r="X184" s="8">
        <f>IFERROR(W184/W444, "NA")</f>
        <v>0.10241256725792758</v>
      </c>
      <c r="Y184" s="9"/>
      <c r="Z184" s="7">
        <v>1500</v>
      </c>
      <c r="AA184" s="8">
        <f>IFERROR(Z184/Z444, "NA")</f>
        <v>5.6287609269728691E-3</v>
      </c>
      <c r="AB184" s="9"/>
      <c r="AC184" s="10">
        <f t="shared" si="47"/>
        <v>1491</v>
      </c>
      <c r="AD184" s="8">
        <f>IFERROR(AC184/AC444, "NA")</f>
        <v>6.0713314254720561E-2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2910.41</v>
      </c>
      <c r="C186" s="8">
        <f>IFERROR(B186/B444, "NA")</f>
        <v>2.0754110981342899E-2</v>
      </c>
      <c r="D186" s="9"/>
      <c r="E186" s="7">
        <v>3000.47</v>
      </c>
      <c r="F186" s="8">
        <f>IFERROR(E186/E444, "NA")</f>
        <v>2.3309582000363569E-2</v>
      </c>
      <c r="G186" s="9"/>
      <c r="H186" s="10">
        <f t="shared" ref="H186:H197" si="48">IFERROR(-(B186-E186), "NA")</f>
        <v>90.059999999999945</v>
      </c>
      <c r="I186" s="8">
        <f>IFERROR(H186/H444, "NA")</f>
        <v>7.8242693091602825E-3</v>
      </c>
      <c r="J186" s="9"/>
      <c r="K186" s="7">
        <v>2804.18</v>
      </c>
      <c r="L186" s="8">
        <f>IFERROR(K186/K444, "NA")</f>
        <v>2.3309601293416957E-2</v>
      </c>
      <c r="M186" s="9"/>
      <c r="N186" s="10">
        <f t="shared" ref="N186:N197" si="49">IFERROR(-(B186-K186), "NA")</f>
        <v>-106.23000000000002</v>
      </c>
      <c r="O186" s="8">
        <f>IFERROR(N186/N444, "NA")</f>
        <v>-5.3297704531132728E-3</v>
      </c>
      <c r="P186" s="9"/>
      <c r="Q186" s="7">
        <v>6455.8</v>
      </c>
      <c r="R186" s="8">
        <f>IFERROR(Q186/Q444, "NA")</f>
        <v>2.2181332998541504E-2</v>
      </c>
      <c r="S186" s="9"/>
      <c r="T186" s="7">
        <v>7057.52</v>
      </c>
      <c r="U186" s="8">
        <f>IFERROR(T186/T444, "NA")</f>
        <v>2.5089234056205771E-2</v>
      </c>
      <c r="V186" s="9"/>
      <c r="W186" s="10">
        <f t="shared" ref="W186:W197" si="50">IFERROR(-(Q186-T186), "NA")</f>
        <v>601.72000000000025</v>
      </c>
      <c r="X186" s="8">
        <f>IFERROR(W186/W444, "NA")</f>
        <v>6.1716264366990695E-2</v>
      </c>
      <c r="Y186" s="9"/>
      <c r="Z186" s="7">
        <v>6692.19</v>
      </c>
      <c r="AA186" s="8">
        <f>IFERROR(Z186/Z444, "NA")</f>
        <v>2.5112491725252373E-2</v>
      </c>
      <c r="AB186" s="9"/>
      <c r="AC186" s="10">
        <f t="shared" ref="AC186:AC197" si="51">IFERROR(-(Q186-Z186), "NA")</f>
        <v>236.38999999999942</v>
      </c>
      <c r="AD186" s="8">
        <f>IFERROR(AC186/AC444, "NA")</f>
        <v>9.6257681801967532E-3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2910.41</v>
      </c>
      <c r="C193" s="15">
        <f>IFERROR(B193/B444, "NA")</f>
        <v>2.0754110981342899E-2</v>
      </c>
      <c r="D193" s="2"/>
      <c r="E193" s="14">
        <f>IFERROR(E186+E187+E188+E189+E190+E191+E192, "NA")</f>
        <v>3000.47</v>
      </c>
      <c r="F193" s="15">
        <f>IFERROR(E193/E444, "NA")</f>
        <v>2.3309582000363569E-2</v>
      </c>
      <c r="G193" s="2"/>
      <c r="H193" s="14">
        <f t="shared" si="48"/>
        <v>90.059999999999945</v>
      </c>
      <c r="I193" s="15">
        <f>IFERROR(H193/H444, "NA")</f>
        <v>7.8242693091602825E-3</v>
      </c>
      <c r="J193" s="2"/>
      <c r="K193" s="14">
        <f>IFERROR(K186+K187+K188+K189+K190+K191+K192, "NA")</f>
        <v>2804.18</v>
      </c>
      <c r="L193" s="15">
        <f>IFERROR(K193/K444, "NA")</f>
        <v>2.3309601293416957E-2</v>
      </c>
      <c r="M193" s="2"/>
      <c r="N193" s="14">
        <f t="shared" si="49"/>
        <v>-106.23000000000002</v>
      </c>
      <c r="O193" s="15">
        <f>IFERROR(N193/N444, "NA")</f>
        <v>-5.3297704531132728E-3</v>
      </c>
      <c r="P193" s="2"/>
      <c r="Q193" s="14">
        <f>IFERROR(Q186+Q187+Q188+Q189+Q190+Q191+Q192, "NA")</f>
        <v>6455.8</v>
      </c>
      <c r="R193" s="15">
        <f>IFERROR(Q193/Q444, "NA")</f>
        <v>2.2181332998541504E-2</v>
      </c>
      <c r="S193" s="2"/>
      <c r="T193" s="14">
        <f>IFERROR(T186+T187+T188+T189+T190+T191+T192, "NA")</f>
        <v>7057.52</v>
      </c>
      <c r="U193" s="15">
        <f>IFERROR(T193/T444, "NA")</f>
        <v>2.5089234056205771E-2</v>
      </c>
      <c r="V193" s="2"/>
      <c r="W193" s="14">
        <f t="shared" si="50"/>
        <v>601.72000000000025</v>
      </c>
      <c r="X193" s="15">
        <f>IFERROR(W193/W444, "NA")</f>
        <v>6.1716264366990695E-2</v>
      </c>
      <c r="Y193" s="2"/>
      <c r="Z193" s="14">
        <f>IFERROR(Z186+Z187+Z188+Z189+Z190+Z191+Z192, "NA")</f>
        <v>6692.19</v>
      </c>
      <c r="AA193" s="15">
        <f>IFERROR(Z193/Z444, "NA")</f>
        <v>2.5112491725252373E-2</v>
      </c>
      <c r="AB193" s="2"/>
      <c r="AC193" s="14">
        <f t="shared" si="51"/>
        <v>236.38999999999942</v>
      </c>
      <c r="AD193" s="15">
        <f>IFERROR(AC193/AC444, "NA")</f>
        <v>9.6257681801967532E-3</v>
      </c>
    </row>
    <row r="194" spans="1:30" ht="16.5" customHeight="1" x14ac:dyDescent="0.45">
      <c r="A194" s="6" t="s">
        <v>178</v>
      </c>
      <c r="B194" s="7">
        <v>199.92</v>
      </c>
      <c r="C194" s="8">
        <f>IFERROR(B194/B444, "NA")</f>
        <v>1.4256279587377971E-3</v>
      </c>
      <c r="D194" s="9"/>
      <c r="E194" s="7">
        <v>251.32</v>
      </c>
      <c r="F194" s="8">
        <f>IFERROR(E194/E444, "NA")</f>
        <v>1.9524155043481096E-3</v>
      </c>
      <c r="G194" s="9"/>
      <c r="H194" s="10">
        <f t="shared" si="48"/>
        <v>51.400000000000006</v>
      </c>
      <c r="I194" s="8">
        <f>IFERROR(H194/H444, "NA")</f>
        <v>4.4655501053835096E-3</v>
      </c>
      <c r="J194" s="9"/>
      <c r="K194" s="7">
        <v>248</v>
      </c>
      <c r="L194" s="8">
        <f>IFERROR(K194/K444, "NA")</f>
        <v>2.0614871801265984E-3</v>
      </c>
      <c r="M194" s="9"/>
      <c r="N194" s="10">
        <f t="shared" si="49"/>
        <v>48.080000000000013</v>
      </c>
      <c r="O194" s="8">
        <f>IFERROR(N194/N444, "NA")</f>
        <v>2.4122692590199208E-3</v>
      </c>
      <c r="P194" s="9"/>
      <c r="Q194" s="7">
        <v>820.92</v>
      </c>
      <c r="R194" s="8">
        <f>IFERROR(Q194/Q444, "NA")</f>
        <v>2.8205799258283542E-3</v>
      </c>
      <c r="S194" s="9"/>
      <c r="T194" s="7">
        <v>602.04999999999995</v>
      </c>
      <c r="U194" s="8">
        <f>IFERROR(T194/T444, "NA")</f>
        <v>2.1402664623746985E-3</v>
      </c>
      <c r="V194" s="9"/>
      <c r="W194" s="10">
        <f t="shared" si="50"/>
        <v>-218.87</v>
      </c>
      <c r="X194" s="8">
        <f>IFERROR(W194/W444, "NA")</f>
        <v>-2.2448711663237465E-2</v>
      </c>
      <c r="Y194" s="9"/>
      <c r="Z194" s="7">
        <v>854</v>
      </c>
      <c r="AA194" s="8">
        <f>IFERROR(Z194/Z444, "NA")</f>
        <v>3.2046412210898867E-3</v>
      </c>
      <c r="AB194" s="9"/>
      <c r="AC194" s="10">
        <f t="shared" si="51"/>
        <v>33.080000000000041</v>
      </c>
      <c r="AD194" s="8">
        <f>IFERROR(AC194/AC444, "NA")</f>
        <v>1.3470130352422258E-3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33261.869999999995</v>
      </c>
      <c r="C196" s="15">
        <f>IFERROR(B196/B444, "NA")</f>
        <v>0.23719013521359528</v>
      </c>
      <c r="D196" s="2"/>
      <c r="E196" s="14">
        <f>IFERROR(E175+E177+E178+E179+E180+E181+E183+E184+E186+E187+E188+E189+E190+E191+E192+E194+E195, "NA")</f>
        <v>34666.69</v>
      </c>
      <c r="F196" s="15">
        <f>IFERROR(E196/E444, "NA")</f>
        <v>0.26931315868386746</v>
      </c>
      <c r="G196" s="2"/>
      <c r="H196" s="14">
        <f t="shared" si="48"/>
        <v>1404.820000000007</v>
      </c>
      <c r="I196" s="15">
        <f>IFERROR(H196/H444, "NA")</f>
        <v>0.12204852332772163</v>
      </c>
      <c r="J196" s="2"/>
      <c r="K196" s="14">
        <f>IFERROR(K175+K177+K178+K179+K180+K181+K183+K184+K186+K187+K188+K189+K190+K191+K192+K194+K195, "NA")</f>
        <v>33082.07</v>
      </c>
      <c r="L196" s="15">
        <f>IFERROR(K196/K444, "NA")</f>
        <v>0.27499299676230138</v>
      </c>
      <c r="M196" s="2"/>
      <c r="N196" s="14">
        <f t="shared" si="49"/>
        <v>-179.79999999999563</v>
      </c>
      <c r="O196" s="15">
        <f>IFERROR(N196/N444, "NA")</f>
        <v>-9.0209237265343398E-3</v>
      </c>
      <c r="P196" s="2"/>
      <c r="Q196" s="14">
        <f>IFERROR(Q175+Q177+Q178+Q179+Q180+Q181+Q183+Q184+Q186+Q187+Q188+Q189+Q190+Q191+Q192+Q194+Q195, "NA")</f>
        <v>76441.19</v>
      </c>
      <c r="R196" s="15">
        <f>IFERROR(Q196/Q444, "NA")</f>
        <v>0.26264250599380107</v>
      </c>
      <c r="S196" s="2"/>
      <c r="T196" s="14">
        <f>IFERROR(T175+T177+T178+T179+T180+T181+T183+T184+T186+T187+T188+T189+T190+T191+T192+T194+T195, "NA")</f>
        <v>82915.31</v>
      </c>
      <c r="U196" s="15">
        <f>IFERROR(T196/T444, "NA")</f>
        <v>0.29476099528345068</v>
      </c>
      <c r="V196" s="2"/>
      <c r="W196" s="14">
        <f t="shared" si="50"/>
        <v>6474.1199999999953</v>
      </c>
      <c r="X196" s="15">
        <f>IFERROR(W196/W444, "NA")</f>
        <v>0.66402729087220191</v>
      </c>
      <c r="Y196" s="2"/>
      <c r="Z196" s="14">
        <f>IFERROR(Z175+Z177+Z178+Z179+Z180+Z181+Z183+Z184+Z186+Z187+Z188+Z189+Z190+Z191+Z192+Z194+Z195, "NA")</f>
        <v>80543.11</v>
      </c>
      <c r="AA196" s="15">
        <f>IFERROR(Z196/Z444, "NA")</f>
        <v>0.30223860700325184</v>
      </c>
      <c r="AB196" s="2"/>
      <c r="AC196" s="14">
        <f t="shared" si="51"/>
        <v>4101.9199999999983</v>
      </c>
      <c r="AD196" s="15">
        <f>IFERROR(AC196/AC444, "NA")</f>
        <v>0.16702961637003572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33261.869999999995</v>
      </c>
      <c r="C197" s="15">
        <f>IFERROR(B197/B444, "NA")</f>
        <v>0.23719013521359528</v>
      </c>
      <c r="D197" s="2"/>
      <c r="E197" s="14">
        <f>IFERROR(E175+E177+E178+E179+E180+E181+E183+E184+E186+E187+E188+E189+E190+E191+E192+E194+E195, "NA")</f>
        <v>34666.69</v>
      </c>
      <c r="F197" s="15">
        <f>IFERROR(E197/E444, "NA")</f>
        <v>0.26931315868386746</v>
      </c>
      <c r="G197" s="2"/>
      <c r="H197" s="14">
        <f t="shared" si="48"/>
        <v>1404.820000000007</v>
      </c>
      <c r="I197" s="15">
        <f>IFERROR(H197/H444, "NA")</f>
        <v>0.12204852332772163</v>
      </c>
      <c r="J197" s="2"/>
      <c r="K197" s="14">
        <f>IFERROR(K175+K177+K178+K179+K180+K181+K183+K184+K186+K187+K188+K189+K190+K191+K192+K194+K195, "NA")</f>
        <v>33082.07</v>
      </c>
      <c r="L197" s="15">
        <f>IFERROR(K197/K444, "NA")</f>
        <v>0.27499299676230138</v>
      </c>
      <c r="M197" s="2"/>
      <c r="N197" s="14">
        <f t="shared" si="49"/>
        <v>-179.79999999999563</v>
      </c>
      <c r="O197" s="15">
        <f>IFERROR(N197/N444, "NA")</f>
        <v>-9.0209237265343398E-3</v>
      </c>
      <c r="P197" s="2"/>
      <c r="Q197" s="14">
        <f>IFERROR(Q175+Q177+Q178+Q179+Q180+Q181+Q183+Q184+Q186+Q187+Q188+Q189+Q190+Q191+Q192+Q194+Q195, "NA")</f>
        <v>76441.19</v>
      </c>
      <c r="R197" s="15">
        <f>IFERROR(Q197/Q444, "NA")</f>
        <v>0.26264250599380107</v>
      </c>
      <c r="S197" s="2"/>
      <c r="T197" s="14">
        <f>IFERROR(T175+T177+T178+T179+T180+T181+T183+T184+T186+T187+T188+T189+T190+T191+T192+T194+T195, "NA")</f>
        <v>82915.31</v>
      </c>
      <c r="U197" s="15">
        <f>IFERROR(T197/T444, "NA")</f>
        <v>0.29476099528345068</v>
      </c>
      <c r="V197" s="2"/>
      <c r="W197" s="14">
        <f t="shared" si="50"/>
        <v>6474.1199999999953</v>
      </c>
      <c r="X197" s="15">
        <f>IFERROR(W197/W444, "NA")</f>
        <v>0.66402729087220191</v>
      </c>
      <c r="Y197" s="2"/>
      <c r="Z197" s="14">
        <f>IFERROR(Z175+Z177+Z178+Z179+Z180+Z181+Z183+Z184+Z186+Z187+Z188+Z189+Z190+Z191+Z192+Z194+Z195, "NA")</f>
        <v>80543.11</v>
      </c>
      <c r="AA197" s="15">
        <f>IFERROR(Z197/Z444, "NA")</f>
        <v>0.30223860700325184</v>
      </c>
      <c r="AB197" s="2"/>
      <c r="AC197" s="14">
        <f t="shared" si="51"/>
        <v>4101.9199999999983</v>
      </c>
      <c r="AD197" s="15">
        <f>IFERROR(AC197/AC444, "NA")</f>
        <v>0.16702961637003572</v>
      </c>
    </row>
    <row r="198" spans="1:30" ht="16.5" customHeight="1" x14ac:dyDescent="0.45">
      <c r="A198" s="22" t="s">
        <v>181</v>
      </c>
      <c r="B198" s="23">
        <f>IFERROR(B172-B197, "NA")</f>
        <v>70278.250000000029</v>
      </c>
      <c r="C198" s="24">
        <f>IFERROR(B198/B444, "NA")</f>
        <v>0.50115365191658989</v>
      </c>
      <c r="D198" s="25"/>
      <c r="E198" s="23">
        <f>IFERROR(E172-E197, "NA")</f>
        <v>60073.139999999985</v>
      </c>
      <c r="F198" s="24">
        <f>IFERROR(E198/E444, "NA")</f>
        <v>0.46668681334901552</v>
      </c>
      <c r="G198" s="25"/>
      <c r="H198" s="23">
        <f>IFERROR(B198-E198, "NA")</f>
        <v>10205.110000000044</v>
      </c>
      <c r="I198" s="24">
        <f>IFERROR(H198/H444, "NA")</f>
        <v>0.88660369719748044</v>
      </c>
      <c r="J198" s="25"/>
      <c r="K198" s="23">
        <f>IFERROR(K172-K197, "NA")</f>
        <v>56072.859999999993</v>
      </c>
      <c r="L198" s="24">
        <f>IFERROR(K198/K444, "NA")</f>
        <v>0.46610275017352232</v>
      </c>
      <c r="M198" s="25"/>
      <c r="N198" s="23">
        <f>IFERROR(B198-K198, "NA")</f>
        <v>14205.390000000036</v>
      </c>
      <c r="O198" s="24">
        <f>IFERROR(N198/N444, "NA")</f>
        <v>0.71271267906383251</v>
      </c>
      <c r="P198" s="25"/>
      <c r="Q198" s="23">
        <f>IFERROR(Q172-Q197, "NA")</f>
        <v>137382.89000000004</v>
      </c>
      <c r="R198" s="24">
        <f>IFERROR(Q198/Q444, "NA")</f>
        <v>0.47203067495771217</v>
      </c>
      <c r="S198" s="25"/>
      <c r="T198" s="23">
        <f>IFERROR(T172-T197, "NA")</f>
        <v>123709.93</v>
      </c>
      <c r="U198" s="24">
        <f>IFERROR(T198/T444, "NA")</f>
        <v>0.43978442694414349</v>
      </c>
      <c r="V198" s="25"/>
      <c r="W198" s="23">
        <f>IFERROR(Q198-T198, "NA")</f>
        <v>13672.96000000005</v>
      </c>
      <c r="X198" s="24">
        <f>IFERROR(W198/W444, "NA")</f>
        <v>1.4023865153880406</v>
      </c>
      <c r="Y198" s="25"/>
      <c r="Z198" s="23">
        <f>IFERROR(Z172-Z197, "NA")</f>
        <v>114895.48</v>
      </c>
      <c r="AA198" s="24">
        <f>IFERROR(Z198/Z444, "NA")</f>
        <v>0.4311461256731951</v>
      </c>
      <c r="AB198" s="25"/>
      <c r="AC198" s="23">
        <f>IFERROR(Q198-Z198, "NA")</f>
        <v>22487.410000000047</v>
      </c>
      <c r="AD198" s="24">
        <f>IFERROR(AC198/AC444, "NA")</f>
        <v>0.91568423212927474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1431.04</v>
      </c>
      <c r="C202" s="8">
        <f>IFERROR(B202/B444, "NA")</f>
        <v>1.0204735064386442E-2</v>
      </c>
      <c r="D202" s="9"/>
      <c r="E202" s="7">
        <v>1158.5</v>
      </c>
      <c r="F202" s="8">
        <f>IFERROR(E202/E444, "NA")</f>
        <v>8.9999735866118299E-3</v>
      </c>
      <c r="G202" s="9"/>
      <c r="H202" s="10">
        <f t="shared" si="52"/>
        <v>-272.53999999999996</v>
      </c>
      <c r="I202" s="8">
        <f>IFERROR(H202/H444, "NA")</f>
        <v>-2.3677840967338937E-2</v>
      </c>
      <c r="J202" s="9"/>
      <c r="K202" s="7">
        <v>1189.26</v>
      </c>
      <c r="L202" s="8">
        <f>IFERROR(K202/K444, "NA")</f>
        <v>9.8856622735377358E-3</v>
      </c>
      <c r="M202" s="9"/>
      <c r="N202" s="10">
        <f t="shared" si="53"/>
        <v>-241.77999999999997</v>
      </c>
      <c r="O202" s="8">
        <f>IFERROR(N202/N444, "NA")</f>
        <v>-1.2130583640720387E-2</v>
      </c>
      <c r="P202" s="9"/>
      <c r="Q202" s="7">
        <v>3063.49</v>
      </c>
      <c r="R202" s="8">
        <f>IFERROR(Q202/Q444, "NA")</f>
        <v>1.0525774005963924E-2</v>
      </c>
      <c r="S202" s="9"/>
      <c r="T202" s="7">
        <v>2531.67</v>
      </c>
      <c r="U202" s="8">
        <f>IFERROR(T202/T444, "NA")</f>
        <v>8.9999973337765195E-3</v>
      </c>
      <c r="V202" s="9"/>
      <c r="W202" s="10">
        <f t="shared" si="54"/>
        <v>-531.81999999999971</v>
      </c>
      <c r="X202" s="8">
        <f>IFERROR(W202/W444, "NA")</f>
        <v>-5.4546871826851293E-2</v>
      </c>
      <c r="Y202" s="9"/>
      <c r="Z202" s="7">
        <v>2988.07</v>
      </c>
      <c r="AA202" s="8">
        <f>IFERROR(Z202/Z444, "NA")</f>
        <v>1.1212754442039881E-2</v>
      </c>
      <c r="AB202" s="9"/>
      <c r="AC202" s="10">
        <f t="shared" si="55"/>
        <v>-75.419999999999618</v>
      </c>
      <c r="AD202" s="8">
        <f>IFERROR(AC202/AC444, "NA")</f>
        <v>-3.0710919926834348E-3</v>
      </c>
    </row>
    <row r="203" spans="1:30" ht="16.5" customHeight="1" x14ac:dyDescent="0.45">
      <c r="A203" s="6" t="s">
        <v>185</v>
      </c>
      <c r="B203" s="7">
        <v>808.8</v>
      </c>
      <c r="C203" s="8">
        <f>IFERROR(B203/B444, "NA")</f>
        <v>5.7675464837291437E-3</v>
      </c>
      <c r="D203" s="9"/>
      <c r="E203" s="7">
        <v>772.34</v>
      </c>
      <c r="F203" s="8">
        <f>IFERROR(E203/E444, "NA")</f>
        <v>6.0000341820317486E-3</v>
      </c>
      <c r="G203" s="9"/>
      <c r="H203" s="10">
        <f t="shared" si="52"/>
        <v>-36.459999999999923</v>
      </c>
      <c r="I203" s="8">
        <f>IFERROR(H203/H444, "NA")</f>
        <v>-3.1675867089938207E-3</v>
      </c>
      <c r="J203" s="9"/>
      <c r="K203" s="7">
        <v>1128.23</v>
      </c>
      <c r="L203" s="8">
        <f>IFERROR(K203/K444, "NA")</f>
        <v>9.3783535533638399E-3</v>
      </c>
      <c r="M203" s="9"/>
      <c r="N203" s="10">
        <f t="shared" si="53"/>
        <v>319.43000000000006</v>
      </c>
      <c r="O203" s="8">
        <f>IFERROR(N203/N444, "NA")</f>
        <v>1.6026438631629225E-2</v>
      </c>
      <c r="P203" s="9"/>
      <c r="Q203" s="7">
        <v>1712.16</v>
      </c>
      <c r="R203" s="8">
        <f>IFERROR(Q203/Q444, "NA")</f>
        <v>5.8827707033648532E-3</v>
      </c>
      <c r="S203" s="9"/>
      <c r="T203" s="7">
        <v>1687.78</v>
      </c>
      <c r="U203" s="8">
        <f>IFERROR(T203/T444, "NA")</f>
        <v>5.9999982225176791E-3</v>
      </c>
      <c r="V203" s="9"/>
      <c r="W203" s="10">
        <f t="shared" si="54"/>
        <v>-24.380000000000109</v>
      </c>
      <c r="X203" s="8">
        <f>IFERROR(W203/W444, "NA")</f>
        <v>-2.5005692436137063E-3</v>
      </c>
      <c r="Y203" s="9"/>
      <c r="Z203" s="7">
        <v>2042.1</v>
      </c>
      <c r="AA203" s="8">
        <f>IFERROR(Z203/Z444, "NA")</f>
        <v>7.6629951259808635E-3</v>
      </c>
      <c r="AB203" s="9"/>
      <c r="AC203" s="10">
        <f t="shared" si="55"/>
        <v>329.93999999999983</v>
      </c>
      <c r="AD203" s="8">
        <f>IFERROR(AC203/AC444, "NA")</f>
        <v>1.3435111271094898E-2</v>
      </c>
    </row>
    <row r="204" spans="1:30" ht="16.5" customHeight="1" x14ac:dyDescent="0.45">
      <c r="A204" s="6" t="s">
        <v>186</v>
      </c>
      <c r="B204" s="7">
        <v>353.12</v>
      </c>
      <c r="C204" s="8">
        <f>IFERROR(B204/B444, "NA")</f>
        <v>2.518095962332388E-3</v>
      </c>
      <c r="D204" s="9"/>
      <c r="E204" s="7">
        <v>257.45</v>
      </c>
      <c r="F204" s="8">
        <f>IFERROR(E204/E444, "NA")</f>
        <v>2.0000372894891805E-3</v>
      </c>
      <c r="G204" s="9"/>
      <c r="H204" s="10">
        <f t="shared" si="52"/>
        <v>-95.670000000000016</v>
      </c>
      <c r="I204" s="8">
        <f>IFERROR(H204/H444, "NA")</f>
        <v>-8.3116571708568166E-3</v>
      </c>
      <c r="J204" s="9"/>
      <c r="K204" s="7">
        <v>21.07</v>
      </c>
      <c r="L204" s="8">
        <f>IFERROR(K204/K444, "NA")</f>
        <v>1.7514328582769127E-4</v>
      </c>
      <c r="M204" s="9"/>
      <c r="N204" s="10">
        <f t="shared" si="53"/>
        <v>-332.05</v>
      </c>
      <c r="O204" s="8">
        <f>IFERROR(N204/N444, "NA")</f>
        <v>-1.6659609140132373E-2</v>
      </c>
      <c r="P204" s="9"/>
      <c r="Q204" s="7">
        <v>398.55</v>
      </c>
      <c r="R204" s="8">
        <f>IFERROR(Q204/Q444, "NA")</f>
        <v>1.369368671050639E-3</v>
      </c>
      <c r="S204" s="9"/>
      <c r="T204" s="7">
        <v>562.6</v>
      </c>
      <c r="U204" s="8">
        <f>IFERROR(T204/T444, "NA")</f>
        <v>2.0000231072701694E-3</v>
      </c>
      <c r="V204" s="9"/>
      <c r="W204" s="10">
        <f t="shared" si="54"/>
        <v>164.05</v>
      </c>
      <c r="X204" s="8">
        <f>IFERROR(W204/W444, "NA")</f>
        <v>1.6826020689697567E-2</v>
      </c>
      <c r="Y204" s="9"/>
      <c r="Z204" s="7">
        <v>261.51</v>
      </c>
      <c r="AA204" s="8">
        <f>IFERROR(Z204/Z444, "NA")</f>
        <v>9.8131818000844989E-4</v>
      </c>
      <c r="AB204" s="9"/>
      <c r="AC204" s="10">
        <f t="shared" si="55"/>
        <v>-137.04000000000002</v>
      </c>
      <c r="AD204" s="8">
        <f>IFERROR(AC204/AC444, "NA")</f>
        <v>-5.5802498896491666E-3</v>
      </c>
    </row>
    <row r="205" spans="1:30" ht="16.5" customHeight="1" x14ac:dyDescent="0.45">
      <c r="A205" s="6" t="s">
        <v>187</v>
      </c>
      <c r="B205" s="7">
        <v>460.78</v>
      </c>
      <c r="C205" s="8">
        <f>IFERROR(B205/B444, "NA")</f>
        <v>3.2858185815686385E-3</v>
      </c>
      <c r="D205" s="9"/>
      <c r="E205" s="7">
        <v>386.17</v>
      </c>
      <c r="F205" s="8">
        <f>IFERROR(E205/E444, "NA")</f>
        <v>3.0000170910158743E-3</v>
      </c>
      <c r="G205" s="9"/>
      <c r="H205" s="10">
        <f t="shared" si="52"/>
        <v>-74.609999999999957</v>
      </c>
      <c r="I205" s="8">
        <f>IFERROR(H205/H444, "NA")</f>
        <v>-6.4819979253436461E-3</v>
      </c>
      <c r="J205" s="9"/>
      <c r="K205" s="7">
        <v>436.2</v>
      </c>
      <c r="L205" s="8">
        <f>IFERROR(K205/K444, "NA")</f>
        <v>3.6258899514968641E-3</v>
      </c>
      <c r="M205" s="9"/>
      <c r="N205" s="10">
        <f t="shared" si="53"/>
        <v>-24.579999999999984</v>
      </c>
      <c r="O205" s="8">
        <f>IFERROR(N205/N444, "NA")</f>
        <v>-1.2332275038833111E-3</v>
      </c>
      <c r="P205" s="9"/>
      <c r="Q205" s="7">
        <v>1272.3599999999999</v>
      </c>
      <c r="R205" s="8">
        <f>IFERROR(Q205/Q444, "NA")</f>
        <v>4.3716721171697176E-3</v>
      </c>
      <c r="S205" s="9"/>
      <c r="T205" s="7">
        <v>843.9</v>
      </c>
      <c r="U205" s="8">
        <f>IFERROR(T205/T444, "NA")</f>
        <v>3.0000346609052541E-3</v>
      </c>
      <c r="V205" s="9"/>
      <c r="W205" s="10">
        <f t="shared" si="54"/>
        <v>-428.45999999999992</v>
      </c>
      <c r="X205" s="8">
        <f>IFERROR(W205/W444, "NA")</f>
        <v>-4.394560697779834E-2</v>
      </c>
      <c r="Y205" s="9"/>
      <c r="Z205" s="7">
        <v>1041.94</v>
      </c>
      <c r="AA205" s="8">
        <f>IFERROR(Z205/Z444, "NA")</f>
        <v>3.9098874401667406E-3</v>
      </c>
      <c r="AB205" s="9"/>
      <c r="AC205" s="10">
        <f t="shared" si="55"/>
        <v>-230.41999999999985</v>
      </c>
      <c r="AD205" s="8">
        <f>IFERROR(AC205/AC444, "NA")</f>
        <v>-9.3826706040058359E-3</v>
      </c>
    </row>
    <row r="206" spans="1:30" ht="16.5" customHeight="1" x14ac:dyDescent="0.45">
      <c r="A206" s="6" t="s">
        <v>188</v>
      </c>
      <c r="B206" s="7">
        <v>8.3800000000000008</v>
      </c>
      <c r="C206" s="8">
        <f>IFERROR(B206/B444, "NA")</f>
        <v>5.9757714556936486E-5</v>
      </c>
      <c r="D206" s="9"/>
      <c r="E206" s="7">
        <v>128.72</v>
      </c>
      <c r="F206" s="8">
        <f>IFERROR(E206/E444, "NA")</f>
        <v>9.9997980152669377E-4</v>
      </c>
      <c r="G206" s="9"/>
      <c r="H206" s="10">
        <f t="shared" si="52"/>
        <v>120.34</v>
      </c>
      <c r="I206" s="8">
        <f>IFERROR(H206/H444, "NA")</f>
        <v>1.0454947464627461E-2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-8.3800000000000008</v>
      </c>
      <c r="O206" s="8">
        <f>IFERROR(N206/N444, "NA")</f>
        <v>-4.204412726827565E-4</v>
      </c>
      <c r="P206" s="9"/>
      <c r="Q206" s="7">
        <v>90.8</v>
      </c>
      <c r="R206" s="8">
        <f>IFERROR(Q206/Q444, "NA")</f>
        <v>3.1197760715442988E-4</v>
      </c>
      <c r="S206" s="9"/>
      <c r="T206" s="7">
        <v>281.3</v>
      </c>
      <c r="U206" s="8">
        <f>IFERROR(T206/T444, "NA")</f>
        <v>1.0000115536350847E-3</v>
      </c>
      <c r="V206" s="9"/>
      <c r="W206" s="10">
        <f t="shared" si="54"/>
        <v>190.5</v>
      </c>
      <c r="X206" s="8">
        <f>IFERROR(W206/W444, "NA")</f>
        <v>1.9538902416259593E-2</v>
      </c>
      <c r="Y206" s="9"/>
      <c r="Z206" s="7">
        <v>10.8</v>
      </c>
      <c r="AA206" s="8">
        <f>IFERROR(Z206/Z444, "NA")</f>
        <v>4.0527078674204657E-5</v>
      </c>
      <c r="AB206" s="9"/>
      <c r="AC206" s="10">
        <f t="shared" si="55"/>
        <v>-80</v>
      </c>
      <c r="AD206" s="8">
        <f>IFERROR(AC206/AC444, "NA")</f>
        <v>-3.2575889606825249E-3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7.7686435792937683E-4</v>
      </c>
      <c r="G207" s="9"/>
      <c r="H207" s="10">
        <f t="shared" si="52"/>
        <v>100</v>
      </c>
      <c r="I207" s="8">
        <f>IFERROR(H207/H444, "NA")</f>
        <v>8.6878406719523519E-3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145.07</v>
      </c>
      <c r="R207" s="8">
        <f>IFERROR(Q207/Q444, "NA")</f>
        <v>4.9844263733362488E-4</v>
      </c>
      <c r="S207" s="9"/>
      <c r="T207" s="7">
        <v>300</v>
      </c>
      <c r="U207" s="8">
        <f>IFERROR(T207/T444, "NA")</f>
        <v>1.0664893924298806E-3</v>
      </c>
      <c r="V207" s="9"/>
      <c r="W207" s="10">
        <f t="shared" si="54"/>
        <v>154.93</v>
      </c>
      <c r="X207" s="8">
        <f>IFERROR(W207/W444, "NA")</f>
        <v>1.5890614967722302E-2</v>
      </c>
      <c r="Y207" s="9"/>
      <c r="Z207" s="7">
        <v>99.6</v>
      </c>
      <c r="AA207" s="8">
        <f>IFERROR(Z207/Z444, "NA")</f>
        <v>3.7374972555099845E-4</v>
      </c>
      <c r="AB207" s="9"/>
      <c r="AC207" s="10">
        <f t="shared" si="55"/>
        <v>-45.47</v>
      </c>
      <c r="AD207" s="8">
        <f>IFERROR(AC207/AC444, "NA")</f>
        <v>-1.8515321255279302E-3</v>
      </c>
    </row>
    <row r="208" spans="1:30" ht="16.5" customHeight="1" x14ac:dyDescent="0.45">
      <c r="A208" s="6" t="s">
        <v>190</v>
      </c>
      <c r="B208" s="7">
        <v>137.54</v>
      </c>
      <c r="C208" s="8">
        <f>IFERROR(B208/B444, "NA")</f>
        <v>9.8079666589033932E-4</v>
      </c>
      <c r="D208" s="9"/>
      <c r="E208" s="7">
        <v>100</v>
      </c>
      <c r="F208" s="8">
        <f>IFERROR(E208/E444, "NA")</f>
        <v>7.7686435792937683E-4</v>
      </c>
      <c r="G208" s="9"/>
      <c r="H208" s="10">
        <f t="shared" si="52"/>
        <v>-37.539999999999992</v>
      </c>
      <c r="I208" s="8">
        <f>IFERROR(H208/H444, "NA")</f>
        <v>-3.261415388250912E-3</v>
      </c>
      <c r="J208" s="9"/>
      <c r="K208" s="7">
        <v>95.98</v>
      </c>
      <c r="L208" s="8">
        <f>IFERROR(K208/K444, "NA")</f>
        <v>7.9782878850222152E-4</v>
      </c>
      <c r="M208" s="9"/>
      <c r="N208" s="10">
        <f t="shared" si="53"/>
        <v>-41.559999999999988</v>
      </c>
      <c r="O208" s="8">
        <f>IFERROR(N208/N444, "NA")</f>
        <v>-2.085147886956486E-3</v>
      </c>
      <c r="P208" s="9"/>
      <c r="Q208" s="7">
        <v>170.8</v>
      </c>
      <c r="R208" s="8">
        <f>IFERROR(Q208/Q444, "NA")</f>
        <v>5.8684774561648266E-4</v>
      </c>
      <c r="S208" s="9"/>
      <c r="T208" s="7">
        <v>300</v>
      </c>
      <c r="U208" s="8">
        <f>IFERROR(T208/T444, "NA")</f>
        <v>1.0664893924298806E-3</v>
      </c>
      <c r="V208" s="9"/>
      <c r="W208" s="10">
        <f t="shared" si="54"/>
        <v>129.19999999999999</v>
      </c>
      <c r="X208" s="8">
        <f>IFERROR(W208/W444, "NA")</f>
        <v>1.3251581061316216E-2</v>
      </c>
      <c r="Y208" s="9"/>
      <c r="Z208" s="7">
        <v>487.92</v>
      </c>
      <c r="AA208" s="8">
        <f>IFERROR(Z208/Z444, "NA")</f>
        <v>1.8309233543257347E-3</v>
      </c>
      <c r="AB208" s="9"/>
      <c r="AC208" s="10">
        <f t="shared" si="55"/>
        <v>317.12</v>
      </c>
      <c r="AD208" s="8">
        <f>IFERROR(AC208/AC444, "NA")</f>
        <v>1.291308264014553E-2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3199.66</v>
      </c>
      <c r="C209" s="15">
        <f>IFERROR(B209/B444, "NA")</f>
        <v>2.2816750472463888E-2</v>
      </c>
      <c r="D209" s="2"/>
      <c r="E209" s="14">
        <f>IFERROR(E201+E202+E203+E204+E205+E206+E207+E208, "NA")</f>
        <v>2903.18</v>
      </c>
      <c r="F209" s="15">
        <f>IFERROR(E209/E444, "NA")</f>
        <v>2.2553770666534079E-2</v>
      </c>
      <c r="G209" s="2"/>
      <c r="H209" s="14">
        <f t="shared" si="52"/>
        <v>-296.48</v>
      </c>
      <c r="I209" s="15">
        <f>IFERROR(H209/H444, "NA")</f>
        <v>-2.5757710024204333E-2</v>
      </c>
      <c r="J209" s="2"/>
      <c r="K209" s="14">
        <f>IFERROR(K201+K202+K203+K204+K205+K206+K207+K208, "NA")</f>
        <v>2870.74</v>
      </c>
      <c r="L209" s="15">
        <f>IFERROR(K209/K444, "NA")</f>
        <v>2.3862877852728351E-2</v>
      </c>
      <c r="M209" s="2"/>
      <c r="N209" s="14">
        <f t="shared" si="53"/>
        <v>-328.92000000000007</v>
      </c>
      <c r="O209" s="15">
        <f>IFERROR(N209/N444, "NA")</f>
        <v>-1.6502570812746094E-2</v>
      </c>
      <c r="P209" s="2"/>
      <c r="Q209" s="14">
        <f>IFERROR(Q201+Q202+Q203+Q204+Q205+Q206+Q207+Q208, "NA")</f>
        <v>6853.23</v>
      </c>
      <c r="R209" s="15">
        <f>IFERROR(Q209/Q444, "NA")</f>
        <v>2.354685348765367E-2</v>
      </c>
      <c r="S209" s="2"/>
      <c r="T209" s="14">
        <f>IFERROR(T201+T202+T203+T204+T205+T206+T207+T208, "NA")</f>
        <v>6507.25</v>
      </c>
      <c r="U209" s="15">
        <f>IFERROR(T209/T444, "NA")</f>
        <v>2.3133043662964467E-2</v>
      </c>
      <c r="V209" s="2"/>
      <c r="W209" s="14">
        <f t="shared" si="54"/>
        <v>-345.97999999999956</v>
      </c>
      <c r="X209" s="15">
        <f>IFERROR(W209/W444, "NA")</f>
        <v>-3.5485928913267642E-2</v>
      </c>
      <c r="Y209" s="2"/>
      <c r="Z209" s="14">
        <f>IFERROR(Z201+Z202+Z203+Z204+Z205+Z206+Z207+Z208, "NA")</f>
        <v>6931.9400000000014</v>
      </c>
      <c r="AA209" s="15">
        <f>IFERROR(Z209/Z444, "NA")</f>
        <v>2.6012155346746876E-2</v>
      </c>
      <c r="AB209" s="2"/>
      <c r="AC209" s="14">
        <f t="shared" si="55"/>
        <v>78.710000000001855</v>
      </c>
      <c r="AD209" s="15">
        <f>IFERROR(AC209/AC444, "NA")</f>
        <v>3.2050603386915948E-3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5277.63</v>
      </c>
      <c r="F213" s="8">
        <f>IFERROR(E213/E444, "NA")</f>
        <v>4.1000026413388166E-2</v>
      </c>
      <c r="G213" s="9"/>
      <c r="H213" s="10">
        <f t="shared" ref="H213:H227" si="56">IFERROR(-(B213-E213), "NA")</f>
        <v>5277.63</v>
      </c>
      <c r="I213" s="8">
        <f>IFERROR(H213/H444, "NA")</f>
        <v>0.45851208565515889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11533.17</v>
      </c>
      <c r="U213" s="8">
        <f>IFERROR(T213/T444, "NA")</f>
        <v>4.1000011553635085E-2</v>
      </c>
      <c r="V213" s="9"/>
      <c r="W213" s="10">
        <f t="shared" ref="W213:W227" si="58">IFERROR(-(Q213-T213), "NA")</f>
        <v>11533.17</v>
      </c>
      <c r="X213" s="8">
        <f>IFERROR(W213/W444, "NA")</f>
        <v>1.1829159222054206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1740.46</v>
      </c>
      <c r="C214" s="8">
        <f>IFERROR(B214/B444, "NA")</f>
        <v>1.241120666799113E-2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-1740.46</v>
      </c>
      <c r="I214" s="8">
        <f>IFERROR(H214/H444, "NA")</f>
        <v>-0.15120839175906189</v>
      </c>
      <c r="J214" s="9"/>
      <c r="K214" s="7">
        <v>4354.91</v>
      </c>
      <c r="L214" s="8">
        <f>IFERROR(K214/K444, "NA")</f>
        <v>3.6199964256472282E-2</v>
      </c>
      <c r="M214" s="9"/>
      <c r="N214" s="10">
        <f t="shared" si="57"/>
        <v>2614.4499999999998</v>
      </c>
      <c r="O214" s="8">
        <f>IFERROR(N214/N444, "NA")</f>
        <v>0.13117215815816616</v>
      </c>
      <c r="P214" s="9"/>
      <c r="Q214" s="7">
        <v>5095.99</v>
      </c>
      <c r="R214" s="8">
        <f>IFERROR(Q214/Q444, "NA")</f>
        <v>1.7509193461265452E-2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-5095.99</v>
      </c>
      <c r="X214" s="8">
        <f>IFERROR(W214/W444, "NA")</f>
        <v>-0.52267743477288564</v>
      </c>
      <c r="Y214" s="9"/>
      <c r="Z214" s="7">
        <v>10359.39</v>
      </c>
      <c r="AA214" s="8">
        <f>IFERROR(Z214/Z444, "NA")</f>
        <v>3.8873686439515644E-2</v>
      </c>
      <c r="AB214" s="9"/>
      <c r="AC214" s="10">
        <f t="shared" si="59"/>
        <v>5263.4</v>
      </c>
      <c r="AD214" s="8">
        <f>IFERROR(AC214/AC444, "NA")</f>
        <v>0.21432492169570502</v>
      </c>
    </row>
    <row r="215" spans="1:30" ht="16.5" customHeight="1" x14ac:dyDescent="0.45">
      <c r="A215" s="12" t="s">
        <v>195</v>
      </c>
      <c r="B215" s="7">
        <v>878.26</v>
      </c>
      <c r="C215" s="8">
        <f>IFERROR(B215/B444, "NA")</f>
        <v>6.2628652012858034E-3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-878.26</v>
      </c>
      <c r="I215" s="8">
        <f>IFERROR(H215/H444, "NA")</f>
        <v>-7.630182948548872E-2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-878.26</v>
      </c>
      <c r="O215" s="8">
        <f>IFERROR(N215/N444, "NA")</f>
        <v>-4.4064051568777768E-2</v>
      </c>
      <c r="P215" s="9"/>
      <c r="Q215" s="7">
        <v>2042.19</v>
      </c>
      <c r="R215" s="8">
        <f>IFERROR(Q215/Q444, "NA")</f>
        <v>7.0167131008227442E-3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-2042.19</v>
      </c>
      <c r="X215" s="8">
        <f>IFERROR(W215/W444, "NA")</f>
        <v>-0.20946011089480934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-2042.19</v>
      </c>
      <c r="AD215" s="8">
        <f>IFERROR(AC215/AC444, "NA")</f>
        <v>-8.3157694995203077E-2</v>
      </c>
    </row>
    <row r="216" spans="1:30" ht="16.5" customHeight="1" x14ac:dyDescent="0.45">
      <c r="A216" s="12" t="s">
        <v>196</v>
      </c>
      <c r="B216" s="7">
        <v>60</v>
      </c>
      <c r="C216" s="8">
        <f>IFERROR(B216/B444, "NA")</f>
        <v>4.2785953143391272E-4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-60</v>
      </c>
      <c r="I216" s="8">
        <f>IFERROR(H216/H444, "NA")</f>
        <v>-5.2127044031714106E-3</v>
      </c>
      <c r="J216" s="9"/>
      <c r="K216" s="7">
        <v>5.73</v>
      </c>
      <c r="L216" s="8">
        <f>IFERROR(K216/K444, "NA")</f>
        <v>4.7630328798892785E-5</v>
      </c>
      <c r="M216" s="9"/>
      <c r="N216" s="10">
        <f t="shared" si="57"/>
        <v>-54.269999999999996</v>
      </c>
      <c r="O216" s="8">
        <f>IFERROR(N216/N444, "NA")</f>
        <v>-2.7228338745218603E-3</v>
      </c>
      <c r="P216" s="9"/>
      <c r="Q216" s="7">
        <v>110</v>
      </c>
      <c r="R216" s="8">
        <f>IFERROR(Q216/Q444, "NA")</f>
        <v>3.7794644038532254E-4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-110</v>
      </c>
      <c r="X216" s="8">
        <f>IFERROR(W216/W444, "NA")</f>
        <v>-1.128230585715777E-2</v>
      </c>
      <c r="Y216" s="9"/>
      <c r="Z216" s="7">
        <v>5.73</v>
      </c>
      <c r="AA216" s="8">
        <f>IFERROR(Z216/Z444, "NA")</f>
        <v>2.1501866741036361E-5</v>
      </c>
      <c r="AB216" s="9"/>
      <c r="AC216" s="10">
        <f t="shared" si="59"/>
        <v>-104.27</v>
      </c>
      <c r="AD216" s="8">
        <f>IFERROR(AC216/AC444, "NA")</f>
        <v>-4.2458600116295859E-3</v>
      </c>
    </row>
    <row r="217" spans="1:30" ht="16.5" customHeight="1" x14ac:dyDescent="0.45">
      <c r="A217" s="12" t="s">
        <v>197</v>
      </c>
      <c r="B217" s="7">
        <v>5059.99</v>
      </c>
      <c r="C217" s="8">
        <f>IFERROR(B217/B444, "NA")</f>
        <v>3.6082749174338069E-2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-5059.99</v>
      </c>
      <c r="I217" s="8">
        <f>IFERROR(H217/H444, "NA")</f>
        <v>-0.43960386921672179</v>
      </c>
      <c r="J217" s="9"/>
      <c r="K217" s="7">
        <v>4990.09</v>
      </c>
      <c r="L217" s="8">
        <f>IFERROR(K217/K444, "NA")</f>
        <v>4.1479865172088459E-2</v>
      </c>
      <c r="M217" s="9"/>
      <c r="N217" s="10">
        <f t="shared" si="57"/>
        <v>-69.899999999999636</v>
      </c>
      <c r="O217" s="8">
        <f>IFERROR(N217/N444, "NA")</f>
        <v>-3.5070220716616374E-3</v>
      </c>
      <c r="P217" s="9"/>
      <c r="Q217" s="7">
        <v>8815.58</v>
      </c>
      <c r="R217" s="8">
        <f>IFERROR(Q217/Q444, "NA")</f>
        <v>3.0289246190291289E-2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-8815.58</v>
      </c>
      <c r="X217" s="8">
        <f>IFERROR(W217/W444, "NA")</f>
        <v>-0.90418245334766267</v>
      </c>
      <c r="Y217" s="9"/>
      <c r="Z217" s="7">
        <v>11265.22</v>
      </c>
      <c r="AA217" s="8">
        <f>IFERROR(Z217/Z444, "NA")</f>
        <v>4.2272820113168866E-2</v>
      </c>
      <c r="AB217" s="9"/>
      <c r="AC217" s="10">
        <f t="shared" si="59"/>
        <v>2449.6399999999994</v>
      </c>
      <c r="AD217" s="8">
        <f>IFERROR(AC217/AC444, "NA")</f>
        <v>9.9749002770579243E-2</v>
      </c>
    </row>
    <row r="218" spans="1:30" ht="16.5" customHeight="1" x14ac:dyDescent="0.45">
      <c r="A218" s="13" t="s">
        <v>198</v>
      </c>
      <c r="B218" s="14">
        <f>IFERROR(B213+B214+B215+B216+B217, "NA")</f>
        <v>7738.71</v>
      </c>
      <c r="C218" s="15">
        <f>IFERROR(B218/B444, "NA")</f>
        <v>5.5184680575048911E-2</v>
      </c>
      <c r="D218" s="2"/>
      <c r="E218" s="14">
        <f>IFERROR(E213+E214+E215+E216+E217, "NA")</f>
        <v>5277.63</v>
      </c>
      <c r="F218" s="15">
        <f>IFERROR(E218/E444, "NA")</f>
        <v>4.1000026413388166E-2</v>
      </c>
      <c r="G218" s="2"/>
      <c r="H218" s="14">
        <f t="shared" si="56"/>
        <v>-2461.08</v>
      </c>
      <c r="I218" s="15">
        <f>IFERROR(H218/H444, "NA")</f>
        <v>-0.21381470920928491</v>
      </c>
      <c r="J218" s="2"/>
      <c r="K218" s="14">
        <f>IFERROR(K213+K214+K215+K216+K217, "NA")</f>
        <v>9350.73</v>
      </c>
      <c r="L218" s="15">
        <f>IFERROR(K218/K444, "NA")</f>
        <v>7.7727459757359632E-2</v>
      </c>
      <c r="M218" s="2"/>
      <c r="N218" s="14">
        <f t="shared" si="57"/>
        <v>1612.0199999999995</v>
      </c>
      <c r="O218" s="15">
        <f>IFERROR(N218/N444, "NA")</f>
        <v>8.0878250643204877E-2</v>
      </c>
      <c r="P218" s="2"/>
      <c r="Q218" s="14">
        <f>IFERROR(Q213+Q214+Q215+Q216+Q217, "NA")</f>
        <v>16063.76</v>
      </c>
      <c r="R218" s="15">
        <f>IFERROR(Q218/Q444, "NA")</f>
        <v>5.5193099192764807E-2</v>
      </c>
      <c r="S218" s="2"/>
      <c r="T218" s="14">
        <f>IFERROR(T213+T214+T215+T216+T217, "NA")</f>
        <v>11533.17</v>
      </c>
      <c r="U218" s="15">
        <f>IFERROR(T218/T444, "NA")</f>
        <v>4.1000011553635085E-2</v>
      </c>
      <c r="V218" s="2"/>
      <c r="W218" s="14">
        <f t="shared" si="58"/>
        <v>-4530.59</v>
      </c>
      <c r="X218" s="15">
        <f>IFERROR(W218/W444, "NA")</f>
        <v>-0.46468638266709478</v>
      </c>
      <c r="Y218" s="2"/>
      <c r="Z218" s="14">
        <f>IFERROR(Z213+Z214+Z215+Z216+Z217, "NA")</f>
        <v>21630.339999999997</v>
      </c>
      <c r="AA218" s="15">
        <f>IFERROR(Z218/Z444, "NA")</f>
        <v>8.1168008419425536E-2</v>
      </c>
      <c r="AB218" s="2"/>
      <c r="AC218" s="14">
        <f t="shared" si="59"/>
        <v>5566.5799999999963</v>
      </c>
      <c r="AD218" s="15">
        <f>IFERROR(AC218/AC444, "NA")</f>
        <v>0.22667036945945149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277.19</v>
      </c>
      <c r="C222" s="8">
        <f>IFERROR(B222/B444, "NA")</f>
        <v>1.9766397253027711E-3</v>
      </c>
      <c r="D222" s="9"/>
      <c r="E222" s="7">
        <v>100</v>
      </c>
      <c r="F222" s="8">
        <f>IFERROR(E222/E444, "NA")</f>
        <v>7.7686435792937683E-4</v>
      </c>
      <c r="G222" s="9"/>
      <c r="H222" s="10">
        <f t="shared" si="56"/>
        <v>-177.19</v>
      </c>
      <c r="I222" s="8">
        <f>IFERROR(H222/H444, "NA")</f>
        <v>-1.5393984886632371E-2</v>
      </c>
      <c r="J222" s="9"/>
      <c r="K222" s="7">
        <v>480.73</v>
      </c>
      <c r="L222" s="8">
        <f>IFERROR(K222/K444, "NA")</f>
        <v>3.9960432746058861E-3</v>
      </c>
      <c r="M222" s="9"/>
      <c r="N222" s="10">
        <f t="shared" si="57"/>
        <v>203.54000000000002</v>
      </c>
      <c r="O222" s="8">
        <f>IFERROR(N222/N444, "NA")</f>
        <v>1.0212006759170436E-2</v>
      </c>
      <c r="P222" s="9"/>
      <c r="Q222" s="7">
        <v>365.98</v>
      </c>
      <c r="R222" s="8">
        <f>IFERROR(Q222/Q444, "NA")</f>
        <v>1.257462165929276E-3</v>
      </c>
      <c r="S222" s="9"/>
      <c r="T222" s="7">
        <v>300</v>
      </c>
      <c r="U222" s="8">
        <f>IFERROR(T222/T444, "NA")</f>
        <v>1.0664893924298806E-3</v>
      </c>
      <c r="V222" s="9"/>
      <c r="W222" s="10">
        <f t="shared" si="58"/>
        <v>-65.980000000000018</v>
      </c>
      <c r="X222" s="8">
        <f>IFERROR(W222/W444, "NA")</f>
        <v>-6.767332185956999E-3</v>
      </c>
      <c r="Y222" s="9"/>
      <c r="Z222" s="7">
        <v>611.91</v>
      </c>
      <c r="AA222" s="8">
        <f>IFERROR(Z222/Z444, "NA")</f>
        <v>2.2961967325493119E-3</v>
      </c>
      <c r="AB222" s="9"/>
      <c r="AC222" s="10">
        <f t="shared" si="59"/>
        <v>245.92999999999995</v>
      </c>
      <c r="AD222" s="8">
        <f>IFERROR(AC222/AC444, "NA")</f>
        <v>1.0014235663758166E-2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8015.9</v>
      </c>
      <c r="C227" s="15">
        <f>IFERROR(B227/B444, "NA")</f>
        <v>5.7161320300351683E-2</v>
      </c>
      <c r="D227" s="2"/>
      <c r="E227" s="14">
        <f>IFERROR(E211+E213+E214+E215+E216+E217+E219+E220+E221+E222+E223+E224+E225+E226, "NA")</f>
        <v>5377.63</v>
      </c>
      <c r="F227" s="15">
        <f>IFERROR(E227/E444, "NA")</f>
        <v>4.1776890771317549E-2</v>
      </c>
      <c r="G227" s="2"/>
      <c r="H227" s="14">
        <f t="shared" si="56"/>
        <v>-2638.2699999999995</v>
      </c>
      <c r="I227" s="15">
        <f>IFERROR(H227/H444, "NA")</f>
        <v>-0.22920869409591726</v>
      </c>
      <c r="J227" s="2"/>
      <c r="K227" s="14">
        <f>IFERROR(K211+K213+K214+K215+K216+K217+K219+K220+K221+K222+K223+K224+K225+K226, "NA")</f>
        <v>9831.4599999999991</v>
      </c>
      <c r="L227" s="15">
        <f>IFERROR(K227/K444, "NA")</f>
        <v>8.1723503031965516E-2</v>
      </c>
      <c r="M227" s="2"/>
      <c r="N227" s="14">
        <f t="shared" si="57"/>
        <v>1815.5599999999995</v>
      </c>
      <c r="O227" s="15">
        <f>IFERROR(N227/N444, "NA")</f>
        <v>9.1090257402375308E-2</v>
      </c>
      <c r="P227" s="2"/>
      <c r="Q227" s="14">
        <f>IFERROR(Q211+Q213+Q214+Q215+Q216+Q217+Q219+Q220+Q221+Q222+Q223+Q224+Q225+Q226, "NA")</f>
        <v>16429.740000000002</v>
      </c>
      <c r="R227" s="15">
        <f>IFERROR(Q227/Q444, "NA")</f>
        <v>5.6450561358694092E-2</v>
      </c>
      <c r="S227" s="2"/>
      <c r="T227" s="14">
        <f>IFERROR(T211+T213+T214+T215+T216+T217+T219+T220+T221+T222+T223+T224+T225+T226, "NA")</f>
        <v>11833.17</v>
      </c>
      <c r="U227" s="15">
        <f>IFERROR(T227/T444, "NA")</f>
        <v>4.2066500946064962E-2</v>
      </c>
      <c r="V227" s="2"/>
      <c r="W227" s="14">
        <f t="shared" si="58"/>
        <v>-4596.5700000000015</v>
      </c>
      <c r="X227" s="15">
        <f>IFERROR(W227/W444, "NA")</f>
        <v>-0.47145371485305188</v>
      </c>
      <c r="Y227" s="2"/>
      <c r="Z227" s="14">
        <f>IFERROR(Z211+Z213+Z214+Z215+Z216+Z217+Z219+Z220+Z221+Z222+Z223+Z224+Z225+Z226, "NA")</f>
        <v>22242.249999999996</v>
      </c>
      <c r="AA227" s="15">
        <f>IFERROR(Z227/Z444, "NA")</f>
        <v>8.3464205151974849E-2</v>
      </c>
      <c r="AB227" s="2"/>
      <c r="AC227" s="14">
        <f t="shared" si="59"/>
        <v>5812.5099999999948</v>
      </c>
      <c r="AD227" s="15">
        <f>IFERROR(AC227/AC444, "NA")</f>
        <v>0.23668460512320957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1930.84</v>
      </c>
      <c r="F229" s="8">
        <f>IFERROR(E229/E444, "NA")</f>
        <v>1.5000007768643579E-2</v>
      </c>
      <c r="G229" s="9"/>
      <c r="H229" s="10">
        <f t="shared" ref="H229:H236" si="60">IFERROR(-(B229-E229), "NA")</f>
        <v>1930.84</v>
      </c>
      <c r="I229" s="8">
        <f>IFERROR(H229/H444, "NA")</f>
        <v>0.16774830283032477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4219.45</v>
      </c>
      <c r="U229" s="8">
        <f>IFERROR(T229/T444, "NA")</f>
        <v>1.4999995556294197E-2</v>
      </c>
      <c r="V229" s="9"/>
      <c r="W229" s="10">
        <f t="shared" ref="W229:W236" si="62">IFERROR(-(Q229-T229), "NA")</f>
        <v>4219.45</v>
      </c>
      <c r="X229" s="8">
        <f>IFERROR(W229/W444, "NA")</f>
        <v>0.43277386771803955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313.58999999999997</v>
      </c>
      <c r="L231" s="8">
        <f>IFERROR(K231/K444, "NA")</f>
        <v>2.606700664580242E-3</v>
      </c>
      <c r="M231" s="9"/>
      <c r="N231" s="10">
        <f t="shared" si="61"/>
        <v>313.58999999999997</v>
      </c>
      <c r="O231" s="8">
        <f>IFERROR(N231/N444, "NA")</f>
        <v>1.5733434212480378E-2</v>
      </c>
      <c r="P231" s="9"/>
      <c r="Q231" s="7">
        <v>217</v>
      </c>
      <c r="R231" s="8">
        <f>IFERROR(Q231/Q444, "NA")</f>
        <v>7.4558525057831808E-4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-217</v>
      </c>
      <c r="X231" s="8">
        <f>IFERROR(W231/W444, "NA")</f>
        <v>-2.2256912463665783E-2</v>
      </c>
      <c r="Y231" s="9"/>
      <c r="Z231" s="7">
        <v>717.13</v>
      </c>
      <c r="AA231" s="8">
        <f>IFERROR(Z231/Z444, "NA")</f>
        <v>2.6910355490400357E-3</v>
      </c>
      <c r="AB231" s="9"/>
      <c r="AC231" s="10">
        <f t="shared" si="63"/>
        <v>500.13</v>
      </c>
      <c r="AD231" s="8">
        <f>IFERROR(AC231/AC444, "NA")</f>
        <v>2.0365224586326891E-2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2069.9299999999998</v>
      </c>
      <c r="C234" s="8">
        <f>IFERROR(B234/B444, "NA")</f>
        <v>1.4760654665016649E-2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-2069.9299999999998</v>
      </c>
      <c r="I234" s="8">
        <f>IFERROR(H234/H444, "NA")</f>
        <v>-0.1798322204209433</v>
      </c>
      <c r="J234" s="9"/>
      <c r="K234" s="7">
        <v>1209.33</v>
      </c>
      <c r="L234" s="8">
        <f>IFERROR(K234/K444, "NA")</f>
        <v>1.0052493111058465E-2</v>
      </c>
      <c r="M234" s="9"/>
      <c r="N234" s="10">
        <f t="shared" si="61"/>
        <v>-860.59999999999991</v>
      </c>
      <c r="O234" s="8">
        <f>IFERROR(N234/N444, "NA")</f>
        <v>-4.3178014232789996E-2</v>
      </c>
      <c r="P234" s="9"/>
      <c r="Q234" s="7">
        <v>4976.47</v>
      </c>
      <c r="R234" s="8">
        <f>IFERROR(Q234/Q444, "NA")</f>
        <v>1.7098537474403146E-2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-4976.47</v>
      </c>
      <c r="X234" s="8">
        <f>IFERROR(W234/W444, "NA")</f>
        <v>-0.51041869662699935</v>
      </c>
      <c r="Y234" s="9"/>
      <c r="Z234" s="7">
        <v>2995.59</v>
      </c>
      <c r="AA234" s="8">
        <f>IFERROR(Z234/Z444, "NA")</f>
        <v>1.1240973296820438E-2</v>
      </c>
      <c r="AB234" s="9"/>
      <c r="AC234" s="10">
        <f t="shared" si="63"/>
        <v>-1980.88</v>
      </c>
      <c r="AD234" s="8">
        <f>IFERROR(AC234/AC444, "NA")</f>
        <v>-8.066116025546001E-2</v>
      </c>
    </row>
    <row r="235" spans="1:30" ht="16.5" customHeight="1" x14ac:dyDescent="0.45">
      <c r="A235" s="6" t="s">
        <v>214</v>
      </c>
      <c r="B235" s="7">
        <v>59.6</v>
      </c>
      <c r="C235" s="8">
        <f>IFERROR(B235/B444, "NA")</f>
        <v>4.2500713455768664E-4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-59.6</v>
      </c>
      <c r="I235" s="8">
        <f>IFERROR(H235/H444, "NA")</f>
        <v>-5.1779530404836016E-3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-59.6</v>
      </c>
      <c r="O235" s="8">
        <f>IFERROR(N235/N444, "NA")</f>
        <v>-2.9902505789847593E-3</v>
      </c>
      <c r="P235" s="9"/>
      <c r="Q235" s="7">
        <v>84.93</v>
      </c>
      <c r="R235" s="8">
        <f>IFERROR(Q235/Q444, "NA")</f>
        <v>2.9180901074477678E-4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-84.93</v>
      </c>
      <c r="X235" s="8">
        <f>IFERROR(W235/W444, "NA")</f>
        <v>-8.7109657858946317E-3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-84.93</v>
      </c>
      <c r="AD235" s="8">
        <f>IFERROR(AC235/AC444, "NA")</f>
        <v>-3.4583378803845861E-3</v>
      </c>
    </row>
    <row r="236" spans="1:30" ht="16.5" customHeight="1" x14ac:dyDescent="0.45">
      <c r="A236" s="19" t="s">
        <v>215</v>
      </c>
      <c r="B236" s="14">
        <f>IFERROR(B229+B230+B231+B232+B233+B234+B235, "NA")</f>
        <v>2129.5299999999997</v>
      </c>
      <c r="C236" s="15">
        <f>IFERROR(B236/B444, "NA")</f>
        <v>1.5185661799574335E-2</v>
      </c>
      <c r="D236" s="2"/>
      <c r="E236" s="14">
        <f>IFERROR(E229+E230+E231+E232+E233+E234+E235, "NA")</f>
        <v>1930.84</v>
      </c>
      <c r="F236" s="15">
        <f>IFERROR(E236/E444, "NA")</f>
        <v>1.5000007768643579E-2</v>
      </c>
      <c r="G236" s="2"/>
      <c r="H236" s="14">
        <f t="shared" si="60"/>
        <v>-198.68999999999983</v>
      </c>
      <c r="I236" s="15">
        <f>IFERROR(H236/H444, "NA")</f>
        <v>-1.7261870631102114E-2</v>
      </c>
      <c r="J236" s="2"/>
      <c r="K236" s="14">
        <f>IFERROR(K229+K230+K231+K232+K233+K234+K235, "NA")</f>
        <v>1522.9199999999998</v>
      </c>
      <c r="L236" s="15">
        <f>IFERROR(K236/K444, "NA")</f>
        <v>1.2659193775638707E-2</v>
      </c>
      <c r="M236" s="2"/>
      <c r="N236" s="14">
        <f t="shared" si="61"/>
        <v>-606.6099999999999</v>
      </c>
      <c r="O236" s="15">
        <f>IFERROR(N236/N444, "NA")</f>
        <v>-3.0434830599294374E-2</v>
      </c>
      <c r="P236" s="2"/>
      <c r="Q236" s="14">
        <f>IFERROR(Q229+Q230+Q231+Q232+Q233+Q234+Q235, "NA")</f>
        <v>5278.4000000000005</v>
      </c>
      <c r="R236" s="15">
        <f>IFERROR(Q236/Q444, "NA")</f>
        <v>1.8135931735726241E-2</v>
      </c>
      <c r="S236" s="2"/>
      <c r="T236" s="14">
        <f>IFERROR(T229+T230+T231+T232+T233+T234+T235, "NA")</f>
        <v>4219.45</v>
      </c>
      <c r="U236" s="15">
        <f>IFERROR(T236/T444, "NA")</f>
        <v>1.4999995556294197E-2</v>
      </c>
      <c r="V236" s="2"/>
      <c r="W236" s="14">
        <f t="shared" si="62"/>
        <v>-1058.9500000000007</v>
      </c>
      <c r="X236" s="15">
        <f>IFERROR(W236/W444, "NA")</f>
        <v>-0.10861270715852027</v>
      </c>
      <c r="Y236" s="2"/>
      <c r="Z236" s="14">
        <f>IFERROR(Z229+Z230+Z231+Z232+Z233+Z234+Z235, "NA")</f>
        <v>3712.7200000000003</v>
      </c>
      <c r="AA236" s="15">
        <f>IFERROR(Z236/Z444, "NA")</f>
        <v>1.3932008845860473E-2</v>
      </c>
      <c r="AB236" s="2"/>
      <c r="AC236" s="14">
        <f t="shared" si="63"/>
        <v>-1565.6800000000003</v>
      </c>
      <c r="AD236" s="15">
        <f>IFERROR(AC236/AC444, "NA")</f>
        <v>-6.3754273549517709E-2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8366.9699999999993</v>
      </c>
      <c r="F240" s="8">
        <f>IFERROR(E240/E444, "NA")</f>
        <v>6.5000007768643578E-2</v>
      </c>
      <c r="G240" s="9"/>
      <c r="H240" s="10">
        <f t="shared" ref="H240:H263" si="64">IFERROR(-(B240-E240), "NA")</f>
        <v>8366.9699999999993</v>
      </c>
      <c r="I240" s="8">
        <f>IFERROR(H240/H444, "NA")</f>
        <v>0.72690902267005164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18284.29</v>
      </c>
      <c r="U240" s="8">
        <f>IFERROR(T240/T444, "NA")</f>
        <v>6.5000004443705808E-2</v>
      </c>
      <c r="V240" s="9"/>
      <c r="W240" s="10">
        <f t="shared" ref="W240:W263" si="66">IFERROR(-(Q240-T240), "NA")</f>
        <v>18284.29</v>
      </c>
      <c r="X240" s="8">
        <f>IFERROR(W240/W444, "NA")</f>
        <v>1.8753541105542841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2108.2399999999998</v>
      </c>
      <c r="C242" s="8">
        <f>IFERROR(B242/B444, "NA")</f>
        <v>1.5033842975837201E-2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-2108.2399999999998</v>
      </c>
      <c r="I242" s="8">
        <f>IFERROR(H242/H444, "NA")</f>
        <v>-0.18316053218236825</v>
      </c>
      <c r="J242" s="9"/>
      <c r="K242" s="7">
        <v>1627.98</v>
      </c>
      <c r="L242" s="8">
        <f>IFERROR(K242/K444, "NA")</f>
        <v>1.3532499594768144E-2</v>
      </c>
      <c r="M242" s="9"/>
      <c r="N242" s="10">
        <f t="shared" si="65"/>
        <v>-480.25999999999976</v>
      </c>
      <c r="O242" s="8">
        <f>IFERROR(N242/N444, "NA")</f>
        <v>-2.4095599715825835E-2</v>
      </c>
      <c r="P242" s="9"/>
      <c r="Q242" s="7">
        <v>5564.53</v>
      </c>
      <c r="R242" s="8">
        <f>IFERROR(Q242/Q444, "NA")</f>
        <v>1.911903914470308E-2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-5564.53</v>
      </c>
      <c r="X242" s="8">
        <f>IFERROR(W242/W444, "NA")</f>
        <v>-0.57073390373936472</v>
      </c>
      <c r="Y242" s="9"/>
      <c r="Z242" s="7">
        <v>4074.72</v>
      </c>
      <c r="AA242" s="8">
        <f>IFERROR(Z242/Z444, "NA")</f>
        <v>1.5290416482903258E-2</v>
      </c>
      <c r="AB242" s="9"/>
      <c r="AC242" s="10">
        <f t="shared" si="67"/>
        <v>-1489.81</v>
      </c>
      <c r="AD242" s="8">
        <f>IFERROR(AC242/AC444, "NA")</f>
        <v>-6.066485761893041E-2</v>
      </c>
    </row>
    <row r="243" spans="1:30" ht="16.5" customHeight="1" x14ac:dyDescent="0.45">
      <c r="A243" s="12" t="s">
        <v>220</v>
      </c>
      <c r="B243" s="7">
        <v>2898.14</v>
      </c>
      <c r="C243" s="8">
        <f>IFERROR(B243/B444, "NA")</f>
        <v>2.0666613707164664E-2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-2898.14</v>
      </c>
      <c r="I243" s="8">
        <f>IFERROR(H243/H444, "NA")</f>
        <v>-0.25178578565011989</v>
      </c>
      <c r="J243" s="9"/>
      <c r="K243" s="7">
        <v>1100.01</v>
      </c>
      <c r="L243" s="8">
        <f>IFERROR(K243/K444, "NA")</f>
        <v>9.1437762621413704E-3</v>
      </c>
      <c r="M243" s="9"/>
      <c r="N243" s="10">
        <f t="shared" si="65"/>
        <v>-1798.1299999999999</v>
      </c>
      <c r="O243" s="8">
        <f>IFERROR(N243/N444, "NA")</f>
        <v>-9.0215759623991018E-2</v>
      </c>
      <c r="P243" s="9"/>
      <c r="Q243" s="7">
        <v>6736.35</v>
      </c>
      <c r="R243" s="8">
        <f>IFERROR(Q243/Q444, "NA")</f>
        <v>2.3145268215360615E-2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-6736.35</v>
      </c>
      <c r="X243" s="8">
        <f>IFERROR(W243/W444, "NA")</f>
        <v>-0.69092328237149769</v>
      </c>
      <c r="Y243" s="9"/>
      <c r="Z243" s="7">
        <v>3843.72</v>
      </c>
      <c r="AA243" s="8">
        <f>IFERROR(Z243/Z444, "NA")</f>
        <v>1.4423587300149436E-2</v>
      </c>
      <c r="AB243" s="9"/>
      <c r="AC243" s="10">
        <f t="shared" si="67"/>
        <v>-2892.6300000000006</v>
      </c>
      <c r="AD243" s="8">
        <f>IFERROR(AC243/AC444, "NA")</f>
        <v>-0.11778749444173868</v>
      </c>
    </row>
    <row r="244" spans="1:30" ht="16.5" customHeight="1" x14ac:dyDescent="0.45">
      <c r="A244" s="12" t="s">
        <v>221</v>
      </c>
      <c r="B244" s="7">
        <v>1054.17</v>
      </c>
      <c r="C244" s="8">
        <f>IFERROR(B244/B444, "NA")</f>
        <v>7.5172780375281304E-3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-1054.17</v>
      </c>
      <c r="I244" s="8">
        <f>IFERROR(H244/H444, "NA")</f>
        <v>-9.1584610011520115E-2</v>
      </c>
      <c r="J244" s="9"/>
      <c r="K244" s="7">
        <v>559.58000000000004</v>
      </c>
      <c r="L244" s="8">
        <f>IFERROR(K244/K444, "NA")</f>
        <v>4.651479823609847E-3</v>
      </c>
      <c r="M244" s="9"/>
      <c r="N244" s="10">
        <f t="shared" si="65"/>
        <v>-494.59000000000003</v>
      </c>
      <c r="O244" s="8">
        <f>IFERROR(N244/N444, "NA")</f>
        <v>-2.4814564326511281E-2</v>
      </c>
      <c r="P244" s="9"/>
      <c r="Q244" s="7">
        <v>2233.17</v>
      </c>
      <c r="R244" s="8">
        <f>IFERROR(Q244/Q444, "NA")</f>
        <v>7.6728968388662796E-3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-2233.17</v>
      </c>
      <c r="X244" s="8">
        <f>IFERROR(W244/W444, "NA")</f>
        <v>-0.22904824519117289</v>
      </c>
      <c r="Y244" s="9"/>
      <c r="Z244" s="7">
        <v>1296.83</v>
      </c>
      <c r="AA244" s="8">
        <f>IFERROR(Z244/Z444, "NA")</f>
        <v>4.8663640219508168E-3</v>
      </c>
      <c r="AB244" s="9"/>
      <c r="AC244" s="10">
        <f t="shared" si="67"/>
        <v>-936.34000000000015</v>
      </c>
      <c r="AD244" s="8">
        <f>IFERROR(AC244/AC444, "NA")</f>
        <v>-3.8127635593068449E-2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243.42</v>
      </c>
      <c r="C246" s="8">
        <f>IFERROR(B246/B444, "NA")</f>
        <v>1.7358261190273839E-3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-243.42</v>
      </c>
      <c r="I246" s="8">
        <f>IFERROR(H246/H444, "NA")</f>
        <v>-2.1147941763666415E-2</v>
      </c>
      <c r="J246" s="9"/>
      <c r="K246" s="7">
        <v>397.64</v>
      </c>
      <c r="L246" s="8">
        <f>IFERROR(K246/K444, "NA")</f>
        <v>3.305361944780406E-3</v>
      </c>
      <c r="M246" s="9"/>
      <c r="N246" s="10">
        <f t="shared" si="65"/>
        <v>154.22</v>
      </c>
      <c r="O246" s="8">
        <f>IFERROR(N246/N444, "NA")</f>
        <v>7.7375242330709661E-3</v>
      </c>
      <c r="P246" s="9"/>
      <c r="Q246" s="7">
        <v>518.98</v>
      </c>
      <c r="R246" s="8">
        <f>IFERROR(Q246/Q444, "NA")</f>
        <v>1.7831513057379518E-3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-518.98</v>
      </c>
      <c r="X246" s="8">
        <f>IFERROR(W246/W444, "NA")</f>
        <v>-5.3229919034070365E-2</v>
      </c>
      <c r="Y246" s="9"/>
      <c r="Z246" s="7">
        <v>1219.06</v>
      </c>
      <c r="AA246" s="8">
        <f>IFERROR(Z246/Z444, "NA")</f>
        <v>4.5745315304236969E-3</v>
      </c>
      <c r="AB246" s="9"/>
      <c r="AC246" s="10">
        <f t="shared" si="67"/>
        <v>700.07999999999993</v>
      </c>
      <c r="AD246" s="8">
        <f>IFERROR(AC246/AC444, "NA")</f>
        <v>2.8507160994932775E-2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316.76</v>
      </c>
      <c r="C248" s="8">
        <f>IFERROR(B248/B444, "NA")</f>
        <v>2.2588130862834367E-3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-316.76</v>
      </c>
      <c r="I248" s="8">
        <f>IFERROR(H248/H444, "NA")</f>
        <v>-2.7519604112476267E-2</v>
      </c>
      <c r="J248" s="9"/>
      <c r="K248" s="7">
        <v>322.13</v>
      </c>
      <c r="L248" s="8">
        <f>IFERROR(K248/K444, "NA")</f>
        <v>2.6776889731216984E-3</v>
      </c>
      <c r="M248" s="9"/>
      <c r="N248" s="10">
        <f t="shared" si="65"/>
        <v>5.3700000000000045</v>
      </c>
      <c r="O248" s="8">
        <f>IFERROR(N248/N444, "NA")</f>
        <v>2.6942358404611027E-4</v>
      </c>
      <c r="P248" s="9"/>
      <c r="Q248" s="7">
        <v>753.52</v>
      </c>
      <c r="R248" s="8">
        <f>IFERROR(Q248/Q444, "NA")</f>
        <v>2.5890018341740749E-3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-753.52</v>
      </c>
      <c r="X248" s="8">
        <f>IFERROR(W248/W444, "NA")</f>
        <v>-7.7285846449868384E-2</v>
      </c>
      <c r="Y248" s="9"/>
      <c r="Z248" s="7">
        <v>796.48</v>
      </c>
      <c r="AA248" s="8">
        <f>IFERROR(Z248/Z444, "NA")</f>
        <v>2.9887970020769004E-3</v>
      </c>
      <c r="AB248" s="9"/>
      <c r="AC248" s="10">
        <f t="shared" si="67"/>
        <v>42.960000000000036</v>
      </c>
      <c r="AD248" s="8">
        <f>IFERROR(AC248/AC444, "NA")</f>
        <v>1.7493252718865176E-3</v>
      </c>
    </row>
    <row r="249" spans="1:30" ht="16.5" customHeight="1" x14ac:dyDescent="0.45">
      <c r="A249" s="12" t="s">
        <v>226</v>
      </c>
      <c r="B249" s="7">
        <v>3400.21</v>
      </c>
      <c r="C249" s="8">
        <f>IFERROR(B249/B444, "NA")</f>
        <v>2.4246870956281742E-2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-3400.21</v>
      </c>
      <c r="I249" s="8">
        <f>IFERROR(H249/H444, "NA")</f>
        <v>-0.29540482731179107</v>
      </c>
      <c r="J249" s="9"/>
      <c r="K249" s="7">
        <v>3215.83</v>
      </c>
      <c r="L249" s="8">
        <f>IFERROR(K249/K444, "NA")</f>
        <v>2.6731420638977901E-2</v>
      </c>
      <c r="M249" s="9"/>
      <c r="N249" s="10">
        <f t="shared" si="65"/>
        <v>-184.38000000000011</v>
      </c>
      <c r="O249" s="8">
        <f>IFERROR(N249/N444, "NA")</f>
        <v>-9.2507114388122522E-3</v>
      </c>
      <c r="P249" s="9"/>
      <c r="Q249" s="7">
        <v>6879.3</v>
      </c>
      <c r="R249" s="8">
        <f>IFERROR(Q249/Q444, "NA")</f>
        <v>2.3636426794024994E-2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-6879.3</v>
      </c>
      <c r="X249" s="8">
        <f>IFERROR(W249/W444, "NA")</f>
        <v>-0.70558515166495861</v>
      </c>
      <c r="Y249" s="9"/>
      <c r="Z249" s="7">
        <v>6615.76</v>
      </c>
      <c r="AA249" s="8">
        <f>IFERROR(Z249/Z444, "NA")</f>
        <v>2.4825687593486686E-2</v>
      </c>
      <c r="AB249" s="9"/>
      <c r="AC249" s="10">
        <f t="shared" si="67"/>
        <v>-263.53999999999996</v>
      </c>
      <c r="AD249" s="8">
        <f>IFERROR(AC249/AC444, "NA")</f>
        <v>-1.0731312433728407E-2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customHeight="1" x14ac:dyDescent="0.45">
      <c r="A251" s="12" t="s">
        <v>228</v>
      </c>
      <c r="B251" s="7">
        <v>31.64</v>
      </c>
      <c r="C251" s="8">
        <f>IFERROR(B251/B444, "NA")</f>
        <v>2.2562459290948332E-4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-31.64</v>
      </c>
      <c r="I251" s="8">
        <f>IFERROR(H251/H444, "NA")</f>
        <v>-2.7488327886057242E-3</v>
      </c>
      <c r="J251" s="9"/>
      <c r="K251" s="7">
        <v>71.27</v>
      </c>
      <c r="L251" s="8">
        <f>IFERROR(K251/K444, "NA")</f>
        <v>5.9242819083718816E-4</v>
      </c>
      <c r="M251" s="9"/>
      <c r="N251" s="10">
        <f t="shared" si="65"/>
        <v>39.629999999999995</v>
      </c>
      <c r="O251" s="8">
        <f>IFERROR(N251/N444, "NA")</f>
        <v>1.9883159470665437E-3</v>
      </c>
      <c r="P251" s="9"/>
      <c r="Q251" s="7">
        <v>81.03</v>
      </c>
      <c r="R251" s="8">
        <f>IFERROR(Q251/Q444, "NA")</f>
        <v>2.7840909149475169E-4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-81.03</v>
      </c>
      <c r="X251" s="8">
        <f>IFERROR(W251/W444, "NA")</f>
        <v>-8.3109567600499461E-3</v>
      </c>
      <c r="Y251" s="9"/>
      <c r="Z251" s="7">
        <v>137.46</v>
      </c>
      <c r="AA251" s="8">
        <f>IFERROR(Z251/Z444, "NA")</f>
        <v>5.1581965134779367E-4</v>
      </c>
      <c r="AB251" s="9"/>
      <c r="AC251" s="10">
        <f t="shared" si="67"/>
        <v>56.430000000000007</v>
      </c>
      <c r="AD251" s="8">
        <f>IFERROR(AC251/AC444, "NA")</f>
        <v>2.2978218131414364E-3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1084.6199999999999</v>
      </c>
      <c r="C258" s="8">
        <f>IFERROR(B258/B444, "NA")</f>
        <v>7.7344167497308399E-3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-1084.6199999999999</v>
      </c>
      <c r="I258" s="8">
        <f>IFERROR(H258/H444, "NA")</f>
        <v>-9.4230057496129588E-2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-1084.6199999999999</v>
      </c>
      <c r="O258" s="8">
        <f>IFERROR(N258/N444, "NA")</f>
        <v>-5.4417543338564585E-2</v>
      </c>
      <c r="P258" s="9"/>
      <c r="Q258" s="7">
        <v>1084.6199999999999</v>
      </c>
      <c r="R258" s="8">
        <f>IFERROR(Q258/Q444, "NA")</f>
        <v>3.7266206197338952E-3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-1084.6199999999999</v>
      </c>
      <c r="X258" s="8">
        <f>IFERROR(W258/W444, "NA")</f>
        <v>-0.11124558707991326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-1084.6199999999999</v>
      </c>
      <c r="AD258" s="8">
        <f>IFERROR(AC258/AC444, "NA")</f>
        <v>-4.4165576731693502E-2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11137.199999999997</v>
      </c>
      <c r="C262" s="15">
        <f>IFERROR(B262/B444, "NA")</f>
        <v>7.9419286224762867E-2</v>
      </c>
      <c r="D262" s="2"/>
      <c r="E262" s="14">
        <f>IFERROR(E240+E241+E242+E243+E244+E245+E246+E247+E248+E249+E250+E251+E252+E253+E254+E255+E256+E257+E258+E259+E260+E261, "NA")</f>
        <v>8366.9699999999993</v>
      </c>
      <c r="F262" s="15">
        <f>IFERROR(E262/E444, "NA")</f>
        <v>6.5000007768643578E-2</v>
      </c>
      <c r="G262" s="2"/>
      <c r="H262" s="14">
        <f t="shared" si="64"/>
        <v>-2770.2299999999977</v>
      </c>
      <c r="I262" s="15">
        <f>IFERROR(H262/H444, "NA")</f>
        <v>-0.24067316864662544</v>
      </c>
      <c r="J262" s="2"/>
      <c r="K262" s="14">
        <f>IFERROR(K240+K241+K242+K243+K244+K245+K246+K247+K248+K249+K250+K251+K252+K253+K254+K255+K256+K257+K258+K259+K260+K261, "NA")</f>
        <v>7294.4400000000005</v>
      </c>
      <c r="L262" s="15">
        <f>IFERROR(K262/K444, "NA")</f>
        <v>6.063465542823656E-2</v>
      </c>
      <c r="M262" s="2"/>
      <c r="N262" s="14">
        <f t="shared" si="65"/>
        <v>-3842.7599999999966</v>
      </c>
      <c r="O262" s="15">
        <f>IFERROR(N262/N444, "NA")</f>
        <v>-0.1927989146795212</v>
      </c>
      <c r="P262" s="2"/>
      <c r="Q262" s="14">
        <f>IFERROR(Q240+Q241+Q242+Q243+Q244+Q245+Q246+Q247+Q248+Q249+Q250+Q251+Q252+Q253+Q254+Q255+Q256+Q257+Q258+Q259+Q260+Q261, "NA")</f>
        <v>23851.5</v>
      </c>
      <c r="R262" s="15">
        <f>IFERROR(Q262/Q444, "NA")</f>
        <v>8.1950813844095638E-2</v>
      </c>
      <c r="S262" s="2"/>
      <c r="T262" s="14">
        <f>IFERROR(T240+T241+T242+T243+T244+T245+T246+T247+T248+T249+T250+T251+T252+T253+T254+T255+T256+T257+T258+T259+T260+T261, "NA")</f>
        <v>18284.29</v>
      </c>
      <c r="U262" s="15">
        <f>IFERROR(T262/T444, "NA")</f>
        <v>6.5000004443705808E-2</v>
      </c>
      <c r="V262" s="2"/>
      <c r="W262" s="14">
        <f t="shared" si="66"/>
        <v>-5567.2099999999991</v>
      </c>
      <c r="X262" s="15">
        <f>IFERROR(W262/W444, "NA")</f>
        <v>-0.57100878173661185</v>
      </c>
      <c r="Y262" s="2"/>
      <c r="Z262" s="14">
        <f>IFERROR(Z240+Z241+Z242+Z243+Z244+Z245+Z246+Z247+Z248+Z249+Z250+Z251+Z252+Z253+Z254+Z255+Z256+Z257+Z258+Z259+Z260+Z261, "NA")</f>
        <v>17984.03</v>
      </c>
      <c r="AA262" s="15">
        <f>IFERROR(Z262/Z444, "NA")</f>
        <v>6.7485203582338588E-2</v>
      </c>
      <c r="AB262" s="2"/>
      <c r="AC262" s="14">
        <f t="shared" si="67"/>
        <v>-5867.4700000000012</v>
      </c>
      <c r="AD262" s="15">
        <f>IFERROR(AC262/AC444, "NA")</f>
        <v>-0.23892256873919873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11137.199999999997</v>
      </c>
      <c r="C263" s="15">
        <f>IFERROR(B263/B444, "NA")</f>
        <v>7.9419286224762867E-2</v>
      </c>
      <c r="D263" s="2"/>
      <c r="E263" s="14">
        <f>IFERROR(E238+E240+E241+E242+E243+E244+E245+E246+E247+E248+E249+E250+E251+E252+E253+E254+E255+E256+E257+E258+E259+E260+E261, "NA")</f>
        <v>8366.9699999999993</v>
      </c>
      <c r="F263" s="15">
        <f>IFERROR(E263/E444, "NA")</f>
        <v>6.5000007768643578E-2</v>
      </c>
      <c r="G263" s="2"/>
      <c r="H263" s="14">
        <f t="shared" si="64"/>
        <v>-2770.2299999999977</v>
      </c>
      <c r="I263" s="15">
        <f>IFERROR(H263/H444, "NA")</f>
        <v>-0.24067316864662544</v>
      </c>
      <c r="J263" s="2"/>
      <c r="K263" s="14">
        <f>IFERROR(K238+K240+K241+K242+K243+K244+K245+K246+K247+K248+K249+K250+K251+K252+K253+K254+K255+K256+K257+K258+K259+K260+K261, "NA")</f>
        <v>7294.4400000000005</v>
      </c>
      <c r="L263" s="15">
        <f>IFERROR(K263/K444, "NA")</f>
        <v>6.063465542823656E-2</v>
      </c>
      <c r="M263" s="2"/>
      <c r="N263" s="14">
        <f t="shared" si="65"/>
        <v>-3842.7599999999966</v>
      </c>
      <c r="O263" s="15">
        <f>IFERROR(N263/N444, "NA")</f>
        <v>-0.1927989146795212</v>
      </c>
      <c r="P263" s="2"/>
      <c r="Q263" s="14">
        <f>IFERROR(Q238+Q240+Q241+Q242+Q243+Q244+Q245+Q246+Q247+Q248+Q249+Q250+Q251+Q252+Q253+Q254+Q255+Q256+Q257+Q258+Q259+Q260+Q261, "NA")</f>
        <v>23851.5</v>
      </c>
      <c r="R263" s="15">
        <f>IFERROR(Q263/Q444, "NA")</f>
        <v>8.1950813844095638E-2</v>
      </c>
      <c r="S263" s="2"/>
      <c r="T263" s="14">
        <f>IFERROR(T238+T240+T241+T242+T243+T244+T245+T246+T247+T248+T249+T250+T251+T252+T253+T254+T255+T256+T257+T258+T259+T260+T261, "NA")</f>
        <v>18284.29</v>
      </c>
      <c r="U263" s="15">
        <f>IFERROR(T263/T444, "NA")</f>
        <v>6.5000004443705808E-2</v>
      </c>
      <c r="V263" s="2"/>
      <c r="W263" s="14">
        <f t="shared" si="66"/>
        <v>-5567.2099999999991</v>
      </c>
      <c r="X263" s="15">
        <f>IFERROR(W263/W444, "NA")</f>
        <v>-0.57100878173661185</v>
      </c>
      <c r="Y263" s="2"/>
      <c r="Z263" s="14">
        <f>IFERROR(Z238+Z240+Z241+Z242+Z243+Z244+Z245+Z246+Z247+Z248+Z249+Z250+Z251+Z252+Z253+Z254+Z255+Z256+Z257+Z258+Z259+Z260+Z261, "NA")</f>
        <v>17984.03</v>
      </c>
      <c r="AA263" s="15">
        <f>IFERROR(Z263/Z444, "NA")</f>
        <v>6.7485203582338588E-2</v>
      </c>
      <c r="AB263" s="2"/>
      <c r="AC263" s="14">
        <f t="shared" si="67"/>
        <v>-5867.4700000000012</v>
      </c>
      <c r="AD263" s="15">
        <f>IFERROR(AC263/AC444, "NA")</f>
        <v>-0.23892256873919873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3700.9</v>
      </c>
      <c r="C265" s="8">
        <f>IFERROR(B265/B444, "NA")</f>
        <v>2.6391088998062796E-2</v>
      </c>
      <c r="D265" s="9"/>
      <c r="E265" s="7">
        <v>3089.34</v>
      </c>
      <c r="F265" s="8">
        <f>IFERROR(E265/E444, "NA")</f>
        <v>2.3999981355255409E-2</v>
      </c>
      <c r="G265" s="9"/>
      <c r="H265" s="10">
        <f>IFERROR(-(B265-E265), "NA")</f>
        <v>-611.55999999999995</v>
      </c>
      <c r="I265" s="8">
        <f>IFERROR(H265/H444, "NA")</f>
        <v>-5.3131358413391797E-2</v>
      </c>
      <c r="J265" s="9"/>
      <c r="K265" s="7">
        <v>2772.9</v>
      </c>
      <c r="L265" s="8">
        <f>IFERROR(K265/K444, "NA")</f>
        <v>2.3049587910375185E-2</v>
      </c>
      <c r="M265" s="9"/>
      <c r="N265" s="10">
        <f>IFERROR(-(B265-K265), "NA")</f>
        <v>-928</v>
      </c>
      <c r="O265" s="8">
        <f>IFERROR(N265/N444, "NA")</f>
        <v>-4.6559606330500949E-2</v>
      </c>
      <c r="P265" s="9"/>
      <c r="Q265" s="7">
        <v>7429.59</v>
      </c>
      <c r="R265" s="8">
        <f>IFERROR(Q265/Q444, "NA")</f>
        <v>2.5527155400203533E-2</v>
      </c>
      <c r="S265" s="9"/>
      <c r="T265" s="7">
        <v>6751.12</v>
      </c>
      <c r="U265" s="8">
        <f>IFERROR(T265/T444, "NA")</f>
        <v>2.3999992890070716E-2</v>
      </c>
      <c r="V265" s="9"/>
      <c r="W265" s="10">
        <f>IFERROR(-(Q265-T265), "NA")</f>
        <v>-678.47000000000025</v>
      </c>
      <c r="X265" s="8">
        <f>IFERROR(W265/W444, "NA")</f>
        <v>-6.9588236862780317E-2</v>
      </c>
      <c r="Y265" s="9"/>
      <c r="Z265" s="7">
        <v>5977.34</v>
      </c>
      <c r="AA265" s="8">
        <f>IFERROR(Z265/Z444, "NA")</f>
        <v>2.2430011892821337E-2</v>
      </c>
      <c r="AB265" s="9"/>
      <c r="AC265" s="10">
        <f>IFERROR(-(Q265-Z265), "NA")</f>
        <v>-1452.25</v>
      </c>
      <c r="AD265" s="8">
        <f>IFERROR(AC265/AC444, "NA")</f>
        <v>-5.9135419601889963E-2</v>
      </c>
    </row>
    <row r="266" spans="1:30" ht="16.5" customHeight="1" x14ac:dyDescent="0.45">
      <c r="A266" s="6" t="s">
        <v>242</v>
      </c>
      <c r="B266" s="7">
        <v>-48.5</v>
      </c>
      <c r="C266" s="8">
        <f>IFERROR(B266/B444, "NA")</f>
        <v>-3.4585312124241278E-4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48.5</v>
      </c>
      <c r="I266" s="8">
        <f>IFERROR(H266/H444, "NA")</f>
        <v>4.2136027258968907E-3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48.5</v>
      </c>
      <c r="O266" s="8">
        <f>IFERROR(N266/N444, "NA")</f>
        <v>2.433341494643638E-3</v>
      </c>
      <c r="P266" s="9"/>
      <c r="Q266" s="7">
        <v>-17.96</v>
      </c>
      <c r="R266" s="8">
        <f>IFERROR(Q266/Q444, "NA")</f>
        <v>-6.1708346084730846E-5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17.96</v>
      </c>
      <c r="X266" s="8">
        <f>IFERROR(W266/W444, "NA")</f>
        <v>1.8420928472232141E-3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17.96</v>
      </c>
      <c r="AD266" s="8">
        <f>IFERROR(AC266/AC444, "NA")</f>
        <v>7.3132872167322688E-4</v>
      </c>
    </row>
    <row r="267" spans="1:30" ht="16.5" customHeight="1" x14ac:dyDescent="0.45">
      <c r="A267" s="19" t="s">
        <v>243</v>
      </c>
      <c r="B267" s="14">
        <f>IFERROR(B265+B266, "NA")</f>
        <v>3652.4</v>
      </c>
      <c r="C267" s="15">
        <f>IFERROR(B267/B444, "NA")</f>
        <v>2.6045235876820384E-2</v>
      </c>
      <c r="D267" s="2"/>
      <c r="E267" s="14">
        <f>IFERROR(E265+E266, "NA")</f>
        <v>3089.34</v>
      </c>
      <c r="F267" s="15">
        <f>IFERROR(E267/E444, "NA")</f>
        <v>2.3999981355255409E-2</v>
      </c>
      <c r="G267" s="2"/>
      <c r="H267" s="14">
        <f>IFERROR(-(B267-E267), "NA")</f>
        <v>-563.05999999999995</v>
      </c>
      <c r="I267" s="15">
        <f>IFERROR(H267/H444, "NA")</f>
        <v>-4.8917755687494908E-2</v>
      </c>
      <c r="J267" s="2"/>
      <c r="K267" s="14">
        <f>IFERROR(K265+K266, "NA")</f>
        <v>2772.9</v>
      </c>
      <c r="L267" s="15">
        <f>IFERROR(K267/K444, "NA")</f>
        <v>2.3049587910375185E-2</v>
      </c>
      <c r="M267" s="2"/>
      <c r="N267" s="14">
        <f>IFERROR(-(B267-K267), "NA")</f>
        <v>-879.5</v>
      </c>
      <c r="O267" s="15">
        <f>IFERROR(N267/N444, "NA")</f>
        <v>-4.4126264835857312E-2</v>
      </c>
      <c r="P267" s="2"/>
      <c r="Q267" s="14">
        <f>IFERROR(Q265+Q266, "NA")</f>
        <v>7411.63</v>
      </c>
      <c r="R267" s="15">
        <f>IFERROR(Q267/Q444, "NA")</f>
        <v>2.5465447054118802E-2</v>
      </c>
      <c r="S267" s="2"/>
      <c r="T267" s="14">
        <f>IFERROR(T265+T266, "NA")</f>
        <v>6751.12</v>
      </c>
      <c r="U267" s="15">
        <f>IFERROR(T267/T444, "NA")</f>
        <v>2.3999992890070716E-2</v>
      </c>
      <c r="V267" s="2"/>
      <c r="W267" s="14">
        <f>IFERROR(-(Q267-T267), "NA")</f>
        <v>-660.51000000000022</v>
      </c>
      <c r="X267" s="15">
        <f>IFERROR(W267/W444, "NA")</f>
        <v>-6.7746144015557105E-2</v>
      </c>
      <c r="Y267" s="2"/>
      <c r="Z267" s="14">
        <f>IFERROR(Z265+Z266, "NA")</f>
        <v>5977.34</v>
      </c>
      <c r="AA267" s="15">
        <f>IFERROR(Z267/Z444, "NA")</f>
        <v>2.2430011892821337E-2</v>
      </c>
      <c r="AB267" s="2"/>
      <c r="AC267" s="14">
        <f>IFERROR(-(Q267-Z267), "NA")</f>
        <v>-1434.29</v>
      </c>
      <c r="AD267" s="15">
        <f>IFERROR(AC267/AC444, "NA")</f>
        <v>-5.8404090880216732E-2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2.1957751153188405E-3</v>
      </c>
      <c r="D270" s="9"/>
      <c r="E270" s="7">
        <v>354.13</v>
      </c>
      <c r="F270" s="8">
        <f>IFERROR(E270/E444, "NA")</f>
        <v>2.7511097507353019E-3</v>
      </c>
      <c r="G270" s="9"/>
      <c r="H270" s="10">
        <f>IFERROR(-(B270-E270), "NA")</f>
        <v>46.20999999999998</v>
      </c>
      <c r="I270" s="8">
        <f>IFERROR(H270/H444, "NA")</f>
        <v>4.0146511745091798E-3</v>
      </c>
      <c r="J270" s="9"/>
      <c r="K270" s="7">
        <v>429.37</v>
      </c>
      <c r="L270" s="8">
        <f>IFERROR(K270/K444, "NA")</f>
        <v>3.5691159295603131E-3</v>
      </c>
      <c r="M270" s="9"/>
      <c r="N270" s="10">
        <f>IFERROR(-(B270-K270), "NA")</f>
        <v>121.44999999999999</v>
      </c>
      <c r="O270" s="8">
        <f>IFERROR(N270/N444, "NA")</f>
        <v>6.0933881345251514E-3</v>
      </c>
      <c r="P270" s="9"/>
      <c r="Q270" s="7">
        <v>923.76</v>
      </c>
      <c r="R270" s="8">
        <f>IFERROR(Q270/Q444, "NA")</f>
        <v>3.173925488821323E-3</v>
      </c>
      <c r="S270" s="9"/>
      <c r="T270" s="7">
        <v>1062.3900000000001</v>
      </c>
      <c r="U270" s="8">
        <f>IFERROR(T270/T444, "NA")</f>
        <v>3.7767588854119363E-3</v>
      </c>
      <c r="V270" s="9"/>
      <c r="W270" s="10">
        <f>IFERROR(-(Q270-T270), "NA")</f>
        <v>138.63000000000011</v>
      </c>
      <c r="X270" s="8">
        <f>IFERROR(W270/W444, "NA")</f>
        <v>1.42187823725253E-2</v>
      </c>
      <c r="Y270" s="9"/>
      <c r="Z270" s="7">
        <v>1113.8699999999999</v>
      </c>
      <c r="AA270" s="8">
        <f>IFERROR(Z270/Z444, "NA")</f>
        <v>4.1798052891515126E-3</v>
      </c>
      <c r="AB270" s="9"/>
      <c r="AC270" s="10">
        <f>IFERROR(-(Q270-Z270), "NA")</f>
        <v>190.1099999999999</v>
      </c>
      <c r="AD270" s="8">
        <f>IFERROR(AC270/AC444, "NA")</f>
        <v>7.7412529664419314E-3</v>
      </c>
    </row>
    <row r="271" spans="1:30" ht="16.5" customHeight="1" x14ac:dyDescent="0.45">
      <c r="A271" s="6" t="s">
        <v>246</v>
      </c>
      <c r="B271" s="7">
        <v>793.91</v>
      </c>
      <c r="C271" s="8">
        <f>IFERROR(B271/B444, "NA")</f>
        <v>5.6613660100116271E-3</v>
      </c>
      <c r="D271" s="9"/>
      <c r="E271" s="7">
        <v>905.41</v>
      </c>
      <c r="F271" s="8">
        <f>IFERROR(E271/E444, "NA")</f>
        <v>7.0338075831283698E-3</v>
      </c>
      <c r="G271" s="9"/>
      <c r="H271" s="10">
        <f>IFERROR(-(B271-E271), "NA")</f>
        <v>111.5</v>
      </c>
      <c r="I271" s="8">
        <f>IFERROR(H271/H444, "NA")</f>
        <v>9.6869423492268718E-3</v>
      </c>
      <c r="J271" s="9"/>
      <c r="K271" s="7">
        <v>952.74</v>
      </c>
      <c r="L271" s="8">
        <f>IFERROR(K271/K444, "NA")</f>
        <v>7.9196019999750629E-3</v>
      </c>
      <c r="M271" s="9"/>
      <c r="N271" s="10">
        <f>IFERROR(-(B271-K271), "NA")</f>
        <v>158.83000000000004</v>
      </c>
      <c r="O271" s="8">
        <f>IFERROR(N271/N444, "NA")</f>
        <v>7.9688171050360645E-3</v>
      </c>
      <c r="P271" s="9"/>
      <c r="Q271" s="7">
        <v>2385.73</v>
      </c>
      <c r="R271" s="8">
        <f>IFERROR(Q271/Q444, "NA")</f>
        <v>8.1970741929134148E-3</v>
      </c>
      <c r="S271" s="9"/>
      <c r="T271" s="7">
        <v>2716.23</v>
      </c>
      <c r="U271" s="8">
        <f>IFERROR(T271/T444, "NA")</f>
        <v>9.656101607999382E-3</v>
      </c>
      <c r="V271" s="9"/>
      <c r="W271" s="10">
        <f>IFERROR(-(Q271-T271), "NA")</f>
        <v>330.5</v>
      </c>
      <c r="X271" s="8">
        <f>IFERROR(W271/W444, "NA")</f>
        <v>3.3898200779914935E-2</v>
      </c>
      <c r="Y271" s="9"/>
      <c r="Z271" s="7">
        <v>2858.22</v>
      </c>
      <c r="AA271" s="8">
        <f>IFERROR(Z271/Z444, "NA")</f>
        <v>1.072549137112826E-2</v>
      </c>
      <c r="AB271" s="9"/>
      <c r="AC271" s="10">
        <f>IFERROR(-(Q271-Z271), "NA")</f>
        <v>472.48999999999978</v>
      </c>
      <c r="AD271" s="8">
        <f>IFERROR(AC271/AC444, "NA")</f>
        <v>1.923972760041107E-2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1101.83</v>
      </c>
      <c r="C273" s="15">
        <f>IFERROR(B273/B444, "NA")</f>
        <v>7.857141125330468E-3</v>
      </c>
      <c r="D273" s="2"/>
      <c r="E273" s="14">
        <f>IFERROR(E269+E270+E271+E272, "NA")</f>
        <v>1259.54</v>
      </c>
      <c r="F273" s="15">
        <f>IFERROR(E273/E444, "NA")</f>
        <v>9.7849173338636717E-3</v>
      </c>
      <c r="G273" s="2"/>
      <c r="H273" s="14">
        <f>IFERROR(-(B273-E273), "NA")</f>
        <v>157.71000000000004</v>
      </c>
      <c r="I273" s="15">
        <f>IFERROR(H273/H444, "NA")</f>
        <v>1.3701593523736056E-2</v>
      </c>
      <c r="J273" s="2"/>
      <c r="K273" s="14">
        <f>IFERROR(K269+K270+K271+K272, "NA")</f>
        <v>1382.1100000000001</v>
      </c>
      <c r="L273" s="15">
        <f>IFERROR(K273/K444, "NA")</f>
        <v>1.1488717929535376E-2</v>
      </c>
      <c r="M273" s="2"/>
      <c r="N273" s="14">
        <f>IFERROR(-(B273-K273), "NA")</f>
        <v>280.2800000000002</v>
      </c>
      <c r="O273" s="15">
        <f>IFERROR(N273/N444, "NA")</f>
        <v>1.4062205239561225E-2</v>
      </c>
      <c r="P273" s="2"/>
      <c r="Q273" s="14">
        <f>IFERROR(Q269+Q270+Q271+Q272, "NA")</f>
        <v>3309.49</v>
      </c>
      <c r="R273" s="15">
        <f>IFERROR(Q273/Q444, "NA")</f>
        <v>1.1370999681734736E-2</v>
      </c>
      <c r="S273" s="2"/>
      <c r="T273" s="14">
        <f>IFERROR(T269+T270+T271+T272, "NA")</f>
        <v>3778.62</v>
      </c>
      <c r="U273" s="15">
        <f>IFERROR(T273/T444, "NA")</f>
        <v>1.3432860493411317E-2</v>
      </c>
      <c r="V273" s="2"/>
      <c r="W273" s="14">
        <f>IFERROR(-(Q273-T273), "NA")</f>
        <v>469.13000000000011</v>
      </c>
      <c r="X273" s="15">
        <f>IFERROR(W273/W444, "NA")</f>
        <v>4.8116983152440236E-2</v>
      </c>
      <c r="Y273" s="2"/>
      <c r="Z273" s="14">
        <f>IFERROR(Z269+Z270+Z271+Z272, "NA")</f>
        <v>3972.0899999999997</v>
      </c>
      <c r="AA273" s="15">
        <f>IFERROR(Z273/Z444, "NA")</f>
        <v>1.4905296660279774E-2</v>
      </c>
      <c r="AB273" s="2"/>
      <c r="AC273" s="14">
        <f>IFERROR(-(Q273-Z273), "NA")</f>
        <v>662.59999999999991</v>
      </c>
      <c r="AD273" s="15">
        <f>IFERROR(AC273/AC444, "NA")</f>
        <v>2.6980980566853011E-2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9.8051142620271666E-4</v>
      </c>
      <c r="D288" s="9"/>
      <c r="E288" s="7">
        <v>138</v>
      </c>
      <c r="F288" s="8">
        <f>IFERROR(E288/E444, "NA")</f>
        <v>1.07207281394254E-3</v>
      </c>
      <c r="G288" s="9"/>
      <c r="H288" s="10">
        <f t="shared" si="72"/>
        <v>0.5</v>
      </c>
      <c r="I288" s="8">
        <f>IFERROR(H288/H444, "NA")</f>
        <v>4.3439203359761758E-5</v>
      </c>
      <c r="J288" s="9"/>
      <c r="K288" s="7">
        <v>137.5</v>
      </c>
      <c r="L288" s="8">
        <f>IFERROR(K288/K444, "NA")</f>
        <v>1.1429616422072876E-3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412.5</v>
      </c>
      <c r="R288" s="8">
        <f>IFERROR(Q288/Q444, "NA")</f>
        <v>1.4172991514449596E-3</v>
      </c>
      <c r="S288" s="9"/>
      <c r="T288" s="7">
        <v>414</v>
      </c>
      <c r="U288" s="8">
        <f>IFERROR(T288/T444, "NA")</f>
        <v>1.4717553615532352E-3</v>
      </c>
      <c r="V288" s="9"/>
      <c r="W288" s="10">
        <f t="shared" si="74"/>
        <v>1.5</v>
      </c>
      <c r="X288" s="8">
        <f>IFERROR(W288/W444, "NA")</f>
        <v>1.5384962532487869E-4</v>
      </c>
      <c r="Y288" s="9"/>
      <c r="Z288" s="7">
        <v>412.5</v>
      </c>
      <c r="AA288" s="8">
        <f>IFERROR(Z288/Z444, "NA")</f>
        <v>1.547909254917539E-3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247.84</v>
      </c>
      <c r="C289" s="8">
        <f>IFERROR(B289/B444, "NA")</f>
        <v>1.7673451045096822E-3</v>
      </c>
      <c r="D289" s="9"/>
      <c r="E289" s="7">
        <v>234</v>
      </c>
      <c r="F289" s="8">
        <f>IFERROR(E289/E444, "NA")</f>
        <v>1.8178625975547417E-3</v>
      </c>
      <c r="G289" s="9"/>
      <c r="H289" s="10">
        <f t="shared" si="72"/>
        <v>-13.840000000000003</v>
      </c>
      <c r="I289" s="8">
        <f>IFERROR(H289/H444, "NA")</f>
        <v>-1.2023971489982057E-3</v>
      </c>
      <c r="J289" s="9"/>
      <c r="K289" s="7">
        <v>220.88</v>
      </c>
      <c r="L289" s="8">
        <f>IFERROR(K289/K444, "NA")</f>
        <v>1.8360535820417865E-3</v>
      </c>
      <c r="M289" s="9"/>
      <c r="N289" s="10">
        <f t="shared" si="73"/>
        <v>-26.960000000000008</v>
      </c>
      <c r="O289" s="8">
        <f>IFERROR(N289/N444, "NA")</f>
        <v>-1.3526368390843816E-3</v>
      </c>
      <c r="P289" s="9"/>
      <c r="Q289" s="7">
        <v>743.52</v>
      </c>
      <c r="R289" s="8">
        <f>IFERROR(Q289/Q444, "NA")</f>
        <v>2.5546430668663181E-3</v>
      </c>
      <c r="S289" s="9"/>
      <c r="T289" s="7">
        <v>702</v>
      </c>
      <c r="U289" s="8">
        <f>IFERROR(T289/T444, "NA")</f>
        <v>2.4955851782859206E-3</v>
      </c>
      <c r="V289" s="9"/>
      <c r="W289" s="10">
        <f t="shared" si="74"/>
        <v>-41.519999999999982</v>
      </c>
      <c r="X289" s="8">
        <f>IFERROR(W289/W444, "NA")</f>
        <v>-4.2585576289926397E-3</v>
      </c>
      <c r="Y289" s="9"/>
      <c r="Z289" s="7">
        <v>659.73</v>
      </c>
      <c r="AA289" s="8">
        <f>IFERROR(Z289/Z444, "NA")</f>
        <v>2.4756416309012074E-3</v>
      </c>
      <c r="AB289" s="9"/>
      <c r="AC289" s="10">
        <f t="shared" si="75"/>
        <v>-83.789999999999964</v>
      </c>
      <c r="AD289" s="8">
        <f>IFERROR(AC289/AC444, "NA")</f>
        <v>-3.4119172376948581E-3</v>
      </c>
    </row>
    <row r="290" spans="1:30" ht="16.5" customHeight="1" x14ac:dyDescent="0.45">
      <c r="A290" s="6" t="s">
        <v>263</v>
      </c>
      <c r="B290" s="7">
        <v>576.39</v>
      </c>
      <c r="C290" s="8">
        <f>IFERROR(B290/B444, "NA")</f>
        <v>4.1102325887198829E-3</v>
      </c>
      <c r="D290" s="9"/>
      <c r="E290" s="7">
        <v>772.34</v>
      </c>
      <c r="F290" s="8">
        <f>IFERROR(E290/E444, "NA")</f>
        <v>6.0000341820317486E-3</v>
      </c>
      <c r="G290" s="9"/>
      <c r="H290" s="10">
        <f t="shared" si="72"/>
        <v>195.95000000000005</v>
      </c>
      <c r="I290" s="8">
        <f>IFERROR(H290/H444, "NA")</f>
        <v>1.7023823796690637E-2</v>
      </c>
      <c r="J290" s="9"/>
      <c r="K290" s="7">
        <v>790</v>
      </c>
      <c r="L290" s="8">
        <f>IFERROR(K290/K444, "NA")</f>
        <v>6.5668341625000522E-3</v>
      </c>
      <c r="M290" s="9"/>
      <c r="N290" s="10">
        <f t="shared" si="73"/>
        <v>213.61</v>
      </c>
      <c r="O290" s="8">
        <f>IFERROR(N290/N444, "NA")</f>
        <v>1.0717238694243868E-2</v>
      </c>
      <c r="P290" s="9"/>
      <c r="Q290" s="7">
        <v>2545.09</v>
      </c>
      <c r="R290" s="8">
        <f>IFERROR(Q290/Q444, "NA")</f>
        <v>8.7446155087298229E-3</v>
      </c>
      <c r="S290" s="9"/>
      <c r="T290" s="7">
        <v>1840.36</v>
      </c>
      <c r="U290" s="8">
        <f>IFERROR(T290/T444, "NA")</f>
        <v>6.5424147275075159E-3</v>
      </c>
      <c r="V290" s="9"/>
      <c r="W290" s="10">
        <f t="shared" si="74"/>
        <v>-704.73000000000025</v>
      </c>
      <c r="X290" s="8">
        <f>IFERROR(W290/W444, "NA")</f>
        <v>-7.2281630970134528E-2</v>
      </c>
      <c r="Y290" s="9"/>
      <c r="Z290" s="7">
        <v>2415.3200000000002</v>
      </c>
      <c r="AA290" s="8">
        <f>IFERROR(Z290/Z444, "NA")</f>
        <v>9.0635058947574065E-3</v>
      </c>
      <c r="AB290" s="9"/>
      <c r="AC290" s="10">
        <f t="shared" si="75"/>
        <v>-129.76999999999998</v>
      </c>
      <c r="AD290" s="8">
        <f>IFERROR(AC290/AC444, "NA")</f>
        <v>-5.2842164928471403E-3</v>
      </c>
    </row>
    <row r="291" spans="1:30" ht="16.5" customHeight="1" x14ac:dyDescent="0.45">
      <c r="A291" s="6" t="s">
        <v>264</v>
      </c>
      <c r="B291" s="7">
        <v>1954.31</v>
      </c>
      <c r="C291" s="8">
        <f>IFERROR(B291/B444, "NA")</f>
        <v>1.39361693479435E-2</v>
      </c>
      <c r="D291" s="9"/>
      <c r="E291" s="7">
        <v>1287.23</v>
      </c>
      <c r="F291" s="8">
        <f>IFERROR(E291/E444, "NA")</f>
        <v>1.0000031074574317E-2</v>
      </c>
      <c r="G291" s="9"/>
      <c r="H291" s="10">
        <f t="shared" si="72"/>
        <v>-667.07999999999993</v>
      </c>
      <c r="I291" s="8">
        <f>IFERROR(H291/H444, "NA")</f>
        <v>-5.7954847554459739E-2</v>
      </c>
      <c r="J291" s="9"/>
      <c r="K291" s="7">
        <v>1910.72</v>
      </c>
      <c r="L291" s="8">
        <f>IFERROR(K291/K444, "NA")</f>
        <v>1.5882761229078605E-2</v>
      </c>
      <c r="M291" s="9"/>
      <c r="N291" s="10">
        <f t="shared" si="73"/>
        <v>-43.589999999999918</v>
      </c>
      <c r="O291" s="8">
        <f>IFERROR(N291/N444, "NA")</f>
        <v>-2.1869970258044532E-3</v>
      </c>
      <c r="P291" s="9"/>
      <c r="Q291" s="7">
        <v>5437.98</v>
      </c>
      <c r="R291" s="8">
        <f>IFERROR(Q291/Q444, "NA")</f>
        <v>1.8684228944423419E-2</v>
      </c>
      <c r="S291" s="9"/>
      <c r="T291" s="7">
        <v>2812.97</v>
      </c>
      <c r="U291" s="8">
        <f>IFERROR(T291/T444, "NA")</f>
        <v>1.0000008887411604E-2</v>
      </c>
      <c r="V291" s="9"/>
      <c r="W291" s="10">
        <f t="shared" si="74"/>
        <v>-2625.0099999999998</v>
      </c>
      <c r="X291" s="8">
        <f>IFERROR(W291/W444, "NA")</f>
        <v>-0.26923786998270649</v>
      </c>
      <c r="Y291" s="9"/>
      <c r="Z291" s="7">
        <v>6479.22</v>
      </c>
      <c r="AA291" s="8">
        <f>IFERROR(Z291/Z444, "NA")</f>
        <v>2.4313320248840767E-2</v>
      </c>
      <c r="AB291" s="9"/>
      <c r="AC291" s="10">
        <f t="shared" si="75"/>
        <v>1041.2400000000007</v>
      </c>
      <c r="AD291" s="8">
        <f>IFERROR(AC291/AC444, "NA")</f>
        <v>4.2399149117763435E-2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257.45</v>
      </c>
      <c r="F292" s="8">
        <f>IFERROR(E292/E444, "NA")</f>
        <v>2.0000372894891805E-3</v>
      </c>
      <c r="G292" s="9"/>
      <c r="H292" s="10">
        <f t="shared" si="72"/>
        <v>257.45</v>
      </c>
      <c r="I292" s="8">
        <f>IFERROR(H292/H444, "NA")</f>
        <v>2.2366845809941329E-2</v>
      </c>
      <c r="J292" s="9"/>
      <c r="K292" s="7">
        <v>1038.82</v>
      </c>
      <c r="L292" s="8">
        <f>IFERROR(K292/K444, "NA")</f>
        <v>8.6351375502383594E-3</v>
      </c>
      <c r="M292" s="9"/>
      <c r="N292" s="10">
        <f t="shared" si="73"/>
        <v>1038.82</v>
      </c>
      <c r="O292" s="8">
        <f>IFERROR(N292/N444, "NA")</f>
        <v>5.2119666215787709E-2</v>
      </c>
      <c r="P292" s="9"/>
      <c r="Q292" s="7">
        <v>0</v>
      </c>
      <c r="R292" s="8">
        <f>IFERROR(Q292/Q444, "NA")</f>
        <v>0</v>
      </c>
      <c r="S292" s="9"/>
      <c r="T292" s="7">
        <v>562.6</v>
      </c>
      <c r="U292" s="8">
        <f>IFERROR(T292/T444, "NA")</f>
        <v>2.0000231072701694E-3</v>
      </c>
      <c r="V292" s="9"/>
      <c r="W292" s="10">
        <f t="shared" si="74"/>
        <v>562.6</v>
      </c>
      <c r="X292" s="8">
        <f>IFERROR(W292/W444, "NA")</f>
        <v>5.7703866138517836E-2</v>
      </c>
      <c r="Y292" s="9"/>
      <c r="Z292" s="7">
        <v>1038.82</v>
      </c>
      <c r="AA292" s="8">
        <f>IFERROR(Z292/Z444, "NA")</f>
        <v>3.8981796174386366E-3</v>
      </c>
      <c r="AB292" s="9"/>
      <c r="AC292" s="10">
        <f t="shared" si="75"/>
        <v>1038.82</v>
      </c>
      <c r="AD292" s="8">
        <f>IFERROR(AC292/AC444, "NA")</f>
        <v>4.2300607051702757E-2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257.45</v>
      </c>
      <c r="F293" s="8">
        <f>IFERROR(E293/E444, "NA")</f>
        <v>2.0000372894891805E-3</v>
      </c>
      <c r="G293" s="9"/>
      <c r="H293" s="10">
        <f t="shared" si="72"/>
        <v>257.45</v>
      </c>
      <c r="I293" s="8">
        <f>IFERROR(H293/H444, "NA")</f>
        <v>2.2366845809941329E-2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562.6</v>
      </c>
      <c r="U293" s="8">
        <f>IFERROR(T293/T444, "NA")</f>
        <v>2.0000231072701694E-3</v>
      </c>
      <c r="V293" s="9"/>
      <c r="W293" s="10">
        <f t="shared" si="74"/>
        <v>562.6</v>
      </c>
      <c r="X293" s="8">
        <f>IFERROR(W293/W444, "NA")</f>
        <v>5.7703866138517836E-2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380.48</v>
      </c>
      <c r="C294" s="8">
        <f>IFERROR(B294/B444, "NA")</f>
        <v>2.713199908666252E-3</v>
      </c>
      <c r="D294" s="9"/>
      <c r="E294" s="7">
        <v>365</v>
      </c>
      <c r="F294" s="8">
        <f>IFERROR(E294/E444, "NA")</f>
        <v>2.8355549064422252E-3</v>
      </c>
      <c r="G294" s="9"/>
      <c r="H294" s="10">
        <f t="shared" si="72"/>
        <v>-15.480000000000018</v>
      </c>
      <c r="I294" s="8">
        <f>IFERROR(H294/H444, "NA")</f>
        <v>-1.3448777360182255E-3</v>
      </c>
      <c r="J294" s="9"/>
      <c r="K294" s="7">
        <v>722.97</v>
      </c>
      <c r="L294" s="8">
        <f>IFERROR(K294/K444, "NA")</f>
        <v>6.009650752484383E-3</v>
      </c>
      <c r="M294" s="9"/>
      <c r="N294" s="10">
        <f t="shared" si="73"/>
        <v>342.49</v>
      </c>
      <c r="O294" s="8">
        <f>IFERROR(N294/N444, "NA")</f>
        <v>1.7183404711350509E-2</v>
      </c>
      <c r="P294" s="9"/>
      <c r="Q294" s="7">
        <v>1141.45</v>
      </c>
      <c r="R294" s="8">
        <f>IFERROR(Q294/Q444, "NA")</f>
        <v>3.9218814943438769E-3</v>
      </c>
      <c r="S294" s="9"/>
      <c r="T294" s="7">
        <v>1095</v>
      </c>
      <c r="U294" s="8">
        <f>IFERROR(T294/T444, "NA")</f>
        <v>3.8926862823690641E-3</v>
      </c>
      <c r="V294" s="9"/>
      <c r="W294" s="10">
        <f t="shared" si="74"/>
        <v>-46.450000000000045</v>
      </c>
      <c r="X294" s="8">
        <f>IFERROR(W294/W444, "NA")</f>
        <v>-4.7642100642270816E-3</v>
      </c>
      <c r="Y294" s="9"/>
      <c r="Z294" s="7">
        <v>1372.96</v>
      </c>
      <c r="AA294" s="8">
        <f>IFERROR(Z294/Z444, "NA")</f>
        <v>5.152042401531113E-3</v>
      </c>
      <c r="AB294" s="9"/>
      <c r="AC294" s="10">
        <f t="shared" si="75"/>
        <v>231.51</v>
      </c>
      <c r="AD294" s="8">
        <f>IFERROR(AC294/AC444, "NA")</f>
        <v>9.4270552535951416E-3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3296.52</v>
      </c>
      <c r="C295" s="15">
        <f>IFERROR(B295/B444, "NA")</f>
        <v>2.3507458376042033E-2</v>
      </c>
      <c r="D295" s="2"/>
      <c r="E295" s="14">
        <f>IFERROR(E286+E287+E288+E289+E290+E291+E292+E293+E294, "NA")</f>
        <v>3311.47</v>
      </c>
      <c r="F295" s="15">
        <f>IFERROR(E295/E444, "NA")</f>
        <v>2.5725630153523932E-2</v>
      </c>
      <c r="G295" s="2"/>
      <c r="H295" s="14">
        <f t="shared" si="72"/>
        <v>14.949999999999818</v>
      </c>
      <c r="I295" s="15">
        <f>IFERROR(H295/H444, "NA")</f>
        <v>1.2988321804568608E-3</v>
      </c>
      <c r="J295" s="2"/>
      <c r="K295" s="14">
        <f>IFERROR(K286+K287+K288+K289+K290+K291+K292+K293+K294, "NA")</f>
        <v>4820.8900000000003</v>
      </c>
      <c r="L295" s="15">
        <f>IFERROR(K295/K444, "NA")</f>
        <v>4.0073398918550475E-2</v>
      </c>
      <c r="M295" s="2"/>
      <c r="N295" s="14">
        <f t="shared" si="73"/>
        <v>1524.3700000000003</v>
      </c>
      <c r="O295" s="15">
        <f>IFERROR(N295/N444, "NA")</f>
        <v>7.6480675756493269E-2</v>
      </c>
      <c r="P295" s="2"/>
      <c r="Q295" s="14">
        <f>IFERROR(Q286+Q287+Q288+Q289+Q290+Q291+Q292+Q293+Q294, "NA")</f>
        <v>10280.540000000001</v>
      </c>
      <c r="R295" s="15">
        <f>IFERROR(Q295/Q444, "NA")</f>
        <v>3.5322668165808403E-2</v>
      </c>
      <c r="S295" s="2"/>
      <c r="T295" s="14">
        <f>IFERROR(T286+T287+T288+T289+T290+T291+T292+T293+T294, "NA")</f>
        <v>7989.5300000000007</v>
      </c>
      <c r="U295" s="15">
        <f>IFERROR(T295/T444, "NA")</f>
        <v>2.8402496651667681E-2</v>
      </c>
      <c r="V295" s="2"/>
      <c r="W295" s="14">
        <f t="shared" si="74"/>
        <v>-2291.0100000000002</v>
      </c>
      <c r="X295" s="15">
        <f>IFERROR(W295/W444, "NA")</f>
        <v>-0.23498068674370023</v>
      </c>
      <c r="Y295" s="2"/>
      <c r="Z295" s="14">
        <f>IFERROR(Z286+Z287+Z288+Z289+Z290+Z291+Z292+Z293+Z294, "NA")</f>
        <v>12378.55</v>
      </c>
      <c r="AA295" s="15">
        <f>IFERROR(Z295/Z444, "NA")</f>
        <v>4.6450599048386665E-2</v>
      </c>
      <c r="AB295" s="2"/>
      <c r="AC295" s="14">
        <f t="shared" si="75"/>
        <v>2098.0099999999984</v>
      </c>
      <c r="AD295" s="15">
        <f>IFERROR(AC295/AC444, "NA")</f>
        <v>8.5430677692519247E-2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159</v>
      </c>
      <c r="C299" s="8">
        <f>IFERROR(B299/B444, "NA")</f>
        <v>1.1338277582998687E-3</v>
      </c>
      <c r="D299" s="9"/>
      <c r="E299" s="7">
        <v>159</v>
      </c>
      <c r="F299" s="8">
        <f>IFERROR(E299/E444, "NA")</f>
        <v>1.2352143291077091E-3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-159</v>
      </c>
      <c r="O299" s="8">
        <f>IFERROR(N299/N444, "NA")</f>
        <v>-7.9773463432647098E-3</v>
      </c>
      <c r="P299" s="9"/>
      <c r="Q299" s="7">
        <v>477</v>
      </c>
      <c r="R299" s="8">
        <f>IFERROR(Q299/Q444, "NA")</f>
        <v>1.6389132005799896E-3</v>
      </c>
      <c r="S299" s="9"/>
      <c r="T299" s="7">
        <v>477</v>
      </c>
      <c r="U299" s="8">
        <f>IFERROR(T299/T444, "NA")</f>
        <v>1.6957181339635101E-3</v>
      </c>
      <c r="V299" s="9"/>
      <c r="W299" s="10">
        <f t="shared" si="78"/>
        <v>0</v>
      </c>
      <c r="X299" s="8">
        <f>IFERROR(W299/W444, "NA")</f>
        <v>0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-477</v>
      </c>
      <c r="AD299" s="8">
        <f>IFERROR(AC299/AC444, "NA")</f>
        <v>-1.9423374178069556E-2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72.819999999999993</v>
      </c>
      <c r="C305" s="8">
        <f>IFERROR(B305/B444, "NA")</f>
        <v>5.1927885131695874E-4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-72.819999999999993</v>
      </c>
      <c r="I305" s="8">
        <f>IFERROR(H305/H444, "NA")</f>
        <v>-6.3264855773157019E-3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-72.819999999999993</v>
      </c>
      <c r="O305" s="8">
        <f>IFERROR(N305/N444, "NA")</f>
        <v>-3.6535242812360765E-3</v>
      </c>
      <c r="P305" s="9"/>
      <c r="Q305" s="7">
        <v>72.819999999999993</v>
      </c>
      <c r="R305" s="8">
        <f>IFERROR(Q305/Q444, "NA")</f>
        <v>2.5020054353508349E-4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-72.819999999999993</v>
      </c>
      <c r="X305" s="8">
        <f>IFERROR(W305/W444, "NA")</f>
        <v>-7.468886477438443E-3</v>
      </c>
      <c r="Y305" s="9"/>
      <c r="Z305" s="7">
        <v>5.59</v>
      </c>
      <c r="AA305" s="8">
        <f>IFERROR(Z305/Z444, "NA")</f>
        <v>2.0976515721185558E-5</v>
      </c>
      <c r="AB305" s="9"/>
      <c r="AC305" s="10">
        <f t="shared" si="79"/>
        <v>-67.22999999999999</v>
      </c>
      <c r="AD305" s="8">
        <f>IFERROR(AC305/AC444, "NA")</f>
        <v>-2.7375963228335764E-3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36.33</v>
      </c>
      <c r="C310" s="8">
        <f>IFERROR(B310/B444, "NA")</f>
        <v>2.5906894628323416E-4</v>
      </c>
      <c r="D310" s="9"/>
      <c r="E310" s="7">
        <v>55</v>
      </c>
      <c r="F310" s="8">
        <f>IFERROR(E310/E444, "NA")</f>
        <v>4.2727539686115724E-4</v>
      </c>
      <c r="G310" s="9"/>
      <c r="H310" s="10">
        <f t="shared" si="76"/>
        <v>18.670000000000002</v>
      </c>
      <c r="I310" s="8">
        <f>IFERROR(H310/H444, "NA")</f>
        <v>1.6220198534535042E-3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-36.33</v>
      </c>
      <c r="O310" s="8">
        <f>IFERROR(N310/N444, "NA")</f>
        <v>-1.8227483814516159E-3</v>
      </c>
      <c r="P310" s="9"/>
      <c r="Q310" s="7">
        <v>278.95999999999998</v>
      </c>
      <c r="R310" s="8">
        <f>IFERROR(Q310/Q444, "NA")</f>
        <v>9.5847217281717792E-4</v>
      </c>
      <c r="S310" s="9"/>
      <c r="T310" s="7">
        <v>165</v>
      </c>
      <c r="U310" s="8">
        <f>IFERROR(T310/T444, "NA")</f>
        <v>5.8656916583643432E-4</v>
      </c>
      <c r="V310" s="9"/>
      <c r="W310" s="10">
        <f t="shared" si="78"/>
        <v>-113.95999999999998</v>
      </c>
      <c r="X310" s="8">
        <f>IFERROR(W310/W444, "NA")</f>
        <v>-1.1688468868015448E-2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-278.95999999999998</v>
      </c>
      <c r="AD310" s="8">
        <f>IFERROR(AC310/AC444, "NA")</f>
        <v>-1.1359212705899964E-2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60.62</v>
      </c>
      <c r="AA311" s="8">
        <f>IFERROR(Z311/Z444, "NA")</f>
        <v>2.2747699159539686E-4</v>
      </c>
      <c r="AB311" s="9"/>
      <c r="AC311" s="10">
        <f t="shared" si="79"/>
        <v>60.62</v>
      </c>
      <c r="AD311" s="8">
        <f>IFERROR(AC311/AC444, "NA")</f>
        <v>2.4684380349571833E-3</v>
      </c>
    </row>
    <row r="312" spans="1:30" ht="16.5" customHeight="1" x14ac:dyDescent="0.45">
      <c r="A312" s="6" t="s">
        <v>284</v>
      </c>
      <c r="B312" s="7">
        <v>85.88</v>
      </c>
      <c r="C312" s="8">
        <f>IFERROR(B312/B444, "NA")</f>
        <v>6.1240960932574043E-4</v>
      </c>
      <c r="D312" s="9"/>
      <c r="E312" s="7">
        <v>35</v>
      </c>
      <c r="F312" s="8">
        <f>IFERROR(E312/E444, "NA")</f>
        <v>2.7190252527528185E-4</v>
      </c>
      <c r="G312" s="9"/>
      <c r="H312" s="10">
        <f t="shared" si="76"/>
        <v>-50.879999999999995</v>
      </c>
      <c r="I312" s="8">
        <f>IFERROR(H312/H444, "NA")</f>
        <v>-4.4203733338893563E-3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-85.88</v>
      </c>
      <c r="O312" s="8">
        <f>IFERROR(N312/N444, "NA")</f>
        <v>-4.3087704651545494E-3</v>
      </c>
      <c r="P312" s="9"/>
      <c r="Q312" s="7">
        <v>155.04</v>
      </c>
      <c r="R312" s="8">
        <f>IFERROR(Q312/Q444, "NA")</f>
        <v>5.3269832833945823E-4</v>
      </c>
      <c r="S312" s="9"/>
      <c r="T312" s="7">
        <v>105</v>
      </c>
      <c r="U312" s="8">
        <f>IFERROR(T312/T444, "NA")</f>
        <v>3.732712873504582E-4</v>
      </c>
      <c r="V312" s="9"/>
      <c r="W312" s="10">
        <f t="shared" si="78"/>
        <v>-50.039999999999992</v>
      </c>
      <c r="X312" s="8">
        <f>IFERROR(W312/W444, "NA")</f>
        <v>-5.1324235008379524E-3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-155.04</v>
      </c>
      <c r="AD312" s="8">
        <f>IFERROR(AC312/AC444, "NA")</f>
        <v>-6.3132074058027329E-3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15</v>
      </c>
      <c r="F313" s="8">
        <f>IFERROR(E313/E444, "NA")</f>
        <v>1.1652965368940651E-4</v>
      </c>
      <c r="G313" s="9"/>
      <c r="H313" s="10">
        <f t="shared" si="76"/>
        <v>15</v>
      </c>
      <c r="I313" s="8">
        <f>IFERROR(H313/H444, "NA")</f>
        <v>1.3031761007928527E-3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0</v>
      </c>
      <c r="R313" s="8">
        <f>IFERROR(Q313/Q444, "NA")</f>
        <v>0</v>
      </c>
      <c r="S313" s="9"/>
      <c r="T313" s="7">
        <v>45</v>
      </c>
      <c r="U313" s="8">
        <f>IFERROR(T313/T444, "NA")</f>
        <v>1.5997340886448209E-4</v>
      </c>
      <c r="V313" s="9"/>
      <c r="W313" s="10">
        <f t="shared" si="78"/>
        <v>45</v>
      </c>
      <c r="X313" s="8">
        <f>IFERROR(W313/W444, "NA")</f>
        <v>4.6154887597463605E-3</v>
      </c>
      <c r="Y313" s="9"/>
      <c r="Z313" s="7">
        <v>24</v>
      </c>
      <c r="AA313" s="8">
        <f>IFERROR(Z313/Z444, "NA")</f>
        <v>9.0060174831565893E-5</v>
      </c>
      <c r="AB313" s="9"/>
      <c r="AC313" s="10">
        <f t="shared" si="79"/>
        <v>24</v>
      </c>
      <c r="AD313" s="8">
        <f>IFERROR(AC313/AC444, "NA")</f>
        <v>9.7727668820475752E-4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2.9099439832039461E-3</v>
      </c>
      <c r="D315" s="9"/>
      <c r="E315" s="7">
        <v>514.89</v>
      </c>
      <c r="F315" s="8">
        <f>IFERROR(E315/E444, "NA")</f>
        <v>3.9999968925425681E-3</v>
      </c>
      <c r="G315" s="9"/>
      <c r="H315" s="10">
        <f t="shared" si="76"/>
        <v>106.82</v>
      </c>
      <c r="I315" s="8">
        <f>IFERROR(H315/H444, "NA")</f>
        <v>9.2803514057795012E-3</v>
      </c>
      <c r="J315" s="9"/>
      <c r="K315" s="7">
        <v>455.52</v>
      </c>
      <c r="L315" s="8">
        <f>IFERROR(K315/K444, "NA")</f>
        <v>3.7864864527873718E-3</v>
      </c>
      <c r="M315" s="9"/>
      <c r="N315" s="10">
        <f t="shared" si="77"/>
        <v>47.449999999999989</v>
      </c>
      <c r="O315" s="8">
        <f>IFERROR(N315/N444, "NA")</f>
        <v>2.3806609055843425E-3</v>
      </c>
      <c r="P315" s="9"/>
      <c r="Q315" s="7">
        <v>1224.21</v>
      </c>
      <c r="R315" s="8">
        <f>IFERROR(Q315/Q444, "NA")</f>
        <v>4.2062346525828702E-3</v>
      </c>
      <c r="S315" s="9"/>
      <c r="T315" s="7">
        <v>1125.19</v>
      </c>
      <c r="U315" s="8">
        <f>IFERROR(T315/T444, "NA")</f>
        <v>4.0000106648939247E-3</v>
      </c>
      <c r="V315" s="9"/>
      <c r="W315" s="10">
        <f t="shared" si="78"/>
        <v>-99.019999999999982</v>
      </c>
      <c r="X315" s="8">
        <f>IFERROR(W315/W444, "NA")</f>
        <v>-1.0156126599779656E-2</v>
      </c>
      <c r="Y315" s="9"/>
      <c r="Z315" s="7">
        <v>1366.56</v>
      </c>
      <c r="AA315" s="8">
        <f>IFERROR(Z315/Z444, "NA")</f>
        <v>5.1280263549093623E-3</v>
      </c>
      <c r="AB315" s="9"/>
      <c r="AC315" s="10">
        <f t="shared" si="79"/>
        <v>142.34999999999991</v>
      </c>
      <c r="AD315" s="8">
        <f>IFERROR(AC315/AC444, "NA")</f>
        <v>5.7964723569144646E-3</v>
      </c>
    </row>
    <row r="316" spans="1:30" ht="16.5" customHeight="1" x14ac:dyDescent="0.45">
      <c r="A316" s="6" t="s">
        <v>288</v>
      </c>
      <c r="B316" s="7">
        <v>294</v>
      </c>
      <c r="C316" s="8">
        <f>IFERROR(B316/B444, "NA")</f>
        <v>2.0965117040261726E-3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-294</v>
      </c>
      <c r="I316" s="8">
        <f>IFERROR(H316/H444, "NA")</f>
        <v>-2.5542251575539913E-2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-294</v>
      </c>
      <c r="O316" s="8">
        <f>IFERROR(N316/N444, "NA")</f>
        <v>-1.4750564936602673E-2</v>
      </c>
      <c r="P316" s="9"/>
      <c r="Q316" s="7">
        <v>294</v>
      </c>
      <c r="R316" s="8">
        <f>IFERROR(Q316/Q444, "NA")</f>
        <v>1.0101477588480439E-3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-3.0154526563676221E-2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-1.1971639430508279E-2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2.9563667423645255E-3</v>
      </c>
      <c r="D318" s="9"/>
      <c r="E318" s="7">
        <v>415</v>
      </c>
      <c r="F318" s="8">
        <f>IFERROR(E318/E444, "NA")</f>
        <v>3.2239870854069135E-3</v>
      </c>
      <c r="G318" s="9"/>
      <c r="H318" s="10">
        <f t="shared" si="76"/>
        <v>0.42000000000001592</v>
      </c>
      <c r="I318" s="8">
        <f>IFERROR(H318/H444, "NA")</f>
        <v>3.6488930822201259E-5</v>
      </c>
      <c r="J318" s="9"/>
      <c r="K318" s="7">
        <v>414.58</v>
      </c>
      <c r="L318" s="8">
        <f>IFERROR(K318/K444, "NA")</f>
        <v>3.4461748191003437E-3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1243.74</v>
      </c>
      <c r="R318" s="8">
        <f>IFERROR(Q318/Q444, "NA")</f>
        <v>4.2733373251349184E-3</v>
      </c>
      <c r="S318" s="9"/>
      <c r="T318" s="7">
        <v>1245</v>
      </c>
      <c r="U318" s="8">
        <f>IFERROR(T318/T444, "NA")</f>
        <v>4.4259309785840044E-3</v>
      </c>
      <c r="V318" s="9"/>
      <c r="W318" s="10">
        <f t="shared" si="78"/>
        <v>1.2599999999999909</v>
      </c>
      <c r="X318" s="8">
        <f>IFERROR(W318/W444, "NA")</f>
        <v>1.2923368527289716E-4</v>
      </c>
      <c r="Y318" s="9"/>
      <c r="Z318" s="7">
        <v>1243.74</v>
      </c>
      <c r="AA318" s="8">
        <f>IFERROR(Z318/Z444, "NA")</f>
        <v>4.6671434102088238E-3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318.51</v>
      </c>
      <c r="C319" s="8">
        <f>IFERROR(B319/B444, "NA")</f>
        <v>2.2712923226169256E-3</v>
      </c>
      <c r="D319" s="9"/>
      <c r="E319" s="7">
        <v>309</v>
      </c>
      <c r="F319" s="8">
        <f>IFERROR(E319/E444, "NA")</f>
        <v>2.4005108660017744E-3</v>
      </c>
      <c r="G319" s="9"/>
      <c r="H319" s="10">
        <f t="shared" si="76"/>
        <v>-9.5099999999999909</v>
      </c>
      <c r="I319" s="8">
        <f>IFERROR(H319/H444, "NA")</f>
        <v>-8.2621364790266784E-4</v>
      </c>
      <c r="J319" s="9"/>
      <c r="K319" s="7">
        <v>268.01</v>
      </c>
      <c r="L319" s="8">
        <f>IFERROR(K319/K444, "NA")</f>
        <v>2.2278192707489101E-3</v>
      </c>
      <c r="M319" s="9"/>
      <c r="N319" s="10">
        <f t="shared" si="77"/>
        <v>-50.5</v>
      </c>
      <c r="O319" s="8">
        <f>IFERROR(N319/N444, "NA")</f>
        <v>-2.5336854738042007E-3</v>
      </c>
      <c r="P319" s="9"/>
      <c r="Q319" s="7">
        <v>955.58</v>
      </c>
      <c r="R319" s="8">
        <f>IFERROR(Q319/Q444, "NA")</f>
        <v>3.2832550863946047E-3</v>
      </c>
      <c r="S319" s="9"/>
      <c r="T319" s="7">
        <v>927</v>
      </c>
      <c r="U319" s="8">
        <f>IFERROR(T319/T444, "NA")</f>
        <v>3.295452222608331E-3</v>
      </c>
      <c r="V319" s="9"/>
      <c r="W319" s="10">
        <f t="shared" si="78"/>
        <v>-28.580000000000041</v>
      </c>
      <c r="X319" s="8">
        <f>IFERROR(W319/W444, "NA")</f>
        <v>-2.9313481945233595E-3</v>
      </c>
      <c r="Y319" s="9"/>
      <c r="Z319" s="7">
        <v>785.15</v>
      </c>
      <c r="AA319" s="8">
        <f>IFERROR(Z319/Z444, "NA")</f>
        <v>2.9462810945418316E-3</v>
      </c>
      <c r="AB319" s="9"/>
      <c r="AC319" s="10">
        <f t="shared" si="79"/>
        <v>-170.43000000000006</v>
      </c>
      <c r="AD319" s="8">
        <f>IFERROR(AC319/AC444, "NA")</f>
        <v>-6.9398860821140371E-3</v>
      </c>
    </row>
    <row r="320" spans="1:30" ht="16.5" customHeight="1" x14ac:dyDescent="0.45">
      <c r="A320" s="6" t="s">
        <v>292</v>
      </c>
      <c r="B320" s="7">
        <v>1052.75</v>
      </c>
      <c r="C320" s="8">
        <f>IFERROR(B320/B444, "NA")</f>
        <v>7.5071520286175272E-3</v>
      </c>
      <c r="D320" s="9"/>
      <c r="E320" s="7">
        <v>1133</v>
      </c>
      <c r="F320" s="8">
        <f>IFERROR(E320/E444, "NA")</f>
        <v>8.8018731753398381E-3</v>
      </c>
      <c r="G320" s="9"/>
      <c r="H320" s="10">
        <f t="shared" si="76"/>
        <v>80.25</v>
      </c>
      <c r="I320" s="8">
        <f>IFERROR(H320/H444, "NA")</f>
        <v>6.971992139241762E-3</v>
      </c>
      <c r="J320" s="9"/>
      <c r="K320" s="7">
        <v>1379.47</v>
      </c>
      <c r="L320" s="8">
        <f>IFERROR(K320/K444, "NA")</f>
        <v>1.1466773066004996E-2</v>
      </c>
      <c r="M320" s="9"/>
      <c r="N320" s="10">
        <f t="shared" si="77"/>
        <v>326.72000000000003</v>
      </c>
      <c r="O320" s="8">
        <f>IFERROR(N320/N444, "NA")</f>
        <v>1.6392192435669476E-2</v>
      </c>
      <c r="P320" s="9"/>
      <c r="Q320" s="7">
        <v>3339.58</v>
      </c>
      <c r="R320" s="8">
        <f>IFERROR(Q320/Q444, "NA")</f>
        <v>1.1474385212563777E-2</v>
      </c>
      <c r="S320" s="9"/>
      <c r="T320" s="7">
        <v>3399</v>
      </c>
      <c r="U320" s="8">
        <f>IFERROR(T320/T444, "NA")</f>
        <v>1.2083324816230546E-2</v>
      </c>
      <c r="V320" s="9"/>
      <c r="W320" s="10">
        <f t="shared" si="78"/>
        <v>59.420000000000073</v>
      </c>
      <c r="X320" s="8">
        <f>IFERROR(W320/W444, "NA")</f>
        <v>6.0944964912028688E-3</v>
      </c>
      <c r="Y320" s="9"/>
      <c r="Z320" s="7">
        <v>3491.61</v>
      </c>
      <c r="AA320" s="8">
        <f>IFERROR(Z320/Z444, "NA")</f>
        <v>1.3102291960151826E-2</v>
      </c>
      <c r="AB320" s="9"/>
      <c r="AC320" s="10">
        <f t="shared" si="79"/>
        <v>152.0300000000002</v>
      </c>
      <c r="AD320" s="8">
        <f>IFERROR(AC320/AC444, "NA")</f>
        <v>6.1906406211570614E-3</v>
      </c>
    </row>
    <row r="321" spans="1:30" ht="16.5" customHeight="1" x14ac:dyDescent="0.45">
      <c r="A321" s="6" t="s">
        <v>293</v>
      </c>
      <c r="B321" s="7">
        <v>985.71</v>
      </c>
      <c r="C321" s="8">
        <f>IFERROR(B321/B444, "NA")</f>
        <v>7.0290903121620358E-3</v>
      </c>
      <c r="D321" s="9"/>
      <c r="E321" s="7">
        <v>1544.67</v>
      </c>
      <c r="F321" s="8">
        <f>IFERROR(E321/E444, "NA")</f>
        <v>1.1999990677627704E-2</v>
      </c>
      <c r="G321" s="9"/>
      <c r="H321" s="10">
        <f t="shared" si="76"/>
        <v>558.96</v>
      </c>
      <c r="I321" s="8">
        <f>IFERROR(H321/H444, "NA")</f>
        <v>4.8561554219944868E-2</v>
      </c>
      <c r="J321" s="9"/>
      <c r="K321" s="7">
        <v>2437.16</v>
      </c>
      <c r="L321" s="8">
        <f>IFERROR(K321/K444, "NA")</f>
        <v>2.025876651579573E-2</v>
      </c>
      <c r="M321" s="9"/>
      <c r="N321" s="10">
        <f t="shared" si="77"/>
        <v>1451.4499999999998</v>
      </c>
      <c r="O321" s="8">
        <f>IFERROR(N321/N444, "NA")</f>
        <v>7.2822134276299133E-2</v>
      </c>
      <c r="P321" s="9"/>
      <c r="Q321" s="7">
        <v>2703.73</v>
      </c>
      <c r="R321" s="8">
        <f>IFERROR(Q321/Q444, "NA")</f>
        <v>9.2896829933000746E-3</v>
      </c>
      <c r="S321" s="9"/>
      <c r="T321" s="7">
        <v>3307.37</v>
      </c>
      <c r="U321" s="8">
        <f>IFERROR(T321/T444, "NA")</f>
        <v>1.1757583406136047E-2</v>
      </c>
      <c r="V321" s="9"/>
      <c r="W321" s="10">
        <f t="shared" si="78"/>
        <v>603.63999999999987</v>
      </c>
      <c r="X321" s="8">
        <f>IFERROR(W321/W444, "NA")</f>
        <v>6.1913191887406502E-2</v>
      </c>
      <c r="Y321" s="9"/>
      <c r="Z321" s="7">
        <v>6002.03</v>
      </c>
      <c r="AA321" s="8">
        <f>IFERROR(Z321/Z444, "NA")</f>
        <v>2.2522661297679311E-2</v>
      </c>
      <c r="AB321" s="9"/>
      <c r="AC321" s="10">
        <f t="shared" si="79"/>
        <v>3298.2999999999997</v>
      </c>
      <c r="AD321" s="8">
        <f>IFERROR(AC321/AC444, "NA")</f>
        <v>0.13430632086273964</v>
      </c>
    </row>
    <row r="322" spans="1:30" ht="16.5" customHeight="1" x14ac:dyDescent="0.45">
      <c r="A322" s="6" t="s">
        <v>294</v>
      </c>
      <c r="B322" s="7">
        <v>316.11</v>
      </c>
      <c r="C322" s="8">
        <f>IFERROR(B322/B444, "NA")</f>
        <v>2.2541779413595693E-3</v>
      </c>
      <c r="D322" s="9"/>
      <c r="E322" s="7">
        <v>354</v>
      </c>
      <c r="F322" s="8">
        <f>IFERROR(E322/E444, "NA")</f>
        <v>2.7500998270699939E-3</v>
      </c>
      <c r="G322" s="9"/>
      <c r="H322" s="10">
        <f t="shared" si="76"/>
        <v>37.889999999999986</v>
      </c>
      <c r="I322" s="8">
        <f>IFERROR(H322/H444, "NA")</f>
        <v>3.2918228306027448E-3</v>
      </c>
      <c r="J322" s="9"/>
      <c r="K322" s="7">
        <v>331.33</v>
      </c>
      <c r="L322" s="8">
        <f>IFERROR(K322/K444, "NA")</f>
        <v>2.7541634975457494E-3</v>
      </c>
      <c r="M322" s="9"/>
      <c r="N322" s="10">
        <f t="shared" si="77"/>
        <v>15.21999999999997</v>
      </c>
      <c r="O322" s="8">
        <f>IFERROR(N322/N444, "NA")</f>
        <v>7.6361768141187838E-4</v>
      </c>
      <c r="P322" s="9"/>
      <c r="Q322" s="7">
        <v>1259.8499999999999</v>
      </c>
      <c r="R322" s="8">
        <f>IFERROR(Q322/Q444, "NA")</f>
        <v>4.3286892992677141E-3</v>
      </c>
      <c r="S322" s="9"/>
      <c r="T322" s="7">
        <v>1062</v>
      </c>
      <c r="U322" s="8">
        <f>IFERROR(T322/T444, "NA")</f>
        <v>3.7753724492017773E-3</v>
      </c>
      <c r="V322" s="9"/>
      <c r="W322" s="10">
        <f t="shared" si="78"/>
        <v>-197.84999999999991</v>
      </c>
      <c r="X322" s="8">
        <f>IFERROR(W322/W444, "NA")</f>
        <v>-2.029276558035149E-2</v>
      </c>
      <c r="Y322" s="9"/>
      <c r="Z322" s="7">
        <v>1167.97</v>
      </c>
      <c r="AA322" s="8">
        <f>IFERROR(Z322/Z444, "NA")</f>
        <v>4.3828159332510008E-3</v>
      </c>
      <c r="AB322" s="9"/>
      <c r="AC322" s="10">
        <f t="shared" si="79"/>
        <v>-91.879999999999882</v>
      </c>
      <c r="AD322" s="8">
        <f>IFERROR(AC322/AC444, "NA")</f>
        <v>-3.7413409213438754E-3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4143.7599999999993</v>
      </c>
      <c r="C324" s="15">
        <f>IFERROR(B324/B444, "NA")</f>
        <v>2.9549120199576499E-2</v>
      </c>
      <c r="D324" s="2"/>
      <c r="E324" s="14">
        <f>IFERROR(E297+E298+E299+E300+E301+E302+E303+E304+E305+E306+E307+E308+E309+E310+E311+E312+E313+E314+E315+E316+E317+E318+E319+E320+E321+E322+E323, "NA")</f>
        <v>4534.5599999999995</v>
      </c>
      <c r="F324" s="15">
        <f>IFERROR(E324/E444, "NA")</f>
        <v>3.5227380428922345E-2</v>
      </c>
      <c r="G324" s="2"/>
      <c r="H324" s="14">
        <f t="shared" si="76"/>
        <v>390.80000000000018</v>
      </c>
      <c r="I324" s="15">
        <f>IFERROR(H324/H444, "NA")</f>
        <v>3.3952081345989808E-2</v>
      </c>
      <c r="J324" s="2"/>
      <c r="K324" s="14">
        <f>IFERROR(K297+K298+K299+K300+K301+K302+K303+K304+K305+K306+K307+K308+K309+K310+K311+K312+K313+K314+K315+K316+K317+K318+K319+K320+K321+K322+K323, "NA")</f>
        <v>5286.07</v>
      </c>
      <c r="L324" s="15">
        <f>IFERROR(K324/K444, "NA")</f>
        <v>4.3940183621983098E-2</v>
      </c>
      <c r="M324" s="2"/>
      <c r="N324" s="14">
        <f t="shared" si="77"/>
        <v>1142.3100000000004</v>
      </c>
      <c r="O324" s="15">
        <f>IFERROR(N324/N444, "NA")</f>
        <v>5.7311965417451038E-2</v>
      </c>
      <c r="P324" s="2"/>
      <c r="Q324" s="14">
        <f>IFERROR(Q297+Q298+Q299+Q300+Q301+Q302+Q303+Q304+Q305+Q306+Q307+Q308+Q309+Q310+Q311+Q312+Q313+Q314+Q315+Q316+Q317+Q318+Q319+Q320+Q321+Q322+Q323, "NA")</f>
        <v>12004.51</v>
      </c>
      <c r="R324" s="15">
        <f>IFERROR(Q324/Q444, "NA")</f>
        <v>4.1246016573363714E-2</v>
      </c>
      <c r="S324" s="2"/>
      <c r="T324" s="14">
        <f>IFERROR(T297+T298+T299+T300+T301+T302+T303+T304+T305+T306+T307+T308+T309+T310+T311+T312+T313+T314+T315+T316+T317+T318+T319+T320+T321+T322+T323, "NA")</f>
        <v>11857.560000000001</v>
      </c>
      <c r="U324" s="15">
        <f>IFERROR(T324/T444, "NA")</f>
        <v>4.2153206533669517E-2</v>
      </c>
      <c r="V324" s="2"/>
      <c r="W324" s="14">
        <f t="shared" si="78"/>
        <v>-146.94999999999891</v>
      </c>
      <c r="X324" s="15">
        <f>IFERROR(W324/W444, "NA")</f>
        <v>-1.5072134960993836E-2</v>
      </c>
      <c r="Y324" s="2"/>
      <c r="Z324" s="14">
        <f>IFERROR(Z297+Z298+Z299+Z300+Z301+Z302+Z303+Z304+Z305+Z306+Z307+Z308+Z309+Z310+Z311+Z312+Z313+Z314+Z315+Z316+Z317+Z318+Z319+Z320+Z321+Z322+Z323, "NA")</f>
        <v>14147.269999999999</v>
      </c>
      <c r="AA324" s="15">
        <f>IFERROR(Z324/Z444, "NA")</f>
        <v>5.3087733732890302E-2</v>
      </c>
      <c r="AB324" s="2"/>
      <c r="AC324" s="14">
        <f t="shared" si="79"/>
        <v>2142.7599999999984</v>
      </c>
      <c r="AD324" s="15">
        <f>IFERROR(AC324/AC444, "NA")</f>
        <v>8.7252891517401024E-2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36676.799999999996</v>
      </c>
      <c r="C325" s="15">
        <f>IFERROR(B325/B444, "NA")</f>
        <v>0.26154197437492216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30773.53</v>
      </c>
      <c r="F325" s="15">
        <f>IFERROR(E325/E444, "NA")</f>
        <v>0.23906858624670413</v>
      </c>
      <c r="G325" s="2"/>
      <c r="H325" s="14">
        <f t="shared" si="76"/>
        <v>-5903.2699999999968</v>
      </c>
      <c r="I325" s="15">
        <f>IFERROR(H325/H444, "NA")</f>
        <v>-0.51286669203516133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35781.530000000013</v>
      </c>
      <c r="L325" s="15">
        <f>IFERROR(K325/K444, "NA")</f>
        <v>0.29743211846901341</v>
      </c>
      <c r="M325" s="2"/>
      <c r="N325" s="14">
        <f t="shared" si="77"/>
        <v>-895.26999999998225</v>
      </c>
      <c r="O325" s="15">
        <f>IFERROR(N325/N444, "NA")</f>
        <v>-4.4917477111537457E-2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85419.040000000023</v>
      </c>
      <c r="R325" s="15">
        <f>IFERROR(Q325/Q444, "NA")</f>
        <v>0.29348929190119538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71220.990000000005</v>
      </c>
      <c r="U325" s="15">
        <f>IFERROR(T325/T444, "NA")</f>
        <v>0.25318810117784868</v>
      </c>
      <c r="V325" s="2"/>
      <c r="W325" s="14">
        <f t="shared" si="78"/>
        <v>-14198.050000000017</v>
      </c>
      <c r="X325" s="15">
        <f>IFERROR(W325/W444, "NA")</f>
        <v>-1.4562431152292643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87346.190000000017</v>
      </c>
      <c r="AA325" s="15">
        <f>IFERROR(Z325/Z444, "NA")</f>
        <v>0.32776721426129896</v>
      </c>
      <c r="AB325" s="2"/>
      <c r="AC325" s="14">
        <f t="shared" si="79"/>
        <v>1927.1499999999942</v>
      </c>
      <c r="AD325" s="15">
        <f>IFERROR(AC325/AC444, "NA")</f>
        <v>7.8473282069741371E-2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8.159224216507191E-2</v>
      </c>
      <c r="D329" s="9"/>
      <c r="E329" s="7">
        <v>11441.92</v>
      </c>
      <c r="F329" s="8">
        <f>IFERROR(E329/E444, "NA")</f>
        <v>8.8888198342792948E-2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5393.13</v>
      </c>
      <c r="L329" s="8">
        <f>IFERROR(K329/K444, "NA")</f>
        <v>4.4830114337726462E-2</v>
      </c>
      <c r="M329" s="9"/>
      <c r="N329" s="10">
        <f t="shared" si="81"/>
        <v>-6048.79</v>
      </c>
      <c r="O329" s="8">
        <f>IFERROR(N329/N444, "NA")</f>
        <v>-0.3034798288533091</v>
      </c>
      <c r="P329" s="9"/>
      <c r="Q329" s="7">
        <v>34325.760000000002</v>
      </c>
      <c r="R329" s="8">
        <f>IFERROR(Q329/Q444, "NA")</f>
        <v>0.11793908005018991</v>
      </c>
      <c r="S329" s="9"/>
      <c r="T329" s="7">
        <v>34325.760000000002</v>
      </c>
      <c r="U329" s="8">
        <f>IFERROR(T329/T444, "NA")</f>
        <v>0.12202686309031299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16179.39</v>
      </c>
      <c r="AA329" s="8">
        <f>IFERROR(Z329/Z444, "NA")</f>
        <v>6.0713278836170372E-2</v>
      </c>
      <c r="AB329" s="9"/>
      <c r="AC329" s="10">
        <f t="shared" si="83"/>
        <v>-18146.370000000003</v>
      </c>
      <c r="AD329" s="8">
        <f>IFERROR(AC329/AC444, "NA")</f>
        <v>-0.73891768235575706</v>
      </c>
    </row>
    <row r="330" spans="1:30" ht="16.5" customHeight="1" x14ac:dyDescent="0.45">
      <c r="A330" s="6" t="s">
        <v>301</v>
      </c>
      <c r="B330" s="7">
        <v>1064.26</v>
      </c>
      <c r="C330" s="8">
        <f>IFERROR(B330/B444, "NA")</f>
        <v>7.5892297487309326E-3</v>
      </c>
      <c r="D330" s="9"/>
      <c r="E330" s="7">
        <v>1183.3699999999999</v>
      </c>
      <c r="F330" s="8">
        <f>IFERROR(E330/E444, "NA")</f>
        <v>9.193179752428865E-3</v>
      </c>
      <c r="G330" s="9"/>
      <c r="H330" s="10">
        <f t="shared" si="80"/>
        <v>119.1099999999999</v>
      </c>
      <c r="I330" s="8">
        <f>IFERROR(H330/H444, "NA")</f>
        <v>1.0348087024362438E-2</v>
      </c>
      <c r="J330" s="9"/>
      <c r="K330" s="7">
        <v>-1183.27</v>
      </c>
      <c r="L330" s="8">
        <f>IFERROR(K330/K444, "NA")</f>
        <v>-9.8358707081790328E-3</v>
      </c>
      <c r="M330" s="9"/>
      <c r="N330" s="10">
        <f t="shared" si="81"/>
        <v>-2247.5299999999997</v>
      </c>
      <c r="O330" s="8">
        <f>IFERROR(N330/N444, "NA")</f>
        <v>-0.11276305174136939</v>
      </c>
      <c r="P330" s="9"/>
      <c r="Q330" s="7">
        <v>3431</v>
      </c>
      <c r="R330" s="8">
        <f>IFERROR(Q330/Q444, "NA")</f>
        <v>1.1788493063291288E-2</v>
      </c>
      <c r="S330" s="9"/>
      <c r="T330" s="7">
        <v>3550.11</v>
      </c>
      <c r="U330" s="8">
        <f>IFERROR(T330/T444, "NA")</f>
        <v>1.2620515523197477E-2</v>
      </c>
      <c r="V330" s="9"/>
      <c r="W330" s="10">
        <f t="shared" si="82"/>
        <v>119.11000000000013</v>
      </c>
      <c r="X330" s="8">
        <f>IFERROR(W330/W444, "NA")</f>
        <v>1.2216685914964213E-2</v>
      </c>
      <c r="Y330" s="9"/>
      <c r="Z330" s="7">
        <v>869.59</v>
      </c>
      <c r="AA330" s="8">
        <f>IFERROR(Z330/Z444, "NA")</f>
        <v>3.2631428096575581E-3</v>
      </c>
      <c r="AB330" s="9"/>
      <c r="AC330" s="10">
        <f t="shared" si="83"/>
        <v>-2561.41</v>
      </c>
      <c r="AD330" s="8">
        <f>IFERROR(AC330/AC444, "NA")</f>
        <v>-0.10430026174727283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-151.02000000000001</v>
      </c>
      <c r="C333" s="8">
        <f>IFERROR(B333/B444, "NA")</f>
        <v>-1.0769224406191585E-3</v>
      </c>
      <c r="D333" s="9"/>
      <c r="E333" s="7">
        <v>860</v>
      </c>
      <c r="F333" s="8">
        <f>IFERROR(E333/E444, "NA")</f>
        <v>6.6810334781926403E-3</v>
      </c>
      <c r="G333" s="9"/>
      <c r="H333" s="10">
        <f t="shared" si="80"/>
        <v>1011.02</v>
      </c>
      <c r="I333" s="8">
        <f>IFERROR(H333/H444, "NA")</f>
        <v>8.7835806761572668E-2</v>
      </c>
      <c r="J333" s="9"/>
      <c r="K333" s="7">
        <v>2149.19</v>
      </c>
      <c r="L333" s="8">
        <f>IFERROR(K333/K444, "NA")</f>
        <v>1.7865030776839857E-2</v>
      </c>
      <c r="M333" s="9"/>
      <c r="N333" s="10">
        <f t="shared" si="81"/>
        <v>2300.21</v>
      </c>
      <c r="O333" s="8">
        <f>IFERROR(N333/N444, "NA")</f>
        <v>0.11540611215245862</v>
      </c>
      <c r="P333" s="9"/>
      <c r="Q333" s="7">
        <v>1412.5</v>
      </c>
      <c r="R333" s="8">
        <f>IFERROR(Q333/Q444, "NA")</f>
        <v>4.853175882220619E-3</v>
      </c>
      <c r="S333" s="9"/>
      <c r="T333" s="7">
        <v>2580</v>
      </c>
      <c r="U333" s="8">
        <f>IFERROR(T333/T444, "NA")</f>
        <v>9.171808774896973E-3</v>
      </c>
      <c r="V333" s="9"/>
      <c r="W333" s="10">
        <f t="shared" si="82"/>
        <v>1167.5</v>
      </c>
      <c r="X333" s="8">
        <f>IFERROR(W333/W444, "NA")</f>
        <v>0.11974629171119724</v>
      </c>
      <c r="Y333" s="9"/>
      <c r="Z333" s="7">
        <v>3869.51</v>
      </c>
      <c r="AA333" s="8">
        <f>IFERROR(Z333/Z444, "NA")</f>
        <v>1.4520364463020524E-2</v>
      </c>
      <c r="AB333" s="9"/>
      <c r="AC333" s="10">
        <f t="shared" si="83"/>
        <v>2457.0100000000002</v>
      </c>
      <c r="AD333" s="8">
        <f>IFERROR(AC333/AC444, "NA")</f>
        <v>0.10004910815358214</v>
      </c>
    </row>
    <row r="334" spans="1:30" ht="16.5" customHeight="1" x14ac:dyDescent="0.45">
      <c r="A334" s="6" t="s">
        <v>305</v>
      </c>
      <c r="B334" s="7">
        <v>1762.06</v>
      </c>
      <c r="C334" s="8">
        <f>IFERROR(B334/B444, "NA")</f>
        <v>1.2565236099307337E-2</v>
      </c>
      <c r="D334" s="9"/>
      <c r="E334" s="7">
        <v>1762.06</v>
      </c>
      <c r="F334" s="8">
        <f>IFERROR(E334/E444, "NA")</f>
        <v>1.3688816105330376E-2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830.54</v>
      </c>
      <c r="L334" s="8">
        <f>IFERROR(K334/K444, "NA")</f>
        <v>6.9038208168642947E-3</v>
      </c>
      <c r="M334" s="9"/>
      <c r="N334" s="10">
        <f t="shared" si="81"/>
        <v>-931.52</v>
      </c>
      <c r="O334" s="8">
        <f>IFERROR(N334/N444, "NA")</f>
        <v>-4.6736211733823543E-2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1073.43</v>
      </c>
      <c r="C338" s="8">
        <f>IFERROR(B338/B444, "NA")</f>
        <v>7.6546209471184167E-3</v>
      </c>
      <c r="D338" s="9"/>
      <c r="E338" s="7">
        <v>1544.67</v>
      </c>
      <c r="F338" s="8">
        <f>IFERROR(E338/E444, "NA")</f>
        <v>1.1999990677627704E-2</v>
      </c>
      <c r="G338" s="9"/>
      <c r="H338" s="10">
        <f t="shared" si="84"/>
        <v>471.24</v>
      </c>
      <c r="I338" s="8">
        <f>IFERROR(H338/H444, "NA")</f>
        <v>4.0940580382508265E-2</v>
      </c>
      <c r="J338" s="9"/>
      <c r="K338" s="7">
        <v>820.75</v>
      </c>
      <c r="L338" s="8">
        <f>IFERROR(K338/K444, "NA")</f>
        <v>6.8224419479391363E-3</v>
      </c>
      <c r="M338" s="9"/>
      <c r="N338" s="10">
        <f t="shared" si="85"/>
        <v>-252.68000000000006</v>
      </c>
      <c r="O338" s="8">
        <f>IFERROR(N338/N444, "NA")</f>
        <v>-1.2677458327145456E-2</v>
      </c>
      <c r="P338" s="9"/>
      <c r="Q338" s="7">
        <v>3098.26</v>
      </c>
      <c r="R338" s="8">
        <f>IFERROR(Q338/Q444, "NA")</f>
        <v>1.0645239439892996E-2</v>
      </c>
      <c r="S338" s="9"/>
      <c r="T338" s="7">
        <v>3375.56</v>
      </c>
      <c r="U338" s="8">
        <f>IFERROR(T338/T444, "NA")</f>
        <v>1.1999996445035358E-2</v>
      </c>
      <c r="V338" s="9"/>
      <c r="W338" s="10">
        <f t="shared" si="86"/>
        <v>277.29999999999973</v>
      </c>
      <c r="X338" s="8">
        <f>IFERROR(W338/W444, "NA")</f>
        <v>2.8441667401725879E-2</v>
      </c>
      <c r="Y338" s="9"/>
      <c r="Z338" s="7">
        <v>2651.87</v>
      </c>
      <c r="AA338" s="8">
        <f>IFERROR(Z338/Z444, "NA")</f>
        <v>9.9511614929410266E-3</v>
      </c>
      <c r="AB338" s="9"/>
      <c r="AC338" s="10">
        <f t="shared" si="87"/>
        <v>-446.39000000000033</v>
      </c>
      <c r="AD338" s="8">
        <f>IFERROR(AC338/AC444, "NA")</f>
        <v>-1.8176939201988419E-2</v>
      </c>
    </row>
    <row r="339" spans="1:30" ht="16.5" customHeight="1" x14ac:dyDescent="0.45">
      <c r="A339" s="12" t="s">
        <v>309</v>
      </c>
      <c r="B339" s="7">
        <v>476.93</v>
      </c>
      <c r="C339" s="8">
        <f>IFERROR(B339/B444, "NA")</f>
        <v>3.4009841054462669E-3</v>
      </c>
      <c r="D339" s="9"/>
      <c r="E339" s="7">
        <v>643.61</v>
      </c>
      <c r="F339" s="8">
        <f>IFERROR(E339/E444, "NA")</f>
        <v>4.9999766940692619E-3</v>
      </c>
      <c r="G339" s="9"/>
      <c r="H339" s="10">
        <f t="shared" si="84"/>
        <v>166.68</v>
      </c>
      <c r="I339" s="8">
        <f>IFERROR(H339/H444, "NA")</f>
        <v>1.448089283201018E-2</v>
      </c>
      <c r="J339" s="9"/>
      <c r="K339" s="7">
        <v>396.07</v>
      </c>
      <c r="L339" s="8">
        <f>IFERROR(K339/K444, "NA")</f>
        <v>3.2923114009384752E-3</v>
      </c>
      <c r="M339" s="9"/>
      <c r="N339" s="10">
        <f t="shared" si="85"/>
        <v>-80.860000000000014</v>
      </c>
      <c r="O339" s="8">
        <f>IFERROR(N339/N444, "NA")</f>
        <v>-4.0569070774615383E-3</v>
      </c>
      <c r="P339" s="9"/>
      <c r="Q339" s="7">
        <v>1890.24</v>
      </c>
      <c r="R339" s="8">
        <f>IFERROR(Q339/Q444, "NA")</f>
        <v>6.4946316315813825E-3</v>
      </c>
      <c r="S339" s="9"/>
      <c r="T339" s="7">
        <v>1406.48</v>
      </c>
      <c r="U339" s="8">
        <f>IFERROR(T339/T444, "NA")</f>
        <v>4.9999866688825948E-3</v>
      </c>
      <c r="V339" s="9"/>
      <c r="W339" s="10">
        <f t="shared" si="86"/>
        <v>-483.76</v>
      </c>
      <c r="X339" s="8">
        <f>IFERROR(W339/W444, "NA")</f>
        <v>-4.9617529831442207E-2</v>
      </c>
      <c r="Y339" s="9"/>
      <c r="Z339" s="7">
        <v>2041.05</v>
      </c>
      <c r="AA339" s="8">
        <f>IFERROR(Z339/Z444, "NA")</f>
        <v>7.659054993331982E-3</v>
      </c>
      <c r="AB339" s="9"/>
      <c r="AC339" s="10">
        <f t="shared" si="87"/>
        <v>150.80999999999995</v>
      </c>
      <c r="AD339" s="8">
        <f>IFERROR(AC339/AC444, "NA")</f>
        <v>6.1409623895066429E-3</v>
      </c>
    </row>
    <row r="340" spans="1:30" ht="16.5" customHeight="1" x14ac:dyDescent="0.45">
      <c r="A340" s="12" t="s">
        <v>310</v>
      </c>
      <c r="B340" s="7">
        <v>296.67</v>
      </c>
      <c r="C340" s="8">
        <f>IFERROR(B340/B444, "NA")</f>
        <v>2.1155514531749817E-3</v>
      </c>
      <c r="D340" s="9"/>
      <c r="E340" s="7">
        <v>514.89</v>
      </c>
      <c r="F340" s="8">
        <f>IFERROR(E340/E444, "NA")</f>
        <v>3.9999968925425681E-3</v>
      </c>
      <c r="G340" s="9"/>
      <c r="H340" s="10">
        <f t="shared" si="84"/>
        <v>218.21999999999997</v>
      </c>
      <c r="I340" s="8">
        <f>IFERROR(H340/H444, "NA")</f>
        <v>1.8958605914334421E-2</v>
      </c>
      <c r="J340" s="9"/>
      <c r="K340" s="7">
        <v>293.82</v>
      </c>
      <c r="L340" s="8">
        <f>IFERROR(K340/K444, "NA")</f>
        <v>2.4423635615516016E-3</v>
      </c>
      <c r="M340" s="9"/>
      <c r="N340" s="10">
        <f t="shared" si="85"/>
        <v>-2.8500000000000227</v>
      </c>
      <c r="O340" s="8">
        <f>IFERROR(N340/N444, "NA")</f>
        <v>-1.4299017030380257E-4</v>
      </c>
      <c r="P340" s="9"/>
      <c r="Q340" s="7">
        <v>1411.43</v>
      </c>
      <c r="R340" s="8">
        <f>IFERROR(Q340/Q444, "NA")</f>
        <v>4.8494994941186897E-3</v>
      </c>
      <c r="S340" s="9"/>
      <c r="T340" s="7">
        <v>1125.19</v>
      </c>
      <c r="U340" s="8">
        <f>IFERROR(T340/T444, "NA")</f>
        <v>4.0000106648939247E-3</v>
      </c>
      <c r="V340" s="9"/>
      <c r="W340" s="10">
        <f t="shared" si="86"/>
        <v>-286.24</v>
      </c>
      <c r="X340" s="8">
        <f>IFERROR(W340/W444, "NA")</f>
        <v>-2.9358611168662185E-2</v>
      </c>
      <c r="Y340" s="9"/>
      <c r="Z340" s="7">
        <v>1068.82</v>
      </c>
      <c r="AA340" s="8">
        <f>IFERROR(Z340/Z444, "NA")</f>
        <v>4.0107548359780941E-3</v>
      </c>
      <c r="AB340" s="9"/>
      <c r="AC340" s="10">
        <f t="shared" si="87"/>
        <v>-342.61000000000013</v>
      </c>
      <c r="AD340" s="8">
        <f>IFERROR(AC340/AC444, "NA")</f>
        <v>-1.3951031922743004E-2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1847.0300000000002</v>
      </c>
      <c r="C342" s="15">
        <f>IFERROR(B342/B444, "NA")</f>
        <v>1.3171156505739665E-2</v>
      </c>
      <c r="D342" s="2"/>
      <c r="E342" s="14">
        <f>IFERROR(E337+E338+E339+E340+E341, "NA")</f>
        <v>2703.17</v>
      </c>
      <c r="F342" s="15">
        <f>IFERROR(E342/E444, "NA")</f>
        <v>2.0999964264239536E-2</v>
      </c>
      <c r="G342" s="2"/>
      <c r="H342" s="14">
        <f t="shared" si="84"/>
        <v>856.13999999999987</v>
      </c>
      <c r="I342" s="15">
        <f>IFERROR(H342/H444, "NA")</f>
        <v>7.4380079128852847E-2</v>
      </c>
      <c r="J342" s="2"/>
      <c r="K342" s="14">
        <f>IFERROR(K337+K338+K339+K340+K341, "NA")</f>
        <v>1510.6399999999999</v>
      </c>
      <c r="L342" s="15">
        <f>IFERROR(K342/K444, "NA")</f>
        <v>1.2557116910429213E-2</v>
      </c>
      <c r="M342" s="2"/>
      <c r="N342" s="14">
        <f t="shared" si="85"/>
        <v>-336.39000000000033</v>
      </c>
      <c r="O342" s="15">
        <f>IFERROR(N342/N444, "NA")</f>
        <v>-1.687735557491081E-2</v>
      </c>
      <c r="P342" s="2"/>
      <c r="Q342" s="14">
        <f>IFERROR(Q337+Q338+Q339+Q340+Q341, "NA")</f>
        <v>6399.93</v>
      </c>
      <c r="R342" s="15">
        <f>IFERROR(Q342/Q444, "NA")</f>
        <v>2.1989370565593067E-2</v>
      </c>
      <c r="S342" s="2"/>
      <c r="T342" s="14">
        <f>IFERROR(T337+T338+T339+T340+T341, "NA")</f>
        <v>5907.23</v>
      </c>
      <c r="U342" s="15">
        <f>IFERROR(T342/T444, "NA")</f>
        <v>2.0999993778811878E-2</v>
      </c>
      <c r="V342" s="2"/>
      <c r="W342" s="14">
        <f t="shared" si="86"/>
        <v>-492.70000000000073</v>
      </c>
      <c r="X342" s="15">
        <f>IFERROR(W342/W444, "NA")</f>
        <v>-5.0534473598378558E-2</v>
      </c>
      <c r="Y342" s="2"/>
      <c r="Z342" s="14">
        <f>IFERROR(Z337+Z338+Z339+Z340+Z341, "NA")</f>
        <v>5761.74</v>
      </c>
      <c r="AA342" s="15">
        <f>IFERROR(Z342/Z444, "NA")</f>
        <v>2.1620971322251104E-2</v>
      </c>
      <c r="AB342" s="2"/>
      <c r="AC342" s="14">
        <f t="shared" si="87"/>
        <v>-638.19000000000051</v>
      </c>
      <c r="AD342" s="15">
        <f>IFERROR(AC342/AC444, "NA")</f>
        <v>-2.5987008735224779E-2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15964.25</v>
      </c>
      <c r="C343" s="15">
        <f>IFERROR(B343/B444, "NA")</f>
        <v>0.11384094207823069</v>
      </c>
      <c r="D343" s="2"/>
      <c r="E343" s="14">
        <f>IFERROR(E328+E329+E330+E331+E332+E333+E334+E335+E337+E338+E339+E340+E341, "NA")</f>
        <v>17950.52</v>
      </c>
      <c r="F343" s="15">
        <f>IFERROR(E343/E444, "NA")</f>
        <v>0.13945119194298436</v>
      </c>
      <c r="G343" s="2"/>
      <c r="H343" s="14">
        <f t="shared" si="84"/>
        <v>1986.2700000000004</v>
      </c>
      <c r="I343" s="15">
        <f>IFERROR(H343/H444, "NA")</f>
        <v>0.17256397291478801</v>
      </c>
      <c r="J343" s="2"/>
      <c r="K343" s="14">
        <f>IFERROR(K328+K329+K330+K331+K332+K333+K334+K335+K337+K338+K339+K340+K341, "NA")</f>
        <v>8700.2300000000014</v>
      </c>
      <c r="L343" s="15">
        <f>IFERROR(K343/K444, "NA")</f>
        <v>7.2320212133680811E-2</v>
      </c>
      <c r="M343" s="2"/>
      <c r="N343" s="14">
        <f t="shared" si="85"/>
        <v>-7264.0199999999986</v>
      </c>
      <c r="O343" s="15">
        <f>IFERROR(N343/N444, "NA")</f>
        <v>-0.36445033575095415</v>
      </c>
      <c r="P343" s="2"/>
      <c r="Q343" s="14">
        <f>IFERROR(Q328+Q329+Q330+Q331+Q332+Q333+Q334+Q335+Q337+Q338+Q339+Q340+Q341, "NA")</f>
        <v>45569.19</v>
      </c>
      <c r="R343" s="15">
        <f>IFERROR(Q343/Q444, "NA")</f>
        <v>0.15657011956129488</v>
      </c>
      <c r="S343" s="2"/>
      <c r="T343" s="14">
        <f>IFERROR(T328+T329+T330+T331+T332+T333+T334+T335+T337+T338+T339+T340+T341, "NA")</f>
        <v>46363.100000000006</v>
      </c>
      <c r="U343" s="15">
        <f>IFERROR(T343/T444, "NA")</f>
        <v>0.16481918116721933</v>
      </c>
      <c r="V343" s="2"/>
      <c r="W343" s="14">
        <f t="shared" si="86"/>
        <v>793.91000000000349</v>
      </c>
      <c r="X343" s="15">
        <f>IFERROR(W343/W444, "NA")</f>
        <v>8.1428504027783316E-2</v>
      </c>
      <c r="Y343" s="2"/>
      <c r="Z343" s="14">
        <f>IFERROR(Z328+Z329+Z330+Z331+Z332+Z333+Z334+Z335+Z337+Z338+Z339+Z340+Z341, "NA")</f>
        <v>26680.229999999996</v>
      </c>
      <c r="AA343" s="15">
        <f>IFERROR(Z343/Z444, "NA")</f>
        <v>0.10011775743109955</v>
      </c>
      <c r="AB343" s="2"/>
      <c r="AC343" s="14">
        <f t="shared" si="87"/>
        <v>-18888.960000000006</v>
      </c>
      <c r="AD343" s="15">
        <f>IFERROR(AC343/AC444, "NA")</f>
        <v>-0.76915584468467257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15964.25</v>
      </c>
      <c r="C344" s="15">
        <f>IFERROR(B344/B444, "NA")</f>
        <v>0.11384094207823069</v>
      </c>
      <c r="D344" s="2"/>
      <c r="E344" s="14">
        <f>IFERROR(E328+E329+E330+E331+E332+E333+E334+E335+E337+E338+E339+E340+E341, "NA")</f>
        <v>17950.52</v>
      </c>
      <c r="F344" s="15">
        <f>IFERROR(E344/E444, "NA")</f>
        <v>0.13945119194298436</v>
      </c>
      <c r="G344" s="2"/>
      <c r="H344" s="14">
        <f t="shared" si="84"/>
        <v>1986.2700000000004</v>
      </c>
      <c r="I344" s="15">
        <f>IFERROR(H344/H444, "NA")</f>
        <v>0.17256397291478801</v>
      </c>
      <c r="J344" s="2"/>
      <c r="K344" s="14">
        <f>IFERROR(K328+K329+K330+K331+K332+K333+K334+K335+K337+K338+K339+K340+K341, "NA")</f>
        <v>8700.2300000000014</v>
      </c>
      <c r="L344" s="15">
        <f>IFERROR(K344/K444, "NA")</f>
        <v>7.2320212133680811E-2</v>
      </c>
      <c r="M344" s="2"/>
      <c r="N344" s="14">
        <f t="shared" si="85"/>
        <v>-7264.0199999999986</v>
      </c>
      <c r="O344" s="15">
        <f>IFERROR(N344/N444, "NA")</f>
        <v>-0.36445033575095415</v>
      </c>
      <c r="P344" s="2"/>
      <c r="Q344" s="14">
        <f>IFERROR(Q328+Q329+Q330+Q331+Q332+Q333+Q334+Q335+Q337+Q338+Q339+Q340+Q341, "NA")</f>
        <v>45569.19</v>
      </c>
      <c r="R344" s="15">
        <f>IFERROR(Q344/Q444, "NA")</f>
        <v>0.15657011956129488</v>
      </c>
      <c r="S344" s="2"/>
      <c r="T344" s="14">
        <f>IFERROR(T328+T329+T330+T331+T332+T333+T334+T335+T337+T338+T339+T340+T341, "NA")</f>
        <v>46363.100000000006</v>
      </c>
      <c r="U344" s="15">
        <f>IFERROR(T344/T444, "NA")</f>
        <v>0.16481918116721933</v>
      </c>
      <c r="V344" s="2"/>
      <c r="W344" s="14">
        <f t="shared" si="86"/>
        <v>793.91000000000349</v>
      </c>
      <c r="X344" s="15">
        <f>IFERROR(W344/W444, "NA")</f>
        <v>8.1428504027783316E-2</v>
      </c>
      <c r="Y344" s="2"/>
      <c r="Z344" s="14">
        <f>IFERROR(Z328+Z329+Z330+Z331+Z332+Z333+Z334+Z335+Z337+Z338+Z339+Z340+Z341, "NA")</f>
        <v>26680.229999999996</v>
      </c>
      <c r="AA344" s="15">
        <f>IFERROR(Z344/Z444, "NA")</f>
        <v>0.10011775743109955</v>
      </c>
      <c r="AB344" s="2"/>
      <c r="AC344" s="14">
        <f t="shared" si="87"/>
        <v>-18888.960000000006</v>
      </c>
      <c r="AD344" s="15">
        <f>IFERROR(AC344/AC444, "NA")</f>
        <v>-0.76915584468467257</v>
      </c>
    </row>
    <row r="345" spans="1:30" ht="16.5" customHeight="1" x14ac:dyDescent="0.45">
      <c r="A345" s="22" t="s">
        <v>315</v>
      </c>
      <c r="B345" s="23">
        <f>IFERROR(B198-B325-B344, "NA")</f>
        <v>17637.200000000033</v>
      </c>
      <c r="C345" s="24">
        <f>IFERROR(B345/B444, "NA")</f>
        <v>0.12577073546343701</v>
      </c>
      <c r="D345" s="25"/>
      <c r="E345" s="23">
        <f>IFERROR(E198-E325-E344, "NA")</f>
        <v>11349.089999999986</v>
      </c>
      <c r="F345" s="24">
        <f>IFERROR(E345/E444, "NA")</f>
        <v>8.8167035159327001E-2</v>
      </c>
      <c r="G345" s="25"/>
      <c r="H345" s="23">
        <f>IFERROR(B345-E345, "NA")</f>
        <v>6288.1100000000479</v>
      </c>
      <c r="I345" s="24">
        <f>IFERROR(H345/H444, "NA")</f>
        <v>0.5463009780771072</v>
      </c>
      <c r="J345" s="25"/>
      <c r="K345" s="23">
        <f>IFERROR(K198-K325-K344, "NA")</f>
        <v>11591.099999999979</v>
      </c>
      <c r="L345" s="24">
        <f>IFERROR(K345/K444, "NA")</f>
        <v>9.6350419570828114E-2</v>
      </c>
      <c r="M345" s="25"/>
      <c r="N345" s="23">
        <f>IFERROR(B345-K345, "NA")</f>
        <v>6046.1000000000549</v>
      </c>
      <c r="O345" s="24">
        <f>IFERROR(N345/N444, "NA")</f>
        <v>0.30334486620134093</v>
      </c>
      <c r="P345" s="25"/>
      <c r="Q345" s="23">
        <f>IFERROR(Q198-Q325-Q344, "NA")</f>
        <v>6394.660000000018</v>
      </c>
      <c r="R345" s="24">
        <f>IFERROR(Q345/Q444, "NA")</f>
        <v>2.1971263495221941E-2</v>
      </c>
      <c r="S345" s="25"/>
      <c r="T345" s="23">
        <f>IFERROR(T198-T325-T344, "NA")</f>
        <v>6125.839999999982</v>
      </c>
      <c r="U345" s="24">
        <f>IFERROR(T345/T444, "NA")</f>
        <v>2.1777144599075468E-2</v>
      </c>
      <c r="V345" s="25"/>
      <c r="W345" s="23">
        <f>IFERROR(Q345-T345, "NA")</f>
        <v>268.82000000003609</v>
      </c>
      <c r="X345" s="24">
        <f>IFERROR(W345/W444, "NA")</f>
        <v>2.7571904186559627E-2</v>
      </c>
      <c r="Y345" s="25"/>
      <c r="Z345" s="23">
        <f>IFERROR(Z198-Z325-Z344, "NA")</f>
        <v>869.05999999998312</v>
      </c>
      <c r="AA345" s="24">
        <f>IFERROR(Z345/Z444, "NA")</f>
        <v>3.2611539807966307E-3</v>
      </c>
      <c r="AB345" s="25"/>
      <c r="AC345" s="23">
        <f>IFERROR(Q345-Z345, "NA")</f>
        <v>5525.6000000000349</v>
      </c>
      <c r="AD345" s="24">
        <f>IFERROR(AC345/AC444, "NA")</f>
        <v>0.22500166951434344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17637.200000000033</v>
      </c>
      <c r="C404" s="24">
        <f>IFERROR(B404/B444, "NA")</f>
        <v>0.12577073546343701</v>
      </c>
      <c r="D404" s="25"/>
      <c r="E404" s="23">
        <f>IFERROR(E345-E403, "NA")</f>
        <v>11349.089999999986</v>
      </c>
      <c r="F404" s="24">
        <f>IFERROR(E404/E444, "NA")</f>
        <v>8.8167035159327001E-2</v>
      </c>
      <c r="G404" s="25"/>
      <c r="H404" s="23">
        <f>IFERROR(B404-E404, "NA")</f>
        <v>6288.1100000000479</v>
      </c>
      <c r="I404" s="24">
        <f>IFERROR(H404/H444, "NA")</f>
        <v>0.5463009780771072</v>
      </c>
      <c r="J404" s="25"/>
      <c r="K404" s="23">
        <f>IFERROR(K345-K403, "NA")</f>
        <v>11591.099999999979</v>
      </c>
      <c r="L404" s="24">
        <f>IFERROR(K404/K444, "NA")</f>
        <v>9.6350419570828114E-2</v>
      </c>
      <c r="M404" s="25"/>
      <c r="N404" s="23">
        <f>IFERROR(B404-K404, "NA")</f>
        <v>6046.1000000000549</v>
      </c>
      <c r="O404" s="24">
        <f>IFERROR(N404/N444, "NA")</f>
        <v>0.30334486620134093</v>
      </c>
      <c r="P404" s="25"/>
      <c r="Q404" s="23">
        <f>IFERROR(Q345-Q403, "NA")</f>
        <v>6394.660000000018</v>
      </c>
      <c r="R404" s="24">
        <f>IFERROR(Q404/Q444, "NA")</f>
        <v>2.1971263495221941E-2</v>
      </c>
      <c r="S404" s="25"/>
      <c r="T404" s="23">
        <f>IFERROR(T345-T403, "NA")</f>
        <v>6125.839999999982</v>
      </c>
      <c r="U404" s="24">
        <f>IFERROR(T404/T444, "NA")</f>
        <v>2.1777144599075468E-2</v>
      </c>
      <c r="V404" s="25"/>
      <c r="W404" s="23">
        <f>IFERROR(Q404-T404, "NA")</f>
        <v>268.82000000003609</v>
      </c>
      <c r="X404" s="24">
        <f>IFERROR(W404/W444, "NA")</f>
        <v>2.7571904186559627E-2</v>
      </c>
      <c r="Y404" s="25"/>
      <c r="Z404" s="23">
        <f>IFERROR(Z345-Z403, "NA")</f>
        <v>869.05999999998312</v>
      </c>
      <c r="AA404" s="24">
        <f>IFERROR(Z404/Z444, "NA")</f>
        <v>3.2611539807966307E-3</v>
      </c>
      <c r="AB404" s="25"/>
      <c r="AC404" s="23">
        <f>IFERROR(Q404-Z404, "NA")</f>
        <v>5525.6000000000349</v>
      </c>
      <c r="AD404" s="24">
        <f>IFERROR(AC404/AC444, "NA")</f>
        <v>0.22500166951434344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3136.07</v>
      </c>
      <c r="F407" s="8">
        <f>IFERROR(E407/E444, "NA")</f>
        <v>2.4363010069715807E-2</v>
      </c>
      <c r="G407" s="9"/>
      <c r="H407" s="10">
        <f t="shared" ref="H407:H429" si="100">IFERROR(-(B407-E407), "NA")</f>
        <v>3136.07</v>
      </c>
      <c r="I407" s="8">
        <f>IFERROR(H407/H444, "NA")</f>
        <v>0.2724567649608961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9537.86</v>
      </c>
      <c r="U407" s="8">
        <f>IFERROR(T407/T444, "NA")</f>
        <v>3.3906755054937537E-2</v>
      </c>
      <c r="V407" s="9"/>
      <c r="W407" s="10">
        <f t="shared" ref="W407:W429" si="102">IFERROR(-(Q407-T407), "NA")</f>
        <v>9537.86</v>
      </c>
      <c r="X407" s="8">
        <f>IFERROR(W407/W444, "NA")</f>
        <v>0.97826412493409831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3309.82</v>
      </c>
      <c r="C410" s="8">
        <f>IFERROR(B410/B444, "NA")</f>
        <v>2.3602300572176552E-2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-3309.82</v>
      </c>
      <c r="I410" s="8">
        <f>IFERROR(H410/H444, "NA")</f>
        <v>-0.28755188812841331</v>
      </c>
      <c r="J410" s="9"/>
      <c r="K410" s="7">
        <v>2891.92</v>
      </c>
      <c r="L410" s="8">
        <f>IFERROR(K410/K444, "NA")</f>
        <v>2.403893550786981E-2</v>
      </c>
      <c r="M410" s="9"/>
      <c r="N410" s="10">
        <f t="shared" si="101"/>
        <v>-417.90000000000009</v>
      </c>
      <c r="O410" s="8">
        <f>IFERROR(N410/N444, "NA")</f>
        <v>-2.0966874445599516E-2</v>
      </c>
      <c r="P410" s="9"/>
      <c r="Q410" s="7">
        <v>9976.32</v>
      </c>
      <c r="R410" s="8">
        <f>IFERROR(Q410/Q444, "NA")</f>
        <v>3.4277405746771829E-2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-9976.32</v>
      </c>
      <c r="X410" s="8">
        <f>IFERROR(W410/W444, "NA")</f>
        <v>-1.0232353960807292</v>
      </c>
      <c r="Y410" s="9"/>
      <c r="Z410" s="7">
        <v>9118.34</v>
      </c>
      <c r="AA410" s="8">
        <f>IFERROR(Z410/Z444, "NA")</f>
        <v>3.4216637273902527E-2</v>
      </c>
      <c r="AB410" s="9"/>
      <c r="AC410" s="10">
        <f t="shared" si="103"/>
        <v>-857.97999999999956</v>
      </c>
      <c r="AD410" s="8">
        <f>IFERROR(AC410/AC444, "NA")</f>
        <v>-3.4936827206079893E-2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-29.11</v>
      </c>
      <c r="C416" s="8">
        <f>IFERROR(B416/B444, "NA")</f>
        <v>-2.0758318266735334E-4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29.11</v>
      </c>
      <c r="I416" s="8">
        <f>IFERROR(H416/H444, "NA")</f>
        <v>2.5290304196053295E-3</v>
      </c>
      <c r="J416" s="9"/>
      <c r="K416" s="7">
        <v>-26.84</v>
      </c>
      <c r="L416" s="8">
        <f>IFERROR(K416/K444, "NA")</f>
        <v>-2.2310611255886253E-4</v>
      </c>
      <c r="M416" s="9"/>
      <c r="N416" s="10">
        <f t="shared" si="101"/>
        <v>2.2699999999999996</v>
      </c>
      <c r="O416" s="8">
        <f>IFERROR(N416/N444, "NA")</f>
        <v>1.138904163472383E-4</v>
      </c>
      <c r="P416" s="9"/>
      <c r="Q416" s="7">
        <v>-83.23</v>
      </c>
      <c r="R416" s="8">
        <f>IFERROR(Q416/Q444, "NA")</f>
        <v>-2.8596802030245817E-4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83.23</v>
      </c>
      <c r="X416" s="8">
        <f>IFERROR(W416/W444, "NA")</f>
        <v>8.5366028771931019E-3</v>
      </c>
      <c r="Y416" s="9"/>
      <c r="Z416" s="7">
        <v>-82.82</v>
      </c>
      <c r="AA416" s="8">
        <f>IFERROR(Z416/Z444, "NA")</f>
        <v>-3.107826533145953E-4</v>
      </c>
      <c r="AB416" s="9"/>
      <c r="AC416" s="10">
        <f t="shared" si="103"/>
        <v>0.4100000000000108</v>
      </c>
      <c r="AD416" s="8">
        <f>IFERROR(AC416/AC444, "NA")</f>
        <v>1.6695143423498381E-5</v>
      </c>
    </row>
    <row r="417" spans="1:30" ht="16.5" customHeight="1" x14ac:dyDescent="0.45">
      <c r="A417" s="6" t="s">
        <v>382</v>
      </c>
      <c r="B417" s="7">
        <v>-27.41</v>
      </c>
      <c r="C417" s="8">
        <f>IFERROR(B417/B444, "NA")</f>
        <v>-1.9546049594339248E-4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27.41</v>
      </c>
      <c r="I417" s="8">
        <f>IFERROR(H417/H444, "NA")</f>
        <v>2.3813371281821397E-3</v>
      </c>
      <c r="J417" s="9"/>
      <c r="K417" s="7">
        <v>65.83</v>
      </c>
      <c r="L417" s="8">
        <f>IFERROR(K417/K444, "NA")</f>
        <v>5.4720847204731441E-4</v>
      </c>
      <c r="M417" s="9"/>
      <c r="N417" s="10">
        <f t="shared" si="101"/>
        <v>93.24</v>
      </c>
      <c r="O417" s="8">
        <f>IFERROR(N417/N444, "NA")</f>
        <v>4.678036308465419E-3</v>
      </c>
      <c r="P417" s="9"/>
      <c r="Q417" s="7">
        <v>93.86</v>
      </c>
      <c r="R417" s="8">
        <f>IFERROR(Q417/Q444, "NA")</f>
        <v>3.2249138995060338E-4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-93.86</v>
      </c>
      <c r="X417" s="8">
        <f>IFERROR(W417/W444, "NA")</f>
        <v>-9.6268838886620755E-3</v>
      </c>
      <c r="Y417" s="9"/>
      <c r="Z417" s="7">
        <v>31.73</v>
      </c>
      <c r="AA417" s="8">
        <f>IFERROR(Z417/Z444, "NA")</f>
        <v>1.1906705614189941E-4</v>
      </c>
      <c r="AB417" s="9"/>
      <c r="AC417" s="10">
        <f t="shared" si="103"/>
        <v>-62.129999999999995</v>
      </c>
      <c r="AD417" s="8">
        <f>IFERROR(AC417/AC444, "NA")</f>
        <v>-2.5299250265900658E-3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3253.3</v>
      </c>
      <c r="C428" s="15">
        <f>IFERROR(B428/B444, "NA")</f>
        <v>2.3199256893565806E-2</v>
      </c>
      <c r="D428" s="2"/>
      <c r="E428" s="14">
        <f>IFERROR(E407+E408+E409+E410+E411+E412+E413+E414+E415+E416+E417+E418+E419+E420+E421+E422+E423+E424+E425+E426+E427, "NA")</f>
        <v>3136.07</v>
      </c>
      <c r="F428" s="15">
        <f>IFERROR(E428/E444, "NA")</f>
        <v>2.4363010069715807E-2</v>
      </c>
      <c r="G428" s="2"/>
      <c r="H428" s="14">
        <f t="shared" si="100"/>
        <v>-117.23000000000002</v>
      </c>
      <c r="I428" s="15">
        <f>IFERROR(H428/H444, "NA")</f>
        <v>-1.0184755619729743E-2</v>
      </c>
      <c r="J428" s="2"/>
      <c r="K428" s="14">
        <f>IFERROR(K407+K408+K409+K410+K411+K412+K413+K414+K415+K416+K417+K418+K419+K420+K421+K422+K423+K424+K425+K426+K427, "NA")</f>
        <v>2930.91</v>
      </c>
      <c r="L428" s="15">
        <f>IFERROR(K428/K444, "NA")</f>
        <v>2.4363037867358262E-2</v>
      </c>
      <c r="M428" s="2"/>
      <c r="N428" s="14">
        <f t="shared" si="101"/>
        <v>-322.39000000000033</v>
      </c>
      <c r="O428" s="15">
        <f>IFERROR(N428/N444, "NA")</f>
        <v>-1.6174947720786873E-2</v>
      </c>
      <c r="P428" s="2"/>
      <c r="Q428" s="14">
        <f>IFERROR(Q407+Q408+Q409+Q410+Q411+Q412+Q413+Q414+Q415+Q416+Q417+Q418+Q419+Q420+Q421+Q422+Q423+Q424+Q425+Q426+Q427, "NA")</f>
        <v>9986.9500000000007</v>
      </c>
      <c r="R428" s="15">
        <f>IFERROR(Q428/Q444, "NA")</f>
        <v>3.4313929116419978E-2</v>
      </c>
      <c r="S428" s="2"/>
      <c r="T428" s="14">
        <f>IFERROR(T407+T408+T409+T410+T411+T412+T413+T414+T415+T416+T417+T418+T419+T420+T421+T422+T423+T424+T425+T426+T427, "NA")</f>
        <v>9537.86</v>
      </c>
      <c r="U428" s="15">
        <f>IFERROR(T428/T444, "NA")</f>
        <v>3.3906755054937537E-2</v>
      </c>
      <c r="V428" s="2"/>
      <c r="W428" s="14">
        <f t="shared" si="102"/>
        <v>-449.09000000000015</v>
      </c>
      <c r="X428" s="15">
        <f>IFERROR(W428/W444, "NA")</f>
        <v>-4.6061552158099858E-2</v>
      </c>
      <c r="Y428" s="2"/>
      <c r="Z428" s="14">
        <f>IFERROR(Z407+Z408+Z409+Z410+Z411+Z412+Z413+Z414+Z415+Z416+Z417+Z418+Z419+Z420+Z421+Z422+Z423+Z424+Z425+Z426+Z427, "NA")</f>
        <v>9067.25</v>
      </c>
      <c r="AA428" s="15">
        <f>IFERROR(Z428/Z444, "NA")</f>
        <v>3.4024921676729832E-2</v>
      </c>
      <c r="AB428" s="2"/>
      <c r="AC428" s="14">
        <f t="shared" si="103"/>
        <v>-919.70000000000073</v>
      </c>
      <c r="AD428" s="15">
        <f>IFERROR(AC428/AC444, "NA")</f>
        <v>-3.7450057089246508E-2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3253.3</v>
      </c>
      <c r="C429" s="15">
        <f>IFERROR(B429/B444, "NA")</f>
        <v>2.3199256893565806E-2</v>
      </c>
      <c r="D429" s="2"/>
      <c r="E429" s="14">
        <f>IFERROR(E407+E408+E409+E410+E411+E412+E413+E414+E415+E416+E417+E418+E419+E420+E421+E422+E423+E424+E425+E426+E427, "NA")</f>
        <v>3136.07</v>
      </c>
      <c r="F429" s="15">
        <f>IFERROR(E429/E444, "NA")</f>
        <v>2.4363010069715807E-2</v>
      </c>
      <c r="G429" s="2"/>
      <c r="H429" s="14">
        <f t="shared" si="100"/>
        <v>-117.23000000000002</v>
      </c>
      <c r="I429" s="15">
        <f>IFERROR(H429/H444, "NA")</f>
        <v>-1.0184755619729743E-2</v>
      </c>
      <c r="J429" s="2"/>
      <c r="K429" s="14">
        <f>IFERROR(K407+K408+K409+K410+K411+K412+K413+K414+K415+K416+K417+K418+K419+K420+K421+K422+K423+K424+K425+K426+K427, "NA")</f>
        <v>2930.91</v>
      </c>
      <c r="L429" s="15">
        <f>IFERROR(K429/K444, "NA")</f>
        <v>2.4363037867358262E-2</v>
      </c>
      <c r="M429" s="2"/>
      <c r="N429" s="14">
        <f t="shared" si="101"/>
        <v>-322.39000000000033</v>
      </c>
      <c r="O429" s="15">
        <f>IFERROR(N429/N444, "NA")</f>
        <v>-1.6174947720786873E-2</v>
      </c>
      <c r="P429" s="2"/>
      <c r="Q429" s="14">
        <f>IFERROR(Q407+Q408+Q409+Q410+Q411+Q412+Q413+Q414+Q415+Q416+Q417+Q418+Q419+Q420+Q421+Q422+Q423+Q424+Q425+Q426+Q427, "NA")</f>
        <v>9986.9500000000007</v>
      </c>
      <c r="R429" s="15">
        <f>IFERROR(Q429/Q444, "NA")</f>
        <v>3.4313929116419978E-2</v>
      </c>
      <c r="S429" s="2"/>
      <c r="T429" s="14">
        <f>IFERROR(T407+T408+T409+T410+T411+T412+T413+T414+T415+T416+T417+T418+T419+T420+T421+T422+T423+T424+T425+T426+T427, "NA")</f>
        <v>9537.86</v>
      </c>
      <c r="U429" s="15">
        <f>IFERROR(T429/T444, "NA")</f>
        <v>3.3906755054937537E-2</v>
      </c>
      <c r="V429" s="2"/>
      <c r="W429" s="14">
        <f t="shared" si="102"/>
        <v>-449.09000000000015</v>
      </c>
      <c r="X429" s="15">
        <f>IFERROR(W429/W444, "NA")</f>
        <v>-4.6061552158099858E-2</v>
      </c>
      <c r="Y429" s="2"/>
      <c r="Z429" s="14">
        <f>IFERROR(Z407+Z408+Z409+Z410+Z411+Z412+Z413+Z414+Z415+Z416+Z417+Z418+Z419+Z420+Z421+Z422+Z423+Z424+Z425+Z426+Z427, "NA")</f>
        <v>9067.25</v>
      </c>
      <c r="AA429" s="15">
        <f>IFERROR(Z429/Z444, "NA")</f>
        <v>3.4024921676729832E-2</v>
      </c>
      <c r="AB429" s="2"/>
      <c r="AC429" s="14">
        <f t="shared" si="103"/>
        <v>-919.70000000000073</v>
      </c>
      <c r="AD429" s="15">
        <f>IFERROR(AC429/AC444, "NA")</f>
        <v>-3.7450057089246508E-2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14383.900000000034</v>
      </c>
      <c r="C443" s="24">
        <f>IFERROR(B443/B444, "NA")</f>
        <v>0.1025714785698712</v>
      </c>
      <c r="D443" s="25"/>
      <c r="E443" s="23">
        <f>IFERROR(E404-E429-E442, "NA")</f>
        <v>8213.0199999999859</v>
      </c>
      <c r="F443" s="24">
        <f>IFERROR(E443/E444, "NA")</f>
        <v>6.3804025089611194E-2</v>
      </c>
      <c r="G443" s="25"/>
      <c r="H443" s="23">
        <f>IFERROR(B443-E443, "NA")</f>
        <v>6170.8800000000483</v>
      </c>
      <c r="I443" s="24">
        <f>IFERROR(H443/H444, "NA")</f>
        <v>0.53611622245737744</v>
      </c>
      <c r="J443" s="25"/>
      <c r="K443" s="23">
        <f>IFERROR(K404-K429-K442, "NA")</f>
        <v>8660.1899999999787</v>
      </c>
      <c r="L443" s="24">
        <f>IFERROR(K443/K444, "NA")</f>
        <v>7.1987381703469855E-2</v>
      </c>
      <c r="M443" s="25"/>
      <c r="N443" s="23">
        <f>IFERROR(B443-K443, "NA")</f>
        <v>5723.7100000000555</v>
      </c>
      <c r="O443" s="24">
        <f>IFERROR(N443/N444, "NA")</f>
        <v>0.28716991848055406</v>
      </c>
      <c r="P443" s="25"/>
      <c r="Q443" s="23">
        <f>IFERROR(Q404-Q429-Q442, "NA")</f>
        <v>-3592.2899999999827</v>
      </c>
      <c r="R443" s="24">
        <f>IFERROR(Q443/Q444, "NA")</f>
        <v>-1.2342665621198035E-2</v>
      </c>
      <c r="S443" s="25"/>
      <c r="T443" s="23">
        <f>IFERROR(T404-T429-T442, "NA")</f>
        <v>-3412.0200000000186</v>
      </c>
      <c r="U443" s="24">
        <f>IFERROR(T443/T444, "NA")</f>
        <v>-1.2129610455862069E-2</v>
      </c>
      <c r="V443" s="25"/>
      <c r="W443" s="23">
        <f>IFERROR(Q443-T443, "NA")</f>
        <v>-180.26999999996406</v>
      </c>
      <c r="X443" s="24">
        <f>IFERROR(W443/W444, "NA")</f>
        <v>-1.8489647971540235E-2</v>
      </c>
      <c r="Y443" s="25"/>
      <c r="Z443" s="23">
        <f>IFERROR(Z404-Z429-Z442, "NA")</f>
        <v>-8198.1900000000169</v>
      </c>
      <c r="AA443" s="24">
        <f>IFERROR(Z443/Z444, "NA")</f>
        <v>-3.0763767695933197E-2</v>
      </c>
      <c r="AB443" s="25"/>
      <c r="AC443" s="23">
        <f>IFERROR(Q443-Z443, "NA")</f>
        <v>4605.9000000000342</v>
      </c>
      <c r="AD443" s="24">
        <f>IFERROR(AC443/AC444, "NA")</f>
        <v>0.18755161242509691</v>
      </c>
    </row>
    <row r="444" spans="1:30" ht="15.75" hidden="1" x14ac:dyDescent="0.45">
      <c r="A444" s="26" t="s">
        <v>117</v>
      </c>
      <c r="B444" s="7">
        <v>140232.94</v>
      </c>
      <c r="C444" s="27"/>
      <c r="D444" s="9"/>
      <c r="E444" s="7">
        <v>128722.6</v>
      </c>
      <c r="F444" s="27"/>
      <c r="G444" s="9"/>
      <c r="H444" s="10">
        <f>IFERROR(B444-E444, "NA")</f>
        <v>11510.339999999997</v>
      </c>
      <c r="I444" s="27"/>
      <c r="J444" s="9"/>
      <c r="K444" s="7">
        <v>120301.5</v>
      </c>
      <c r="L444" s="27"/>
      <c r="M444" s="9"/>
      <c r="N444" s="10">
        <f>IFERROR(B444-K444, "NA")</f>
        <v>19931.440000000002</v>
      </c>
      <c r="O444" s="27"/>
      <c r="P444" s="9"/>
      <c r="Q444" s="7">
        <v>291046.53000000003</v>
      </c>
      <c r="R444" s="27"/>
      <c r="S444" s="9"/>
      <c r="T444" s="7">
        <v>281296.75</v>
      </c>
      <c r="U444" s="27"/>
      <c r="V444" s="9"/>
      <c r="W444" s="10">
        <f>IFERROR(Q444-T444, "NA")</f>
        <v>9749.7800000000279</v>
      </c>
      <c r="X444" s="27"/>
      <c r="Y444" s="9"/>
      <c r="Z444" s="7">
        <v>266488.49</v>
      </c>
      <c r="AA444" s="27"/>
      <c r="AB444" s="9"/>
      <c r="AC444" s="10">
        <f>IFERROR(Q444-Z444, "NA")</f>
        <v>24558.040000000037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89791.18</v>
      </c>
      <c r="F10" s="8">
        <f>IFERROR(E10/E444, "NA")</f>
        <v>0.55200000393446214</v>
      </c>
      <c r="G10" s="9"/>
      <c r="H10" s="10">
        <f t="shared" ref="H10:H19" si="0">IFERROR(B10-E10, "NA")</f>
        <v>-89791.18</v>
      </c>
      <c r="I10" s="8">
        <f>IFERROR(H10/H444, "NA")</f>
        <v>3.5602726532703208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176231.67999999999</v>
      </c>
      <c r="U10" s="8">
        <f>IFERROR(T10/T444, "NA")</f>
        <v>0.55200001703938861</v>
      </c>
      <c r="V10" s="9"/>
      <c r="W10" s="10">
        <f t="shared" ref="W10:W19" si="2">IFERROR(Q10-T10, "NA")</f>
        <v>-176231.67999999999</v>
      </c>
      <c r="X10" s="8">
        <f>IFERROR(W10/W444, "NA")</f>
        <v>5.3021128521232148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59372.81</v>
      </c>
      <c r="C11" s="8">
        <f>IFERROR(B11/B444, "NA")</f>
        <v>0.43197545313986618</v>
      </c>
      <c r="D11" s="9"/>
      <c r="E11" s="7">
        <v>0</v>
      </c>
      <c r="F11" s="8">
        <f>IFERROR(E11/E444, "NA")</f>
        <v>0</v>
      </c>
      <c r="G11" s="9"/>
      <c r="H11" s="10">
        <f t="shared" si="0"/>
        <v>59372.81</v>
      </c>
      <c r="I11" s="8">
        <f>IFERROR(H11/H444, "NA")</f>
        <v>-2.3541665427585943</v>
      </c>
      <c r="J11" s="9"/>
      <c r="K11" s="7">
        <v>78559.600000000006</v>
      </c>
      <c r="L11" s="8">
        <f>IFERROR(K11/K444, "NA")</f>
        <v>0.51936742629387678</v>
      </c>
      <c r="M11" s="9"/>
      <c r="N11" s="10">
        <f t="shared" si="1"/>
        <v>-19186.790000000008</v>
      </c>
      <c r="O11" s="8">
        <f>IFERROR(N11/N444, "NA")</f>
        <v>1.3888083420615851</v>
      </c>
      <c r="P11" s="9"/>
      <c r="Q11" s="7">
        <v>129093.36</v>
      </c>
      <c r="R11" s="8">
        <f>IFERROR(Q11/Q444, "NA")</f>
        <v>0.45134024004494472</v>
      </c>
      <c r="S11" s="9"/>
      <c r="T11" s="7">
        <v>0</v>
      </c>
      <c r="U11" s="8">
        <f>IFERROR(T11/T444, "NA")</f>
        <v>0</v>
      </c>
      <c r="V11" s="9"/>
      <c r="W11" s="10">
        <f t="shared" si="2"/>
        <v>129093.36</v>
      </c>
      <c r="X11" s="8">
        <f>IFERROR(W11/W444, "NA")</f>
        <v>-3.8839076105940147</v>
      </c>
      <c r="Y11" s="9"/>
      <c r="Z11" s="7">
        <v>151227.20000000001</v>
      </c>
      <c r="AA11" s="8">
        <f>IFERROR(Z11/Z444, "NA")</f>
        <v>0.50227686120803439</v>
      </c>
      <c r="AB11" s="9"/>
      <c r="AC11" s="10">
        <f t="shared" si="3"/>
        <v>-22133.840000000011</v>
      </c>
      <c r="AD11" s="8">
        <f>IFERROR(AC11/AC444, "NA")</f>
        <v>1.4696051013605977</v>
      </c>
    </row>
    <row r="12" spans="1:30" ht="16.5" customHeight="1" x14ac:dyDescent="0.45">
      <c r="A12" s="12" t="s">
        <v>14</v>
      </c>
      <c r="B12" s="7">
        <v>6556.4</v>
      </c>
      <c r="C12" s="8">
        <f>IFERROR(B12/B444, "NA")</f>
        <v>4.7702035005016921E-2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6556.4</v>
      </c>
      <c r="I12" s="8">
        <f>IFERROR(H12/H444, "NA")</f>
        <v>-0.25996508369643356</v>
      </c>
      <c r="J12" s="9"/>
      <c r="K12" s="7">
        <v>8552.75</v>
      </c>
      <c r="L12" s="8">
        <f>IFERROR(K12/K444, "NA")</f>
        <v>5.6543309222996989E-2</v>
      </c>
      <c r="M12" s="9"/>
      <c r="N12" s="10">
        <f t="shared" si="1"/>
        <v>-1996.3500000000004</v>
      </c>
      <c r="O12" s="8">
        <f>IFERROR(N12/N444, "NA")</f>
        <v>0.1445029384109924</v>
      </c>
      <c r="P12" s="9"/>
      <c r="Q12" s="7">
        <v>13309.85</v>
      </c>
      <c r="R12" s="8">
        <f>IFERROR(Q12/Q444, "NA")</f>
        <v>4.6534313569359477E-2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13309.85</v>
      </c>
      <c r="X12" s="8">
        <f>IFERROR(W12/W444, "NA")</f>
        <v>-0.40044064009848956</v>
      </c>
      <c r="Y12" s="9"/>
      <c r="Z12" s="7">
        <v>16857.900000000001</v>
      </c>
      <c r="AA12" s="8">
        <f>IFERROR(Z12/Z444, "NA")</f>
        <v>5.5990807861012584E-2</v>
      </c>
      <c r="AB12" s="9"/>
      <c r="AC12" s="10">
        <f t="shared" si="3"/>
        <v>-3548.0500000000011</v>
      </c>
      <c r="AD12" s="8">
        <f>IFERROR(AC12/AC444, "NA")</f>
        <v>0.23557739551214196</v>
      </c>
    </row>
    <row r="13" spans="1:30" ht="16.5" customHeight="1" x14ac:dyDescent="0.45">
      <c r="A13" s="12" t="s">
        <v>15</v>
      </c>
      <c r="B13" s="7">
        <v>212.5</v>
      </c>
      <c r="C13" s="8">
        <f>IFERROR(B13/B444, "NA")</f>
        <v>1.5460744369724386E-3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212.5</v>
      </c>
      <c r="I13" s="8">
        <f>IFERROR(H13/H444, "NA")</f>
        <v>-8.4257489301281397E-3</v>
      </c>
      <c r="J13" s="9"/>
      <c r="K13" s="7">
        <v>191</v>
      </c>
      <c r="L13" s="8">
        <f>IFERROR(K13/K444, "NA")</f>
        <v>1.2627250956233286E-3</v>
      </c>
      <c r="M13" s="9"/>
      <c r="N13" s="10">
        <f t="shared" si="1"/>
        <v>21.5</v>
      </c>
      <c r="O13" s="8">
        <f>IFERROR(N13/N444, "NA")</f>
        <v>-1.5562467382154112E-3</v>
      </c>
      <c r="P13" s="9"/>
      <c r="Q13" s="7">
        <v>307</v>
      </c>
      <c r="R13" s="8">
        <f>IFERROR(Q13/Q444, "NA")</f>
        <v>1.0733429952849475E-3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307</v>
      </c>
      <c r="X13" s="8">
        <f>IFERROR(W13/W444, "NA")</f>
        <v>-9.2364133713179562E-3</v>
      </c>
      <c r="Y13" s="9"/>
      <c r="Z13" s="7">
        <v>413</v>
      </c>
      <c r="AA13" s="8">
        <f>IFERROR(Z13/Z444, "NA")</f>
        <v>1.3717131817485094E-3</v>
      </c>
      <c r="AB13" s="9"/>
      <c r="AC13" s="10">
        <f t="shared" si="3"/>
        <v>-106</v>
      </c>
      <c r="AD13" s="8">
        <f>IFERROR(AC13/AC444, "NA")</f>
        <v>7.0380078985039785E-3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475</v>
      </c>
      <c r="L14" s="8">
        <f>IFERROR(K14/K444, "NA")</f>
        <v>3.140284923670582E-3</v>
      </c>
      <c r="M14" s="9"/>
      <c r="N14" s="10">
        <f t="shared" si="1"/>
        <v>-475</v>
      </c>
      <c r="O14" s="8">
        <f>IFERROR(N14/N444, "NA")</f>
        <v>3.4382195379177687E-2</v>
      </c>
      <c r="P14" s="9"/>
      <c r="Q14" s="7">
        <v>0</v>
      </c>
      <c r="R14" s="8">
        <f>IFERROR(Q14/Q444, "NA")</f>
        <v>0</v>
      </c>
      <c r="S14" s="9"/>
      <c r="T14" s="7">
        <v>0</v>
      </c>
      <c r="U14" s="8">
        <f>IFERROR(T14/T444, "NA")</f>
        <v>0</v>
      </c>
      <c r="V14" s="9"/>
      <c r="W14" s="10">
        <f t="shared" si="2"/>
        <v>0</v>
      </c>
      <c r="X14" s="8">
        <f>IFERROR(W14/W444, "NA")</f>
        <v>0</v>
      </c>
      <c r="Y14" s="9"/>
      <c r="Z14" s="7">
        <v>995</v>
      </c>
      <c r="AA14" s="8">
        <f>IFERROR(Z14/Z444, "NA")</f>
        <v>3.3047327260042779E-3</v>
      </c>
      <c r="AB14" s="9"/>
      <c r="AC14" s="10">
        <f t="shared" si="3"/>
        <v>-995</v>
      </c>
      <c r="AD14" s="8">
        <f>IFERROR(AC14/AC444, "NA")</f>
        <v>6.6064319424636392E-2</v>
      </c>
    </row>
    <row r="15" spans="1:30" ht="16.5" customHeight="1" x14ac:dyDescent="0.45">
      <c r="A15" s="12" t="s">
        <v>17</v>
      </c>
      <c r="B15" s="7">
        <v>26</v>
      </c>
      <c r="C15" s="8">
        <f>IFERROR(B15/B444, "NA")</f>
        <v>1.8916675464133366E-4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26</v>
      </c>
      <c r="I15" s="8">
        <f>IFERROR(H15/H444, "NA")</f>
        <v>-1.0309151632156783E-3</v>
      </c>
      <c r="J15" s="9"/>
      <c r="K15" s="7">
        <v>26</v>
      </c>
      <c r="L15" s="8">
        <f>IFERROR(K15/K444, "NA")</f>
        <v>1.7188928003249502E-4</v>
      </c>
      <c r="M15" s="9"/>
      <c r="N15" s="10">
        <f t="shared" si="1"/>
        <v>0</v>
      </c>
      <c r="O15" s="8">
        <f>IFERROR(N15/N444, "NA")</f>
        <v>0</v>
      </c>
      <c r="P15" s="9"/>
      <c r="Q15" s="7">
        <v>58</v>
      </c>
      <c r="R15" s="8">
        <f>IFERROR(Q15/Q444, "NA")</f>
        <v>2.0278141278999009E-4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58</v>
      </c>
      <c r="X15" s="8">
        <f>IFERROR(W15/W444, "NA")</f>
        <v>-1.7449901483271707E-3</v>
      </c>
      <c r="Y15" s="9"/>
      <c r="Z15" s="7">
        <v>68</v>
      </c>
      <c r="AA15" s="8">
        <f>IFERROR(Z15/Z444, "NA")</f>
        <v>2.2585108077215164E-4</v>
      </c>
      <c r="AB15" s="9"/>
      <c r="AC15" s="10">
        <f t="shared" si="3"/>
        <v>-10</v>
      </c>
      <c r="AD15" s="8">
        <f>IFERROR(AC15/AC444, "NA")</f>
        <v>6.6396300929282817E-4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66167.709999999992</v>
      </c>
      <c r="C18" s="15">
        <f>IFERROR(B18/B444, "NA")</f>
        <v>0.48141272933649681</v>
      </c>
      <c r="D18" s="2"/>
      <c r="E18" s="14">
        <f>IFERROR(E10+E11+E12+E13+E14+E15+E16+E17, "NA")</f>
        <v>89791.18</v>
      </c>
      <c r="F18" s="15">
        <f>IFERROR(E18/E444, "NA")</f>
        <v>0.55200000393446214</v>
      </c>
      <c r="G18" s="2"/>
      <c r="H18" s="14">
        <f t="shared" si="0"/>
        <v>-23623.47</v>
      </c>
      <c r="I18" s="15">
        <f>IFERROR(H18/H444, "NA")</f>
        <v>0.93668436272194922</v>
      </c>
      <c r="J18" s="2"/>
      <c r="K18" s="14">
        <f>IFERROR(K10+K11+K12+K13+K14+K15+K16+K17, "NA")</f>
        <v>87804.35</v>
      </c>
      <c r="L18" s="15">
        <f>IFERROR(K18/K444, "NA")</f>
        <v>0.58048563481620019</v>
      </c>
      <c r="M18" s="2"/>
      <c r="N18" s="14">
        <f t="shared" si="1"/>
        <v>-21636.640000000014</v>
      </c>
      <c r="O18" s="15">
        <f>IFERROR(N18/N444, "NA")</f>
        <v>1.5661372291135403</v>
      </c>
      <c r="P18" s="2"/>
      <c r="Q18" s="14">
        <f>IFERROR(Q10+Q11+Q12+Q13+Q14+Q15+Q16+Q17, "NA")</f>
        <v>142768.21</v>
      </c>
      <c r="R18" s="15">
        <f>IFERROR(Q18/Q444, "NA")</f>
        <v>0.49915067802237911</v>
      </c>
      <c r="S18" s="2"/>
      <c r="T18" s="14">
        <f>IFERROR(T10+T11+T12+T13+T14+T15+T16+T17, "NA")</f>
        <v>176231.67999999999</v>
      </c>
      <c r="U18" s="15">
        <f>IFERROR(T18/T444, "NA")</f>
        <v>0.55200001703938861</v>
      </c>
      <c r="V18" s="2"/>
      <c r="W18" s="14">
        <f t="shared" si="2"/>
        <v>-33463.47</v>
      </c>
      <c r="X18" s="15">
        <f>IFERROR(W18/W444, "NA")</f>
        <v>1.006783197911066</v>
      </c>
      <c r="Y18" s="2"/>
      <c r="Z18" s="14">
        <f>IFERROR(Z10+Z11+Z12+Z13+Z14+Z15+Z16+Z17, "NA")</f>
        <v>169561.1</v>
      </c>
      <c r="AA18" s="15">
        <f>IFERROR(Z18/Z444, "NA")</f>
        <v>0.56316996605757186</v>
      </c>
      <c r="AB18" s="2"/>
      <c r="AC18" s="14">
        <f t="shared" si="3"/>
        <v>-26792.890000000014</v>
      </c>
      <c r="AD18" s="15">
        <f>IFERROR(AC18/AC444, "NA")</f>
        <v>1.778948787205173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14965.2</v>
      </c>
      <c r="F21" s="8">
        <f>IFERROR(E21/E444, "NA")</f>
        <v>9.2000021147734271E-2</v>
      </c>
      <c r="G21" s="9"/>
      <c r="H21" s="10">
        <f t="shared" ref="H21:H29" si="4">IFERROR(B21-E21, "NA")</f>
        <v>-14965.2</v>
      </c>
      <c r="I21" s="8">
        <f>IFERROR(H21/H444, "NA")</f>
        <v>0.59337890771366419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29371.95</v>
      </c>
      <c r="U21" s="8">
        <f>IFERROR(T21/T444, "NA")</f>
        <v>9.2000013280699997E-2</v>
      </c>
      <c r="V21" s="9"/>
      <c r="W21" s="10">
        <f t="shared" ref="W21:W29" si="6">IFERROR(Q21-T21, "NA")</f>
        <v>-29371.95</v>
      </c>
      <c r="X21" s="8">
        <f>IFERROR(W21/W444, "NA")</f>
        <v>0.88368557564065942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8425.1</v>
      </c>
      <c r="L22" s="8">
        <f>IFERROR(K22/K444, "NA")</f>
        <v>5.5699398969298992E-2</v>
      </c>
      <c r="M22" s="9"/>
      <c r="N22" s="10">
        <f t="shared" si="5"/>
        <v>-8425.1</v>
      </c>
      <c r="O22" s="8">
        <f>IFERROR(N22/N444, "NA")</f>
        <v>0.60983880902970511</v>
      </c>
      <c r="P22" s="9"/>
      <c r="Q22" s="7">
        <v>2793.44</v>
      </c>
      <c r="R22" s="8">
        <f>IFERROR(Q22/Q444, "NA")</f>
        <v>9.766512236966722E-3</v>
      </c>
      <c r="S22" s="9"/>
      <c r="T22" s="7">
        <v>0</v>
      </c>
      <c r="U22" s="8">
        <f>IFERROR(T22/T444, "NA")</f>
        <v>0</v>
      </c>
      <c r="V22" s="9"/>
      <c r="W22" s="10">
        <f t="shared" si="6"/>
        <v>2793.44</v>
      </c>
      <c r="X22" s="8">
        <f>IFERROR(W22/W444, "NA")</f>
        <v>-8.4043539309362966E-2</v>
      </c>
      <c r="Y22" s="9"/>
      <c r="Z22" s="7">
        <v>20567.25</v>
      </c>
      <c r="AA22" s="8">
        <f>IFERROR(Z22/Z444, "NA")</f>
        <v>6.8310818250162289E-2</v>
      </c>
      <c r="AB22" s="9"/>
      <c r="AC22" s="10">
        <f t="shared" si="7"/>
        <v>-17773.810000000001</v>
      </c>
      <c r="AD22" s="8">
        <f>IFERROR(AC22/AC444, "NA")</f>
        <v>1.1801152374198962</v>
      </c>
    </row>
    <row r="23" spans="1:30" ht="16.5" customHeight="1" x14ac:dyDescent="0.45">
      <c r="A23" s="12" t="s">
        <v>24</v>
      </c>
      <c r="B23" s="7">
        <v>7119.98</v>
      </c>
      <c r="C23" s="8">
        <f>IFERROR(B23/B444, "NA")</f>
        <v>5.1802442681200107E-2</v>
      </c>
      <c r="D23" s="9"/>
      <c r="E23" s="7">
        <v>0</v>
      </c>
      <c r="F23" s="8">
        <f>IFERROR(E23/E444, "NA")</f>
        <v>0</v>
      </c>
      <c r="G23" s="9"/>
      <c r="H23" s="10">
        <f t="shared" si="4"/>
        <v>7119.98</v>
      </c>
      <c r="I23" s="8">
        <f>IFERROR(H23/H444, "NA")</f>
        <v>-0.28231135937662938</v>
      </c>
      <c r="J23" s="9"/>
      <c r="K23" s="7">
        <v>0</v>
      </c>
      <c r="L23" s="8">
        <f>IFERROR(K23/K444, "NA")</f>
        <v>0</v>
      </c>
      <c r="M23" s="9"/>
      <c r="N23" s="10">
        <f t="shared" si="5"/>
        <v>7119.98</v>
      </c>
      <c r="O23" s="8">
        <f>IFERROR(N23/N444, "NA")</f>
        <v>-0.51536956517018429</v>
      </c>
      <c r="P23" s="9"/>
      <c r="Q23" s="7">
        <v>13889.32</v>
      </c>
      <c r="R23" s="8">
        <f>IFERROR(Q23/Q444, "NA")</f>
        <v>4.8560274694694226E-2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13889.32</v>
      </c>
      <c r="X23" s="8">
        <f>IFERROR(W23/W444, "NA")</f>
        <v>-0.41787459598212995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13889.32</v>
      </c>
      <c r="AD23" s="8">
        <f>IFERROR(AC23/AC444, "NA")</f>
        <v>-0.92219947042310635</v>
      </c>
    </row>
    <row r="24" spans="1:30" ht="16.5" customHeight="1" x14ac:dyDescent="0.45">
      <c r="A24" s="12" t="s">
        <v>25</v>
      </c>
      <c r="B24" s="7">
        <v>882.88</v>
      </c>
      <c r="C24" s="8">
        <f>IFERROR(B24/B444, "NA")</f>
        <v>6.4235209360669482E-3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882.88</v>
      </c>
      <c r="I24" s="8">
        <f>IFERROR(H24/H444, "NA")</f>
        <v>-3.5006706896148383E-2</v>
      </c>
      <c r="J24" s="9"/>
      <c r="K24" s="7">
        <v>1812.1</v>
      </c>
      <c r="L24" s="8">
        <f>IFERROR(K24/K444, "NA")</f>
        <v>1.1980021705649392E-2</v>
      </c>
      <c r="M24" s="9"/>
      <c r="N24" s="10">
        <f t="shared" si="5"/>
        <v>-929.21999999999991</v>
      </c>
      <c r="O24" s="8">
        <f>IFERROR(N24/N444, "NA")</f>
        <v>6.7260260189977869E-2</v>
      </c>
      <c r="P24" s="9"/>
      <c r="Q24" s="7">
        <v>1994.61</v>
      </c>
      <c r="R24" s="8">
        <f>IFERROR(Q24/Q444, "NA")</f>
        <v>6.9736178235352084E-3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1994.61</v>
      </c>
      <c r="X24" s="8">
        <f>IFERROR(W24/W444, "NA")</f>
        <v>-6.0009910340600998E-2</v>
      </c>
      <c r="Y24" s="9"/>
      <c r="Z24" s="7">
        <v>3765.05</v>
      </c>
      <c r="AA24" s="8">
        <f>IFERROR(Z24/Z444, "NA")</f>
        <v>1.2505008995017493E-2</v>
      </c>
      <c r="AB24" s="9"/>
      <c r="AC24" s="10">
        <f t="shared" si="7"/>
        <v>-1770.4400000000003</v>
      </c>
      <c r="AD24" s="8">
        <f>IFERROR(AC24/AC444, "NA")</f>
        <v>0.11755066701723949</v>
      </c>
    </row>
    <row r="25" spans="1:30" ht="16.5" customHeight="1" x14ac:dyDescent="0.45">
      <c r="A25" s="12" t="s">
        <v>26</v>
      </c>
      <c r="B25" s="7">
        <v>39.72</v>
      </c>
      <c r="C25" s="8">
        <f>IFERROR(B25/B444, "NA")</f>
        <v>2.8898859593668358E-4</v>
      </c>
      <c r="D25" s="9"/>
      <c r="E25" s="7">
        <v>0</v>
      </c>
      <c r="F25" s="8">
        <f>IFERROR(E25/E444, "NA")</f>
        <v>0</v>
      </c>
      <c r="G25" s="9"/>
      <c r="H25" s="10">
        <f t="shared" si="4"/>
        <v>39.72</v>
      </c>
      <c r="I25" s="8">
        <f>IFERROR(H25/H444, "NA")</f>
        <v>-1.5749211647279515E-3</v>
      </c>
      <c r="J25" s="9"/>
      <c r="K25" s="7">
        <v>0</v>
      </c>
      <c r="L25" s="8">
        <f>IFERROR(K25/K444, "NA")</f>
        <v>0</v>
      </c>
      <c r="M25" s="9"/>
      <c r="N25" s="10">
        <f t="shared" si="5"/>
        <v>39.72</v>
      </c>
      <c r="O25" s="8">
        <f>IFERROR(N25/N444, "NA")</f>
        <v>-2.8750753693914479E-3</v>
      </c>
      <c r="P25" s="9"/>
      <c r="Q25" s="7">
        <v>198.03</v>
      </c>
      <c r="R25" s="8">
        <f>IFERROR(Q25/Q444, "NA")</f>
        <v>6.9235867542761609E-4</v>
      </c>
      <c r="S25" s="9"/>
      <c r="T25" s="7">
        <v>0</v>
      </c>
      <c r="U25" s="8">
        <f>IFERROR(T25/T444, "NA")</f>
        <v>0</v>
      </c>
      <c r="V25" s="9"/>
      <c r="W25" s="10">
        <f t="shared" si="6"/>
        <v>198.03</v>
      </c>
      <c r="X25" s="8">
        <f>IFERROR(W25/W444, "NA")</f>
        <v>-5.9579379150556831E-3</v>
      </c>
      <c r="Y25" s="9"/>
      <c r="Z25" s="7">
        <v>0</v>
      </c>
      <c r="AA25" s="8">
        <f>IFERROR(Z25/Z444, "NA")</f>
        <v>0</v>
      </c>
      <c r="AB25" s="9"/>
      <c r="AC25" s="10">
        <f t="shared" si="7"/>
        <v>198.03</v>
      </c>
      <c r="AD25" s="8">
        <f>IFERROR(AC25/AC444, "NA")</f>
        <v>-1.3148459473025875E-2</v>
      </c>
    </row>
    <row r="26" spans="1:30" ht="16.5" customHeight="1" x14ac:dyDescent="0.45">
      <c r="A26" s="12" t="s">
        <v>27</v>
      </c>
      <c r="B26" s="7">
        <v>2593.17</v>
      </c>
      <c r="C26" s="8">
        <f>IFERROR(B26/B444, "NA")</f>
        <v>1.886698281281797E-2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2593.17</v>
      </c>
      <c r="I26" s="8">
        <f>IFERROR(H26/H444, "NA")</f>
        <v>-0.10282070283830771</v>
      </c>
      <c r="J26" s="9"/>
      <c r="K26" s="7">
        <v>0</v>
      </c>
      <c r="L26" s="8">
        <f>IFERROR(K26/K444, "NA")</f>
        <v>0</v>
      </c>
      <c r="M26" s="9"/>
      <c r="N26" s="10">
        <f t="shared" si="5"/>
        <v>2593.17</v>
      </c>
      <c r="O26" s="8">
        <f>IFERROR(N26/N444, "NA")</f>
        <v>-0.1877029001924678</v>
      </c>
      <c r="P26" s="9"/>
      <c r="Q26" s="7">
        <v>3384.99</v>
      </c>
      <c r="R26" s="8">
        <f>IFERROR(Q26/Q444, "NA")</f>
        <v>1.1834707835861871E-2</v>
      </c>
      <c r="S26" s="9"/>
      <c r="T26" s="7">
        <v>0</v>
      </c>
      <c r="U26" s="8">
        <f>IFERROR(T26/T444, "NA")</f>
        <v>0</v>
      </c>
      <c r="V26" s="9"/>
      <c r="W26" s="10">
        <f t="shared" si="6"/>
        <v>3384.99</v>
      </c>
      <c r="X26" s="8">
        <f>IFERROR(W26/W444, "NA")</f>
        <v>-0.1018409345204481</v>
      </c>
      <c r="Y26" s="9"/>
      <c r="Z26" s="7">
        <v>0</v>
      </c>
      <c r="AA26" s="8">
        <f>IFERROR(Z26/Z444, "NA")</f>
        <v>0</v>
      </c>
      <c r="AB26" s="9"/>
      <c r="AC26" s="10">
        <f t="shared" si="7"/>
        <v>3384.99</v>
      </c>
      <c r="AD26" s="8">
        <f>IFERROR(AC26/AC444, "NA")</f>
        <v>-0.22475081468261301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778.7</v>
      </c>
      <c r="C28" s="8">
        <f>IFERROR(B28/B444, "NA")</f>
        <v>5.6655443015079434E-3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778.7</v>
      </c>
      <c r="I28" s="8">
        <f>IFERROR(H28/H444, "NA")</f>
        <v>-3.0875909138309565E-2</v>
      </c>
      <c r="J28" s="9"/>
      <c r="K28" s="7">
        <v>928.45</v>
      </c>
      <c r="L28" s="8">
        <f>IFERROR(K28/K444, "NA")</f>
        <v>6.1381000786988457E-3</v>
      </c>
      <c r="M28" s="9"/>
      <c r="N28" s="10">
        <f t="shared" si="5"/>
        <v>-149.75</v>
      </c>
      <c r="O28" s="8">
        <f>IFERROR(N28/N444, "NA")</f>
        <v>1.0839439490593386E-2</v>
      </c>
      <c r="P28" s="9"/>
      <c r="Q28" s="7">
        <v>2270.21</v>
      </c>
      <c r="R28" s="8">
        <f>IFERROR(Q28/Q444, "NA")</f>
        <v>7.9371791574131614E-3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2270.21</v>
      </c>
      <c r="X28" s="8">
        <f>IFERROR(W28/W444, "NA")</f>
        <v>-6.830162214885907E-2</v>
      </c>
      <c r="Y28" s="9"/>
      <c r="Z28" s="7">
        <v>2611.64</v>
      </c>
      <c r="AA28" s="8">
        <f>IFERROR(Z28/Z444, "NA")</f>
        <v>8.6741428909967964E-3</v>
      </c>
      <c r="AB28" s="9"/>
      <c r="AC28" s="10">
        <f t="shared" si="7"/>
        <v>-341.42999999999984</v>
      </c>
      <c r="AD28" s="8">
        <f>IFERROR(AC28/AC444, "NA")</f>
        <v>2.2669689026285019E-2</v>
      </c>
    </row>
    <row r="29" spans="1:30" ht="16.5" customHeight="1" x14ac:dyDescent="0.45">
      <c r="A29" s="13" t="s">
        <v>30</v>
      </c>
      <c r="B29" s="14">
        <f>IFERROR(B21+B22+B23+B24+B25+B26+B27+B28, "NA")</f>
        <v>11414.45</v>
      </c>
      <c r="C29" s="15">
        <f>IFERROR(B29/B444, "NA")</f>
        <v>8.3047479327529664E-2</v>
      </c>
      <c r="D29" s="2"/>
      <c r="E29" s="14">
        <f>IFERROR(E21+E22+E23+E24+E25+E26+E27+E28, "NA")</f>
        <v>14965.2</v>
      </c>
      <c r="F29" s="15">
        <f>IFERROR(E29/E444, "NA")</f>
        <v>9.2000021147734271E-2</v>
      </c>
      <c r="G29" s="2"/>
      <c r="H29" s="14">
        <f t="shared" si="4"/>
        <v>-3550.75</v>
      </c>
      <c r="I29" s="15">
        <f>IFERROR(H29/H444, "NA")</f>
        <v>0.14078930829954114</v>
      </c>
      <c r="J29" s="2"/>
      <c r="K29" s="14">
        <f>IFERROR(K21+K22+K23+K24+K25+K26+K27+K28, "NA")</f>
        <v>11165.650000000001</v>
      </c>
      <c r="L29" s="15">
        <f>IFERROR(K29/K444, "NA")</f>
        <v>7.3817520753647239E-2</v>
      </c>
      <c r="M29" s="2"/>
      <c r="N29" s="14">
        <f t="shared" si="5"/>
        <v>248.79999999999927</v>
      </c>
      <c r="O29" s="15">
        <f>IFERROR(N29/N444, "NA")</f>
        <v>-1.8009032021767124E-2</v>
      </c>
      <c r="P29" s="2"/>
      <c r="Q29" s="14">
        <f>IFERROR(Q21+Q22+Q23+Q24+Q25+Q26+Q27+Q28, "NA")</f>
        <v>24530.6</v>
      </c>
      <c r="R29" s="15">
        <f>IFERROR(Q29/Q444, "NA")</f>
        <v>8.5764650423898803E-2</v>
      </c>
      <c r="S29" s="2"/>
      <c r="T29" s="14">
        <f>IFERROR(T21+T22+T23+T24+T25+T26+T27+T28, "NA")</f>
        <v>29371.95</v>
      </c>
      <c r="U29" s="15">
        <f>IFERROR(T29/T444, "NA")</f>
        <v>9.2000013280699997E-2</v>
      </c>
      <c r="V29" s="2"/>
      <c r="W29" s="14">
        <f t="shared" si="6"/>
        <v>-4841.3500000000022</v>
      </c>
      <c r="X29" s="15">
        <f>IFERROR(W29/W444, "NA")</f>
        <v>0.14565703542420261</v>
      </c>
      <c r="Y29" s="2"/>
      <c r="Z29" s="14">
        <f>IFERROR(Z21+Z22+Z23+Z24+Z25+Z26+Z27+Z28, "NA")</f>
        <v>26943.94</v>
      </c>
      <c r="AA29" s="15">
        <f>IFERROR(Z29/Z444, "NA")</f>
        <v>8.9489970136176586E-2</v>
      </c>
      <c r="AB29" s="2"/>
      <c r="AC29" s="14">
        <f t="shared" si="7"/>
        <v>-2413.34</v>
      </c>
      <c r="AD29" s="15">
        <f>IFERROR(AC29/AC444, "NA")</f>
        <v>0.1602368488846754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28141.08</v>
      </c>
      <c r="F31" s="8">
        <f>IFERROR(E31/E444, "NA")</f>
        <v>0.17300002372972509</v>
      </c>
      <c r="G31" s="9"/>
      <c r="H31" s="10">
        <f t="shared" ref="H31:H40" si="8">IFERROR(B31-E31, "NA")</f>
        <v>-28141.08</v>
      </c>
      <c r="I31" s="8">
        <f>IFERROR(H31/H444, "NA")</f>
        <v>1.1158102338948255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55232.03</v>
      </c>
      <c r="U31" s="8">
        <f>IFERROR(T31/T444, "NA")</f>
        <v>0.17300000488629527</v>
      </c>
      <c r="V31" s="9"/>
      <c r="W31" s="10">
        <f t="shared" ref="W31:W40" si="10">IFERROR(Q31-T31, "NA")</f>
        <v>-55232.03</v>
      </c>
      <c r="X31" s="8">
        <f>IFERROR(W31/W444, "NA")</f>
        <v>1.6617129003812197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10716.6</v>
      </c>
      <c r="C33" s="8">
        <f>IFERROR(B33/B444, "NA")</f>
        <v>7.797017087651216E-2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10716.6</v>
      </c>
      <c r="I33" s="8">
        <f>IFERROR(H33/H444, "NA")</f>
        <v>-0.42491943992758224</v>
      </c>
      <c r="J33" s="9"/>
      <c r="K33" s="7">
        <v>11629.67</v>
      </c>
      <c r="L33" s="8">
        <f>IFERROR(K33/K444, "NA")</f>
        <v>7.6885215512134855E-2</v>
      </c>
      <c r="M33" s="9"/>
      <c r="N33" s="10">
        <f t="shared" si="9"/>
        <v>-913.06999999999971</v>
      </c>
      <c r="O33" s="8">
        <f>IFERROR(N33/N444, "NA")</f>
        <v>6.6091265547085817E-2</v>
      </c>
      <c r="P33" s="9"/>
      <c r="Q33" s="7">
        <v>29630.15</v>
      </c>
      <c r="R33" s="8">
        <f>IFERROR(Q33/Q444, "NA")</f>
        <v>0.10359385652033319</v>
      </c>
      <c r="S33" s="9"/>
      <c r="T33" s="7">
        <v>0</v>
      </c>
      <c r="U33" s="8">
        <f>IFERROR(T33/T444, "NA")</f>
        <v>0</v>
      </c>
      <c r="V33" s="9"/>
      <c r="W33" s="10">
        <f t="shared" si="10"/>
        <v>29630.15</v>
      </c>
      <c r="X33" s="8">
        <f>IFERROR(W33/W444, "NA")</f>
        <v>-0.8914537904044193</v>
      </c>
      <c r="Y33" s="9"/>
      <c r="Z33" s="7">
        <v>28075.62</v>
      </c>
      <c r="AA33" s="8">
        <f>IFERROR(Z33/Z444, "NA")</f>
        <v>9.3248663534532886E-2</v>
      </c>
      <c r="AB33" s="9"/>
      <c r="AC33" s="10">
        <f t="shared" si="11"/>
        <v>1554.5300000000025</v>
      </c>
      <c r="AD33" s="8">
        <f>IFERROR(AC33/AC444, "NA")</f>
        <v>-0.10321504168359817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528.05999999999995</v>
      </c>
      <c r="C35" s="8">
        <f>IFERROR(B35/B444, "NA")</f>
        <v>3.8419767867654861E-3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528.05999999999995</v>
      </c>
      <c r="I35" s="8">
        <f>IFERROR(H35/H444, "NA")</f>
        <v>-2.0937886964910422E-2</v>
      </c>
      <c r="J35" s="9"/>
      <c r="K35" s="7">
        <v>1712.41</v>
      </c>
      <c r="L35" s="8">
        <f>IFERROR(K35/K444, "NA")</f>
        <v>1.1320958539247876E-2</v>
      </c>
      <c r="M35" s="9"/>
      <c r="N35" s="10">
        <f t="shared" si="9"/>
        <v>-1184.3500000000001</v>
      </c>
      <c r="O35" s="8">
        <f>IFERROR(N35/N444, "NA")</f>
        <v>8.5727480204903367E-2</v>
      </c>
      <c r="P35" s="9"/>
      <c r="Q35" s="7">
        <v>1858.41</v>
      </c>
      <c r="R35" s="8">
        <f>IFERROR(Q35/Q444, "NA")</f>
        <v>6.4974311266042329E-3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1858.41</v>
      </c>
      <c r="X35" s="8">
        <f>IFERROR(W35/W444, "NA")</f>
        <v>-5.5912192095736162E-2</v>
      </c>
      <c r="Y35" s="9"/>
      <c r="Z35" s="7">
        <v>3372.09</v>
      </c>
      <c r="AA35" s="8">
        <f>IFERROR(Z35/Z444, "NA")</f>
        <v>1.1199855455308307E-2</v>
      </c>
      <c r="AB35" s="9"/>
      <c r="AC35" s="10">
        <f t="shared" si="11"/>
        <v>-1513.68</v>
      </c>
      <c r="AD35" s="8">
        <f>IFERROR(AC35/AC444, "NA")</f>
        <v>0.10050275279063681</v>
      </c>
    </row>
    <row r="36" spans="1:30" ht="16.5" customHeight="1" x14ac:dyDescent="0.45">
      <c r="A36" s="12" t="s">
        <v>36</v>
      </c>
      <c r="B36" s="7">
        <v>10179.31</v>
      </c>
      <c r="C36" s="8">
        <f>IFERROR(B36/B444, "NA")</f>
        <v>7.4061039891849006E-2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10179.31</v>
      </c>
      <c r="I36" s="8">
        <f>IFERROR(H36/H444, "NA")</f>
        <v>-0.4036155780797302</v>
      </c>
      <c r="J36" s="9"/>
      <c r="K36" s="7">
        <v>12757.84</v>
      </c>
      <c r="L36" s="8">
        <f>IFERROR(K36/K444, "NA")</f>
        <v>8.4343689706529459E-2</v>
      </c>
      <c r="M36" s="9"/>
      <c r="N36" s="10">
        <f t="shared" si="9"/>
        <v>-2578.5300000000007</v>
      </c>
      <c r="O36" s="8">
        <f>IFERROR(N36/N444, "NA")</f>
        <v>0.18664320473909699</v>
      </c>
      <c r="P36" s="9"/>
      <c r="Q36" s="7">
        <v>18071.02</v>
      </c>
      <c r="R36" s="8">
        <f>IFERROR(Q36/Q444, "NA")</f>
        <v>6.3180464933727004E-2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18071.02</v>
      </c>
      <c r="X36" s="8">
        <f>IFERROR(W36/W444, "NA")</f>
        <v>-0.54368537707281495</v>
      </c>
      <c r="Y36" s="9"/>
      <c r="Z36" s="7">
        <v>26669.34</v>
      </c>
      <c r="AA36" s="8">
        <f>IFERROR(Z36/Z444, "NA")</f>
        <v>8.8577930330587862E-2</v>
      </c>
      <c r="AB36" s="9"/>
      <c r="AC36" s="10">
        <f t="shared" si="11"/>
        <v>-8598.32</v>
      </c>
      <c r="AD36" s="8">
        <f>IFERROR(AC36/AC444, "NA")</f>
        <v>0.57089664220627101</v>
      </c>
    </row>
    <row r="37" spans="1:30" ht="16.5" customHeight="1" x14ac:dyDescent="0.45">
      <c r="A37" s="12" t="s">
        <v>37</v>
      </c>
      <c r="B37" s="7">
        <v>2093.15</v>
      </c>
      <c r="C37" s="8">
        <f>IFERROR(B37/B444, "NA")</f>
        <v>1.5229015095288753E-2</v>
      </c>
      <c r="D37" s="9"/>
      <c r="E37" s="7">
        <v>0</v>
      </c>
      <c r="F37" s="8">
        <f>IFERROR(E37/E444, "NA")</f>
        <v>0</v>
      </c>
      <c r="G37" s="9"/>
      <c r="H37" s="10">
        <f t="shared" si="8"/>
        <v>2093.15</v>
      </c>
      <c r="I37" s="8">
        <f>IFERROR(H37/H444, "NA")</f>
        <v>-8.2994618226342187E-2</v>
      </c>
      <c r="J37" s="9"/>
      <c r="K37" s="7">
        <v>0</v>
      </c>
      <c r="L37" s="8">
        <f>IFERROR(K37/K444, "NA")</f>
        <v>0</v>
      </c>
      <c r="M37" s="9"/>
      <c r="N37" s="10">
        <f t="shared" si="9"/>
        <v>2093.15</v>
      </c>
      <c r="O37" s="8">
        <f>IFERROR(N37/N444, "NA")</f>
        <v>-0.1515096679114227</v>
      </c>
      <c r="P37" s="9"/>
      <c r="Q37" s="7">
        <v>3180.55</v>
      </c>
      <c r="R37" s="8">
        <f>IFERROR(Q37/Q444, "NA")</f>
        <v>1.1119938318089707E-2</v>
      </c>
      <c r="S37" s="9"/>
      <c r="T37" s="7">
        <v>0</v>
      </c>
      <c r="U37" s="8">
        <f>IFERROR(T37/T444, "NA")</f>
        <v>0</v>
      </c>
      <c r="V37" s="9"/>
      <c r="W37" s="10">
        <f t="shared" si="10"/>
        <v>3180.55</v>
      </c>
      <c r="X37" s="8">
        <f>IFERROR(W37/W444, "NA")</f>
        <v>-9.5690145107965224E-2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3180.55</v>
      </c>
      <c r="AD37" s="8">
        <f>IFERROR(AC37/AC444, "NA")</f>
        <v>-0.21117675492063046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1303</v>
      </c>
      <c r="L39" s="8">
        <f>IFERROR(K39/K444, "NA")</f>
        <v>8.6142973800900375E-3</v>
      </c>
      <c r="M39" s="9"/>
      <c r="N39" s="10">
        <f t="shared" si="9"/>
        <v>-1303</v>
      </c>
      <c r="O39" s="8">
        <f>IFERROR(N39/N444, "NA")</f>
        <v>9.4315790692775847E-2</v>
      </c>
      <c r="P39" s="9"/>
      <c r="Q39" s="7">
        <v>0</v>
      </c>
      <c r="R39" s="8">
        <f>IFERROR(Q39/Q444, "NA")</f>
        <v>0</v>
      </c>
      <c r="S39" s="9"/>
      <c r="T39" s="7">
        <v>0</v>
      </c>
      <c r="U39" s="8">
        <f>IFERROR(T39/T444, "NA")</f>
        <v>0</v>
      </c>
      <c r="V39" s="9"/>
      <c r="W39" s="10">
        <f t="shared" si="10"/>
        <v>0</v>
      </c>
      <c r="X39" s="8">
        <f>IFERROR(W39/W444, "NA")</f>
        <v>0</v>
      </c>
      <c r="Y39" s="9"/>
      <c r="Z39" s="7">
        <v>2718.15</v>
      </c>
      <c r="AA39" s="8">
        <f>IFERROR(Z39/Z444, "NA")</f>
        <v>9.0278987529532947E-3</v>
      </c>
      <c r="AB39" s="9"/>
      <c r="AC39" s="10">
        <f t="shared" si="11"/>
        <v>-2718.15</v>
      </c>
      <c r="AD39" s="8">
        <f>IFERROR(AC39/AC444, "NA")</f>
        <v>0.18047510537093009</v>
      </c>
    </row>
    <row r="40" spans="1:30" ht="16.5" customHeight="1" x14ac:dyDescent="0.45">
      <c r="A40" s="13" t="s">
        <v>40</v>
      </c>
      <c r="B40" s="14">
        <f>IFERROR(B31+B32+B33+B34+B35+B36+B37+B38+B39, "NA")</f>
        <v>23517.120000000003</v>
      </c>
      <c r="C40" s="15">
        <f>IFERROR(B40/B444, "NA")</f>
        <v>0.17110220265041542</v>
      </c>
      <c r="D40" s="2"/>
      <c r="E40" s="14">
        <f>IFERROR(E31+E32+E33+E34+E35+E36+E37+E38+E39, "NA")</f>
        <v>28141.08</v>
      </c>
      <c r="F40" s="15">
        <f>IFERROR(E40/E444, "NA")</f>
        <v>0.17300002372972509</v>
      </c>
      <c r="G40" s="2"/>
      <c r="H40" s="14">
        <f t="shared" si="8"/>
        <v>-4623.9599999999991</v>
      </c>
      <c r="I40" s="15">
        <f>IFERROR(H40/H444, "NA")</f>
        <v>0.18334271069626026</v>
      </c>
      <c r="J40" s="2"/>
      <c r="K40" s="14">
        <f>IFERROR(K31+K32+K33+K34+K35+K36+K37+K38+K39, "NA")</f>
        <v>27402.92</v>
      </c>
      <c r="L40" s="15">
        <f>IFERROR(K40/K444, "NA")</f>
        <v>0.18116416113800221</v>
      </c>
      <c r="M40" s="2"/>
      <c r="N40" s="14">
        <f t="shared" si="9"/>
        <v>-3885.7999999999956</v>
      </c>
      <c r="O40" s="15">
        <f>IFERROR(N40/N444, "NA")</f>
        <v>0.28126807327243897</v>
      </c>
      <c r="P40" s="2"/>
      <c r="Q40" s="14">
        <f>IFERROR(Q31+Q32+Q33+Q34+Q35+Q36+Q37+Q38+Q39, "NA")</f>
        <v>52740.130000000005</v>
      </c>
      <c r="R40" s="15">
        <f>IFERROR(Q40/Q444, "NA")</f>
        <v>0.18439169089875415</v>
      </c>
      <c r="S40" s="2"/>
      <c r="T40" s="14">
        <f>IFERROR(T31+T32+T33+T34+T35+T36+T37+T38+T39, "NA")</f>
        <v>55232.03</v>
      </c>
      <c r="U40" s="15">
        <f>IFERROR(T40/T444, "NA")</f>
        <v>0.17300000488629527</v>
      </c>
      <c r="V40" s="2"/>
      <c r="W40" s="14">
        <f t="shared" si="10"/>
        <v>-2491.8999999999942</v>
      </c>
      <c r="X40" s="15">
        <f>IFERROR(W40/W444, "NA")</f>
        <v>7.497139570028391E-2</v>
      </c>
      <c r="Y40" s="2"/>
      <c r="Z40" s="14">
        <f>IFERROR(Z31+Z32+Z33+Z34+Z35+Z36+Z37+Z38+Z39, "NA")</f>
        <v>60835.200000000004</v>
      </c>
      <c r="AA40" s="15">
        <f>IFERROR(Z40/Z444, "NA")</f>
        <v>0.20205434807338238</v>
      </c>
      <c r="AB40" s="2"/>
      <c r="AC40" s="14">
        <f t="shared" si="11"/>
        <v>-8095.07</v>
      </c>
      <c r="AD40" s="15">
        <f>IFERROR(AC40/AC444, "NA")</f>
        <v>0.5374827037636094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30906.38</v>
      </c>
      <c r="F42" s="8">
        <f>IFERROR(E42/E444, "NA")</f>
        <v>0.1899999741800919</v>
      </c>
      <c r="G42" s="9"/>
      <c r="H42" s="10">
        <f>IFERROR(B42-E42, "NA")</f>
        <v>-30906.38</v>
      </c>
      <c r="I42" s="8">
        <f>IFERROR(H42/H444, "NA")</f>
        <v>1.225455991619453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60659.45</v>
      </c>
      <c r="U42" s="8">
        <f>IFERROR(T42/T444, "NA")</f>
        <v>0.18999998997683015</v>
      </c>
      <c r="V42" s="9"/>
      <c r="W42" s="10">
        <f>IFERROR(Q42-T42, "NA")</f>
        <v>-60659.45</v>
      </c>
      <c r="X42" s="8">
        <f>IFERROR(W42/W444, "NA")</f>
        <v>1.8250024595335275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3035.69</v>
      </c>
      <c r="C43" s="8">
        <f>IFERROR(B43/B444, "NA")</f>
        <v>2.2086600976813468E-2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3035.69</v>
      </c>
      <c r="I43" s="8">
        <f>IFERROR(H43/H444, "NA")</f>
        <v>-0.12036687891623855</v>
      </c>
      <c r="J43" s="9"/>
      <c r="K43" s="7">
        <v>3296.67</v>
      </c>
      <c r="L43" s="8">
        <f>IFERROR(K43/K444, "NA")</f>
        <v>2.1794701261720204E-2</v>
      </c>
      <c r="M43" s="9"/>
      <c r="N43" s="10">
        <f>IFERROR(B43-K43, "NA")</f>
        <v>-260.98</v>
      </c>
      <c r="O43" s="8">
        <f>IFERROR(N43/N444, "NA")</f>
        <v>1.8890663894858512E-2</v>
      </c>
      <c r="P43" s="9"/>
      <c r="Q43" s="7">
        <v>6857.16</v>
      </c>
      <c r="R43" s="8">
        <f>IFERROR(Q43/Q444, "NA")</f>
        <v>2.3974217112534627E-2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6857.16</v>
      </c>
      <c r="X43" s="8">
        <f>IFERROR(W43/W444, "NA")</f>
        <v>-0.20630476975005416</v>
      </c>
      <c r="Y43" s="9"/>
      <c r="Z43" s="7">
        <v>8304.77</v>
      </c>
      <c r="AA43" s="8">
        <f>IFERROR(Z43/Z444, "NA")</f>
        <v>2.7582960000943263E-2</v>
      </c>
      <c r="AB43" s="9"/>
      <c r="AC43" s="10">
        <f>IFERROR(Q43-Z43, "NA")</f>
        <v>-1447.6100000000006</v>
      </c>
      <c r="AD43" s="8">
        <f>IFERROR(AC43/AC444, "NA")</f>
        <v>9.6115949188239125E-2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19435.810000000001</v>
      </c>
      <c r="C48" s="8">
        <f>IFERROR(B48/B444, "NA")</f>
        <v>0.14140804236636845</v>
      </c>
      <c r="D48" s="9"/>
      <c r="E48" s="7">
        <v>0</v>
      </c>
      <c r="F48" s="8">
        <f>IFERROR(E48/E444, "NA")</f>
        <v>0</v>
      </c>
      <c r="G48" s="9"/>
      <c r="H48" s="10">
        <f t="shared" si="12"/>
        <v>19435.810000000001</v>
      </c>
      <c r="I48" s="8">
        <f>IFERROR(H48/H444, "NA")</f>
        <v>-0.77064120147611204</v>
      </c>
      <c r="J48" s="9"/>
      <c r="K48" s="7">
        <v>26983.99</v>
      </c>
      <c r="L48" s="8">
        <f>IFERROR(K48/K444, "NA")</f>
        <v>0.1783945620578479</v>
      </c>
      <c r="M48" s="9"/>
      <c r="N48" s="10">
        <f t="shared" si="13"/>
        <v>-7548.18</v>
      </c>
      <c r="O48" s="8">
        <f>IFERROR(N48/N444, "NA")</f>
        <v>0.54636420950989784</v>
      </c>
      <c r="P48" s="9"/>
      <c r="Q48" s="7">
        <v>43753.71</v>
      </c>
      <c r="R48" s="8">
        <f>IFERROR(Q48/Q444, "NA")</f>
        <v>0.15297308842419857</v>
      </c>
      <c r="S48" s="9"/>
      <c r="T48" s="7">
        <v>0</v>
      </c>
      <c r="U48" s="8">
        <f>IFERROR(T48/T444, "NA")</f>
        <v>0</v>
      </c>
      <c r="V48" s="9"/>
      <c r="W48" s="10">
        <f t="shared" si="14"/>
        <v>43753.71</v>
      </c>
      <c r="X48" s="8">
        <f>IFERROR(W48/W444, "NA")</f>
        <v>-1.3163757397028277</v>
      </c>
      <c r="Y48" s="9"/>
      <c r="Z48" s="7">
        <v>49429.95</v>
      </c>
      <c r="AA48" s="8">
        <f>IFERROR(Z48/Z444, "NA")</f>
        <v>0.16417364161784437</v>
      </c>
      <c r="AB48" s="9"/>
      <c r="AC48" s="10">
        <f t="shared" si="15"/>
        <v>-5676.239999999998</v>
      </c>
      <c r="AD48" s="8">
        <f>IFERROR(AC48/AC444, "NA")</f>
        <v>0.37688133918683214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7800</v>
      </c>
      <c r="C52" s="8">
        <f>IFERROR(B52/B444, "NA")</f>
        <v>5.6750026392400094E-2</v>
      </c>
      <c r="D52" s="9"/>
      <c r="E52" s="7">
        <v>0</v>
      </c>
      <c r="F52" s="8">
        <f>IFERROR(E52/E444, "NA")</f>
        <v>0</v>
      </c>
      <c r="G52" s="9"/>
      <c r="H52" s="10">
        <f t="shared" si="12"/>
        <v>7800</v>
      </c>
      <c r="I52" s="8">
        <f>IFERROR(H52/H444, "NA")</f>
        <v>-0.30927454896470347</v>
      </c>
      <c r="J52" s="9"/>
      <c r="K52" s="7">
        <v>0</v>
      </c>
      <c r="L52" s="8">
        <f>IFERROR(K52/K444, "NA")</f>
        <v>0</v>
      </c>
      <c r="M52" s="9"/>
      <c r="N52" s="10">
        <f t="shared" si="13"/>
        <v>7800</v>
      </c>
      <c r="O52" s="8">
        <f>IFERROR(N52/N444, "NA")</f>
        <v>-0.56459183991070727</v>
      </c>
      <c r="P52" s="9"/>
      <c r="Q52" s="7">
        <v>7800</v>
      </c>
      <c r="R52" s="8">
        <f>IFERROR(Q52/Q444, "NA")</f>
        <v>2.7270603788998666E-2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7800</v>
      </c>
      <c r="X52" s="8">
        <f>IFERROR(W52/W444, "NA")</f>
        <v>-0.23467108891296434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7800</v>
      </c>
      <c r="AD52" s="8">
        <f>IFERROR(AC52/AC444, "NA")</f>
        <v>-0.5178911472484059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27235.81</v>
      </c>
      <c r="C61" s="15">
        <f>IFERROR(B61/B444, "NA")</f>
        <v>0.19815806875876854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27235.81</v>
      </c>
      <c r="I61" s="15">
        <f>IFERROR(H61/H444, "NA")</f>
        <v>-1.0799157504408154</v>
      </c>
      <c r="J61" s="2"/>
      <c r="K61" s="14">
        <f>IFERROR(K46+K47+K48+K49+K50+K51+K52+K53+K54+K55+K56+K57+K58+K59+K60, "NA")</f>
        <v>26983.99</v>
      </c>
      <c r="L61" s="15">
        <f>IFERROR(K61/K444, "NA")</f>
        <v>0.1783945620578479</v>
      </c>
      <c r="M61" s="2"/>
      <c r="N61" s="14">
        <f t="shared" si="13"/>
        <v>251.81999999999971</v>
      </c>
      <c r="O61" s="15">
        <f>IFERROR(N61/N444, "NA")</f>
        <v>-1.8227630400809505E-2</v>
      </c>
      <c r="P61" s="2"/>
      <c r="Q61" s="14">
        <f>IFERROR(Q46+Q47+Q48+Q49+Q50+Q51+Q52+Q53+Q54+Q55+Q56+Q57+Q58+Q59+Q60, "NA")</f>
        <v>51553.71</v>
      </c>
      <c r="R61" s="15">
        <f>IFERROR(Q61/Q444, "NA")</f>
        <v>0.18024369221319722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51553.71</v>
      </c>
      <c r="X61" s="15">
        <f>IFERROR(W61/W444, "NA")</f>
        <v>-1.5510468286157921</v>
      </c>
      <c r="Y61" s="2"/>
      <c r="Z61" s="14">
        <f>IFERROR(Z46+Z47+Z48+Z49+Z50+Z51+Z52+Z53+Z54+Z55+Z56+Z57+Z58+Z59+Z60, "NA")</f>
        <v>49429.95</v>
      </c>
      <c r="AA61" s="15">
        <f>IFERROR(Z61/Z444, "NA")</f>
        <v>0.16417364161784437</v>
      </c>
      <c r="AB61" s="2"/>
      <c r="AC61" s="14">
        <f t="shared" si="15"/>
        <v>2123.760000000002</v>
      </c>
      <c r="AD61" s="15">
        <f>IFERROR(AC61/AC444, "NA")</f>
        <v>-0.14100980806157379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30271.5</v>
      </c>
      <c r="C62" s="15">
        <f>IFERROR(B62/B444, "NA")</f>
        <v>0.22024466973558199</v>
      </c>
      <c r="D62" s="2"/>
      <c r="E62" s="14">
        <f>IFERROR(E42+E43+E44+E46+E47+E48+E49+E50+E51+E52+E53+E54+E55+E56+E57+E58+E59+E60, "NA")</f>
        <v>30906.38</v>
      </c>
      <c r="F62" s="15">
        <f>IFERROR(E62/E444, "NA")</f>
        <v>0.1899999741800919</v>
      </c>
      <c r="G62" s="2"/>
      <c r="H62" s="14">
        <f t="shared" si="12"/>
        <v>-634.88000000000102</v>
      </c>
      <c r="I62" s="15">
        <f>IFERROR(H62/H444, "NA")</f>
        <v>2.5173362262398878E-2</v>
      </c>
      <c r="J62" s="2"/>
      <c r="K62" s="14">
        <f>IFERROR(K42+K43+K44+K46+K47+K48+K49+K50+K51+K52+K53+K54+K55+K56+K57+K58+K59+K60, "NA")</f>
        <v>30280.660000000003</v>
      </c>
      <c r="L62" s="15">
        <f>IFERROR(K62/K444, "NA")</f>
        <v>0.2001892633195681</v>
      </c>
      <c r="M62" s="2"/>
      <c r="N62" s="14">
        <f t="shared" si="13"/>
        <v>-9.1600000000034925</v>
      </c>
      <c r="O62" s="15">
        <f>IFERROR(N62/N444, "NA")</f>
        <v>6.6303349404923722E-4</v>
      </c>
      <c r="P62" s="2"/>
      <c r="Q62" s="14">
        <f>IFERROR(Q42+Q43+Q44+Q46+Q47+Q48+Q49+Q50+Q51+Q52+Q53+Q54+Q55+Q56+Q57+Q58+Q59+Q60, "NA")</f>
        <v>58410.869999999995</v>
      </c>
      <c r="R62" s="15">
        <f>IFERROR(Q62/Q444, "NA")</f>
        <v>0.20421790932573183</v>
      </c>
      <c r="S62" s="2"/>
      <c r="T62" s="14">
        <f>IFERROR(T42+T43+T44+T46+T47+T48+T49+T50+T51+T52+T53+T54+T55+T56+T57+T58+T59+T60, "NA")</f>
        <v>60659.45</v>
      </c>
      <c r="U62" s="15">
        <f>IFERROR(T62/T444, "NA")</f>
        <v>0.18999998997683015</v>
      </c>
      <c r="V62" s="2"/>
      <c r="W62" s="14">
        <f t="shared" si="14"/>
        <v>-2248.5800000000017</v>
      </c>
      <c r="X62" s="15">
        <f>IFERROR(W62/W444, "NA")</f>
        <v>6.765086116768125E-2</v>
      </c>
      <c r="Y62" s="2"/>
      <c r="Z62" s="14">
        <f>IFERROR(Z42+Z43+Z44+Z46+Z47+Z48+Z49+Z50+Z51+Z52+Z53+Z54+Z55+Z56+Z57+Z58+Z59+Z60, "NA")</f>
        <v>57734.720000000001</v>
      </c>
      <c r="AA62" s="15">
        <f>IFERROR(Z62/Z444, "NA")</f>
        <v>0.19175660161878763</v>
      </c>
      <c r="AB62" s="2"/>
      <c r="AC62" s="14">
        <f t="shared" si="15"/>
        <v>676.14999999999418</v>
      </c>
      <c r="AD62" s="15">
        <f>IFERROR(AC62/AC444, "NA")</f>
        <v>-4.4893858873334185E-2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6669.27</v>
      </c>
      <c r="F64" s="8">
        <f>IFERROR(E64/E444, "NA")</f>
        <v>4.0999985368718746E-2</v>
      </c>
      <c r="G64" s="9"/>
      <c r="H64" s="10">
        <f t="shared" ref="H64:H73" si="16">IFERROR(B64-E64, "NA")</f>
        <v>-6669.27</v>
      </c>
      <c r="I64" s="8">
        <f>IFERROR(H64/H444, "NA")</f>
        <v>0.26444044502228564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13089.67</v>
      </c>
      <c r="U64" s="8">
        <f>IFERROR(T64/T444, "NA")</f>
        <v>4.0999995364283962E-2</v>
      </c>
      <c r="V64" s="9"/>
      <c r="W64" s="10">
        <f t="shared" ref="W64:W73" si="18">IFERROR(Q64-T64, "NA")</f>
        <v>-13089.67</v>
      </c>
      <c r="X64" s="8">
        <f>IFERROR(W64/W444, "NA")</f>
        <v>0.3938162964629951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3496.96</v>
      </c>
      <c r="C65" s="8">
        <f>IFERROR(B65/B444, "NA")</f>
        <v>2.5442637473483007E-2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3496.96</v>
      </c>
      <c r="I65" s="8">
        <f>IFERROR(H65/H444, "NA")</f>
        <v>-0.13865650342918071</v>
      </c>
      <c r="J65" s="9"/>
      <c r="K65" s="7">
        <v>966.91</v>
      </c>
      <c r="L65" s="8">
        <f>IFERROR(K65/K444, "NA")</f>
        <v>6.3923639906238363E-3</v>
      </c>
      <c r="M65" s="9"/>
      <c r="N65" s="10">
        <f t="shared" si="17"/>
        <v>2530.0500000000002</v>
      </c>
      <c r="O65" s="8">
        <f>IFERROR(N65/N444, "NA")</f>
        <v>-0.18313404930334423</v>
      </c>
      <c r="P65" s="9"/>
      <c r="Q65" s="7">
        <v>7125.86</v>
      </c>
      <c r="R65" s="8">
        <f>IFERROR(Q65/Q444, "NA")</f>
        <v>2.4913654450753081E-2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7125.86</v>
      </c>
      <c r="X65" s="8">
        <f>IFERROR(W65/W444, "NA")</f>
        <v>-0.21438888790273539</v>
      </c>
      <c r="Y65" s="9"/>
      <c r="Z65" s="7">
        <v>966.91</v>
      </c>
      <c r="AA65" s="8">
        <f>IFERROR(Z65/Z444, "NA")</f>
        <v>3.2114363016088401E-3</v>
      </c>
      <c r="AB65" s="9"/>
      <c r="AC65" s="10">
        <f t="shared" si="19"/>
        <v>6158.95</v>
      </c>
      <c r="AD65" s="8">
        <f>IFERROR(AC65/AC444, "NA")</f>
        <v>-0.40893149760840636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customHeight="1" x14ac:dyDescent="0.45">
      <c r="A71" s="12" t="s">
        <v>68</v>
      </c>
      <c r="B71" s="7">
        <v>5101.76</v>
      </c>
      <c r="C71" s="8">
        <f>IFERROR(B71/B444, "NA")</f>
        <v>3.7118591621498866E-2</v>
      </c>
      <c r="D71" s="9"/>
      <c r="E71" s="7">
        <v>0</v>
      </c>
      <c r="F71" s="8">
        <f>IFERROR(E71/E444, "NA")</f>
        <v>0</v>
      </c>
      <c r="G71" s="9"/>
      <c r="H71" s="10">
        <f t="shared" si="16"/>
        <v>5101.76</v>
      </c>
      <c r="I71" s="8">
        <f>IFERROR(H71/H444, "NA")</f>
        <v>-0.20228775934950841</v>
      </c>
      <c r="J71" s="9"/>
      <c r="K71" s="7">
        <v>0</v>
      </c>
      <c r="L71" s="8">
        <f>IFERROR(K71/K444, "NA")</f>
        <v>0</v>
      </c>
      <c r="M71" s="9"/>
      <c r="N71" s="10">
        <f t="shared" si="17"/>
        <v>5101.76</v>
      </c>
      <c r="O71" s="8">
        <f>IFERROR(N71/N444, "NA")</f>
        <v>-0.36928359810036543</v>
      </c>
      <c r="P71" s="9"/>
      <c r="Q71" s="7">
        <v>7267.89</v>
      </c>
      <c r="R71" s="8">
        <f>IFERROR(Q71/Q444, "NA")</f>
        <v>2.5410224175900709E-2</v>
      </c>
      <c r="S71" s="9"/>
      <c r="T71" s="7">
        <v>0</v>
      </c>
      <c r="U71" s="8">
        <f>IFERROR(T71/T444, "NA")</f>
        <v>0</v>
      </c>
      <c r="V71" s="9"/>
      <c r="W71" s="10">
        <f t="shared" si="18"/>
        <v>7267.89</v>
      </c>
      <c r="X71" s="8">
        <f>IFERROR(W71/W444, "NA")</f>
        <v>-0.21866200774354416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7267.89</v>
      </c>
      <c r="AD71" s="8">
        <f>IFERROR(AC71/AC444, "NA")</f>
        <v>-0.48256101156092529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8598.7200000000012</v>
      </c>
      <c r="C73" s="15">
        <f>IFERROR(B73/B444, "NA")</f>
        <v>6.2561229094981879E-2</v>
      </c>
      <c r="D73" s="2"/>
      <c r="E73" s="14">
        <f>IFERROR(E64+E65+E66+E67+E68+E69+E70+E71+E72, "NA")</f>
        <v>6669.27</v>
      </c>
      <c r="F73" s="15">
        <f>IFERROR(E73/E444, "NA")</f>
        <v>4.0999985368718746E-2</v>
      </c>
      <c r="G73" s="2"/>
      <c r="H73" s="14">
        <f t="shared" si="16"/>
        <v>1929.4500000000007</v>
      </c>
      <c r="I73" s="15">
        <f>IFERROR(H73/H444, "NA")</f>
        <v>-7.6503817756403511E-2</v>
      </c>
      <c r="J73" s="2"/>
      <c r="K73" s="14">
        <f>IFERROR(K64+K65+K66+K67+K68+K69+K70+K71+K72, "NA")</f>
        <v>966.91</v>
      </c>
      <c r="L73" s="15">
        <f>IFERROR(K73/K444, "NA")</f>
        <v>6.3923639906238363E-3</v>
      </c>
      <c r="M73" s="2"/>
      <c r="N73" s="14">
        <f t="shared" si="17"/>
        <v>7631.8100000000013</v>
      </c>
      <c r="O73" s="15">
        <f>IFERROR(N73/N444, "NA")</f>
        <v>-0.55241764740370969</v>
      </c>
      <c r="P73" s="2"/>
      <c r="Q73" s="14">
        <f>IFERROR(Q64+Q65+Q66+Q67+Q68+Q69+Q70+Q71+Q72, "NA")</f>
        <v>14393.75</v>
      </c>
      <c r="R73" s="15">
        <f>IFERROR(Q73/Q444, "NA")</f>
        <v>5.0323878626653787E-2</v>
      </c>
      <c r="S73" s="2"/>
      <c r="T73" s="14">
        <f>IFERROR(T64+T65+T66+T67+T68+T69+T70+T71+T72, "NA")</f>
        <v>13089.67</v>
      </c>
      <c r="U73" s="15">
        <f>IFERROR(T73/T444, "NA")</f>
        <v>4.0999995364283962E-2</v>
      </c>
      <c r="V73" s="2"/>
      <c r="W73" s="14">
        <f t="shared" si="18"/>
        <v>1304.08</v>
      </c>
      <c r="X73" s="15">
        <f>IFERROR(W73/W444, "NA")</f>
        <v>-3.9234599183284424E-2</v>
      </c>
      <c r="Y73" s="2"/>
      <c r="Z73" s="14">
        <f>IFERROR(Z64+Z65+Z66+Z67+Z68+Z69+Z70+Z71+Z72, "NA")</f>
        <v>966.91</v>
      </c>
      <c r="AA73" s="15">
        <f>IFERROR(Z73/Z444, "NA")</f>
        <v>3.2114363016088401E-3</v>
      </c>
      <c r="AB73" s="2"/>
      <c r="AC73" s="14">
        <f t="shared" si="19"/>
        <v>13426.84</v>
      </c>
      <c r="AD73" s="15">
        <f>IFERROR(AC73/AC444, "NA")</f>
        <v>-0.89149250916933165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2277.31</v>
      </c>
      <c r="F75" s="8">
        <f>IFERROR(E75/E444, "NA")</f>
        <v>1.3999984508055136E-2</v>
      </c>
      <c r="G75" s="9"/>
      <c r="H75" s="10">
        <f t="shared" ref="H75:H92" si="20">IFERROR(B75-E75, "NA")</f>
        <v>-2277.31</v>
      </c>
      <c r="I75" s="8">
        <f>IFERROR(H75/H444, "NA")</f>
        <v>9.0296669628565238E-2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4469.6400000000003</v>
      </c>
      <c r="U75" s="8">
        <f>IFERROR(T75/T444, "NA")</f>
        <v>1.3999987721616983E-2</v>
      </c>
      <c r="V75" s="9"/>
      <c r="W75" s="10">
        <f t="shared" ref="W75:W92" si="22">IFERROR(Q75-T75, "NA")</f>
        <v>-4469.6400000000003</v>
      </c>
      <c r="X75" s="8">
        <f>IFERROR(W75/W444, "NA")</f>
        <v>0.13447375459601821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289.26</v>
      </c>
      <c r="C77" s="8">
        <f>IFERROR(B77/B444, "NA")</f>
        <v>2.1045529018289297E-3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289.26</v>
      </c>
      <c r="I77" s="8">
        <f>IFERROR(H77/H444, "NA")</f>
        <v>-1.1469327696606427E-2</v>
      </c>
      <c r="J77" s="9"/>
      <c r="K77" s="7">
        <v>407.33</v>
      </c>
      <c r="L77" s="8">
        <f>IFERROR(K77/K444, "NA")</f>
        <v>2.692910016755238E-3</v>
      </c>
      <c r="M77" s="9"/>
      <c r="N77" s="10">
        <f t="shared" si="21"/>
        <v>-118.07</v>
      </c>
      <c r="O77" s="8">
        <f>IFERROR(N77/N444, "NA")</f>
        <v>8.5463280177252837E-3</v>
      </c>
      <c r="P77" s="9"/>
      <c r="Q77" s="7">
        <v>523.57000000000005</v>
      </c>
      <c r="R77" s="8">
        <f>IFERROR(Q77/Q444, "NA")</f>
        <v>1.8305217981802607E-3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523.57000000000005</v>
      </c>
      <c r="X77" s="8">
        <f>IFERROR(W77/W444, "NA")</f>
        <v>-1.5752146413097533E-2</v>
      </c>
      <c r="Y77" s="9"/>
      <c r="Z77" s="7">
        <v>908.53</v>
      </c>
      <c r="AA77" s="8">
        <f>IFERROR(Z77/Z444, "NA")</f>
        <v>3.0175365060871018E-3</v>
      </c>
      <c r="AB77" s="9"/>
      <c r="AC77" s="10">
        <f t="shared" si="23"/>
        <v>-384.95999999999992</v>
      </c>
      <c r="AD77" s="8">
        <f>IFERROR(AC77/AC444, "NA")</f>
        <v>2.5559920005736706E-2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1895.41</v>
      </c>
      <c r="C80" s="8">
        <f>IFERROR(B80/B444, "NA")</f>
        <v>1.3790329169797317E-2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1895.41</v>
      </c>
      <c r="I80" s="8">
        <f>IFERROR(H80/H444, "NA")</f>
        <v>-7.5154111904254958E-2</v>
      </c>
      <c r="J80" s="9"/>
      <c r="K80" s="7">
        <v>1640.2</v>
      </c>
      <c r="L80" s="8">
        <f>IFERROR(K80/K444, "NA")</f>
        <v>1.0843569119588397E-2</v>
      </c>
      <c r="M80" s="9"/>
      <c r="N80" s="10">
        <f t="shared" si="21"/>
        <v>255.21000000000004</v>
      </c>
      <c r="O80" s="8">
        <f>IFERROR(N80/N444, "NA")</f>
        <v>-1.8473010700463029E-2</v>
      </c>
      <c r="P80" s="9"/>
      <c r="Q80" s="7">
        <v>4146.8900000000003</v>
      </c>
      <c r="R80" s="8">
        <f>IFERROR(Q80/Q444, "NA")</f>
        <v>1.4498486429046243E-2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4146.8900000000003</v>
      </c>
      <c r="X80" s="8">
        <f>IFERROR(W80/W444, "NA")</f>
        <v>-0.1247634861413183</v>
      </c>
      <c r="Y80" s="9"/>
      <c r="Z80" s="7">
        <v>3925.64</v>
      </c>
      <c r="AA80" s="8">
        <f>IFERROR(Z80/Z444, "NA")</f>
        <v>1.3038382892976314E-2</v>
      </c>
      <c r="AB80" s="9"/>
      <c r="AC80" s="10">
        <f t="shared" si="23"/>
        <v>221.25000000000045</v>
      </c>
      <c r="AD80" s="8">
        <f>IFERROR(AC80/AC444, "NA")</f>
        <v>-1.4690181580603853E-2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2184.67</v>
      </c>
      <c r="C88" s="15">
        <f>IFERROR(B88/B444, "NA")</f>
        <v>1.5894882071626246E-2</v>
      </c>
      <c r="D88" s="2"/>
      <c r="E88" s="14">
        <f>IFERROR(E75+E76+E77+E78+E79+E80+E81+E82+E83+E84+E85+E86+E87, "NA")</f>
        <v>2277.31</v>
      </c>
      <c r="F88" s="15">
        <f>IFERROR(E88/E444, "NA")</f>
        <v>1.3999984508055136E-2</v>
      </c>
      <c r="G88" s="2"/>
      <c r="H88" s="14">
        <f t="shared" si="20"/>
        <v>-92.639999999999873</v>
      </c>
      <c r="I88" s="15">
        <f>IFERROR(H88/H444, "NA")</f>
        <v>3.6732300277038579E-3</v>
      </c>
      <c r="J88" s="2"/>
      <c r="K88" s="14">
        <f>IFERROR(K75+K76+K77+K78+K79+K80+K81+K82+K83+K84+K85+K86+K87, "NA")</f>
        <v>2047.53</v>
      </c>
      <c r="L88" s="15">
        <f>IFERROR(K88/K444, "NA")</f>
        <v>1.3536479136343635E-2</v>
      </c>
      <c r="M88" s="2"/>
      <c r="N88" s="14">
        <f t="shared" si="21"/>
        <v>137.1400000000001</v>
      </c>
      <c r="O88" s="15">
        <f>IFERROR(N88/N444, "NA")</f>
        <v>-9.9266826827377509E-3</v>
      </c>
      <c r="P88" s="2"/>
      <c r="Q88" s="14">
        <f>IFERROR(Q75+Q76+Q77+Q78+Q79+Q80+Q81+Q82+Q83+Q84+Q85+Q86+Q87, "NA")</f>
        <v>4670.46</v>
      </c>
      <c r="R88" s="15">
        <f>IFERROR(Q88/Q444, "NA")</f>
        <v>1.6329008227226501E-2</v>
      </c>
      <c r="S88" s="2"/>
      <c r="T88" s="14">
        <f>IFERROR(T75+T76+T77+T78+T79+T80+T81+T82+T83+T84+T85+T86+T87, "NA")</f>
        <v>4469.6400000000003</v>
      </c>
      <c r="U88" s="15">
        <f>IFERROR(T88/T444, "NA")</f>
        <v>1.3999987721616983E-2</v>
      </c>
      <c r="V88" s="2"/>
      <c r="W88" s="14">
        <f t="shared" si="22"/>
        <v>200.81999999999971</v>
      </c>
      <c r="X88" s="15">
        <f>IFERROR(W88/W444, "NA")</f>
        <v>-6.0418779583976193E-3</v>
      </c>
      <c r="Y88" s="2"/>
      <c r="Z88" s="14">
        <f>IFERROR(Z75+Z76+Z77+Z78+Z79+Z80+Z81+Z82+Z83+Z84+Z85+Z86+Z87, "NA")</f>
        <v>4834.17</v>
      </c>
      <c r="AA88" s="15">
        <f>IFERROR(Z88/Z444, "NA")</f>
        <v>1.6055919399063416E-2</v>
      </c>
      <c r="AB88" s="2"/>
      <c r="AC88" s="14">
        <f t="shared" si="23"/>
        <v>-163.71000000000004</v>
      </c>
      <c r="AD88" s="15">
        <f>IFERROR(AC88/AC444, "NA")</f>
        <v>1.0869738425132891E-2</v>
      </c>
    </row>
    <row r="89" spans="1:30" ht="16.5" customHeight="1" x14ac:dyDescent="0.45">
      <c r="A89" s="6" t="s">
        <v>85</v>
      </c>
      <c r="B89" s="7">
        <v>-15</v>
      </c>
      <c r="C89" s="8">
        <f>IFERROR(B89/B444, "NA")</f>
        <v>-1.0913466613923095E-4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-15</v>
      </c>
      <c r="I89" s="8">
        <f>IFERROR(H89/H444, "NA")</f>
        <v>5.9475874800904514E-4</v>
      </c>
      <c r="J89" s="9"/>
      <c r="K89" s="7">
        <v>-17.75</v>
      </c>
      <c r="L89" s="8">
        <f>IFERROR(K89/K444, "NA")</f>
        <v>-1.1734748925295332E-4</v>
      </c>
      <c r="M89" s="9"/>
      <c r="N89" s="10">
        <f t="shared" si="21"/>
        <v>2.75</v>
      </c>
      <c r="O89" s="8">
        <f>IFERROR(N89/N444, "NA")</f>
        <v>-1.9905481535313399E-4</v>
      </c>
      <c r="P89" s="9"/>
      <c r="Q89" s="7">
        <v>-15</v>
      </c>
      <c r="R89" s="8">
        <f>IFERROR(Q89/Q444, "NA")</f>
        <v>-5.2443468824997432E-5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-15</v>
      </c>
      <c r="X89" s="8">
        <f>IFERROR(W89/W444, "NA")</f>
        <v>4.5129055560185448E-4</v>
      </c>
      <c r="Y89" s="9"/>
      <c r="Z89" s="7">
        <v>-41.05</v>
      </c>
      <c r="AA89" s="8">
        <f>IFERROR(Z89/Z444, "NA")</f>
        <v>-1.3634098331907096E-4</v>
      </c>
      <c r="AB89" s="9"/>
      <c r="AC89" s="10">
        <f t="shared" si="23"/>
        <v>26.049999999999997</v>
      </c>
      <c r="AD89" s="8">
        <f>IFERROR(AC89/AC444, "NA")</f>
        <v>-1.7296236392078171E-3</v>
      </c>
    </row>
    <row r="90" spans="1:30" ht="16.5" customHeight="1" x14ac:dyDescent="0.45">
      <c r="A90" s="6" t="s">
        <v>86</v>
      </c>
      <c r="B90" s="7">
        <v>27.02</v>
      </c>
      <c r="C90" s="8">
        <f>IFERROR(B90/B444, "NA")</f>
        <v>1.9658791193880135E-4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27.02</v>
      </c>
      <c r="I90" s="8">
        <f>IFERROR(H90/H444, "NA")</f>
        <v>-1.0713587580802933E-3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27.02</v>
      </c>
      <c r="O90" s="8">
        <f>IFERROR(N90/N444, "NA")</f>
        <v>-1.9558040403060656E-3</v>
      </c>
      <c r="P90" s="9"/>
      <c r="Q90" s="7">
        <v>-306.22000000000003</v>
      </c>
      <c r="R90" s="8">
        <f>IFERROR(Q90/Q444, "NA")</f>
        <v>-1.0706159349060478E-3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-306.22000000000003</v>
      </c>
      <c r="X90" s="8">
        <f>IFERROR(W90/W444, "NA")</f>
        <v>9.2129462624266599E-3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-306.22000000000003</v>
      </c>
      <c r="AD90" s="8">
        <f>IFERROR(AC90/AC444, "NA")</f>
        <v>2.0331875270564986E-2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-10085.24</v>
      </c>
      <c r="F94" s="8">
        <f>IFERROR(E94/E444, "NA")</f>
        <v>-6.1999992868787289E-2</v>
      </c>
      <c r="G94" s="9"/>
      <c r="H94" s="10">
        <f t="shared" ref="H94:H124" si="24">IFERROR(B94-E94, "NA")</f>
        <v>10085.24</v>
      </c>
      <c r="I94" s="8">
        <f>IFERROR(H94/H444, "NA")</f>
        <v>-0.39988564771804946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-19794.14</v>
      </c>
      <c r="U94" s="8">
        <f>IFERROR(T94/T444, "NA")</f>
        <v>-6.2000008269115087E-2</v>
      </c>
      <c r="V94" s="9"/>
      <c r="W94" s="10">
        <f t="shared" ref="W94:W124" si="26">IFERROR(Q94-T94, "NA")</f>
        <v>19794.14</v>
      </c>
      <c r="X94" s="8">
        <f>IFERROR(W94/W444, "NA")</f>
        <v>-0.59552722921739276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-1205.54</v>
      </c>
      <c r="C96" s="8">
        <f>IFERROR(B96/B444, "NA")</f>
        <v>-8.7710803611658981E-3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-1205.54</v>
      </c>
      <c r="I96" s="8">
        <f>IFERROR(H96/H444, "NA")</f>
        <v>4.7800364071654951E-2</v>
      </c>
      <c r="J96" s="9"/>
      <c r="K96" s="7">
        <v>-1832.05</v>
      </c>
      <c r="L96" s="8">
        <f>IFERROR(K96/K444, "NA")</f>
        <v>-1.2111913672443556E-2</v>
      </c>
      <c r="M96" s="9"/>
      <c r="N96" s="10">
        <f t="shared" si="25"/>
        <v>626.51</v>
      </c>
      <c r="O96" s="8">
        <f>IFERROR(N96/N444, "NA")</f>
        <v>-4.5349029951597078E-2</v>
      </c>
      <c r="P96" s="9"/>
      <c r="Q96" s="7">
        <v>-2722.51</v>
      </c>
      <c r="R96" s="8">
        <f>IFERROR(Q96/Q444, "NA")</f>
        <v>-9.5185245540495844E-3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-2722.51</v>
      </c>
      <c r="X96" s="8">
        <f>IFERROR(W96/W444, "NA")</f>
        <v>8.1909536702107003E-2</v>
      </c>
      <c r="Y96" s="9"/>
      <c r="Z96" s="7">
        <v>-4121.92</v>
      </c>
      <c r="AA96" s="8">
        <f>IFERROR(Z96/Z444, "NA")</f>
        <v>-1.3690295394946284E-2</v>
      </c>
      <c r="AB96" s="9"/>
      <c r="AC96" s="10">
        <f t="shared" si="27"/>
        <v>1399.4099999999999</v>
      </c>
      <c r="AD96" s="8">
        <f>IFERROR(AC96/AC444, "NA")</f>
        <v>-9.2915647483447647E-2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-1415.4</v>
      </c>
      <c r="C98" s="8">
        <f>IFERROR(B98/B444, "NA")</f>
        <v>-1.0297947096897834E-2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-1415.4</v>
      </c>
      <c r="I98" s="8">
        <f>IFERROR(H98/H444, "NA")</f>
        <v>5.6121435462133502E-2</v>
      </c>
      <c r="J98" s="9"/>
      <c r="K98" s="7">
        <v>-2545.1</v>
      </c>
      <c r="L98" s="8">
        <f>IFERROR(K98/K444, "NA")</f>
        <v>-1.6825977177334733E-2</v>
      </c>
      <c r="M98" s="9"/>
      <c r="N98" s="10">
        <f t="shared" si="25"/>
        <v>1129.6999999999998</v>
      </c>
      <c r="O98" s="8">
        <f>IFERROR(N98/N444, "NA")</f>
        <v>-8.1771718147067421E-2</v>
      </c>
      <c r="P98" s="9"/>
      <c r="Q98" s="7">
        <v>-4120.34</v>
      </c>
      <c r="R98" s="8">
        <f>IFERROR(Q98/Q444, "NA")</f>
        <v>-1.4405661489225997E-2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-4120.34</v>
      </c>
      <c r="X98" s="8">
        <f>IFERROR(W98/W444, "NA")</f>
        <v>0.12396470185790301</v>
      </c>
      <c r="Y98" s="9"/>
      <c r="Z98" s="7">
        <v>-6018.24</v>
      </c>
      <c r="AA98" s="8">
        <f>IFERROR(Z98/Z444, "NA")</f>
        <v>-1.9988617769796969E-2</v>
      </c>
      <c r="AB98" s="9"/>
      <c r="AC98" s="10">
        <f t="shared" si="27"/>
        <v>1897.8999999999996</v>
      </c>
      <c r="AD98" s="8">
        <f>IFERROR(AC98/AC444, "NA")</f>
        <v>-0.12601353953368583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-26.61</v>
      </c>
      <c r="C100" s="8">
        <f>IFERROR(B100/B444, "NA")</f>
        <v>-1.9360489773099571E-4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-26.61</v>
      </c>
      <c r="I100" s="8">
        <f>IFERROR(H100/H444, "NA")</f>
        <v>1.0551020189680461E-3</v>
      </c>
      <c r="J100" s="9"/>
      <c r="K100" s="7">
        <v>-41.86</v>
      </c>
      <c r="L100" s="8">
        <f>IFERROR(K100/K444, "NA")</f>
        <v>-2.7674174085231694E-4</v>
      </c>
      <c r="M100" s="9"/>
      <c r="N100" s="10">
        <f t="shared" si="25"/>
        <v>15.25</v>
      </c>
      <c r="O100" s="8">
        <f>IFERROR(N100/N444, "NA")</f>
        <v>-1.103849430594652E-3</v>
      </c>
      <c r="P100" s="9"/>
      <c r="Q100" s="7">
        <v>-26.61</v>
      </c>
      <c r="R100" s="8">
        <f>IFERROR(Q100/Q444, "NA")</f>
        <v>-9.3034713695545443E-5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-26.61</v>
      </c>
      <c r="X100" s="8">
        <f>IFERROR(W100/W444, "NA")</f>
        <v>8.0058944563768982E-4</v>
      </c>
      <c r="Y100" s="9"/>
      <c r="Z100" s="7">
        <v>-585.61</v>
      </c>
      <c r="AA100" s="8">
        <f>IFERROR(Z100/Z444, "NA")</f>
        <v>-1.9450095795732314E-3</v>
      </c>
      <c r="AB100" s="9"/>
      <c r="AC100" s="10">
        <f t="shared" si="27"/>
        <v>559</v>
      </c>
      <c r="AD100" s="8">
        <f>IFERROR(AC100/AC444, "NA")</f>
        <v>-3.7115532219469095E-2</v>
      </c>
    </row>
    <row r="101" spans="1:30" ht="16.5" customHeight="1" x14ac:dyDescent="0.45">
      <c r="A101" s="12" t="s">
        <v>96</v>
      </c>
      <c r="B101" s="7">
        <v>-15.5</v>
      </c>
      <c r="C101" s="8">
        <f>IFERROR(B101/B444, "NA")</f>
        <v>-1.1277248834387198E-4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-15.5</v>
      </c>
      <c r="I101" s="8">
        <f>IFERROR(H101/H444, "NA")</f>
        <v>6.1458403960934667E-4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-15.5</v>
      </c>
      <c r="O101" s="8">
        <f>IFERROR(N101/N444, "NA")</f>
        <v>1.1219453228994824E-3</v>
      </c>
      <c r="P101" s="9"/>
      <c r="Q101" s="7">
        <v>-89.09</v>
      </c>
      <c r="R101" s="8">
        <f>IFERROR(Q101/Q444, "NA")</f>
        <v>-3.1147924250793477E-4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-89.09</v>
      </c>
      <c r="X101" s="8">
        <f>IFERROR(W101/W444, "NA")</f>
        <v>2.6803650399046144E-3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-89.09</v>
      </c>
      <c r="AD101" s="8">
        <f>IFERROR(AC101/AC444, "NA")</f>
        <v>5.915246449789806E-3</v>
      </c>
    </row>
    <row r="102" spans="1:30" ht="16.5" customHeight="1" x14ac:dyDescent="0.45">
      <c r="A102" s="12" t="s">
        <v>97</v>
      </c>
      <c r="B102" s="7">
        <v>-813.28</v>
      </c>
      <c r="C102" s="8">
        <f>IFERROR(B102/B444, "NA")</f>
        <v>-5.9171360851809169E-3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-813.28</v>
      </c>
      <c r="I102" s="8">
        <f>IFERROR(H102/H444, "NA")</f>
        <v>3.2247026305386416E-2</v>
      </c>
      <c r="J102" s="9"/>
      <c r="K102" s="7">
        <v>-2384.44</v>
      </c>
      <c r="L102" s="8">
        <f>IFERROR(K102/K444, "NA")</f>
        <v>-1.5763833649257014E-2</v>
      </c>
      <c r="M102" s="9"/>
      <c r="N102" s="10">
        <f t="shared" si="25"/>
        <v>1571.16</v>
      </c>
      <c r="O102" s="8">
        <f>IFERROR(N102/N444, "NA")</f>
        <v>-0.11372616861462909</v>
      </c>
      <c r="P102" s="9"/>
      <c r="Q102" s="7">
        <v>-2204.42</v>
      </c>
      <c r="R102" s="8">
        <f>IFERROR(Q102/Q444, "NA")</f>
        <v>-7.707162103146723E-3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-2204.42</v>
      </c>
      <c r="X102" s="8">
        <f>IFERROR(W102/W444, "NA")</f>
        <v>6.6322261771989341E-2</v>
      </c>
      <c r="Y102" s="9"/>
      <c r="Z102" s="7">
        <v>-5301.16</v>
      </c>
      <c r="AA102" s="8">
        <f>IFERROR(Z102/Z444, "NA")</f>
        <v>-1.7606951696266169E-2</v>
      </c>
      <c r="AB102" s="9"/>
      <c r="AC102" s="10">
        <f t="shared" si="27"/>
        <v>3096.74</v>
      </c>
      <c r="AD102" s="8">
        <f>IFERROR(AC102/AC444, "NA")</f>
        <v>-0.20561208093974725</v>
      </c>
    </row>
    <row r="103" spans="1:30" ht="16.5" customHeight="1" x14ac:dyDescent="0.45">
      <c r="A103" s="12" t="s">
        <v>98</v>
      </c>
      <c r="B103" s="7">
        <v>-18</v>
      </c>
      <c r="C103" s="8">
        <f>IFERROR(B103/B444, "NA")</f>
        <v>-1.3096159936707715E-4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-18</v>
      </c>
      <c r="I103" s="8">
        <f>IFERROR(H103/H444, "NA")</f>
        <v>7.1371049761085421E-4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-18</v>
      </c>
      <c r="O103" s="8">
        <f>IFERROR(N103/N444, "NA")</f>
        <v>1.3029042459477861E-3</v>
      </c>
      <c r="P103" s="9"/>
      <c r="Q103" s="7">
        <v>-33</v>
      </c>
      <c r="R103" s="8">
        <f>IFERROR(Q103/Q444, "NA")</f>
        <v>-1.1537563141499436E-4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-33</v>
      </c>
      <c r="X103" s="8">
        <f>IFERROR(W103/W444, "NA")</f>
        <v>9.9283922232407985E-4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-33</v>
      </c>
      <c r="AD103" s="8">
        <f>IFERROR(AC103/AC444, "NA")</f>
        <v>2.1910779306663327E-3</v>
      </c>
    </row>
    <row r="104" spans="1:30" ht="16.5" customHeight="1" x14ac:dyDescent="0.45">
      <c r="A104" s="12" t="s">
        <v>99</v>
      </c>
      <c r="B104" s="7">
        <v>-1123.51</v>
      </c>
      <c r="C104" s="8">
        <f>IFERROR(B104/B444, "NA")</f>
        <v>-8.1742592502724917E-3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-1123.51</v>
      </c>
      <c r="I104" s="8">
        <f>IFERROR(H104/H444, "NA")</f>
        <v>4.454782673170949E-2</v>
      </c>
      <c r="J104" s="9"/>
      <c r="K104" s="7">
        <v>-1586.66</v>
      </c>
      <c r="L104" s="8">
        <f>IFERROR(K104/K444, "NA")</f>
        <v>-1.0489609425244559E-2</v>
      </c>
      <c r="M104" s="9"/>
      <c r="N104" s="10">
        <f t="shared" si="25"/>
        <v>463.15000000000009</v>
      </c>
      <c r="O104" s="8">
        <f>IFERROR(N104/N444, "NA")</f>
        <v>-3.3524450083928736E-2</v>
      </c>
      <c r="P104" s="9"/>
      <c r="Q104" s="7">
        <v>-1771.08</v>
      </c>
      <c r="R104" s="8">
        <f>IFERROR(Q104/Q444, "NA")</f>
        <v>-6.1921052511050966E-3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-1771.08</v>
      </c>
      <c r="X104" s="8">
        <f>IFERROR(W104/W444, "NA")</f>
        <v>5.3284778481022164E-2</v>
      </c>
      <c r="Y104" s="9"/>
      <c r="Z104" s="7">
        <v>-2879.97</v>
      </c>
      <c r="AA104" s="8">
        <f>IFERROR(Z104/Z444, "NA")</f>
        <v>-9.565357898402552E-3</v>
      </c>
      <c r="AB104" s="9"/>
      <c r="AC104" s="10">
        <f t="shared" si="27"/>
        <v>1108.8899999999999</v>
      </c>
      <c r="AD104" s="8">
        <f>IFERROR(AC104/AC444, "NA")</f>
        <v>-7.3626194137472414E-2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-103.48</v>
      </c>
      <c r="C106" s="8">
        <f>IFERROR(B106/B444, "NA")</f>
        <v>-7.5288368347250795E-4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-103.48</v>
      </c>
      <c r="I106" s="8">
        <f>IFERROR(H106/H444, "NA")</f>
        <v>4.1030423495984E-3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-103.48</v>
      </c>
      <c r="O106" s="8">
        <f>IFERROR(N106/N444, "NA")</f>
        <v>7.4902517428153837E-3</v>
      </c>
      <c r="P106" s="9"/>
      <c r="Q106" s="7">
        <v>-203.48</v>
      </c>
      <c r="R106" s="8">
        <f>IFERROR(Q106/Q444, "NA")</f>
        <v>-7.1141313576736516E-4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-203.48</v>
      </c>
      <c r="X106" s="8">
        <f>IFERROR(W106/W444, "NA")</f>
        <v>6.1219068169243562E-3</v>
      </c>
      <c r="Y106" s="9"/>
      <c r="Z106" s="7">
        <v>-844.74</v>
      </c>
      <c r="AA106" s="8">
        <f>IFERROR(Z106/Z444, "NA")</f>
        <v>-2.805668264286285E-3</v>
      </c>
      <c r="AB106" s="9"/>
      <c r="AC106" s="10">
        <f t="shared" si="27"/>
        <v>641.26</v>
      </c>
      <c r="AD106" s="8">
        <f>IFERROR(AC106/AC444, "NA")</f>
        <v>-4.2577291933911895E-2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-4721.32</v>
      </c>
      <c r="C118" s="15">
        <f>IFERROR(B118/B444, "NA")</f>
        <v>-3.4350645462431592E-2</v>
      </c>
      <c r="D118" s="2"/>
      <c r="E118" s="14">
        <f>IFERROR(E94+E95+E96+E97+E98+E99+E100+E101+E102+E103+E104+E105+E106+E107+E108+E109+E110+E111+E112+E113+E114+E115+E116+E117, "NA")</f>
        <v>-10085.24</v>
      </c>
      <c r="F118" s="15">
        <f>IFERROR(E118/E444, "NA")</f>
        <v>-6.1999992868787289E-2</v>
      </c>
      <c r="G118" s="2"/>
      <c r="H118" s="14">
        <f t="shared" si="24"/>
        <v>5363.92</v>
      </c>
      <c r="I118" s="15">
        <f>IFERROR(H118/H444, "NA")</f>
        <v>-0.2126825562413785</v>
      </c>
      <c r="J118" s="2"/>
      <c r="K118" s="14">
        <f>IFERROR(K94+K95+K96+K97+K98+K99+K100+K101+K102+K103+K104+K105+K106+K107+K108+K109+K110+K111+K112+K113+K114+K115+K116+K117, "NA")</f>
        <v>-8390.1099999999988</v>
      </c>
      <c r="L118" s="15">
        <f>IFERROR(K118/K444, "NA")</f>
        <v>-5.546807566513217E-2</v>
      </c>
      <c r="M118" s="2"/>
      <c r="N118" s="14">
        <f t="shared" si="25"/>
        <v>3668.7899999999991</v>
      </c>
      <c r="O118" s="15">
        <f>IFERROR(N118/N444, "NA")</f>
        <v>-0.26556011491615428</v>
      </c>
      <c r="P118" s="2"/>
      <c r="Q118" s="14">
        <f>IFERROR(Q94+Q95+Q96+Q97+Q98+Q99+Q100+Q101+Q102+Q103+Q104+Q105+Q106+Q107+Q108+Q109+Q110+Q111+Q112+Q113+Q114+Q115+Q116+Q117, "NA")</f>
        <v>-11170.53</v>
      </c>
      <c r="R118" s="15">
        <f>IFERROR(Q118/Q444, "NA")</f>
        <v>-3.9054756120913241E-2</v>
      </c>
      <c r="S118" s="2"/>
      <c r="T118" s="14">
        <f>IFERROR(T94+T95+T96+T97+T98+T99+T100+T101+T102+T103+T104+T105+T106+T107+T108+T109+T110+T111+T112+T113+T114+T115+T116+T117, "NA")</f>
        <v>-19794.14</v>
      </c>
      <c r="U118" s="15">
        <f>IFERROR(T118/T444, "NA")</f>
        <v>-6.2000008269115087E-2</v>
      </c>
      <c r="V118" s="2"/>
      <c r="W118" s="14">
        <f t="shared" si="26"/>
        <v>8623.6099999999988</v>
      </c>
      <c r="X118" s="15">
        <f>IFERROR(W118/W444, "NA")</f>
        <v>-0.25945024987958054</v>
      </c>
      <c r="Y118" s="2"/>
      <c r="Z118" s="14">
        <f>IFERROR(Z94+Z95+Z96+Z97+Z98+Z99+Z100+Z101+Z102+Z103+Z104+Z105+Z106+Z107+Z108+Z109+Z110+Z111+Z112+Z113+Z114+Z115+Z116+Z117, "NA")</f>
        <v>-19751.640000000003</v>
      </c>
      <c r="AA118" s="15">
        <f>IFERROR(Z118/Z444, "NA")</f>
        <v>-6.5601900603271507E-2</v>
      </c>
      <c r="AB118" s="2"/>
      <c r="AC118" s="14">
        <f t="shared" si="27"/>
        <v>8581.1100000000024</v>
      </c>
      <c r="AD118" s="15">
        <f>IFERROR(AC118/AC444, "NA")</f>
        <v>-0.56975396186727822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137444.86999999997</v>
      </c>
      <c r="C122" s="15">
        <f>IFERROR(B122/B444, "NA")</f>
        <v>0.99999999999999978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162665.18</v>
      </c>
      <c r="F122" s="15">
        <f>IFERROR(E122/E444, "NA")</f>
        <v>1</v>
      </c>
      <c r="G122" s="2"/>
      <c r="H122" s="14">
        <f t="shared" si="24"/>
        <v>-25220.310000000027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151260.16000000003</v>
      </c>
      <c r="L122" s="15">
        <f>IFERROR(K122/K444, "NA")</f>
        <v>1.0000000000000002</v>
      </c>
      <c r="M122" s="2"/>
      <c r="N122" s="14">
        <f t="shared" si="25"/>
        <v>-13815.290000000066</v>
      </c>
      <c r="O122" s="15">
        <f>IFERROR(N122/N444, "NA")</f>
        <v>1.0000000000000042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286022.26999999996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319260.27999999997</v>
      </c>
      <c r="U122" s="15">
        <f>IFERROR(T122/T444, "NA")</f>
        <v>0.99999999999999978</v>
      </c>
      <c r="V122" s="2"/>
      <c r="W122" s="14">
        <f t="shared" si="26"/>
        <v>-33238.010000000009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301083.35000000015</v>
      </c>
      <c r="AA122" s="15">
        <f>IFERROR(Z122/Z444, "NA")</f>
        <v>1.0000000000000007</v>
      </c>
      <c r="AB122" s="2"/>
      <c r="AC122" s="14">
        <f t="shared" si="27"/>
        <v>-15061.080000000191</v>
      </c>
      <c r="AD122" s="15">
        <f>IFERROR(AC122/AC444, "NA")</f>
        <v>1.0000000000000155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137444.86999999997</v>
      </c>
      <c r="C124" s="15">
        <f>IFERROR(B124/B444, "NA")</f>
        <v>0.99999999999999978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162665.18</v>
      </c>
      <c r="F124" s="15">
        <f>IFERROR(E124/E444, "NA")</f>
        <v>1</v>
      </c>
      <c r="G124" s="2"/>
      <c r="H124" s="14">
        <f t="shared" si="24"/>
        <v>-25220.310000000027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151260.16000000003</v>
      </c>
      <c r="L124" s="15">
        <f>IFERROR(K124/K444, "NA")</f>
        <v>1.0000000000000002</v>
      </c>
      <c r="M124" s="2"/>
      <c r="N124" s="14">
        <f t="shared" si="25"/>
        <v>-13815.290000000066</v>
      </c>
      <c r="O124" s="15">
        <f>IFERROR(N124/N444, "NA")</f>
        <v>1.0000000000000042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286022.26999999996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319260.27999999997</v>
      </c>
      <c r="U124" s="15">
        <f>IFERROR(T124/T444, "NA")</f>
        <v>0.99999999999999978</v>
      </c>
      <c r="V124" s="2"/>
      <c r="W124" s="14">
        <f t="shared" si="26"/>
        <v>-33238.010000000009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301083.35000000015</v>
      </c>
      <c r="AA124" s="15">
        <f>IFERROR(Z124/Z444, "NA")</f>
        <v>1.0000000000000007</v>
      </c>
      <c r="AB124" s="2"/>
      <c r="AC124" s="14">
        <f t="shared" si="27"/>
        <v>-15061.080000000191</v>
      </c>
      <c r="AD124" s="15">
        <f>IFERROR(AC124/AC444, "NA")</f>
        <v>1.0000000000000155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34810.35</v>
      </c>
      <c r="F129" s="8">
        <f>IFERROR(E129/E444, "NA")</f>
        <v>0.2140000090984438</v>
      </c>
      <c r="G129" s="9"/>
      <c r="H129" s="10">
        <f t="shared" ref="H129:H141" si="28">IFERROR(-(B129-E129), "NA")</f>
        <v>34810.35</v>
      </c>
      <c r="I129" s="8">
        <f>IFERROR(H129/H444, "NA")</f>
        <v>-1.380250678917111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69153.899999999994</v>
      </c>
      <c r="U129" s="8">
        <f>IFERROR(T129/T444, "NA")</f>
        <v>0.21660665084926942</v>
      </c>
      <c r="V129" s="9"/>
      <c r="W129" s="10">
        <f t="shared" ref="W129:W141" si="30">IFERROR(-(Q129-T129), "NA")</f>
        <v>69153.899999999994</v>
      </c>
      <c r="X129" s="8">
        <f>IFERROR(W129/W444, "NA")</f>
        <v>-2.0805667968690056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6970.55</v>
      </c>
      <c r="C130" s="8">
        <f>IFERROR(B130/B444, "NA")</f>
        <v>5.0715243137121092E-2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-6970.55</v>
      </c>
      <c r="I130" s="8">
        <f>IFERROR(H130/H444, "NA")</f>
        <v>0.27638637272896333</v>
      </c>
      <c r="J130" s="9"/>
      <c r="K130" s="7">
        <v>8414.69</v>
      </c>
      <c r="L130" s="8">
        <f>IFERROR(K130/K444, "NA")</f>
        <v>5.5630577146024443E-2</v>
      </c>
      <c r="M130" s="9"/>
      <c r="N130" s="10">
        <f t="shared" si="29"/>
        <v>1444.1400000000003</v>
      </c>
      <c r="O130" s="8">
        <f>IFERROR(N130/N444, "NA")</f>
        <v>-0.1045320076523909</v>
      </c>
      <c r="P130" s="9"/>
      <c r="Q130" s="7">
        <v>14673.18</v>
      </c>
      <c r="R130" s="8">
        <f>IFERROR(Q130/Q444, "NA")</f>
        <v>5.1300830526238392E-2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-14673.18</v>
      </c>
      <c r="X130" s="8">
        <f>IFERROR(W130/W444, "NA")</f>
        <v>0.44145783697640129</v>
      </c>
      <c r="Y130" s="9"/>
      <c r="Z130" s="7">
        <v>17388.599999999999</v>
      </c>
      <c r="AA130" s="8">
        <f>IFERROR(Z130/Z444, "NA")</f>
        <v>5.775344269286229E-2</v>
      </c>
      <c r="AB130" s="9"/>
      <c r="AC130" s="10">
        <f t="shared" si="31"/>
        <v>2715.4199999999983</v>
      </c>
      <c r="AD130" s="8">
        <f>IFERROR(AC130/AC444, "NA")</f>
        <v>-0.18029384346939301</v>
      </c>
    </row>
    <row r="131" spans="1:30" ht="16.5" customHeight="1" x14ac:dyDescent="0.45">
      <c r="A131" s="12" t="s">
        <v>123</v>
      </c>
      <c r="B131" s="7">
        <v>3972.19</v>
      </c>
      <c r="C131" s="8">
        <f>IFERROR(B131/B444, "NA")</f>
        <v>2.8900241966106122E-2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-3972.19</v>
      </c>
      <c r="I131" s="8">
        <f>IFERROR(H131/H444, "NA")</f>
        <v>0.15749965008360328</v>
      </c>
      <c r="J131" s="9"/>
      <c r="K131" s="7">
        <v>4900.1400000000003</v>
      </c>
      <c r="L131" s="8">
        <f>IFERROR(K131/K444, "NA")</f>
        <v>3.2395443717631929E-2</v>
      </c>
      <c r="M131" s="9"/>
      <c r="N131" s="10">
        <f t="shared" si="29"/>
        <v>927.95000000000027</v>
      </c>
      <c r="O131" s="8">
        <f>IFERROR(N131/N444, "NA")</f>
        <v>-6.716833305706936E-2</v>
      </c>
      <c r="P131" s="9"/>
      <c r="Q131" s="7">
        <v>8373.06</v>
      </c>
      <c r="R131" s="8">
        <f>IFERROR(Q131/Q444, "NA")</f>
        <v>2.9274154071988866E-2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-8373.06</v>
      </c>
      <c r="X131" s="8">
        <f>IFERROR(W131/W444, "NA")</f>
        <v>0.25191219329917758</v>
      </c>
      <c r="Y131" s="9"/>
      <c r="Z131" s="7">
        <v>10420.620000000001</v>
      </c>
      <c r="AA131" s="8">
        <f>IFERROR(Z131/Z444, "NA")</f>
        <v>3.4610416019351456E-2</v>
      </c>
      <c r="AB131" s="9"/>
      <c r="AC131" s="10">
        <f t="shared" si="31"/>
        <v>2047.5600000000013</v>
      </c>
      <c r="AD131" s="8">
        <f>IFERROR(AC131/AC444, "NA")</f>
        <v>-0.13595040993076241</v>
      </c>
    </row>
    <row r="132" spans="1:30" ht="16.5" customHeight="1" x14ac:dyDescent="0.45">
      <c r="A132" s="12" t="s">
        <v>124</v>
      </c>
      <c r="B132" s="7">
        <v>5375.77</v>
      </c>
      <c r="C132" s="8">
        <f>IFERROR(B132/B444, "NA")</f>
        <v>3.9112190946086242E-2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-5375.77</v>
      </c>
      <c r="I132" s="8">
        <f>IFERROR(H132/H444, "NA")</f>
        <v>0.21315241565230567</v>
      </c>
      <c r="J132" s="9"/>
      <c r="K132" s="7">
        <v>5909.35</v>
      </c>
      <c r="L132" s="8">
        <f>IFERROR(K132/K444, "NA")</f>
        <v>3.9067458344616321E-2</v>
      </c>
      <c r="M132" s="9"/>
      <c r="N132" s="10">
        <f t="shared" si="29"/>
        <v>533.57999999999993</v>
      </c>
      <c r="O132" s="8">
        <f>IFERROR(N132/N444, "NA")</f>
        <v>-3.8622424864045532E-2</v>
      </c>
      <c r="P132" s="9"/>
      <c r="Q132" s="7">
        <v>9841.23</v>
      </c>
      <c r="R132" s="8">
        <f>IFERROR(Q132/Q444, "NA")</f>
        <v>3.4407215913641966E-2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-9841.23</v>
      </c>
      <c r="X132" s="8">
        <f>IFERROR(W132/W444, "NA")</f>
        <v>0.29608361030037589</v>
      </c>
      <c r="Y132" s="9"/>
      <c r="Z132" s="7">
        <v>11475.78</v>
      </c>
      <c r="AA132" s="8">
        <f>IFERROR(Z132/Z444, "NA")</f>
        <v>3.8114960525050624E-2</v>
      </c>
      <c r="AB132" s="9"/>
      <c r="AC132" s="10">
        <f t="shared" si="31"/>
        <v>1634.5500000000011</v>
      </c>
      <c r="AD132" s="8">
        <f>IFERROR(AC132/AC444, "NA")</f>
        <v>-0.10852807368395929</v>
      </c>
    </row>
    <row r="133" spans="1:30" ht="16.5" customHeight="1" x14ac:dyDescent="0.45">
      <c r="A133" s="12" t="s">
        <v>125</v>
      </c>
      <c r="B133" s="7">
        <v>3315.44</v>
      </c>
      <c r="C133" s="8">
        <f>IFERROR(B133/B444, "NA")</f>
        <v>2.4121962500310127E-2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-3315.44</v>
      </c>
      <c r="I133" s="8">
        <f>IFERROR(H133/H444, "NA")</f>
        <v>0.13145912956660724</v>
      </c>
      <c r="J133" s="9"/>
      <c r="K133" s="7">
        <v>3668.42</v>
      </c>
      <c r="L133" s="8">
        <f>IFERROR(K133/K444, "NA")</f>
        <v>2.4252387409877129E-2</v>
      </c>
      <c r="M133" s="9"/>
      <c r="N133" s="10">
        <f t="shared" si="29"/>
        <v>352.98</v>
      </c>
      <c r="O133" s="8">
        <f>IFERROR(N133/N444, "NA")</f>
        <v>-2.5549952263036087E-2</v>
      </c>
      <c r="P133" s="9"/>
      <c r="Q133" s="7">
        <v>6821.66</v>
      </c>
      <c r="R133" s="8">
        <f>IFERROR(Q133/Q444, "NA")</f>
        <v>2.3850100902982133E-2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-6821.66</v>
      </c>
      <c r="X133" s="8">
        <f>IFERROR(W133/W444, "NA")</f>
        <v>0.20523671543512978</v>
      </c>
      <c r="Y133" s="9"/>
      <c r="Z133" s="7">
        <v>7631.3</v>
      </c>
      <c r="AA133" s="8">
        <f>IFERROR(Z133/Z444, "NA")</f>
        <v>2.5346137539654718E-2</v>
      </c>
      <c r="AB133" s="9"/>
      <c r="AC133" s="10">
        <f t="shared" si="31"/>
        <v>809.64000000000033</v>
      </c>
      <c r="AD133" s="8">
        <f>IFERROR(AC133/AC444, "NA")</f>
        <v>-5.3757101084384556E-2</v>
      </c>
    </row>
    <row r="134" spans="1:30" ht="16.5" customHeight="1" x14ac:dyDescent="0.45">
      <c r="A134" s="12" t="s">
        <v>126</v>
      </c>
      <c r="B134" s="7">
        <v>1384.63</v>
      </c>
      <c r="C134" s="8">
        <f>IFERROR(B134/B444, "NA")</f>
        <v>1.0074075518424225E-2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-1384.63</v>
      </c>
      <c r="I134" s="8">
        <f>IFERROR(H134/H444, "NA")</f>
        <v>5.4901387017050947E-2</v>
      </c>
      <c r="J134" s="9"/>
      <c r="K134" s="7">
        <v>1141.54</v>
      </c>
      <c r="L134" s="8">
        <f>IFERROR(K134/K444, "NA")</f>
        <v>7.5468649510882441E-3</v>
      </c>
      <c r="M134" s="9"/>
      <c r="N134" s="10">
        <f t="shared" si="29"/>
        <v>-243.09000000000015</v>
      </c>
      <c r="O134" s="8">
        <f>IFERROR(N134/N444, "NA")</f>
        <v>1.7595721841524862E-2</v>
      </c>
      <c r="P134" s="9"/>
      <c r="Q134" s="7">
        <v>3272.17</v>
      </c>
      <c r="R134" s="8">
        <f>IFERROR(Q134/Q444, "NA")</f>
        <v>1.1440263025672791E-2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-3272.17</v>
      </c>
      <c r="X134" s="8">
        <f>IFERROR(W134/W444, "NA")</f>
        <v>9.8446627821581353E-2</v>
      </c>
      <c r="Y134" s="9"/>
      <c r="Z134" s="7">
        <v>2405.38</v>
      </c>
      <c r="AA134" s="8">
        <f>IFERROR(Z134/Z444, "NA")</f>
        <v>7.9890834215840898E-3</v>
      </c>
      <c r="AB134" s="9"/>
      <c r="AC134" s="10">
        <f t="shared" si="31"/>
        <v>-866.79</v>
      </c>
      <c r="AD134" s="8">
        <f>IFERROR(AC134/AC444, "NA")</f>
        <v>5.7551649682493045E-2</v>
      </c>
    </row>
    <row r="135" spans="1:30" ht="16.5" customHeight="1" x14ac:dyDescent="0.45">
      <c r="A135" s="12" t="s">
        <v>127</v>
      </c>
      <c r="B135" s="7">
        <v>870.33</v>
      </c>
      <c r="C135" s="8">
        <f>IFERROR(B135/B444, "NA")</f>
        <v>6.3322115987304584E-3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-870.33</v>
      </c>
      <c r="I135" s="8">
        <f>IFERROR(H135/H444, "NA")</f>
        <v>3.4509092076980816E-2</v>
      </c>
      <c r="J135" s="9"/>
      <c r="K135" s="7">
        <v>1091.6099999999999</v>
      </c>
      <c r="L135" s="8">
        <f>IFERROR(K135/K444, "NA")</f>
        <v>7.2167714221643021E-3</v>
      </c>
      <c r="M135" s="9"/>
      <c r="N135" s="10">
        <f t="shared" si="29"/>
        <v>221.27999999999986</v>
      </c>
      <c r="O135" s="8">
        <f>IFERROR(N135/N444, "NA")</f>
        <v>-1.601703619685144E-2</v>
      </c>
      <c r="P135" s="9"/>
      <c r="Q135" s="7">
        <v>1960.7</v>
      </c>
      <c r="R135" s="8">
        <f>IFERROR(Q135/Q444, "NA")</f>
        <v>6.8550606216781652E-3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-1960.7</v>
      </c>
      <c r="X135" s="8">
        <f>IFERROR(W135/W444, "NA")</f>
        <v>5.8989692824570408E-2</v>
      </c>
      <c r="Y135" s="9"/>
      <c r="Z135" s="7">
        <v>2241.9699999999998</v>
      </c>
      <c r="AA135" s="8">
        <f>IFERROR(Z135/Z444, "NA")</f>
        <v>7.4463433464520704E-3</v>
      </c>
      <c r="AB135" s="9"/>
      <c r="AC135" s="10">
        <f t="shared" si="31"/>
        <v>281.26999999999975</v>
      </c>
      <c r="AD135" s="8">
        <f>IFERROR(AC135/AC444, "NA")</f>
        <v>-1.8675287562379361E-2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1245.03</v>
      </c>
      <c r="L136" s="8">
        <f>IFERROR(K136/K444, "NA")</f>
        <v>8.2310503968791252E-3</v>
      </c>
      <c r="M136" s="9"/>
      <c r="N136" s="10">
        <f t="shared" si="29"/>
        <v>1245.03</v>
      </c>
      <c r="O136" s="8">
        <f>IFERROR(N136/N444, "NA")</f>
        <v>-9.0119715185131774E-2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2342.98</v>
      </c>
      <c r="AA136" s="8">
        <f>IFERROR(Z136/Z444, "NA")</f>
        <v>7.7818318415814099E-3</v>
      </c>
      <c r="AB136" s="9"/>
      <c r="AC136" s="10">
        <f t="shared" si="31"/>
        <v>2342.98</v>
      </c>
      <c r="AD136" s="8">
        <f>IFERROR(AC136/AC444, "NA")</f>
        <v>-0.15556520515129105</v>
      </c>
    </row>
    <row r="137" spans="1:30" ht="16.5" customHeight="1" x14ac:dyDescent="0.45">
      <c r="A137" s="12" t="s">
        <v>129</v>
      </c>
      <c r="B137" s="7">
        <v>705.19</v>
      </c>
      <c r="C137" s="8">
        <f>IFERROR(B137/B444, "NA")</f>
        <v>5.1307116809816188E-3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-705.19</v>
      </c>
      <c r="I137" s="8">
        <f>IFERROR(H137/H444, "NA")</f>
        <v>2.7961194767233237E-2</v>
      </c>
      <c r="J137" s="9"/>
      <c r="K137" s="7">
        <v>779.68</v>
      </c>
      <c r="L137" s="8">
        <f>IFERROR(K137/K444, "NA")</f>
        <v>5.1545628406052188E-3</v>
      </c>
      <c r="M137" s="9"/>
      <c r="N137" s="10">
        <f t="shared" si="29"/>
        <v>74.489999999999895</v>
      </c>
      <c r="O137" s="8">
        <f>IFERROR(N137/N444, "NA")</f>
        <v>-5.3918520711472469E-3</v>
      </c>
      <c r="P137" s="9"/>
      <c r="Q137" s="7">
        <v>1533.44</v>
      </c>
      <c r="R137" s="8">
        <f>IFERROR(Q137/Q444, "NA")</f>
        <v>5.361260855666938E-3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-1533.44</v>
      </c>
      <c r="X137" s="8">
        <f>IFERROR(W137/W444, "NA")</f>
        <v>4.6135132638807183E-2</v>
      </c>
      <c r="Y137" s="9"/>
      <c r="Z137" s="7">
        <v>1789.52</v>
      </c>
      <c r="AA137" s="8">
        <f>IFERROR(Z137/Z444, "NA")</f>
        <v>5.9436033244614824E-3</v>
      </c>
      <c r="AB137" s="9"/>
      <c r="AC137" s="10">
        <f t="shared" si="31"/>
        <v>256.07999999999993</v>
      </c>
      <c r="AD137" s="8">
        <f>IFERROR(AC137/AC444, "NA")</f>
        <v>-1.7002764741970738E-2</v>
      </c>
    </row>
    <row r="138" spans="1:30" ht="16.5" customHeight="1" x14ac:dyDescent="0.45">
      <c r="A138" s="12" t="s">
        <v>130</v>
      </c>
      <c r="B138" s="7">
        <v>8573.81</v>
      </c>
      <c r="C138" s="8">
        <f>IFERROR(B138/B444, "NA")</f>
        <v>6.2379992792746648E-2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-8573.81</v>
      </c>
      <c r="I138" s="8">
        <f>IFERROR(H138/H444, "NA")</f>
        <v>0.33995656675116209</v>
      </c>
      <c r="J138" s="9"/>
      <c r="K138" s="7">
        <v>9361.85</v>
      </c>
      <c r="L138" s="8">
        <f>IFERROR(K138/K444, "NA")</f>
        <v>6.1892371395085133E-2</v>
      </c>
      <c r="M138" s="9"/>
      <c r="N138" s="10">
        <f t="shared" si="29"/>
        <v>788.04000000000087</v>
      </c>
      <c r="O138" s="8">
        <f>IFERROR(N138/N444, "NA")</f>
        <v>-5.7041147887594137E-2</v>
      </c>
      <c r="P138" s="9"/>
      <c r="Q138" s="7">
        <v>19529.84</v>
      </c>
      <c r="R138" s="8">
        <f>IFERROR(Q138/Q444, "NA")</f>
        <v>6.8280837013145856E-2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-19529.84</v>
      </c>
      <c r="X138" s="8">
        <f>IFERROR(W138/W444, "NA")</f>
        <v>0.58757548962768813</v>
      </c>
      <c r="Y138" s="9"/>
      <c r="Z138" s="7">
        <v>17798.34</v>
      </c>
      <c r="AA138" s="8">
        <f>IFERROR(Z138/Z444, "NA")</f>
        <v>5.9114328308091435E-2</v>
      </c>
      <c r="AB138" s="9"/>
      <c r="AC138" s="10">
        <f t="shared" si="31"/>
        <v>-1731.5</v>
      </c>
      <c r="AD138" s="8">
        <f>IFERROR(AC138/AC444, "NA")</f>
        <v>0.11496519505905319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31167.910000000003</v>
      </c>
      <c r="C141" s="15">
        <f>IFERROR(B141/B444, "NA")</f>
        <v>0.22676663014050655</v>
      </c>
      <c r="D141" s="2"/>
      <c r="E141" s="14">
        <f>IFERROR(E129+E130+E131+E132+E133+E134+E135+E136+E137+E138+E139+E140, "NA")</f>
        <v>34810.35</v>
      </c>
      <c r="F141" s="15">
        <f>IFERROR(E141/E444, "NA")</f>
        <v>0.2140000090984438</v>
      </c>
      <c r="G141" s="2"/>
      <c r="H141" s="14">
        <f t="shared" si="28"/>
        <v>3642.4399999999951</v>
      </c>
      <c r="I141" s="15">
        <f>IFERROR(H141/H444, "NA")</f>
        <v>-0.14442487027320422</v>
      </c>
      <c r="J141" s="2"/>
      <c r="K141" s="14">
        <f>IFERROR(K129+K130+K131+K132+K133+K134+K135+K136+K137+K138+K139+K140, "NA")</f>
        <v>36512.31</v>
      </c>
      <c r="L141" s="15">
        <f>IFERROR(K141/K444, "NA")</f>
        <v>0.24138748762397183</v>
      </c>
      <c r="M141" s="2"/>
      <c r="N141" s="14">
        <f t="shared" si="29"/>
        <v>5344.3999999999942</v>
      </c>
      <c r="O141" s="15">
        <f>IFERROR(N141/N444, "NA")</f>
        <v>-0.38684674733574115</v>
      </c>
      <c r="P141" s="2"/>
      <c r="Q141" s="14">
        <f>IFERROR(Q129+Q130+Q131+Q132+Q133+Q134+Q135+Q136+Q137+Q138+Q139+Q140, "NA")</f>
        <v>66005.279999999999</v>
      </c>
      <c r="R141" s="15">
        <f>IFERROR(Q141/Q444, "NA")</f>
        <v>0.23076972293101511</v>
      </c>
      <c r="S141" s="2"/>
      <c r="T141" s="14">
        <f>IFERROR(T129+T130+T131+T132+T133+T134+T135+T136+T137+T138+T139+T140, "NA")</f>
        <v>69153.899999999994</v>
      </c>
      <c r="U141" s="15">
        <f>IFERROR(T141/T444, "NA")</f>
        <v>0.21660665084926942</v>
      </c>
      <c r="V141" s="2"/>
      <c r="W141" s="14">
        <f t="shared" si="30"/>
        <v>3148.6199999999953</v>
      </c>
      <c r="X141" s="15">
        <f>IFERROR(W141/W444, "NA")</f>
        <v>-9.4729497945273938E-2</v>
      </c>
      <c r="Y141" s="2"/>
      <c r="Z141" s="14">
        <f>IFERROR(Z129+Z130+Z131+Z132+Z133+Z134+Z135+Z136+Z137+Z138+Z139+Z140, "NA")</f>
        <v>73494.490000000005</v>
      </c>
      <c r="AA141" s="15">
        <f>IFERROR(Z141/Z444, "NA")</f>
        <v>0.24410014701908961</v>
      </c>
      <c r="AB141" s="2"/>
      <c r="AC141" s="14">
        <f t="shared" si="31"/>
        <v>7489.2100000000064</v>
      </c>
      <c r="AD141" s="15">
        <f>IFERROR(AC141/AC444, "NA")</f>
        <v>-0.49725584088259456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1789.32</v>
      </c>
      <c r="F143" s="8">
        <f>IFERROR(E143/E444, "NA")</f>
        <v>1.1000018565743449E-2</v>
      </c>
      <c r="G143" s="9"/>
      <c r="H143" s="10">
        <f t="shared" ref="H143:H149" si="32">IFERROR(-(B143-E143), "NA")</f>
        <v>1789.32</v>
      </c>
      <c r="I143" s="8">
        <f>IFERROR(H143/H444, "NA")</f>
        <v>-7.0947581532502968E-2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3511.87</v>
      </c>
      <c r="U143" s="8">
        <f>IFERROR(T143/T444, "NA")</f>
        <v>1.1000021675104712E-2</v>
      </c>
      <c r="V143" s="9"/>
      <c r="W143" s="10">
        <f t="shared" ref="W143:W149" si="34">IFERROR(-(Q143-T143), "NA")</f>
        <v>3511.87</v>
      </c>
      <c r="X143" s="8">
        <f>IFERROR(W143/W444, "NA")</f>
        <v>-0.10565825090009898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1414.12</v>
      </c>
      <c r="C144" s="8">
        <f>IFERROR(B144/B444, "NA")</f>
        <v>1.0288634272053952E-2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-1414.12</v>
      </c>
      <c r="I144" s="8">
        <f>IFERROR(H144/H444, "NA")</f>
        <v>5.6070682715636727E-2</v>
      </c>
      <c r="J144" s="9"/>
      <c r="K144" s="7">
        <v>1921</v>
      </c>
      <c r="L144" s="8">
        <f>IFERROR(K144/K444, "NA")</f>
        <v>1.2699973343939342E-2</v>
      </c>
      <c r="M144" s="9"/>
      <c r="N144" s="10">
        <f t="shared" si="33"/>
        <v>506.88000000000011</v>
      </c>
      <c r="O144" s="8">
        <f>IFERROR(N144/N444, "NA")</f>
        <v>-3.6689783565889665E-2</v>
      </c>
      <c r="P144" s="9"/>
      <c r="Q144" s="7">
        <v>3253.04</v>
      </c>
      <c r="R144" s="8">
        <f>IFERROR(Q144/Q444, "NA")</f>
        <v>1.1373380121764644E-2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-3253.04</v>
      </c>
      <c r="X144" s="8">
        <f>IFERROR(W144/W444, "NA")</f>
        <v>9.7871081933003784E-2</v>
      </c>
      <c r="Y144" s="9"/>
      <c r="Z144" s="7">
        <v>3805.71</v>
      </c>
      <c r="AA144" s="8">
        <f>IFERROR(Z144/Z444, "NA")</f>
        <v>1.2640054655961548E-2</v>
      </c>
      <c r="AB144" s="9"/>
      <c r="AC144" s="10">
        <f t="shared" si="35"/>
        <v>552.67000000000007</v>
      </c>
      <c r="AD144" s="8">
        <f>IFERROR(AC144/AC444, "NA")</f>
        <v>-3.669524363458674E-2</v>
      </c>
    </row>
    <row r="145" spans="1:30" ht="16.5" customHeight="1" x14ac:dyDescent="0.45">
      <c r="A145" s="12" t="s">
        <v>136</v>
      </c>
      <c r="B145" s="7">
        <v>82.65</v>
      </c>
      <c r="C145" s="8">
        <f>IFERROR(B145/B444, "NA")</f>
        <v>6.013320104271626E-4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-82.65</v>
      </c>
      <c r="I145" s="8">
        <f>IFERROR(H145/H444, "NA")</f>
        <v>3.2771207015298391E-3</v>
      </c>
      <c r="J145" s="9"/>
      <c r="K145" s="7">
        <v>59.8</v>
      </c>
      <c r="L145" s="8">
        <f>IFERROR(K145/K444, "NA")</f>
        <v>3.953453440747385E-4</v>
      </c>
      <c r="M145" s="9"/>
      <c r="N145" s="10">
        <f t="shared" si="33"/>
        <v>-22.850000000000009</v>
      </c>
      <c r="O145" s="8">
        <f>IFERROR(N145/N444, "NA")</f>
        <v>1.6539645566614957E-3</v>
      </c>
      <c r="P145" s="9"/>
      <c r="Q145" s="7">
        <v>104.41</v>
      </c>
      <c r="R145" s="8">
        <f>IFERROR(Q145/Q444, "NA")</f>
        <v>3.6504150533453212E-4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-104.41</v>
      </c>
      <c r="X145" s="8">
        <f>IFERROR(W145/W444, "NA")</f>
        <v>3.1412831273593084E-3</v>
      </c>
      <c r="Y145" s="9"/>
      <c r="Z145" s="7">
        <v>142.71</v>
      </c>
      <c r="AA145" s="8">
        <f>IFERROR(Z145/Z444, "NA")</f>
        <v>4.7398834907343769E-4</v>
      </c>
      <c r="AB145" s="9"/>
      <c r="AC145" s="10">
        <f t="shared" si="35"/>
        <v>38.300000000000011</v>
      </c>
      <c r="AD145" s="8">
        <f>IFERROR(AC145/AC444, "NA")</f>
        <v>-2.5429783255915325E-3</v>
      </c>
    </row>
    <row r="146" spans="1:30" ht="16.5" customHeight="1" x14ac:dyDescent="0.45">
      <c r="A146" s="12" t="s">
        <v>137</v>
      </c>
      <c r="B146" s="7">
        <v>14.95</v>
      </c>
      <c r="C146" s="8">
        <f>IFERROR(B146/B444, "NA")</f>
        <v>1.0877088391876685E-4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-14.95</v>
      </c>
      <c r="I146" s="8">
        <f>IFERROR(H146/H444, "NA")</f>
        <v>5.9277621884901502E-4</v>
      </c>
      <c r="J146" s="9"/>
      <c r="K146" s="7">
        <v>259.77999999999997</v>
      </c>
      <c r="L146" s="8">
        <f>IFERROR(K146/K444, "NA")</f>
        <v>1.7174383525708288E-3</v>
      </c>
      <c r="M146" s="9"/>
      <c r="N146" s="10">
        <f t="shared" si="33"/>
        <v>244.82999999999998</v>
      </c>
      <c r="O146" s="8">
        <f>IFERROR(N146/N444, "NA")</f>
        <v>-1.7721669251966467E-2</v>
      </c>
      <c r="P146" s="9"/>
      <c r="Q146" s="7">
        <v>29.9</v>
      </c>
      <c r="R146" s="8">
        <f>IFERROR(Q146/Q444, "NA")</f>
        <v>1.0453731452449489E-4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-29.9</v>
      </c>
      <c r="X146" s="8">
        <f>IFERROR(W146/W444, "NA")</f>
        <v>8.9957250749969663E-4</v>
      </c>
      <c r="Y146" s="9"/>
      <c r="Z146" s="7">
        <v>327.18</v>
      </c>
      <c r="AA146" s="8">
        <f>IFERROR(Z146/Z444, "NA")</f>
        <v>1.0866758324563615E-3</v>
      </c>
      <c r="AB146" s="9"/>
      <c r="AC146" s="10">
        <f t="shared" si="35"/>
        <v>297.28000000000003</v>
      </c>
      <c r="AD146" s="8">
        <f>IFERROR(AC146/AC444, "NA")</f>
        <v>-1.9738292340257195E-2</v>
      </c>
    </row>
    <row r="147" spans="1:30" ht="16.5" customHeight="1" x14ac:dyDescent="0.45">
      <c r="A147" s="12" t="s">
        <v>138</v>
      </c>
      <c r="B147" s="7">
        <v>50.77</v>
      </c>
      <c r="C147" s="8">
        <f>IFERROR(B147/B444, "NA")</f>
        <v>3.6938446665925041E-4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-50.77</v>
      </c>
      <c r="I147" s="8">
        <f>IFERROR(H147/H444, "NA")</f>
        <v>2.013060109094615E-3</v>
      </c>
      <c r="J147" s="9"/>
      <c r="K147" s="7">
        <v>7.35</v>
      </c>
      <c r="L147" s="8">
        <f>IFERROR(K147/K444, "NA")</f>
        <v>4.8591777239955315E-5</v>
      </c>
      <c r="M147" s="9"/>
      <c r="N147" s="10">
        <f t="shared" si="33"/>
        <v>-43.42</v>
      </c>
      <c r="O147" s="8">
        <f>IFERROR(N147/N444, "NA")</f>
        <v>3.1428945755029372E-3</v>
      </c>
      <c r="P147" s="9"/>
      <c r="Q147" s="7">
        <v>72.819999999999993</v>
      </c>
      <c r="R147" s="8">
        <f>IFERROR(Q147/Q444, "NA")</f>
        <v>2.5459555998908753E-4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-72.819999999999993</v>
      </c>
      <c r="X147" s="8">
        <f>IFERROR(W147/W444, "NA")</f>
        <v>2.1908652172618029E-3</v>
      </c>
      <c r="Y147" s="9"/>
      <c r="Z147" s="7">
        <v>21.37</v>
      </c>
      <c r="AA147" s="8">
        <f>IFERROR(Z147/Z444, "NA")</f>
        <v>7.0977023472071775E-5</v>
      </c>
      <c r="AB147" s="9"/>
      <c r="AC147" s="10">
        <f t="shared" si="35"/>
        <v>-51.449999999999989</v>
      </c>
      <c r="AD147" s="8">
        <f>IFERROR(AC147/AC444, "NA")</f>
        <v>3.4160896828116E-3</v>
      </c>
    </row>
    <row r="148" spans="1:30" ht="16.5" customHeight="1" x14ac:dyDescent="0.45">
      <c r="A148" s="13" t="s">
        <v>139</v>
      </c>
      <c r="B148" s="14">
        <f>IFERROR(B143+B144+B145+B146+B147, "NA")</f>
        <v>1562.49</v>
      </c>
      <c r="C148" s="15">
        <f>IFERROR(B148/B444, "NA")</f>
        <v>1.1368121633059131E-2</v>
      </c>
      <c r="D148" s="2"/>
      <c r="E148" s="14">
        <f>IFERROR(E143+E144+E145+E146+E147, "NA")</f>
        <v>1789.32</v>
      </c>
      <c r="F148" s="15">
        <f>IFERROR(E148/E444, "NA")</f>
        <v>1.1000018565743449E-2</v>
      </c>
      <c r="G148" s="2"/>
      <c r="H148" s="14">
        <f t="shared" si="32"/>
        <v>226.82999999999993</v>
      </c>
      <c r="I148" s="15">
        <f>IFERROR(H148/H444, "NA")</f>
        <v>-8.9939417873927778E-3</v>
      </c>
      <c r="J148" s="2"/>
      <c r="K148" s="14">
        <f>IFERROR(K143+K144+K145+K146+K147, "NA")</f>
        <v>2247.9299999999998</v>
      </c>
      <c r="L148" s="15">
        <f>IFERROR(K148/K444, "NA")</f>
        <v>1.4861348817824863E-2</v>
      </c>
      <c r="M148" s="2"/>
      <c r="N148" s="14">
        <f t="shared" si="33"/>
        <v>685.43999999999983</v>
      </c>
      <c r="O148" s="15">
        <f>IFERROR(N148/N444, "NA")</f>
        <v>-4.9614593685691682E-2</v>
      </c>
      <c r="P148" s="2"/>
      <c r="Q148" s="14">
        <f>IFERROR(Q143+Q144+Q145+Q146+Q147, "NA")</f>
        <v>3460.17</v>
      </c>
      <c r="R148" s="15">
        <f>IFERROR(Q148/Q444, "NA")</f>
        <v>1.2097554501612758E-2</v>
      </c>
      <c r="S148" s="2"/>
      <c r="T148" s="14">
        <f>IFERROR(T143+T144+T145+T146+T147, "NA")</f>
        <v>3511.87</v>
      </c>
      <c r="U148" s="15">
        <f>IFERROR(T148/T444, "NA")</f>
        <v>1.1000021675104712E-2</v>
      </c>
      <c r="V148" s="2"/>
      <c r="W148" s="14">
        <f t="shared" si="34"/>
        <v>51.699999999999818</v>
      </c>
      <c r="X148" s="15">
        <f>IFERROR(W148/W444, "NA")</f>
        <v>-1.5554481149743864E-3</v>
      </c>
      <c r="Y148" s="2"/>
      <c r="Z148" s="14">
        <f>IFERROR(Z143+Z144+Z145+Z146+Z147, "NA")</f>
        <v>4296.97</v>
      </c>
      <c r="AA148" s="15">
        <f>IFERROR(Z148/Z444, "NA")</f>
        <v>1.427169586096342E-2</v>
      </c>
      <c r="AB148" s="2"/>
      <c r="AC148" s="14">
        <f t="shared" si="35"/>
        <v>836.80000000000018</v>
      </c>
      <c r="AD148" s="15">
        <f>IFERROR(AC148/AC444, "NA")</f>
        <v>-5.5560424617623873E-2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32730.400000000005</v>
      </c>
      <c r="C149" s="15">
        <f>IFERROR(B149/B444, "NA")</f>
        <v>0.23813475177356569</v>
      </c>
      <c r="D149" s="2"/>
      <c r="E149" s="14">
        <f>IFERROR(E127+E129+E130+E131+E132+E133+E134+E135+E136+E137+E138+E139+E140+E143+E144+E145+E146+E147, "NA")</f>
        <v>36599.67</v>
      </c>
      <c r="F149" s="15">
        <f>IFERROR(E149/E444, "NA")</f>
        <v>0.22500002766418725</v>
      </c>
      <c r="G149" s="2"/>
      <c r="H149" s="14">
        <f t="shared" si="32"/>
        <v>3869.2699999999932</v>
      </c>
      <c r="I149" s="15">
        <f>IFERROR(H149/H444, "NA")</f>
        <v>-0.15341881206059693</v>
      </c>
      <c r="J149" s="2"/>
      <c r="K149" s="14">
        <f>IFERROR(K127+K129+K130+K131+K132+K133+K134+K135+K136+K137+K138+K139+K140+K143+K144+K145+K146+K147, "NA")</f>
        <v>38760.239999999998</v>
      </c>
      <c r="L149" s="15">
        <f>IFERROR(K149/K444, "NA")</f>
        <v>0.25624883644179669</v>
      </c>
      <c r="M149" s="2"/>
      <c r="N149" s="14">
        <f t="shared" si="33"/>
        <v>6029.8399999999929</v>
      </c>
      <c r="O149" s="15">
        <f>IFERROR(N149/N444, "NA")</f>
        <v>-0.43646134102143275</v>
      </c>
      <c r="P149" s="2"/>
      <c r="Q149" s="14">
        <f>IFERROR(Q127+Q129+Q130+Q131+Q132+Q133+Q134+Q135+Q136+Q137+Q138+Q139+Q140+Q143+Q144+Q145+Q146+Q147, "NA")</f>
        <v>69465.45</v>
      </c>
      <c r="R149" s="15">
        <f>IFERROR(Q149/Q444, "NA")</f>
        <v>0.24286727743262787</v>
      </c>
      <c r="S149" s="2"/>
      <c r="T149" s="14">
        <f>IFERROR(T127+T129+T130+T131+T132+T133+T134+T135+T136+T137+T138+T139+T140+T143+T144+T145+T146+T147, "NA")</f>
        <v>72665.76999999999</v>
      </c>
      <c r="U149" s="15">
        <f>IFERROR(T149/T444, "NA")</f>
        <v>0.22760667252437411</v>
      </c>
      <c r="V149" s="2"/>
      <c r="W149" s="14">
        <f t="shared" si="34"/>
        <v>3200.3199999999924</v>
      </c>
      <c r="X149" s="15">
        <f>IFERROR(W149/W444, "NA")</f>
        <v>-9.6284946060248233E-2</v>
      </c>
      <c r="Y149" s="2"/>
      <c r="Z149" s="14">
        <f>IFERROR(Z127+Z129+Z130+Z131+Z132+Z133+Z134+Z135+Z136+Z137+Z138+Z139+Z140+Z143+Z144+Z145+Z146+Z147, "NA")</f>
        <v>77791.460000000006</v>
      </c>
      <c r="AA149" s="15">
        <f>IFERROR(Z149/Z444, "NA")</f>
        <v>0.25837184288005305</v>
      </c>
      <c r="AB149" s="2"/>
      <c r="AC149" s="14">
        <f t="shared" si="35"/>
        <v>8326.0100000000093</v>
      </c>
      <c r="AD149" s="15">
        <f>IFERROR(AC149/AC444, "NA")</f>
        <v>-0.55281626550021856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6831.94</v>
      </c>
      <c r="F153" s="8">
        <f>IFERROR(E153/E444, "NA")</f>
        <v>4.2000015000137093E-2</v>
      </c>
      <c r="G153" s="9"/>
      <c r="H153" s="10">
        <f t="shared" ref="H153:H158" si="36">IFERROR(-(B153-E153), "NA")</f>
        <v>6831.94</v>
      </c>
      <c r="I153" s="8">
        <f>IFERROR(H153/H444, "NA")</f>
        <v>-0.2708904053915277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13408.94</v>
      </c>
      <c r="U153" s="8">
        <f>IFERROR(T153/T444, "NA")</f>
        <v>4.2000025809662257E-2</v>
      </c>
      <c r="V153" s="9"/>
      <c r="W153" s="10">
        <f t="shared" ref="W153:W158" si="38">IFERROR(-(Q153-T153), "NA")</f>
        <v>13408.94</v>
      </c>
      <c r="X153" s="8">
        <f>IFERROR(W153/W444, "NA")</f>
        <v>-0.40342186550879539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3963.24</v>
      </c>
      <c r="C154" s="8">
        <f>IFERROR(B154/B444, "NA")</f>
        <v>2.8835124948643043E-2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-3963.24</v>
      </c>
      <c r="I154" s="8">
        <f>IFERROR(H154/H444, "NA")</f>
        <v>0.15714477736395788</v>
      </c>
      <c r="J154" s="9"/>
      <c r="K154" s="7">
        <v>5014.49</v>
      </c>
      <c r="L154" s="8">
        <f>IFERROR(K154/K444, "NA")</f>
        <v>3.3151425993467147E-2</v>
      </c>
      <c r="M154" s="9"/>
      <c r="N154" s="10">
        <f t="shared" si="37"/>
        <v>1051.25</v>
      </c>
      <c r="O154" s="8">
        <f>IFERROR(N154/N444, "NA")</f>
        <v>-7.6093227141811673E-2</v>
      </c>
      <c r="P154" s="9"/>
      <c r="Q154" s="7">
        <v>8931.74</v>
      </c>
      <c r="R154" s="8">
        <f>IFERROR(Q154/Q444, "NA")</f>
        <v>3.1227428549532171E-2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-8931.74</v>
      </c>
      <c r="X154" s="8">
        <f>IFERROR(W154/W444, "NA")</f>
        <v>0.26872066047275384</v>
      </c>
      <c r="Y154" s="9"/>
      <c r="Z154" s="7">
        <v>10349.35</v>
      </c>
      <c r="AA154" s="8">
        <f>IFERROR(Z154/Z444, "NA")</f>
        <v>3.4373704158665704E-2</v>
      </c>
      <c r="AB154" s="9"/>
      <c r="AC154" s="10">
        <f t="shared" si="39"/>
        <v>1417.6100000000006</v>
      </c>
      <c r="AD154" s="8">
        <f>IFERROR(AC154/AC444, "NA")</f>
        <v>-9.4124060160360651E-2</v>
      </c>
    </row>
    <row r="155" spans="1:30" ht="16.5" customHeight="1" x14ac:dyDescent="0.45">
      <c r="A155" s="12" t="s">
        <v>144</v>
      </c>
      <c r="B155" s="7">
        <v>1511.66</v>
      </c>
      <c r="C155" s="8">
        <f>IFERROR(B155/B444, "NA")</f>
        <v>1.0998300627735325E-2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-1511.66</v>
      </c>
      <c r="I155" s="8">
        <f>IFERROR(H155/H444, "NA")</f>
        <v>5.9938200601023547E-2</v>
      </c>
      <c r="J155" s="9"/>
      <c r="K155" s="7">
        <v>1769.69</v>
      </c>
      <c r="L155" s="8">
        <f>IFERROR(K155/K444, "NA")</f>
        <v>1.1699643845411773E-2</v>
      </c>
      <c r="M155" s="9"/>
      <c r="N155" s="10">
        <f t="shared" si="37"/>
        <v>258.02999999999997</v>
      </c>
      <c r="O155" s="8">
        <f>IFERROR(N155/N444, "NA")</f>
        <v>-1.8677132365661511E-2</v>
      </c>
      <c r="P155" s="9"/>
      <c r="Q155" s="7">
        <v>3504.14</v>
      </c>
      <c r="R155" s="8">
        <f>IFERROR(Q155/Q444, "NA")</f>
        <v>1.2251283789895101E-2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-3504.14</v>
      </c>
      <c r="X155" s="8">
        <f>IFERROR(W155/W444, "NA")</f>
        <v>0.10542568583377883</v>
      </c>
      <c r="Y155" s="9"/>
      <c r="Z155" s="7">
        <v>3387.32</v>
      </c>
      <c r="AA155" s="8">
        <f>IFERROR(Z155/Z444, "NA")</f>
        <v>1.1250439454722422E-2</v>
      </c>
      <c r="AB155" s="9"/>
      <c r="AC155" s="10">
        <f t="shared" si="39"/>
        <v>-116.81999999999971</v>
      </c>
      <c r="AD155" s="8">
        <f>IFERROR(AC155/AC444, "NA")</f>
        <v>7.7564158745587987E-3</v>
      </c>
    </row>
    <row r="156" spans="1:30" ht="16.5" customHeight="1" x14ac:dyDescent="0.45">
      <c r="A156" s="12" t="s">
        <v>145</v>
      </c>
      <c r="B156" s="7">
        <v>20.6</v>
      </c>
      <c r="C156" s="8">
        <f>IFERROR(B156/B444, "NA")</f>
        <v>1.4987827483121051E-4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-20.6</v>
      </c>
      <c r="I156" s="8">
        <f>IFERROR(H156/H444, "NA")</f>
        <v>8.168020139324221E-4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-20.6</v>
      </c>
      <c r="O156" s="8">
        <f>IFERROR(N156/N444, "NA")</f>
        <v>1.4911015259180219E-3</v>
      </c>
      <c r="P156" s="9"/>
      <c r="Q156" s="7">
        <v>20.6</v>
      </c>
      <c r="R156" s="8">
        <f>IFERROR(Q156/Q444, "NA")</f>
        <v>7.2022363852996488E-5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-20.6</v>
      </c>
      <c r="X156" s="8">
        <f>IFERROR(W156/W444, "NA")</f>
        <v>6.1977236302654685E-4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-20.6</v>
      </c>
      <c r="AD156" s="8">
        <f>IFERROR(AC156/AC444, "NA")</f>
        <v>1.3677637991432261E-3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5495.5</v>
      </c>
      <c r="C158" s="15">
        <f>IFERROR(B158/B444, "NA")</f>
        <v>3.998330385120958E-2</v>
      </c>
      <c r="D158" s="2"/>
      <c r="E158" s="14">
        <f>IFERROR(E153+E154+E155+E156+E157, "NA")</f>
        <v>6831.94</v>
      </c>
      <c r="F158" s="15">
        <f>IFERROR(E158/E444, "NA")</f>
        <v>4.2000015000137093E-2</v>
      </c>
      <c r="G158" s="2"/>
      <c r="H158" s="14">
        <f t="shared" si="36"/>
        <v>1336.4399999999996</v>
      </c>
      <c r="I158" s="15">
        <f>IFERROR(H158/H444, "NA")</f>
        <v>-5.2990625412613873E-2</v>
      </c>
      <c r="J158" s="2"/>
      <c r="K158" s="14">
        <f>IFERROR(K153+K154+K155+K156+K157, "NA")</f>
        <v>6784.18</v>
      </c>
      <c r="L158" s="15">
        <f>IFERROR(K158/K444, "NA")</f>
        <v>4.4851069838878925E-2</v>
      </c>
      <c r="M158" s="2"/>
      <c r="N158" s="14">
        <f t="shared" si="37"/>
        <v>1288.6800000000003</v>
      </c>
      <c r="O158" s="15">
        <f>IFERROR(N158/N444, "NA")</f>
        <v>-9.3279257981555189E-2</v>
      </c>
      <c r="P158" s="2"/>
      <c r="Q158" s="14">
        <f>IFERROR(Q153+Q154+Q155+Q156+Q157, "NA")</f>
        <v>12456.48</v>
      </c>
      <c r="R158" s="15">
        <f>IFERROR(Q158/Q444, "NA")</f>
        <v>4.3550734703280268E-2</v>
      </c>
      <c r="S158" s="2"/>
      <c r="T158" s="14">
        <f>IFERROR(T153+T154+T155+T156+T157, "NA")</f>
        <v>13408.94</v>
      </c>
      <c r="U158" s="15">
        <f>IFERROR(T158/T444, "NA")</f>
        <v>4.2000025809662257E-2</v>
      </c>
      <c r="V158" s="2"/>
      <c r="W158" s="14">
        <f t="shared" si="38"/>
        <v>952.46000000000095</v>
      </c>
      <c r="X158" s="15">
        <f>IFERROR(W158/W444, "NA")</f>
        <v>-2.8655746839236183E-2</v>
      </c>
      <c r="Y158" s="2"/>
      <c r="Z158" s="14">
        <f>IFERROR(Z153+Z154+Z155+Z156+Z157, "NA")</f>
        <v>13736.67</v>
      </c>
      <c r="AA158" s="15">
        <f>IFERROR(Z158/Z444, "NA")</f>
        <v>4.5624143613388124E-2</v>
      </c>
      <c r="AB158" s="2"/>
      <c r="AC158" s="14">
        <f t="shared" si="39"/>
        <v>1280.1900000000005</v>
      </c>
      <c r="AD158" s="15">
        <f>IFERROR(AC158/AC444, "NA")</f>
        <v>-8.4999880486658602E-2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370.43</v>
      </c>
      <c r="C161" s="8">
        <f>IFERROR(B161/B444, "NA")</f>
        <v>2.6951169585303549E-3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-370.43</v>
      </c>
      <c r="I161" s="8">
        <f>IFERROR(H161/H444, "NA")</f>
        <v>1.4687765534999373E-2</v>
      </c>
      <c r="J161" s="9"/>
      <c r="K161" s="7">
        <v>491.99</v>
      </c>
      <c r="L161" s="8">
        <f>IFERROR(K161/K444, "NA")</f>
        <v>3.2526079570456621E-3</v>
      </c>
      <c r="M161" s="9"/>
      <c r="N161" s="10">
        <f t="shared" si="41"/>
        <v>121.56</v>
      </c>
      <c r="O161" s="8">
        <f>IFERROR(N161/N444, "NA")</f>
        <v>-8.7989466743007162E-3</v>
      </c>
      <c r="P161" s="9"/>
      <c r="Q161" s="7">
        <v>877.32</v>
      </c>
      <c r="R161" s="8">
        <f>IFERROR(Q161/Q444, "NA")</f>
        <v>3.0673136046364502E-3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-877.32</v>
      </c>
      <c r="X161" s="8">
        <f>IFERROR(W161/W444, "NA")</f>
        <v>2.6395082016041266E-2</v>
      </c>
      <c r="Y161" s="9"/>
      <c r="Z161" s="7">
        <v>1212.8800000000001</v>
      </c>
      <c r="AA161" s="8">
        <f>IFERROR(Z161/Z444, "NA")</f>
        <v>4.0283861595136368E-3</v>
      </c>
      <c r="AB161" s="9"/>
      <c r="AC161" s="10">
        <f t="shared" si="43"/>
        <v>335.56000000000006</v>
      </c>
      <c r="AD161" s="8">
        <f>IFERROR(AC161/AC444, "NA")</f>
        <v>-2.2279942739830146E-2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370.43</v>
      </c>
      <c r="C166" s="15">
        <f>IFERROR(B166/B444, "NA")</f>
        <v>2.6951169585303549E-3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-370.43</v>
      </c>
      <c r="I166" s="15">
        <f>IFERROR(H166/H444, "NA")</f>
        <v>1.4687765534999373E-2</v>
      </c>
      <c r="J166" s="2"/>
      <c r="K166" s="14">
        <f>IFERROR(K160+K161+K162+K163+K164+K165, "NA")</f>
        <v>491.99</v>
      </c>
      <c r="L166" s="15">
        <f>IFERROR(K166/K444, "NA")</f>
        <v>3.2526079570456621E-3</v>
      </c>
      <c r="M166" s="2"/>
      <c r="N166" s="14">
        <f t="shared" si="41"/>
        <v>121.56</v>
      </c>
      <c r="O166" s="15">
        <f>IFERROR(N166/N444, "NA")</f>
        <v>-8.7989466743007162E-3</v>
      </c>
      <c r="P166" s="2"/>
      <c r="Q166" s="14">
        <f>IFERROR(Q160+Q161+Q162+Q163+Q164+Q165, "NA")</f>
        <v>877.32</v>
      </c>
      <c r="R166" s="15">
        <f>IFERROR(Q166/Q444, "NA")</f>
        <v>3.0673136046364502E-3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-877.32</v>
      </c>
      <c r="X166" s="15">
        <f>IFERROR(W166/W444, "NA")</f>
        <v>2.6395082016041266E-2</v>
      </c>
      <c r="Y166" s="2"/>
      <c r="Z166" s="14">
        <f>IFERROR(Z160+Z161+Z162+Z163+Z164+Z165, "NA")</f>
        <v>1212.8800000000001</v>
      </c>
      <c r="AA166" s="15">
        <f>IFERROR(Z166/Z444, "NA")</f>
        <v>4.0283861595136368E-3</v>
      </c>
      <c r="AB166" s="2"/>
      <c r="AC166" s="14">
        <f t="shared" si="43"/>
        <v>335.56000000000006</v>
      </c>
      <c r="AD166" s="15">
        <f>IFERROR(AC166/AC444, "NA")</f>
        <v>-2.2279942739830146E-2</v>
      </c>
    </row>
    <row r="167" spans="1:30" ht="16.5" customHeight="1" x14ac:dyDescent="0.45">
      <c r="A167" s="6" t="s">
        <v>155</v>
      </c>
      <c r="B167" s="7">
        <v>136.88</v>
      </c>
      <c r="C167" s="8">
        <f>IFERROR(B167/B444, "NA")</f>
        <v>9.9589020674252884E-4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-136.88</v>
      </c>
      <c r="I167" s="8">
        <f>IFERROR(H167/H444, "NA")</f>
        <v>5.42737182849854E-3</v>
      </c>
      <c r="J167" s="9"/>
      <c r="K167" s="7">
        <v>185.15</v>
      </c>
      <c r="L167" s="8">
        <f>IFERROR(K167/K444, "NA")</f>
        <v>1.2240500076160174E-3</v>
      </c>
      <c r="M167" s="9"/>
      <c r="N167" s="10">
        <f t="shared" si="41"/>
        <v>48.27000000000001</v>
      </c>
      <c r="O167" s="8">
        <f>IFERROR(N167/N444, "NA")</f>
        <v>-3.493954886216647E-3</v>
      </c>
      <c r="P167" s="9"/>
      <c r="Q167" s="7">
        <v>374.82</v>
      </c>
      <c r="R167" s="8">
        <f>IFERROR(Q167/Q444, "NA")</f>
        <v>1.310457398999036E-3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-374.82</v>
      </c>
      <c r="X167" s="8">
        <f>IFERROR(W167/W444, "NA")</f>
        <v>1.127684840337914E-2</v>
      </c>
      <c r="Y167" s="9"/>
      <c r="Z167" s="7">
        <v>385.16</v>
      </c>
      <c r="AA167" s="8">
        <f>IFERROR(Z167/Z444, "NA")</f>
        <v>1.2792470922088519E-3</v>
      </c>
      <c r="AB167" s="9"/>
      <c r="AC167" s="10">
        <f t="shared" si="43"/>
        <v>10.340000000000032</v>
      </c>
      <c r="AD167" s="8">
        <f>IFERROR(AC167/AC444, "NA")</f>
        <v>-6.8653775160878636E-4</v>
      </c>
    </row>
    <row r="168" spans="1:30" ht="16.5" customHeight="1" x14ac:dyDescent="0.45">
      <c r="A168" s="6" t="s">
        <v>156</v>
      </c>
      <c r="B168" s="7">
        <v>195.14</v>
      </c>
      <c r="C168" s="8">
        <f>IFERROR(B168/B444, "NA")</f>
        <v>1.4197692500273018E-3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-195.14</v>
      </c>
      <c r="I168" s="8">
        <f>IFERROR(H168/H444, "NA")</f>
        <v>7.7374148057656709E-3</v>
      </c>
      <c r="J168" s="9"/>
      <c r="K168" s="7">
        <v>59.4</v>
      </c>
      <c r="L168" s="8">
        <f>IFERROR(K168/K444, "NA")</f>
        <v>3.9270089361270012E-4</v>
      </c>
      <c r="M168" s="9"/>
      <c r="N168" s="10">
        <f t="shared" si="41"/>
        <v>-135.73999999999998</v>
      </c>
      <c r="O168" s="8">
        <f>IFERROR(N168/N444, "NA")</f>
        <v>9.8253456858306918E-3</v>
      </c>
      <c r="P168" s="9"/>
      <c r="Q168" s="7">
        <v>246.45</v>
      </c>
      <c r="R168" s="8">
        <f>IFERROR(Q168/Q444, "NA")</f>
        <v>8.6164619279470781E-4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-246.45</v>
      </c>
      <c r="X168" s="8">
        <f>IFERROR(W168/W444, "NA")</f>
        <v>7.4147038285384687E-3</v>
      </c>
      <c r="Y168" s="9"/>
      <c r="Z168" s="7">
        <v>140</v>
      </c>
      <c r="AA168" s="8">
        <f>IFERROR(Z168/Z444, "NA")</f>
        <v>4.6498751923678279E-4</v>
      </c>
      <c r="AB168" s="9"/>
      <c r="AC168" s="10">
        <f t="shared" si="43"/>
        <v>-106.44999999999999</v>
      </c>
      <c r="AD168" s="8">
        <f>IFERROR(AC168/AC444, "NA")</f>
        <v>7.0678862339221549E-3</v>
      </c>
    </row>
    <row r="169" spans="1:30" ht="16.5" customHeight="1" x14ac:dyDescent="0.45">
      <c r="A169" s="6" t="s">
        <v>157</v>
      </c>
      <c r="B169" s="7">
        <v>-1171.96</v>
      </c>
      <c r="C169" s="8">
        <f>IFERROR(B169/B444, "NA")</f>
        <v>-8.5267642219022076E-3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1171.96</v>
      </c>
      <c r="I169" s="8">
        <f>IFERROR(H169/H444, "NA")</f>
        <v>-4.6468897487778701E-2</v>
      </c>
      <c r="J169" s="9"/>
      <c r="K169" s="7">
        <v>-3622.04</v>
      </c>
      <c r="L169" s="8">
        <f>IFERROR(K169/K444, "NA")</f>
        <v>-2.3945763378803778E-2</v>
      </c>
      <c r="M169" s="9"/>
      <c r="N169" s="10">
        <f t="shared" si="41"/>
        <v>-2450.08</v>
      </c>
      <c r="O169" s="8">
        <f>IFERROR(N169/N444, "NA")</f>
        <v>0.17734553527287508</v>
      </c>
      <c r="P169" s="9"/>
      <c r="Q169" s="7">
        <v>-2762.12</v>
      </c>
      <c r="R169" s="8">
        <f>IFERROR(Q169/Q444, "NA")</f>
        <v>-9.6570102740601276E-3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2762.12</v>
      </c>
      <c r="X169" s="8">
        <f>IFERROR(W169/W444, "NA")</f>
        <v>-8.3101244629266283E-2</v>
      </c>
      <c r="Y169" s="9"/>
      <c r="Z169" s="7">
        <v>-8039.15</v>
      </c>
      <c r="AA169" s="8">
        <f>IFERROR(Z169/Z444, "NA")</f>
        <v>-2.6700745823374158E-2</v>
      </c>
      <c r="AB169" s="9"/>
      <c r="AC169" s="10">
        <f t="shared" si="43"/>
        <v>-5277.03</v>
      </c>
      <c r="AD169" s="8">
        <f>IFERROR(AC169/AC444, "NA")</f>
        <v>0.35037527189285328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5025.9900000000007</v>
      </c>
      <c r="C170" s="15">
        <f>IFERROR(B170/B444, "NA")</f>
        <v>3.6567316044607563E-2</v>
      </c>
      <c r="D170" s="2"/>
      <c r="E170" s="14">
        <f>IFERROR(E151+E153+E154+E155+E156+E157+E160+E161+E162+E163+E164+E165+E167+E168+E169, "NA")</f>
        <v>6831.94</v>
      </c>
      <c r="F170" s="15">
        <f>IFERROR(E170/E444, "NA")</f>
        <v>4.2000015000137093E-2</v>
      </c>
      <c r="G170" s="2"/>
      <c r="H170" s="14">
        <f t="shared" si="40"/>
        <v>1805.9499999999989</v>
      </c>
      <c r="I170" s="15">
        <f>IFERROR(H170/H444, "NA")</f>
        <v>-7.1606970731128969E-2</v>
      </c>
      <c r="J170" s="2"/>
      <c r="K170" s="14">
        <f>IFERROR(K151+K153+K154+K155+K156+K157+K160+K161+K162+K163+K164+K165+K167+K168+K169, "NA")</f>
        <v>3898.6799999999994</v>
      </c>
      <c r="L170" s="15">
        <f>IFERROR(K170/K444, "NA")</f>
        <v>2.5774665318349519E-2</v>
      </c>
      <c r="M170" s="2"/>
      <c r="N170" s="14">
        <f t="shared" si="41"/>
        <v>-1127.3100000000013</v>
      </c>
      <c r="O170" s="15">
        <f>IFERROR(N170/N444, "NA")</f>
        <v>8.1598721416633352E-2</v>
      </c>
      <c r="P170" s="2"/>
      <c r="Q170" s="14">
        <f>IFERROR(Q151+Q153+Q154+Q155+Q156+Q157+Q160+Q161+Q162+Q163+Q164+Q165+Q167+Q168+Q169, "NA")</f>
        <v>11192.95</v>
      </c>
      <c r="R170" s="15">
        <f>IFERROR(Q170/Q444, "NA")</f>
        <v>3.913314162565034E-2</v>
      </c>
      <c r="S170" s="2"/>
      <c r="T170" s="14">
        <f>IFERROR(T151+T153+T154+T155+T156+T157+T160+T161+T162+T163+T164+T165+T167+T168+T169, "NA")</f>
        <v>13408.94</v>
      </c>
      <c r="U170" s="15">
        <f>IFERROR(T170/T444, "NA")</f>
        <v>4.2000025809662257E-2</v>
      </c>
      <c r="V170" s="2"/>
      <c r="W170" s="14">
        <f t="shared" si="42"/>
        <v>2215.9899999999998</v>
      </c>
      <c r="X170" s="15">
        <f>IFERROR(W170/W444, "NA")</f>
        <v>-6.6670357220543569E-2</v>
      </c>
      <c r="Y170" s="2"/>
      <c r="Z170" s="14">
        <f>IFERROR(Z151+Z153+Z154+Z155+Z156+Z157+Z160+Z161+Z162+Z163+Z164+Z165+Z167+Z168+Z169, "NA")</f>
        <v>7435.5599999999995</v>
      </c>
      <c r="AA170" s="15">
        <f>IFERROR(Z170/Z444, "NA")</f>
        <v>2.4696018560973233E-2</v>
      </c>
      <c r="AB170" s="2"/>
      <c r="AC170" s="14">
        <f t="shared" si="43"/>
        <v>-3757.3900000000012</v>
      </c>
      <c r="AD170" s="15">
        <f>IFERROR(AC170/AC444, "NA")</f>
        <v>0.24947679714867804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37756.390000000007</v>
      </c>
      <c r="C171" s="15">
        <f>IFERROR(B171/B444, "NA")</f>
        <v>0.27470206781817325</v>
      </c>
      <c r="D171" s="2"/>
      <c r="E171" s="14">
        <f>IFERROR(E127+E129+E130+E131+E132+E133+E134+E135+E136+E137+E138+E139+E140+E143+E144+E145+E146+E147+E151+E153+E154+E155+E156+E157+E160+E161+E162+E163+E164+E165+E167+E168+E169, "NA")</f>
        <v>43431.61</v>
      </c>
      <c r="F171" s="15">
        <f>IFERROR(E171/E444, "NA")</f>
        <v>0.26700004266432437</v>
      </c>
      <c r="G171" s="2"/>
      <c r="H171" s="14">
        <f t="shared" si="40"/>
        <v>5675.2199999999939</v>
      </c>
      <c r="I171" s="15">
        <f>IFERROR(H171/H444, "NA")</f>
        <v>-0.22502578279172597</v>
      </c>
      <c r="J171" s="2"/>
      <c r="K171" s="14">
        <f>IFERROR(K127+K129+K130+K131+K132+K133+K134+K135+K136+K137+K138+K139+K140+K143+K144+K145+K146+K147+K151+K153+K154+K155+K156+K157+K160+K161+K162+K163+K164+K165+K167+K168+K169, "NA")</f>
        <v>42658.92</v>
      </c>
      <c r="L171" s="15">
        <f>IFERROR(K171/K444, "NA")</f>
        <v>0.28202350176014623</v>
      </c>
      <c r="M171" s="2"/>
      <c r="N171" s="14">
        <f t="shared" si="41"/>
        <v>4902.5299999999916</v>
      </c>
      <c r="O171" s="15">
        <f>IFERROR(N171/N444, "NA")</f>
        <v>-0.35486261960479937</v>
      </c>
      <c r="P171" s="2"/>
      <c r="Q171" s="14">
        <f>IFERROR(Q127+Q129+Q130+Q131+Q132+Q133+Q134+Q135+Q136+Q137+Q138+Q139+Q140+Q143+Q144+Q145+Q146+Q147+Q151+Q153+Q154+Q155+Q156+Q157+Q160+Q161+Q162+Q163+Q164+Q165+Q167+Q168+Q169, "NA")</f>
        <v>80658.400000000023</v>
      </c>
      <c r="R171" s="15">
        <f>IFERROR(Q171/Q444, "NA")</f>
        <v>0.28200041905827827</v>
      </c>
      <c r="S171" s="2"/>
      <c r="T171" s="14">
        <f>IFERROR(T127+T129+T130+T131+T132+T133+T134+T135+T136+T137+T138+T139+T140+T143+T144+T145+T146+T147+T151+T153+T154+T155+T156+T157+T160+T161+T162+T163+T164+T165+T167+T168+T169, "NA")</f>
        <v>86074.709999999992</v>
      </c>
      <c r="U171" s="15">
        <f>IFERROR(T171/T444, "NA")</f>
        <v>0.26960669833403639</v>
      </c>
      <c r="V171" s="2"/>
      <c r="W171" s="14">
        <f t="shared" si="42"/>
        <v>5416.3099999999686</v>
      </c>
      <c r="X171" s="15">
        <f>IFERROR(W171/W444, "NA")</f>
        <v>-0.16295530328079108</v>
      </c>
      <c r="Y171" s="2"/>
      <c r="Z171" s="14">
        <f>IFERROR(Z127+Z129+Z130+Z131+Z132+Z133+Z134+Z135+Z136+Z137+Z138+Z139+Z140+Z143+Z144+Z145+Z146+Z147+Z151+Z153+Z154+Z155+Z156+Z157+Z160+Z161+Z162+Z163+Z164+Z165+Z167+Z168+Z169, "NA")</f>
        <v>85227.020000000033</v>
      </c>
      <c r="AA171" s="15">
        <f>IFERROR(Z171/Z444, "NA")</f>
        <v>0.28306786144102636</v>
      </c>
      <c r="AB171" s="2"/>
      <c r="AC171" s="14">
        <f t="shared" si="43"/>
        <v>4568.6200000000099</v>
      </c>
      <c r="AD171" s="15">
        <f>IFERROR(AC171/AC444, "NA")</f>
        <v>-0.30333946835154069</v>
      </c>
    </row>
    <row r="172" spans="1:30" ht="16.5" customHeight="1" x14ac:dyDescent="0.45">
      <c r="A172" s="22" t="s">
        <v>160</v>
      </c>
      <c r="B172" s="23">
        <f>IFERROR(B124-B171, "NA")</f>
        <v>99688.479999999952</v>
      </c>
      <c r="C172" s="24">
        <f>IFERROR(B172/B444, "NA")</f>
        <v>0.72529793218182648</v>
      </c>
      <c r="D172" s="25"/>
      <c r="E172" s="23">
        <f>IFERROR(E124-E171, "NA")</f>
        <v>119233.56999999999</v>
      </c>
      <c r="F172" s="24">
        <f>IFERROR(E172/E444, "NA")</f>
        <v>0.73299995733567569</v>
      </c>
      <c r="G172" s="25"/>
      <c r="H172" s="23">
        <f>IFERROR(B172-E172, "NA")</f>
        <v>-19545.09000000004</v>
      </c>
      <c r="I172" s="24">
        <f>IFERROR(H172/H444, "NA")</f>
        <v>0.77497421720827542</v>
      </c>
      <c r="J172" s="25"/>
      <c r="K172" s="23">
        <f>IFERROR(K124-K171, "NA")</f>
        <v>108601.24000000003</v>
      </c>
      <c r="L172" s="24">
        <f>IFERROR(K172/K444, "NA")</f>
        <v>0.71797649823985399</v>
      </c>
      <c r="M172" s="25"/>
      <c r="N172" s="23">
        <f>IFERROR(B172-K172, "NA")</f>
        <v>-8912.7600000000821</v>
      </c>
      <c r="O172" s="24">
        <f>IFERROR(N172/N444, "NA")</f>
        <v>0.64513738039520541</v>
      </c>
      <c r="P172" s="25"/>
      <c r="Q172" s="23">
        <f>IFERROR(Q124-Q171, "NA")</f>
        <v>205363.86999999994</v>
      </c>
      <c r="R172" s="24">
        <f>IFERROR(Q172/Q444, "NA")</f>
        <v>0.71799958094172156</v>
      </c>
      <c r="S172" s="25"/>
      <c r="T172" s="23">
        <f>IFERROR(T124-T171, "NA")</f>
        <v>233185.56999999998</v>
      </c>
      <c r="U172" s="24">
        <f>IFERROR(T172/T444, "NA")</f>
        <v>0.7303933016659635</v>
      </c>
      <c r="V172" s="25"/>
      <c r="W172" s="23">
        <f>IFERROR(Q172-T172, "NA")</f>
        <v>-27821.700000000041</v>
      </c>
      <c r="X172" s="24">
        <f>IFERROR(W172/W444, "NA")</f>
        <v>0.83704469671920889</v>
      </c>
      <c r="Y172" s="25"/>
      <c r="Z172" s="23">
        <f>IFERROR(Z124-Z171, "NA")</f>
        <v>215856.33000000013</v>
      </c>
      <c r="AA172" s="24">
        <f>IFERROR(Z172/Z444, "NA")</f>
        <v>0.71693213855897431</v>
      </c>
      <c r="AB172" s="25"/>
      <c r="AC172" s="23">
        <f>IFERROR(Q172-Z172, "NA")</f>
        <v>-10492.460000000196</v>
      </c>
      <c r="AD172" s="24">
        <f>IFERROR(AC172/AC444, "NA")</f>
        <v>0.69666053164847574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7307.7</v>
      </c>
      <c r="C178" s="8">
        <f>IFERROR(B178/B444, "NA")</f>
        <v>5.3168226649710534E-2</v>
      </c>
      <c r="D178" s="9"/>
      <c r="E178" s="7">
        <v>7307.7</v>
      </c>
      <c r="F178" s="8">
        <f>IFERROR(E178/E444, "NA")</f>
        <v>4.4924795829076637E-2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7307.7</v>
      </c>
      <c r="L178" s="8">
        <f>IFERROR(K178/K444, "NA")</f>
        <v>4.8312126603594754E-2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19000.02</v>
      </c>
      <c r="R178" s="8">
        <f>IFERROR(Q178/Q444, "NA")</f>
        <v>6.6428463769621846E-2</v>
      </c>
      <c r="S178" s="9"/>
      <c r="T178" s="7">
        <v>19000.02</v>
      </c>
      <c r="U178" s="8">
        <f>IFERROR(T178/T444, "NA")</f>
        <v>5.9512633391162841E-2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19000.02</v>
      </c>
      <c r="AA178" s="8">
        <f>IFERROR(Z178/Z444, "NA")</f>
        <v>6.3105515466066131E-2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22297.46</v>
      </c>
      <c r="C180" s="8">
        <f>IFERROR(B180/B444, "NA")</f>
        <v>0.16222839019019045</v>
      </c>
      <c r="D180" s="9"/>
      <c r="E180" s="7">
        <v>27165.08</v>
      </c>
      <c r="F180" s="8">
        <f>IFERROR(E180/E444, "NA")</f>
        <v>0.16699996889315835</v>
      </c>
      <c r="G180" s="9"/>
      <c r="H180" s="10">
        <f t="shared" si="44"/>
        <v>4867.6200000000026</v>
      </c>
      <c r="I180" s="8">
        <f>IFERROR(H180/H444, "NA")</f>
        <v>-0.19300397179891932</v>
      </c>
      <c r="J180" s="9"/>
      <c r="K180" s="7">
        <v>25596.880000000001</v>
      </c>
      <c r="L180" s="8">
        <f>IFERROR(K180/K444, "NA")</f>
        <v>0.16922420285685272</v>
      </c>
      <c r="M180" s="9"/>
      <c r="N180" s="10">
        <f t="shared" si="45"/>
        <v>3299.4200000000019</v>
      </c>
      <c r="O180" s="8">
        <f>IFERROR(N180/N444, "NA")</f>
        <v>-0.23882379595361372</v>
      </c>
      <c r="P180" s="9"/>
      <c r="Q180" s="7">
        <v>52233.83</v>
      </c>
      <c r="R180" s="8">
        <f>IFERROR(Q180/Q444, "NA")</f>
        <v>0.18262154901434771</v>
      </c>
      <c r="S180" s="9"/>
      <c r="T180" s="7">
        <v>58484.11</v>
      </c>
      <c r="U180" s="8">
        <f>IFERROR(T180/T444, "NA")</f>
        <v>0.18318630178486342</v>
      </c>
      <c r="V180" s="9"/>
      <c r="W180" s="10">
        <f t="shared" si="46"/>
        <v>6250.2799999999988</v>
      </c>
      <c r="X180" s="8">
        <f>IFERROR(W180/W444, "NA")</f>
        <v>-0.1880461555911439</v>
      </c>
      <c r="Y180" s="9"/>
      <c r="Z180" s="7">
        <v>56836.13</v>
      </c>
      <c r="AA180" s="8">
        <f>IFERROR(Z180/Z444, "NA")</f>
        <v>0.18877207922656633</v>
      </c>
      <c r="AB180" s="9"/>
      <c r="AC180" s="10">
        <f t="shared" si="47"/>
        <v>4602.2999999999956</v>
      </c>
      <c r="AD180" s="8">
        <f>IFERROR(AC180/AC444, "NA")</f>
        <v>-0.30557569576683802</v>
      </c>
    </row>
    <row r="181" spans="1:30" ht="16.5" customHeight="1" x14ac:dyDescent="0.45">
      <c r="A181" s="12" t="s">
        <v>166</v>
      </c>
      <c r="B181" s="7">
        <v>591.34</v>
      </c>
      <c r="C181" s="8">
        <f>IFERROR(B181/B444, "NA")</f>
        <v>4.302379564984856E-3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-591.34</v>
      </c>
      <c r="I181" s="8">
        <f>IFERROR(H181/H444, "NA")</f>
        <v>2.3446975869844584E-2</v>
      </c>
      <c r="J181" s="9"/>
      <c r="K181" s="7">
        <v>114.52</v>
      </c>
      <c r="L181" s="8">
        <f>IFERROR(K181/K444, "NA")</f>
        <v>7.5710616728158953E-4</v>
      </c>
      <c r="M181" s="9"/>
      <c r="N181" s="10">
        <f t="shared" si="45"/>
        <v>-476.82000000000005</v>
      </c>
      <c r="O181" s="8">
        <f>IFERROR(N181/N444, "NA")</f>
        <v>3.4513933475156855E-2</v>
      </c>
      <c r="P181" s="9"/>
      <c r="Q181" s="7">
        <v>675.67</v>
      </c>
      <c r="R181" s="8">
        <f>IFERROR(Q181/Q444, "NA")</f>
        <v>2.3622985720657343E-3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-675.67</v>
      </c>
      <c r="X181" s="8">
        <f>IFERROR(W181/W444, "NA")</f>
        <v>2.0328232646900334E-2</v>
      </c>
      <c r="Y181" s="9"/>
      <c r="Z181" s="7">
        <v>114.52</v>
      </c>
      <c r="AA181" s="8">
        <f>IFERROR(Z181/Z444, "NA")</f>
        <v>3.8035979073568833E-4</v>
      </c>
      <c r="AB181" s="9"/>
      <c r="AC181" s="10">
        <f t="shared" si="47"/>
        <v>-561.15</v>
      </c>
      <c r="AD181" s="8">
        <f>IFERROR(AC181/AC444, "NA")</f>
        <v>3.7258284266467045E-2</v>
      </c>
    </row>
    <row r="182" spans="1:30" ht="16.5" customHeight="1" x14ac:dyDescent="0.45">
      <c r="A182" s="13" t="s">
        <v>167</v>
      </c>
      <c r="B182" s="14">
        <f>IFERROR(B177+B178+B179+B180+B181, "NA")</f>
        <v>30196.5</v>
      </c>
      <c r="C182" s="15">
        <f>IFERROR(B182/B444, "NA")</f>
        <v>0.21969899640488583</v>
      </c>
      <c r="D182" s="2"/>
      <c r="E182" s="14">
        <f>IFERROR(E177+E178+E179+E180+E181, "NA")</f>
        <v>34472.78</v>
      </c>
      <c r="F182" s="15">
        <f>IFERROR(E182/E444, "NA")</f>
        <v>0.21192476472223495</v>
      </c>
      <c r="G182" s="2"/>
      <c r="H182" s="14">
        <f t="shared" si="44"/>
        <v>4276.2799999999988</v>
      </c>
      <c r="I182" s="15">
        <f>IFERROR(H182/H444, "NA")</f>
        <v>-0.16955699592907458</v>
      </c>
      <c r="J182" s="2"/>
      <c r="K182" s="14">
        <f>IFERROR(K177+K178+K179+K180+K181, "NA")</f>
        <v>33019.1</v>
      </c>
      <c r="L182" s="15">
        <f>IFERROR(K182/K444, "NA")</f>
        <v>0.21829343562772907</v>
      </c>
      <c r="M182" s="2"/>
      <c r="N182" s="14">
        <f t="shared" si="45"/>
        <v>2822.5999999999985</v>
      </c>
      <c r="O182" s="15">
        <f>IFERROR(N182/N444, "NA")</f>
        <v>-0.20430986247845662</v>
      </c>
      <c r="P182" s="2"/>
      <c r="Q182" s="14">
        <f>IFERROR(Q177+Q178+Q179+Q180+Q181, "NA")</f>
        <v>71909.52</v>
      </c>
      <c r="R182" s="15">
        <f>IFERROR(Q182/Q444, "NA")</f>
        <v>0.25141231135603531</v>
      </c>
      <c r="S182" s="2"/>
      <c r="T182" s="14">
        <f>IFERROR(T177+T178+T179+T180+T181, "NA")</f>
        <v>77484.13</v>
      </c>
      <c r="U182" s="15">
        <f>IFERROR(T182/T444, "NA")</f>
        <v>0.24269893517602628</v>
      </c>
      <c r="V182" s="2"/>
      <c r="W182" s="14">
        <f t="shared" si="46"/>
        <v>5574.6100000000006</v>
      </c>
      <c r="X182" s="15">
        <f>IFERROR(W182/W444, "NA")</f>
        <v>-0.16771792294424362</v>
      </c>
      <c r="Y182" s="2"/>
      <c r="Z182" s="14">
        <f>IFERROR(Z177+Z178+Z179+Z180+Z181, "NA")</f>
        <v>75950.67</v>
      </c>
      <c r="AA182" s="15">
        <f>IFERROR(Z182/Z444, "NA")</f>
        <v>0.25225795448336813</v>
      </c>
      <c r="AB182" s="2"/>
      <c r="AC182" s="14">
        <f t="shared" si="47"/>
        <v>4041.1499999999942</v>
      </c>
      <c r="AD182" s="15">
        <f>IFERROR(AC182/AC444, "NA")</f>
        <v>-0.26831741150037086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-975</v>
      </c>
      <c r="C184" s="8">
        <f>IFERROR(B184/B444, "NA")</f>
        <v>-7.0937532990500117E-3</v>
      </c>
      <c r="D184" s="9"/>
      <c r="E184" s="7">
        <v>525</v>
      </c>
      <c r="F184" s="8">
        <f>IFERROR(E184/E444, "NA")</f>
        <v>3.2274885135220705E-3</v>
      </c>
      <c r="G184" s="9"/>
      <c r="H184" s="10">
        <f t="shared" si="44"/>
        <v>1500</v>
      </c>
      <c r="I184" s="8">
        <f>IFERROR(H184/H444, "NA")</f>
        <v>-5.9475874800904514E-2</v>
      </c>
      <c r="J184" s="9"/>
      <c r="K184" s="7">
        <v>500</v>
      </c>
      <c r="L184" s="8">
        <f>IFERROR(K184/K444, "NA")</f>
        <v>3.3055630775479807E-3</v>
      </c>
      <c r="M184" s="9"/>
      <c r="N184" s="10">
        <f t="shared" si="45"/>
        <v>1475</v>
      </c>
      <c r="O184" s="8">
        <f>IFERROR(N184/N444, "NA")</f>
        <v>-0.10676576459849914</v>
      </c>
      <c r="P184" s="9"/>
      <c r="Q184" s="7">
        <v>-275</v>
      </c>
      <c r="R184" s="8">
        <f>IFERROR(Q184/Q444, "NA")</f>
        <v>-9.6146359512495297E-4</v>
      </c>
      <c r="S184" s="9"/>
      <c r="T184" s="7">
        <v>1225</v>
      </c>
      <c r="U184" s="8">
        <f>IFERROR(T184/T444, "NA")</f>
        <v>3.836994692856875E-3</v>
      </c>
      <c r="V184" s="9"/>
      <c r="W184" s="10">
        <f t="shared" si="46"/>
        <v>1500</v>
      </c>
      <c r="X184" s="8">
        <f>IFERROR(W184/W444, "NA")</f>
        <v>-4.5129055560185448E-2</v>
      </c>
      <c r="Y184" s="9"/>
      <c r="Z184" s="7">
        <v>1500</v>
      </c>
      <c r="AA184" s="8">
        <f>IFERROR(Z184/Z444, "NA")</f>
        <v>4.9820091346798158E-3</v>
      </c>
      <c r="AB184" s="9"/>
      <c r="AC184" s="10">
        <f t="shared" si="47"/>
        <v>1775</v>
      </c>
      <c r="AD184" s="8">
        <f>IFERROR(AC184/AC444, "NA")</f>
        <v>-0.11785343414947699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2717.67</v>
      </c>
      <c r="C186" s="8">
        <f>IFERROR(B186/B444, "NA")</f>
        <v>1.9772800541773588E-2</v>
      </c>
      <c r="D186" s="9"/>
      <c r="E186" s="7">
        <v>4128.32</v>
      </c>
      <c r="F186" s="8">
        <f>IFERROR(E186/E444, "NA")</f>
        <v>2.5379248343130347E-2</v>
      </c>
      <c r="G186" s="9"/>
      <c r="H186" s="10">
        <f t="shared" ref="H186:H197" si="48">IFERROR(-(B186-E186), "NA")</f>
        <v>1410.6499999999996</v>
      </c>
      <c r="I186" s="8">
        <f>IFERROR(H186/H444, "NA")</f>
        <v>-5.5933095191930619E-2</v>
      </c>
      <c r="J186" s="9"/>
      <c r="K186" s="7">
        <v>3838.87</v>
      </c>
      <c r="L186" s="8">
        <f>IFERROR(K186/K444, "NA")</f>
        <v>2.5379253863013235E-2</v>
      </c>
      <c r="M186" s="9"/>
      <c r="N186" s="10">
        <f t="shared" ref="N186:N197" si="49">IFERROR(-(B186-K186), "NA")</f>
        <v>1121.1999999999998</v>
      </c>
      <c r="O186" s="8">
        <f>IFERROR(N186/N444, "NA")</f>
        <v>-8.1156457808703189E-2</v>
      </c>
      <c r="P186" s="9"/>
      <c r="Q186" s="7">
        <v>6511.52</v>
      </c>
      <c r="R186" s="8">
        <f>IFERROR(Q186/Q444, "NA")</f>
        <v>2.2765779741556486E-2</v>
      </c>
      <c r="S186" s="9"/>
      <c r="T186" s="7">
        <v>9415.6299999999992</v>
      </c>
      <c r="U186" s="8">
        <f>IFERROR(T186/T444, "NA")</f>
        <v>2.9492018236656304E-2</v>
      </c>
      <c r="V186" s="9"/>
      <c r="W186" s="10">
        <f t="shared" ref="W186:W197" si="50">IFERROR(-(Q186-T186), "NA")</f>
        <v>2904.1099999999988</v>
      </c>
      <c r="X186" s="8">
        <f>IFERROR(W186/W444, "NA")</f>
        <v>-8.737316102859341E-2</v>
      </c>
      <c r="Y186" s="9"/>
      <c r="Z186" s="7">
        <v>8896.3799999999992</v>
      </c>
      <c r="AA186" s="8">
        <f>IFERROR(Z186/Z444, "NA")</f>
        <v>2.9547897617055209E-2</v>
      </c>
      <c r="AB186" s="9"/>
      <c r="AC186" s="10">
        <f t="shared" ref="AC186:AC197" si="51">IFERROR(-(Q186-Z186), "NA")</f>
        <v>2384.8599999999988</v>
      </c>
      <c r="AD186" s="8">
        <f>IFERROR(AC186/AC444, "NA")</f>
        <v>-0.15834588223420934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2717.67</v>
      </c>
      <c r="C193" s="15">
        <f>IFERROR(B193/B444, "NA")</f>
        <v>1.9772800541773588E-2</v>
      </c>
      <c r="D193" s="2"/>
      <c r="E193" s="14">
        <f>IFERROR(E186+E187+E188+E189+E190+E191+E192, "NA")</f>
        <v>4128.32</v>
      </c>
      <c r="F193" s="15">
        <f>IFERROR(E193/E444, "NA")</f>
        <v>2.5379248343130347E-2</v>
      </c>
      <c r="G193" s="2"/>
      <c r="H193" s="14">
        <f t="shared" si="48"/>
        <v>1410.6499999999996</v>
      </c>
      <c r="I193" s="15">
        <f>IFERROR(H193/H444, "NA")</f>
        <v>-5.5933095191930619E-2</v>
      </c>
      <c r="J193" s="2"/>
      <c r="K193" s="14">
        <f>IFERROR(K186+K187+K188+K189+K190+K191+K192, "NA")</f>
        <v>3838.87</v>
      </c>
      <c r="L193" s="15">
        <f>IFERROR(K193/K444, "NA")</f>
        <v>2.5379253863013235E-2</v>
      </c>
      <c r="M193" s="2"/>
      <c r="N193" s="14">
        <f t="shared" si="49"/>
        <v>1121.1999999999998</v>
      </c>
      <c r="O193" s="15">
        <f>IFERROR(N193/N444, "NA")</f>
        <v>-8.1156457808703189E-2</v>
      </c>
      <c r="P193" s="2"/>
      <c r="Q193" s="14">
        <f>IFERROR(Q186+Q187+Q188+Q189+Q190+Q191+Q192, "NA")</f>
        <v>6511.52</v>
      </c>
      <c r="R193" s="15">
        <f>IFERROR(Q193/Q444, "NA")</f>
        <v>2.2765779741556486E-2</v>
      </c>
      <c r="S193" s="2"/>
      <c r="T193" s="14">
        <f>IFERROR(T186+T187+T188+T189+T190+T191+T192, "NA")</f>
        <v>9415.6299999999992</v>
      </c>
      <c r="U193" s="15">
        <f>IFERROR(T193/T444, "NA")</f>
        <v>2.9492018236656304E-2</v>
      </c>
      <c r="V193" s="2"/>
      <c r="W193" s="14">
        <f t="shared" si="50"/>
        <v>2904.1099999999988</v>
      </c>
      <c r="X193" s="15">
        <f>IFERROR(W193/W444, "NA")</f>
        <v>-8.737316102859341E-2</v>
      </c>
      <c r="Y193" s="2"/>
      <c r="Z193" s="14">
        <f>IFERROR(Z186+Z187+Z188+Z189+Z190+Z191+Z192, "NA")</f>
        <v>8896.3799999999992</v>
      </c>
      <c r="AA193" s="15">
        <f>IFERROR(Z193/Z444, "NA")</f>
        <v>2.9547897617055209E-2</v>
      </c>
      <c r="AB193" s="2"/>
      <c r="AC193" s="14">
        <f t="shared" si="51"/>
        <v>2384.8599999999988</v>
      </c>
      <c r="AD193" s="15">
        <f>IFERROR(AC193/AC444, "NA")</f>
        <v>-0.15834588223420934</v>
      </c>
    </row>
    <row r="194" spans="1:30" ht="16.5" customHeight="1" x14ac:dyDescent="0.45">
      <c r="A194" s="6" t="s">
        <v>178</v>
      </c>
      <c r="B194" s="7">
        <v>183.26</v>
      </c>
      <c r="C194" s="8">
        <f>IFERROR(B194/B444, "NA")</f>
        <v>1.333334594445031E-3</v>
      </c>
      <c r="D194" s="9"/>
      <c r="E194" s="7">
        <v>279.98</v>
      </c>
      <c r="F194" s="8">
        <f>IFERROR(E194/E444, "NA")</f>
        <v>1.7212042552683987E-3</v>
      </c>
      <c r="G194" s="9"/>
      <c r="H194" s="10">
        <f t="shared" si="48"/>
        <v>96.720000000000027</v>
      </c>
      <c r="I194" s="8">
        <f>IFERROR(H194/H444, "NA")</f>
        <v>-3.8350044071623242E-3</v>
      </c>
      <c r="J194" s="9"/>
      <c r="K194" s="7">
        <v>200</v>
      </c>
      <c r="L194" s="8">
        <f>IFERROR(K194/K444, "NA")</f>
        <v>1.3222252310191923E-3</v>
      </c>
      <c r="M194" s="9"/>
      <c r="N194" s="10">
        <f t="shared" si="49"/>
        <v>16.740000000000009</v>
      </c>
      <c r="O194" s="8">
        <f>IFERROR(N194/N444, "NA")</f>
        <v>-1.2117009487314417E-3</v>
      </c>
      <c r="P194" s="9"/>
      <c r="Q194" s="7">
        <v>717.26</v>
      </c>
      <c r="R194" s="8">
        <f>IFERROR(Q194/Q444, "NA")</f>
        <v>2.5077068299611772E-3</v>
      </c>
      <c r="S194" s="9"/>
      <c r="T194" s="7">
        <v>629.66999999999996</v>
      </c>
      <c r="U194" s="8">
        <f>IFERROR(T194/T444, "NA")</f>
        <v>1.9722779169397456E-3</v>
      </c>
      <c r="V194" s="9"/>
      <c r="W194" s="10">
        <f t="shared" si="50"/>
        <v>-87.590000000000032</v>
      </c>
      <c r="X194" s="8">
        <f>IFERROR(W194/W444, "NA")</f>
        <v>2.6352359843444298E-3</v>
      </c>
      <c r="Y194" s="9"/>
      <c r="Z194" s="7">
        <v>704</v>
      </c>
      <c r="AA194" s="8">
        <f>IFERROR(Z194/Z444, "NA")</f>
        <v>2.3382229538763937E-3</v>
      </c>
      <c r="AB194" s="9"/>
      <c r="AC194" s="10">
        <f t="shared" si="51"/>
        <v>-13.259999999999991</v>
      </c>
      <c r="AD194" s="8">
        <f>IFERROR(AC194/AC444, "NA")</f>
        <v>8.8041495032228944E-4</v>
      </c>
    </row>
    <row r="195" spans="1:30" ht="16.5" customHeight="1" x14ac:dyDescent="0.45">
      <c r="A195" s="6" t="s">
        <v>179</v>
      </c>
      <c r="B195" s="7">
        <v>1443.22</v>
      </c>
      <c r="C195" s="8">
        <f>IFERROR(B195/B444, "NA")</f>
        <v>1.050035552436406E-2</v>
      </c>
      <c r="D195" s="9"/>
      <c r="E195" s="7">
        <v>488</v>
      </c>
      <c r="F195" s="8">
        <f>IFERROR(E195/E444, "NA")</f>
        <v>3.0000274182833721E-3</v>
      </c>
      <c r="G195" s="9"/>
      <c r="H195" s="10">
        <f t="shared" si="48"/>
        <v>-955.22</v>
      </c>
      <c r="I195" s="8">
        <f>IFERROR(H195/H444, "NA")</f>
        <v>3.787503008488001E-2</v>
      </c>
      <c r="J195" s="9"/>
      <c r="K195" s="7">
        <v>80.17</v>
      </c>
      <c r="L195" s="8">
        <f>IFERROR(K195/K444, "NA")</f>
        <v>5.3001398385404323E-4</v>
      </c>
      <c r="M195" s="9"/>
      <c r="N195" s="10">
        <f t="shared" si="49"/>
        <v>-1363.05</v>
      </c>
      <c r="O195" s="8">
        <f>IFERROR(N195/N444, "NA")</f>
        <v>9.8662424024396095E-2</v>
      </c>
      <c r="P195" s="9"/>
      <c r="Q195" s="7">
        <v>4724.5600000000004</v>
      </c>
      <c r="R195" s="8">
        <f>IFERROR(Q195/Q444, "NA")</f>
        <v>1.6518154338121992E-2</v>
      </c>
      <c r="S195" s="9"/>
      <c r="T195" s="7">
        <v>941.96</v>
      </c>
      <c r="U195" s="8">
        <f>IFERROR(T195/T444, "NA")</f>
        <v>2.9504453231701732E-3</v>
      </c>
      <c r="V195" s="9"/>
      <c r="W195" s="10">
        <f t="shared" si="50"/>
        <v>-3782.6000000000004</v>
      </c>
      <c r="X195" s="8">
        <f>IFERROR(W195/W444, "NA")</f>
        <v>0.11380344370797167</v>
      </c>
      <c r="Y195" s="9"/>
      <c r="Z195" s="7">
        <v>959.6</v>
      </c>
      <c r="AA195" s="8">
        <f>IFERROR(Z195/Z444, "NA")</f>
        <v>3.1871573104258343E-3</v>
      </c>
      <c r="AB195" s="9"/>
      <c r="AC195" s="10">
        <f t="shared" si="51"/>
        <v>-3764.9600000000005</v>
      </c>
      <c r="AD195" s="8">
        <f>IFERROR(AC195/AC444, "NA")</f>
        <v>0.24997941714671265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33565.649999999994</v>
      </c>
      <c r="C196" s="15">
        <f>IFERROR(B196/B444, "NA")</f>
        <v>0.24421173376641847</v>
      </c>
      <c r="D196" s="2"/>
      <c r="E196" s="14">
        <f>IFERROR(E175+E177+E178+E179+E180+E181+E183+E184+E186+E187+E188+E189+E190+E191+E192+E194+E195, "NA")</f>
        <v>39894.080000000002</v>
      </c>
      <c r="F196" s="15">
        <f>IFERROR(E196/E444, "NA")</f>
        <v>0.24525273325243918</v>
      </c>
      <c r="G196" s="2"/>
      <c r="H196" s="14">
        <f t="shared" si="48"/>
        <v>6328.4300000000076</v>
      </c>
      <c r="I196" s="15">
        <f>IFERROR(H196/H444, "NA")</f>
        <v>-0.2509259402441924</v>
      </c>
      <c r="J196" s="2"/>
      <c r="K196" s="14">
        <f>IFERROR(K175+K177+K178+K179+K180+K181+K183+K184+K186+K187+K188+K189+K190+K191+K192+K194+K195, "NA")</f>
        <v>37638.14</v>
      </c>
      <c r="L196" s="15">
        <f>IFERROR(K196/K444, "NA")</f>
        <v>0.24883049178316352</v>
      </c>
      <c r="M196" s="2"/>
      <c r="N196" s="14">
        <f t="shared" si="49"/>
        <v>4072.4900000000052</v>
      </c>
      <c r="O196" s="15">
        <f>IFERROR(N196/N444, "NA")</f>
        <v>-0.29478136180999476</v>
      </c>
      <c r="P196" s="2"/>
      <c r="Q196" s="14">
        <f>IFERROR(Q175+Q177+Q178+Q179+Q180+Q181+Q183+Q184+Q186+Q187+Q188+Q189+Q190+Q191+Q192+Q194+Q195, "NA")</f>
        <v>83587.86</v>
      </c>
      <c r="R196" s="15">
        <f>IFERROR(Q196/Q444, "NA")</f>
        <v>0.29224248867055003</v>
      </c>
      <c r="S196" s="2"/>
      <c r="T196" s="14">
        <f>IFERROR(T175+T177+T178+T179+T180+T181+T183+T184+T186+T187+T188+T189+T190+T191+T192+T194+T195, "NA")</f>
        <v>89696.390000000014</v>
      </c>
      <c r="U196" s="15">
        <f>IFERROR(T196/T444, "NA")</f>
        <v>0.28095067134564938</v>
      </c>
      <c r="V196" s="2"/>
      <c r="W196" s="14">
        <f t="shared" si="50"/>
        <v>6108.5300000000134</v>
      </c>
      <c r="X196" s="15">
        <f>IFERROR(W196/W444, "NA")</f>
        <v>-0.18378145984070682</v>
      </c>
      <c r="Y196" s="2"/>
      <c r="Z196" s="14">
        <f>IFERROR(Z175+Z177+Z178+Z179+Z180+Z181+Z183+Z184+Z186+Z187+Z188+Z189+Z190+Z191+Z192+Z194+Z195, "NA")</f>
        <v>88010.650000000009</v>
      </c>
      <c r="AA196" s="15">
        <f>IFERROR(Z196/Z444, "NA")</f>
        <v>0.29231324149940546</v>
      </c>
      <c r="AB196" s="2"/>
      <c r="AC196" s="14">
        <f t="shared" si="51"/>
        <v>4422.7900000000081</v>
      </c>
      <c r="AD196" s="15">
        <f>IFERROR(AC196/AC444, "NA")</f>
        <v>-0.29365689578702325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33565.649999999994</v>
      </c>
      <c r="C197" s="15">
        <f>IFERROR(B197/B444, "NA")</f>
        <v>0.24421173376641847</v>
      </c>
      <c r="D197" s="2"/>
      <c r="E197" s="14">
        <f>IFERROR(E175+E177+E178+E179+E180+E181+E183+E184+E186+E187+E188+E189+E190+E191+E192+E194+E195, "NA")</f>
        <v>39894.080000000002</v>
      </c>
      <c r="F197" s="15">
        <f>IFERROR(E197/E444, "NA")</f>
        <v>0.24525273325243918</v>
      </c>
      <c r="G197" s="2"/>
      <c r="H197" s="14">
        <f t="shared" si="48"/>
        <v>6328.4300000000076</v>
      </c>
      <c r="I197" s="15">
        <f>IFERROR(H197/H444, "NA")</f>
        <v>-0.2509259402441924</v>
      </c>
      <c r="J197" s="2"/>
      <c r="K197" s="14">
        <f>IFERROR(K175+K177+K178+K179+K180+K181+K183+K184+K186+K187+K188+K189+K190+K191+K192+K194+K195, "NA")</f>
        <v>37638.14</v>
      </c>
      <c r="L197" s="15">
        <f>IFERROR(K197/K444, "NA")</f>
        <v>0.24883049178316352</v>
      </c>
      <c r="M197" s="2"/>
      <c r="N197" s="14">
        <f t="shared" si="49"/>
        <v>4072.4900000000052</v>
      </c>
      <c r="O197" s="15">
        <f>IFERROR(N197/N444, "NA")</f>
        <v>-0.29478136180999476</v>
      </c>
      <c r="P197" s="2"/>
      <c r="Q197" s="14">
        <f>IFERROR(Q175+Q177+Q178+Q179+Q180+Q181+Q183+Q184+Q186+Q187+Q188+Q189+Q190+Q191+Q192+Q194+Q195, "NA")</f>
        <v>83587.86</v>
      </c>
      <c r="R197" s="15">
        <f>IFERROR(Q197/Q444, "NA")</f>
        <v>0.29224248867055003</v>
      </c>
      <c r="S197" s="2"/>
      <c r="T197" s="14">
        <f>IFERROR(T175+T177+T178+T179+T180+T181+T183+T184+T186+T187+T188+T189+T190+T191+T192+T194+T195, "NA")</f>
        <v>89696.390000000014</v>
      </c>
      <c r="U197" s="15">
        <f>IFERROR(T197/T444, "NA")</f>
        <v>0.28095067134564938</v>
      </c>
      <c r="V197" s="2"/>
      <c r="W197" s="14">
        <f t="shared" si="50"/>
        <v>6108.5300000000134</v>
      </c>
      <c r="X197" s="15">
        <f>IFERROR(W197/W444, "NA")</f>
        <v>-0.18378145984070682</v>
      </c>
      <c r="Y197" s="2"/>
      <c r="Z197" s="14">
        <f>IFERROR(Z175+Z177+Z178+Z179+Z180+Z181+Z183+Z184+Z186+Z187+Z188+Z189+Z190+Z191+Z192+Z194+Z195, "NA")</f>
        <v>88010.650000000009</v>
      </c>
      <c r="AA197" s="15">
        <f>IFERROR(Z197/Z444, "NA")</f>
        <v>0.29231324149940546</v>
      </c>
      <c r="AB197" s="2"/>
      <c r="AC197" s="14">
        <f t="shared" si="51"/>
        <v>4422.7900000000081</v>
      </c>
      <c r="AD197" s="15">
        <f>IFERROR(AC197/AC444, "NA")</f>
        <v>-0.29365689578702325</v>
      </c>
    </row>
    <row r="198" spans="1:30" ht="16.5" customHeight="1" x14ac:dyDescent="0.45">
      <c r="A198" s="22" t="s">
        <v>181</v>
      </c>
      <c r="B198" s="23">
        <f>IFERROR(B172-B197, "NA")</f>
        <v>66122.829999999958</v>
      </c>
      <c r="C198" s="24">
        <f>IFERROR(B198/B444, "NA")</f>
        <v>0.48108619841540801</v>
      </c>
      <c r="D198" s="25"/>
      <c r="E198" s="23">
        <f>IFERROR(E172-E197, "NA")</f>
        <v>79339.489999999991</v>
      </c>
      <c r="F198" s="24">
        <f>IFERROR(E198/E444, "NA")</f>
        <v>0.48774722408323645</v>
      </c>
      <c r="G198" s="25"/>
      <c r="H198" s="23">
        <f>IFERROR(B198-E198, "NA")</f>
        <v>-13216.660000000033</v>
      </c>
      <c r="I198" s="24">
        <f>IFERROR(H198/H444, "NA")</f>
        <v>0.52404827696408307</v>
      </c>
      <c r="J198" s="25"/>
      <c r="K198" s="23">
        <f>IFERROR(K172-K197, "NA")</f>
        <v>70963.100000000035</v>
      </c>
      <c r="L198" s="24">
        <f>IFERROR(K198/K444, "NA")</f>
        <v>0.46914600645669047</v>
      </c>
      <c r="M198" s="25"/>
      <c r="N198" s="23">
        <f>IFERROR(B198-K198, "NA")</f>
        <v>-4840.2700000000768</v>
      </c>
      <c r="O198" s="24">
        <f>IFERROR(N198/N444, "NA")</f>
        <v>0.35035601858521059</v>
      </c>
      <c r="P198" s="25"/>
      <c r="Q198" s="23">
        <f>IFERROR(Q172-Q197, "NA")</f>
        <v>121776.00999999994</v>
      </c>
      <c r="R198" s="24">
        <f>IFERROR(Q198/Q444, "NA")</f>
        <v>0.42575709227117148</v>
      </c>
      <c r="S198" s="25"/>
      <c r="T198" s="23">
        <f>IFERROR(T172-T197, "NA")</f>
        <v>143489.17999999996</v>
      </c>
      <c r="U198" s="24">
        <f>IFERROR(T198/T444, "NA")</f>
        <v>0.44944263032031406</v>
      </c>
      <c r="V198" s="25"/>
      <c r="W198" s="23">
        <f>IFERROR(Q198-T198, "NA")</f>
        <v>-21713.170000000027</v>
      </c>
      <c r="X198" s="24">
        <f>IFERROR(W198/W444, "NA")</f>
        <v>0.65326323687850207</v>
      </c>
      <c r="Y198" s="25"/>
      <c r="Z198" s="23">
        <f>IFERROR(Z172-Z197, "NA")</f>
        <v>127845.68000000012</v>
      </c>
      <c r="AA198" s="24">
        <f>IFERROR(Z198/Z444, "NA")</f>
        <v>0.42461889705956884</v>
      </c>
      <c r="AB198" s="25"/>
      <c r="AC198" s="23">
        <f>IFERROR(Q198-Z198, "NA")</f>
        <v>-6069.6700000001874</v>
      </c>
      <c r="AD198" s="24">
        <f>IFERROR(AC198/AC444, "NA")</f>
        <v>0.40300363586145244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1632.04</v>
      </c>
      <c r="C202" s="8">
        <f>IFERROR(B202/B444, "NA")</f>
        <v>1.1874142701724698E-2</v>
      </c>
      <c r="D202" s="9"/>
      <c r="E202" s="7">
        <v>1463.99</v>
      </c>
      <c r="F202" s="8">
        <f>IFERROR(E202/E444, "NA")</f>
        <v>9.0000207788784297E-3</v>
      </c>
      <c r="G202" s="9"/>
      <c r="H202" s="10">
        <f t="shared" si="52"/>
        <v>-168.04999999999995</v>
      </c>
      <c r="I202" s="8">
        <f>IFERROR(H202/H444, "NA")</f>
        <v>6.6632805068613339E-3</v>
      </c>
      <c r="J202" s="9"/>
      <c r="K202" s="7">
        <v>2302.9899999999998</v>
      </c>
      <c r="L202" s="8">
        <f>IFERROR(K202/K444, "NA")</f>
        <v>1.5225357423924448E-2</v>
      </c>
      <c r="M202" s="9"/>
      <c r="N202" s="10">
        <f t="shared" si="53"/>
        <v>670.94999999999982</v>
      </c>
      <c r="O202" s="8">
        <f>IFERROR(N202/N444, "NA")</f>
        <v>-4.8565755767703715E-2</v>
      </c>
      <c r="P202" s="9"/>
      <c r="Q202" s="7">
        <v>4186.7299999999996</v>
      </c>
      <c r="R202" s="8">
        <f>IFERROR(Q202/Q444, "NA")</f>
        <v>1.4637776282245432E-2</v>
      </c>
      <c r="S202" s="9"/>
      <c r="T202" s="7">
        <v>2873.35</v>
      </c>
      <c r="U202" s="8">
        <f>IFERROR(T202/T444, "NA")</f>
        <v>9.0000234291594296E-3</v>
      </c>
      <c r="V202" s="9"/>
      <c r="W202" s="10">
        <f t="shared" si="54"/>
        <v>-1313.3799999999997</v>
      </c>
      <c r="X202" s="8">
        <f>IFERROR(W202/W444, "NA")</f>
        <v>3.951439932775757E-2</v>
      </c>
      <c r="Y202" s="9"/>
      <c r="Z202" s="7">
        <v>5359.07</v>
      </c>
      <c r="AA202" s="8">
        <f>IFERROR(Z202/Z444, "NA")</f>
        <v>1.7799290462259039E-2</v>
      </c>
      <c r="AB202" s="9"/>
      <c r="AC202" s="10">
        <f t="shared" si="55"/>
        <v>1172.3400000000001</v>
      </c>
      <c r="AD202" s="8">
        <f>IFERROR(AC202/AC444, "NA")</f>
        <v>-7.7839039431435428E-2</v>
      </c>
    </row>
    <row r="203" spans="1:30" ht="16.5" customHeight="1" x14ac:dyDescent="0.45">
      <c r="A203" s="6" t="s">
        <v>185</v>
      </c>
      <c r="B203" s="7">
        <v>732.49</v>
      </c>
      <c r="C203" s="8">
        <f>IFERROR(B203/B444, "NA")</f>
        <v>5.3293367733550185E-3</v>
      </c>
      <c r="D203" s="9"/>
      <c r="E203" s="7">
        <v>975.99</v>
      </c>
      <c r="F203" s="8">
        <f>IFERROR(E203/E444, "NA")</f>
        <v>5.9999933605950585E-3</v>
      </c>
      <c r="G203" s="9"/>
      <c r="H203" s="10">
        <f t="shared" si="52"/>
        <v>243.5</v>
      </c>
      <c r="I203" s="8">
        <f>IFERROR(H203/H444, "NA")</f>
        <v>-9.654917009346833E-3</v>
      </c>
      <c r="J203" s="9"/>
      <c r="K203" s="7">
        <v>885.77</v>
      </c>
      <c r="L203" s="8">
        <f>IFERROR(K203/K444, "NA")</f>
        <v>5.8559372143993501E-3</v>
      </c>
      <c r="M203" s="9"/>
      <c r="N203" s="10">
        <f t="shared" si="53"/>
        <v>153.27999999999997</v>
      </c>
      <c r="O203" s="8">
        <f>IFERROR(N203/N444, "NA")</f>
        <v>-1.109495348993759E-2</v>
      </c>
      <c r="P203" s="9"/>
      <c r="Q203" s="7">
        <v>1734.25</v>
      </c>
      <c r="R203" s="8">
        <f>IFERROR(Q203/Q444, "NA")</f>
        <v>6.0633390539834532E-3</v>
      </c>
      <c r="S203" s="9"/>
      <c r="T203" s="7">
        <v>1915.56</v>
      </c>
      <c r="U203" s="8">
        <f>IFERROR(T203/T444, "NA")</f>
        <v>5.9999947378358495E-3</v>
      </c>
      <c r="V203" s="9"/>
      <c r="W203" s="10">
        <f t="shared" si="54"/>
        <v>181.30999999999995</v>
      </c>
      <c r="X203" s="8">
        <f>IFERROR(W203/W444, "NA")</f>
        <v>-5.4548993757448146E-3</v>
      </c>
      <c r="Y203" s="9"/>
      <c r="Z203" s="7">
        <v>1827.7</v>
      </c>
      <c r="AA203" s="8">
        <f>IFERROR(Z203/Z444, "NA")</f>
        <v>6.0704120636361995E-3</v>
      </c>
      <c r="AB203" s="9"/>
      <c r="AC203" s="10">
        <f t="shared" si="55"/>
        <v>93.450000000000045</v>
      </c>
      <c r="AD203" s="8">
        <f>IFERROR(AC203/AC444, "NA")</f>
        <v>-6.2047343218414822E-3</v>
      </c>
    </row>
    <row r="204" spans="1:30" ht="16.5" customHeight="1" x14ac:dyDescent="0.45">
      <c r="A204" s="6" t="s">
        <v>186</v>
      </c>
      <c r="B204" s="7">
        <v>430.67</v>
      </c>
      <c r="C204" s="8">
        <f>IFERROR(B204/B444, "NA")</f>
        <v>3.1334017777455065E-3</v>
      </c>
      <c r="D204" s="9"/>
      <c r="E204" s="7">
        <v>325.33</v>
      </c>
      <c r="F204" s="8">
        <f>IFERROR(E204/E444, "NA")</f>
        <v>1.9999977868650192E-3</v>
      </c>
      <c r="G204" s="9"/>
      <c r="H204" s="10">
        <f t="shared" si="52"/>
        <v>-105.34000000000003</v>
      </c>
      <c r="I204" s="8">
        <f>IFERROR(H204/H444, "NA")</f>
        <v>4.1767924343515221E-3</v>
      </c>
      <c r="J204" s="9"/>
      <c r="K204" s="7">
        <v>57.5</v>
      </c>
      <c r="L204" s="8">
        <f>IFERROR(K204/K444, "NA")</f>
        <v>3.8013975391801779E-4</v>
      </c>
      <c r="M204" s="9"/>
      <c r="N204" s="10">
        <f t="shared" si="53"/>
        <v>-373.17</v>
      </c>
      <c r="O204" s="8">
        <f>IFERROR(N204/N444, "NA")</f>
        <v>2.7011376525574185E-2</v>
      </c>
      <c r="P204" s="9"/>
      <c r="Q204" s="7">
        <v>477.26</v>
      </c>
      <c r="R204" s="8">
        <f>IFERROR(Q204/Q444, "NA")</f>
        <v>1.6686113287612183E-3</v>
      </c>
      <c r="S204" s="9"/>
      <c r="T204" s="7">
        <v>638.52</v>
      </c>
      <c r="U204" s="8">
        <f>IFERROR(T204/T444, "NA")</f>
        <v>1.999998245945283E-3</v>
      </c>
      <c r="V204" s="9"/>
      <c r="W204" s="10">
        <f t="shared" si="54"/>
        <v>161.26</v>
      </c>
      <c r="X204" s="8">
        <f>IFERROR(W204/W444, "NA")</f>
        <v>-4.8516743330903368E-3</v>
      </c>
      <c r="Y204" s="9"/>
      <c r="Z204" s="7">
        <v>322.75</v>
      </c>
      <c r="AA204" s="8">
        <f>IFERROR(Z204/Z444, "NA")</f>
        <v>1.0719622988119403E-3</v>
      </c>
      <c r="AB204" s="9"/>
      <c r="AC204" s="10">
        <f t="shared" si="55"/>
        <v>-154.51</v>
      </c>
      <c r="AD204" s="8">
        <f>IFERROR(AC204/AC444, "NA")</f>
        <v>1.0258892456583487E-2</v>
      </c>
    </row>
    <row r="205" spans="1:30" ht="16.5" customHeight="1" x14ac:dyDescent="0.45">
      <c r="A205" s="6" t="s">
        <v>187</v>
      </c>
      <c r="B205" s="7">
        <v>297.05</v>
      </c>
      <c r="C205" s="8">
        <f>IFERROR(B205/B444, "NA")</f>
        <v>2.1612301717772371E-3</v>
      </c>
      <c r="D205" s="9"/>
      <c r="E205" s="7">
        <v>488</v>
      </c>
      <c r="F205" s="8">
        <f>IFERROR(E205/E444, "NA")</f>
        <v>3.0000274182833721E-3</v>
      </c>
      <c r="G205" s="9"/>
      <c r="H205" s="10">
        <f t="shared" si="52"/>
        <v>190.95</v>
      </c>
      <c r="I205" s="8">
        <f>IFERROR(H205/H444, "NA")</f>
        <v>-7.571278862155144E-3</v>
      </c>
      <c r="J205" s="9"/>
      <c r="K205" s="7">
        <v>262.45</v>
      </c>
      <c r="L205" s="8">
        <f>IFERROR(K205/K444, "NA")</f>
        <v>1.7350900594049351E-3</v>
      </c>
      <c r="M205" s="9"/>
      <c r="N205" s="10">
        <f t="shared" si="53"/>
        <v>-34.600000000000023</v>
      </c>
      <c r="O205" s="8">
        <f>IFERROR(N205/N444, "NA")</f>
        <v>2.5044714949885236E-3</v>
      </c>
      <c r="P205" s="9"/>
      <c r="Q205" s="7">
        <v>777.94</v>
      </c>
      <c r="R205" s="8">
        <f>IFERROR(Q205/Q444, "NA")</f>
        <v>2.7198581425145673E-3</v>
      </c>
      <c r="S205" s="9"/>
      <c r="T205" s="7">
        <v>957.78</v>
      </c>
      <c r="U205" s="8">
        <f>IFERROR(T205/T444, "NA")</f>
        <v>2.9999973689179248E-3</v>
      </c>
      <c r="V205" s="9"/>
      <c r="W205" s="10">
        <f t="shared" si="54"/>
        <v>179.83999999999992</v>
      </c>
      <c r="X205" s="8">
        <f>IFERROR(W205/W444, "NA")</f>
        <v>-5.4106729012958314E-3</v>
      </c>
      <c r="Y205" s="9"/>
      <c r="Z205" s="7">
        <v>682.37</v>
      </c>
      <c r="AA205" s="8">
        <f>IFERROR(Z205/Z444, "NA")</f>
        <v>2.2663823821543107E-3</v>
      </c>
      <c r="AB205" s="9"/>
      <c r="AC205" s="10">
        <f t="shared" si="55"/>
        <v>-95.57000000000005</v>
      </c>
      <c r="AD205" s="8">
        <f>IFERROR(AC205/AC444, "NA")</f>
        <v>6.3454944798115621E-3</v>
      </c>
    </row>
    <row r="206" spans="1:30" ht="16.5" customHeight="1" x14ac:dyDescent="0.45">
      <c r="A206" s="6" t="s">
        <v>188</v>
      </c>
      <c r="B206" s="7">
        <v>130.32</v>
      </c>
      <c r="C206" s="8">
        <f>IFERROR(B206/B444, "NA")</f>
        <v>9.4816197941763845E-4</v>
      </c>
      <c r="D206" s="9"/>
      <c r="E206" s="7">
        <v>162.66999999999999</v>
      </c>
      <c r="F206" s="8">
        <f>IFERROR(E206/E444, "NA")</f>
        <v>1.0000296314183527E-3</v>
      </c>
      <c r="G206" s="9"/>
      <c r="H206" s="10">
        <f t="shared" si="52"/>
        <v>32.349999999999994</v>
      </c>
      <c r="I206" s="8">
        <f>IFERROR(H206/H444, "NA")</f>
        <v>-1.2826963665395071E-3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-130.32</v>
      </c>
      <c r="O206" s="8">
        <f>IFERROR(N206/N444, "NA")</f>
        <v>9.4330267406619699E-3</v>
      </c>
      <c r="P206" s="9"/>
      <c r="Q206" s="7">
        <v>248.1</v>
      </c>
      <c r="R206" s="8">
        <f>IFERROR(Q206/Q444, "NA")</f>
        <v>8.6741497436545751E-4</v>
      </c>
      <c r="S206" s="9"/>
      <c r="T206" s="7">
        <v>319.26</v>
      </c>
      <c r="U206" s="8">
        <f>IFERROR(T206/T444, "NA")</f>
        <v>9.9999912297264151E-4</v>
      </c>
      <c r="V206" s="9"/>
      <c r="W206" s="10">
        <f t="shared" si="54"/>
        <v>71.16</v>
      </c>
      <c r="X206" s="8">
        <f>IFERROR(W206/W444, "NA")</f>
        <v>-2.1409223957751977E-3</v>
      </c>
      <c r="Y206" s="9"/>
      <c r="Z206" s="7">
        <v>33.049999999999997</v>
      </c>
      <c r="AA206" s="8">
        <f>IFERROR(Z206/Z444, "NA")</f>
        <v>1.0977026793411194E-4</v>
      </c>
      <c r="AB206" s="9"/>
      <c r="AC206" s="10">
        <f t="shared" si="55"/>
        <v>-215.05</v>
      </c>
      <c r="AD206" s="8">
        <f>IFERROR(AC206/AC444, "NA")</f>
        <v>1.427852451484227E-2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6.1475971686134675E-4</v>
      </c>
      <c r="G207" s="9"/>
      <c r="H207" s="10">
        <f t="shared" si="52"/>
        <v>100</v>
      </c>
      <c r="I207" s="8">
        <f>IFERROR(H207/H444, "NA")</f>
        <v>-3.9650583200603008E-3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400.98</v>
      </c>
      <c r="R207" s="8">
        <f>IFERROR(Q207/Q444, "NA")</f>
        <v>1.4019188086298315E-3</v>
      </c>
      <c r="S207" s="9"/>
      <c r="T207" s="7">
        <v>300</v>
      </c>
      <c r="U207" s="8">
        <f>IFERROR(T207/T444, "NA")</f>
        <v>9.3967216967923465E-4</v>
      </c>
      <c r="V207" s="9"/>
      <c r="W207" s="10">
        <f t="shared" si="54"/>
        <v>-100.98000000000002</v>
      </c>
      <c r="X207" s="8">
        <f>IFERROR(W207/W444, "NA")</f>
        <v>3.038088020311685E-3</v>
      </c>
      <c r="Y207" s="9"/>
      <c r="Z207" s="7">
        <v>99.6</v>
      </c>
      <c r="AA207" s="8">
        <f>IFERROR(Z207/Z444, "NA")</f>
        <v>3.3080540654273973E-4</v>
      </c>
      <c r="AB207" s="9"/>
      <c r="AC207" s="10">
        <f t="shared" si="55"/>
        <v>-301.38</v>
      </c>
      <c r="AD207" s="8">
        <f>IFERROR(AC207/AC444, "NA")</f>
        <v>2.0010517174067252E-2</v>
      </c>
    </row>
    <row r="208" spans="1:30" ht="16.5" customHeight="1" x14ac:dyDescent="0.45">
      <c r="A208" s="6" t="s">
        <v>190</v>
      </c>
      <c r="B208" s="7">
        <v>12.75</v>
      </c>
      <c r="C208" s="8">
        <f>IFERROR(B208/B444, "NA")</f>
        <v>9.2764466218346313E-5</v>
      </c>
      <c r="D208" s="9"/>
      <c r="E208" s="7">
        <v>100</v>
      </c>
      <c r="F208" s="8">
        <f>IFERROR(E208/E444, "NA")</f>
        <v>6.1475971686134675E-4</v>
      </c>
      <c r="G208" s="9"/>
      <c r="H208" s="10">
        <f t="shared" si="52"/>
        <v>87.25</v>
      </c>
      <c r="I208" s="8">
        <f>IFERROR(H208/H444, "NA")</f>
        <v>-3.4595133842526128E-3</v>
      </c>
      <c r="J208" s="9"/>
      <c r="K208" s="7">
        <v>159</v>
      </c>
      <c r="L208" s="8">
        <f>IFERROR(K208/K444, "NA")</f>
        <v>1.0511690586602579E-3</v>
      </c>
      <c r="M208" s="9"/>
      <c r="N208" s="10">
        <f t="shared" si="53"/>
        <v>146.25</v>
      </c>
      <c r="O208" s="8">
        <f>IFERROR(N208/N444, "NA")</f>
        <v>-1.0586096998325762E-2</v>
      </c>
      <c r="P208" s="9"/>
      <c r="Q208" s="7">
        <v>99.05</v>
      </c>
      <c r="R208" s="8">
        <f>IFERROR(Q208/Q444, "NA")</f>
        <v>3.4630170580773304E-4</v>
      </c>
      <c r="S208" s="9"/>
      <c r="T208" s="7">
        <v>300</v>
      </c>
      <c r="U208" s="8">
        <f>IFERROR(T208/T444, "NA")</f>
        <v>9.3967216967923465E-4</v>
      </c>
      <c r="V208" s="9"/>
      <c r="W208" s="10">
        <f t="shared" si="54"/>
        <v>200.95</v>
      </c>
      <c r="X208" s="8">
        <f>IFERROR(W208/W444, "NA")</f>
        <v>-6.0457891432128437E-3</v>
      </c>
      <c r="Y208" s="9"/>
      <c r="Z208" s="7">
        <v>350.41</v>
      </c>
      <c r="AA208" s="8">
        <f>IFERROR(Z208/Z444, "NA")</f>
        <v>1.1638305472554363E-3</v>
      </c>
      <c r="AB208" s="9"/>
      <c r="AC208" s="10">
        <f t="shared" si="55"/>
        <v>251.36</v>
      </c>
      <c r="AD208" s="8">
        <f>IFERROR(AC208/AC444, "NA")</f>
        <v>-1.668937420158453E-2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3235.32</v>
      </c>
      <c r="C209" s="15">
        <f>IFERROR(B209/B444, "NA")</f>
        <v>2.3539037870238446E-2</v>
      </c>
      <c r="D209" s="2"/>
      <c r="E209" s="14">
        <f>IFERROR(E201+E202+E203+E204+E205+E206+E207+E208, "NA")</f>
        <v>3615.98</v>
      </c>
      <c r="F209" s="15">
        <f>IFERROR(E209/E444, "NA")</f>
        <v>2.2229588409762926E-2</v>
      </c>
      <c r="G209" s="2"/>
      <c r="H209" s="14">
        <f t="shared" si="52"/>
        <v>380.65999999999985</v>
      </c>
      <c r="I209" s="15">
        <f>IFERROR(H209/H444, "NA")</f>
        <v>-1.5093391001141536E-2</v>
      </c>
      <c r="J209" s="2"/>
      <c r="K209" s="14">
        <f>IFERROR(K201+K202+K203+K204+K205+K206+K207+K208, "NA")</f>
        <v>3667.7099999999996</v>
      </c>
      <c r="L209" s="15">
        <f>IFERROR(K209/K444, "NA")</f>
        <v>2.4247693510307006E-2</v>
      </c>
      <c r="M209" s="2"/>
      <c r="N209" s="14">
        <f t="shared" si="53"/>
        <v>432.38999999999942</v>
      </c>
      <c r="O209" s="15">
        <f>IFERROR(N209/N444, "NA")</f>
        <v>-3.1297931494742359E-2</v>
      </c>
      <c r="P209" s="2"/>
      <c r="Q209" s="14">
        <f>IFERROR(Q201+Q202+Q203+Q204+Q205+Q206+Q207+Q208, "NA")</f>
        <v>7924.31</v>
      </c>
      <c r="R209" s="15">
        <f>IFERROR(Q209/Q444, "NA")</f>
        <v>2.7705220296307696E-2</v>
      </c>
      <c r="S209" s="2"/>
      <c r="T209" s="14">
        <f>IFERROR(T201+T202+T203+T204+T205+T206+T207+T208, "NA")</f>
        <v>7304.47</v>
      </c>
      <c r="U209" s="15">
        <f>IFERROR(T209/T444, "NA")</f>
        <v>2.2879357244189599E-2</v>
      </c>
      <c r="V209" s="2"/>
      <c r="W209" s="14">
        <f t="shared" si="54"/>
        <v>-619.84000000000015</v>
      </c>
      <c r="X209" s="15">
        <f>IFERROR(W209/W444, "NA")</f>
        <v>1.8648529198950239E-2</v>
      </c>
      <c r="Y209" s="2"/>
      <c r="Z209" s="14">
        <f>IFERROR(Z201+Z202+Z203+Z204+Z205+Z206+Z207+Z208, "NA")</f>
        <v>8674.9499999999989</v>
      </c>
      <c r="AA209" s="15">
        <f>IFERROR(Z209/Z444, "NA")</f>
        <v>2.8812453428593773E-2</v>
      </c>
      <c r="AB209" s="2"/>
      <c r="AC209" s="14">
        <f t="shared" si="55"/>
        <v>750.63999999999851</v>
      </c>
      <c r="AD209" s="15">
        <f>IFERROR(AC209/AC444, "NA")</f>
        <v>-4.9839719329556754E-2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4717.29</v>
      </c>
      <c r="F213" s="8">
        <f>IFERROR(E213/E444, "NA")</f>
        <v>2.8999998647528624E-2</v>
      </c>
      <c r="G213" s="9"/>
      <c r="H213" s="10">
        <f t="shared" ref="H213:H227" si="56">IFERROR(-(B213-E213), "NA")</f>
        <v>4717.29</v>
      </c>
      <c r="I213" s="8">
        <f>IFERROR(H213/H444, "NA")</f>
        <v>-0.18704329962637256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9258.5499999999993</v>
      </c>
      <c r="U213" s="8">
        <f>IFERROR(T213/T444, "NA")</f>
        <v>2.9000005888612259E-2</v>
      </c>
      <c r="V213" s="9"/>
      <c r="W213" s="10">
        <f t="shared" ref="W213:W227" si="58">IFERROR(-(Q213-T213), "NA")</f>
        <v>9258.5499999999993</v>
      </c>
      <c r="X213" s="8">
        <f>IFERROR(W213/W444, "NA")</f>
        <v>-0.27855307823783665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1039.56</v>
      </c>
      <c r="C214" s="8">
        <f>IFERROR(B214/B444, "NA")</f>
        <v>7.563468902113262E-3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-1039.56</v>
      </c>
      <c r="I214" s="8">
        <f>IFERROR(H214/H444, "NA")</f>
        <v>4.1219160272018864E-2</v>
      </c>
      <c r="J214" s="9"/>
      <c r="K214" s="7">
        <v>3828.52</v>
      </c>
      <c r="L214" s="8">
        <f>IFERROR(K214/K444, "NA")</f>
        <v>2.531082870730799E-2</v>
      </c>
      <c r="M214" s="9"/>
      <c r="N214" s="10">
        <f t="shared" si="57"/>
        <v>2788.96</v>
      </c>
      <c r="O214" s="8">
        <f>IFERROR(N214/N444, "NA")</f>
        <v>-0.20187487920991876</v>
      </c>
      <c r="P214" s="9"/>
      <c r="Q214" s="7">
        <v>3819.56</v>
      </c>
      <c r="R214" s="8">
        <f>IFERROR(Q214/Q444, "NA")</f>
        <v>1.3354065052347146E-2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-3819.56</v>
      </c>
      <c r="X214" s="8">
        <f>IFERROR(W214/W444, "NA")</f>
        <v>0.11491542363697463</v>
      </c>
      <c r="Y214" s="9"/>
      <c r="Z214" s="7">
        <v>8730.44</v>
      </c>
      <c r="AA214" s="8">
        <f>IFERROR(Z214/Z444, "NA")</f>
        <v>2.8996754553182701E-2</v>
      </c>
      <c r="AB214" s="9"/>
      <c r="AC214" s="10">
        <f t="shared" si="59"/>
        <v>4910.880000000001</v>
      </c>
      <c r="AD214" s="8">
        <f>IFERROR(AC214/AC444, "NA")</f>
        <v>-0.32606426630759644</v>
      </c>
    </row>
    <row r="215" spans="1:30" ht="16.5" customHeight="1" x14ac:dyDescent="0.45">
      <c r="A215" s="12" t="s">
        <v>195</v>
      </c>
      <c r="B215" s="7">
        <v>377</v>
      </c>
      <c r="C215" s="8">
        <f>IFERROR(B215/B444, "NA")</f>
        <v>2.742917942299338E-3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-377</v>
      </c>
      <c r="I215" s="8">
        <f>IFERROR(H215/H444, "NA")</f>
        <v>1.4948269866627334E-2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-377</v>
      </c>
      <c r="O215" s="8">
        <f>IFERROR(N215/N444, "NA")</f>
        <v>2.7288605595684187E-2</v>
      </c>
      <c r="P215" s="9"/>
      <c r="Q215" s="7">
        <v>814.71</v>
      </c>
      <c r="R215" s="8">
        <f>IFERROR(Q215/Q444, "NA")</f>
        <v>2.8484145657609108E-3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-814.71</v>
      </c>
      <c r="X215" s="8">
        <f>IFERROR(W215/W444, "NA")</f>
        <v>2.4511395236959128E-2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-814.71</v>
      </c>
      <c r="AD215" s="8">
        <f>IFERROR(AC215/AC444, "NA")</f>
        <v>5.4093730330096006E-2</v>
      </c>
    </row>
    <row r="216" spans="1:30" ht="16.5" customHeight="1" x14ac:dyDescent="0.45">
      <c r="A216" s="12" t="s">
        <v>196</v>
      </c>
      <c r="B216" s="7">
        <v>40</v>
      </c>
      <c r="C216" s="8">
        <f>IFERROR(B216/B444, "NA")</f>
        <v>2.9102577637128257E-4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-40</v>
      </c>
      <c r="I216" s="8">
        <f>IFERROR(H216/H444, "NA")</f>
        <v>1.5860233280241204E-3</v>
      </c>
      <c r="J216" s="9"/>
      <c r="K216" s="7">
        <v>2.41</v>
      </c>
      <c r="L216" s="8">
        <f>IFERROR(K216/K444, "NA")</f>
        <v>1.5932814033781269E-5</v>
      </c>
      <c r="M216" s="9"/>
      <c r="N216" s="10">
        <f t="shared" si="57"/>
        <v>-37.590000000000003</v>
      </c>
      <c r="O216" s="8">
        <f>IFERROR(N216/N444, "NA")</f>
        <v>2.7208983669542936E-3</v>
      </c>
      <c r="P216" s="9"/>
      <c r="Q216" s="7">
        <v>90</v>
      </c>
      <c r="R216" s="8">
        <f>IFERROR(Q216/Q444, "NA")</f>
        <v>3.1466081294998459E-4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-90</v>
      </c>
      <c r="X216" s="8">
        <f>IFERROR(W216/W444, "NA")</f>
        <v>2.7077433336111269E-3</v>
      </c>
      <c r="Y216" s="9"/>
      <c r="Z216" s="7">
        <v>2.41</v>
      </c>
      <c r="AA216" s="8">
        <f>IFERROR(Z216/Z444, "NA")</f>
        <v>8.0044280097189042E-6</v>
      </c>
      <c r="AB216" s="9"/>
      <c r="AC216" s="10">
        <f t="shared" si="59"/>
        <v>-87.59</v>
      </c>
      <c r="AD216" s="8">
        <f>IFERROR(AC216/AC444, "NA")</f>
        <v>5.8156519983958814E-3</v>
      </c>
    </row>
    <row r="217" spans="1:30" ht="16.5" customHeight="1" x14ac:dyDescent="0.45">
      <c r="A217" s="12" t="s">
        <v>197</v>
      </c>
      <c r="B217" s="7">
        <v>2872.93</v>
      </c>
      <c r="C217" s="8">
        <f>IFERROR(B217/B444, "NA")</f>
        <v>2.0902417092758717E-2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-2872.93</v>
      </c>
      <c r="I217" s="8">
        <f>IFERROR(H217/H444, "NA")</f>
        <v>0.1139133499945084</v>
      </c>
      <c r="J217" s="9"/>
      <c r="K217" s="7">
        <v>3006.99</v>
      </c>
      <c r="L217" s="8">
        <f>IFERROR(K217/K444, "NA")</f>
        <v>1.9879590237112003E-2</v>
      </c>
      <c r="M217" s="9"/>
      <c r="N217" s="10">
        <f t="shared" si="57"/>
        <v>134.05999999999995</v>
      </c>
      <c r="O217" s="8">
        <f>IFERROR(N217/N444, "NA")</f>
        <v>-9.7037412895422288E-3</v>
      </c>
      <c r="P217" s="9"/>
      <c r="Q217" s="7">
        <v>3502.2</v>
      </c>
      <c r="R217" s="8">
        <f>IFERROR(Q217/Q444, "NA")</f>
        <v>1.2244501101260401E-2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-3502.2</v>
      </c>
      <c r="X217" s="8">
        <f>IFERROR(W217/W444, "NA")</f>
        <v>0.10536731892192099</v>
      </c>
      <c r="Y217" s="9"/>
      <c r="Z217" s="7">
        <v>5966.28</v>
      </c>
      <c r="AA217" s="8">
        <f>IFERROR(Z217/Z444, "NA")</f>
        <v>1.9816040973371661E-2</v>
      </c>
      <c r="AB217" s="9"/>
      <c r="AC217" s="10">
        <f t="shared" si="59"/>
        <v>2464.08</v>
      </c>
      <c r="AD217" s="8">
        <f>IFERROR(AC217/AC444, "NA")</f>
        <v>-0.1636057971938272</v>
      </c>
    </row>
    <row r="218" spans="1:30" ht="16.5" customHeight="1" x14ac:dyDescent="0.45">
      <c r="A218" s="13" t="s">
        <v>198</v>
      </c>
      <c r="B218" s="14">
        <f>IFERROR(B213+B214+B215+B216+B217, "NA")</f>
        <v>4329.49</v>
      </c>
      <c r="C218" s="15">
        <f>IFERROR(B218/B444, "NA")</f>
        <v>3.14998297135426E-2</v>
      </c>
      <c r="D218" s="2"/>
      <c r="E218" s="14">
        <f>IFERROR(E213+E214+E215+E216+E217, "NA")</f>
        <v>4717.29</v>
      </c>
      <c r="F218" s="15">
        <f>IFERROR(E218/E444, "NA")</f>
        <v>2.8999998647528624E-2</v>
      </c>
      <c r="G218" s="2"/>
      <c r="H218" s="14">
        <f t="shared" si="56"/>
        <v>387.80000000000018</v>
      </c>
      <c r="I218" s="15">
        <f>IFERROR(H218/H444, "NA")</f>
        <v>-1.5376496165193855E-2</v>
      </c>
      <c r="J218" s="2"/>
      <c r="K218" s="14">
        <f>IFERROR(K213+K214+K215+K216+K217, "NA")</f>
        <v>6837.92</v>
      </c>
      <c r="L218" s="15">
        <f>IFERROR(K218/K444, "NA")</f>
        <v>4.5206351758453778E-2</v>
      </c>
      <c r="M218" s="2"/>
      <c r="N218" s="14">
        <f t="shared" si="57"/>
        <v>2508.4300000000003</v>
      </c>
      <c r="O218" s="15">
        <f>IFERROR(N218/N444, "NA")</f>
        <v>-0.18156911653682253</v>
      </c>
      <c r="P218" s="2"/>
      <c r="Q218" s="14">
        <f>IFERROR(Q213+Q214+Q215+Q216+Q217, "NA")</f>
        <v>8226.4700000000012</v>
      </c>
      <c r="R218" s="15">
        <f>IFERROR(Q218/Q444, "NA")</f>
        <v>2.8761641532318447E-2</v>
      </c>
      <c r="S218" s="2"/>
      <c r="T218" s="14">
        <f>IFERROR(T213+T214+T215+T216+T217, "NA")</f>
        <v>9258.5499999999993</v>
      </c>
      <c r="U218" s="15">
        <f>IFERROR(T218/T444, "NA")</f>
        <v>2.9000005888612259E-2</v>
      </c>
      <c r="V218" s="2"/>
      <c r="W218" s="14">
        <f t="shared" si="58"/>
        <v>1032.0799999999981</v>
      </c>
      <c r="X218" s="15">
        <f>IFERROR(W218/W444, "NA")</f>
        <v>-3.1051197108370742E-2</v>
      </c>
      <c r="Y218" s="2"/>
      <c r="Z218" s="14">
        <f>IFERROR(Z213+Z214+Z215+Z216+Z217, "NA")</f>
        <v>14699.130000000001</v>
      </c>
      <c r="AA218" s="15">
        <f>IFERROR(Z218/Z444, "NA")</f>
        <v>4.8820799954564086E-2</v>
      </c>
      <c r="AB218" s="2"/>
      <c r="AC218" s="14">
        <f t="shared" si="59"/>
        <v>6472.66</v>
      </c>
      <c r="AD218" s="15">
        <f>IFERROR(AC218/AC444, "NA")</f>
        <v>-0.4297606811729317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548.52</v>
      </c>
      <c r="C222" s="8">
        <f>IFERROR(B222/B444, "NA")</f>
        <v>3.9908364713793975E-3</v>
      </c>
      <c r="D222" s="9"/>
      <c r="E222" s="7">
        <v>100</v>
      </c>
      <c r="F222" s="8">
        <f>IFERROR(E222/E444, "NA")</f>
        <v>6.1475971686134675E-4</v>
      </c>
      <c r="G222" s="9"/>
      <c r="H222" s="10">
        <f t="shared" si="56"/>
        <v>-448.52</v>
      </c>
      <c r="I222" s="8">
        <f>IFERROR(H222/H444, "NA")</f>
        <v>1.778407957713446E-2</v>
      </c>
      <c r="J222" s="9"/>
      <c r="K222" s="7">
        <v>503.17</v>
      </c>
      <c r="L222" s="8">
        <f>IFERROR(K222/K444, "NA")</f>
        <v>3.3265203474596352E-3</v>
      </c>
      <c r="M222" s="9"/>
      <c r="N222" s="10">
        <f t="shared" si="57"/>
        <v>-45.349999999999966</v>
      </c>
      <c r="O222" s="8">
        <f>IFERROR(N222/N444, "NA")</f>
        <v>3.2825948640962254E-3</v>
      </c>
      <c r="P222" s="9"/>
      <c r="Q222" s="7">
        <v>885.98</v>
      </c>
      <c r="R222" s="8">
        <f>IFERROR(Q222/Q444, "NA")</f>
        <v>3.0975909673047483E-3</v>
      </c>
      <c r="S222" s="9"/>
      <c r="T222" s="7">
        <v>300</v>
      </c>
      <c r="U222" s="8">
        <f>IFERROR(T222/T444, "NA")</f>
        <v>9.3967216967923465E-4</v>
      </c>
      <c r="V222" s="9"/>
      <c r="W222" s="10">
        <f t="shared" si="58"/>
        <v>-585.98</v>
      </c>
      <c r="X222" s="8">
        <f>IFERROR(W222/W444, "NA")</f>
        <v>1.7629815984771646E-2</v>
      </c>
      <c r="Y222" s="9"/>
      <c r="Z222" s="7">
        <v>912.6</v>
      </c>
      <c r="AA222" s="8">
        <f>IFERROR(Z222/Z444, "NA")</f>
        <v>3.0310543575392001E-3</v>
      </c>
      <c r="AB222" s="9"/>
      <c r="AC222" s="10">
        <f t="shared" si="59"/>
        <v>26.620000000000005</v>
      </c>
      <c r="AD222" s="8">
        <f>IFERROR(AC222/AC444, "NA")</f>
        <v>-1.7674695307375089E-3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4878.01</v>
      </c>
      <c r="C227" s="15">
        <f>IFERROR(B227/B444, "NA")</f>
        <v>3.5490666184921998E-2</v>
      </c>
      <c r="D227" s="2"/>
      <c r="E227" s="14">
        <f>IFERROR(E211+E213+E214+E215+E216+E217+E219+E220+E221+E222+E223+E224+E225+E226, "NA")</f>
        <v>4817.29</v>
      </c>
      <c r="F227" s="15">
        <f>IFERROR(E227/E444, "NA")</f>
        <v>2.9614758364389971E-2</v>
      </c>
      <c r="G227" s="2"/>
      <c r="H227" s="14">
        <f t="shared" si="56"/>
        <v>-60.720000000000255</v>
      </c>
      <c r="I227" s="15">
        <f>IFERROR(H227/H444, "NA")</f>
        <v>2.4075834119406249E-3</v>
      </c>
      <c r="J227" s="2"/>
      <c r="K227" s="14">
        <f>IFERROR(K211+K213+K214+K215+K216+K217+K219+K220+K221+K222+K223+K224+K225+K226, "NA")</f>
        <v>7341.09</v>
      </c>
      <c r="L227" s="15">
        <f>IFERROR(K227/K444, "NA")</f>
        <v>4.8532872105913415E-2</v>
      </c>
      <c r="M227" s="2"/>
      <c r="N227" s="14">
        <f t="shared" si="57"/>
        <v>2463.08</v>
      </c>
      <c r="O227" s="15">
        <f>IFERROR(N227/N444, "NA")</f>
        <v>-0.17828652167272627</v>
      </c>
      <c r="P227" s="2"/>
      <c r="Q227" s="14">
        <f>IFERROR(Q211+Q213+Q214+Q215+Q216+Q217+Q219+Q220+Q221+Q222+Q223+Q224+Q225+Q226, "NA")</f>
        <v>9112.4500000000007</v>
      </c>
      <c r="R227" s="15">
        <f>IFERROR(Q227/Q444, "NA")</f>
        <v>3.1859232499623191E-2</v>
      </c>
      <c r="S227" s="2"/>
      <c r="T227" s="14">
        <f>IFERROR(T211+T213+T214+T215+T216+T217+T219+T220+T221+T222+T223+T224+T225+T226, "NA")</f>
        <v>9558.5499999999993</v>
      </c>
      <c r="U227" s="15">
        <f>IFERROR(T227/T444, "NA")</f>
        <v>2.9939678058291494E-2</v>
      </c>
      <c r="V227" s="2"/>
      <c r="W227" s="14">
        <f t="shared" si="58"/>
        <v>446.09999999999854</v>
      </c>
      <c r="X227" s="15">
        <f>IFERROR(W227/W444, "NA")</f>
        <v>-1.342138112359911E-2</v>
      </c>
      <c r="Y227" s="2"/>
      <c r="Z227" s="14">
        <f>IFERROR(Z211+Z213+Z214+Z215+Z216+Z217+Z219+Z220+Z221+Z222+Z223+Z224+Z225+Z226, "NA")</f>
        <v>15611.730000000001</v>
      </c>
      <c r="AA227" s="15">
        <f>IFERROR(Z227/Z444, "NA")</f>
        <v>5.1851854312103283E-2</v>
      </c>
      <c r="AB227" s="2"/>
      <c r="AC227" s="14">
        <f t="shared" si="59"/>
        <v>6499.2800000000007</v>
      </c>
      <c r="AD227" s="15">
        <f>IFERROR(AC227/AC444, "NA")</f>
        <v>-0.43152815070366923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2114.65</v>
      </c>
      <c r="F229" s="8">
        <f>IFERROR(E229/E444, "NA")</f>
        <v>1.300001635260847E-2</v>
      </c>
      <c r="G229" s="9"/>
      <c r="H229" s="10">
        <f t="shared" ref="H229:H236" si="60">IFERROR(-(B229-E229), "NA")</f>
        <v>2114.65</v>
      </c>
      <c r="I229" s="8">
        <f>IFERROR(H229/H444, "NA")</f>
        <v>-8.3847105765155153E-2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4150.3900000000003</v>
      </c>
      <c r="U229" s="8">
        <f>IFERROR(T229/T444, "NA")</f>
        <v>1.3000019921049996E-2</v>
      </c>
      <c r="V229" s="9"/>
      <c r="W229" s="10">
        <f t="shared" ref="W229:W236" si="62">IFERROR(-(Q229-T229), "NA")</f>
        <v>4150.3900000000003</v>
      </c>
      <c r="X229" s="8">
        <f>IFERROR(W229/W444, "NA")</f>
        <v>-0.12486878727095874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171.89</v>
      </c>
      <c r="L231" s="8">
        <f>IFERROR(K231/K444, "NA")</f>
        <v>1.1363864747994448E-3</v>
      </c>
      <c r="M231" s="9"/>
      <c r="N231" s="10">
        <f t="shared" si="61"/>
        <v>171.89</v>
      </c>
      <c r="O231" s="8">
        <f>IFERROR(N231/N444, "NA")</f>
        <v>-1.2442011713109163E-2</v>
      </c>
      <c r="P231" s="9"/>
      <c r="Q231" s="7">
        <v>0</v>
      </c>
      <c r="R231" s="8">
        <f>IFERROR(Q231/Q444, "NA")</f>
        <v>0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0</v>
      </c>
      <c r="X231" s="8">
        <f>IFERROR(W231/W444, "NA")</f>
        <v>0</v>
      </c>
      <c r="Y231" s="9"/>
      <c r="Z231" s="7">
        <v>472.26</v>
      </c>
      <c r="AA231" s="8">
        <f>IFERROR(Z231/Z444, "NA")</f>
        <v>1.5685357559625931E-3</v>
      </c>
      <c r="AB231" s="9"/>
      <c r="AC231" s="10">
        <f t="shared" si="63"/>
        <v>472.26</v>
      </c>
      <c r="AD231" s="8">
        <f>IFERROR(AC231/AC444, "NA")</f>
        <v>-3.1356317076863101E-2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1734.78</v>
      </c>
      <c r="C234" s="8">
        <f>IFERROR(B234/B444, "NA")</f>
        <v>1.2621642408334337E-2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-1734.78</v>
      </c>
      <c r="I234" s="8">
        <f>IFERROR(H234/H444, "NA")</f>
        <v>6.8785038724742092E-2</v>
      </c>
      <c r="J234" s="9"/>
      <c r="K234" s="7">
        <v>2397.29</v>
      </c>
      <c r="L234" s="8">
        <f>IFERROR(K234/K444, "NA")</f>
        <v>1.5848786620349997E-2</v>
      </c>
      <c r="M234" s="9"/>
      <c r="N234" s="10">
        <f t="shared" si="61"/>
        <v>662.51</v>
      </c>
      <c r="O234" s="8">
        <f>IFERROR(N234/N444, "NA")</f>
        <v>-4.7954838443492652E-2</v>
      </c>
      <c r="P234" s="9"/>
      <c r="Q234" s="7">
        <v>4161.57</v>
      </c>
      <c r="R234" s="8">
        <f>IFERROR(Q234/Q444, "NA")</f>
        <v>1.4549811103869638E-2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-4161.57</v>
      </c>
      <c r="X234" s="8">
        <f>IFERROR(W234/W444, "NA")</f>
        <v>0.12520514916506731</v>
      </c>
      <c r="Y234" s="9"/>
      <c r="Z234" s="7">
        <v>4751.57</v>
      </c>
      <c r="AA234" s="8">
        <f>IFERROR(Z234/Z444, "NA")</f>
        <v>1.5781576762713714E-2</v>
      </c>
      <c r="AB234" s="9"/>
      <c r="AC234" s="10">
        <f t="shared" si="63"/>
        <v>590</v>
      </c>
      <c r="AD234" s="8">
        <f>IFERROR(AC234/AC444, "NA")</f>
        <v>-3.9173817548276861E-2</v>
      </c>
    </row>
    <row r="235" spans="1:30" ht="16.5" customHeight="1" x14ac:dyDescent="0.45">
      <c r="A235" s="6" t="s">
        <v>214</v>
      </c>
      <c r="B235" s="7">
        <v>37.25</v>
      </c>
      <c r="C235" s="8">
        <f>IFERROR(B235/B444, "NA")</f>
        <v>2.7101775424575686E-4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-37.25</v>
      </c>
      <c r="I235" s="8">
        <f>IFERROR(H235/H444, "NA")</f>
        <v>1.4769842242224622E-3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-37.25</v>
      </c>
      <c r="O235" s="8">
        <f>IFERROR(N235/N444, "NA")</f>
        <v>2.6962879534197241E-3</v>
      </c>
      <c r="P235" s="9"/>
      <c r="Q235" s="7">
        <v>53.64</v>
      </c>
      <c r="R235" s="8">
        <f>IFERROR(Q235/Q444, "NA")</f>
        <v>1.8753784451819083E-4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-53.64</v>
      </c>
      <c r="X235" s="8">
        <f>IFERROR(W235/W444, "NA")</f>
        <v>1.6138150268322317E-3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-53.64</v>
      </c>
      <c r="AD235" s="8">
        <f>IFERROR(AC235/AC444, "NA")</f>
        <v>3.5614975818467299E-3</v>
      </c>
    </row>
    <row r="236" spans="1:30" ht="16.5" customHeight="1" x14ac:dyDescent="0.45">
      <c r="A236" s="19" t="s">
        <v>215</v>
      </c>
      <c r="B236" s="14">
        <f>IFERROR(B229+B230+B231+B232+B233+B234+B235, "NA")</f>
        <v>1772.03</v>
      </c>
      <c r="C236" s="15">
        <f>IFERROR(B236/B444, "NA")</f>
        <v>1.2892660162580095E-2</v>
      </c>
      <c r="D236" s="2"/>
      <c r="E236" s="14">
        <f>IFERROR(E229+E230+E231+E232+E233+E234+E235, "NA")</f>
        <v>2114.65</v>
      </c>
      <c r="F236" s="15">
        <f>IFERROR(E236/E444, "NA")</f>
        <v>1.300001635260847E-2</v>
      </c>
      <c r="G236" s="2"/>
      <c r="H236" s="14">
        <f t="shared" si="60"/>
        <v>342.62000000000012</v>
      </c>
      <c r="I236" s="15">
        <f>IFERROR(H236/H444, "NA")</f>
        <v>-1.3585082816190608E-2</v>
      </c>
      <c r="J236" s="2"/>
      <c r="K236" s="14">
        <f>IFERROR(K229+K230+K231+K232+K233+K234+K235, "NA")</f>
        <v>2569.1799999999998</v>
      </c>
      <c r="L236" s="15">
        <f>IFERROR(K236/K444, "NA")</f>
        <v>1.6985173095149443E-2</v>
      </c>
      <c r="M236" s="2"/>
      <c r="N236" s="14">
        <f t="shared" si="61"/>
        <v>797.14999999999986</v>
      </c>
      <c r="O236" s="15">
        <f>IFERROR(N236/N444, "NA")</f>
        <v>-5.7700562203182079E-2</v>
      </c>
      <c r="P236" s="2"/>
      <c r="Q236" s="14">
        <f>IFERROR(Q229+Q230+Q231+Q232+Q233+Q234+Q235, "NA")</f>
        <v>4215.21</v>
      </c>
      <c r="R236" s="15">
        <f>IFERROR(Q236/Q444, "NA")</f>
        <v>1.4737348948387829E-2</v>
      </c>
      <c r="S236" s="2"/>
      <c r="T236" s="14">
        <f>IFERROR(T229+T230+T231+T232+T233+T234+T235, "NA")</f>
        <v>4150.3900000000003</v>
      </c>
      <c r="U236" s="15">
        <f>IFERROR(T236/T444, "NA")</f>
        <v>1.3000019921049996E-2</v>
      </c>
      <c r="V236" s="2"/>
      <c r="W236" s="14">
        <f t="shared" si="62"/>
        <v>-64.819999999999709</v>
      </c>
      <c r="X236" s="15">
        <f>IFERROR(W236/W444, "NA")</f>
        <v>1.9501769209408052E-3</v>
      </c>
      <c r="Y236" s="2"/>
      <c r="Z236" s="14">
        <f>IFERROR(Z229+Z230+Z231+Z232+Z233+Z234+Z235, "NA")</f>
        <v>5223.83</v>
      </c>
      <c r="AA236" s="15">
        <f>IFERROR(Z236/Z444, "NA")</f>
        <v>1.7350112518676308E-2</v>
      </c>
      <c r="AB236" s="2"/>
      <c r="AC236" s="14">
        <f t="shared" si="63"/>
        <v>1008.6199999999999</v>
      </c>
      <c r="AD236" s="15">
        <f>IFERROR(AC236/AC444, "NA")</f>
        <v>-6.6968637043293228E-2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8621.25</v>
      </c>
      <c r="F240" s="8">
        <f>IFERROR(E240/E444, "NA")</f>
        <v>5.2999972089908857E-2</v>
      </c>
      <c r="G240" s="9"/>
      <c r="H240" s="10">
        <f t="shared" ref="H240:H263" si="64">IFERROR(-(B240-E240), "NA")</f>
        <v>8621.25</v>
      </c>
      <c r="I240" s="8">
        <f>IFERROR(H240/H444, "NA")</f>
        <v>-0.34183759041819872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16920.79</v>
      </c>
      <c r="U240" s="8">
        <f>IFERROR(T240/T444, "NA")</f>
        <v>5.2999984839955661E-2</v>
      </c>
      <c r="V240" s="9"/>
      <c r="W240" s="10">
        <f t="shared" ref="W240:W263" si="66">IFERROR(-(Q240-T240), "NA")</f>
        <v>16920.79</v>
      </c>
      <c r="X240" s="8">
        <f>IFERROR(W240/W444, "NA")</f>
        <v>-0.5090795146881536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1676.37</v>
      </c>
      <c r="C242" s="8">
        <f>IFERROR(B242/B444, "NA")</f>
        <v>1.2196672018388172E-2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-1676.37</v>
      </c>
      <c r="I242" s="8">
        <f>IFERROR(H242/H444, "NA")</f>
        <v>6.6469048159994867E-2</v>
      </c>
      <c r="J242" s="9"/>
      <c r="K242" s="7">
        <v>1456.98</v>
      </c>
      <c r="L242" s="8">
        <f>IFERROR(K242/K444, "NA")</f>
        <v>9.6322785854517142E-3</v>
      </c>
      <c r="M242" s="9"/>
      <c r="N242" s="10">
        <f t="shared" si="65"/>
        <v>-219.38999999999987</v>
      </c>
      <c r="O242" s="8">
        <f>IFERROR(N242/N444, "NA")</f>
        <v>1.5880231251026923E-2</v>
      </c>
      <c r="P242" s="9"/>
      <c r="Q242" s="7">
        <v>4452.62</v>
      </c>
      <c r="R242" s="8">
        <f>IFERROR(Q242/Q444, "NA")</f>
        <v>1.5567389210637338E-2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-4452.62</v>
      </c>
      <c r="X242" s="8">
        <f>IFERROR(W242/W444, "NA")</f>
        <v>0.13396169024559529</v>
      </c>
      <c r="Y242" s="9"/>
      <c r="Z242" s="7">
        <v>3519.69</v>
      </c>
      <c r="AA242" s="8">
        <f>IFERROR(Z242/Z444, "NA")</f>
        <v>1.1690085154160802E-2</v>
      </c>
      <c r="AB242" s="9"/>
      <c r="AC242" s="10">
        <f t="shared" si="67"/>
        <v>-932.92999999999984</v>
      </c>
      <c r="AD242" s="8">
        <f>IFERROR(AC242/AC444, "NA")</f>
        <v>6.19431010259558E-2</v>
      </c>
    </row>
    <row r="243" spans="1:30" ht="16.5" customHeight="1" x14ac:dyDescent="0.45">
      <c r="A243" s="12" t="s">
        <v>220</v>
      </c>
      <c r="B243" s="7">
        <v>3628.24</v>
      </c>
      <c r="C243" s="8">
        <f>IFERROR(B243/B444, "NA")</f>
        <v>2.6397784071533554E-2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-3628.24</v>
      </c>
      <c r="I243" s="8">
        <f>IFERROR(H243/H444, "NA")</f>
        <v>0.14386183199175587</v>
      </c>
      <c r="J243" s="9"/>
      <c r="K243" s="7">
        <v>4470.9799999999996</v>
      </c>
      <c r="L243" s="8">
        <f>IFERROR(K243/K444, "NA")</f>
        <v>2.9558212816910939E-2</v>
      </c>
      <c r="M243" s="9"/>
      <c r="N243" s="10">
        <f t="shared" si="65"/>
        <v>842.73999999999978</v>
      </c>
      <c r="O243" s="8">
        <f>IFERROR(N243/N444, "NA")</f>
        <v>-6.1000529123890944E-2</v>
      </c>
      <c r="P243" s="9"/>
      <c r="Q243" s="7">
        <v>7623.89</v>
      </c>
      <c r="R243" s="8">
        <f>IFERROR(Q243/Q444, "NA")</f>
        <v>2.6654882502680648E-2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-7623.89</v>
      </c>
      <c r="X243" s="8">
        <f>IFERROR(W243/W444, "NA")</f>
        <v>0.22937263692982818</v>
      </c>
      <c r="Y243" s="9"/>
      <c r="Z243" s="7">
        <v>8109.39</v>
      </c>
      <c r="AA243" s="8">
        <f>IFERROR(Z243/Z444, "NA")</f>
        <v>2.6934036704454101E-2</v>
      </c>
      <c r="AB243" s="9"/>
      <c r="AC243" s="10">
        <f t="shared" si="67"/>
        <v>485.5</v>
      </c>
      <c r="AD243" s="8">
        <f>IFERROR(AC243/AC444, "NA")</f>
        <v>-3.2235404101166806E-2</v>
      </c>
    </row>
    <row r="244" spans="1:30" ht="16.5" customHeight="1" x14ac:dyDescent="0.45">
      <c r="A244" s="12" t="s">
        <v>221</v>
      </c>
      <c r="B244" s="7">
        <v>673.14</v>
      </c>
      <c r="C244" s="8">
        <f>IFERROR(B244/B444, "NA")</f>
        <v>4.8975272776641283E-3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-673.14</v>
      </c>
      <c r="I244" s="8">
        <f>IFERROR(H244/H444, "NA")</f>
        <v>2.669039357565391E-2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-673.14</v>
      </c>
      <c r="O244" s="8">
        <f>IFERROR(N244/N444, "NA")</f>
        <v>4.8724275784294037E-2</v>
      </c>
      <c r="P244" s="9"/>
      <c r="Q244" s="7">
        <v>1675.41</v>
      </c>
      <c r="R244" s="8">
        <f>IFERROR(Q244/Q444, "NA")</f>
        <v>5.8576208069392637E-3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-1675.41</v>
      </c>
      <c r="X244" s="8">
        <f>IFERROR(W244/W444, "NA")</f>
        <v>5.0406447317393542E-2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-1675.41</v>
      </c>
      <c r="AD244" s="8">
        <f>IFERROR(AC244/AC444, "NA")</f>
        <v>0.11124102653992972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108.02</v>
      </c>
      <c r="C246" s="8">
        <f>IFERROR(B246/B444, "NA")</f>
        <v>7.859151090906485E-4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-108.02</v>
      </c>
      <c r="I246" s="8">
        <f>IFERROR(H246/H444, "NA")</f>
        <v>4.2830559973291368E-3</v>
      </c>
      <c r="J246" s="9"/>
      <c r="K246" s="7">
        <v>489.43</v>
      </c>
      <c r="L246" s="8">
        <f>IFERROR(K246/K444, "NA")</f>
        <v>3.2356834740886165E-3</v>
      </c>
      <c r="M246" s="9"/>
      <c r="N246" s="10">
        <f t="shared" si="65"/>
        <v>381.41</v>
      </c>
      <c r="O246" s="8">
        <f>IFERROR(N246/N444, "NA")</f>
        <v>-2.7607817135941397E-2</v>
      </c>
      <c r="P246" s="9"/>
      <c r="Q246" s="7">
        <v>355.64</v>
      </c>
      <c r="R246" s="8">
        <f>IFERROR(Q246/Q444, "NA")</f>
        <v>1.2433996835281391E-3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-355.64</v>
      </c>
      <c r="X246" s="8">
        <f>IFERROR(W246/W444, "NA")</f>
        <v>1.0699798212949568E-2</v>
      </c>
      <c r="Y246" s="9"/>
      <c r="Z246" s="7">
        <v>978.5</v>
      </c>
      <c r="AA246" s="8">
        <f>IFERROR(Z246/Z444, "NA")</f>
        <v>3.2499306255227996E-3</v>
      </c>
      <c r="AB246" s="9"/>
      <c r="AC246" s="10">
        <f t="shared" si="67"/>
        <v>622.86</v>
      </c>
      <c r="AD246" s="8">
        <f>IFERROR(AC246/AC444, "NA")</f>
        <v>-4.135559999681309E-2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291.7</v>
      </c>
      <c r="C248" s="8">
        <f>IFERROR(B248/B444, "NA")</f>
        <v>2.1223054741875778E-3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-291.7</v>
      </c>
      <c r="I248" s="8">
        <f>IFERROR(H248/H444, "NA")</f>
        <v>1.1566075119615897E-2</v>
      </c>
      <c r="J248" s="9"/>
      <c r="K248" s="7">
        <v>336.45</v>
      </c>
      <c r="L248" s="8">
        <f>IFERROR(K248/K444, "NA")</f>
        <v>2.2243133948820363E-3</v>
      </c>
      <c r="M248" s="9"/>
      <c r="N248" s="10">
        <f t="shared" si="65"/>
        <v>44.75</v>
      </c>
      <c r="O248" s="8">
        <f>IFERROR(N248/N444, "NA")</f>
        <v>-3.239164722564635E-3</v>
      </c>
      <c r="P248" s="9"/>
      <c r="Q248" s="7">
        <v>737.41</v>
      </c>
      <c r="R248" s="8">
        <f>IFERROR(Q248/Q444, "NA")</f>
        <v>2.5781558897494238E-3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-737.41</v>
      </c>
      <c r="X248" s="8">
        <f>IFERROR(W248/W444, "NA")</f>
        <v>2.2185744573757566E-2</v>
      </c>
      <c r="Y248" s="9"/>
      <c r="Z248" s="7">
        <v>839.44</v>
      </c>
      <c r="AA248" s="8">
        <f>IFERROR(Z248/Z444, "NA")</f>
        <v>2.7880651653437497E-3</v>
      </c>
      <c r="AB248" s="9"/>
      <c r="AC248" s="10">
        <f t="shared" si="67"/>
        <v>102.03000000000009</v>
      </c>
      <c r="AD248" s="8">
        <f>IFERROR(AC248/AC444, "NA")</f>
        <v>-6.7744145838147312E-3</v>
      </c>
    </row>
    <row r="249" spans="1:30" ht="16.5" customHeight="1" x14ac:dyDescent="0.45">
      <c r="A249" s="12" t="s">
        <v>226</v>
      </c>
      <c r="B249" s="7">
        <v>1857.76</v>
      </c>
      <c r="C249" s="8">
        <f>IFERROR(B249/B444, "NA")</f>
        <v>1.3516401157787846E-2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-1857.76</v>
      </c>
      <c r="I249" s="8">
        <f>IFERROR(H249/H444, "NA")</f>
        <v>7.3661267446752249E-2</v>
      </c>
      <c r="J249" s="9"/>
      <c r="K249" s="7">
        <v>1537.74</v>
      </c>
      <c r="L249" s="8">
        <f>IFERROR(K249/K444, "NA")</f>
        <v>1.0166193133737265E-2</v>
      </c>
      <c r="M249" s="9"/>
      <c r="N249" s="10">
        <f t="shared" si="65"/>
        <v>-320.02</v>
      </c>
      <c r="O249" s="8">
        <f>IFERROR(N249/N444, "NA")</f>
        <v>2.316418982156725E-2</v>
      </c>
      <c r="P249" s="9"/>
      <c r="Q249" s="7">
        <v>3287.83</v>
      </c>
      <c r="R249" s="8">
        <f>IFERROR(Q249/Q444, "NA")</f>
        <v>1.1495014007126087E-2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-3287.83</v>
      </c>
      <c r="X249" s="8">
        <f>IFERROR(W249/W444, "NA")</f>
        <v>9.8917775161629681E-2</v>
      </c>
      <c r="Y249" s="9"/>
      <c r="Z249" s="7">
        <v>3315.65</v>
      </c>
      <c r="AA249" s="8">
        <f>IFERROR(Z249/Z444, "NA")</f>
        <v>1.1012399058267421E-2</v>
      </c>
      <c r="AB249" s="9"/>
      <c r="AC249" s="10">
        <f t="shared" si="67"/>
        <v>27.820000000000164</v>
      </c>
      <c r="AD249" s="8">
        <f>IFERROR(AC249/AC444, "NA")</f>
        <v>-1.8471450918526586E-3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433.71</v>
      </c>
      <c r="R261" s="8">
        <f>IFERROR(Q261/Q444, "NA")</f>
        <v>1.5163504576059758E-3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-433.71</v>
      </c>
      <c r="X261" s="8">
        <f>IFERROR(W261/W444, "NA")</f>
        <v>1.304861512467202E-2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-433.71</v>
      </c>
      <c r="AD261" s="8">
        <f>IFERROR(AC261/AC444, "NA")</f>
        <v>2.8796739676039247E-2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8235.23</v>
      </c>
      <c r="C262" s="15">
        <f>IFERROR(B262/B444, "NA")</f>
        <v>5.9916605108651926E-2</v>
      </c>
      <c r="D262" s="2"/>
      <c r="E262" s="14">
        <f>IFERROR(E240+E241+E242+E243+E244+E245+E246+E247+E248+E249+E250+E251+E252+E253+E254+E255+E256+E257+E258+E259+E260+E261, "NA")</f>
        <v>8621.25</v>
      </c>
      <c r="F262" s="15">
        <f>IFERROR(E262/E444, "NA")</f>
        <v>5.2999972089908857E-2</v>
      </c>
      <c r="G262" s="2"/>
      <c r="H262" s="14">
        <f t="shared" si="64"/>
        <v>386.02000000000044</v>
      </c>
      <c r="I262" s="15">
        <f>IFERROR(H262/H444, "NA")</f>
        <v>-1.5305918127096791E-2</v>
      </c>
      <c r="J262" s="2"/>
      <c r="K262" s="14">
        <f>IFERROR(K240+K241+K242+K243+K244+K245+K246+K247+K248+K249+K250+K251+K252+K253+K254+K255+K256+K257+K258+K259+K260+K261, "NA")</f>
        <v>8291.58</v>
      </c>
      <c r="L262" s="15">
        <f>IFERROR(K262/K444, "NA")</f>
        <v>5.4816681405070573E-2</v>
      </c>
      <c r="M262" s="2"/>
      <c r="N262" s="14">
        <f t="shared" si="65"/>
        <v>56.350000000000364</v>
      </c>
      <c r="O262" s="15">
        <f>IFERROR(N262/N444, "NA")</f>
        <v>-4.07881412550879E-3</v>
      </c>
      <c r="P262" s="2"/>
      <c r="Q262" s="14">
        <f>IFERROR(Q240+Q241+Q242+Q243+Q244+Q245+Q246+Q247+Q248+Q249+Q250+Q251+Q252+Q253+Q254+Q255+Q256+Q257+Q258+Q259+Q260+Q261, "NA")</f>
        <v>18566.509999999998</v>
      </c>
      <c r="R262" s="15">
        <f>IFERROR(Q262/Q444, "NA")</f>
        <v>6.4912812558266864E-2</v>
      </c>
      <c r="S262" s="2"/>
      <c r="T262" s="14">
        <f>IFERROR(T240+T241+T242+T243+T244+T245+T246+T247+T248+T249+T250+T251+T252+T253+T254+T255+T256+T257+T258+T259+T260+T261, "NA")</f>
        <v>16920.79</v>
      </c>
      <c r="U262" s="15">
        <f>IFERROR(T262/T444, "NA")</f>
        <v>5.2999984839955661E-2</v>
      </c>
      <c r="V262" s="2"/>
      <c r="W262" s="14">
        <f t="shared" si="66"/>
        <v>-1645.7199999999975</v>
      </c>
      <c r="X262" s="15">
        <f>IFERROR(W262/W444, "NA")</f>
        <v>4.9513192877672189E-2</v>
      </c>
      <c r="Y262" s="2"/>
      <c r="Z262" s="14">
        <f>IFERROR(Z240+Z241+Z242+Z243+Z244+Z245+Z246+Z247+Z248+Z249+Z250+Z251+Z252+Z253+Z254+Z255+Z256+Z257+Z258+Z259+Z260+Z261, "NA")</f>
        <v>16762.670000000002</v>
      </c>
      <c r="AA262" s="15">
        <f>IFERROR(Z262/Z444, "NA")</f>
        <v>5.5674516707748881E-2</v>
      </c>
      <c r="AB262" s="2"/>
      <c r="AC262" s="14">
        <f t="shared" si="67"/>
        <v>-1803.8399999999965</v>
      </c>
      <c r="AD262" s="15">
        <f>IFERROR(AC262/AC444, "NA")</f>
        <v>0.11976830346827727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8235.23</v>
      </c>
      <c r="C263" s="15">
        <f>IFERROR(B263/B444, "NA")</f>
        <v>5.9916605108651926E-2</v>
      </c>
      <c r="D263" s="2"/>
      <c r="E263" s="14">
        <f>IFERROR(E238+E240+E241+E242+E243+E244+E245+E246+E247+E248+E249+E250+E251+E252+E253+E254+E255+E256+E257+E258+E259+E260+E261, "NA")</f>
        <v>8621.25</v>
      </c>
      <c r="F263" s="15">
        <f>IFERROR(E263/E444, "NA")</f>
        <v>5.2999972089908857E-2</v>
      </c>
      <c r="G263" s="2"/>
      <c r="H263" s="14">
        <f t="shared" si="64"/>
        <v>386.02000000000044</v>
      </c>
      <c r="I263" s="15">
        <f>IFERROR(H263/H444, "NA")</f>
        <v>-1.5305918127096791E-2</v>
      </c>
      <c r="J263" s="2"/>
      <c r="K263" s="14">
        <f>IFERROR(K238+K240+K241+K242+K243+K244+K245+K246+K247+K248+K249+K250+K251+K252+K253+K254+K255+K256+K257+K258+K259+K260+K261, "NA")</f>
        <v>8291.58</v>
      </c>
      <c r="L263" s="15">
        <f>IFERROR(K263/K444, "NA")</f>
        <v>5.4816681405070573E-2</v>
      </c>
      <c r="M263" s="2"/>
      <c r="N263" s="14">
        <f t="shared" si="65"/>
        <v>56.350000000000364</v>
      </c>
      <c r="O263" s="15">
        <f>IFERROR(N263/N444, "NA")</f>
        <v>-4.07881412550879E-3</v>
      </c>
      <c r="P263" s="2"/>
      <c r="Q263" s="14">
        <f>IFERROR(Q238+Q240+Q241+Q242+Q243+Q244+Q245+Q246+Q247+Q248+Q249+Q250+Q251+Q252+Q253+Q254+Q255+Q256+Q257+Q258+Q259+Q260+Q261, "NA")</f>
        <v>18566.509999999998</v>
      </c>
      <c r="R263" s="15">
        <f>IFERROR(Q263/Q444, "NA")</f>
        <v>6.4912812558266864E-2</v>
      </c>
      <c r="S263" s="2"/>
      <c r="T263" s="14">
        <f>IFERROR(T238+T240+T241+T242+T243+T244+T245+T246+T247+T248+T249+T250+T251+T252+T253+T254+T255+T256+T257+T258+T259+T260+T261, "NA")</f>
        <v>16920.79</v>
      </c>
      <c r="U263" s="15">
        <f>IFERROR(T263/T444, "NA")</f>
        <v>5.2999984839955661E-2</v>
      </c>
      <c r="V263" s="2"/>
      <c r="W263" s="14">
        <f t="shared" si="66"/>
        <v>-1645.7199999999975</v>
      </c>
      <c r="X263" s="15">
        <f>IFERROR(W263/W444, "NA")</f>
        <v>4.9513192877672189E-2</v>
      </c>
      <c r="Y263" s="2"/>
      <c r="Z263" s="14">
        <f>IFERROR(Z238+Z240+Z241+Z242+Z243+Z244+Z245+Z246+Z247+Z248+Z249+Z250+Z251+Z252+Z253+Z254+Z255+Z256+Z257+Z258+Z259+Z260+Z261, "NA")</f>
        <v>16762.670000000002</v>
      </c>
      <c r="AA263" s="15">
        <f>IFERROR(Z263/Z444, "NA")</f>
        <v>5.5674516707748881E-2</v>
      </c>
      <c r="AB263" s="2"/>
      <c r="AC263" s="14">
        <f t="shared" si="67"/>
        <v>-1803.8399999999965</v>
      </c>
      <c r="AD263" s="15">
        <f>IFERROR(AC263/AC444, "NA")</f>
        <v>0.11976830346827727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3838.32</v>
      </c>
      <c r="C265" s="8">
        <f>IFERROR(B265/B444, "NA")</f>
        <v>2.792625144903553E-2</v>
      </c>
      <c r="D265" s="9"/>
      <c r="E265" s="7">
        <v>4717.29</v>
      </c>
      <c r="F265" s="8">
        <f>IFERROR(E265/E444, "NA")</f>
        <v>2.8999998647528624E-2</v>
      </c>
      <c r="G265" s="9"/>
      <c r="H265" s="10">
        <f>IFERROR(-(B265-E265), "NA")</f>
        <v>878.9699999999998</v>
      </c>
      <c r="I265" s="8">
        <f>IFERROR(H265/H444, "NA")</f>
        <v>-3.4851673115834023E-2</v>
      </c>
      <c r="J265" s="9"/>
      <c r="K265" s="7">
        <v>4224.16</v>
      </c>
      <c r="L265" s="8">
        <f>IFERROR(K265/K444, "NA")</f>
        <v>2.7926454659310155E-2</v>
      </c>
      <c r="M265" s="9"/>
      <c r="N265" s="10">
        <f>IFERROR(-(B265-K265), "NA")</f>
        <v>385.83999999999969</v>
      </c>
      <c r="O265" s="8">
        <f>IFERROR(N265/N444, "NA")</f>
        <v>-2.7928476347582967E-2</v>
      </c>
      <c r="P265" s="9"/>
      <c r="Q265" s="7">
        <v>8086.22</v>
      </c>
      <c r="R265" s="8">
        <f>IFERROR(Q265/Q444, "NA")</f>
        <v>2.827129509880472E-2</v>
      </c>
      <c r="S265" s="9"/>
      <c r="T265" s="7">
        <v>9258.5499999999993</v>
      </c>
      <c r="U265" s="8">
        <f>IFERROR(T265/T444, "NA")</f>
        <v>2.9000005888612259E-2</v>
      </c>
      <c r="V265" s="9"/>
      <c r="W265" s="10">
        <f>IFERROR(-(Q265-T265), "NA")</f>
        <v>1172.329999999999</v>
      </c>
      <c r="X265" s="8">
        <f>IFERROR(W265/W444, "NA")</f>
        <v>-3.5270763803248111E-2</v>
      </c>
      <c r="Y265" s="9"/>
      <c r="Z265" s="7">
        <v>8343.6</v>
      </c>
      <c r="AA265" s="8">
        <f>IFERROR(Z265/Z444, "NA")</f>
        <v>2.7711927610743009E-2</v>
      </c>
      <c r="AB265" s="9"/>
      <c r="AC265" s="10">
        <f>IFERROR(-(Q265-Z265), "NA")</f>
        <v>257.38000000000011</v>
      </c>
      <c r="AD265" s="8">
        <f>IFERROR(AC265/AC444, "NA")</f>
        <v>-1.7089079933178819E-2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37.54</v>
      </c>
      <c r="L266" s="8">
        <f>IFERROR(K266/K444, "NA")</f>
        <v>2.4818167586230242E-4</v>
      </c>
      <c r="M266" s="9"/>
      <c r="N266" s="10">
        <f>IFERROR(-(B266-K266), "NA")</f>
        <v>37.54</v>
      </c>
      <c r="O266" s="8">
        <f>IFERROR(N266/N444, "NA")</f>
        <v>-2.7172791884933272E-3</v>
      </c>
      <c r="P266" s="9"/>
      <c r="Q266" s="7">
        <v>32.799999999999997</v>
      </c>
      <c r="R266" s="8">
        <f>IFERROR(Q266/Q444, "NA")</f>
        <v>1.1467638516399438E-4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-32.799999999999997</v>
      </c>
      <c r="X266" s="8">
        <f>IFERROR(W266/W444, "NA")</f>
        <v>9.8682201491605498E-4</v>
      </c>
      <c r="Y266" s="9"/>
      <c r="Z266" s="7">
        <v>37.54</v>
      </c>
      <c r="AA266" s="8">
        <f>IFERROR(Z266/Z444, "NA")</f>
        <v>1.2468308194392018E-4</v>
      </c>
      <c r="AB266" s="9"/>
      <c r="AC266" s="10">
        <f>IFERROR(-(Q266-Z266), "NA")</f>
        <v>4.740000000000002</v>
      </c>
      <c r="AD266" s="8">
        <f>IFERROR(AC266/AC444, "NA")</f>
        <v>-3.1471846640480065E-4</v>
      </c>
    </row>
    <row r="267" spans="1:30" ht="16.5" customHeight="1" x14ac:dyDescent="0.45">
      <c r="A267" s="19" t="s">
        <v>243</v>
      </c>
      <c r="B267" s="14">
        <f>IFERROR(B265+B266, "NA")</f>
        <v>3838.32</v>
      </c>
      <c r="C267" s="15">
        <f>IFERROR(B267/B444, "NA")</f>
        <v>2.792625144903553E-2</v>
      </c>
      <c r="D267" s="2"/>
      <c r="E267" s="14">
        <f>IFERROR(E265+E266, "NA")</f>
        <v>4717.29</v>
      </c>
      <c r="F267" s="15">
        <f>IFERROR(E267/E444, "NA")</f>
        <v>2.8999998647528624E-2</v>
      </c>
      <c r="G267" s="2"/>
      <c r="H267" s="14">
        <f>IFERROR(-(B267-E267), "NA")</f>
        <v>878.9699999999998</v>
      </c>
      <c r="I267" s="15">
        <f>IFERROR(H267/H444, "NA")</f>
        <v>-3.4851673115834023E-2</v>
      </c>
      <c r="J267" s="2"/>
      <c r="K267" s="14">
        <f>IFERROR(K265+K266, "NA")</f>
        <v>4261.7</v>
      </c>
      <c r="L267" s="15">
        <f>IFERROR(K267/K444, "NA")</f>
        <v>2.8174636335172459E-2</v>
      </c>
      <c r="M267" s="2"/>
      <c r="N267" s="14">
        <f>IFERROR(-(B267-K267), "NA")</f>
        <v>423.37999999999965</v>
      </c>
      <c r="O267" s="15">
        <f>IFERROR(N267/N444, "NA")</f>
        <v>-3.0645755536076291E-2</v>
      </c>
      <c r="P267" s="2"/>
      <c r="Q267" s="14">
        <f>IFERROR(Q265+Q266, "NA")</f>
        <v>8119.02</v>
      </c>
      <c r="R267" s="15">
        <f>IFERROR(Q267/Q444, "NA")</f>
        <v>2.8385971483968712E-2</v>
      </c>
      <c r="S267" s="2"/>
      <c r="T267" s="14">
        <f>IFERROR(T265+T266, "NA")</f>
        <v>9258.5499999999993</v>
      </c>
      <c r="U267" s="15">
        <f>IFERROR(T267/T444, "NA")</f>
        <v>2.9000005888612259E-2</v>
      </c>
      <c r="V267" s="2"/>
      <c r="W267" s="14">
        <f>IFERROR(-(Q267-T267), "NA")</f>
        <v>1139.5299999999988</v>
      </c>
      <c r="X267" s="15">
        <f>IFERROR(W267/W444, "NA")</f>
        <v>-3.4283941788332051E-2</v>
      </c>
      <c r="Y267" s="2"/>
      <c r="Z267" s="14">
        <f>IFERROR(Z265+Z266, "NA")</f>
        <v>8381.1400000000012</v>
      </c>
      <c r="AA267" s="15">
        <f>IFERROR(Z267/Z444, "NA")</f>
        <v>2.7836610692686933E-2</v>
      </c>
      <c r="AB267" s="2"/>
      <c r="AC267" s="14">
        <f>IFERROR(-(Q267-Z267), "NA")</f>
        <v>262.1200000000008</v>
      </c>
      <c r="AD267" s="15">
        <f>IFERROR(AC267/AC444, "NA")</f>
        <v>-1.7403798399583663E-2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1.4397045157087348E-3</v>
      </c>
      <c r="D270" s="9"/>
      <c r="E270" s="7">
        <v>200.2</v>
      </c>
      <c r="F270" s="8">
        <f>IFERROR(E270/E444, "NA")</f>
        <v>1.230748953156416E-3</v>
      </c>
      <c r="G270" s="9"/>
      <c r="H270" s="10">
        <f>IFERROR(-(B270-E270), "NA")</f>
        <v>2.3199999999999932</v>
      </c>
      <c r="I270" s="8">
        <f>IFERROR(H270/H444, "NA")</f>
        <v>-9.1989353025398712E-5</v>
      </c>
      <c r="J270" s="9"/>
      <c r="K270" s="7">
        <v>201.73</v>
      </c>
      <c r="L270" s="8">
        <f>IFERROR(K270/K444, "NA")</f>
        <v>1.3336624792675083E-3</v>
      </c>
      <c r="M270" s="9"/>
      <c r="N270" s="10">
        <f>IFERROR(-(B270-K270), "NA")</f>
        <v>3.8499999999999943</v>
      </c>
      <c r="O270" s="8">
        <f>IFERROR(N270/N444, "NA")</f>
        <v>-2.7867674149438716E-4</v>
      </c>
      <c r="P270" s="9"/>
      <c r="Q270" s="7">
        <v>593.64</v>
      </c>
      <c r="R270" s="8">
        <f>IFERROR(Q270/Q444, "NA")</f>
        <v>2.0755027222180986E-3</v>
      </c>
      <c r="S270" s="9"/>
      <c r="T270" s="7">
        <v>600.6</v>
      </c>
      <c r="U270" s="8">
        <f>IFERROR(T270/T444, "NA")</f>
        <v>1.881223683697828E-3</v>
      </c>
      <c r="V270" s="9"/>
      <c r="W270" s="10">
        <f>IFERROR(-(Q270-T270), "NA")</f>
        <v>6.9600000000000364</v>
      </c>
      <c r="X270" s="8">
        <f>IFERROR(W270/W444, "NA")</f>
        <v>-2.0939881779926157E-4</v>
      </c>
      <c r="Y270" s="9"/>
      <c r="Z270" s="7">
        <v>605.19000000000005</v>
      </c>
      <c r="AA270" s="8">
        <f>IFERROR(Z270/Z444, "NA")</f>
        <v>2.0100414054779188E-3</v>
      </c>
      <c r="AB270" s="9"/>
      <c r="AC270" s="10">
        <f>IFERROR(-(Q270-Z270), "NA")</f>
        <v>11.550000000000068</v>
      </c>
      <c r="AD270" s="8">
        <f>IFERROR(AC270/AC444, "NA")</f>
        <v>-7.6687727573322099E-4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6.5075546289941558E-3</v>
      </c>
      <c r="D271" s="9"/>
      <c r="E271" s="7">
        <v>894.43</v>
      </c>
      <c r="F271" s="8">
        <f>IFERROR(E271/E444, "NA")</f>
        <v>5.4985953355229438E-3</v>
      </c>
      <c r="G271" s="9"/>
      <c r="H271" s="10">
        <f>IFERROR(-(B271-E271), "NA")</f>
        <v>0</v>
      </c>
      <c r="I271" s="8">
        <f>IFERROR(H271/H444, "NA")</f>
        <v>0</v>
      </c>
      <c r="J271" s="9"/>
      <c r="K271" s="7">
        <v>778.58</v>
      </c>
      <c r="L271" s="8">
        <f>IFERROR(K271/K444, "NA")</f>
        <v>5.1472906018346139E-3</v>
      </c>
      <c r="M271" s="9"/>
      <c r="N271" s="10">
        <f>IFERROR(-(B271-K271), "NA")</f>
        <v>-115.84999999999991</v>
      </c>
      <c r="O271" s="8">
        <f>IFERROR(N271/N444, "NA")</f>
        <v>8.3856364940583829E-3</v>
      </c>
      <c r="P271" s="9"/>
      <c r="Q271" s="7">
        <v>2683.29</v>
      </c>
      <c r="R271" s="8">
        <f>IFERROR(Q271/Q444, "NA")</f>
        <v>9.3814023642284916E-3</v>
      </c>
      <c r="S271" s="9"/>
      <c r="T271" s="7">
        <v>2683.29</v>
      </c>
      <c r="U271" s="8">
        <f>IFERROR(T271/T444, "NA")</f>
        <v>8.4047097872619794E-3</v>
      </c>
      <c r="V271" s="9"/>
      <c r="W271" s="10">
        <f>IFERROR(-(Q271-T271), "NA")</f>
        <v>0</v>
      </c>
      <c r="X271" s="8">
        <f>IFERROR(W271/W444, "NA")</f>
        <v>0</v>
      </c>
      <c r="Y271" s="9"/>
      <c r="Z271" s="7">
        <v>2335.7399999999998</v>
      </c>
      <c r="AA271" s="8">
        <f>IFERROR(Z271/Z444, "NA")</f>
        <v>7.7577853441580212E-3</v>
      </c>
      <c r="AB271" s="9"/>
      <c r="AC271" s="10">
        <f>IFERROR(-(Q271-Z271), "NA")</f>
        <v>-347.55000000000018</v>
      </c>
      <c r="AD271" s="8">
        <f>IFERROR(AC271/AC444, "NA")</f>
        <v>2.3076034387972254E-2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7.9472591447028902E-3</v>
      </c>
      <c r="D273" s="2"/>
      <c r="E273" s="14">
        <f>IFERROR(E269+E270+E271+E272, "NA")</f>
        <v>1094.6299999999999</v>
      </c>
      <c r="F273" s="15">
        <f>IFERROR(E273/E444, "NA")</f>
        <v>6.729344288679359E-3</v>
      </c>
      <c r="G273" s="2"/>
      <c r="H273" s="14">
        <f>IFERROR(-(B273-E273), "NA")</f>
        <v>2.3199999999999363</v>
      </c>
      <c r="I273" s="15">
        <f>IFERROR(H273/H444, "NA")</f>
        <v>-9.1989353025396462E-5</v>
      </c>
      <c r="J273" s="2"/>
      <c r="K273" s="14">
        <f>IFERROR(K269+K270+K271+K272, "NA")</f>
        <v>980.31000000000006</v>
      </c>
      <c r="L273" s="15">
        <f>IFERROR(K273/K444, "NA")</f>
        <v>6.4809530811021226E-3</v>
      </c>
      <c r="M273" s="2"/>
      <c r="N273" s="14">
        <f>IFERROR(-(B273-K273), "NA")</f>
        <v>-111.99999999999989</v>
      </c>
      <c r="O273" s="15">
        <f>IFERROR(N273/N444, "NA")</f>
        <v>8.1069597525639941E-3</v>
      </c>
      <c r="P273" s="2"/>
      <c r="Q273" s="14">
        <f>IFERROR(Q269+Q270+Q271+Q272, "NA")</f>
        <v>3276.93</v>
      </c>
      <c r="R273" s="15">
        <f>IFERROR(Q273/Q444, "NA")</f>
        <v>1.1456905086446589E-2</v>
      </c>
      <c r="S273" s="2"/>
      <c r="T273" s="14">
        <f>IFERROR(T269+T270+T271+T272, "NA")</f>
        <v>3283.89</v>
      </c>
      <c r="U273" s="15">
        <f>IFERROR(T273/T444, "NA")</f>
        <v>1.0285933470959806E-2</v>
      </c>
      <c r="V273" s="2"/>
      <c r="W273" s="14">
        <f>IFERROR(-(Q273-T273), "NA")</f>
        <v>6.9600000000000364</v>
      </c>
      <c r="X273" s="15">
        <f>IFERROR(W273/W444, "NA")</f>
        <v>-2.0939881779926157E-4</v>
      </c>
      <c r="Y273" s="2"/>
      <c r="Z273" s="14">
        <f>IFERROR(Z269+Z270+Z271+Z272, "NA")</f>
        <v>2940.93</v>
      </c>
      <c r="AA273" s="15">
        <f>IFERROR(Z273/Z444, "NA")</f>
        <v>9.7678267496359404E-3</v>
      </c>
      <c r="AB273" s="2"/>
      <c r="AC273" s="14">
        <f>IFERROR(-(Q273-Z273), "NA")</f>
        <v>-336</v>
      </c>
      <c r="AD273" s="15">
        <f>IFERROR(AC273/AC444, "NA")</f>
        <v>2.2309157112239027E-2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1.0004011062762837E-3</v>
      </c>
      <c r="D288" s="9"/>
      <c r="E288" s="7">
        <v>138</v>
      </c>
      <c r="F288" s="8">
        <f>IFERROR(E288/E444, "NA")</f>
        <v>8.4836840926865852E-4</v>
      </c>
      <c r="G288" s="9"/>
      <c r="H288" s="10">
        <f t="shared" si="72"/>
        <v>0.5</v>
      </c>
      <c r="I288" s="8">
        <f>IFERROR(H288/H444, "NA")</f>
        <v>-1.9825291600301506E-5</v>
      </c>
      <c r="J288" s="9"/>
      <c r="K288" s="7">
        <v>137.5</v>
      </c>
      <c r="L288" s="8">
        <f>IFERROR(K288/K444, "NA")</f>
        <v>9.0902984632569475E-4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412.5</v>
      </c>
      <c r="R288" s="8">
        <f>IFERROR(Q288/Q444, "NA")</f>
        <v>1.4421953926874295E-3</v>
      </c>
      <c r="S288" s="9"/>
      <c r="T288" s="7">
        <v>414</v>
      </c>
      <c r="U288" s="8">
        <f>IFERROR(T288/T444, "NA")</f>
        <v>1.2967475941573438E-3</v>
      </c>
      <c r="V288" s="9"/>
      <c r="W288" s="10">
        <f t="shared" si="74"/>
        <v>1.5</v>
      </c>
      <c r="X288" s="8">
        <f>IFERROR(W288/W444, "NA")</f>
        <v>-4.5129055560185448E-5</v>
      </c>
      <c r="Y288" s="9"/>
      <c r="Z288" s="7">
        <v>412.5</v>
      </c>
      <c r="AA288" s="8">
        <f>IFERROR(Z288/Z444, "NA")</f>
        <v>1.3700525120369494E-3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156.81</v>
      </c>
      <c r="C289" s="8">
        <f>IFERROR(B289/B444, "NA")</f>
        <v>1.1408937998195203E-3</v>
      </c>
      <c r="D289" s="9"/>
      <c r="E289" s="7">
        <v>211</v>
      </c>
      <c r="F289" s="8">
        <f>IFERROR(E289/E444, "NA")</f>
        <v>1.2971430025774417E-3</v>
      </c>
      <c r="G289" s="9"/>
      <c r="H289" s="10">
        <f t="shared" si="72"/>
        <v>54.19</v>
      </c>
      <c r="I289" s="8">
        <f>IFERROR(H289/H444, "NA")</f>
        <v>-2.1486651036406769E-3</v>
      </c>
      <c r="J289" s="9"/>
      <c r="K289" s="7">
        <v>143.63999999999999</v>
      </c>
      <c r="L289" s="8">
        <f>IFERROR(K289/K444, "NA")</f>
        <v>9.4962216091798381E-4</v>
      </c>
      <c r="M289" s="9"/>
      <c r="N289" s="10">
        <f t="shared" si="73"/>
        <v>-13.170000000000016</v>
      </c>
      <c r="O289" s="8">
        <f>IFERROR(N289/N444, "NA")</f>
        <v>9.5329160661846465E-4</v>
      </c>
      <c r="P289" s="9"/>
      <c r="Q289" s="7">
        <v>470.43</v>
      </c>
      <c r="R289" s="8">
        <f>IFERROR(Q289/Q444, "NA")</f>
        <v>1.6447320692895696E-3</v>
      </c>
      <c r="S289" s="9"/>
      <c r="T289" s="7">
        <v>633</v>
      </c>
      <c r="U289" s="8">
        <f>IFERROR(T289/T444, "NA")</f>
        <v>1.9827082780231853E-3</v>
      </c>
      <c r="V289" s="9"/>
      <c r="W289" s="10">
        <f t="shared" si="74"/>
        <v>162.57</v>
      </c>
      <c r="X289" s="8">
        <f>IFERROR(W289/W444, "NA")</f>
        <v>-4.8910870416128986E-3</v>
      </c>
      <c r="Y289" s="9"/>
      <c r="Z289" s="7">
        <v>428.17</v>
      </c>
      <c r="AA289" s="8">
        <f>IFERROR(Z289/Z444, "NA")</f>
        <v>1.4220979007972378E-3</v>
      </c>
      <c r="AB289" s="9"/>
      <c r="AC289" s="10">
        <f t="shared" si="75"/>
        <v>-42.259999999999991</v>
      </c>
      <c r="AD289" s="8">
        <f>IFERROR(AC289/AC444, "NA")</f>
        <v>2.8059076772714909E-3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975.99</v>
      </c>
      <c r="F290" s="8">
        <f>IFERROR(E290/E444, "NA")</f>
        <v>5.9999933605950585E-3</v>
      </c>
      <c r="G290" s="9"/>
      <c r="H290" s="10">
        <f t="shared" si="72"/>
        <v>975.99</v>
      </c>
      <c r="I290" s="8">
        <f>IFERROR(H290/H444, "NA")</f>
        <v>-3.8698572697956533E-2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869.2</v>
      </c>
      <c r="R290" s="8">
        <f>IFERROR(Q290/Q444, "NA")</f>
        <v>3.0389242068458514E-3</v>
      </c>
      <c r="S290" s="9"/>
      <c r="T290" s="7">
        <v>1915.56</v>
      </c>
      <c r="U290" s="8">
        <f>IFERROR(T290/T444, "NA")</f>
        <v>5.9999947378358495E-3</v>
      </c>
      <c r="V290" s="9"/>
      <c r="W290" s="10">
        <f t="shared" si="74"/>
        <v>1046.3599999999999</v>
      </c>
      <c r="X290" s="8">
        <f>IFERROR(W290/W444, "NA")</f>
        <v>-3.1480825717303762E-2</v>
      </c>
      <c r="Y290" s="9"/>
      <c r="Z290" s="7">
        <v>809.63</v>
      </c>
      <c r="AA290" s="8">
        <f>IFERROR(Z290/Z444, "NA")</f>
        <v>2.6890560371405463E-3</v>
      </c>
      <c r="AB290" s="9"/>
      <c r="AC290" s="10">
        <f t="shared" si="75"/>
        <v>-59.57000000000005</v>
      </c>
      <c r="AD290" s="8">
        <f>IFERROR(AC290/AC444, "NA")</f>
        <v>3.9552276463573803E-3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650.66</v>
      </c>
      <c r="F291" s="8">
        <f>IFERROR(E291/E444, "NA")</f>
        <v>3.9999955737300384E-3</v>
      </c>
      <c r="G291" s="9"/>
      <c r="H291" s="10">
        <f t="shared" si="72"/>
        <v>650.66</v>
      </c>
      <c r="I291" s="8">
        <f>IFERROR(H291/H444, "NA")</f>
        <v>-2.5799048465304352E-2</v>
      </c>
      <c r="J291" s="9"/>
      <c r="K291" s="7">
        <v>1137.46</v>
      </c>
      <c r="L291" s="8">
        <f>IFERROR(K291/K444, "NA")</f>
        <v>7.5198915563754526E-3</v>
      </c>
      <c r="M291" s="9"/>
      <c r="N291" s="10">
        <f t="shared" si="73"/>
        <v>1137.46</v>
      </c>
      <c r="O291" s="8">
        <f>IFERROR(N291/N444, "NA")</f>
        <v>-8.2333414644209374E-2</v>
      </c>
      <c r="P291" s="9"/>
      <c r="Q291" s="7">
        <v>425.8</v>
      </c>
      <c r="R291" s="8">
        <f>IFERROR(Q291/Q444, "NA")</f>
        <v>1.4886952683789273E-3</v>
      </c>
      <c r="S291" s="9"/>
      <c r="T291" s="7">
        <v>1277.04</v>
      </c>
      <c r="U291" s="8">
        <f>IFERROR(T291/T444, "NA")</f>
        <v>3.9999964918905661E-3</v>
      </c>
      <c r="V291" s="9"/>
      <c r="W291" s="10">
        <f t="shared" si="74"/>
        <v>851.24</v>
      </c>
      <c r="X291" s="8">
        <f>IFERROR(W291/W444, "NA")</f>
        <v>-2.5610438170034843E-2</v>
      </c>
      <c r="Y291" s="9"/>
      <c r="Z291" s="7">
        <v>1137.46</v>
      </c>
      <c r="AA291" s="8">
        <f>IFERROR(Z291/Z444, "NA")</f>
        <v>3.7778907402219357E-3</v>
      </c>
      <c r="AB291" s="9"/>
      <c r="AC291" s="10">
        <f t="shared" si="75"/>
        <v>711.66000000000008</v>
      </c>
      <c r="AD291" s="8">
        <f>IFERROR(AC291/AC444, "NA")</f>
        <v>-4.7251591519333412E-2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162.66999999999999</v>
      </c>
      <c r="F292" s="8">
        <f>IFERROR(E292/E444, "NA")</f>
        <v>1.0000296314183527E-3</v>
      </c>
      <c r="G292" s="9"/>
      <c r="H292" s="10">
        <f t="shared" si="72"/>
        <v>162.66999999999999</v>
      </c>
      <c r="I292" s="8">
        <f>IFERROR(H292/H444, "NA")</f>
        <v>-6.4499603692420911E-3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319.26</v>
      </c>
      <c r="U292" s="8">
        <f>IFERROR(T292/T444, "NA")</f>
        <v>9.9999912297264151E-4</v>
      </c>
      <c r="V292" s="9"/>
      <c r="W292" s="10">
        <f t="shared" si="74"/>
        <v>319.26</v>
      </c>
      <c r="X292" s="8">
        <f>IFERROR(W292/W444, "NA")</f>
        <v>-9.6052681854298712E-3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162.66999999999999</v>
      </c>
      <c r="F293" s="8">
        <f>IFERROR(E293/E444, "NA")</f>
        <v>1.0000296314183527E-3</v>
      </c>
      <c r="G293" s="9"/>
      <c r="H293" s="10">
        <f t="shared" si="72"/>
        <v>162.66999999999999</v>
      </c>
      <c r="I293" s="8">
        <f>IFERROR(H293/H444, "NA")</f>
        <v>-6.4499603692420911E-3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851.73</v>
      </c>
      <c r="R293" s="8">
        <f>IFERROR(Q293/Q444, "NA")</f>
        <v>2.9778450468210043E-3</v>
      </c>
      <c r="S293" s="9"/>
      <c r="T293" s="7">
        <v>319.26</v>
      </c>
      <c r="U293" s="8">
        <f>IFERROR(T293/T444, "NA")</f>
        <v>9.9999912297264151E-4</v>
      </c>
      <c r="V293" s="9"/>
      <c r="W293" s="10">
        <f t="shared" si="74"/>
        <v>-532.47</v>
      </c>
      <c r="X293" s="8">
        <f>IFERROR(W293/W444, "NA")</f>
        <v>1.6019912142754632E-2</v>
      </c>
      <c r="Y293" s="9"/>
      <c r="Z293" s="7">
        <v>369.93</v>
      </c>
      <c r="AA293" s="8">
        <f>IFERROR(Z293/Z444, "NA")</f>
        <v>1.2286630927947362E-3</v>
      </c>
      <c r="AB293" s="9"/>
      <c r="AC293" s="10">
        <f t="shared" si="75"/>
        <v>-481.8</v>
      </c>
      <c r="AD293" s="8">
        <f>IFERROR(AC293/AC444, "NA")</f>
        <v>3.1989737787728463E-2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2.2553770104333471E-3</v>
      </c>
      <c r="D294" s="9"/>
      <c r="E294" s="7">
        <v>346</v>
      </c>
      <c r="F294" s="8">
        <f>IFERROR(E294/E444, "NA")</f>
        <v>2.1270686203402598E-3</v>
      </c>
      <c r="G294" s="9"/>
      <c r="H294" s="10">
        <f t="shared" si="72"/>
        <v>36.009999999999991</v>
      </c>
      <c r="I294" s="8">
        <f>IFERROR(H294/H444, "NA")</f>
        <v>-1.427817501053714E-3</v>
      </c>
      <c r="J294" s="9"/>
      <c r="K294" s="7">
        <v>518.98</v>
      </c>
      <c r="L294" s="8">
        <f>IFERROR(K294/K444, "NA")</f>
        <v>3.4310422519717022E-3</v>
      </c>
      <c r="M294" s="9"/>
      <c r="N294" s="10">
        <f t="shared" si="73"/>
        <v>208.99</v>
      </c>
      <c r="O294" s="8">
        <f>IFERROR(N294/N444, "NA")</f>
        <v>-1.512744213114599E-2</v>
      </c>
      <c r="P294" s="9"/>
      <c r="Q294" s="7">
        <v>929.98</v>
      </c>
      <c r="R294" s="8">
        <f>IFERROR(Q294/Q444, "NA")</f>
        <v>3.2514251425247412E-3</v>
      </c>
      <c r="S294" s="9"/>
      <c r="T294" s="7">
        <v>1038</v>
      </c>
      <c r="U294" s="8">
        <f>IFERROR(T294/T444, "NA")</f>
        <v>3.2512657070901522E-3</v>
      </c>
      <c r="V294" s="9"/>
      <c r="W294" s="10">
        <f t="shared" si="74"/>
        <v>108.01999999999998</v>
      </c>
      <c r="X294" s="8">
        <f>IFERROR(W294/W444, "NA")</f>
        <v>-3.2498937210741542E-3</v>
      </c>
      <c r="Y294" s="9"/>
      <c r="Z294" s="7">
        <v>1158.97</v>
      </c>
      <c r="AA294" s="8">
        <f>IFERROR(Z294/Z444, "NA")</f>
        <v>3.849332751213244E-3</v>
      </c>
      <c r="AB294" s="9"/>
      <c r="AC294" s="10">
        <f t="shared" si="75"/>
        <v>228.99</v>
      </c>
      <c r="AD294" s="8">
        <f>IFERROR(AC294/AC444, "NA")</f>
        <v>-1.5204088949796472E-2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604.29999999999995</v>
      </c>
      <c r="C295" s="15">
        <f>IFERROR(B295/B444, "NA")</f>
        <v>4.3966719165291508E-3</v>
      </c>
      <c r="D295" s="2"/>
      <c r="E295" s="14">
        <f>IFERROR(E286+E287+E288+E289+E290+E291+E292+E293+E294, "NA")</f>
        <v>2646.9900000000002</v>
      </c>
      <c r="F295" s="15">
        <f>IFERROR(E295/E444, "NA")</f>
        <v>1.6272628229348163E-2</v>
      </c>
      <c r="G295" s="2"/>
      <c r="H295" s="14">
        <f t="shared" si="72"/>
        <v>2042.6900000000003</v>
      </c>
      <c r="I295" s="15">
        <f>IFERROR(H295/H444, "NA")</f>
        <v>-8.099384979803978E-2</v>
      </c>
      <c r="J295" s="2"/>
      <c r="K295" s="14">
        <f>IFERROR(K286+K287+K288+K289+K290+K291+K292+K293+K294, "NA")</f>
        <v>1937.58</v>
      </c>
      <c r="L295" s="15">
        <f>IFERROR(K295/K444, "NA")</f>
        <v>1.2809585815590833E-2</v>
      </c>
      <c r="M295" s="2"/>
      <c r="N295" s="14">
        <f t="shared" si="73"/>
        <v>1333.28</v>
      </c>
      <c r="O295" s="15">
        <f>IFERROR(N295/N444, "NA")</f>
        <v>-9.6507565168736903E-2</v>
      </c>
      <c r="P295" s="2"/>
      <c r="Q295" s="14">
        <f>IFERROR(Q286+Q287+Q288+Q289+Q290+Q291+Q292+Q293+Q294, "NA")</f>
        <v>3959.6400000000003</v>
      </c>
      <c r="R295" s="15">
        <f>IFERROR(Q295/Q444, "NA")</f>
        <v>1.3843817126547524E-2</v>
      </c>
      <c r="S295" s="2"/>
      <c r="T295" s="14">
        <f>IFERROR(T286+T287+T288+T289+T290+T291+T292+T293+T294, "NA")</f>
        <v>5916.1200000000008</v>
      </c>
      <c r="U295" s="15">
        <f>IFERROR(T295/T444, "NA")</f>
        <v>1.8530711054942382E-2</v>
      </c>
      <c r="V295" s="2"/>
      <c r="W295" s="14">
        <f t="shared" si="74"/>
        <v>1956.4800000000005</v>
      </c>
      <c r="X295" s="15">
        <f>IFERROR(W295/W444, "NA")</f>
        <v>-5.8862729748261101E-2</v>
      </c>
      <c r="Y295" s="2"/>
      <c r="Z295" s="14">
        <f>IFERROR(Z286+Z287+Z288+Z289+Z290+Z291+Z292+Z293+Z294, "NA")</f>
        <v>4316.66</v>
      </c>
      <c r="AA295" s="15">
        <f>IFERROR(Z295/Z444, "NA")</f>
        <v>1.4337093034204648E-2</v>
      </c>
      <c r="AB295" s="2"/>
      <c r="AC295" s="14">
        <f t="shared" si="75"/>
        <v>357.01999999999953</v>
      </c>
      <c r="AD295" s="15">
        <f>IFERROR(AC295/AC444, "NA")</f>
        <v>-2.3704807357772518E-2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613.4</v>
      </c>
      <c r="C299" s="8">
        <f>IFERROR(B299/B444, "NA")</f>
        <v>4.4628802806536173E-3</v>
      </c>
      <c r="D299" s="9"/>
      <c r="E299" s="7">
        <v>575</v>
      </c>
      <c r="F299" s="8">
        <f>IFERROR(E299/E444, "NA")</f>
        <v>3.5348683719527438E-3</v>
      </c>
      <c r="G299" s="9"/>
      <c r="H299" s="10">
        <f t="shared" si="76"/>
        <v>-38.399999999999977</v>
      </c>
      <c r="I299" s="8">
        <f>IFERROR(H299/H444, "NA")</f>
        <v>1.5225823949031546E-3</v>
      </c>
      <c r="J299" s="9"/>
      <c r="K299" s="7">
        <v>194.06</v>
      </c>
      <c r="L299" s="8">
        <f>IFERROR(K299/K444, "NA")</f>
        <v>1.2829551416579223E-3</v>
      </c>
      <c r="M299" s="9"/>
      <c r="N299" s="10">
        <f t="shared" si="77"/>
        <v>-419.34</v>
      </c>
      <c r="O299" s="8">
        <f>IFERROR(N299/N444, "NA")</f>
        <v>3.0353325916430255E-2</v>
      </c>
      <c r="P299" s="9"/>
      <c r="Q299" s="7">
        <v>1740.85</v>
      </c>
      <c r="R299" s="8">
        <f>IFERROR(Q299/Q444, "NA")</f>
        <v>6.086414180266452E-3</v>
      </c>
      <c r="S299" s="9"/>
      <c r="T299" s="7">
        <v>1725</v>
      </c>
      <c r="U299" s="8">
        <f>IFERROR(T299/T444, "NA")</f>
        <v>5.4031149756555994E-3</v>
      </c>
      <c r="V299" s="9"/>
      <c r="W299" s="10">
        <f t="shared" si="78"/>
        <v>-15.849999999999909</v>
      </c>
      <c r="X299" s="8">
        <f>IFERROR(W299/W444, "NA")</f>
        <v>4.7686368708595687E-4</v>
      </c>
      <c r="Y299" s="9"/>
      <c r="Z299" s="7">
        <v>582.17999999999995</v>
      </c>
      <c r="AA299" s="8">
        <f>IFERROR(Z299/Z444, "NA")</f>
        <v>1.9336173853519299E-3</v>
      </c>
      <c r="AB299" s="9"/>
      <c r="AC299" s="10">
        <f t="shared" si="79"/>
        <v>-1158.67</v>
      </c>
      <c r="AD299" s="8">
        <f>IFERROR(AC299/AC444, "NA")</f>
        <v>7.6931401997732116E-2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197.01</v>
      </c>
      <c r="AA304" s="8">
        <f>IFERROR(Z304/Z444, "NA")</f>
        <v>6.5433707974884702E-4</v>
      </c>
      <c r="AB304" s="9"/>
      <c r="AC304" s="10">
        <f t="shared" si="79"/>
        <v>197.01</v>
      </c>
      <c r="AD304" s="8">
        <f>IFERROR(AC304/AC444, "NA")</f>
        <v>-1.3080735246078007E-2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55</v>
      </c>
      <c r="F310" s="8">
        <f>IFERROR(E310/E444, "NA")</f>
        <v>3.3811784427374074E-4</v>
      </c>
      <c r="G310" s="9"/>
      <c r="H310" s="10">
        <f t="shared" si="76"/>
        <v>55</v>
      </c>
      <c r="I310" s="8">
        <f>IFERROR(H310/H444, "NA")</f>
        <v>-2.1807820760331655E-3</v>
      </c>
      <c r="J310" s="9"/>
      <c r="K310" s="7">
        <v>49.92</v>
      </c>
      <c r="L310" s="8">
        <f>IFERROR(K310/K444, "NA")</f>
        <v>3.3002741766239039E-4</v>
      </c>
      <c r="M310" s="9"/>
      <c r="N310" s="10">
        <f t="shared" si="77"/>
        <v>49.92</v>
      </c>
      <c r="O310" s="8">
        <f>IFERROR(N310/N444, "NA")</f>
        <v>-3.613387775428527E-3</v>
      </c>
      <c r="P310" s="9"/>
      <c r="Q310" s="7">
        <v>39.6</v>
      </c>
      <c r="R310" s="8">
        <f>IFERROR(Q310/Q444, "NA")</f>
        <v>1.3845075769799322E-4</v>
      </c>
      <c r="S310" s="9"/>
      <c r="T310" s="7">
        <v>165</v>
      </c>
      <c r="U310" s="8">
        <f>IFERROR(T310/T444, "NA")</f>
        <v>5.1681969332357906E-4</v>
      </c>
      <c r="V310" s="9"/>
      <c r="W310" s="10">
        <f t="shared" si="78"/>
        <v>125.4</v>
      </c>
      <c r="X310" s="8">
        <f>IFERROR(W310/W444, "NA")</f>
        <v>-3.7727890448315039E-3</v>
      </c>
      <c r="Y310" s="9"/>
      <c r="Z310" s="7">
        <v>81.489999999999995</v>
      </c>
      <c r="AA310" s="8">
        <f>IFERROR(Z310/Z444, "NA")</f>
        <v>2.7065594959003878E-4</v>
      </c>
      <c r="AB310" s="9"/>
      <c r="AC310" s="10">
        <f t="shared" si="79"/>
        <v>41.889999999999993</v>
      </c>
      <c r="AD310" s="8">
        <f>IFERROR(AC310/AC444, "NA")</f>
        <v>-2.7813410459276568E-3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8.8679762597300719E-5</v>
      </c>
      <c r="AB311" s="9"/>
      <c r="AC311" s="10">
        <f t="shared" si="79"/>
        <v>26.7</v>
      </c>
      <c r="AD311" s="8">
        <f>IFERROR(AC311/AC444, "NA")</f>
        <v>-1.7727812348118511E-3</v>
      </c>
    </row>
    <row r="312" spans="1:30" ht="16.5" customHeight="1" x14ac:dyDescent="0.45">
      <c r="A312" s="6" t="s">
        <v>284</v>
      </c>
      <c r="B312" s="7">
        <v>286.23</v>
      </c>
      <c r="C312" s="8">
        <f>IFERROR(B312/B444, "NA")</f>
        <v>2.0825076992688051E-3</v>
      </c>
      <c r="D312" s="9"/>
      <c r="E312" s="7">
        <v>35</v>
      </c>
      <c r="F312" s="8">
        <f>IFERROR(E312/E444, "NA")</f>
        <v>2.1516590090147136E-4</v>
      </c>
      <c r="G312" s="9"/>
      <c r="H312" s="10">
        <f t="shared" si="76"/>
        <v>-251.23000000000002</v>
      </c>
      <c r="I312" s="8">
        <f>IFERROR(H312/H444, "NA")</f>
        <v>9.9614160174874948E-3</v>
      </c>
      <c r="J312" s="9"/>
      <c r="K312" s="7">
        <v>87.85</v>
      </c>
      <c r="L312" s="8">
        <f>IFERROR(K312/K444, "NA")</f>
        <v>5.8078743272518016E-4</v>
      </c>
      <c r="M312" s="9"/>
      <c r="N312" s="10">
        <f t="shared" si="77"/>
        <v>-198.38000000000002</v>
      </c>
      <c r="O312" s="8">
        <f>IFERROR(N312/N444, "NA")</f>
        <v>1.435945246172899E-2</v>
      </c>
      <c r="P312" s="9"/>
      <c r="Q312" s="7">
        <v>654.69000000000005</v>
      </c>
      <c r="R312" s="8">
        <f>IFERROR(Q312/Q444, "NA")</f>
        <v>2.2889476403358381E-3</v>
      </c>
      <c r="S312" s="9"/>
      <c r="T312" s="7">
        <v>105</v>
      </c>
      <c r="U312" s="8">
        <f>IFERROR(T312/T444, "NA")</f>
        <v>3.2888525938773211E-4</v>
      </c>
      <c r="V312" s="9"/>
      <c r="W312" s="10">
        <f t="shared" si="78"/>
        <v>-549.69000000000005</v>
      </c>
      <c r="X312" s="8">
        <f>IFERROR(W312/W444, "NA")</f>
        <v>1.6537993700585563E-2</v>
      </c>
      <c r="Y312" s="9"/>
      <c r="Z312" s="7">
        <v>116.88</v>
      </c>
      <c r="AA312" s="8">
        <f>IFERROR(Z312/Z444, "NA")</f>
        <v>3.8819815177425123E-4</v>
      </c>
      <c r="AB312" s="9"/>
      <c r="AC312" s="10">
        <f t="shared" si="79"/>
        <v>-537.81000000000006</v>
      </c>
      <c r="AD312" s="8">
        <f>IFERROR(AC312/AC444, "NA")</f>
        <v>3.5708594602777595E-2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10</v>
      </c>
      <c r="F313" s="8">
        <f>IFERROR(E313/E444, "NA")</f>
        <v>6.1475971686134675E-5</v>
      </c>
      <c r="G313" s="9"/>
      <c r="H313" s="10">
        <f t="shared" si="76"/>
        <v>10</v>
      </c>
      <c r="I313" s="8">
        <f>IFERROR(H313/H444, "NA")</f>
        <v>-3.9650583200603011E-4</v>
      </c>
      <c r="J313" s="9"/>
      <c r="K313" s="7">
        <v>2.75</v>
      </c>
      <c r="L313" s="8">
        <f>IFERROR(K313/K444, "NA")</f>
        <v>1.8180596926513893E-5</v>
      </c>
      <c r="M313" s="9"/>
      <c r="N313" s="10">
        <f t="shared" si="77"/>
        <v>2.75</v>
      </c>
      <c r="O313" s="8">
        <f>IFERROR(N313/N444, "NA")</f>
        <v>-1.9905481535313399E-4</v>
      </c>
      <c r="P313" s="9"/>
      <c r="Q313" s="7">
        <v>12</v>
      </c>
      <c r="R313" s="8">
        <f>IFERROR(Q313/Q444, "NA")</f>
        <v>4.1954775059997951E-5</v>
      </c>
      <c r="S313" s="9"/>
      <c r="T313" s="7">
        <v>30</v>
      </c>
      <c r="U313" s="8">
        <f>IFERROR(T313/T444, "NA")</f>
        <v>9.3967216967923462E-5</v>
      </c>
      <c r="V313" s="9"/>
      <c r="W313" s="10">
        <f t="shared" si="78"/>
        <v>18</v>
      </c>
      <c r="X313" s="8">
        <f>IFERROR(W313/W444, "NA")</f>
        <v>-5.4154866672222537E-4</v>
      </c>
      <c r="Y313" s="9"/>
      <c r="Z313" s="7">
        <v>20.75</v>
      </c>
      <c r="AA313" s="8">
        <f>IFERROR(Z313/Z444, "NA")</f>
        <v>6.891779302973745E-5</v>
      </c>
      <c r="AB313" s="9"/>
      <c r="AC313" s="10">
        <f t="shared" si="79"/>
        <v>8.75</v>
      </c>
      <c r="AD313" s="8">
        <f>IFERROR(AC313/AC444, "NA")</f>
        <v>-5.8096763313122458E-4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748.97</v>
      </c>
      <c r="C315" s="8">
        <f>IFERROR(B315/B444, "NA")</f>
        <v>5.4492393932199876E-3</v>
      </c>
      <c r="D315" s="9"/>
      <c r="E315" s="7">
        <v>1138.6600000000001</v>
      </c>
      <c r="F315" s="8">
        <f>IFERROR(E315/E444, "NA")</f>
        <v>7.0000229920134114E-3</v>
      </c>
      <c r="G315" s="9"/>
      <c r="H315" s="10">
        <f t="shared" si="76"/>
        <v>389.69000000000005</v>
      </c>
      <c r="I315" s="8">
        <f>IFERROR(H315/H444, "NA")</f>
        <v>-1.5451435767442989E-2</v>
      </c>
      <c r="J315" s="9"/>
      <c r="K315" s="7">
        <v>794.11</v>
      </c>
      <c r="L315" s="8">
        <f>IFERROR(K315/K444, "NA")</f>
        <v>5.2499613910232546E-3</v>
      </c>
      <c r="M315" s="9"/>
      <c r="N315" s="10">
        <f t="shared" si="77"/>
        <v>45.139999999999986</v>
      </c>
      <c r="O315" s="8">
        <f>IFERROR(N315/N444, "NA")</f>
        <v>-3.267394314560169E-3</v>
      </c>
      <c r="P315" s="9"/>
      <c r="Q315" s="7">
        <v>2246.91</v>
      </c>
      <c r="R315" s="8">
        <f>IFERROR(Q315/Q444, "NA")</f>
        <v>7.8557169691716652E-3</v>
      </c>
      <c r="S315" s="9"/>
      <c r="T315" s="7">
        <v>2234.8200000000002</v>
      </c>
      <c r="U315" s="8">
        <f>IFERROR(T315/T444, "NA")</f>
        <v>6.9999938608084917E-3</v>
      </c>
      <c r="V315" s="9"/>
      <c r="W315" s="10">
        <f t="shared" si="78"/>
        <v>-12.089999999999691</v>
      </c>
      <c r="X315" s="8">
        <f>IFERROR(W315/W444, "NA")</f>
        <v>3.6374018781508541E-4</v>
      </c>
      <c r="Y315" s="9"/>
      <c r="Z315" s="7">
        <v>2382.33</v>
      </c>
      <c r="AA315" s="8">
        <f>IFERROR(Z315/Z444, "NA")</f>
        <v>7.9125265478811775E-3</v>
      </c>
      <c r="AB315" s="9"/>
      <c r="AC315" s="10">
        <f t="shared" si="79"/>
        <v>135.42000000000007</v>
      </c>
      <c r="AD315" s="8">
        <f>IFERROR(AC315/AC444, "NA")</f>
        <v>-8.9913870718434825E-3</v>
      </c>
    </row>
    <row r="316" spans="1:30" ht="16.5" customHeight="1" x14ac:dyDescent="0.45">
      <c r="A316" s="6" t="s">
        <v>288</v>
      </c>
      <c r="B316" s="7">
        <v>294</v>
      </c>
      <c r="C316" s="8">
        <f>IFERROR(B316/B444, "NA")</f>
        <v>2.1390394563289266E-3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-294</v>
      </c>
      <c r="I316" s="8">
        <f>IFERROR(H316/H444, "NA")</f>
        <v>1.1657271460977284E-2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-294</v>
      </c>
      <c r="O316" s="8">
        <f>IFERROR(N316/N444, "NA")</f>
        <v>2.1280769350480507E-2</v>
      </c>
      <c r="P316" s="9"/>
      <c r="Q316" s="7">
        <v>294</v>
      </c>
      <c r="R316" s="8">
        <f>IFERROR(Q316/Q444, "NA")</f>
        <v>1.0278919889699497E-3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8.8452948897963478E-3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1.9520512473209146E-2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3.5694311471937807E-3</v>
      </c>
      <c r="D318" s="9"/>
      <c r="E318" s="7">
        <v>491</v>
      </c>
      <c r="F318" s="8">
        <f>IFERROR(E318/E444, "NA")</f>
        <v>3.0184702097892126E-3</v>
      </c>
      <c r="G318" s="9"/>
      <c r="H318" s="10">
        <f t="shared" si="76"/>
        <v>0.39999999999997726</v>
      </c>
      <c r="I318" s="8">
        <f>IFERROR(H318/H444, "NA")</f>
        <v>-1.5860233280240303E-5</v>
      </c>
      <c r="J318" s="9"/>
      <c r="K318" s="7">
        <v>490.6</v>
      </c>
      <c r="L318" s="8">
        <f>IFERROR(K318/K444, "NA")</f>
        <v>3.2434184916900789E-3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1471.8</v>
      </c>
      <c r="R318" s="8">
        <f>IFERROR(Q318/Q444, "NA")</f>
        <v>5.1457531611087482E-3</v>
      </c>
      <c r="S318" s="9"/>
      <c r="T318" s="7">
        <v>1473</v>
      </c>
      <c r="U318" s="8">
        <f>IFERROR(T318/T444, "NA")</f>
        <v>4.6137903531250427E-3</v>
      </c>
      <c r="V318" s="9"/>
      <c r="W318" s="10">
        <f t="shared" si="78"/>
        <v>1.2000000000000455</v>
      </c>
      <c r="X318" s="8">
        <f>IFERROR(W318/W444, "NA")</f>
        <v>-3.6103244448149727E-5</v>
      </c>
      <c r="Y318" s="9"/>
      <c r="Z318" s="7">
        <v>1471.8</v>
      </c>
      <c r="AA318" s="8">
        <f>IFERROR(Z318/Z444, "NA")</f>
        <v>4.8883473629478353E-3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160.38</v>
      </c>
      <c r="C319" s="8">
        <f>IFERROR(B319/B444, "NA")</f>
        <v>1.1668678503606574E-3</v>
      </c>
      <c r="D319" s="9"/>
      <c r="E319" s="7">
        <v>160</v>
      </c>
      <c r="F319" s="8">
        <f>IFERROR(E319/E444, "NA")</f>
        <v>9.8361554697815479E-4</v>
      </c>
      <c r="G319" s="9"/>
      <c r="H319" s="10">
        <f t="shared" si="76"/>
        <v>-0.37999999999999545</v>
      </c>
      <c r="I319" s="8">
        <f>IFERROR(H319/H444, "NA")</f>
        <v>1.5067221616228964E-5</v>
      </c>
      <c r="J319" s="9"/>
      <c r="K319" s="7">
        <v>160.16</v>
      </c>
      <c r="L319" s="8">
        <f>IFERROR(K319/K444, "NA")</f>
        <v>1.0588379650001692E-3</v>
      </c>
      <c r="M319" s="9"/>
      <c r="N319" s="10">
        <f t="shared" si="77"/>
        <v>-0.21999999999999886</v>
      </c>
      <c r="O319" s="8">
        <f>IFERROR(N319/N444, "NA")</f>
        <v>1.5924385228250638E-5</v>
      </c>
      <c r="P319" s="9"/>
      <c r="Q319" s="7">
        <v>481.14</v>
      </c>
      <c r="R319" s="8">
        <f>IFERROR(Q319/Q444, "NA")</f>
        <v>1.6821767060306177E-3</v>
      </c>
      <c r="S319" s="9"/>
      <c r="T319" s="7">
        <v>480</v>
      </c>
      <c r="U319" s="8">
        <f>IFERROR(T319/T444, "NA")</f>
        <v>1.5034754714867754E-3</v>
      </c>
      <c r="V319" s="9"/>
      <c r="W319" s="10">
        <f t="shared" si="78"/>
        <v>-1.1399999999999864</v>
      </c>
      <c r="X319" s="8">
        <f>IFERROR(W319/W444, "NA")</f>
        <v>3.4298082225740528E-5</v>
      </c>
      <c r="Y319" s="9"/>
      <c r="Z319" s="7">
        <v>480.48</v>
      </c>
      <c r="AA319" s="8">
        <f>IFERROR(Z319/Z444, "NA")</f>
        <v>1.5958371660206385E-3</v>
      </c>
      <c r="AB319" s="9"/>
      <c r="AC319" s="10">
        <f t="shared" si="79"/>
        <v>-0.65999999999996817</v>
      </c>
      <c r="AD319" s="8">
        <f>IFERROR(AC319/AC444, "NA")</f>
        <v>4.3821558613324542E-5</v>
      </c>
    </row>
    <row r="320" spans="1:30" ht="16.5" customHeight="1" x14ac:dyDescent="0.45">
      <c r="A320" s="6" t="s">
        <v>292</v>
      </c>
      <c r="B320" s="7">
        <v>1043.54</v>
      </c>
      <c r="C320" s="8">
        <f>IFERROR(B320/B444, "NA")</f>
        <v>7.5924259668622048E-3</v>
      </c>
      <c r="D320" s="9"/>
      <c r="E320" s="7">
        <v>1121</v>
      </c>
      <c r="F320" s="8">
        <f>IFERROR(E320/E444, "NA")</f>
        <v>6.8914564260156973E-3</v>
      </c>
      <c r="G320" s="9"/>
      <c r="H320" s="10">
        <f t="shared" si="76"/>
        <v>77.460000000000036</v>
      </c>
      <c r="I320" s="8">
        <f>IFERROR(H320/H444, "NA")</f>
        <v>-3.0713341747187106E-3</v>
      </c>
      <c r="J320" s="9"/>
      <c r="K320" s="7">
        <v>1031.07</v>
      </c>
      <c r="L320" s="8">
        <f>IFERROR(K320/K444, "NA")</f>
        <v>6.816533844734793E-3</v>
      </c>
      <c r="M320" s="9"/>
      <c r="N320" s="10">
        <f t="shared" si="77"/>
        <v>-12.470000000000027</v>
      </c>
      <c r="O320" s="8">
        <f>IFERROR(N320/N444, "NA")</f>
        <v>9.026231081649404E-4</v>
      </c>
      <c r="P320" s="9"/>
      <c r="Q320" s="7">
        <v>3306.55</v>
      </c>
      <c r="R320" s="8">
        <f>IFERROR(Q320/Q444, "NA")</f>
        <v>1.1560463456219685E-2</v>
      </c>
      <c r="S320" s="9"/>
      <c r="T320" s="7">
        <v>3363</v>
      </c>
      <c r="U320" s="8">
        <f>IFERROR(T320/T444, "NA")</f>
        <v>1.053372502210422E-2</v>
      </c>
      <c r="V320" s="9"/>
      <c r="W320" s="10">
        <f t="shared" si="78"/>
        <v>56.449999999999818</v>
      </c>
      <c r="X320" s="8">
        <f>IFERROR(W320/W444, "NA")</f>
        <v>-1.6983567909149735E-3</v>
      </c>
      <c r="Y320" s="9"/>
      <c r="Z320" s="7">
        <v>3093.21</v>
      </c>
      <c r="AA320" s="8">
        <f>IFERROR(Z320/Z444, "NA")</f>
        <v>1.0273600316988636E-2</v>
      </c>
      <c r="AB320" s="9"/>
      <c r="AC320" s="10">
        <f t="shared" si="79"/>
        <v>-213.34000000000015</v>
      </c>
      <c r="AD320" s="8">
        <f>IFERROR(AC320/AC444, "NA")</f>
        <v>1.4164986840253205E-2</v>
      </c>
    </row>
    <row r="321" spans="1:30" ht="16.5" customHeight="1" x14ac:dyDescent="0.45">
      <c r="A321" s="6" t="s">
        <v>293</v>
      </c>
      <c r="B321" s="7">
        <v>1171.96</v>
      </c>
      <c r="C321" s="8">
        <f>IFERROR(B321/B444, "NA")</f>
        <v>8.5267642219022076E-3</v>
      </c>
      <c r="D321" s="9"/>
      <c r="E321" s="7">
        <v>2439.98</v>
      </c>
      <c r="F321" s="8">
        <f>IFERROR(E321/E444, "NA")</f>
        <v>1.5000014139473489E-2</v>
      </c>
      <c r="G321" s="9"/>
      <c r="H321" s="10">
        <f t="shared" si="76"/>
        <v>1268.02</v>
      </c>
      <c r="I321" s="8">
        <f>IFERROR(H321/H444, "NA")</f>
        <v>-5.0277732510028629E-2</v>
      </c>
      <c r="J321" s="9"/>
      <c r="K321" s="7">
        <v>3622.04</v>
      </c>
      <c r="L321" s="8">
        <f>IFERROR(K321/K444, "NA")</f>
        <v>2.3945763378803778E-2</v>
      </c>
      <c r="M321" s="9"/>
      <c r="N321" s="10">
        <f t="shared" si="77"/>
        <v>2450.08</v>
      </c>
      <c r="O321" s="8">
        <f>IFERROR(N321/N444, "NA")</f>
        <v>-0.17734553527287508</v>
      </c>
      <c r="P321" s="9"/>
      <c r="Q321" s="7">
        <v>2762.12</v>
      </c>
      <c r="R321" s="8">
        <f>IFERROR(Q321/Q444, "NA")</f>
        <v>9.6570102740601276E-3</v>
      </c>
      <c r="S321" s="9"/>
      <c r="T321" s="7">
        <v>4713.25</v>
      </c>
      <c r="U321" s="8">
        <f>IFERROR(T321/T444, "NA")</f>
        <v>1.4763032845802175E-2</v>
      </c>
      <c r="V321" s="9"/>
      <c r="W321" s="10">
        <f t="shared" si="78"/>
        <v>1951.13</v>
      </c>
      <c r="X321" s="8">
        <f>IFERROR(W321/W444, "NA")</f>
        <v>-5.8701769450096426E-2</v>
      </c>
      <c r="Y321" s="9"/>
      <c r="Z321" s="7">
        <v>8039.15</v>
      </c>
      <c r="AA321" s="8">
        <f>IFERROR(Z321/Z444, "NA")</f>
        <v>2.6700745823374158E-2</v>
      </c>
      <c r="AB321" s="9"/>
      <c r="AC321" s="10">
        <f t="shared" si="79"/>
        <v>5277.03</v>
      </c>
      <c r="AD321" s="8">
        <f>IFERROR(AC321/AC444, "NA")</f>
        <v>-0.35037527189285328</v>
      </c>
    </row>
    <row r="322" spans="1:30" ht="16.5" customHeight="1" x14ac:dyDescent="0.45">
      <c r="A322" s="6" t="s">
        <v>294</v>
      </c>
      <c r="B322" s="7">
        <v>280.20999999999998</v>
      </c>
      <c r="C322" s="8">
        <f>IFERROR(B322/B444, "NA")</f>
        <v>2.038708319924927E-3</v>
      </c>
      <c r="D322" s="9"/>
      <c r="E322" s="7">
        <v>366</v>
      </c>
      <c r="F322" s="8">
        <f>IFERROR(E322/E444, "NA")</f>
        <v>2.2500205637125291E-3</v>
      </c>
      <c r="G322" s="9"/>
      <c r="H322" s="10">
        <f t="shared" si="76"/>
        <v>85.79000000000002</v>
      </c>
      <c r="I322" s="8">
        <f>IFERROR(H322/H444, "NA")</f>
        <v>-3.401623532779733E-3</v>
      </c>
      <c r="J322" s="9"/>
      <c r="K322" s="7">
        <v>338.98</v>
      </c>
      <c r="L322" s="8">
        <f>IFERROR(K322/K444, "NA")</f>
        <v>2.2410395440544293E-3</v>
      </c>
      <c r="M322" s="9"/>
      <c r="N322" s="10">
        <f t="shared" si="77"/>
        <v>58.770000000000039</v>
      </c>
      <c r="O322" s="8">
        <f>IFERROR(N322/N444, "NA")</f>
        <v>-4.2539823630195241E-3</v>
      </c>
      <c r="P322" s="9"/>
      <c r="Q322" s="7">
        <v>840.63</v>
      </c>
      <c r="R322" s="8">
        <f>IFERROR(Q322/Q444, "NA")</f>
        <v>2.9390368798905063E-3</v>
      </c>
      <c r="S322" s="9"/>
      <c r="T322" s="7">
        <v>1098</v>
      </c>
      <c r="U322" s="8">
        <f>IFERROR(T322/T444, "NA")</f>
        <v>3.4392001410259989E-3</v>
      </c>
      <c r="V322" s="9"/>
      <c r="W322" s="10">
        <f t="shared" si="78"/>
        <v>257.37</v>
      </c>
      <c r="X322" s="8">
        <f>IFERROR(W322/W444, "NA")</f>
        <v>-7.7432433530166198E-3</v>
      </c>
      <c r="Y322" s="9"/>
      <c r="Z322" s="7">
        <v>709.23</v>
      </c>
      <c r="AA322" s="8">
        <f>IFERROR(Z322/Z444, "NA")</f>
        <v>2.3555935590593106E-3</v>
      </c>
      <c r="AB322" s="9"/>
      <c r="AC322" s="10">
        <f t="shared" si="79"/>
        <v>-131.39999999999998</v>
      </c>
      <c r="AD322" s="8">
        <f>IFERROR(AC322/AC444, "NA")</f>
        <v>8.7244739421077598E-3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0.01</v>
      </c>
      <c r="R323" s="8">
        <f>IFERROR(Q323/Q444, "NA")</f>
        <v>3.4962312549998291E-8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-0.01</v>
      </c>
      <c r="X323" s="8">
        <f>IFERROR(W323/W444, "NA")</f>
        <v>3.0086037040123636E-7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-0.01</v>
      </c>
      <c r="AD323" s="8">
        <f>IFERROR(AC323/AC444, "NA")</f>
        <v>6.6396300929282816E-7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5089.29</v>
      </c>
      <c r="C324" s="15">
        <f>IFERROR(B324/B444, "NA")</f>
        <v>3.7027864335715116E-2</v>
      </c>
      <c r="D324" s="2"/>
      <c r="E324" s="14">
        <f>IFERROR(E297+E298+E299+E300+E301+E302+E303+E304+E305+E306+E307+E308+E309+E310+E311+E312+E313+E314+E315+E316+E317+E318+E319+E320+E321+E322+E323, "NA")</f>
        <v>6391.6399999999994</v>
      </c>
      <c r="F324" s="15">
        <f>IFERROR(E324/E444, "NA")</f>
        <v>3.929322796679658E-2</v>
      </c>
      <c r="G324" s="2"/>
      <c r="H324" s="14">
        <f t="shared" si="76"/>
        <v>1302.3499999999995</v>
      </c>
      <c r="I324" s="15">
        <f>IFERROR(H324/H444, "NA")</f>
        <v>-5.1638937031305308E-2</v>
      </c>
      <c r="J324" s="2"/>
      <c r="K324" s="14">
        <f>IFERROR(K297+K298+K299+K300+K301+K302+K303+K304+K305+K306+K307+K308+K309+K310+K311+K312+K313+K314+K315+K316+K317+K318+K319+K320+K321+K322+K323, "NA")</f>
        <v>6771.5399999999991</v>
      </c>
      <c r="L324" s="15">
        <f>IFERROR(K324/K444, "NA")</f>
        <v>4.4767505204278503E-2</v>
      </c>
      <c r="M324" s="2"/>
      <c r="N324" s="14">
        <f t="shared" si="77"/>
        <v>1682.2499999999991</v>
      </c>
      <c r="O324" s="15">
        <f>IFERROR(N324/N444, "NA")</f>
        <v>-0.12176725931920344</v>
      </c>
      <c r="P324" s="2"/>
      <c r="Q324" s="14">
        <f>IFERROR(Q297+Q298+Q299+Q300+Q301+Q302+Q303+Q304+Q305+Q306+Q307+Q308+Q309+Q310+Q311+Q312+Q313+Q314+Q315+Q316+Q317+Q318+Q319+Q320+Q321+Q322+Q323, "NA")</f>
        <v>13850.3</v>
      </c>
      <c r="R324" s="15">
        <f>IFERROR(Q324/Q444, "NA")</f>
        <v>4.8423851751124132E-2</v>
      </c>
      <c r="S324" s="2"/>
      <c r="T324" s="14">
        <f>IFERROR(T297+T298+T299+T300+T301+T302+T303+T304+T305+T306+T307+T308+T309+T310+T311+T312+T313+T314+T315+T316+T317+T318+T319+T320+T321+T322+T323, "NA")</f>
        <v>15387.07</v>
      </c>
      <c r="U324" s="15">
        <f>IFERROR(T324/T444, "NA")</f>
        <v>4.8196004839687535E-2</v>
      </c>
      <c r="V324" s="2"/>
      <c r="W324" s="14">
        <f t="shared" si="78"/>
        <v>1536.7700000000004</v>
      </c>
      <c r="X324" s="15">
        <f>IFERROR(W324/W444, "NA")</f>
        <v>-4.6235319142150809E-2</v>
      </c>
      <c r="Y324" s="2"/>
      <c r="Z324" s="14">
        <f>IFERROR(Z297+Z298+Z299+Z300+Z301+Z302+Z303+Z304+Z305+Z306+Z307+Z308+Z309+Z310+Z311+Z312+Z313+Z314+Z315+Z316+Z317+Z318+Z319+Z320+Z321+Z322+Z323, "NA")</f>
        <v>17201.210000000003</v>
      </c>
      <c r="AA324" s="15">
        <f>IFERROR(Z324/Z444, "NA")</f>
        <v>5.7131056898363869E-2</v>
      </c>
      <c r="AB324" s="2"/>
      <c r="AC324" s="14">
        <f t="shared" si="79"/>
        <v>3350.9100000000035</v>
      </c>
      <c r="AD324" s="15">
        <f>IFERROR(AC324/AC444, "NA")</f>
        <v>-0.22248802874694329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28744.810000000005</v>
      </c>
      <c r="C325" s="15">
        <f>IFERROR(B325/B444, "NA")</f>
        <v>0.20913701617237518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34019.72</v>
      </c>
      <c r="F325" s="15">
        <f>IFERROR(E325/E444, "NA")</f>
        <v>0.20913953434902297</v>
      </c>
      <c r="G325" s="2"/>
      <c r="H325" s="14">
        <f t="shared" si="76"/>
        <v>5274.9099999999962</v>
      </c>
      <c r="I325" s="15">
        <f>IFERROR(H325/H444, "NA")</f>
        <v>-0.20915325783069266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35820.69</v>
      </c>
      <c r="L325" s="15">
        <f>IFERROR(K325/K444, "NA")</f>
        <v>0.23681510055258437</v>
      </c>
      <c r="M325" s="2"/>
      <c r="N325" s="14">
        <f t="shared" si="77"/>
        <v>7075.8799999999974</v>
      </c>
      <c r="O325" s="15">
        <f>IFERROR(N325/N444, "NA")</f>
        <v>-0.51217744976761204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69024.370000000024</v>
      </c>
      <c r="R325" s="15">
        <f>IFERROR(Q325/Q444, "NA")</f>
        <v>0.24132515975067262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71779.83</v>
      </c>
      <c r="U325" s="15">
        <f>IFERROR(T325/T444, "NA")</f>
        <v>0.22483169531768873</v>
      </c>
      <c r="V325" s="2"/>
      <c r="W325" s="14">
        <f t="shared" si="78"/>
        <v>2755.4599999999773</v>
      </c>
      <c r="X325" s="15">
        <f>IFERROR(W325/W444, "NA")</f>
        <v>-8.2900871622578379E-2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79113.119999999981</v>
      </c>
      <c r="AA325" s="15">
        <f>IFERROR(Z325/Z444, "NA")</f>
        <v>0.26276152434201355</v>
      </c>
      <c r="AB325" s="2"/>
      <c r="AC325" s="14">
        <f t="shared" si="79"/>
        <v>10088.749999999956</v>
      </c>
      <c r="AD325" s="15">
        <f>IFERROR(AC325/AC444, "NA")</f>
        <v>-0.66985568100029913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9.8413858589265643E-2</v>
      </c>
      <c r="D329" s="9"/>
      <c r="E329" s="7">
        <v>13526.48</v>
      </c>
      <c r="F329" s="8">
        <f>IFERROR(E329/E444, "NA")</f>
        <v>8.3155350149306695E-2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13132.5</v>
      </c>
      <c r="L329" s="8">
        <f>IFERROR(K329/K444, "NA")</f>
        <v>8.682061423179771E-2</v>
      </c>
      <c r="M329" s="9"/>
      <c r="N329" s="10">
        <f t="shared" si="81"/>
        <v>-393.97999999999956</v>
      </c>
      <c r="O329" s="8">
        <f>IFERROR(N329/N444, "NA")</f>
        <v>2.8517678601028232E-2</v>
      </c>
      <c r="P329" s="9"/>
      <c r="Q329" s="7">
        <v>40579.440000000002</v>
      </c>
      <c r="R329" s="8">
        <f>IFERROR(Q329/Q444, "NA")</f>
        <v>0.14187510643839027</v>
      </c>
      <c r="S329" s="9"/>
      <c r="T329" s="7">
        <v>40579.440000000002</v>
      </c>
      <c r="U329" s="8">
        <f>IFERROR(T329/T444, "NA")</f>
        <v>0.12710456809722775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39397.5</v>
      </c>
      <c r="AA329" s="8">
        <f>IFERROR(Z329/Z444, "NA")</f>
        <v>0.13085246992236535</v>
      </c>
      <c r="AB329" s="9"/>
      <c r="AC329" s="10">
        <f t="shared" si="83"/>
        <v>-1181.9400000000023</v>
      </c>
      <c r="AD329" s="8">
        <f>IFERROR(AC329/AC444, "NA")</f>
        <v>7.8476443920356687E-2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1.5468020014133667E-2</v>
      </c>
      <c r="D330" s="9"/>
      <c r="E330" s="7">
        <v>2126</v>
      </c>
      <c r="F330" s="8">
        <f>IFERROR(E330/E444, "NA")</f>
        <v>1.3069791580472232E-2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2126</v>
      </c>
      <c r="L330" s="8">
        <f>IFERROR(K330/K444, "NA")</f>
        <v>1.4055254205734015E-2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6378</v>
      </c>
      <c r="R330" s="8">
        <f>IFERROR(Q330/Q444, "NA")</f>
        <v>2.2298962944388909E-2</v>
      </c>
      <c r="S330" s="9"/>
      <c r="T330" s="7">
        <v>6378</v>
      </c>
      <c r="U330" s="8">
        <f>IFERROR(T330/T444, "NA")</f>
        <v>1.997743032738053E-2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6378</v>
      </c>
      <c r="AA330" s="8">
        <f>IFERROR(Z330/Z444, "NA")</f>
        <v>2.1183502840658577E-2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1.3096159936707714E-3</v>
      </c>
      <c r="D332" s="9"/>
      <c r="E332" s="7">
        <v>180</v>
      </c>
      <c r="F332" s="8">
        <f>IFERROR(E332/E444, "NA")</f>
        <v>1.1065674903504243E-3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1.1900027079172731E-3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540</v>
      </c>
      <c r="R332" s="8">
        <f>IFERROR(Q332/Q444, "NA")</f>
        <v>1.8879648776999075E-3</v>
      </c>
      <c r="S332" s="9"/>
      <c r="T332" s="7">
        <v>540</v>
      </c>
      <c r="U332" s="8">
        <f>IFERROR(T332/T444, "NA")</f>
        <v>1.6914099054226223E-3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540</v>
      </c>
      <c r="AA332" s="8">
        <f>IFERROR(Z332/Z444, "NA")</f>
        <v>1.7935232884847337E-3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1254</v>
      </c>
      <c r="C333" s="8">
        <f>IFERROR(B333/B444, "NA")</f>
        <v>9.1236580892397074E-3</v>
      </c>
      <c r="D333" s="9"/>
      <c r="E333" s="7">
        <v>1025</v>
      </c>
      <c r="F333" s="8">
        <f>IFERROR(E333/E444, "NA")</f>
        <v>6.3012870978288041E-3</v>
      </c>
      <c r="G333" s="9"/>
      <c r="H333" s="10">
        <f t="shared" si="80"/>
        <v>-229</v>
      </c>
      <c r="I333" s="8">
        <f>IFERROR(H333/H444, "NA")</f>
        <v>9.0799835529380892E-3</v>
      </c>
      <c r="J333" s="9"/>
      <c r="K333" s="7">
        <v>1024.69</v>
      </c>
      <c r="L333" s="8">
        <f>IFERROR(K333/K444, "NA")</f>
        <v>6.7743548598652812E-3</v>
      </c>
      <c r="M333" s="9"/>
      <c r="N333" s="10">
        <f t="shared" si="81"/>
        <v>-229.30999999999995</v>
      </c>
      <c r="O333" s="8">
        <f>IFERROR(N333/N444, "NA")</f>
        <v>1.6598276257682596E-2</v>
      </c>
      <c r="P333" s="9"/>
      <c r="Q333" s="7">
        <v>3762</v>
      </c>
      <c r="R333" s="8">
        <f>IFERROR(Q333/Q444, "NA")</f>
        <v>1.3152821981309357E-2</v>
      </c>
      <c r="S333" s="9"/>
      <c r="T333" s="7">
        <v>3075</v>
      </c>
      <c r="U333" s="8">
        <f>IFERROR(T333/T444, "NA")</f>
        <v>9.6316397392121559E-3</v>
      </c>
      <c r="V333" s="9"/>
      <c r="W333" s="10">
        <f t="shared" si="82"/>
        <v>-687</v>
      </c>
      <c r="X333" s="8">
        <f>IFERROR(W333/W444, "NA")</f>
        <v>2.0669107446564937E-2</v>
      </c>
      <c r="Y333" s="9"/>
      <c r="Z333" s="7">
        <v>3074.07</v>
      </c>
      <c r="AA333" s="8">
        <f>IFERROR(Z333/Z444, "NA")</f>
        <v>1.0210029880430122E-2</v>
      </c>
      <c r="AB333" s="9"/>
      <c r="AC333" s="10">
        <f t="shared" si="83"/>
        <v>-687.92999999999984</v>
      </c>
      <c r="AD333" s="8">
        <f>IFERROR(AC333/AC444, "NA")</f>
        <v>4.5676007298281515E-2</v>
      </c>
    </row>
    <row r="334" spans="1:30" ht="16.5" customHeight="1" x14ac:dyDescent="0.45">
      <c r="A334" s="6" t="s">
        <v>305</v>
      </c>
      <c r="B334" s="7">
        <v>2083.08</v>
      </c>
      <c r="C334" s="8">
        <f>IFERROR(B334/B444, "NA")</f>
        <v>1.5155749356087281E-2</v>
      </c>
      <c r="D334" s="9"/>
      <c r="E334" s="7">
        <v>2083.08</v>
      </c>
      <c r="F334" s="8">
        <f>IFERROR(E334/E444, "NA")</f>
        <v>1.2805936709995341E-2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2022.4</v>
      </c>
      <c r="L334" s="8">
        <f>IFERROR(K334/K444, "NA")</f>
        <v>1.3370341536066074E-2</v>
      </c>
      <c r="M334" s="9"/>
      <c r="N334" s="10">
        <f t="shared" si="81"/>
        <v>-60.679999999999836</v>
      </c>
      <c r="O334" s="8">
        <f>IFERROR(N334/N444, "NA")</f>
        <v>4.3922349802284133E-3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340</v>
      </c>
      <c r="C338" s="8">
        <f>IFERROR(B338/B444, "NA")</f>
        <v>2.4737190991559015E-3</v>
      </c>
      <c r="D338" s="9"/>
      <c r="E338" s="7">
        <v>650.66</v>
      </c>
      <c r="F338" s="8">
        <f>IFERROR(E338/E444, "NA")</f>
        <v>3.9999955737300384E-3</v>
      </c>
      <c r="G338" s="9"/>
      <c r="H338" s="10">
        <f t="shared" si="84"/>
        <v>310.65999999999997</v>
      </c>
      <c r="I338" s="8">
        <f>IFERROR(H338/H444, "NA")</f>
        <v>-1.231785017709933E-2</v>
      </c>
      <c r="J338" s="9"/>
      <c r="K338" s="7">
        <v>346.73</v>
      </c>
      <c r="L338" s="8">
        <f>IFERROR(K338/K444, "NA")</f>
        <v>2.292275771756423E-3</v>
      </c>
      <c r="M338" s="9"/>
      <c r="N338" s="10">
        <f t="shared" si="85"/>
        <v>6.7300000000000182</v>
      </c>
      <c r="O338" s="8">
        <f>IFERROR(N338/N444, "NA")</f>
        <v>-4.8714142084603469E-4</v>
      </c>
      <c r="P338" s="9"/>
      <c r="Q338" s="7">
        <v>901.8</v>
      </c>
      <c r="R338" s="8">
        <f>IFERROR(Q338/Q444, "NA")</f>
        <v>3.1529013457588457E-3</v>
      </c>
      <c r="S338" s="9"/>
      <c r="T338" s="7">
        <v>1277.04</v>
      </c>
      <c r="U338" s="8">
        <f>IFERROR(T338/T444, "NA")</f>
        <v>3.9999964918905661E-3</v>
      </c>
      <c r="V338" s="9"/>
      <c r="W338" s="10">
        <f t="shared" si="86"/>
        <v>375.24</v>
      </c>
      <c r="X338" s="8">
        <f>IFERROR(W338/W444, "NA")</f>
        <v>-1.1289484538935992E-2</v>
      </c>
      <c r="Y338" s="9"/>
      <c r="Z338" s="7">
        <v>1225.8399999999999</v>
      </c>
      <c r="AA338" s="8">
        <f>IFERROR(Z338/Z444, "NA")</f>
        <v>4.0714307184372698E-3</v>
      </c>
      <c r="AB338" s="9"/>
      <c r="AC338" s="10">
        <f t="shared" si="87"/>
        <v>324.03999999999996</v>
      </c>
      <c r="AD338" s="8">
        <f>IFERROR(AC338/AC444, "NA")</f>
        <v>-2.1515057353124801E-2</v>
      </c>
    </row>
    <row r="339" spans="1:30" ht="16.5" customHeight="1" x14ac:dyDescent="0.45">
      <c r="A339" s="12" t="s">
        <v>309</v>
      </c>
      <c r="B339" s="7">
        <v>425.72</v>
      </c>
      <c r="C339" s="8">
        <f>IFERROR(B339/B444, "NA")</f>
        <v>3.0973873379195604E-3</v>
      </c>
      <c r="D339" s="9"/>
      <c r="E339" s="7">
        <v>488</v>
      </c>
      <c r="F339" s="8">
        <f>IFERROR(E339/E444, "NA")</f>
        <v>3.0000274182833721E-3</v>
      </c>
      <c r="G339" s="9"/>
      <c r="H339" s="10">
        <f t="shared" si="84"/>
        <v>62.279999999999973</v>
      </c>
      <c r="I339" s="8">
        <f>IFERROR(H339/H444, "NA")</f>
        <v>-2.4694383217335543E-3</v>
      </c>
      <c r="J339" s="9"/>
      <c r="K339" s="7">
        <v>304.43</v>
      </c>
      <c r="L339" s="8">
        <f>IFERROR(K339/K444, "NA")</f>
        <v>2.0126251353958634E-3</v>
      </c>
      <c r="M339" s="9"/>
      <c r="N339" s="10">
        <f t="shared" si="85"/>
        <v>-121.29000000000002</v>
      </c>
      <c r="O339" s="8">
        <f>IFERROR(N339/N444, "NA")</f>
        <v>8.7794031106115007E-3</v>
      </c>
      <c r="P339" s="9"/>
      <c r="Q339" s="7">
        <v>1222.97</v>
      </c>
      <c r="R339" s="8">
        <f>IFERROR(Q339/Q444, "NA")</f>
        <v>4.2757859379271412E-3</v>
      </c>
      <c r="S339" s="9"/>
      <c r="T339" s="7">
        <v>957.78</v>
      </c>
      <c r="U339" s="8">
        <f>IFERROR(T339/T444, "NA")</f>
        <v>2.9999973689179248E-3</v>
      </c>
      <c r="V339" s="9"/>
      <c r="W339" s="10">
        <f t="shared" si="86"/>
        <v>-265.19000000000005</v>
      </c>
      <c r="X339" s="8">
        <f>IFERROR(W339/W444, "NA")</f>
        <v>7.9785161626703873E-3</v>
      </c>
      <c r="Y339" s="9"/>
      <c r="Z339" s="7">
        <v>941.66</v>
      </c>
      <c r="AA339" s="8">
        <f>IFERROR(Z339/Z444, "NA")</f>
        <v>3.1275724811750632E-3</v>
      </c>
      <c r="AB339" s="9"/>
      <c r="AC339" s="10">
        <f t="shared" si="87"/>
        <v>-281.31000000000006</v>
      </c>
      <c r="AD339" s="8">
        <f>IFERROR(AC339/AC444, "NA")</f>
        <v>1.8677943414416552E-2</v>
      </c>
    </row>
    <row r="340" spans="1:30" ht="16.5" customHeight="1" x14ac:dyDescent="0.45">
      <c r="A340" s="12" t="s">
        <v>310</v>
      </c>
      <c r="B340" s="7">
        <v>-1044.1600000000001</v>
      </c>
      <c r="C340" s="8">
        <f>IFERROR(B340/B444, "NA")</f>
        <v>-7.5969368663959605E-3</v>
      </c>
      <c r="D340" s="9"/>
      <c r="E340" s="7">
        <v>488</v>
      </c>
      <c r="F340" s="8">
        <f>IFERROR(E340/E444, "NA")</f>
        <v>3.0000274182833721E-3</v>
      </c>
      <c r="G340" s="9"/>
      <c r="H340" s="10">
        <f t="shared" si="84"/>
        <v>1532.16</v>
      </c>
      <c r="I340" s="8">
        <f>IFERROR(H340/H444, "NA")</f>
        <v>-6.0751037556635912E-2</v>
      </c>
      <c r="J340" s="9"/>
      <c r="K340" s="7">
        <v>410</v>
      </c>
      <c r="L340" s="8">
        <f>IFERROR(K340/K444, "NA")</f>
        <v>2.7105617235893445E-3</v>
      </c>
      <c r="M340" s="9"/>
      <c r="N340" s="10">
        <f t="shared" si="85"/>
        <v>1454.16</v>
      </c>
      <c r="O340" s="8">
        <f>IFERROR(N340/N444, "NA")</f>
        <v>-0.10525729101596848</v>
      </c>
      <c r="P340" s="9"/>
      <c r="Q340" s="7">
        <v>-139.16</v>
      </c>
      <c r="R340" s="8">
        <f>IFERROR(Q340/Q444, "NA")</f>
        <v>-4.865355414457762E-4</v>
      </c>
      <c r="S340" s="9"/>
      <c r="T340" s="7">
        <v>957.78</v>
      </c>
      <c r="U340" s="8">
        <f>IFERROR(T340/T444, "NA")</f>
        <v>2.9999973689179248E-3</v>
      </c>
      <c r="V340" s="9"/>
      <c r="W340" s="10">
        <f t="shared" si="86"/>
        <v>1096.94</v>
      </c>
      <c r="X340" s="8">
        <f>IFERROR(W340/W444, "NA")</f>
        <v>-3.3002577470793222E-2</v>
      </c>
      <c r="Y340" s="9"/>
      <c r="Z340" s="7">
        <v>1329.18</v>
      </c>
      <c r="AA340" s="8">
        <f>IFERROR(Z340/Z444, "NA")</f>
        <v>4.4146579344224784E-3</v>
      </c>
      <c r="AB340" s="9"/>
      <c r="AC340" s="10">
        <f t="shared" si="87"/>
        <v>1468.3400000000001</v>
      </c>
      <c r="AD340" s="8">
        <f>IFERROR(AC340/AC444, "NA")</f>
        <v>-9.749234450650314E-2</v>
      </c>
    </row>
    <row r="341" spans="1:30" ht="16.5" customHeight="1" x14ac:dyDescent="0.45">
      <c r="A341" s="12" t="s">
        <v>311</v>
      </c>
      <c r="B341" s="7">
        <v>489.54</v>
      </c>
      <c r="C341" s="8">
        <f>IFERROR(B341/B444, "NA")</f>
        <v>3.5617189641199416E-3</v>
      </c>
      <c r="D341" s="9"/>
      <c r="E341" s="7">
        <v>650.66</v>
      </c>
      <c r="F341" s="8">
        <f>IFERROR(E341/E444, "NA")</f>
        <v>3.9999955737300384E-3</v>
      </c>
      <c r="G341" s="9"/>
      <c r="H341" s="10">
        <f t="shared" si="84"/>
        <v>161.11999999999995</v>
      </c>
      <c r="I341" s="8">
        <f>IFERROR(H341/H444, "NA")</f>
        <v>-6.3885019652811549E-3</v>
      </c>
      <c r="J341" s="9"/>
      <c r="K341" s="7">
        <v>471.16</v>
      </c>
      <c r="L341" s="8">
        <f>IFERROR(K341/K444, "NA")</f>
        <v>3.1148981992350135E-3</v>
      </c>
      <c r="M341" s="9"/>
      <c r="N341" s="10">
        <f t="shared" si="85"/>
        <v>-18.379999999999995</v>
      </c>
      <c r="O341" s="8">
        <f>IFERROR(N341/N444, "NA")</f>
        <v>1.3304100022511279E-3</v>
      </c>
      <c r="P341" s="9"/>
      <c r="Q341" s="7">
        <v>1434.4</v>
      </c>
      <c r="R341" s="8">
        <f>IFERROR(Q341/Q444, "NA")</f>
        <v>5.0149941121717554E-3</v>
      </c>
      <c r="S341" s="9"/>
      <c r="T341" s="7">
        <v>1277.04</v>
      </c>
      <c r="U341" s="8">
        <f>IFERROR(T341/T444, "NA")</f>
        <v>3.9999964918905661E-3</v>
      </c>
      <c r="V341" s="9"/>
      <c r="W341" s="10">
        <f t="shared" si="86"/>
        <v>-157.36000000000013</v>
      </c>
      <c r="X341" s="8">
        <f>IFERROR(W341/W444, "NA")</f>
        <v>4.734338788633859E-3</v>
      </c>
      <c r="Y341" s="9"/>
      <c r="Z341" s="7">
        <v>1413.06</v>
      </c>
      <c r="AA341" s="8">
        <f>IFERROR(Z341/Z444, "NA")</f>
        <v>4.6932518852337733E-3</v>
      </c>
      <c r="AB341" s="9"/>
      <c r="AC341" s="10">
        <f t="shared" si="87"/>
        <v>-21.340000000000146</v>
      </c>
      <c r="AD341" s="8">
        <f>IFERROR(AC341/AC444, "NA")</f>
        <v>1.4168970618309048E-3</v>
      </c>
    </row>
    <row r="342" spans="1:30" ht="16.5" customHeight="1" x14ac:dyDescent="0.45">
      <c r="A342" s="13" t="s">
        <v>312</v>
      </c>
      <c r="B342" s="14">
        <f>IFERROR(B337+B338+B339+B340+B341, "NA")</f>
        <v>211.09999999999997</v>
      </c>
      <c r="C342" s="15">
        <f>IFERROR(B342/B444, "NA")</f>
        <v>1.5358885347994435E-3</v>
      </c>
      <c r="D342" s="2"/>
      <c r="E342" s="14">
        <f>IFERROR(E337+E338+E339+E340+E341, "NA")</f>
        <v>2277.3199999999997</v>
      </c>
      <c r="F342" s="15">
        <f>IFERROR(E342/E444, "NA")</f>
        <v>1.4000045984026819E-2</v>
      </c>
      <c r="G342" s="2"/>
      <c r="H342" s="14">
        <f t="shared" si="84"/>
        <v>2066.2199999999998</v>
      </c>
      <c r="I342" s="15">
        <f>IFERROR(H342/H444, "NA")</f>
        <v>-8.1926828020749937E-2</v>
      </c>
      <c r="J342" s="2"/>
      <c r="K342" s="14">
        <f>IFERROR(K337+K338+K339+K340+K341, "NA")</f>
        <v>1532.3200000000002</v>
      </c>
      <c r="L342" s="15">
        <f>IFERROR(K342/K444, "NA")</f>
        <v>1.0130360829976644E-2</v>
      </c>
      <c r="M342" s="2"/>
      <c r="N342" s="14">
        <f t="shared" si="85"/>
        <v>1321.2200000000003</v>
      </c>
      <c r="O342" s="15">
        <f>IFERROR(N342/N444, "NA")</f>
        <v>-9.5634619323951897E-2</v>
      </c>
      <c r="P342" s="2"/>
      <c r="Q342" s="14">
        <f>IFERROR(Q337+Q338+Q339+Q340+Q341, "NA")</f>
        <v>3420.01</v>
      </c>
      <c r="R342" s="15">
        <f>IFERROR(Q342/Q444, "NA")</f>
        <v>1.1957145854411965E-2</v>
      </c>
      <c r="S342" s="2"/>
      <c r="T342" s="14">
        <f>IFERROR(T337+T338+T339+T340+T341, "NA")</f>
        <v>4469.6399999999994</v>
      </c>
      <c r="U342" s="15">
        <f>IFERROR(T342/T444, "NA")</f>
        <v>1.399998772161698E-2</v>
      </c>
      <c r="V342" s="2"/>
      <c r="W342" s="14">
        <f t="shared" si="86"/>
        <v>1049.6299999999992</v>
      </c>
      <c r="X342" s="15">
        <f>IFERROR(W342/W444, "NA")</f>
        <v>-3.1579207058424943E-2</v>
      </c>
      <c r="Y342" s="2"/>
      <c r="Z342" s="14">
        <f>IFERROR(Z337+Z338+Z339+Z340+Z341, "NA")</f>
        <v>4909.74</v>
      </c>
      <c r="AA342" s="15">
        <f>IFERROR(Z342/Z444, "NA")</f>
        <v>1.6306913019268586E-2</v>
      </c>
      <c r="AB342" s="2"/>
      <c r="AC342" s="14">
        <f t="shared" si="87"/>
        <v>1489.7299999999996</v>
      </c>
      <c r="AD342" s="15">
        <f>IFERROR(AC342/AC444, "NA")</f>
        <v>-9.8912561383380448E-2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19380.66</v>
      </c>
      <c r="C343" s="15">
        <f>IFERROR(B343/B444, "NA")</f>
        <v>0.14100679057719651</v>
      </c>
      <c r="D343" s="2"/>
      <c r="E343" s="14">
        <f>IFERROR(E328+E329+E330+E331+E332+E333+E334+E335+E337+E338+E339+E340+E341, "NA")</f>
        <v>21217.879999999997</v>
      </c>
      <c r="F343" s="15">
        <f>IFERROR(E343/E444, "NA")</f>
        <v>0.13043897901198032</v>
      </c>
      <c r="G343" s="2"/>
      <c r="H343" s="14">
        <f t="shared" si="84"/>
        <v>1837.2199999999975</v>
      </c>
      <c r="I343" s="15">
        <f>IFERROR(H343/H444, "NA")</f>
        <v>-7.2846844467811769E-2</v>
      </c>
      <c r="J343" s="2"/>
      <c r="K343" s="14">
        <f>IFERROR(K328+K329+K330+K331+K332+K333+K334+K335+K337+K338+K339+K340+K341, "NA")</f>
        <v>20017.91</v>
      </c>
      <c r="L343" s="15">
        <f>IFERROR(K343/K444, "NA")</f>
        <v>0.132340928371357</v>
      </c>
      <c r="M343" s="2"/>
      <c r="N343" s="14">
        <f t="shared" si="85"/>
        <v>637.25</v>
      </c>
      <c r="O343" s="15">
        <f>IFERROR(N343/N444, "NA")</f>
        <v>-4.6126429485012596E-2</v>
      </c>
      <c r="P343" s="2"/>
      <c r="Q343" s="14">
        <f>IFERROR(Q328+Q329+Q330+Q331+Q332+Q333+Q334+Q335+Q337+Q338+Q339+Q340+Q341, "NA")</f>
        <v>54679.450000000004</v>
      </c>
      <c r="R343" s="15">
        <f>IFERROR(Q343/Q444, "NA")</f>
        <v>0.19117200209620042</v>
      </c>
      <c r="S343" s="2"/>
      <c r="T343" s="14">
        <f>IFERROR(T328+T329+T330+T331+T332+T333+T334+T335+T337+T338+T339+T340+T341, "NA")</f>
        <v>55042.080000000002</v>
      </c>
      <c r="U343" s="15">
        <f>IFERROR(T343/T444, "NA")</f>
        <v>0.17240503579086003</v>
      </c>
      <c r="V343" s="2"/>
      <c r="W343" s="14">
        <f t="shared" si="86"/>
        <v>362.62999999999738</v>
      </c>
      <c r="X343" s="15">
        <f>IFERROR(W343/W444, "NA")</f>
        <v>-1.0910099611859955E-2</v>
      </c>
      <c r="Y343" s="2"/>
      <c r="Z343" s="14">
        <f>IFERROR(Z328+Z329+Z330+Z331+Z332+Z333+Z334+Z335+Z337+Z338+Z339+Z340+Z341, "NA")</f>
        <v>54299.31</v>
      </c>
      <c r="AA343" s="15">
        <f>IFERROR(Z343/Z444, "NA")</f>
        <v>0.18034643895120736</v>
      </c>
      <c r="AB343" s="2"/>
      <c r="AC343" s="14">
        <f t="shared" si="87"/>
        <v>-380.14000000000669</v>
      </c>
      <c r="AD343" s="15">
        <f>IFERROR(AC343/AC444, "NA")</f>
        <v>2.5239889835258014E-2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19380.66</v>
      </c>
      <c r="C344" s="15">
        <f>IFERROR(B344/B444, "NA")</f>
        <v>0.14100679057719651</v>
      </c>
      <c r="D344" s="2"/>
      <c r="E344" s="14">
        <f>IFERROR(E328+E329+E330+E331+E332+E333+E334+E335+E337+E338+E339+E340+E341, "NA")</f>
        <v>21217.879999999997</v>
      </c>
      <c r="F344" s="15">
        <f>IFERROR(E344/E444, "NA")</f>
        <v>0.13043897901198032</v>
      </c>
      <c r="G344" s="2"/>
      <c r="H344" s="14">
        <f t="shared" si="84"/>
        <v>1837.2199999999975</v>
      </c>
      <c r="I344" s="15">
        <f>IFERROR(H344/H444, "NA")</f>
        <v>-7.2846844467811769E-2</v>
      </c>
      <c r="J344" s="2"/>
      <c r="K344" s="14">
        <f>IFERROR(K328+K329+K330+K331+K332+K333+K334+K335+K337+K338+K339+K340+K341, "NA")</f>
        <v>20017.91</v>
      </c>
      <c r="L344" s="15">
        <f>IFERROR(K344/K444, "NA")</f>
        <v>0.132340928371357</v>
      </c>
      <c r="M344" s="2"/>
      <c r="N344" s="14">
        <f t="shared" si="85"/>
        <v>637.25</v>
      </c>
      <c r="O344" s="15">
        <f>IFERROR(N344/N444, "NA")</f>
        <v>-4.6126429485012596E-2</v>
      </c>
      <c r="P344" s="2"/>
      <c r="Q344" s="14">
        <f>IFERROR(Q328+Q329+Q330+Q331+Q332+Q333+Q334+Q335+Q337+Q338+Q339+Q340+Q341, "NA")</f>
        <v>54679.450000000004</v>
      </c>
      <c r="R344" s="15">
        <f>IFERROR(Q344/Q444, "NA")</f>
        <v>0.19117200209620042</v>
      </c>
      <c r="S344" s="2"/>
      <c r="T344" s="14">
        <f>IFERROR(T328+T329+T330+T331+T332+T333+T334+T335+T337+T338+T339+T340+T341, "NA")</f>
        <v>55042.080000000002</v>
      </c>
      <c r="U344" s="15">
        <f>IFERROR(T344/T444, "NA")</f>
        <v>0.17240503579086003</v>
      </c>
      <c r="V344" s="2"/>
      <c r="W344" s="14">
        <f t="shared" si="86"/>
        <v>362.62999999999738</v>
      </c>
      <c r="X344" s="15">
        <f>IFERROR(W344/W444, "NA")</f>
        <v>-1.0910099611859955E-2</v>
      </c>
      <c r="Y344" s="2"/>
      <c r="Z344" s="14">
        <f>IFERROR(Z328+Z329+Z330+Z331+Z332+Z333+Z334+Z335+Z337+Z338+Z339+Z340+Z341, "NA")</f>
        <v>54299.31</v>
      </c>
      <c r="AA344" s="15">
        <f>IFERROR(Z344/Z444, "NA")</f>
        <v>0.18034643895120736</v>
      </c>
      <c r="AB344" s="2"/>
      <c r="AC344" s="14">
        <f t="shared" si="87"/>
        <v>-380.14000000000669</v>
      </c>
      <c r="AD344" s="15">
        <f>IFERROR(AC344/AC444, "NA")</f>
        <v>2.5239889835258014E-2</v>
      </c>
    </row>
    <row r="345" spans="1:30" ht="16.5" customHeight="1" x14ac:dyDescent="0.45">
      <c r="A345" s="22" t="s">
        <v>315</v>
      </c>
      <c r="B345" s="23">
        <f>IFERROR(B198-B325-B344, "NA")</f>
        <v>17997.359999999953</v>
      </c>
      <c r="C345" s="24">
        <f>IFERROR(B345/B444, "NA")</f>
        <v>0.13094239166583629</v>
      </c>
      <c r="D345" s="25"/>
      <c r="E345" s="23">
        <f>IFERROR(E198-E325-E344, "NA")</f>
        <v>24101.889999999992</v>
      </c>
      <c r="F345" s="24">
        <f>IFERROR(E345/E444, "NA")</f>
        <v>0.1481687107222332</v>
      </c>
      <c r="G345" s="25"/>
      <c r="H345" s="23">
        <f>IFERROR(B345-E345, "NA")</f>
        <v>-6104.5300000000389</v>
      </c>
      <c r="I345" s="24">
        <f>IFERROR(H345/H444, "NA")</f>
        <v>0.24204817466557862</v>
      </c>
      <c r="J345" s="25"/>
      <c r="K345" s="23">
        <f>IFERROR(K198-K325-K344, "NA")</f>
        <v>15124.500000000033</v>
      </c>
      <c r="L345" s="24">
        <f>IFERROR(K345/K444, "NA")</f>
        <v>9.9989977532749089E-2</v>
      </c>
      <c r="M345" s="25"/>
      <c r="N345" s="23">
        <f>IFERROR(B345-K345, "NA")</f>
        <v>2872.8599999999205</v>
      </c>
      <c r="O345" s="24">
        <f>IFERROR(N345/N444, "NA")</f>
        <v>-0.20794786066741405</v>
      </c>
      <c r="P345" s="25"/>
      <c r="Q345" s="23">
        <f>IFERROR(Q198-Q325-Q344, "NA")</f>
        <v>-1927.8100000000923</v>
      </c>
      <c r="R345" s="24">
        <f>IFERROR(Q345/Q444, "NA")</f>
        <v>-6.7400695757015424E-3</v>
      </c>
      <c r="S345" s="25"/>
      <c r="T345" s="23">
        <f>IFERROR(T198-T325-T344, "NA")</f>
        <v>16667.26999999996</v>
      </c>
      <c r="U345" s="24">
        <f>IFERROR(T345/T444, "NA")</f>
        <v>5.2205899211765272E-2</v>
      </c>
      <c r="V345" s="25"/>
      <c r="W345" s="23">
        <f>IFERROR(Q345-T345, "NA")</f>
        <v>-18595.080000000053</v>
      </c>
      <c r="X345" s="24">
        <f>IFERROR(W345/W444, "NA")</f>
        <v>0.55945226564406381</v>
      </c>
      <c r="Y345" s="25"/>
      <c r="Z345" s="23">
        <f>IFERROR(Z198-Z325-Z344, "NA")</f>
        <v>-5566.7499999998545</v>
      </c>
      <c r="AA345" s="24">
        <f>IFERROR(Z345/Z444, "NA")</f>
        <v>-1.8489066233652093E-2</v>
      </c>
      <c r="AB345" s="25"/>
      <c r="AC345" s="23">
        <f>IFERROR(Q345-Z345, "NA")</f>
        <v>3638.9399999997622</v>
      </c>
      <c r="AD345" s="24">
        <f>IFERROR(AC345/AC444, "NA")</f>
        <v>-0.24161215530358862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17997.359999999953</v>
      </c>
      <c r="C404" s="24">
        <f>IFERROR(B404/B444, "NA")</f>
        <v>0.13094239166583629</v>
      </c>
      <c r="D404" s="25"/>
      <c r="E404" s="23">
        <f>IFERROR(E345-E403, "NA")</f>
        <v>24101.889999999992</v>
      </c>
      <c r="F404" s="24">
        <f>IFERROR(E404/E444, "NA")</f>
        <v>0.1481687107222332</v>
      </c>
      <c r="G404" s="25"/>
      <c r="H404" s="23">
        <f>IFERROR(B404-E404, "NA")</f>
        <v>-6104.5300000000389</v>
      </c>
      <c r="I404" s="24">
        <f>IFERROR(H404/H444, "NA")</f>
        <v>0.24204817466557862</v>
      </c>
      <c r="J404" s="25"/>
      <c r="K404" s="23">
        <f>IFERROR(K345-K403, "NA")</f>
        <v>15124.500000000033</v>
      </c>
      <c r="L404" s="24">
        <f>IFERROR(K404/K444, "NA")</f>
        <v>9.9989977532749089E-2</v>
      </c>
      <c r="M404" s="25"/>
      <c r="N404" s="23">
        <f>IFERROR(B404-K404, "NA")</f>
        <v>2872.8599999999205</v>
      </c>
      <c r="O404" s="24">
        <f>IFERROR(N404/N444, "NA")</f>
        <v>-0.20794786066741405</v>
      </c>
      <c r="P404" s="25"/>
      <c r="Q404" s="23">
        <f>IFERROR(Q345-Q403, "NA")</f>
        <v>-1927.8100000000923</v>
      </c>
      <c r="R404" s="24">
        <f>IFERROR(Q404/Q444, "NA")</f>
        <v>-6.7400695757015424E-3</v>
      </c>
      <c r="S404" s="25"/>
      <c r="T404" s="23">
        <f>IFERROR(T345-T403, "NA")</f>
        <v>16667.26999999996</v>
      </c>
      <c r="U404" s="24">
        <f>IFERROR(T404/T444, "NA")</f>
        <v>5.2205899211765272E-2</v>
      </c>
      <c r="V404" s="25"/>
      <c r="W404" s="23">
        <f>IFERROR(Q404-T404, "NA")</f>
        <v>-18595.080000000053</v>
      </c>
      <c r="X404" s="24">
        <f>IFERROR(W404/W444, "NA")</f>
        <v>0.55945226564406381</v>
      </c>
      <c r="Y404" s="25"/>
      <c r="Z404" s="23">
        <f>IFERROR(Z345-Z403, "NA")</f>
        <v>-5566.7499999998545</v>
      </c>
      <c r="AA404" s="24">
        <f>IFERROR(Z404/Z444, "NA")</f>
        <v>-1.8489066233652093E-2</v>
      </c>
      <c r="AB404" s="25"/>
      <c r="AC404" s="23">
        <f>IFERROR(Q404-Z404, "NA")</f>
        <v>3638.9399999997622</v>
      </c>
      <c r="AD404" s="24">
        <f>IFERROR(AC404/AC444, "NA")</f>
        <v>-0.24161215530358862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8497.7199999999993</v>
      </c>
      <c r="F407" s="8">
        <f>IFERROR(E407/E444, "NA")</f>
        <v>5.224055941167003E-2</v>
      </c>
      <c r="G407" s="9"/>
      <c r="H407" s="10">
        <f t="shared" ref="H407:H429" si="100">IFERROR(-(B407-E407), "NA")</f>
        <v>8497.7199999999993</v>
      </c>
      <c r="I407" s="8">
        <f>IFERROR(H407/H444, "NA")</f>
        <v>-0.33693955387542818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25190.97</v>
      </c>
      <c r="U407" s="8">
        <f>IFERROR(T407/T444, "NA")</f>
        <v>7.8904178120748375E-2</v>
      </c>
      <c r="V407" s="9"/>
      <c r="W407" s="10">
        <f t="shared" ref="W407:W429" si="102">IFERROR(-(Q407-T407), "NA")</f>
        <v>25190.97</v>
      </c>
      <c r="X407" s="8">
        <f>IFERROR(W407/W444, "NA")</f>
        <v>-0.75789645649664328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8506.34</v>
      </c>
      <c r="C410" s="8">
        <f>IFERROR(B410/B444, "NA")</f>
        <v>6.1889105064452388E-2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-8506.34</v>
      </c>
      <c r="I410" s="8">
        <f>IFERROR(H410/H444, "NA")</f>
        <v>0.33728134190261744</v>
      </c>
      <c r="J410" s="9"/>
      <c r="K410" s="7">
        <v>8150.72</v>
      </c>
      <c r="L410" s="8">
        <f>IFERROR(K410/K444, "NA")</f>
        <v>5.3885438174863756E-2</v>
      </c>
      <c r="M410" s="9"/>
      <c r="N410" s="10">
        <f t="shared" si="101"/>
        <v>-355.61999999999989</v>
      </c>
      <c r="O410" s="8">
        <f>IFERROR(N410/N444, "NA")</f>
        <v>2.5741044885775086E-2</v>
      </c>
      <c r="P410" s="9"/>
      <c r="Q410" s="7">
        <v>25522.32</v>
      </c>
      <c r="R410" s="8">
        <f>IFERROR(Q410/Q444, "NA")</f>
        <v>8.9231932884107232E-2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-25522.32</v>
      </c>
      <c r="X410" s="8">
        <f>IFERROR(W410/W444, "NA")</f>
        <v>0.76786546486988816</v>
      </c>
      <c r="Y410" s="9"/>
      <c r="Z410" s="7">
        <v>24154.720000000001</v>
      </c>
      <c r="AA410" s="8">
        <f>IFERROR(Z410/Z444, "NA")</f>
        <v>8.0226023790422166E-2</v>
      </c>
      <c r="AB410" s="9"/>
      <c r="AC410" s="10">
        <f t="shared" si="103"/>
        <v>-1367.5999999999985</v>
      </c>
      <c r="AD410" s="8">
        <f>IFERROR(AC410/AC444, "NA")</f>
        <v>9.0803581150887075E-2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-111.1</v>
      </c>
      <c r="C416" s="8">
        <f>IFERROR(B416/B444, "NA")</f>
        <v>-8.0832409387123719E-4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111.1</v>
      </c>
      <c r="I416" s="8">
        <f>IFERROR(H416/H444, "NA")</f>
        <v>-4.4051797935869942E-3</v>
      </c>
      <c r="J416" s="9"/>
      <c r="K416" s="7">
        <v>-23.13</v>
      </c>
      <c r="L416" s="8">
        <f>IFERROR(K416/K444, "NA")</f>
        <v>-1.5291534796736959E-4</v>
      </c>
      <c r="M416" s="9"/>
      <c r="N416" s="10">
        <f t="shared" si="101"/>
        <v>87.97</v>
      </c>
      <c r="O416" s="8">
        <f>IFERROR(N416/N444, "NA")</f>
        <v>-6.3675825842237077E-3</v>
      </c>
      <c r="P416" s="9"/>
      <c r="Q416" s="7">
        <v>-252.75</v>
      </c>
      <c r="R416" s="8">
        <f>IFERROR(Q416/Q444, "NA")</f>
        <v>-8.8367244970120678E-4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252.75</v>
      </c>
      <c r="X416" s="8">
        <f>IFERROR(W416/W444, "NA")</f>
        <v>-7.6042458618912484E-3</v>
      </c>
      <c r="Y416" s="9"/>
      <c r="Z416" s="7">
        <v>-78.44</v>
      </c>
      <c r="AA416" s="8">
        <f>IFERROR(Z416/Z444, "NA")</f>
        <v>-2.6052586434952317E-4</v>
      </c>
      <c r="AB416" s="9"/>
      <c r="AC416" s="10">
        <f t="shared" si="103"/>
        <v>174.31</v>
      </c>
      <c r="AD416" s="8">
        <f>IFERROR(AC416/AC444, "NA")</f>
        <v>-1.1573539214983287E-2</v>
      </c>
    </row>
    <row r="417" spans="1:30" ht="16.5" customHeight="1" x14ac:dyDescent="0.45">
      <c r="A417" s="6" t="s">
        <v>382</v>
      </c>
      <c r="B417" s="7">
        <v>-94.49</v>
      </c>
      <c r="C417" s="8">
        <f>IFERROR(B417/B444, "NA")</f>
        <v>-6.874756402330622E-4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94.49</v>
      </c>
      <c r="I417" s="8">
        <f>IFERROR(H417/H444, "NA")</f>
        <v>-3.7465836066249781E-3</v>
      </c>
      <c r="J417" s="9"/>
      <c r="K417" s="7">
        <v>-225.67</v>
      </c>
      <c r="L417" s="8">
        <f>IFERROR(K417/K444, "NA")</f>
        <v>-1.4919328394205056E-3</v>
      </c>
      <c r="M417" s="9"/>
      <c r="N417" s="10">
        <f t="shared" si="101"/>
        <v>-131.18</v>
      </c>
      <c r="O417" s="8">
        <f>IFERROR(N417/N444, "NA")</f>
        <v>9.4952766101905877E-3</v>
      </c>
      <c r="P417" s="9"/>
      <c r="Q417" s="7">
        <v>637.65</v>
      </c>
      <c r="R417" s="8">
        <f>IFERROR(Q417/Q444, "NA")</f>
        <v>2.2293718597506409E-3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-637.65</v>
      </c>
      <c r="X417" s="8">
        <f>IFERROR(W417/W444, "NA")</f>
        <v>1.9184361518634833E-2</v>
      </c>
      <c r="Y417" s="9"/>
      <c r="Z417" s="7">
        <v>-199.16</v>
      </c>
      <c r="AA417" s="8">
        <f>IFERROR(Z417/Z444, "NA")</f>
        <v>-6.6147795950855469E-4</v>
      </c>
      <c r="AB417" s="9"/>
      <c r="AC417" s="10">
        <f t="shared" si="103"/>
        <v>-836.81</v>
      </c>
      <c r="AD417" s="8">
        <f>IFERROR(AC417/AC444, "NA")</f>
        <v>5.5561088580633147E-2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8300.75</v>
      </c>
      <c r="C428" s="15">
        <f>IFERROR(B428/B444, "NA")</f>
        <v>6.039330533034809E-2</v>
      </c>
      <c r="D428" s="2"/>
      <c r="E428" s="14">
        <f>IFERROR(E407+E408+E409+E410+E411+E412+E413+E414+E415+E416+E417+E418+E419+E420+E421+E422+E423+E424+E425+E426+E427, "NA")</f>
        <v>8497.7199999999993</v>
      </c>
      <c r="F428" s="15">
        <f>IFERROR(E428/E444, "NA")</f>
        <v>5.224055941167003E-2</v>
      </c>
      <c r="G428" s="2"/>
      <c r="H428" s="14">
        <f t="shared" si="100"/>
        <v>196.96999999999935</v>
      </c>
      <c r="I428" s="15">
        <f>IFERROR(H428/H444, "NA")</f>
        <v>-7.8099753730227492E-3</v>
      </c>
      <c r="J428" s="2"/>
      <c r="K428" s="14">
        <f>IFERROR(K407+K408+K409+K410+K411+K412+K413+K414+K415+K416+K417+K418+K419+K420+K421+K422+K423+K424+K425+K426+K427, "NA")</f>
        <v>7901.92</v>
      </c>
      <c r="L428" s="15">
        <f>IFERROR(K428/K444, "NA")</f>
        <v>5.2240589987475883E-2</v>
      </c>
      <c r="M428" s="2"/>
      <c r="N428" s="14">
        <f t="shared" si="101"/>
        <v>-398.82999999999993</v>
      </c>
      <c r="O428" s="15">
        <f>IFERROR(N428/N444, "NA")</f>
        <v>2.8868738911741968E-2</v>
      </c>
      <c r="P428" s="2"/>
      <c r="Q428" s="14">
        <f>IFERROR(Q407+Q408+Q409+Q410+Q411+Q412+Q413+Q414+Q415+Q416+Q417+Q418+Q419+Q420+Q421+Q422+Q423+Q424+Q425+Q426+Q427, "NA")</f>
        <v>25907.22</v>
      </c>
      <c r="R428" s="15">
        <f>IFERROR(Q428/Q444, "NA")</f>
        <v>9.0577632294156676E-2</v>
      </c>
      <c r="S428" s="2"/>
      <c r="T428" s="14">
        <f>IFERROR(T407+T408+T409+T410+T411+T412+T413+T414+T415+T416+T417+T418+T419+T420+T421+T422+T423+T424+T425+T426+T427, "NA")</f>
        <v>25190.97</v>
      </c>
      <c r="U428" s="15">
        <f>IFERROR(T428/T444, "NA")</f>
        <v>7.8904178120748375E-2</v>
      </c>
      <c r="V428" s="2"/>
      <c r="W428" s="14">
        <f t="shared" si="102"/>
        <v>-716.25</v>
      </c>
      <c r="X428" s="15">
        <f>IFERROR(W428/W444, "NA")</f>
        <v>2.1549124029988553E-2</v>
      </c>
      <c r="Y428" s="2"/>
      <c r="Z428" s="14">
        <f>IFERROR(Z407+Z408+Z409+Z410+Z411+Z412+Z413+Z414+Z415+Z416+Z417+Z418+Z419+Z420+Z421+Z422+Z423+Z424+Z425+Z426+Z427, "NA")</f>
        <v>23877.120000000003</v>
      </c>
      <c r="AA428" s="15">
        <f>IFERROR(Z428/Z444, "NA")</f>
        <v>7.9304019966564096E-2</v>
      </c>
      <c r="AB428" s="2"/>
      <c r="AC428" s="14">
        <f t="shared" si="103"/>
        <v>-2030.0999999999985</v>
      </c>
      <c r="AD428" s="15">
        <f>IFERROR(AC428/AC444, "NA")</f>
        <v>0.13479113051653693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8300.75</v>
      </c>
      <c r="C429" s="15">
        <f>IFERROR(B429/B444, "NA")</f>
        <v>6.039330533034809E-2</v>
      </c>
      <c r="D429" s="2"/>
      <c r="E429" s="14">
        <f>IFERROR(E407+E408+E409+E410+E411+E412+E413+E414+E415+E416+E417+E418+E419+E420+E421+E422+E423+E424+E425+E426+E427, "NA")</f>
        <v>8497.7199999999993</v>
      </c>
      <c r="F429" s="15">
        <f>IFERROR(E429/E444, "NA")</f>
        <v>5.224055941167003E-2</v>
      </c>
      <c r="G429" s="2"/>
      <c r="H429" s="14">
        <f t="shared" si="100"/>
        <v>196.96999999999935</v>
      </c>
      <c r="I429" s="15">
        <f>IFERROR(H429/H444, "NA")</f>
        <v>-7.8099753730227492E-3</v>
      </c>
      <c r="J429" s="2"/>
      <c r="K429" s="14">
        <f>IFERROR(K407+K408+K409+K410+K411+K412+K413+K414+K415+K416+K417+K418+K419+K420+K421+K422+K423+K424+K425+K426+K427, "NA")</f>
        <v>7901.92</v>
      </c>
      <c r="L429" s="15">
        <f>IFERROR(K429/K444, "NA")</f>
        <v>5.2240589987475883E-2</v>
      </c>
      <c r="M429" s="2"/>
      <c r="N429" s="14">
        <f t="shared" si="101"/>
        <v>-398.82999999999993</v>
      </c>
      <c r="O429" s="15">
        <f>IFERROR(N429/N444, "NA")</f>
        <v>2.8868738911741968E-2</v>
      </c>
      <c r="P429" s="2"/>
      <c r="Q429" s="14">
        <f>IFERROR(Q407+Q408+Q409+Q410+Q411+Q412+Q413+Q414+Q415+Q416+Q417+Q418+Q419+Q420+Q421+Q422+Q423+Q424+Q425+Q426+Q427, "NA")</f>
        <v>25907.22</v>
      </c>
      <c r="R429" s="15">
        <f>IFERROR(Q429/Q444, "NA")</f>
        <v>9.0577632294156676E-2</v>
      </c>
      <c r="S429" s="2"/>
      <c r="T429" s="14">
        <f>IFERROR(T407+T408+T409+T410+T411+T412+T413+T414+T415+T416+T417+T418+T419+T420+T421+T422+T423+T424+T425+T426+T427, "NA")</f>
        <v>25190.97</v>
      </c>
      <c r="U429" s="15">
        <f>IFERROR(T429/T444, "NA")</f>
        <v>7.8904178120748375E-2</v>
      </c>
      <c r="V429" s="2"/>
      <c r="W429" s="14">
        <f t="shared" si="102"/>
        <v>-716.25</v>
      </c>
      <c r="X429" s="15">
        <f>IFERROR(W429/W444, "NA")</f>
        <v>2.1549124029988553E-2</v>
      </c>
      <c r="Y429" s="2"/>
      <c r="Z429" s="14">
        <f>IFERROR(Z407+Z408+Z409+Z410+Z411+Z412+Z413+Z414+Z415+Z416+Z417+Z418+Z419+Z420+Z421+Z422+Z423+Z424+Z425+Z426+Z427, "NA")</f>
        <v>23877.120000000003</v>
      </c>
      <c r="AA429" s="15">
        <f>IFERROR(Z429/Z444, "NA")</f>
        <v>7.9304019966564096E-2</v>
      </c>
      <c r="AB429" s="2"/>
      <c r="AC429" s="14">
        <f t="shared" si="103"/>
        <v>-2030.0999999999985</v>
      </c>
      <c r="AD429" s="15">
        <f>IFERROR(AC429/AC444, "NA")</f>
        <v>0.13479113051653693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9696.6099999999533</v>
      </c>
      <c r="C443" s="24">
        <f>IFERROR(B443/B444, "NA")</f>
        <v>7.0549086335488218E-2</v>
      </c>
      <c r="D443" s="25"/>
      <c r="E443" s="23">
        <f>IFERROR(E404-E429-E442, "NA")</f>
        <v>15604.169999999993</v>
      </c>
      <c r="F443" s="24">
        <f>IFERROR(E443/E444, "NA")</f>
        <v>9.5928151310563162E-2</v>
      </c>
      <c r="G443" s="25"/>
      <c r="H443" s="23">
        <f>IFERROR(B443-E443, "NA")</f>
        <v>-5907.5600000000395</v>
      </c>
      <c r="I443" s="24">
        <f>IFERROR(H443/H444, "NA")</f>
        <v>0.23423819929255588</v>
      </c>
      <c r="J443" s="25"/>
      <c r="K443" s="23">
        <f>IFERROR(K404-K429-K442, "NA")</f>
        <v>7222.5800000000327</v>
      </c>
      <c r="L443" s="24">
        <f>IFERROR(K443/K444, "NA")</f>
        <v>4.7749387545273206E-2</v>
      </c>
      <c r="M443" s="25"/>
      <c r="N443" s="23">
        <f>IFERROR(B443-K443, "NA")</f>
        <v>2474.0299999999206</v>
      </c>
      <c r="O443" s="24">
        <f>IFERROR(N443/N444, "NA")</f>
        <v>-0.17907912175567209</v>
      </c>
      <c r="P443" s="25"/>
      <c r="Q443" s="23">
        <f>IFERROR(Q404-Q429-Q442, "NA")</f>
        <v>-27835.030000000093</v>
      </c>
      <c r="R443" s="24">
        <f>IFERROR(Q443/Q444, "NA")</f>
        <v>-9.731770186985822E-2</v>
      </c>
      <c r="S443" s="25"/>
      <c r="T443" s="23">
        <f>IFERROR(T404-T429-T442, "NA")</f>
        <v>-8523.7000000000407</v>
      </c>
      <c r="U443" s="24">
        <f>IFERROR(T443/T444, "NA")</f>
        <v>-2.6698278908983103E-2</v>
      </c>
      <c r="V443" s="25"/>
      <c r="W443" s="23">
        <f>IFERROR(Q443-T443, "NA")</f>
        <v>-19311.330000000053</v>
      </c>
      <c r="X443" s="24">
        <f>IFERROR(W443/W444, "NA")</f>
        <v>0.58100138967405235</v>
      </c>
      <c r="Y443" s="25"/>
      <c r="Z443" s="23">
        <f>IFERROR(Z404-Z429-Z442, "NA")</f>
        <v>-29443.869999999857</v>
      </c>
      <c r="AA443" s="24">
        <f>IFERROR(Z443/Z444, "NA")</f>
        <v>-9.7793086200216178E-2</v>
      </c>
      <c r="AB443" s="25"/>
      <c r="AC443" s="23">
        <f>IFERROR(Q443-Z443, "NA")</f>
        <v>1608.8399999997637</v>
      </c>
      <c r="AD443" s="24">
        <f>IFERROR(AC443/AC444, "NA")</f>
        <v>-0.10682102478705167</v>
      </c>
    </row>
    <row r="444" spans="1:30" ht="15.75" hidden="1" x14ac:dyDescent="0.45">
      <c r="A444" s="26" t="s">
        <v>117</v>
      </c>
      <c r="B444" s="7">
        <v>137444.87</v>
      </c>
      <c r="C444" s="27"/>
      <c r="D444" s="9"/>
      <c r="E444" s="7">
        <v>162665.18</v>
      </c>
      <c r="F444" s="27"/>
      <c r="G444" s="9"/>
      <c r="H444" s="10">
        <f>IFERROR(B444-E444, "NA")</f>
        <v>-25220.309999999998</v>
      </c>
      <c r="I444" s="27"/>
      <c r="J444" s="9"/>
      <c r="K444" s="7">
        <v>151260.16</v>
      </c>
      <c r="L444" s="27"/>
      <c r="M444" s="9"/>
      <c r="N444" s="10">
        <f>IFERROR(B444-K444, "NA")</f>
        <v>-13815.290000000008</v>
      </c>
      <c r="O444" s="27"/>
      <c r="P444" s="9"/>
      <c r="Q444" s="7">
        <v>286022.27</v>
      </c>
      <c r="R444" s="27"/>
      <c r="S444" s="9"/>
      <c r="T444" s="7">
        <v>319260.28000000003</v>
      </c>
      <c r="U444" s="27"/>
      <c r="V444" s="9"/>
      <c r="W444" s="10">
        <f>IFERROR(Q444-T444, "NA")</f>
        <v>-33238.010000000009</v>
      </c>
      <c r="X444" s="27"/>
      <c r="Y444" s="9"/>
      <c r="Z444" s="7">
        <v>301083.34999999998</v>
      </c>
      <c r="AA444" s="27"/>
      <c r="AB444" s="9"/>
      <c r="AC444" s="10">
        <f>IFERROR(Q444-Z444, "NA")</f>
        <v>-15061.079999999958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75864.91</v>
      </c>
      <c r="F10" s="8">
        <f>IFERROR(E10/E444, "NA")</f>
        <v>0.47800000252026925</v>
      </c>
      <c r="G10" s="9"/>
      <c r="H10" s="10">
        <f t="shared" ref="H10:H19" si="0">IFERROR(B10-E10, "NA")</f>
        <v>-75864.91</v>
      </c>
      <c r="I10" s="8">
        <f>IFERROR(H10/H444, "NA")</f>
        <v>2.4874833845159086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170074.19</v>
      </c>
      <c r="U10" s="8">
        <f>IFERROR(T10/T444, "NA")</f>
        <v>0.47799997953928308</v>
      </c>
      <c r="V10" s="9"/>
      <c r="W10" s="10">
        <f t="shared" ref="W10:W19" si="2">IFERROR(Q10-T10, "NA")</f>
        <v>-170074.19</v>
      </c>
      <c r="X10" s="8">
        <f>IFERROR(W10/W444, "NA")</f>
        <v>2.9886349618271795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54817.59</v>
      </c>
      <c r="C11" s="8">
        <f>IFERROR(B11/B444, "NA")</f>
        <v>0.42754581500662875</v>
      </c>
      <c r="D11" s="9"/>
      <c r="E11" s="7">
        <v>0</v>
      </c>
      <c r="F11" s="8">
        <f>IFERROR(E11/E444, "NA")</f>
        <v>0</v>
      </c>
      <c r="G11" s="9"/>
      <c r="H11" s="10">
        <f t="shared" si="0"/>
        <v>54817.59</v>
      </c>
      <c r="I11" s="8">
        <f>IFERROR(H11/H444, "NA")</f>
        <v>-1.7973769995140758</v>
      </c>
      <c r="J11" s="9"/>
      <c r="K11" s="7">
        <v>60012.55</v>
      </c>
      <c r="L11" s="8">
        <f>IFERROR(K11/K444, "NA")</f>
        <v>0.40950336333250748</v>
      </c>
      <c r="M11" s="9"/>
      <c r="N11" s="10">
        <f t="shared" si="1"/>
        <v>-5194.9600000000064</v>
      </c>
      <c r="O11" s="8">
        <f>IFERROR(N11/N444, "NA")</f>
        <v>0.28333492409347155</v>
      </c>
      <c r="P11" s="9"/>
      <c r="Q11" s="7">
        <v>133588.45000000001</v>
      </c>
      <c r="R11" s="8">
        <f>IFERROR(Q11/Q444, "NA")</f>
        <v>0.44693840462249207</v>
      </c>
      <c r="S11" s="9"/>
      <c r="T11" s="7">
        <v>0</v>
      </c>
      <c r="U11" s="8">
        <f>IFERROR(T11/T444, "NA")</f>
        <v>0</v>
      </c>
      <c r="V11" s="9"/>
      <c r="W11" s="10">
        <f t="shared" si="2"/>
        <v>133588.45000000001</v>
      </c>
      <c r="X11" s="8">
        <f>IFERROR(W11/W444, "NA")</f>
        <v>-2.3474879531474007</v>
      </c>
      <c r="Y11" s="9"/>
      <c r="Z11" s="7">
        <v>144288.01999999999</v>
      </c>
      <c r="AA11" s="8">
        <f>IFERROR(Z11/Z444, "NA")</f>
        <v>0.42897189079187259</v>
      </c>
      <c r="AB11" s="9"/>
      <c r="AC11" s="10">
        <f t="shared" si="3"/>
        <v>-10699.569999999978</v>
      </c>
      <c r="AD11" s="8">
        <f>IFERROR(AC11/AC444, "NA")</f>
        <v>0.2856191390666068</v>
      </c>
    </row>
    <row r="12" spans="1:30" ht="16.5" customHeight="1" x14ac:dyDescent="0.45">
      <c r="A12" s="12" t="s">
        <v>14</v>
      </c>
      <c r="B12" s="7">
        <v>5919.35</v>
      </c>
      <c r="C12" s="8">
        <f>IFERROR(B12/B444, "NA")</f>
        <v>4.6167540748498576E-2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5919.35</v>
      </c>
      <c r="I12" s="8">
        <f>IFERROR(H12/H444, "NA")</f>
        <v>-0.19408557621875835</v>
      </c>
      <c r="J12" s="9"/>
      <c r="K12" s="7">
        <v>8853.65</v>
      </c>
      <c r="L12" s="8">
        <f>IFERROR(K12/K444, "NA")</f>
        <v>6.0414020946766213E-2</v>
      </c>
      <c r="M12" s="9"/>
      <c r="N12" s="10">
        <f t="shared" si="1"/>
        <v>-2934.2999999999993</v>
      </c>
      <c r="O12" s="8">
        <f>IFERROR(N12/N444, "NA")</f>
        <v>0.16003774192052919</v>
      </c>
      <c r="P12" s="9"/>
      <c r="Q12" s="7">
        <v>14066.35</v>
      </c>
      <c r="R12" s="8">
        <f>IFERROR(Q12/Q444, "NA")</f>
        <v>4.7060895068859555E-2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14066.35</v>
      </c>
      <c r="X12" s="8">
        <f>IFERROR(W12/W444, "NA")</f>
        <v>-0.24718145296060351</v>
      </c>
      <c r="Y12" s="9"/>
      <c r="Z12" s="7">
        <v>17754.75</v>
      </c>
      <c r="AA12" s="8">
        <f>IFERROR(Z12/Z444, "NA")</f>
        <v>5.2785315634915501E-2</v>
      </c>
      <c r="AB12" s="9"/>
      <c r="AC12" s="10">
        <f t="shared" si="3"/>
        <v>-3688.3999999999996</v>
      </c>
      <c r="AD12" s="8">
        <f>IFERROR(AC12/AC444, "NA")</f>
        <v>9.8459810303897694E-2</v>
      </c>
    </row>
    <row r="13" spans="1:30" ht="16.5" customHeight="1" x14ac:dyDescent="0.45">
      <c r="A13" s="12" t="s">
        <v>15</v>
      </c>
      <c r="B13" s="7">
        <v>235.5</v>
      </c>
      <c r="C13" s="8">
        <f>IFERROR(B13/B444, "NA")</f>
        <v>1.8367651593961185E-3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235.5</v>
      </c>
      <c r="I13" s="8">
        <f>IFERROR(H13/H444, "NA")</f>
        <v>-7.7216507217038339E-3</v>
      </c>
      <c r="J13" s="9"/>
      <c r="K13" s="7">
        <v>274</v>
      </c>
      <c r="L13" s="8">
        <f>IFERROR(K13/K444, "NA")</f>
        <v>1.8696742856803626E-3</v>
      </c>
      <c r="M13" s="9"/>
      <c r="N13" s="10">
        <f t="shared" si="1"/>
        <v>-38.5</v>
      </c>
      <c r="O13" s="8">
        <f>IFERROR(N13/N444, "NA")</f>
        <v>2.0998033820469534E-3</v>
      </c>
      <c r="P13" s="9"/>
      <c r="Q13" s="7">
        <v>452</v>
      </c>
      <c r="R13" s="8">
        <f>IFERROR(Q13/Q444, "NA")</f>
        <v>1.5122277329317497E-3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452</v>
      </c>
      <c r="X13" s="8">
        <f>IFERROR(W13/W444, "NA")</f>
        <v>-7.9427866317980707E-3</v>
      </c>
      <c r="Y13" s="9"/>
      <c r="Z13" s="7">
        <v>505.5</v>
      </c>
      <c r="AA13" s="8">
        <f>IFERROR(Z13/Z444, "NA")</f>
        <v>1.5028641379602522E-3</v>
      </c>
      <c r="AB13" s="9"/>
      <c r="AC13" s="10">
        <f t="shared" si="3"/>
        <v>-53.5</v>
      </c>
      <c r="AD13" s="8">
        <f>IFERROR(AC13/AC444, "NA")</f>
        <v>1.4281530884010757E-3</v>
      </c>
    </row>
    <row r="14" spans="1:30" ht="16.5" customHeight="1" x14ac:dyDescent="0.45">
      <c r="A14" s="12" t="s">
        <v>16</v>
      </c>
      <c r="B14" s="7">
        <v>30</v>
      </c>
      <c r="C14" s="8">
        <f>IFERROR(B14/B444, "NA")</f>
        <v>2.3398282285300872E-4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30</v>
      </c>
      <c r="I14" s="8">
        <f>IFERROR(H14/H444, "NA")</f>
        <v>-9.8364977346545668E-4</v>
      </c>
      <c r="J14" s="9"/>
      <c r="K14" s="7">
        <v>405</v>
      </c>
      <c r="L14" s="8">
        <f>IFERROR(K14/K444, "NA")</f>
        <v>2.763569655841412E-3</v>
      </c>
      <c r="M14" s="9"/>
      <c r="N14" s="10">
        <f t="shared" si="1"/>
        <v>-375</v>
      </c>
      <c r="O14" s="8">
        <f>IFERROR(N14/N444, "NA")</f>
        <v>2.0452630344613185E-2</v>
      </c>
      <c r="P14" s="9"/>
      <c r="Q14" s="7">
        <v>55</v>
      </c>
      <c r="R14" s="8">
        <f>IFERROR(Q14/Q444, "NA")</f>
        <v>1.8401001175054476E-4</v>
      </c>
      <c r="S14" s="9"/>
      <c r="T14" s="7">
        <v>0</v>
      </c>
      <c r="U14" s="8">
        <f>IFERROR(T14/T444, "NA")</f>
        <v>0</v>
      </c>
      <c r="V14" s="9"/>
      <c r="W14" s="10">
        <f t="shared" si="2"/>
        <v>55</v>
      </c>
      <c r="X14" s="8">
        <f>IFERROR(W14/W444, "NA")</f>
        <v>-9.6648952378073868E-4</v>
      </c>
      <c r="Y14" s="9"/>
      <c r="Z14" s="7">
        <v>1040</v>
      </c>
      <c r="AA14" s="8">
        <f>IFERROR(Z14/Z444, "NA")</f>
        <v>3.0919460009469083E-3</v>
      </c>
      <c r="AB14" s="9"/>
      <c r="AC14" s="10">
        <f t="shared" si="3"/>
        <v>-985</v>
      </c>
      <c r="AD14" s="8">
        <f>IFERROR(AC14/AC444, "NA")</f>
        <v>2.6294033496730082E-2</v>
      </c>
    </row>
    <row r="15" spans="1:30" ht="16.5" customHeight="1" x14ac:dyDescent="0.45">
      <c r="A15" s="12" t="s">
        <v>17</v>
      </c>
      <c r="B15" s="7">
        <v>8</v>
      </c>
      <c r="C15" s="8">
        <f>IFERROR(B15/B444, "NA")</f>
        <v>6.2395419427468995E-5</v>
      </c>
      <c r="D15" s="9"/>
      <c r="E15" s="7">
        <v>0</v>
      </c>
      <c r="F15" s="8">
        <f>IFERROR(E15/E444, "NA")</f>
        <v>0</v>
      </c>
      <c r="G15" s="9"/>
      <c r="H15" s="10">
        <f t="shared" si="0"/>
        <v>8</v>
      </c>
      <c r="I15" s="8">
        <f>IFERROR(H15/H444, "NA")</f>
        <v>-2.6230660625745506E-4</v>
      </c>
      <c r="J15" s="9"/>
      <c r="K15" s="7">
        <v>59</v>
      </c>
      <c r="L15" s="8">
        <f>IFERROR(K15/K444, "NA")</f>
        <v>4.0259409801146493E-4</v>
      </c>
      <c r="M15" s="9"/>
      <c r="N15" s="10">
        <f t="shared" si="1"/>
        <v>-51</v>
      </c>
      <c r="O15" s="8">
        <f>IFERROR(N15/N444, "NA")</f>
        <v>2.7815577268673927E-3</v>
      </c>
      <c r="P15" s="9"/>
      <c r="Q15" s="7">
        <v>81</v>
      </c>
      <c r="R15" s="8">
        <f>IFERROR(Q15/Q444, "NA")</f>
        <v>2.7099656275989323E-4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81</v>
      </c>
      <c r="X15" s="8">
        <f>IFERROR(W15/W444, "NA")</f>
        <v>-1.4233754804770877E-3</v>
      </c>
      <c r="Y15" s="9"/>
      <c r="Z15" s="7">
        <v>137</v>
      </c>
      <c r="AA15" s="8">
        <f>IFERROR(Z15/Z444, "NA")</f>
        <v>4.07304425124737E-4</v>
      </c>
      <c r="AB15" s="9"/>
      <c r="AC15" s="10">
        <f t="shared" si="3"/>
        <v>-56</v>
      </c>
      <c r="AD15" s="8">
        <f>IFERROR(AC15/AC444, "NA")</f>
        <v>1.494889214027294E-3</v>
      </c>
    </row>
    <row r="16" spans="1:30" ht="16.5" customHeight="1" x14ac:dyDescent="0.45">
      <c r="A16" s="12" t="s">
        <v>18</v>
      </c>
      <c r="B16" s="7">
        <v>0.02</v>
      </c>
      <c r="C16" s="8">
        <f>IFERROR(B16/B444, "NA")</f>
        <v>1.5598854856867249E-7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0.02</v>
      </c>
      <c r="I16" s="8">
        <f>IFERROR(H16/H444, "NA")</f>
        <v>-6.5576651564363769E-7</v>
      </c>
      <c r="J16" s="9"/>
      <c r="K16" s="7">
        <v>0</v>
      </c>
      <c r="L16" s="8">
        <f>IFERROR(K16/K444, "NA")</f>
        <v>0</v>
      </c>
      <c r="M16" s="9"/>
      <c r="N16" s="10">
        <f t="shared" si="1"/>
        <v>0.02</v>
      </c>
      <c r="O16" s="8">
        <f>IFERROR(N16/N444, "NA")</f>
        <v>-1.0908069517127032E-6</v>
      </c>
      <c r="P16" s="9"/>
      <c r="Q16" s="7">
        <v>0.16</v>
      </c>
      <c r="R16" s="8">
        <f>IFERROR(Q16/Q444, "NA")</f>
        <v>5.3530185236522116E-7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0.16</v>
      </c>
      <c r="X16" s="8">
        <f>IFERROR(W16/W444, "NA")</f>
        <v>-2.8116058873621487E-6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0.16</v>
      </c>
      <c r="AD16" s="8">
        <f>IFERROR(AC16/AC444, "NA")</f>
        <v>-4.2711120400779831E-6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61010.459999999992</v>
      </c>
      <c r="C18" s="15">
        <f>IFERROR(B18/B444, "NA")</f>
        <v>0.4758466551453524</v>
      </c>
      <c r="D18" s="2"/>
      <c r="E18" s="14">
        <f>IFERROR(E10+E11+E12+E13+E14+E15+E16+E17, "NA")</f>
        <v>75864.91</v>
      </c>
      <c r="F18" s="15">
        <f>IFERROR(E18/E444, "NA")</f>
        <v>0.47800000252026925</v>
      </c>
      <c r="G18" s="2"/>
      <c r="H18" s="14">
        <f t="shared" si="0"/>
        <v>-14854.450000000012</v>
      </c>
      <c r="I18" s="15">
        <f>IFERROR(H18/H444, "NA")</f>
        <v>0.48705254591513208</v>
      </c>
      <c r="J18" s="2"/>
      <c r="K18" s="14">
        <f>IFERROR(K10+K11+K12+K13+K14+K15+K16+K17, "NA")</f>
        <v>69604.2</v>
      </c>
      <c r="L18" s="15">
        <f>IFERROR(K18/K444, "NA")</f>
        <v>0.47495322231880688</v>
      </c>
      <c r="M18" s="2"/>
      <c r="N18" s="14">
        <f t="shared" si="1"/>
        <v>-8593.7400000000052</v>
      </c>
      <c r="O18" s="15">
        <f>IFERROR(N18/N444, "NA")</f>
        <v>0.46870556666057656</v>
      </c>
      <c r="P18" s="2"/>
      <c r="Q18" s="14">
        <f>IFERROR(Q10+Q11+Q12+Q13+Q14+Q15+Q16+Q17, "NA")</f>
        <v>148242.96000000002</v>
      </c>
      <c r="R18" s="15">
        <f>IFERROR(Q18/Q444, "NA")</f>
        <v>0.49596706930064621</v>
      </c>
      <c r="S18" s="2"/>
      <c r="T18" s="14">
        <f>IFERROR(T10+T11+T12+T13+T14+T15+T16+T17, "NA")</f>
        <v>170074.19</v>
      </c>
      <c r="U18" s="15">
        <f>IFERROR(T18/T444, "NA")</f>
        <v>0.47799997953928308</v>
      </c>
      <c r="V18" s="2"/>
      <c r="W18" s="14">
        <f t="shared" si="2"/>
        <v>-21831.229999999981</v>
      </c>
      <c r="X18" s="15">
        <f>IFERROR(W18/W444, "NA")</f>
        <v>0.38363009247723195</v>
      </c>
      <c r="Y18" s="2"/>
      <c r="Z18" s="14">
        <f>IFERROR(Z10+Z11+Z12+Z13+Z14+Z15+Z16+Z17, "NA")</f>
        <v>163725.26999999999</v>
      </c>
      <c r="AA18" s="15">
        <f>IFERROR(Z18/Z444, "NA")</f>
        <v>0.48675932099082003</v>
      </c>
      <c r="AB18" s="2"/>
      <c r="AC18" s="14">
        <f t="shared" si="3"/>
        <v>-15482.309999999969</v>
      </c>
      <c r="AD18" s="15">
        <f>IFERROR(AC18/AC444, "NA")</f>
        <v>0.41329175405762264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16982.310000000001</v>
      </c>
      <c r="F21" s="8">
        <f>IFERROR(E21/E444, "NA")</f>
        <v>0.10699998487838441</v>
      </c>
      <c r="G21" s="9"/>
      <c r="H21" s="10">
        <f t="shared" ref="H21:H29" si="4">IFERROR(B21-E21, "NA")</f>
        <v>-16982.310000000001</v>
      </c>
      <c r="I21" s="8">
        <f>IFERROR(H21/H444, "NA")</f>
        <v>0.55682151281400527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38071</v>
      </c>
      <c r="U21" s="8">
        <f>IFERROR(T21/T444, "NA")</f>
        <v>0.10699999347955176</v>
      </c>
      <c r="V21" s="9"/>
      <c r="W21" s="10">
        <f t="shared" ref="W21:W29" si="6">IFERROR(Q21-T21, "NA")</f>
        <v>-38071</v>
      </c>
      <c r="X21" s="8">
        <f>IFERROR(W21/W444, "NA")</f>
        <v>0.66900404836102734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0</v>
      </c>
      <c r="C22" s="8">
        <f>IFERROR(B22/B444, "NA")</f>
        <v>0</v>
      </c>
      <c r="D22" s="9"/>
      <c r="E22" s="7">
        <v>0</v>
      </c>
      <c r="F22" s="8">
        <f>IFERROR(E22/E444, "NA")</f>
        <v>0</v>
      </c>
      <c r="G22" s="9"/>
      <c r="H22" s="10">
        <f t="shared" si="4"/>
        <v>0</v>
      </c>
      <c r="I22" s="8">
        <f>IFERROR(H22/H444, "NA")</f>
        <v>0</v>
      </c>
      <c r="J22" s="9"/>
      <c r="K22" s="7">
        <v>11663.3</v>
      </c>
      <c r="L22" s="8">
        <f>IFERROR(K22/K444, "NA")</f>
        <v>7.9586029548086759E-2</v>
      </c>
      <c r="M22" s="9"/>
      <c r="N22" s="10">
        <f t="shared" si="5"/>
        <v>-11663.3</v>
      </c>
      <c r="O22" s="8">
        <f>IFERROR(N22/N444, "NA")</f>
        <v>0.63612043599553847</v>
      </c>
      <c r="P22" s="9"/>
      <c r="Q22" s="7">
        <v>5232.59</v>
      </c>
      <c r="R22" s="8">
        <f>IFERROR(Q22/Q444, "NA")</f>
        <v>1.7506344497923328E-2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5232.59</v>
      </c>
      <c r="X22" s="8">
        <f>IFERROR(W22/W444, "NA")</f>
        <v>-9.1949880313451915E-2</v>
      </c>
      <c r="Y22" s="9"/>
      <c r="Z22" s="7">
        <v>27822.15</v>
      </c>
      <c r="AA22" s="8">
        <f>IFERROR(Z22/Z444, "NA")</f>
        <v>8.2715947529081763E-2</v>
      </c>
      <c r="AB22" s="9"/>
      <c r="AC22" s="10">
        <f t="shared" si="7"/>
        <v>-22589.56</v>
      </c>
      <c r="AD22" s="8">
        <f>IFERROR(AC22/AC444, "NA")</f>
        <v>0.60301588560040009</v>
      </c>
    </row>
    <row r="23" spans="1:30" ht="16.5" customHeight="1" x14ac:dyDescent="0.45">
      <c r="A23" s="12" t="s">
        <v>24</v>
      </c>
      <c r="B23" s="7">
        <v>8735.08</v>
      </c>
      <c r="C23" s="8">
        <f>IFERROR(B23/B444, "NA")</f>
        <v>6.8128622541561976E-2</v>
      </c>
      <c r="D23" s="9"/>
      <c r="E23" s="7">
        <v>0</v>
      </c>
      <c r="F23" s="8">
        <f>IFERROR(E23/E444, "NA")</f>
        <v>0</v>
      </c>
      <c r="G23" s="9"/>
      <c r="H23" s="10">
        <f t="shared" si="4"/>
        <v>8735.08</v>
      </c>
      <c r="I23" s="8">
        <f>IFERROR(H23/H444, "NA")</f>
        <v>-0.28640864877342137</v>
      </c>
      <c r="J23" s="9"/>
      <c r="K23" s="7">
        <v>0</v>
      </c>
      <c r="L23" s="8">
        <f>IFERROR(K23/K444, "NA")</f>
        <v>0</v>
      </c>
      <c r="M23" s="9"/>
      <c r="N23" s="10">
        <f t="shared" si="5"/>
        <v>8735.08</v>
      </c>
      <c r="O23" s="8">
        <f>IFERROR(N23/N444, "NA")</f>
        <v>-0.47641429938832991</v>
      </c>
      <c r="P23" s="9"/>
      <c r="Q23" s="7">
        <v>17735.84</v>
      </c>
      <c r="R23" s="8">
        <f>IFERROR(Q23/Q444, "NA")</f>
        <v>5.9337675032832403E-2</v>
      </c>
      <c r="S23" s="9"/>
      <c r="T23" s="7">
        <v>0</v>
      </c>
      <c r="U23" s="8">
        <f>IFERROR(T23/T444, "NA")</f>
        <v>0</v>
      </c>
      <c r="V23" s="9"/>
      <c r="W23" s="10">
        <f t="shared" si="6"/>
        <v>17735.84</v>
      </c>
      <c r="X23" s="8">
        <f>IFERROR(W23/W444, "NA")</f>
        <v>-0.31166370100820684</v>
      </c>
      <c r="Y23" s="9"/>
      <c r="Z23" s="7">
        <v>0</v>
      </c>
      <c r="AA23" s="8">
        <f>IFERROR(Z23/Z444, "NA")</f>
        <v>0</v>
      </c>
      <c r="AB23" s="9"/>
      <c r="AC23" s="10">
        <f t="shared" si="7"/>
        <v>17735.84</v>
      </c>
      <c r="AD23" s="8">
        <f>IFERROR(AC23/AC444, "NA")</f>
        <v>-0.47344849853060433</v>
      </c>
    </row>
    <row r="24" spans="1:30" ht="16.5" customHeight="1" x14ac:dyDescent="0.45">
      <c r="A24" s="12" t="s">
        <v>25</v>
      </c>
      <c r="B24" s="7">
        <v>438.29</v>
      </c>
      <c r="C24" s="8">
        <f>IFERROR(B24/B444, "NA")</f>
        <v>3.4184110476081732E-3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438.29</v>
      </c>
      <c r="I24" s="8">
        <f>IFERROR(H24/H444, "NA")</f>
        <v>-1.43707953070725E-2</v>
      </c>
      <c r="J24" s="9"/>
      <c r="K24" s="7">
        <v>1839.22</v>
      </c>
      <c r="L24" s="8">
        <f>IFERROR(K24/K444, "NA")</f>
        <v>1.2550154524485534E-2</v>
      </c>
      <c r="M24" s="9"/>
      <c r="N24" s="10">
        <f t="shared" si="5"/>
        <v>-1400.93</v>
      </c>
      <c r="O24" s="8">
        <f>IFERROR(N24/N444, "NA")</f>
        <v>7.6407209143143862E-2</v>
      </c>
      <c r="P24" s="9"/>
      <c r="Q24" s="7">
        <v>1921.63</v>
      </c>
      <c r="R24" s="8">
        <f>IFERROR(Q24/Q444, "NA")</f>
        <v>6.4290756160036251E-3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1921.63</v>
      </c>
      <c r="X24" s="8">
        <f>IFERROR(W24/W444, "NA")</f>
        <v>-3.3767913883323286E-2</v>
      </c>
      <c r="Y24" s="9"/>
      <c r="Z24" s="7">
        <v>4458.29</v>
      </c>
      <c r="AA24" s="8">
        <f>IFERROR(Z24/Z444, "NA")</f>
        <v>1.3254607631309223E-2</v>
      </c>
      <c r="AB24" s="9"/>
      <c r="AC24" s="10">
        <f t="shared" si="7"/>
        <v>-2536.66</v>
      </c>
      <c r="AD24" s="8">
        <f>IFERROR(AC24/AC444, "NA")</f>
        <v>6.771474417240135E-2</v>
      </c>
    </row>
    <row r="25" spans="1:30" ht="16.5" customHeight="1" x14ac:dyDescent="0.45">
      <c r="A25" s="12" t="s">
        <v>26</v>
      </c>
      <c r="B25" s="7">
        <v>215.38</v>
      </c>
      <c r="C25" s="8">
        <f>IFERROR(B25/B444, "NA")</f>
        <v>1.6798406795360339E-3</v>
      </c>
      <c r="D25" s="9"/>
      <c r="E25" s="7">
        <v>0</v>
      </c>
      <c r="F25" s="8">
        <f>IFERROR(E25/E444, "NA")</f>
        <v>0</v>
      </c>
      <c r="G25" s="9"/>
      <c r="H25" s="10">
        <f t="shared" si="4"/>
        <v>215.38</v>
      </c>
      <c r="I25" s="8">
        <f>IFERROR(H25/H444, "NA")</f>
        <v>-7.0619496069663345E-3</v>
      </c>
      <c r="J25" s="9"/>
      <c r="K25" s="7">
        <v>0</v>
      </c>
      <c r="L25" s="8">
        <f>IFERROR(K25/K444, "NA")</f>
        <v>0</v>
      </c>
      <c r="M25" s="9"/>
      <c r="N25" s="10">
        <f t="shared" si="5"/>
        <v>215.38</v>
      </c>
      <c r="O25" s="8">
        <f>IFERROR(N25/N444, "NA")</f>
        <v>-1.1746900062994099E-2</v>
      </c>
      <c r="P25" s="9"/>
      <c r="Q25" s="7">
        <v>417.64</v>
      </c>
      <c r="R25" s="8">
        <f>IFERROR(Q25/Q444, "NA")</f>
        <v>1.3972716601363185E-3</v>
      </c>
      <c r="S25" s="9"/>
      <c r="T25" s="7">
        <v>0</v>
      </c>
      <c r="U25" s="8">
        <f>IFERROR(T25/T444, "NA")</f>
        <v>0</v>
      </c>
      <c r="V25" s="9"/>
      <c r="W25" s="10">
        <f t="shared" si="6"/>
        <v>417.64</v>
      </c>
      <c r="X25" s="8">
        <f>IFERROR(W25/W444, "NA")</f>
        <v>-7.3389942674870487E-3</v>
      </c>
      <c r="Y25" s="9"/>
      <c r="Z25" s="7">
        <v>0</v>
      </c>
      <c r="AA25" s="8">
        <f>IFERROR(Z25/Z444, "NA")</f>
        <v>0</v>
      </c>
      <c r="AB25" s="9"/>
      <c r="AC25" s="10">
        <f t="shared" si="7"/>
        <v>417.64</v>
      </c>
      <c r="AD25" s="8">
        <f>IFERROR(AC25/AC444, "NA")</f>
        <v>-1.1148670202613556E-2</v>
      </c>
    </row>
    <row r="26" spans="1:30" ht="16.5" customHeight="1" x14ac:dyDescent="0.45">
      <c r="A26" s="12" t="s">
        <v>27</v>
      </c>
      <c r="B26" s="7">
        <v>2855.89</v>
      </c>
      <c r="C26" s="8">
        <f>IFERROR(B26/B444, "NA")</f>
        <v>2.2274306798589303E-2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2855.89</v>
      </c>
      <c r="I26" s="8">
        <f>IFERROR(H26/H444, "NA")</f>
        <v>-9.3639851718075429E-2</v>
      </c>
      <c r="J26" s="9"/>
      <c r="K26" s="7">
        <v>0</v>
      </c>
      <c r="L26" s="8">
        <f>IFERROR(K26/K444, "NA")</f>
        <v>0</v>
      </c>
      <c r="M26" s="9"/>
      <c r="N26" s="10">
        <f t="shared" si="5"/>
        <v>2855.89</v>
      </c>
      <c r="O26" s="8">
        <f>IFERROR(N26/N444, "NA")</f>
        <v>-0.15576123326633959</v>
      </c>
      <c r="P26" s="9"/>
      <c r="Q26" s="7">
        <v>3939.22</v>
      </c>
      <c r="R26" s="8">
        <f>IFERROR(Q26/Q444, "NA")</f>
        <v>1.317919851796329E-2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3939.22</v>
      </c>
      <c r="X26" s="8">
        <f>IFERROR(W26/W444, "NA")</f>
        <v>-6.9222088397592016E-2</v>
      </c>
      <c r="Y26" s="9"/>
      <c r="Z26" s="7">
        <v>0</v>
      </c>
      <c r="AA26" s="8">
        <f>IFERROR(Z26/Z444, "NA")</f>
        <v>0</v>
      </c>
      <c r="AB26" s="9"/>
      <c r="AC26" s="10">
        <f t="shared" si="7"/>
        <v>3939.22</v>
      </c>
      <c r="AD26" s="8">
        <f>IFERROR(AC26/AC444, "NA")</f>
        <v>-0.10515531231572495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922.46</v>
      </c>
      <c r="C28" s="8">
        <f>IFERROR(B28/B444, "NA")</f>
        <v>7.1946598256328815E-3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922.46</v>
      </c>
      <c r="I28" s="8">
        <f>IFERROR(H28/H444, "NA")</f>
        <v>-3.0245919001031504E-2</v>
      </c>
      <c r="J28" s="9"/>
      <c r="K28" s="7">
        <v>928.45</v>
      </c>
      <c r="L28" s="8">
        <f>IFERROR(K28/K444, "NA")</f>
        <v>6.3353981406566885E-3</v>
      </c>
      <c r="M28" s="9"/>
      <c r="N28" s="10">
        <f t="shared" si="5"/>
        <v>-5.9900000000000091</v>
      </c>
      <c r="O28" s="8">
        <f>IFERROR(N28/N444, "NA")</f>
        <v>3.2669668203795505E-4</v>
      </c>
      <c r="P28" s="9"/>
      <c r="Q28" s="7">
        <v>2539.7600000000002</v>
      </c>
      <c r="R28" s="8">
        <f>IFERROR(Q28/Q444, "NA")</f>
        <v>8.4971139535193387E-3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2539.7600000000002</v>
      </c>
      <c r="X28" s="8">
        <f>IFERROR(W28/W444, "NA")</f>
        <v>-4.4630026053043073E-2</v>
      </c>
      <c r="Y28" s="9"/>
      <c r="Z28" s="7">
        <v>2575.6999999999998</v>
      </c>
      <c r="AA28" s="8">
        <f>IFERROR(Z28/Z444, "NA")</f>
        <v>7.6576204948451462E-3</v>
      </c>
      <c r="AB28" s="9"/>
      <c r="AC28" s="10">
        <f t="shared" si="7"/>
        <v>-35.9399999999996</v>
      </c>
      <c r="AD28" s="8">
        <f>IFERROR(AC28/AC444, "NA")</f>
        <v>9.5939854200250622E-4</v>
      </c>
    </row>
    <row r="29" spans="1:30" ht="16.5" customHeight="1" x14ac:dyDescent="0.45">
      <c r="A29" s="13" t="s">
        <v>30</v>
      </c>
      <c r="B29" s="14">
        <f>IFERROR(B21+B22+B23+B24+B25+B26+B27+B28, "NA")</f>
        <v>13167.099999999999</v>
      </c>
      <c r="C29" s="15">
        <f>IFERROR(B29/B444, "NA")</f>
        <v>0.10269584089292837</v>
      </c>
      <c r="D29" s="2"/>
      <c r="E29" s="14">
        <f>IFERROR(E21+E22+E23+E24+E25+E26+E27+E28, "NA")</f>
        <v>16982.310000000001</v>
      </c>
      <c r="F29" s="15">
        <f>IFERROR(E29/E444, "NA")</f>
        <v>0.10699998487838441</v>
      </c>
      <c r="G29" s="2"/>
      <c r="H29" s="14">
        <f t="shared" si="4"/>
        <v>-3815.2100000000028</v>
      </c>
      <c r="I29" s="15">
        <f>IFERROR(H29/H444, "NA")</f>
        <v>0.12509434840743824</v>
      </c>
      <c r="J29" s="2"/>
      <c r="K29" s="14">
        <f>IFERROR(K21+K22+K23+K24+K25+K26+K27+K28, "NA")</f>
        <v>14430.97</v>
      </c>
      <c r="L29" s="15">
        <f>IFERROR(K29/K444, "NA")</f>
        <v>9.8471582213228978E-2</v>
      </c>
      <c r="M29" s="2"/>
      <c r="N29" s="14">
        <f t="shared" si="5"/>
        <v>-1263.8700000000008</v>
      </c>
      <c r="O29" s="15">
        <f>IFERROR(N29/N444, "NA")</f>
        <v>6.8931909103056743E-2</v>
      </c>
      <c r="P29" s="2"/>
      <c r="Q29" s="14">
        <f>IFERROR(Q21+Q22+Q23+Q24+Q25+Q26+Q27+Q28, "NA")</f>
        <v>31786.68</v>
      </c>
      <c r="R29" s="15">
        <f>IFERROR(Q29/Q444, "NA")</f>
        <v>0.10634667927837831</v>
      </c>
      <c r="S29" s="2"/>
      <c r="T29" s="14">
        <f>IFERROR(T21+T22+T23+T24+T25+T26+T27+T28, "NA")</f>
        <v>38071</v>
      </c>
      <c r="U29" s="15">
        <f>IFERROR(T29/T444, "NA")</f>
        <v>0.10699999347955176</v>
      </c>
      <c r="V29" s="2"/>
      <c r="W29" s="14">
        <f t="shared" si="6"/>
        <v>-6284.32</v>
      </c>
      <c r="X29" s="15">
        <f>IFERROR(W29/W444, "NA")</f>
        <v>0.11043144443792312</v>
      </c>
      <c r="Y29" s="2"/>
      <c r="Z29" s="14">
        <f>IFERROR(Z21+Z22+Z23+Z24+Z25+Z26+Z27+Z28, "NA")</f>
        <v>34856.14</v>
      </c>
      <c r="AA29" s="15">
        <f>IFERROR(Z29/Z444, "NA")</f>
        <v>0.10362817565523613</v>
      </c>
      <c r="AB29" s="2"/>
      <c r="AC29" s="14">
        <f t="shared" si="7"/>
        <v>-3069.4599999999991</v>
      </c>
      <c r="AD29" s="15">
        <f>IFERROR(AC29/AC444, "NA")</f>
        <v>8.1937547265861013E-2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28885.8</v>
      </c>
      <c r="F31" s="8">
        <f>IFERROR(E31/E444, "NA")</f>
        <v>0.1819999848783844</v>
      </c>
      <c r="G31" s="9"/>
      <c r="H31" s="10">
        <f t="shared" ref="H31:H40" si="8">IFERROR(B31-E31, "NA")</f>
        <v>-28885.8</v>
      </c>
      <c r="I31" s="8">
        <f>IFERROR(H31/H444, "NA")</f>
        <v>0.94711702087894956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64756.28</v>
      </c>
      <c r="U31" s="8">
        <f>IFERROR(T31/T444, "NA")</f>
        <v>0.18199998785847568</v>
      </c>
      <c r="V31" s="9"/>
      <c r="W31" s="10">
        <f t="shared" ref="W31:W40" si="10">IFERROR(Q31-T31, "NA")</f>
        <v>-64756.28</v>
      </c>
      <c r="X31" s="8">
        <f>IFERROR(W31/W444, "NA")</f>
        <v>1.1379321130729485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12324.38</v>
      </c>
      <c r="C33" s="8">
        <f>IFERROR(B33/B444, "NA")</f>
        <v>9.6123107410438779E-2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12324.38</v>
      </c>
      <c r="I33" s="8">
        <f>IFERROR(H33/H444, "NA")</f>
        <v>-0.40409578650340677</v>
      </c>
      <c r="J33" s="9"/>
      <c r="K33" s="7">
        <v>10289.41</v>
      </c>
      <c r="L33" s="8">
        <f>IFERROR(K33/K444, "NA")</f>
        <v>7.0211114203731315E-2</v>
      </c>
      <c r="M33" s="9"/>
      <c r="N33" s="10">
        <f t="shared" si="9"/>
        <v>2034.9699999999993</v>
      </c>
      <c r="O33" s="8">
        <f>IFERROR(N33/N444, "NA")</f>
        <v>-0.11098797112633993</v>
      </c>
      <c r="P33" s="9"/>
      <c r="Q33" s="7">
        <v>32175.56</v>
      </c>
      <c r="R33" s="8">
        <f>IFERROR(Q33/Q444, "NA")</f>
        <v>0.10764773043055197</v>
      </c>
      <c r="S33" s="9"/>
      <c r="T33" s="7">
        <v>0</v>
      </c>
      <c r="U33" s="8">
        <f>IFERROR(T33/T444, "NA")</f>
        <v>0</v>
      </c>
      <c r="V33" s="9"/>
      <c r="W33" s="10">
        <f t="shared" si="10"/>
        <v>32175.56</v>
      </c>
      <c r="X33" s="8">
        <f>IFERROR(W33/W444, "NA")</f>
        <v>-0.56540621203233787</v>
      </c>
      <c r="Y33" s="9"/>
      <c r="Z33" s="7">
        <v>25957.09</v>
      </c>
      <c r="AA33" s="8">
        <f>IFERROR(Z33/Z444, "NA")</f>
        <v>7.7171077520883646E-2</v>
      </c>
      <c r="AB33" s="9"/>
      <c r="AC33" s="10">
        <f t="shared" si="11"/>
        <v>6218.4700000000012</v>
      </c>
      <c r="AD33" s="8">
        <f>IFERROR(AC33/AC444, "NA")</f>
        <v>-0.16599863804914838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1037.72</v>
      </c>
      <c r="C35" s="8">
        <f>IFERROR(B35/B444, "NA")</f>
        <v>8.0936218310341413E-3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1037.72</v>
      </c>
      <c r="I35" s="8">
        <f>IFERROR(H35/H444, "NA")</f>
        <v>-3.4025101430685788E-2</v>
      </c>
      <c r="J35" s="9"/>
      <c r="K35" s="7">
        <v>1777.9</v>
      </c>
      <c r="L35" s="8">
        <f>IFERROR(K35/K444, "NA")</f>
        <v>1.2131729607704806E-2</v>
      </c>
      <c r="M35" s="9"/>
      <c r="N35" s="10">
        <f t="shared" si="9"/>
        <v>-740.18000000000006</v>
      </c>
      <c r="O35" s="8">
        <f>IFERROR(N35/N444, "NA")</f>
        <v>4.0369674475935431E-2</v>
      </c>
      <c r="P35" s="9"/>
      <c r="Q35" s="7">
        <v>2292.65</v>
      </c>
      <c r="R35" s="8">
        <f>IFERROR(Q35/Q444, "NA")</f>
        <v>7.6703736989070272E-3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2292.65</v>
      </c>
      <c r="X35" s="8">
        <f>IFERROR(W35/W444, "NA")</f>
        <v>-4.0287676485380189E-2</v>
      </c>
      <c r="Y35" s="9"/>
      <c r="Z35" s="7">
        <v>3756.42</v>
      </c>
      <c r="AA35" s="8">
        <f>IFERROR(Z35/Z444, "NA")</f>
        <v>1.1167930573920178E-2</v>
      </c>
      <c r="AB35" s="9"/>
      <c r="AC35" s="10">
        <f t="shared" si="11"/>
        <v>-1463.77</v>
      </c>
      <c r="AD35" s="8">
        <f>IFERROR(AC35/AC444, "NA")</f>
        <v>3.9074535443155929E-2</v>
      </c>
    </row>
    <row r="36" spans="1:30" ht="16.5" customHeight="1" x14ac:dyDescent="0.45">
      <c r="A36" s="12" t="s">
        <v>36</v>
      </c>
      <c r="B36" s="7">
        <v>15301.91</v>
      </c>
      <c r="C36" s="8">
        <f>IFERROR(B36/B444, "NA")</f>
        <v>0.11934613656142276</v>
      </c>
      <c r="D36" s="9"/>
      <c r="E36" s="7">
        <v>0</v>
      </c>
      <c r="F36" s="8">
        <f>IFERROR(E36/E444, "NA")</f>
        <v>0</v>
      </c>
      <c r="G36" s="9"/>
      <c r="H36" s="10">
        <f t="shared" si="8"/>
        <v>15301.91</v>
      </c>
      <c r="I36" s="8">
        <f>IFERROR(H36/H444, "NA")</f>
        <v>-0.50172401016962687</v>
      </c>
      <c r="J36" s="9"/>
      <c r="K36" s="7">
        <v>13910.02</v>
      </c>
      <c r="L36" s="8">
        <f>IFERROR(K36/K444, "NA")</f>
        <v>9.4916812800363348E-2</v>
      </c>
      <c r="M36" s="9"/>
      <c r="N36" s="10">
        <f t="shared" si="9"/>
        <v>1391.8899999999994</v>
      </c>
      <c r="O36" s="8">
        <f>IFERROR(N36/N444, "NA")</f>
        <v>-7.591416440096968E-2</v>
      </c>
      <c r="P36" s="9"/>
      <c r="Q36" s="7">
        <v>27480.95</v>
      </c>
      <c r="R36" s="8">
        <f>IFERROR(Q36/Q444, "NA")</f>
        <v>9.1941271498475155E-2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27480.95</v>
      </c>
      <c r="X36" s="8">
        <f>IFERROR(W36/W444, "NA")</f>
        <v>-0.48291000506440529</v>
      </c>
      <c r="Y36" s="9"/>
      <c r="Z36" s="7">
        <v>36370.28</v>
      </c>
      <c r="AA36" s="8">
        <f>IFERROR(Z36/Z444, "NA")</f>
        <v>0.10812975173011473</v>
      </c>
      <c r="AB36" s="9"/>
      <c r="AC36" s="10">
        <f t="shared" si="11"/>
        <v>-8889.3299999999981</v>
      </c>
      <c r="AD36" s="8">
        <f>IFERROR(AC36/AC444, "NA")</f>
        <v>0.23729577744516506</v>
      </c>
    </row>
    <row r="37" spans="1:30" ht="16.5" customHeight="1" x14ac:dyDescent="0.45">
      <c r="A37" s="12" t="s">
        <v>37</v>
      </c>
      <c r="B37" s="7">
        <v>1029.83</v>
      </c>
      <c r="C37" s="8">
        <f>IFERROR(B37/B444, "NA")</f>
        <v>8.0320843486237983E-3</v>
      </c>
      <c r="D37" s="9"/>
      <c r="E37" s="7">
        <v>0</v>
      </c>
      <c r="F37" s="8">
        <f>IFERROR(E37/E444, "NA")</f>
        <v>0</v>
      </c>
      <c r="G37" s="9"/>
      <c r="H37" s="10">
        <f t="shared" si="8"/>
        <v>1029.83</v>
      </c>
      <c r="I37" s="8">
        <f>IFERROR(H37/H444, "NA")</f>
        <v>-3.3766401540264369E-2</v>
      </c>
      <c r="J37" s="9"/>
      <c r="K37" s="7">
        <v>0</v>
      </c>
      <c r="L37" s="8">
        <f>IFERROR(K37/K444, "NA")</f>
        <v>0</v>
      </c>
      <c r="M37" s="9"/>
      <c r="N37" s="10">
        <f t="shared" si="9"/>
        <v>1029.83</v>
      </c>
      <c r="O37" s="8">
        <f>IFERROR(N37/N444, "NA")</f>
        <v>-5.6167286154114648E-2</v>
      </c>
      <c r="P37" s="9"/>
      <c r="Q37" s="7">
        <v>2147.52</v>
      </c>
      <c r="R37" s="8">
        <f>IFERROR(Q37/Q444, "NA")</f>
        <v>7.1848214624459983E-3</v>
      </c>
      <c r="S37" s="9"/>
      <c r="T37" s="7">
        <v>0</v>
      </c>
      <c r="U37" s="8">
        <f>IFERROR(T37/T444, "NA")</f>
        <v>0</v>
      </c>
      <c r="V37" s="9"/>
      <c r="W37" s="10">
        <f t="shared" si="10"/>
        <v>2147.52</v>
      </c>
      <c r="X37" s="8">
        <f>IFERROR(W37/W444, "NA")</f>
        <v>-3.7737374220174758E-2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2147.52</v>
      </c>
      <c r="AD37" s="8">
        <f>IFERROR(AC37/AC444, "NA")</f>
        <v>-5.7326865801926689E-2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1161.4000000000001</v>
      </c>
      <c r="L39" s="8">
        <f>IFERROR(K39/K444, "NA")</f>
        <v>7.9249624649239906E-3</v>
      </c>
      <c r="M39" s="9"/>
      <c r="N39" s="10">
        <f t="shared" si="9"/>
        <v>-1161.4000000000001</v>
      </c>
      <c r="O39" s="8">
        <f>IFERROR(N39/N444, "NA")</f>
        <v>6.3343159685956676E-2</v>
      </c>
      <c r="P39" s="9"/>
      <c r="Q39" s="7">
        <v>521.4</v>
      </c>
      <c r="R39" s="8">
        <f>IFERROR(Q39/Q444, "NA")</f>
        <v>1.7444149113951643E-3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521.4</v>
      </c>
      <c r="X39" s="8">
        <f>IFERROR(W39/W444, "NA")</f>
        <v>-9.1623206854414014E-3</v>
      </c>
      <c r="Y39" s="9"/>
      <c r="Z39" s="7">
        <v>2861.85</v>
      </c>
      <c r="AA39" s="8">
        <f>IFERROR(Z39/Z444, "NA")</f>
        <v>8.5083515988556829E-3</v>
      </c>
      <c r="AB39" s="9"/>
      <c r="AC39" s="10">
        <f t="shared" si="11"/>
        <v>-2340.4499999999998</v>
      </c>
      <c r="AD39" s="8">
        <f>IFERROR(AC39/AC444, "NA")</f>
        <v>6.2477026088753218E-2</v>
      </c>
    </row>
    <row r="40" spans="1:30" ht="16.5" customHeight="1" x14ac:dyDescent="0.45">
      <c r="A40" s="13" t="s">
        <v>40</v>
      </c>
      <c r="B40" s="14">
        <f>IFERROR(B31+B32+B33+B34+B35+B36+B37+B38+B39, "NA")</f>
        <v>29693.839999999997</v>
      </c>
      <c r="C40" s="15">
        <f>IFERROR(B40/B444, "NA")</f>
        <v>0.23159495015151946</v>
      </c>
      <c r="D40" s="2"/>
      <c r="E40" s="14">
        <f>IFERROR(E31+E32+E33+E34+E35+E36+E37+E38+E39, "NA")</f>
        <v>28885.8</v>
      </c>
      <c r="F40" s="15">
        <f>IFERROR(E40/E444, "NA")</f>
        <v>0.1819999848783844</v>
      </c>
      <c r="G40" s="2"/>
      <c r="H40" s="14">
        <f t="shared" si="8"/>
        <v>808.03999999999724</v>
      </c>
      <c r="I40" s="15">
        <f>IFERROR(H40/H444, "NA")</f>
        <v>-2.6494278765034161E-2</v>
      </c>
      <c r="J40" s="2"/>
      <c r="K40" s="14">
        <f>IFERROR(K31+K32+K33+K34+K35+K36+K37+K38+K39, "NA")</f>
        <v>27138.730000000003</v>
      </c>
      <c r="L40" s="15">
        <f>IFERROR(K40/K444, "NA")</f>
        <v>0.18518461907672348</v>
      </c>
      <c r="M40" s="2"/>
      <c r="N40" s="14">
        <f t="shared" si="9"/>
        <v>2555.1099999999933</v>
      </c>
      <c r="O40" s="15">
        <f>IFERROR(N40/N444, "NA")</f>
        <v>-0.13935658751953187</v>
      </c>
      <c r="P40" s="2"/>
      <c r="Q40" s="14">
        <f>IFERROR(Q31+Q32+Q33+Q34+Q35+Q36+Q37+Q38+Q39, "NA")</f>
        <v>64618.080000000002</v>
      </c>
      <c r="R40" s="15">
        <f>IFERROR(Q40/Q444, "NA")</f>
        <v>0.2161886120017753</v>
      </c>
      <c r="S40" s="2"/>
      <c r="T40" s="14">
        <f>IFERROR(T31+T32+T33+T34+T35+T36+T37+T38+T39, "NA")</f>
        <v>64756.28</v>
      </c>
      <c r="U40" s="15">
        <f>IFERROR(T40/T444, "NA")</f>
        <v>0.18199998785847568</v>
      </c>
      <c r="V40" s="2"/>
      <c r="W40" s="14">
        <f t="shared" si="10"/>
        <v>-138.19999999999709</v>
      </c>
      <c r="X40" s="15">
        <f>IFERROR(W40/W444, "NA")</f>
        <v>2.428524585209005E-3</v>
      </c>
      <c r="Y40" s="2"/>
      <c r="Z40" s="14">
        <f>IFERROR(Z31+Z32+Z33+Z34+Z35+Z36+Z37+Z38+Z39, "NA")</f>
        <v>68945.640000000014</v>
      </c>
      <c r="AA40" s="15">
        <f>IFERROR(Z40/Z444, "NA")</f>
        <v>0.20497711142377428</v>
      </c>
      <c r="AB40" s="2"/>
      <c r="AC40" s="14">
        <f t="shared" si="11"/>
        <v>-4327.5600000000122</v>
      </c>
      <c r="AD40" s="15">
        <f>IFERROR(AC40/AC444, "NA")</f>
        <v>0.11552183512599955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29361.94</v>
      </c>
      <c r="F42" s="8">
        <f>IFERROR(E42/E444, "NA")</f>
        <v>0.18499998739865364</v>
      </c>
      <c r="G42" s="9"/>
      <c r="H42" s="10">
        <f>IFERROR(B42-E42, "NA")</f>
        <v>-29361.94</v>
      </c>
      <c r="I42" s="8">
        <f>IFERROR(H42/H444, "NA")</f>
        <v>0.9627288543168776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65823.7</v>
      </c>
      <c r="U42" s="8">
        <f>IFERROR(T42/T444, "NA")</f>
        <v>0.18500001236636734</v>
      </c>
      <c r="V42" s="9"/>
      <c r="W42" s="10">
        <f>IFERROR(Q42-T42, "NA")</f>
        <v>-65823.7</v>
      </c>
      <c r="X42" s="8">
        <f>IFERROR(W42/W444, "NA")</f>
        <v>1.156689390299749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5787.07</v>
      </c>
      <c r="C43" s="8">
        <f>IFERROR(B43/B444, "NA")</f>
        <v>4.5135832488265373E-2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5787.07</v>
      </c>
      <c r="I43" s="8">
        <f>IFERROR(H43/H444, "NA")</f>
        <v>-0.18974833648429132</v>
      </c>
      <c r="J43" s="9"/>
      <c r="K43" s="7">
        <v>9518.93</v>
      </c>
      <c r="L43" s="8">
        <f>IFERROR(K43/K444, "NA")</f>
        <v>6.4953644701428379E-2</v>
      </c>
      <c r="M43" s="9"/>
      <c r="N43" s="10">
        <f>IFERROR(B43-K43, "NA")</f>
        <v>-3731.8600000000006</v>
      </c>
      <c r="O43" s="8">
        <f>IFERROR(N43/N444, "NA")</f>
        <v>0.20353694154092844</v>
      </c>
      <c r="P43" s="9"/>
      <c r="Q43" s="7">
        <v>10532.52</v>
      </c>
      <c r="R43" s="8">
        <f>IFERROR(Q43/Q444, "NA")</f>
        <v>3.5237984162960874E-2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10532.52</v>
      </c>
      <c r="X43" s="8">
        <f>IFERROR(W43/W444, "NA")</f>
        <v>-0.18508309525474737</v>
      </c>
      <c r="Y43" s="9"/>
      <c r="Z43" s="7">
        <v>13685.46</v>
      </c>
      <c r="AA43" s="8">
        <f>IFERROR(Z43/Z444, "NA")</f>
        <v>4.0687214728960454E-2</v>
      </c>
      <c r="AB43" s="9"/>
      <c r="AC43" s="10">
        <f>IFERROR(Q43-Z43, "NA")</f>
        <v>-3152.9399999999987</v>
      </c>
      <c r="AD43" s="8">
        <f>IFERROR(AC43/AC444, "NA")</f>
        <v>8.4165999972771688E-2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0</v>
      </c>
      <c r="F46" s="8">
        <f>IFERROR(E46/E444, "NA")</f>
        <v>0</v>
      </c>
      <c r="G46" s="9"/>
      <c r="H46" s="10">
        <f t="shared" ref="H46:H62" si="12">IFERROR(B46-E46, "NA")</f>
        <v>0</v>
      </c>
      <c r="I46" s="8">
        <f>IFERROR(H46/H444, "NA")</f>
        <v>0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0</v>
      </c>
      <c r="U46" s="8">
        <f>IFERROR(T46/T444, "NA")</f>
        <v>0</v>
      </c>
      <c r="V46" s="9"/>
      <c r="W46" s="10">
        <f t="shared" ref="W46:W62" si="14">IFERROR(Q46-T46, "NA")</f>
        <v>0</v>
      </c>
      <c r="X46" s="8">
        <f>IFERROR(W46/W444, "NA")</f>
        <v>0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8117.6</v>
      </c>
      <c r="C48" s="8">
        <f>IFERROR(B48/B444, "NA")</f>
        <v>6.3312632093052795E-2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8117.6</v>
      </c>
      <c r="I48" s="8">
        <f>IFERROR(H48/H444, "NA")</f>
        <v>-0.26616251336943969</v>
      </c>
      <c r="J48" s="9"/>
      <c r="K48" s="7">
        <v>16073.46</v>
      </c>
      <c r="L48" s="8">
        <f>IFERROR(K48/K444, "NA")</f>
        <v>0.10967932424785358</v>
      </c>
      <c r="M48" s="9"/>
      <c r="N48" s="10">
        <f t="shared" si="13"/>
        <v>-7955.8599999999988</v>
      </c>
      <c r="O48" s="8">
        <f>IFERROR(N48/N444, "NA")</f>
        <v>0.43391536974265121</v>
      </c>
      <c r="P48" s="9"/>
      <c r="Q48" s="7">
        <v>24216.78</v>
      </c>
      <c r="R48" s="8">
        <f>IFERROR(Q48/Q444, "NA")</f>
        <v>8.1020544952006501E-2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24216.78</v>
      </c>
      <c r="X48" s="8">
        <f>IFERROR(W48/W444, "NA")</f>
        <v>-0.4255502576309621</v>
      </c>
      <c r="Y48" s="9"/>
      <c r="Z48" s="7">
        <v>45473.13</v>
      </c>
      <c r="AA48" s="8">
        <f>IFERROR(Z48/Z444, "NA")</f>
        <v>0.13519275235965278</v>
      </c>
      <c r="AB48" s="9"/>
      <c r="AC48" s="10">
        <f t="shared" si="15"/>
        <v>-21256.35</v>
      </c>
      <c r="AD48" s="8">
        <f>IFERROR(AC48/AC444, "NA")</f>
        <v>0.5674265775819477</v>
      </c>
    </row>
    <row r="49" spans="1:30" ht="16.5" hidden="1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0</v>
      </c>
      <c r="R49" s="8">
        <f>IFERROR(Q49/Q444, "NA")</f>
        <v>0</v>
      </c>
      <c r="S49" s="9"/>
      <c r="T49" s="7">
        <v>0</v>
      </c>
      <c r="U49" s="8">
        <f>IFERROR(T49/T444, "NA")</f>
        <v>0</v>
      </c>
      <c r="V49" s="9"/>
      <c r="W49" s="10">
        <f t="shared" si="14"/>
        <v>0</v>
      </c>
      <c r="X49" s="8">
        <f>IFERROR(W49/W444, "NA")</f>
        <v>0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0</v>
      </c>
      <c r="AD49" s="8">
        <f>IFERROR(AC49/AC444, "NA")</f>
        <v>0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hidden="1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0</v>
      </c>
      <c r="AD54" s="8">
        <f>IFERROR(AC54/AC444, "NA")</f>
        <v>0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8117.6</v>
      </c>
      <c r="C61" s="15">
        <f>IFERROR(B61/B444, "NA")</f>
        <v>6.3312632093052795E-2</v>
      </c>
      <c r="D61" s="2"/>
      <c r="E61" s="14">
        <f>IFERROR(E46+E47+E48+E49+E50+E51+E52+E53+E54+E55+E56+E57+E58+E59+E60, "NA")</f>
        <v>0</v>
      </c>
      <c r="F61" s="15">
        <f>IFERROR(E61/E444, "NA")</f>
        <v>0</v>
      </c>
      <c r="G61" s="2"/>
      <c r="H61" s="14">
        <f t="shared" si="12"/>
        <v>8117.6</v>
      </c>
      <c r="I61" s="15">
        <f>IFERROR(H61/H444, "NA")</f>
        <v>-0.26616251336943969</v>
      </c>
      <c r="J61" s="2"/>
      <c r="K61" s="14">
        <f>IFERROR(K46+K47+K48+K49+K50+K51+K52+K53+K54+K55+K56+K57+K58+K59+K60, "NA")</f>
        <v>16073.46</v>
      </c>
      <c r="L61" s="15">
        <f>IFERROR(K61/K444, "NA")</f>
        <v>0.10967932424785358</v>
      </c>
      <c r="M61" s="2"/>
      <c r="N61" s="14">
        <f t="shared" si="13"/>
        <v>-7955.8599999999988</v>
      </c>
      <c r="O61" s="15">
        <f>IFERROR(N61/N444, "NA")</f>
        <v>0.43391536974265121</v>
      </c>
      <c r="P61" s="2"/>
      <c r="Q61" s="14">
        <f>IFERROR(Q46+Q47+Q48+Q49+Q50+Q51+Q52+Q53+Q54+Q55+Q56+Q57+Q58+Q59+Q60, "NA")</f>
        <v>24216.78</v>
      </c>
      <c r="R61" s="15">
        <f>IFERROR(Q61/Q444, "NA")</f>
        <v>8.1020544952006501E-2</v>
      </c>
      <c r="S61" s="2"/>
      <c r="T61" s="14">
        <f>IFERROR(T46+T47+T48+T49+T50+T51+T52+T53+T54+T55+T56+T57+T58+T59+T60, "NA")</f>
        <v>0</v>
      </c>
      <c r="U61" s="15">
        <f>IFERROR(T61/T444, "NA")</f>
        <v>0</v>
      </c>
      <c r="V61" s="2"/>
      <c r="W61" s="14">
        <f t="shared" si="14"/>
        <v>24216.78</v>
      </c>
      <c r="X61" s="15">
        <f>IFERROR(W61/W444, "NA")</f>
        <v>-0.4255502576309621</v>
      </c>
      <c r="Y61" s="2"/>
      <c r="Z61" s="14">
        <f>IFERROR(Z46+Z47+Z48+Z49+Z50+Z51+Z52+Z53+Z54+Z55+Z56+Z57+Z58+Z59+Z60, "NA")</f>
        <v>45473.13</v>
      </c>
      <c r="AA61" s="15">
        <f>IFERROR(Z61/Z444, "NA")</f>
        <v>0.13519275235965278</v>
      </c>
      <c r="AB61" s="2"/>
      <c r="AC61" s="14">
        <f t="shared" si="15"/>
        <v>-21256.35</v>
      </c>
      <c r="AD61" s="15">
        <f>IFERROR(AC61/AC444, "NA")</f>
        <v>0.5674265775819477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13904.67</v>
      </c>
      <c r="C62" s="15">
        <f>IFERROR(B62/B444, "NA")</f>
        <v>0.10844846458131817</v>
      </c>
      <c r="D62" s="2"/>
      <c r="E62" s="14">
        <f>IFERROR(E42+E43+E44+E46+E47+E48+E49+E50+E51+E52+E53+E54+E55+E56+E57+E58+E59+E60, "NA")</f>
        <v>29361.94</v>
      </c>
      <c r="F62" s="15">
        <f>IFERROR(E62/E444, "NA")</f>
        <v>0.18499998739865364</v>
      </c>
      <c r="G62" s="2"/>
      <c r="H62" s="14">
        <f t="shared" si="12"/>
        <v>-15457.269999999999</v>
      </c>
      <c r="I62" s="15">
        <f>IFERROR(H62/H444, "NA")</f>
        <v>0.50681800446314651</v>
      </c>
      <c r="J62" s="2"/>
      <c r="K62" s="14">
        <f>IFERROR(K42+K43+K44+K46+K47+K48+K49+K50+K51+K52+K53+K54+K55+K56+K57+K58+K59+K60, "NA")</f>
        <v>25592.39</v>
      </c>
      <c r="L62" s="15">
        <f>IFERROR(K62/K444, "NA")</f>
        <v>0.17463296894928196</v>
      </c>
      <c r="M62" s="2"/>
      <c r="N62" s="14">
        <f t="shared" si="13"/>
        <v>-11687.72</v>
      </c>
      <c r="O62" s="15">
        <f>IFERROR(N62/N444, "NA")</f>
        <v>0.63745231128357971</v>
      </c>
      <c r="P62" s="2"/>
      <c r="Q62" s="14">
        <f>IFERROR(Q42+Q43+Q44+Q46+Q47+Q48+Q49+Q50+Q51+Q52+Q53+Q54+Q55+Q56+Q57+Q58+Q59+Q60, "NA")</f>
        <v>34749.300000000003</v>
      </c>
      <c r="R62" s="15">
        <f>IFERROR(Q62/Q444, "NA")</f>
        <v>0.11625852911496738</v>
      </c>
      <c r="S62" s="2"/>
      <c r="T62" s="14">
        <f>IFERROR(T42+T43+T44+T46+T47+T48+T49+T50+T51+T52+T53+T54+T55+T56+T57+T58+T59+T60, "NA")</f>
        <v>65823.7</v>
      </c>
      <c r="U62" s="15">
        <f>IFERROR(T62/T444, "NA")</f>
        <v>0.18500001236636734</v>
      </c>
      <c r="V62" s="2"/>
      <c r="W62" s="14">
        <f t="shared" si="14"/>
        <v>-31074.399999999994</v>
      </c>
      <c r="X62" s="15">
        <f>IFERROR(W62/W444, "NA")</f>
        <v>0.54605603741403963</v>
      </c>
      <c r="Y62" s="2"/>
      <c r="Z62" s="14">
        <f>IFERROR(Z42+Z43+Z44+Z46+Z47+Z48+Z49+Z50+Z51+Z52+Z53+Z54+Z55+Z56+Z57+Z58+Z59+Z60, "NA")</f>
        <v>59158.59</v>
      </c>
      <c r="AA62" s="15">
        <f>IFERROR(Z62/Z444, "NA")</f>
        <v>0.17587996708861323</v>
      </c>
      <c r="AB62" s="2"/>
      <c r="AC62" s="14">
        <f t="shared" si="15"/>
        <v>-24409.289999999994</v>
      </c>
      <c r="AD62" s="15">
        <f>IFERROR(AC62/AC444, "NA")</f>
        <v>0.65159257755471922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12697.06</v>
      </c>
      <c r="F64" s="8">
        <f>IFERROR(E64/E444, "NA")</f>
        <v>8.0000025202692643E-2</v>
      </c>
      <c r="G64" s="9"/>
      <c r="H64" s="10">
        <f t="shared" ref="H64:H73" si="16">IFERROR(B64-E64, "NA")</f>
        <v>-12697.06</v>
      </c>
      <c r="I64" s="8">
        <f>IFERROR(H64/H444, "NA")</f>
        <v>0.41631533975591034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28464.31</v>
      </c>
      <c r="U64" s="8">
        <f>IFERROR(T64/T444, "NA")</f>
        <v>8.0000025856949916E-2</v>
      </c>
      <c r="V64" s="9"/>
      <c r="W64" s="10">
        <f t="shared" ref="W64:W73" si="18">IFERROR(Q64-T64, "NA")</f>
        <v>-28464.31</v>
      </c>
      <c r="X64" s="8">
        <f>IFERROR(W64/W444, "NA")</f>
        <v>0.50019013484813302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7309.62</v>
      </c>
      <c r="C65" s="8">
        <f>IFERROR(B65/B444, "NA")</f>
        <v>5.7010850719426985E-2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7309.62</v>
      </c>
      <c r="I65" s="8">
        <f>IFERROR(H65/H444, "NA")</f>
        <v>-0.23967020190395236</v>
      </c>
      <c r="J65" s="9"/>
      <c r="K65" s="7">
        <v>0</v>
      </c>
      <c r="L65" s="8">
        <f>IFERROR(K65/K444, "NA")</f>
        <v>0</v>
      </c>
      <c r="M65" s="9"/>
      <c r="N65" s="10">
        <f t="shared" si="17"/>
        <v>7309.62</v>
      </c>
      <c r="O65" s="8">
        <f>IFERROR(N65/N444, "NA")</f>
        <v>-0.39866921551891044</v>
      </c>
      <c r="P65" s="9"/>
      <c r="Q65" s="7">
        <v>14311.32</v>
      </c>
      <c r="R65" s="8">
        <f>IFERROR(Q65/Q444, "NA")</f>
        <v>4.7880475661196478E-2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14311.32</v>
      </c>
      <c r="X65" s="8">
        <f>IFERROR(W65/W444, "NA")</f>
        <v>-0.25148619729952293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14311.32</v>
      </c>
      <c r="AD65" s="8">
        <f>IFERROR(AC65/AC444, "NA")</f>
        <v>-0.38203281975880526</v>
      </c>
    </row>
    <row r="66" spans="1:30" ht="16.5" customHeight="1" x14ac:dyDescent="0.45">
      <c r="A66" s="12" t="s">
        <v>63</v>
      </c>
      <c r="B66" s="7">
        <v>3067.23</v>
      </c>
      <c r="C66" s="8">
        <f>IFERROR(B66/B444, "NA")</f>
        <v>2.3922637791314465E-2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3067.23</v>
      </c>
      <c r="I66" s="8">
        <f>IFERROR(H66/H444, "NA")</f>
        <v>-0.10056933648888175</v>
      </c>
      <c r="J66" s="9"/>
      <c r="K66" s="7">
        <v>14811.27</v>
      </c>
      <c r="L66" s="8">
        <f>IFERROR(K66/K444, "NA")</f>
        <v>0.10106660823820797</v>
      </c>
      <c r="M66" s="9"/>
      <c r="N66" s="10">
        <f t="shared" si="17"/>
        <v>-11744.04</v>
      </c>
      <c r="O66" s="8">
        <f>IFERROR(N66/N444, "NA")</f>
        <v>0.6405240236596027</v>
      </c>
      <c r="P66" s="9"/>
      <c r="Q66" s="7">
        <v>10108.14</v>
      </c>
      <c r="R66" s="8">
        <f>IFERROR(Q66/Q444, "NA")</f>
        <v>3.3818162912293663E-2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10108.14</v>
      </c>
      <c r="X66" s="8">
        <f>IFERROR(W66/W444, "NA")</f>
        <v>-0.17762566208925518</v>
      </c>
      <c r="Y66" s="9"/>
      <c r="Z66" s="7">
        <v>22267.99</v>
      </c>
      <c r="AA66" s="8">
        <f>IFERROR(Z66/Z444, "NA")</f>
        <v>6.6203290990024768E-2</v>
      </c>
      <c r="AB66" s="9"/>
      <c r="AC66" s="10">
        <f t="shared" si="19"/>
        <v>-12159.850000000002</v>
      </c>
      <c r="AD66" s="8">
        <f>IFERROR(AC66/AC444, "NA")</f>
        <v>0.3246005108783892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2003.48</v>
      </c>
      <c r="C68" s="8">
        <f>IFERROR(B68/B444, "NA")</f>
        <v>1.5625996864318197E-2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2003.48</v>
      </c>
      <c r="I68" s="8">
        <f>IFERROR(H68/H444, "NA")</f>
        <v>-6.5690754938085766E-2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2003.48</v>
      </c>
      <c r="O68" s="8">
        <f>IFERROR(N68/N444, "NA")</f>
        <v>-0.10927049558086832</v>
      </c>
      <c r="P68" s="9"/>
      <c r="Q68" s="7">
        <v>4102.79</v>
      </c>
      <c r="R68" s="8">
        <f>IFERROR(Q68/Q444, "NA")</f>
        <v>1.3726444292909411E-2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4102.79</v>
      </c>
      <c r="X68" s="8">
        <f>IFERROR(W68/W444, "NA")</f>
        <v>-7.2096428241315944E-2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4102.79</v>
      </c>
      <c r="AD68" s="8">
        <f>IFERROR(AC68/AC444, "NA")</f>
        <v>-0.10952172354319717</v>
      </c>
    </row>
    <row r="69" spans="1:30" ht="16.5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-17.850000000000001</v>
      </c>
      <c r="R69" s="8">
        <f>IFERROR(Q69/Q444, "NA")</f>
        <v>-5.9719612904494988E-5</v>
      </c>
      <c r="S69" s="9"/>
      <c r="T69" s="7">
        <v>0</v>
      </c>
      <c r="U69" s="8">
        <f>IFERROR(T69/T444, "NA")</f>
        <v>0</v>
      </c>
      <c r="V69" s="9"/>
      <c r="W69" s="10">
        <f t="shared" si="18"/>
        <v>-17.850000000000001</v>
      </c>
      <c r="X69" s="8">
        <f>IFERROR(W69/W444, "NA")</f>
        <v>3.1366978180883976E-4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-17.850000000000001</v>
      </c>
      <c r="AD69" s="8">
        <f>IFERROR(AC69/AC444, "NA")</f>
        <v>4.7649593697120002E-4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customHeight="1" x14ac:dyDescent="0.45">
      <c r="A72" s="12" t="s">
        <v>69</v>
      </c>
      <c r="B72" s="7">
        <v>1353.8</v>
      </c>
      <c r="C72" s="8">
        <f>IFERROR(B72/B444, "NA")</f>
        <v>1.0558864852613439E-2</v>
      </c>
      <c r="D72" s="9"/>
      <c r="E72" s="7">
        <v>0</v>
      </c>
      <c r="F72" s="8">
        <f>IFERROR(E72/E444, "NA")</f>
        <v>0</v>
      </c>
      <c r="G72" s="9"/>
      <c r="H72" s="10">
        <f t="shared" si="16"/>
        <v>1353.8</v>
      </c>
      <c r="I72" s="8">
        <f>IFERROR(H72/H444, "NA")</f>
        <v>-4.4388835443917835E-2</v>
      </c>
      <c r="J72" s="9"/>
      <c r="K72" s="7">
        <v>0</v>
      </c>
      <c r="L72" s="8">
        <f>IFERROR(K72/K444, "NA")</f>
        <v>0</v>
      </c>
      <c r="M72" s="9"/>
      <c r="N72" s="10">
        <f t="shared" si="17"/>
        <v>1353.8</v>
      </c>
      <c r="O72" s="8">
        <f>IFERROR(N72/N444, "NA")</f>
        <v>-7.3836722561432866E-2</v>
      </c>
      <c r="P72" s="9"/>
      <c r="Q72" s="7">
        <v>1353.8</v>
      </c>
      <c r="R72" s="8">
        <f>IFERROR(Q72/Q444, "NA")</f>
        <v>4.5293227983252277E-3</v>
      </c>
      <c r="S72" s="9"/>
      <c r="T72" s="7">
        <v>0</v>
      </c>
      <c r="U72" s="8">
        <f>IFERROR(T72/T444, "NA")</f>
        <v>0</v>
      </c>
      <c r="V72" s="9"/>
      <c r="W72" s="10">
        <f t="shared" si="18"/>
        <v>1353.8</v>
      </c>
      <c r="X72" s="8">
        <f>IFERROR(W72/W444, "NA")</f>
        <v>-2.3789700314442979E-2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1353.8</v>
      </c>
      <c r="AD72" s="8">
        <f>IFERROR(AC72/AC444, "NA")</f>
        <v>-3.6138946749109835E-2</v>
      </c>
    </row>
    <row r="73" spans="1:30" ht="16.5" customHeight="1" x14ac:dyDescent="0.45">
      <c r="A73" s="13" t="s">
        <v>70</v>
      </c>
      <c r="B73" s="14">
        <f>IFERROR(B64+B65+B66+B67+B68+B69+B70+B71+B72, "NA")</f>
        <v>13734.13</v>
      </c>
      <c r="C73" s="15">
        <f>IFERROR(B73/B444, "NA")</f>
        <v>0.10711835022767309</v>
      </c>
      <c r="D73" s="2"/>
      <c r="E73" s="14">
        <f>IFERROR(E64+E65+E66+E67+E68+E69+E70+E71+E72, "NA")</f>
        <v>12697.06</v>
      </c>
      <c r="F73" s="15">
        <f>IFERROR(E73/E444, "NA")</f>
        <v>8.0000025202692643E-2</v>
      </c>
      <c r="G73" s="2"/>
      <c r="H73" s="14">
        <f t="shared" si="16"/>
        <v>1037.0699999999997</v>
      </c>
      <c r="I73" s="15">
        <f>IFERROR(H73/H444, "NA")</f>
        <v>-3.4003789018927359E-2</v>
      </c>
      <c r="J73" s="2"/>
      <c r="K73" s="14">
        <f>IFERROR(K64+K65+K66+K67+K68+K69+K70+K71+K72, "NA")</f>
        <v>14811.27</v>
      </c>
      <c r="L73" s="15">
        <f>IFERROR(K73/K444, "NA")</f>
        <v>0.10106660823820797</v>
      </c>
      <c r="M73" s="2"/>
      <c r="N73" s="14">
        <f t="shared" si="17"/>
        <v>-1077.1400000000012</v>
      </c>
      <c r="O73" s="15">
        <f>IFERROR(N73/N444, "NA")</f>
        <v>5.8747589998391116E-2</v>
      </c>
      <c r="P73" s="2"/>
      <c r="Q73" s="14">
        <f>IFERROR(Q64+Q65+Q66+Q67+Q68+Q69+Q70+Q71+Q72, "NA")</f>
        <v>29858.2</v>
      </c>
      <c r="R73" s="15">
        <f>IFERROR(Q73/Q444, "NA")</f>
        <v>9.9894686051820294E-2</v>
      </c>
      <c r="S73" s="2"/>
      <c r="T73" s="14">
        <f>IFERROR(T64+T65+T66+T67+T68+T69+T70+T71+T72, "NA")</f>
        <v>28464.31</v>
      </c>
      <c r="U73" s="15">
        <f>IFERROR(T73/T444, "NA")</f>
        <v>8.0000025856949916E-2</v>
      </c>
      <c r="V73" s="2"/>
      <c r="W73" s="14">
        <f t="shared" si="18"/>
        <v>1393.8899999999994</v>
      </c>
      <c r="X73" s="15">
        <f>IFERROR(W73/W444, "NA")</f>
        <v>-2.4494183314595148E-2</v>
      </c>
      <c r="Y73" s="2"/>
      <c r="Z73" s="14">
        <f>IFERROR(Z64+Z65+Z66+Z67+Z68+Z69+Z70+Z71+Z72, "NA")</f>
        <v>22267.99</v>
      </c>
      <c r="AA73" s="15">
        <f>IFERROR(Z73/Z444, "NA")</f>
        <v>6.6203290990024768E-2</v>
      </c>
      <c r="AB73" s="2"/>
      <c r="AC73" s="14">
        <f t="shared" si="19"/>
        <v>7590.2099999999991</v>
      </c>
      <c r="AD73" s="15">
        <f>IFERROR(AC73/AC444, "NA")</f>
        <v>-0.2026164832357519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2380.6999999999998</v>
      </c>
      <c r="F75" s="8">
        <f>IFERROR(E75/E444, "NA")</f>
        <v>1.5000012601346325E-2</v>
      </c>
      <c r="G75" s="9"/>
      <c r="H75" s="10">
        <f t="shared" ref="H75:H92" si="20">IFERROR(B75-E75, "NA")</f>
        <v>-2380.6999999999998</v>
      </c>
      <c r="I75" s="8">
        <f>IFERROR(H75/H444, "NA")</f>
        <v>7.8059167189640413E-2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5337.06</v>
      </c>
      <c r="U75" s="8">
        <f>IFERROR(T75/T444, "NA")</f>
        <v>1.5000010117936922E-2</v>
      </c>
      <c r="V75" s="9"/>
      <c r="W75" s="10">
        <f t="shared" ref="W75:W92" si="22">IFERROR(Q75-T75, "NA")</f>
        <v>-5337.06</v>
      </c>
      <c r="X75" s="8">
        <f>IFERROR(W75/W444, "NA")</f>
        <v>9.3785683232531447E-2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369.05</v>
      </c>
      <c r="C77" s="8">
        <f>IFERROR(B77/B444, "NA")</f>
        <v>2.8783786924634291E-3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369.05</v>
      </c>
      <c r="I77" s="8">
        <f>IFERROR(H77/H444, "NA")</f>
        <v>-1.2100531629914226E-2</v>
      </c>
      <c r="J77" s="9"/>
      <c r="K77" s="7">
        <v>723.11</v>
      </c>
      <c r="L77" s="8">
        <f>IFERROR(K77/K444, "NA")</f>
        <v>4.9342342070011931E-3</v>
      </c>
      <c r="M77" s="9"/>
      <c r="N77" s="10">
        <f t="shared" si="21"/>
        <v>-354.06</v>
      </c>
      <c r="O77" s="8">
        <f>IFERROR(N77/N444, "NA")</f>
        <v>1.9310555466169985E-2</v>
      </c>
      <c r="P77" s="9"/>
      <c r="Q77" s="7">
        <v>770.68</v>
      </c>
      <c r="R77" s="8">
        <f>IFERROR(Q77/Q444, "NA")</f>
        <v>2.5784151973801787E-3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770.68</v>
      </c>
      <c r="X77" s="8">
        <f>IFERROR(W77/W444, "NA")</f>
        <v>-1.3542802657951629E-2</v>
      </c>
      <c r="Y77" s="9"/>
      <c r="Z77" s="7">
        <v>1041.18</v>
      </c>
      <c r="AA77" s="8">
        <f>IFERROR(Z77/Z444, "NA")</f>
        <v>3.0954541704479831E-3</v>
      </c>
      <c r="AB77" s="9"/>
      <c r="AC77" s="10">
        <f t="shared" si="23"/>
        <v>-270.50000000000011</v>
      </c>
      <c r="AD77" s="8">
        <f>IFERROR(AC77/AC444, "NA")</f>
        <v>7.220848792756843E-3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hidden="1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0</v>
      </c>
      <c r="AA79" s="8">
        <f>IFERROR(Z79/Z444, "NA")</f>
        <v>0</v>
      </c>
      <c r="AB79" s="9"/>
      <c r="AC79" s="10">
        <f t="shared" si="23"/>
        <v>0</v>
      </c>
      <c r="AD79" s="8">
        <f>IFERROR(AC79/AC444, "NA")</f>
        <v>0</v>
      </c>
    </row>
    <row r="80" spans="1:30" ht="16.5" customHeight="1" x14ac:dyDescent="0.45">
      <c r="A80" s="12" t="s">
        <v>76</v>
      </c>
      <c r="B80" s="7">
        <v>956.76</v>
      </c>
      <c r="C80" s="8">
        <f>IFERROR(B80/B444, "NA")</f>
        <v>7.4621801864281538E-3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956.76</v>
      </c>
      <c r="I80" s="8">
        <f>IFERROR(H80/H444, "NA")</f>
        <v>-3.1370558575360342E-2</v>
      </c>
      <c r="J80" s="9"/>
      <c r="K80" s="7">
        <v>913.25</v>
      </c>
      <c r="L80" s="8">
        <f>IFERROR(K80/K444, "NA")</f>
        <v>6.2316789832028872E-3</v>
      </c>
      <c r="M80" s="9"/>
      <c r="N80" s="10">
        <f t="shared" si="21"/>
        <v>43.509999999999991</v>
      </c>
      <c r="O80" s="8">
        <f>IFERROR(N80/N444, "NA")</f>
        <v>-2.3730505234509851E-3</v>
      </c>
      <c r="P80" s="9"/>
      <c r="Q80" s="7">
        <v>2489.7199999999998</v>
      </c>
      <c r="R80" s="8">
        <f>IFERROR(Q80/Q444, "NA")</f>
        <v>8.3296982991921138E-3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2489.7199999999998</v>
      </c>
      <c r="X80" s="8">
        <f>IFERROR(W80/W444, "NA")</f>
        <v>-4.3750696311770552E-2</v>
      </c>
      <c r="Y80" s="9"/>
      <c r="Z80" s="7">
        <v>3574.98</v>
      </c>
      <c r="AA80" s="8">
        <f>IFERROR(Z80/Z444, "NA")</f>
        <v>1.062850491775498E-2</v>
      </c>
      <c r="AB80" s="9"/>
      <c r="AC80" s="10">
        <f t="shared" si="23"/>
        <v>-1085.2600000000002</v>
      </c>
      <c r="AD80" s="8">
        <f>IFERROR(AC80/AC444, "NA")</f>
        <v>2.8970419078843956E-2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1325.81</v>
      </c>
      <c r="C88" s="15">
        <f>IFERROR(B88/B444, "NA")</f>
        <v>1.0340558878891582E-2</v>
      </c>
      <c r="D88" s="2"/>
      <c r="E88" s="14">
        <f>IFERROR(E75+E76+E77+E78+E79+E80+E81+E82+E83+E84+E85+E86+E87, "NA")</f>
        <v>2380.6999999999998</v>
      </c>
      <c r="F88" s="15">
        <f>IFERROR(E88/E444, "NA")</f>
        <v>1.5000012601346325E-2</v>
      </c>
      <c r="G88" s="2"/>
      <c r="H88" s="14">
        <f t="shared" si="20"/>
        <v>-1054.8899999999999</v>
      </c>
      <c r="I88" s="15">
        <f>IFERROR(H88/H444, "NA")</f>
        <v>3.4588076984365848E-2</v>
      </c>
      <c r="J88" s="2"/>
      <c r="K88" s="14">
        <f>IFERROR(K75+K76+K77+K78+K79+K80+K81+K82+K83+K84+K85+K86+K87, "NA")</f>
        <v>1636.3600000000001</v>
      </c>
      <c r="L88" s="15">
        <f>IFERROR(K88/K444, "NA")</f>
        <v>1.1165913190204081E-2</v>
      </c>
      <c r="M88" s="2"/>
      <c r="N88" s="14">
        <f t="shared" si="21"/>
        <v>-310.55000000000018</v>
      </c>
      <c r="O88" s="15">
        <f>IFERROR(N88/N444, "NA")</f>
        <v>1.6937504942719006E-2</v>
      </c>
      <c r="P88" s="2"/>
      <c r="Q88" s="14">
        <f>IFERROR(Q75+Q76+Q77+Q78+Q79+Q80+Q81+Q82+Q83+Q84+Q85+Q86+Q87, "NA")</f>
        <v>3260.3999999999996</v>
      </c>
      <c r="R88" s="15">
        <f>IFERROR(Q88/Q444, "NA")</f>
        <v>1.0908113496572292E-2</v>
      </c>
      <c r="S88" s="2"/>
      <c r="T88" s="14">
        <f>IFERROR(T75+T76+T77+T78+T79+T80+T81+T82+T83+T84+T85+T86+T87, "NA")</f>
        <v>5337.06</v>
      </c>
      <c r="U88" s="15">
        <f>IFERROR(T88/T444, "NA")</f>
        <v>1.5000010117936922E-2</v>
      </c>
      <c r="V88" s="2"/>
      <c r="W88" s="14">
        <f t="shared" si="22"/>
        <v>-2076.6600000000008</v>
      </c>
      <c r="X88" s="15">
        <f>IFERROR(W88/W444, "NA")</f>
        <v>3.6492184262809264E-2</v>
      </c>
      <c r="Y88" s="2"/>
      <c r="Z88" s="14">
        <f>IFERROR(Z75+Z76+Z77+Z78+Z79+Z80+Z81+Z82+Z83+Z84+Z85+Z86+Z87, "NA")</f>
        <v>4616.16</v>
      </c>
      <c r="AA88" s="15">
        <f>IFERROR(Z88/Z444, "NA")</f>
        <v>1.3723959088202961E-2</v>
      </c>
      <c r="AB88" s="2"/>
      <c r="AC88" s="14">
        <f t="shared" si="23"/>
        <v>-1355.7600000000002</v>
      </c>
      <c r="AD88" s="15">
        <f>IFERROR(AC88/AC444, "NA")</f>
        <v>3.6191267871600798E-2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-5.3</v>
      </c>
      <c r="L89" s="8">
        <f>IFERROR(K89/K444, "NA")</f>
        <v>-3.6165232533233286E-5</v>
      </c>
      <c r="M89" s="9"/>
      <c r="N89" s="10">
        <f t="shared" si="21"/>
        <v>5.3</v>
      </c>
      <c r="O89" s="8">
        <f>IFERROR(N89/N444, "NA")</f>
        <v>-2.8906384220386632E-4</v>
      </c>
      <c r="P89" s="9"/>
      <c r="Q89" s="7">
        <v>-12.25</v>
      </c>
      <c r="R89" s="8">
        <f>IFERROR(Q89/Q444, "NA")</f>
        <v>-4.0984048071712246E-5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-12.25</v>
      </c>
      <c r="X89" s="8">
        <f>IFERROR(W89/W444, "NA")</f>
        <v>2.1526357575116451E-4</v>
      </c>
      <c r="Y89" s="9"/>
      <c r="Z89" s="7">
        <v>-5.3</v>
      </c>
      <c r="AA89" s="8">
        <f>IFERROR(Z89/Z444, "NA")</f>
        <v>-1.5757032504825591E-5</v>
      </c>
      <c r="AB89" s="9"/>
      <c r="AC89" s="10">
        <f t="shared" si="23"/>
        <v>-6.95</v>
      </c>
      <c r="AD89" s="8">
        <f>IFERROR(AC89/AC444, "NA")</f>
        <v>1.8552642924088739E-4</v>
      </c>
    </row>
    <row r="90" spans="1:30" ht="16.5" customHeight="1" x14ac:dyDescent="0.45">
      <c r="A90" s="6" t="s">
        <v>86</v>
      </c>
      <c r="B90" s="7">
        <v>97.31</v>
      </c>
      <c r="C90" s="8">
        <f>IFERROR(B90/B444, "NA")</f>
        <v>7.5896228306087602E-4</v>
      </c>
      <c r="D90" s="9"/>
      <c r="E90" s="7">
        <v>0</v>
      </c>
      <c r="F90" s="8">
        <f>IFERROR(E90/E444, "NA")</f>
        <v>0</v>
      </c>
      <c r="G90" s="9"/>
      <c r="H90" s="10">
        <f t="shared" si="20"/>
        <v>97.31</v>
      </c>
      <c r="I90" s="8">
        <f>IFERROR(H90/H444, "NA")</f>
        <v>-3.1906319818641193E-3</v>
      </c>
      <c r="J90" s="9"/>
      <c r="K90" s="7">
        <v>0</v>
      </c>
      <c r="L90" s="8">
        <f>IFERROR(K90/K444, "NA")</f>
        <v>0</v>
      </c>
      <c r="M90" s="9"/>
      <c r="N90" s="10">
        <f t="shared" si="21"/>
        <v>97.31</v>
      </c>
      <c r="O90" s="8">
        <f>IFERROR(N90/N444, "NA")</f>
        <v>-5.3073212235581566E-3</v>
      </c>
      <c r="P90" s="9"/>
      <c r="Q90" s="7">
        <v>-370.37</v>
      </c>
      <c r="R90" s="8">
        <f>IFERROR(Q90/Q444, "NA")</f>
        <v>-1.2391234191281685E-3</v>
      </c>
      <c r="S90" s="9"/>
      <c r="T90" s="7">
        <v>0</v>
      </c>
      <c r="U90" s="8">
        <f>IFERROR(T90/T444, "NA")</f>
        <v>0</v>
      </c>
      <c r="V90" s="9"/>
      <c r="W90" s="10">
        <f t="shared" si="22"/>
        <v>-370.37</v>
      </c>
      <c r="X90" s="8">
        <f>IFERROR(W90/W444, "NA")</f>
        <v>6.5083404531394943E-3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-370.37</v>
      </c>
      <c r="AD90" s="8">
        <f>IFERROR(AC90/AC444, "NA")</f>
        <v>9.8868235392730163E-3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-7459.52</v>
      </c>
      <c r="F94" s="8">
        <f>IFERROR(E94/E444, "NA")</f>
        <v>-4.6999997479730736E-2</v>
      </c>
      <c r="G94" s="9"/>
      <c r="H94" s="10">
        <f t="shared" ref="H94:H124" si="24">IFERROR(B94-E94, "NA")</f>
        <v>7459.52</v>
      </c>
      <c r="I94" s="8">
        <f>IFERROR(H94/H444, "NA")</f>
        <v>-0.24458517193870144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-16722.78</v>
      </c>
      <c r="U94" s="8">
        <f>IFERROR(T94/T444, "NA")</f>
        <v>-4.7000009218564745E-2</v>
      </c>
      <c r="V94" s="9"/>
      <c r="W94" s="10">
        <f t="shared" ref="W94:W124" si="26">IFERROR(Q94-T94, "NA")</f>
        <v>16722.78</v>
      </c>
      <c r="X94" s="8">
        <f>IFERROR(W94/W444, "NA")</f>
        <v>-0.29386166688163745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-1419.63</v>
      </c>
      <c r="C96" s="8">
        <f>IFERROR(B96/B444, "NA")</f>
        <v>-1.1072301160227227E-2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-1419.63</v>
      </c>
      <c r="I96" s="8">
        <f>IFERROR(H96/H444, "NA")</f>
        <v>4.6547290930158872E-2</v>
      </c>
      <c r="J96" s="9"/>
      <c r="K96" s="7">
        <v>-1641.85</v>
      </c>
      <c r="L96" s="8">
        <f>IFERROR(K96/K444, "NA")</f>
        <v>-1.1203374912205485E-2</v>
      </c>
      <c r="M96" s="9"/>
      <c r="N96" s="10">
        <f t="shared" si="25"/>
        <v>222.2199999999998</v>
      </c>
      <c r="O96" s="8">
        <f>IFERROR(N96/N444, "NA")</f>
        <v>-1.2119956040479832E-2</v>
      </c>
      <c r="P96" s="9"/>
      <c r="Q96" s="7">
        <v>-4400.18</v>
      </c>
      <c r="R96" s="8">
        <f>IFERROR(Q96/Q444, "NA")</f>
        <v>-1.4721403154627494E-2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-4400.18</v>
      </c>
      <c r="X96" s="8">
        <f>IFERROR(W96/W444, "NA")</f>
        <v>7.7322324959082381E-2</v>
      </c>
      <c r="Y96" s="9"/>
      <c r="Z96" s="7">
        <v>-4790.6000000000004</v>
      </c>
      <c r="AA96" s="8">
        <f>IFERROR(Z96/Z444, "NA")</f>
        <v>-1.424257356936179E-2</v>
      </c>
      <c r="AB96" s="9"/>
      <c r="AC96" s="10">
        <f t="shared" si="27"/>
        <v>390.42000000000007</v>
      </c>
      <c r="AD96" s="8">
        <f>IFERROR(AC96/AC444, "NA")</f>
        <v>-1.0422047266795291E-2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-1600.15</v>
      </c>
      <c r="C98" s="8">
        <f>IFERROR(B98/B444, "NA")</f>
        <v>-1.2480253799608064E-2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-1600.15</v>
      </c>
      <c r="I98" s="8">
        <f>IFERROR(H98/H444, "NA")</f>
        <v>5.246623950035835E-2</v>
      </c>
      <c r="J98" s="9"/>
      <c r="K98" s="7">
        <v>-3215.52</v>
      </c>
      <c r="L98" s="8">
        <f>IFERROR(K98/K444, "NA")</f>
        <v>-2.1941514814200435E-2</v>
      </c>
      <c r="M98" s="9"/>
      <c r="N98" s="10">
        <f t="shared" si="25"/>
        <v>1615.37</v>
      </c>
      <c r="O98" s="8">
        <f>IFERROR(N98/N444, "NA")</f>
        <v>-8.8102841279407457E-2</v>
      </c>
      <c r="P98" s="9"/>
      <c r="Q98" s="7">
        <v>-5759.81</v>
      </c>
      <c r="R98" s="8">
        <f>IFERROR(Q98/Q444, "NA")</f>
        <v>-1.927023101419828E-2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-5759.81</v>
      </c>
      <c r="X98" s="8">
        <f>IFERROR(W98/W444, "NA")</f>
        <v>0.10121447316304612</v>
      </c>
      <c r="Y98" s="9"/>
      <c r="Z98" s="7">
        <v>-7204.75</v>
      </c>
      <c r="AA98" s="8">
        <f>IFERROR(Z98/Z444, "NA")</f>
        <v>-2.1419901875309844E-2</v>
      </c>
      <c r="AB98" s="9"/>
      <c r="AC98" s="10">
        <f t="shared" si="27"/>
        <v>1444.9399999999996</v>
      </c>
      <c r="AD98" s="8">
        <f>IFERROR(AC98/AC444, "NA")</f>
        <v>-3.8571878944939242E-2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-97</v>
      </c>
      <c r="C100" s="8">
        <f>IFERROR(B100/B444, "NA")</f>
        <v>-7.5654446055806158E-4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-97</v>
      </c>
      <c r="I100" s="8">
        <f>IFERROR(H100/H444, "NA")</f>
        <v>3.180467600871643E-3</v>
      </c>
      <c r="J100" s="9"/>
      <c r="K100" s="7">
        <v>-418.75</v>
      </c>
      <c r="L100" s="8">
        <f>IFERROR(K100/K444, "NA")</f>
        <v>-2.8573945515644227E-3</v>
      </c>
      <c r="M100" s="9"/>
      <c r="N100" s="10">
        <f t="shared" si="25"/>
        <v>321.75</v>
      </c>
      <c r="O100" s="8">
        <f>IFERROR(N100/N444, "NA")</f>
        <v>-1.7548356835678111E-2</v>
      </c>
      <c r="P100" s="9"/>
      <c r="Q100" s="7">
        <v>-253.24</v>
      </c>
      <c r="R100" s="8">
        <f>IFERROR(Q100/Q444, "NA")</f>
        <v>-8.4724900683105385E-4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-253.24</v>
      </c>
      <c r="X100" s="8">
        <f>IFERROR(W100/W444, "NA")</f>
        <v>4.4500692182224411E-3</v>
      </c>
      <c r="Y100" s="9"/>
      <c r="Z100" s="7">
        <v>-2116.7199999999998</v>
      </c>
      <c r="AA100" s="8">
        <f>IFERROR(Z100/Z444, "NA")</f>
        <v>-6.2930614799272498E-3</v>
      </c>
      <c r="AB100" s="9"/>
      <c r="AC100" s="10">
        <f t="shared" si="27"/>
        <v>1863.4799999999998</v>
      </c>
      <c r="AD100" s="8">
        <f>IFERROR(AC100/AC444, "NA")</f>
        <v>-4.9744574152778241E-2</v>
      </c>
    </row>
    <row r="101" spans="1:30" ht="16.5" customHeight="1" x14ac:dyDescent="0.45">
      <c r="A101" s="12" t="s">
        <v>96</v>
      </c>
      <c r="B101" s="7">
        <v>-10</v>
      </c>
      <c r="C101" s="8">
        <f>IFERROR(B101/B444, "NA")</f>
        <v>-7.7994274284336236E-5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-10</v>
      </c>
      <c r="I101" s="8">
        <f>IFERROR(H101/H444, "NA")</f>
        <v>3.2788325782181886E-4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-10</v>
      </c>
      <c r="O101" s="8">
        <f>IFERROR(N101/N444, "NA")</f>
        <v>5.4540347585635158E-4</v>
      </c>
      <c r="P101" s="9"/>
      <c r="Q101" s="7">
        <v>-105.51</v>
      </c>
      <c r="R101" s="8">
        <f>IFERROR(Q101/Q444, "NA")</f>
        <v>-3.5299811526909053E-4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-105.51</v>
      </c>
      <c r="X101" s="8">
        <f>IFERROR(W101/W444, "NA")</f>
        <v>1.8540783573473771E-3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-105.51</v>
      </c>
      <c r="AD101" s="8">
        <f>IFERROR(AC101/AC444, "NA")</f>
        <v>2.816531445928925E-3</v>
      </c>
    </row>
    <row r="102" spans="1:30" ht="16.5" customHeight="1" x14ac:dyDescent="0.45">
      <c r="A102" s="12" t="s">
        <v>97</v>
      </c>
      <c r="B102" s="7">
        <v>-389.81</v>
      </c>
      <c r="C102" s="8">
        <f>IFERROR(B102/B444, "NA")</f>
        <v>-3.0402948058777112E-3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-389.81</v>
      </c>
      <c r="I102" s="8">
        <f>IFERROR(H102/H444, "NA")</f>
        <v>1.2781217273152321E-2</v>
      </c>
      <c r="J102" s="9"/>
      <c r="K102" s="7">
        <v>-389.35</v>
      </c>
      <c r="L102" s="8">
        <f>IFERROR(K102/K444, "NA")</f>
        <v>-2.6567798654366761E-3</v>
      </c>
      <c r="M102" s="9"/>
      <c r="N102" s="10">
        <f t="shared" si="25"/>
        <v>-0.45999999999997954</v>
      </c>
      <c r="O102" s="8">
        <f>IFERROR(N102/N444, "NA")</f>
        <v>2.5088559889391056E-5</v>
      </c>
      <c r="P102" s="9"/>
      <c r="Q102" s="7">
        <v>-816.58</v>
      </c>
      <c r="R102" s="8">
        <f>IFERROR(Q102/Q444, "NA")</f>
        <v>-2.7319799162774517E-3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-816.58</v>
      </c>
      <c r="X102" s="8">
        <f>IFERROR(W102/W444, "NA")</f>
        <v>1.4349382096888647E-2</v>
      </c>
      <c r="Y102" s="9"/>
      <c r="Z102" s="7">
        <v>-922.64</v>
      </c>
      <c r="AA102" s="8">
        <f>IFERROR(Z102/Z444, "NA")</f>
        <v>-2.7430317868400536E-3</v>
      </c>
      <c r="AB102" s="9"/>
      <c r="AC102" s="10">
        <f t="shared" si="27"/>
        <v>106.05999999999995</v>
      </c>
      <c r="AD102" s="8">
        <f>IFERROR(AC102/AC444, "NA")</f>
        <v>-2.8312133935666913E-3</v>
      </c>
    </row>
    <row r="103" spans="1:30" ht="16.5" customHeight="1" x14ac:dyDescent="0.45">
      <c r="A103" s="12" t="s">
        <v>98</v>
      </c>
      <c r="B103" s="7">
        <v>-13</v>
      </c>
      <c r="C103" s="8">
        <f>IFERROR(B103/B444, "NA")</f>
        <v>-1.0139255656963712E-4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-13</v>
      </c>
      <c r="I103" s="8">
        <f>IFERROR(H103/H444, "NA")</f>
        <v>4.2624823516836455E-4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-13</v>
      </c>
      <c r="O103" s="8">
        <f>IFERROR(N103/N444, "NA")</f>
        <v>7.0902451861325699E-4</v>
      </c>
      <c r="P103" s="9"/>
      <c r="Q103" s="7">
        <v>-87</v>
      </c>
      <c r="R103" s="8">
        <f>IFERROR(Q103/Q444, "NA")</f>
        <v>-2.9107038222358898E-4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-87</v>
      </c>
      <c r="X103" s="8">
        <f>IFERROR(W103/W444, "NA")</f>
        <v>1.5288107012531684E-3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-87</v>
      </c>
      <c r="AD103" s="8">
        <f>IFERROR(AC103/AC444, "NA")</f>
        <v>2.3224171717924035E-3</v>
      </c>
    </row>
    <row r="104" spans="1:30" ht="16.5" customHeight="1" x14ac:dyDescent="0.45">
      <c r="A104" s="12" t="s">
        <v>99</v>
      </c>
      <c r="B104" s="7">
        <v>-1128.67</v>
      </c>
      <c r="C104" s="8">
        <f>IFERROR(B104/B444, "NA")</f>
        <v>-8.8029797556501786E-3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-1128.67</v>
      </c>
      <c r="I104" s="8">
        <f>IFERROR(H104/H444, "NA")</f>
        <v>3.7007199660575231E-2</v>
      </c>
      <c r="J104" s="9"/>
      <c r="K104" s="7">
        <v>-863.46</v>
      </c>
      <c r="L104" s="8">
        <f>IFERROR(K104/K444, "NA")</f>
        <v>-5.8919305062538905E-3</v>
      </c>
      <c r="M104" s="9"/>
      <c r="N104" s="10">
        <f t="shared" si="25"/>
        <v>-265.21000000000004</v>
      </c>
      <c r="O104" s="8">
        <f>IFERROR(N104/N444, "NA")</f>
        <v>1.4464645583186301E-2</v>
      </c>
      <c r="P104" s="9"/>
      <c r="Q104" s="7">
        <v>-1719.39</v>
      </c>
      <c r="R104" s="8">
        <f>IFERROR(Q104/Q444, "NA")</f>
        <v>-5.7524540746139849E-3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-1719.39</v>
      </c>
      <c r="X104" s="8">
        <f>IFERROR(W104/W444, "NA")</f>
        <v>3.0214044041697533E-2</v>
      </c>
      <c r="Y104" s="9"/>
      <c r="Z104" s="7">
        <v>-2031.93</v>
      </c>
      <c r="AA104" s="8">
        <f>IFERROR(Z104/Z444, "NA")</f>
        <v>-6.0409786901000498E-3</v>
      </c>
      <c r="AB104" s="9"/>
      <c r="AC104" s="10">
        <f t="shared" si="27"/>
        <v>312.53999999999996</v>
      </c>
      <c r="AD104" s="8">
        <f>IFERROR(AC104/AC444, "NA")</f>
        <v>-8.3430834812873288E-3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-60.52</v>
      </c>
      <c r="C106" s="8">
        <f>IFERROR(B106/B444, "NA")</f>
        <v>-4.7202134796880295E-4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-60.52</v>
      </c>
      <c r="I106" s="8">
        <f>IFERROR(H106/H444, "NA")</f>
        <v>1.984349476337648E-3</v>
      </c>
      <c r="J106" s="9"/>
      <c r="K106" s="7">
        <v>-130.1</v>
      </c>
      <c r="L106" s="8">
        <f>IFERROR(K106/K444, "NA")</f>
        <v>-8.8775410425917945E-4</v>
      </c>
      <c r="M106" s="9"/>
      <c r="N106" s="10">
        <f t="shared" si="25"/>
        <v>69.579999999999984</v>
      </c>
      <c r="O106" s="8">
        <f>IFERROR(N106/N444, "NA")</f>
        <v>-3.7949173850084931E-3</v>
      </c>
      <c r="P106" s="9"/>
      <c r="Q106" s="7">
        <v>-94.51</v>
      </c>
      <c r="R106" s="8">
        <f>IFERROR(Q106/Q444, "NA")</f>
        <v>-3.161961129189816E-4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-94.51</v>
      </c>
      <c r="X106" s="8">
        <f>IFERROR(W106/W444, "NA")</f>
        <v>1.6607804525912294E-3</v>
      </c>
      <c r="Y106" s="9"/>
      <c r="Z106" s="7">
        <v>-140.1</v>
      </c>
      <c r="AA106" s="8">
        <f>IFERROR(Z106/Z444, "NA")</f>
        <v>-4.165208026275595E-4</v>
      </c>
      <c r="AB106" s="9"/>
      <c r="AC106" s="10">
        <f t="shared" si="27"/>
        <v>45.589999999999989</v>
      </c>
      <c r="AD106" s="8">
        <f>IFERROR(AC106/AC444, "NA")</f>
        <v>-1.2169999869197201E-3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hidden="1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0</v>
      </c>
      <c r="AA108" s="8">
        <f>IFERROR(Z108/Z444, "NA")</f>
        <v>0</v>
      </c>
      <c r="AB108" s="9"/>
      <c r="AC108" s="10">
        <f t="shared" si="27"/>
        <v>0</v>
      </c>
      <c r="AD108" s="8">
        <f>IFERROR(AC108/AC444, "NA")</f>
        <v>0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-4718.7800000000007</v>
      </c>
      <c r="C118" s="15">
        <f>IFERROR(B118/B444, "NA")</f>
        <v>-3.6803782160744022E-2</v>
      </c>
      <c r="D118" s="2"/>
      <c r="E118" s="14">
        <f>IFERROR(E94+E95+E96+E97+E98+E99+E100+E101+E102+E103+E104+E105+E106+E107+E108+E109+E110+E111+E112+E113+E114+E115+E116+E117, "NA")</f>
        <v>-7459.52</v>
      </c>
      <c r="F118" s="15">
        <f>IFERROR(E118/E444, "NA")</f>
        <v>-4.6999997479730736E-2</v>
      </c>
      <c r="G118" s="2"/>
      <c r="H118" s="14">
        <f t="shared" si="24"/>
        <v>2740.74</v>
      </c>
      <c r="I118" s="15">
        <f>IFERROR(H118/H444, "NA")</f>
        <v>-8.9864276004257171E-2</v>
      </c>
      <c r="J118" s="2"/>
      <c r="K118" s="14">
        <f>IFERROR(K94+K95+K96+K97+K98+K99+K100+K101+K102+K103+K104+K105+K106+K107+K108+K109+K110+K111+K112+K113+K114+K115+K116+K117, "NA")</f>
        <v>-6659.0300000000007</v>
      </c>
      <c r="L118" s="15">
        <f>IFERROR(K118/K444, "NA")</f>
        <v>-4.5438748753920094E-2</v>
      </c>
      <c r="M118" s="2"/>
      <c r="N118" s="14">
        <f t="shared" si="25"/>
        <v>1940.25</v>
      </c>
      <c r="O118" s="15">
        <f>IFERROR(N118/N444, "NA")</f>
        <v>-0.1058219094030286</v>
      </c>
      <c r="P118" s="2"/>
      <c r="Q118" s="14">
        <f>IFERROR(Q94+Q95+Q96+Q97+Q98+Q99+Q100+Q101+Q102+Q103+Q104+Q105+Q106+Q107+Q108+Q109+Q110+Q111+Q112+Q113+Q114+Q115+Q116+Q117, "NA")</f>
        <v>-13236.220000000001</v>
      </c>
      <c r="R118" s="15">
        <f>IFERROR(Q118/Q444, "NA")</f>
        <v>-4.4283581776959922E-2</v>
      </c>
      <c r="S118" s="2"/>
      <c r="T118" s="14">
        <f>IFERROR(T94+T95+T96+T97+T98+T99+T100+T101+T102+T103+T104+T105+T106+T107+T108+T109+T110+T111+T112+T113+T114+T115+T116+T117, "NA")</f>
        <v>-16722.78</v>
      </c>
      <c r="U118" s="15">
        <f>IFERROR(T118/T444, "NA")</f>
        <v>-4.7000009218564745E-2</v>
      </c>
      <c r="V118" s="2"/>
      <c r="W118" s="14">
        <f t="shared" si="26"/>
        <v>3486.5599999999977</v>
      </c>
      <c r="X118" s="15">
        <f>IFERROR(W118/W444, "NA")</f>
        <v>-6.126770389150854E-2</v>
      </c>
      <c r="Y118" s="2"/>
      <c r="Z118" s="14">
        <f>IFERROR(Z94+Z95+Z96+Z97+Z98+Z99+Z100+Z101+Z102+Z103+Z104+Z105+Z106+Z107+Z108+Z109+Z110+Z111+Z112+Z113+Z114+Z115+Z116+Z117, "NA")</f>
        <v>-17206.739999999998</v>
      </c>
      <c r="AA118" s="15">
        <f>IFERROR(Z118/Z444, "NA")</f>
        <v>-5.1156068204166537E-2</v>
      </c>
      <c r="AB118" s="2"/>
      <c r="AC118" s="14">
        <f t="shared" si="27"/>
        <v>3970.5199999999968</v>
      </c>
      <c r="AD118" s="15">
        <f>IFERROR(AC118/AC444, "NA")</f>
        <v>-0.10599084860856513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128214.53999999998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158713.20000000001</v>
      </c>
      <c r="F122" s="15">
        <f>IFERROR(E122/E444, "NA")</f>
        <v>1</v>
      </c>
      <c r="G122" s="2"/>
      <c r="H122" s="14">
        <f t="shared" si="24"/>
        <v>-30498.660000000033</v>
      </c>
      <c r="I122" s="15">
        <f>IFERROR(H122/H444, "NA")</f>
        <v>1.0000000000000004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146549.58999999997</v>
      </c>
      <c r="L122" s="15">
        <f>IFERROR(K122/K444, "NA")</f>
        <v>0.99999999999999978</v>
      </c>
      <c r="M122" s="2"/>
      <c r="N122" s="14">
        <f t="shared" si="25"/>
        <v>-18335.049999999988</v>
      </c>
      <c r="O122" s="15">
        <f>IFERROR(N122/N444, "NA")</f>
        <v>0.99999999999999922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298896.77999999997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355803.76</v>
      </c>
      <c r="U122" s="15">
        <f>IFERROR(T122/T444, "NA")</f>
        <v>1</v>
      </c>
      <c r="V122" s="2"/>
      <c r="W122" s="14">
        <f t="shared" si="26"/>
        <v>-56906.98000000004</v>
      </c>
      <c r="X122" s="15">
        <f>IFERROR(W122/W444, "NA")</f>
        <v>1.0000000000000011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336357.75000000006</v>
      </c>
      <c r="AA122" s="15">
        <f>IFERROR(Z122/Z444, "NA")</f>
        <v>1.0000000000000002</v>
      </c>
      <c r="AB122" s="2"/>
      <c r="AC122" s="14">
        <f t="shared" si="27"/>
        <v>-37460.970000000088</v>
      </c>
      <c r="AD122" s="15">
        <f>IFERROR(AC122/AC444, "NA")</f>
        <v>1.0000000000000031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128214.53999999998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158713.20000000001</v>
      </c>
      <c r="F124" s="15">
        <f>IFERROR(E124/E444, "NA")</f>
        <v>1</v>
      </c>
      <c r="G124" s="2"/>
      <c r="H124" s="14">
        <f t="shared" si="24"/>
        <v>-30498.660000000033</v>
      </c>
      <c r="I124" s="15">
        <f>IFERROR(H124/H444, "NA")</f>
        <v>1.0000000000000004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146549.58999999997</v>
      </c>
      <c r="L124" s="15">
        <f>IFERROR(K124/K444, "NA")</f>
        <v>0.99999999999999978</v>
      </c>
      <c r="M124" s="2"/>
      <c r="N124" s="14">
        <f t="shared" si="25"/>
        <v>-18335.049999999988</v>
      </c>
      <c r="O124" s="15">
        <f>IFERROR(N124/N444, "NA")</f>
        <v>0.99999999999999922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298896.77999999997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355803.76</v>
      </c>
      <c r="U124" s="15">
        <f>IFERROR(T124/T444, "NA")</f>
        <v>1</v>
      </c>
      <c r="V124" s="2"/>
      <c r="W124" s="14">
        <f t="shared" si="26"/>
        <v>-56906.98000000004</v>
      </c>
      <c r="X124" s="15">
        <f>IFERROR(W124/W444, "NA")</f>
        <v>1.0000000000000011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336357.75000000006</v>
      </c>
      <c r="AA124" s="15">
        <f>IFERROR(Z124/Z444, "NA")</f>
        <v>1.0000000000000002</v>
      </c>
      <c r="AB124" s="2"/>
      <c r="AC124" s="14">
        <f t="shared" si="27"/>
        <v>-37460.970000000088</v>
      </c>
      <c r="AD124" s="15">
        <f>IFERROR(AC124/AC444, "NA")</f>
        <v>1.0000000000000031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34123.339999999997</v>
      </c>
      <c r="F129" s="8">
        <f>IFERROR(E129/E444, "NA")</f>
        <v>0.2150000126013463</v>
      </c>
      <c r="G129" s="9"/>
      <c r="H129" s="10">
        <f t="shared" ref="H129:H141" si="28">IFERROR(-(B129-E129), "NA")</f>
        <v>34123.339999999997</v>
      </c>
      <c r="I129" s="8">
        <f>IFERROR(H129/H444, "NA")</f>
        <v>-1.1188471886961584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77954.52</v>
      </c>
      <c r="U129" s="8">
        <f>IFERROR(T129/T444, "NA")</f>
        <v>0.21909414335587685</v>
      </c>
      <c r="V129" s="9"/>
      <c r="W129" s="10">
        <f t="shared" ref="W129:W141" si="30">IFERROR(-(Q129-T129), "NA")</f>
        <v>77954.52</v>
      </c>
      <c r="X129" s="8">
        <f>IFERROR(W129/W444, "NA")</f>
        <v>-1.3698586711155649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6835.86</v>
      </c>
      <c r="C130" s="8">
        <f>IFERROR(B130/B444, "NA")</f>
        <v>5.3315793980932273E-2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-6835.86</v>
      </c>
      <c r="I130" s="8">
        <f>IFERROR(H130/H444, "NA")</f>
        <v>0.22413640468138585</v>
      </c>
      <c r="J130" s="9"/>
      <c r="K130" s="7">
        <v>8542.1</v>
      </c>
      <c r="L130" s="8">
        <f>IFERROR(K130/K444, "NA")</f>
        <v>5.8288119400402287E-2</v>
      </c>
      <c r="M130" s="9"/>
      <c r="N130" s="10">
        <f t="shared" si="29"/>
        <v>1706.2400000000007</v>
      </c>
      <c r="O130" s="8">
        <f>IFERROR(N130/N444, "NA")</f>
        <v>-9.3058922664514168E-2</v>
      </c>
      <c r="P130" s="9"/>
      <c r="Q130" s="7">
        <v>16079.82</v>
      </c>
      <c r="R130" s="8">
        <f>IFERROR(Q130/Q444, "NA")</f>
        <v>5.3797233948120811E-2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-16079.82</v>
      </c>
      <c r="X130" s="8">
        <f>IFERROR(W130/W444, "NA")</f>
        <v>0.28256322862327266</v>
      </c>
      <c r="Y130" s="9"/>
      <c r="Z130" s="7">
        <v>20340.64</v>
      </c>
      <c r="AA130" s="8">
        <f>IFERROR(Z130/Z444, "NA")</f>
        <v>6.0473231254519928E-2</v>
      </c>
      <c r="AB130" s="9"/>
      <c r="AC130" s="10">
        <f t="shared" si="31"/>
        <v>4260.82</v>
      </c>
      <c r="AD130" s="8">
        <f>IFERROR(AC130/AC444, "NA")</f>
        <v>-0.11374024751628169</v>
      </c>
    </row>
    <row r="131" spans="1:30" ht="16.5" customHeight="1" x14ac:dyDescent="0.45">
      <c r="A131" s="12" t="s">
        <v>123</v>
      </c>
      <c r="B131" s="7">
        <v>3522.39</v>
      </c>
      <c r="C131" s="8">
        <f>IFERROR(B131/B444, "NA")</f>
        <v>2.7472625179640314E-2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-3522.39</v>
      </c>
      <c r="I131" s="8">
        <f>IFERROR(H131/H444, "NA")</f>
        <v>0.11549327085189966</v>
      </c>
      <c r="J131" s="9"/>
      <c r="K131" s="7">
        <v>4926.88</v>
      </c>
      <c r="L131" s="8">
        <f>IFERROR(K131/K444, "NA")</f>
        <v>3.3619200162893666E-2</v>
      </c>
      <c r="M131" s="9"/>
      <c r="N131" s="10">
        <f t="shared" si="29"/>
        <v>1404.4900000000002</v>
      </c>
      <c r="O131" s="8">
        <f>IFERROR(N131/N444, "NA")</f>
        <v>-7.6601372780548738E-2</v>
      </c>
      <c r="P131" s="9"/>
      <c r="Q131" s="7">
        <v>8722.67</v>
      </c>
      <c r="R131" s="8">
        <f>IFERROR(Q131/Q444, "NA")</f>
        <v>2.9182883803565898E-2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-8722.67</v>
      </c>
      <c r="X131" s="8">
        <f>IFERROR(W131/W444, "NA")</f>
        <v>0.15327943953448248</v>
      </c>
      <c r="Y131" s="9"/>
      <c r="Z131" s="7">
        <v>11196.72</v>
      </c>
      <c r="AA131" s="8">
        <f>IFERROR(Z131/Z444, "NA")</f>
        <v>3.3288128488194485E-2</v>
      </c>
      <c r="AB131" s="9"/>
      <c r="AC131" s="10">
        <f t="shared" si="31"/>
        <v>2474.0499999999993</v>
      </c>
      <c r="AD131" s="8">
        <f>IFERROR(AC131/AC444, "NA")</f>
        <v>-6.604340464221832E-2</v>
      </c>
    </row>
    <row r="132" spans="1:30" ht="16.5" customHeight="1" x14ac:dyDescent="0.45">
      <c r="A132" s="12" t="s">
        <v>124</v>
      </c>
      <c r="B132" s="7">
        <v>5324.48</v>
      </c>
      <c r="C132" s="8">
        <f>IFERROR(B132/B444, "NA")</f>
        <v>4.1527895354146263E-2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-5324.48</v>
      </c>
      <c r="I132" s="8">
        <f>IFERROR(H132/H444, "NA")</f>
        <v>0.1745807848607118</v>
      </c>
      <c r="J132" s="9"/>
      <c r="K132" s="7">
        <v>5257.7</v>
      </c>
      <c r="L132" s="8">
        <f>IFERROR(K132/K444, "NA")</f>
        <v>3.5876593035845408E-2</v>
      </c>
      <c r="M132" s="9"/>
      <c r="N132" s="10">
        <f t="shared" si="29"/>
        <v>-66.779999999999745</v>
      </c>
      <c r="O132" s="8">
        <f>IFERROR(N132/N444, "NA")</f>
        <v>3.6422044117687016E-3</v>
      </c>
      <c r="P132" s="9"/>
      <c r="Q132" s="7">
        <v>10858.21</v>
      </c>
      <c r="R132" s="8">
        <f>IFERROR(Q132/Q444, "NA")</f>
        <v>3.6327624539816049E-2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-10858.21</v>
      </c>
      <c r="X132" s="8">
        <f>IFERROR(W132/W444, "NA")</f>
        <v>0.19080629476384098</v>
      </c>
      <c r="Y132" s="9"/>
      <c r="Z132" s="7">
        <v>12394.95</v>
      </c>
      <c r="AA132" s="8">
        <f>IFERROR(Z132/Z444, "NA")</f>
        <v>3.6850496235035467E-2</v>
      </c>
      <c r="AB132" s="9"/>
      <c r="AC132" s="10">
        <f t="shared" si="31"/>
        <v>1536.7400000000016</v>
      </c>
      <c r="AD132" s="8">
        <f>IFERROR(AC132/AC444, "NA")</f>
        <v>-4.1022429477934039E-2</v>
      </c>
    </row>
    <row r="133" spans="1:30" ht="16.5" customHeight="1" x14ac:dyDescent="0.45">
      <c r="A133" s="12" t="s">
        <v>125</v>
      </c>
      <c r="B133" s="7">
        <v>3085.35</v>
      </c>
      <c r="C133" s="8">
        <f>IFERROR(B133/B444, "NA")</f>
        <v>2.4063963416317682E-2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-3085.35</v>
      </c>
      <c r="I133" s="8">
        <f>IFERROR(H133/H444, "NA")</f>
        <v>0.10116346095205488</v>
      </c>
      <c r="J133" s="9"/>
      <c r="K133" s="7">
        <v>3751.16</v>
      </c>
      <c r="L133" s="8">
        <f>IFERROR(K133/K444, "NA")</f>
        <v>2.5596523333842148E-2</v>
      </c>
      <c r="M133" s="9"/>
      <c r="N133" s="10">
        <f t="shared" si="29"/>
        <v>665.81</v>
      </c>
      <c r="O133" s="8">
        <f>IFERROR(N133/N444, "NA")</f>
        <v>-3.6313508825991742E-2</v>
      </c>
      <c r="P133" s="9"/>
      <c r="Q133" s="7">
        <v>7429.76</v>
      </c>
      <c r="R133" s="8">
        <f>IFERROR(Q133/Q444, "NA")</f>
        <v>2.485727681643141E-2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-7429.76</v>
      </c>
      <c r="X133" s="8">
        <f>IFERROR(W133/W444, "NA")</f>
        <v>0.13055973098554874</v>
      </c>
      <c r="Y133" s="9"/>
      <c r="Z133" s="7">
        <v>8610.7999999999993</v>
      </c>
      <c r="AA133" s="8">
        <f>IFERROR(Z133/Z444, "NA")</f>
        <v>2.5600123677840037E-2</v>
      </c>
      <c r="AB133" s="9"/>
      <c r="AC133" s="10">
        <f t="shared" si="31"/>
        <v>1181.0399999999991</v>
      </c>
      <c r="AD133" s="8">
        <f>IFERROR(AC133/AC444, "NA")</f>
        <v>-3.1527213523835605E-2</v>
      </c>
    </row>
    <row r="134" spans="1:30" ht="16.5" customHeight="1" x14ac:dyDescent="0.45">
      <c r="A134" s="12" t="s">
        <v>126</v>
      </c>
      <c r="B134" s="7">
        <v>1538.53</v>
      </c>
      <c r="C134" s="8">
        <f>IFERROR(B134/B444, "NA")</f>
        <v>1.1999653081467984E-2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-1538.53</v>
      </c>
      <c r="I134" s="8">
        <f>IFERROR(H134/H444, "NA")</f>
        <v>5.0445822865660295E-2</v>
      </c>
      <c r="J134" s="9"/>
      <c r="K134" s="7">
        <v>1348.94</v>
      </c>
      <c r="L134" s="8">
        <f>IFERROR(K134/K444, "NA")</f>
        <v>9.2046658062980603E-3</v>
      </c>
      <c r="M134" s="9"/>
      <c r="N134" s="10">
        <f t="shared" si="29"/>
        <v>-189.58999999999992</v>
      </c>
      <c r="O134" s="8">
        <f>IFERROR(N134/N444, "NA")</f>
        <v>1.0340304498760564E-2</v>
      </c>
      <c r="P134" s="9"/>
      <c r="Q134" s="7">
        <v>3829.76</v>
      </c>
      <c r="R134" s="8">
        <f>IFERROR(Q134/Q444, "NA")</f>
        <v>1.2812985138213934E-2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-3829.76</v>
      </c>
      <c r="X134" s="8">
        <f>IFERROR(W134/W444, "NA")</f>
        <v>6.7298598519900402E-2</v>
      </c>
      <c r="Y134" s="9"/>
      <c r="Z134" s="7">
        <v>3278.99</v>
      </c>
      <c r="AA134" s="8">
        <f>IFERROR(Z134/Z444, "NA")</f>
        <v>9.7485192477354838E-3</v>
      </c>
      <c r="AB134" s="9"/>
      <c r="AC134" s="10">
        <f t="shared" si="31"/>
        <v>-550.77000000000044</v>
      </c>
      <c r="AD134" s="8">
        <f>IFERROR(AC134/AC444, "NA")</f>
        <v>1.4702502364460954E-2</v>
      </c>
    </row>
    <row r="135" spans="1:30" ht="16.5" customHeight="1" x14ac:dyDescent="0.45">
      <c r="A135" s="12" t="s">
        <v>127</v>
      </c>
      <c r="B135" s="7">
        <v>914.77</v>
      </c>
      <c r="C135" s="8">
        <f>IFERROR(B135/B444, "NA")</f>
        <v>7.1346822287082267E-3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-914.77</v>
      </c>
      <c r="I135" s="8">
        <f>IFERROR(H135/H444, "NA")</f>
        <v>2.9993776775766524E-2</v>
      </c>
      <c r="J135" s="9"/>
      <c r="K135" s="7">
        <v>1039.54</v>
      </c>
      <c r="L135" s="8">
        <f>IFERROR(K135/K444, "NA")</f>
        <v>7.0934350618108172E-3</v>
      </c>
      <c r="M135" s="9"/>
      <c r="N135" s="10">
        <f t="shared" si="29"/>
        <v>124.76999999999998</v>
      </c>
      <c r="O135" s="8">
        <f>IFERROR(N135/N444, "NA")</f>
        <v>-6.8049991682596969E-3</v>
      </c>
      <c r="P135" s="9"/>
      <c r="Q135" s="7">
        <v>2151.58</v>
      </c>
      <c r="R135" s="8">
        <f>IFERROR(Q135/Q444, "NA")</f>
        <v>7.1984047469497653E-3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-2151.58</v>
      </c>
      <c r="X135" s="8">
        <f>IFERROR(W135/W444, "NA")</f>
        <v>3.7808718719566571E-2</v>
      </c>
      <c r="Y135" s="9"/>
      <c r="Z135" s="7">
        <v>2593.21</v>
      </c>
      <c r="AA135" s="8">
        <f>IFERROR(Z135/Z444, "NA")</f>
        <v>7.7096781626110888E-3</v>
      </c>
      <c r="AB135" s="9"/>
      <c r="AC135" s="10">
        <f t="shared" si="31"/>
        <v>441.63000000000011</v>
      </c>
      <c r="AD135" s="8">
        <f>IFERROR(AC135/AC444, "NA")</f>
        <v>-1.1789070064122751E-2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1434.94</v>
      </c>
      <c r="L136" s="8">
        <f>IFERROR(K136/K444, "NA")</f>
        <v>9.7914978813656191E-3</v>
      </c>
      <c r="M136" s="9"/>
      <c r="N136" s="10">
        <f t="shared" si="29"/>
        <v>1434.94</v>
      </c>
      <c r="O136" s="8">
        <f>IFERROR(N136/N444, "NA")</f>
        <v>-7.8262126364531309E-2</v>
      </c>
      <c r="P136" s="9"/>
      <c r="Q136" s="7">
        <v>0</v>
      </c>
      <c r="R136" s="8">
        <f>IFERROR(Q136/Q444, "NA")</f>
        <v>0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0</v>
      </c>
      <c r="X136" s="8">
        <f>IFERROR(W136/W444, "NA")</f>
        <v>0</v>
      </c>
      <c r="Y136" s="9"/>
      <c r="Z136" s="7">
        <v>3096.35</v>
      </c>
      <c r="AA136" s="8">
        <f>IFERROR(Z136/Z444, "NA")</f>
        <v>9.2055259615691915E-3</v>
      </c>
      <c r="AB136" s="9"/>
      <c r="AC136" s="10">
        <f t="shared" si="31"/>
        <v>3096.35</v>
      </c>
      <c r="AD136" s="8">
        <f>IFERROR(AC136/AC444, "NA")</f>
        <v>-8.2655361033096633E-2</v>
      </c>
    </row>
    <row r="137" spans="1:30" ht="16.5" customHeight="1" x14ac:dyDescent="0.45">
      <c r="A137" s="12" t="s">
        <v>129</v>
      </c>
      <c r="B137" s="7">
        <v>619.9</v>
      </c>
      <c r="C137" s="8">
        <f>IFERROR(B137/B444, "NA")</f>
        <v>4.8348650628860035E-3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-619.9</v>
      </c>
      <c r="I137" s="8">
        <f>IFERROR(H137/H444, "NA")</f>
        <v>2.0325483152374552E-2</v>
      </c>
      <c r="J137" s="9"/>
      <c r="K137" s="7">
        <v>617.12</v>
      </c>
      <c r="L137" s="8">
        <f>IFERROR(K137/K444, "NA")</f>
        <v>4.2109977926243257E-3</v>
      </c>
      <c r="M137" s="9"/>
      <c r="N137" s="10">
        <f t="shared" si="29"/>
        <v>-2.7799999999999727</v>
      </c>
      <c r="O137" s="8">
        <f>IFERROR(N137/N444, "NA")</f>
        <v>1.5162216628806423E-4</v>
      </c>
      <c r="P137" s="9"/>
      <c r="Q137" s="7">
        <v>1495.2</v>
      </c>
      <c r="R137" s="8">
        <f>IFERROR(Q137/Q444, "NA")</f>
        <v>5.0023958103529919E-3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-1495.2</v>
      </c>
      <c r="X137" s="8">
        <f>IFERROR(W137/W444, "NA")</f>
        <v>2.6274457017399281E-2</v>
      </c>
      <c r="Y137" s="9"/>
      <c r="Z137" s="7">
        <v>1617.19</v>
      </c>
      <c r="AA137" s="8">
        <f>IFERROR(Z137/Z444, "NA")</f>
        <v>4.8079463012224337E-3</v>
      </c>
      <c r="AB137" s="9"/>
      <c r="AC137" s="10">
        <f t="shared" si="31"/>
        <v>121.99000000000001</v>
      </c>
      <c r="AD137" s="8">
        <f>IFERROR(AC137/AC444, "NA")</f>
        <v>-3.2564559860569576E-3</v>
      </c>
    </row>
    <row r="138" spans="1:30" ht="16.5" customHeight="1" x14ac:dyDescent="0.45">
      <c r="A138" s="12" t="s">
        <v>130</v>
      </c>
      <c r="B138" s="7">
        <v>8928.7999999999993</v>
      </c>
      <c r="C138" s="8">
        <f>IFERROR(B138/B444, "NA")</f>
        <v>6.9639527622998132E-2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-8928.7999999999993</v>
      </c>
      <c r="I138" s="8">
        <f>IFERROR(H138/H444, "NA")</f>
        <v>0.29276040324394559</v>
      </c>
      <c r="J138" s="9"/>
      <c r="K138" s="7">
        <v>9656.84</v>
      </c>
      <c r="L138" s="8">
        <f>IFERROR(K138/K444, "NA")</f>
        <v>6.5894691346458228E-2</v>
      </c>
      <c r="M138" s="9"/>
      <c r="N138" s="10">
        <f t="shared" si="29"/>
        <v>728.04000000000087</v>
      </c>
      <c r="O138" s="8">
        <f>IFERROR(N138/N444, "NA")</f>
        <v>-3.9707554656245862E-2</v>
      </c>
      <c r="P138" s="9"/>
      <c r="Q138" s="7">
        <v>22388.959999999999</v>
      </c>
      <c r="R138" s="8">
        <f>IFERROR(Q138/Q444, "NA")</f>
        <v>7.4905323503317758E-2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-22388.959999999999</v>
      </c>
      <c r="X138" s="8">
        <f>IFERROR(W138/W444, "NA")</f>
        <v>0.39343082342447283</v>
      </c>
      <c r="Y138" s="9"/>
      <c r="Z138" s="7">
        <v>20082.52</v>
      </c>
      <c r="AA138" s="8">
        <f>IFERROR(Z138/Z444, "NA")</f>
        <v>5.9705834041284912E-2</v>
      </c>
      <c r="AB138" s="9"/>
      <c r="AC138" s="10">
        <f t="shared" si="31"/>
        <v>-2306.4399999999987</v>
      </c>
      <c r="AD138" s="8">
        <f>IFERROR(AC138/AC444, "NA")</f>
        <v>6.1569147835734112E-2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30770.079999999998</v>
      </c>
      <c r="C141" s="15">
        <f>IFERROR(B141/B444, "NA")</f>
        <v>0.23998900592709688</v>
      </c>
      <c r="D141" s="2"/>
      <c r="E141" s="14">
        <f>IFERROR(E129+E130+E131+E132+E133+E134+E135+E136+E137+E138+E139+E140, "NA")</f>
        <v>34123.339999999997</v>
      </c>
      <c r="F141" s="15">
        <f>IFERROR(E141/E444, "NA")</f>
        <v>0.2150000126013463</v>
      </c>
      <c r="G141" s="2"/>
      <c r="H141" s="14">
        <f t="shared" si="28"/>
        <v>3353.2599999999984</v>
      </c>
      <c r="I141" s="15">
        <f>IFERROR(H141/H444, "NA")</f>
        <v>-0.10994778131235917</v>
      </c>
      <c r="J141" s="2"/>
      <c r="K141" s="14">
        <f>IFERROR(K129+K130+K131+K132+K133+K134+K135+K136+K137+K138+K139+K140, "NA")</f>
        <v>36575.22</v>
      </c>
      <c r="L141" s="15">
        <f>IFERROR(K141/K444, "NA")</f>
        <v>0.24957572382154056</v>
      </c>
      <c r="M141" s="2"/>
      <c r="N141" s="14">
        <f t="shared" si="29"/>
        <v>5805.1400000000031</v>
      </c>
      <c r="O141" s="15">
        <f>IFERROR(N141/N444, "NA")</f>
        <v>-0.31661435338327421</v>
      </c>
      <c r="P141" s="2"/>
      <c r="Q141" s="14">
        <f>IFERROR(Q129+Q130+Q131+Q132+Q133+Q134+Q135+Q136+Q137+Q138+Q139+Q140, "NA")</f>
        <v>72955.959999999992</v>
      </c>
      <c r="R141" s="15">
        <f>IFERROR(Q141/Q444, "NA")</f>
        <v>0.24408412830676859</v>
      </c>
      <c r="S141" s="2"/>
      <c r="T141" s="14">
        <f>IFERROR(T129+T130+T131+T132+T133+T134+T135+T136+T137+T138+T139+T140, "NA")</f>
        <v>77954.52</v>
      </c>
      <c r="U141" s="15">
        <f>IFERROR(T141/T444, "NA")</f>
        <v>0.21909414335587685</v>
      </c>
      <c r="V141" s="2"/>
      <c r="W141" s="14">
        <f t="shared" si="30"/>
        <v>4998.5600000000122</v>
      </c>
      <c r="X141" s="15">
        <f>IFERROR(W141/W444, "NA")</f>
        <v>-8.7837379527081108E-2</v>
      </c>
      <c r="Y141" s="2"/>
      <c r="Z141" s="14">
        <f>IFERROR(Z129+Z130+Z131+Z132+Z133+Z134+Z135+Z136+Z137+Z138+Z139+Z140, "NA")</f>
        <v>83211.37</v>
      </c>
      <c r="AA141" s="15">
        <f>IFERROR(Z141/Z444, "NA")</f>
        <v>0.24738948337001301</v>
      </c>
      <c r="AB141" s="2"/>
      <c r="AC141" s="14">
        <f t="shared" si="31"/>
        <v>10255.410000000003</v>
      </c>
      <c r="AD141" s="15">
        <f>IFERROR(AC141/AC444, "NA")</f>
        <v>-0.27376253204335099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1745.85</v>
      </c>
      <c r="F143" s="8">
        <f>IFERROR(E143/E444, "NA")</f>
        <v>1.1000030243231186E-2</v>
      </c>
      <c r="G143" s="9"/>
      <c r="H143" s="10">
        <f t="shared" ref="H143:H149" si="32">IFERROR(-(B143-E143), "NA")</f>
        <v>1745.85</v>
      </c>
      <c r="I143" s="8">
        <f>IFERROR(H143/H444, "NA")</f>
        <v>-5.7243498566822246E-2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3913.84</v>
      </c>
      <c r="U143" s="8">
        <f>IFERROR(T143/T444, "NA")</f>
        <v>1.0999996177668274E-2</v>
      </c>
      <c r="V143" s="9"/>
      <c r="W143" s="10">
        <f t="shared" ref="W143:W149" si="34">IFERROR(-(Q143-T143), "NA")</f>
        <v>3913.84</v>
      </c>
      <c r="X143" s="8">
        <f>IFERROR(W143/W444, "NA")</f>
        <v>-6.87760974137092E-2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1550.21</v>
      </c>
      <c r="C144" s="8">
        <f>IFERROR(B144/B444, "NA")</f>
        <v>1.2090750393832089E-2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-1550.21</v>
      </c>
      <c r="I144" s="8">
        <f>IFERROR(H144/H444, "NA")</f>
        <v>5.0828790510796182E-2</v>
      </c>
      <c r="J144" s="9"/>
      <c r="K144" s="7">
        <v>2109.48</v>
      </c>
      <c r="L144" s="8">
        <f>IFERROR(K144/K444, "NA")</f>
        <v>1.4394308438529239E-2</v>
      </c>
      <c r="M144" s="9"/>
      <c r="N144" s="10">
        <f t="shared" si="33"/>
        <v>559.27</v>
      </c>
      <c r="O144" s="8">
        <f>IFERROR(N144/N444, "NA")</f>
        <v>-3.0502780194218173E-2</v>
      </c>
      <c r="P144" s="9"/>
      <c r="Q144" s="7">
        <v>3686.44</v>
      </c>
      <c r="R144" s="8">
        <f>IFERROR(Q144/Q444, "NA")</f>
        <v>1.2333488503957787E-2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-3686.44</v>
      </c>
      <c r="X144" s="8">
        <f>IFERROR(W144/W444, "NA")</f>
        <v>6.4780102546295751E-2</v>
      </c>
      <c r="Y144" s="9"/>
      <c r="Z144" s="7">
        <v>4484.57</v>
      </c>
      <c r="AA144" s="8">
        <f>IFERROR(Z144/Z444, "NA")</f>
        <v>1.3332738728333151E-2</v>
      </c>
      <c r="AB144" s="9"/>
      <c r="AC144" s="10">
        <f t="shared" si="35"/>
        <v>798.12999999999965</v>
      </c>
      <c r="AD144" s="8">
        <f>IFERROR(AC144/AC444, "NA")</f>
        <v>-2.1305641578421495E-2</v>
      </c>
    </row>
    <row r="145" spans="1:30" ht="16.5" customHeight="1" x14ac:dyDescent="0.45">
      <c r="A145" s="12" t="s">
        <v>136</v>
      </c>
      <c r="B145" s="7">
        <v>62.07</v>
      </c>
      <c r="C145" s="8">
        <f>IFERROR(B145/B444, "NA")</f>
        <v>4.8411046048287508E-4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-62.07</v>
      </c>
      <c r="I145" s="8">
        <f>IFERROR(H145/H444, "NA")</f>
        <v>2.0351713813000299E-3</v>
      </c>
      <c r="J145" s="9"/>
      <c r="K145" s="7">
        <v>83.89</v>
      </c>
      <c r="L145" s="8">
        <f>IFERROR(K145/K444, "NA")</f>
        <v>5.7243421834206429E-4</v>
      </c>
      <c r="M145" s="9"/>
      <c r="N145" s="10">
        <f t="shared" si="33"/>
        <v>21.82</v>
      </c>
      <c r="O145" s="8">
        <f>IFERROR(N145/N444, "NA")</f>
        <v>-1.1900703843185591E-3</v>
      </c>
      <c r="P145" s="9"/>
      <c r="Q145" s="7">
        <v>125.83</v>
      </c>
      <c r="R145" s="8">
        <f>IFERROR(Q145/Q444, "NA")</f>
        <v>4.2098145051947357E-4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-125.83</v>
      </c>
      <c r="X145" s="8">
        <f>IFERROR(W145/W444, "NA")</f>
        <v>2.2111523050423699E-3</v>
      </c>
      <c r="Y145" s="9"/>
      <c r="Z145" s="7">
        <v>144.69999999999999</v>
      </c>
      <c r="AA145" s="8">
        <f>IFERROR(Z145/Z444, "NA")</f>
        <v>4.3019671763174769E-4</v>
      </c>
      <c r="AB145" s="9"/>
      <c r="AC145" s="10">
        <f t="shared" si="35"/>
        <v>18.86999999999999</v>
      </c>
      <c r="AD145" s="8">
        <f>IFERROR(AC145/AC444, "NA")</f>
        <v>-5.0372427622669689E-4</v>
      </c>
    </row>
    <row r="146" spans="1:30" ht="16.5" customHeight="1" x14ac:dyDescent="0.45">
      <c r="A146" s="12" t="s">
        <v>137</v>
      </c>
      <c r="B146" s="7">
        <v>0</v>
      </c>
      <c r="C146" s="8">
        <f>IFERROR(B146/B444, "NA")</f>
        <v>0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0</v>
      </c>
      <c r="I146" s="8">
        <f>IFERROR(H146/H444, "NA")</f>
        <v>0</v>
      </c>
      <c r="J146" s="9"/>
      <c r="K146" s="7">
        <v>111.05</v>
      </c>
      <c r="L146" s="8">
        <f>IFERROR(K146/K444, "NA")</f>
        <v>7.5776397600293521E-4</v>
      </c>
      <c r="M146" s="9"/>
      <c r="N146" s="10">
        <f t="shared" si="33"/>
        <v>111.05</v>
      </c>
      <c r="O146" s="8">
        <f>IFERROR(N146/N444, "NA")</f>
        <v>-6.0567055993847839E-3</v>
      </c>
      <c r="P146" s="9"/>
      <c r="Q146" s="7">
        <v>0</v>
      </c>
      <c r="R146" s="8">
        <f>IFERROR(Q146/Q444, "NA")</f>
        <v>0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0</v>
      </c>
      <c r="X146" s="8">
        <f>IFERROR(W146/W444, "NA")</f>
        <v>0</v>
      </c>
      <c r="Y146" s="9"/>
      <c r="Z146" s="7">
        <v>256.33</v>
      </c>
      <c r="AA146" s="8">
        <f>IFERROR(Z146/Z444, "NA")</f>
        <v>7.6207549848338562E-4</v>
      </c>
      <c r="AB146" s="9"/>
      <c r="AC146" s="10">
        <f t="shared" si="35"/>
        <v>256.33</v>
      </c>
      <c r="AD146" s="8">
        <f>IFERROR(AC146/AC444, "NA")</f>
        <v>-6.8425884327074334E-3</v>
      </c>
    </row>
    <row r="147" spans="1:30" ht="16.5" customHeight="1" x14ac:dyDescent="0.45">
      <c r="A147" s="12" t="s">
        <v>138</v>
      </c>
      <c r="B147" s="7">
        <v>3.34</v>
      </c>
      <c r="C147" s="8">
        <f>IFERROR(B147/B444, "NA")</f>
        <v>2.6050087610968305E-5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-3.34</v>
      </c>
      <c r="I147" s="8">
        <f>IFERROR(H147/H444, "NA")</f>
        <v>1.095130081124875E-4</v>
      </c>
      <c r="J147" s="9"/>
      <c r="K147" s="7">
        <v>19.670000000000002</v>
      </c>
      <c r="L147" s="8">
        <f>IFERROR(K147/K444, "NA")</f>
        <v>1.3422077809975449E-4</v>
      </c>
      <c r="M147" s="9"/>
      <c r="N147" s="10">
        <f t="shared" si="33"/>
        <v>16.330000000000002</v>
      </c>
      <c r="O147" s="8">
        <f>IFERROR(N147/N444, "NA")</f>
        <v>-8.9064387607342213E-4</v>
      </c>
      <c r="P147" s="9"/>
      <c r="Q147" s="7">
        <v>26.78</v>
      </c>
      <c r="R147" s="8">
        <f>IFERROR(Q147/Q444, "NA")</f>
        <v>8.9596147539628898E-5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-26.78</v>
      </c>
      <c r="X147" s="8">
        <f>IFERROR(W147/W444, "NA")</f>
        <v>4.7059253539723965E-4</v>
      </c>
      <c r="Y147" s="9"/>
      <c r="Z147" s="7">
        <v>40.15</v>
      </c>
      <c r="AA147" s="8">
        <f>IFERROR(Z147/Z444, "NA")</f>
        <v>1.1936695378655613E-4</v>
      </c>
      <c r="AB147" s="9"/>
      <c r="AC147" s="10">
        <f t="shared" si="35"/>
        <v>13.369999999999997</v>
      </c>
      <c r="AD147" s="8">
        <f>IFERROR(AC147/AC444, "NA")</f>
        <v>-3.569047998490164E-4</v>
      </c>
    </row>
    <row r="148" spans="1:30" ht="16.5" customHeight="1" x14ac:dyDescent="0.45">
      <c r="A148" s="13" t="s">
        <v>139</v>
      </c>
      <c r="B148" s="14">
        <f>IFERROR(B143+B144+B145+B146+B147, "NA")</f>
        <v>1615.62</v>
      </c>
      <c r="C148" s="15">
        <f>IFERROR(B148/B444, "NA")</f>
        <v>1.2600910941925931E-2</v>
      </c>
      <c r="D148" s="2"/>
      <c r="E148" s="14">
        <f>IFERROR(E143+E144+E145+E146+E147, "NA")</f>
        <v>1745.85</v>
      </c>
      <c r="F148" s="15">
        <f>IFERROR(E148/E444, "NA")</f>
        <v>1.1000030243231186E-2</v>
      </c>
      <c r="G148" s="2"/>
      <c r="H148" s="14">
        <f t="shared" si="32"/>
        <v>130.23000000000002</v>
      </c>
      <c r="I148" s="15">
        <f>IFERROR(H148/H444, "NA")</f>
        <v>-4.2700236666135477E-3</v>
      </c>
      <c r="J148" s="2"/>
      <c r="K148" s="14">
        <f>IFERROR(K143+K144+K145+K146+K147, "NA")</f>
        <v>2324.09</v>
      </c>
      <c r="L148" s="15">
        <f>IFERROR(K148/K444, "NA")</f>
        <v>1.5858727410973994E-2</v>
      </c>
      <c r="M148" s="2"/>
      <c r="N148" s="14">
        <f t="shared" si="33"/>
        <v>708.47000000000025</v>
      </c>
      <c r="O148" s="15">
        <f>IFERROR(N148/N444, "NA")</f>
        <v>-3.8640200053994954E-2</v>
      </c>
      <c r="P148" s="2"/>
      <c r="Q148" s="14">
        <f>IFERROR(Q143+Q144+Q145+Q146+Q147, "NA")</f>
        <v>3839.05</v>
      </c>
      <c r="R148" s="15">
        <f>IFERROR(Q148/Q444, "NA")</f>
        <v>1.2844066102016889E-2</v>
      </c>
      <c r="S148" s="2"/>
      <c r="T148" s="14">
        <f>IFERROR(T143+T144+T145+T146+T147, "NA")</f>
        <v>3913.84</v>
      </c>
      <c r="U148" s="15">
        <f>IFERROR(T148/T444, "NA")</f>
        <v>1.0999996177668274E-2</v>
      </c>
      <c r="V148" s="2"/>
      <c r="W148" s="14">
        <f t="shared" si="34"/>
        <v>74.789999999999964</v>
      </c>
      <c r="X148" s="15">
        <f>IFERROR(W148/W444, "NA")</f>
        <v>-1.3142500269738438E-3</v>
      </c>
      <c r="Y148" s="2"/>
      <c r="Z148" s="14">
        <f>IFERROR(Z143+Z144+Z145+Z146+Z147, "NA")</f>
        <v>4925.7499999999991</v>
      </c>
      <c r="AA148" s="15">
        <f>IFERROR(Z148/Z444, "NA")</f>
        <v>1.4644377898234837E-2</v>
      </c>
      <c r="AB148" s="2"/>
      <c r="AC148" s="14">
        <f t="shared" si="35"/>
        <v>1086.6999999999989</v>
      </c>
      <c r="AD148" s="15">
        <f>IFERROR(AC148/AC444, "NA")</f>
        <v>-2.9008859087204623E-2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32385.699999999997</v>
      </c>
      <c r="C149" s="15">
        <f>IFERROR(B149/B444, "NA")</f>
        <v>0.25258991686902282</v>
      </c>
      <c r="D149" s="2"/>
      <c r="E149" s="14">
        <f>IFERROR(E127+E129+E130+E131+E132+E133+E134+E135+E136+E137+E138+E139+E140+E143+E144+E145+E146+E147, "NA")</f>
        <v>35869.189999999995</v>
      </c>
      <c r="F149" s="15">
        <f>IFERROR(E149/E444, "NA")</f>
        <v>0.22600004284457748</v>
      </c>
      <c r="G149" s="2"/>
      <c r="H149" s="14">
        <f t="shared" si="32"/>
        <v>3483.489999999998</v>
      </c>
      <c r="I149" s="15">
        <f>IFERROR(H149/H444, "NA")</f>
        <v>-0.11421780497897271</v>
      </c>
      <c r="J149" s="2"/>
      <c r="K149" s="14">
        <f>IFERROR(K127+K129+K130+K131+K132+K133+K134+K135+K136+K137+K138+K139+K140+K143+K144+K145+K146+K147, "NA")</f>
        <v>38899.310000000005</v>
      </c>
      <c r="L149" s="15">
        <f>IFERROR(K149/K444, "NA")</f>
        <v>0.26543445123251458</v>
      </c>
      <c r="M149" s="2"/>
      <c r="N149" s="14">
        <f t="shared" si="33"/>
        <v>6513.6100000000079</v>
      </c>
      <c r="O149" s="15">
        <f>IFERROR(N149/N444, "NA")</f>
        <v>-0.35525455343726942</v>
      </c>
      <c r="P149" s="2"/>
      <c r="Q149" s="14">
        <f>IFERROR(Q127+Q129+Q130+Q131+Q132+Q133+Q134+Q135+Q136+Q137+Q138+Q139+Q140+Q143+Q144+Q145+Q146+Q147, "NA")</f>
        <v>76795.009999999995</v>
      </c>
      <c r="R149" s="15">
        <f>IFERROR(Q149/Q444, "NA")</f>
        <v>0.2569281944087855</v>
      </c>
      <c r="S149" s="2"/>
      <c r="T149" s="14">
        <f>IFERROR(T127+T129+T130+T131+T132+T133+T134+T135+T136+T137+T138+T139+T140+T143+T144+T145+T146+T147, "NA")</f>
        <v>81868.36</v>
      </c>
      <c r="U149" s="15">
        <f>IFERROR(T149/T444, "NA")</f>
        <v>0.23009413953354513</v>
      </c>
      <c r="V149" s="2"/>
      <c r="W149" s="14">
        <f t="shared" si="34"/>
        <v>5073.3500000000058</v>
      </c>
      <c r="X149" s="15">
        <f>IFERROR(W149/W444, "NA")</f>
        <v>-8.915162955405484E-2</v>
      </c>
      <c r="Y149" s="2"/>
      <c r="Z149" s="14">
        <f>IFERROR(Z127+Z129+Z130+Z131+Z132+Z133+Z134+Z135+Z136+Z137+Z138+Z139+Z140+Z143+Z144+Z145+Z146+Z147, "NA")</f>
        <v>88137.12</v>
      </c>
      <c r="AA149" s="15">
        <f>IFERROR(Z149/Z444, "NA")</f>
        <v>0.26203386126824785</v>
      </c>
      <c r="AB149" s="2"/>
      <c r="AC149" s="14">
        <f t="shared" si="35"/>
        <v>11342.11</v>
      </c>
      <c r="AD149" s="15">
        <f>IFERROR(AC149/AC444, "NA")</f>
        <v>-0.30277139113055557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6507.24</v>
      </c>
      <c r="F153" s="8">
        <f>IFERROR(E153/E444, "NA")</f>
        <v>4.0999992439192195E-2</v>
      </c>
      <c r="G153" s="9"/>
      <c r="H153" s="10">
        <f t="shared" ref="H153:H158" si="36">IFERROR(-(B153-E153), "NA")</f>
        <v>6507.24</v>
      </c>
      <c r="I153" s="8">
        <f>IFERROR(H153/H444, "NA")</f>
        <v>-0.21336150506284526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14587.95</v>
      </c>
      <c r="U153" s="8">
        <f>IFERROR(T153/T444, "NA")</f>
        <v>4.0999988308161782E-2</v>
      </c>
      <c r="V153" s="9"/>
      <c r="W153" s="10">
        <f t="shared" ref="W153:W158" si="38">IFERROR(-(Q153-T153), "NA")</f>
        <v>14587.95</v>
      </c>
      <c r="X153" s="8">
        <f>IFERROR(W153/W444, "NA")</f>
        <v>-0.25634728815340413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4032.76</v>
      </c>
      <c r="C154" s="8">
        <f>IFERROR(B154/B444, "NA")</f>
        <v>3.1453218956289983E-2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-4032.76</v>
      </c>
      <c r="I154" s="8">
        <f>IFERROR(H154/H444, "NA")</f>
        <v>0.13222744868135183</v>
      </c>
      <c r="J154" s="9"/>
      <c r="K154" s="7">
        <v>4877.54</v>
      </c>
      <c r="L154" s="8">
        <f>IFERROR(K154/K444, "NA")</f>
        <v>3.3282522318895606E-2</v>
      </c>
      <c r="M154" s="9"/>
      <c r="N154" s="10">
        <f t="shared" si="37"/>
        <v>844.77999999999975</v>
      </c>
      <c r="O154" s="8">
        <f>IFERROR(N154/N444, "NA")</f>
        <v>-4.6074594833392851E-2</v>
      </c>
      <c r="P154" s="9"/>
      <c r="Q154" s="7">
        <v>10010.790000000001</v>
      </c>
      <c r="R154" s="8">
        <f>IFERROR(Q154/Q444, "NA")</f>
        <v>3.3492465191495208E-2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-10010.790000000001</v>
      </c>
      <c r="X154" s="8">
        <f>IFERROR(W154/W444, "NA")</f>
        <v>0.1759149756321633</v>
      </c>
      <c r="Y154" s="9"/>
      <c r="Z154" s="7">
        <v>11313.31</v>
      </c>
      <c r="AA154" s="8">
        <f>IFERROR(Z154/Z444, "NA")</f>
        <v>3.3634753473050644E-2</v>
      </c>
      <c r="AB154" s="9"/>
      <c r="AC154" s="10">
        <f t="shared" si="39"/>
        <v>1302.5199999999986</v>
      </c>
      <c r="AD154" s="8">
        <f>IFERROR(AC154/AC444, "NA")</f>
        <v>-3.4770055340264804E-2</v>
      </c>
    </row>
    <row r="155" spans="1:30" ht="16.5" customHeight="1" x14ac:dyDescent="0.45">
      <c r="A155" s="12" t="s">
        <v>144</v>
      </c>
      <c r="B155" s="7">
        <v>1150.31</v>
      </c>
      <c r="C155" s="8">
        <f>IFERROR(B155/B444, "NA")</f>
        <v>8.9717593652014812E-3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-1150.31</v>
      </c>
      <c r="I155" s="8">
        <f>IFERROR(H155/H444, "NA")</f>
        <v>3.7716739030501642E-2</v>
      </c>
      <c r="J155" s="9"/>
      <c r="K155" s="7">
        <v>1750.28</v>
      </c>
      <c r="L155" s="8">
        <f>IFERROR(K155/K444, "NA")</f>
        <v>1.19432609808052E-2</v>
      </c>
      <c r="M155" s="9"/>
      <c r="N155" s="10">
        <f t="shared" si="37"/>
        <v>599.97</v>
      </c>
      <c r="O155" s="8">
        <f>IFERROR(N155/N444, "NA")</f>
        <v>-3.2722572340953528E-2</v>
      </c>
      <c r="P155" s="9"/>
      <c r="Q155" s="7">
        <v>2693.21</v>
      </c>
      <c r="R155" s="8">
        <f>IFERROR(Q155/Q444, "NA")</f>
        <v>9.0105018863033577E-3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-2693.21</v>
      </c>
      <c r="X155" s="8">
        <f>IFERROR(W155/W444, "NA")</f>
        <v>4.7326531824391331E-2</v>
      </c>
      <c r="Y155" s="9"/>
      <c r="Z155" s="7">
        <v>3428.71</v>
      </c>
      <c r="AA155" s="8">
        <f>IFERROR(Z155/Z444, "NA")</f>
        <v>1.0193640550871803E-2</v>
      </c>
      <c r="AB155" s="9"/>
      <c r="AC155" s="10">
        <f t="shared" si="39"/>
        <v>735.5</v>
      </c>
      <c r="AD155" s="8">
        <f>IFERROR(AC155/AC444, "NA")</f>
        <v>-1.9633768159233476E-2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5183.07</v>
      </c>
      <c r="C158" s="15">
        <f>IFERROR(B158/B444, "NA")</f>
        <v>4.0424978321491466E-2</v>
      </c>
      <c r="D158" s="2"/>
      <c r="E158" s="14">
        <f>IFERROR(E153+E154+E155+E156+E157, "NA")</f>
        <v>6507.24</v>
      </c>
      <c r="F158" s="15">
        <f>IFERROR(E158/E444, "NA")</f>
        <v>4.0999992439192195E-2</v>
      </c>
      <c r="G158" s="2"/>
      <c r="H158" s="14">
        <f t="shared" si="36"/>
        <v>1324.17</v>
      </c>
      <c r="I158" s="15">
        <f>IFERROR(H158/H444, "NA")</f>
        <v>-4.3417317350991788E-2</v>
      </c>
      <c r="J158" s="2"/>
      <c r="K158" s="14">
        <f>IFERROR(K153+K154+K155+K156+K157, "NA")</f>
        <v>6627.82</v>
      </c>
      <c r="L158" s="15">
        <f>IFERROR(K158/K444, "NA")</f>
        <v>4.5225783299700804E-2</v>
      </c>
      <c r="M158" s="2"/>
      <c r="N158" s="14">
        <f t="shared" si="37"/>
        <v>1444.75</v>
      </c>
      <c r="O158" s="15">
        <f>IFERROR(N158/N444, "NA")</f>
        <v>-7.8797167174346386E-2</v>
      </c>
      <c r="P158" s="2"/>
      <c r="Q158" s="14">
        <f>IFERROR(Q153+Q154+Q155+Q156+Q157, "NA")</f>
        <v>12704</v>
      </c>
      <c r="R158" s="15">
        <f>IFERROR(Q158/Q444, "NA")</f>
        <v>4.2502967077798562E-2</v>
      </c>
      <c r="S158" s="2"/>
      <c r="T158" s="14">
        <f>IFERROR(T153+T154+T155+T156+T157, "NA")</f>
        <v>14587.95</v>
      </c>
      <c r="U158" s="15">
        <f>IFERROR(T158/T444, "NA")</f>
        <v>4.0999988308161782E-2</v>
      </c>
      <c r="V158" s="2"/>
      <c r="W158" s="14">
        <f t="shared" si="38"/>
        <v>1883.9500000000007</v>
      </c>
      <c r="X158" s="15">
        <f>IFERROR(W158/W444, "NA")</f>
        <v>-3.3105780696849517E-2</v>
      </c>
      <c r="Y158" s="2"/>
      <c r="Z158" s="14">
        <f>IFERROR(Z153+Z154+Z155+Z156+Z157, "NA")</f>
        <v>14742.02</v>
      </c>
      <c r="AA158" s="15">
        <f>IFERROR(Z158/Z444, "NA")</f>
        <v>4.3828394023922447E-2</v>
      </c>
      <c r="AB158" s="2"/>
      <c r="AC158" s="14">
        <f t="shared" si="39"/>
        <v>2038.0200000000004</v>
      </c>
      <c r="AD158" s="15">
        <f>IFERROR(AC158/AC444, "NA")</f>
        <v>-5.4403823499498329E-2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276.62</v>
      </c>
      <c r="C161" s="8">
        <f>IFERROR(B161/B444, "NA")</f>
        <v>2.1574776152533093E-3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-276.62</v>
      </c>
      <c r="I161" s="8">
        <f>IFERROR(H161/H444, "NA")</f>
        <v>9.0699066778671539E-3</v>
      </c>
      <c r="J161" s="9"/>
      <c r="K161" s="7">
        <v>410.88</v>
      </c>
      <c r="L161" s="8">
        <f>IFERROR(K161/K444, "NA")</f>
        <v>2.803692593066961E-3</v>
      </c>
      <c r="M161" s="9"/>
      <c r="N161" s="10">
        <f t="shared" si="41"/>
        <v>134.26</v>
      </c>
      <c r="O161" s="8">
        <f>IFERROR(N161/N444, "NA")</f>
        <v>-7.3225870668473751E-3</v>
      </c>
      <c r="P161" s="9"/>
      <c r="Q161" s="7">
        <v>616.1</v>
      </c>
      <c r="R161" s="8">
        <f>IFERROR(Q161/Q444, "NA")</f>
        <v>2.0612466952638297E-3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-616.1</v>
      </c>
      <c r="X161" s="8">
        <f>IFERROR(W161/W444, "NA")</f>
        <v>1.0826439920023875E-2</v>
      </c>
      <c r="Y161" s="9"/>
      <c r="Z161" s="7">
        <v>1129.0899999999999</v>
      </c>
      <c r="AA161" s="8">
        <f>IFERROR(Z161/Z444, "NA")</f>
        <v>3.3568127982780238E-3</v>
      </c>
      <c r="AB161" s="9"/>
      <c r="AC161" s="10">
        <f t="shared" si="43"/>
        <v>512.9899999999999</v>
      </c>
      <c r="AD161" s="8">
        <f>IFERROR(AC161/AC444, "NA")</f>
        <v>-1.3693986033997525E-2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3.5</v>
      </c>
      <c r="R162" s="8">
        <f>IFERROR(Q162/Q444, "NA")</f>
        <v>1.1709728020489213E-5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-3.5</v>
      </c>
      <c r="X162" s="8">
        <f>IFERROR(W162/W444, "NA")</f>
        <v>6.1503878786047008E-5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-3.5</v>
      </c>
      <c r="AD162" s="8">
        <f>IFERROR(AC162/AC444, "NA")</f>
        <v>9.3430575876705878E-5</v>
      </c>
    </row>
    <row r="163" spans="1:30" ht="16.5" customHeight="1" x14ac:dyDescent="0.45">
      <c r="A163" s="12" t="s">
        <v>151</v>
      </c>
      <c r="B163" s="7">
        <v>1.4</v>
      </c>
      <c r="C163" s="8">
        <f>IFERROR(B163/B444, "NA")</f>
        <v>1.0919198399807073E-5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-1.4</v>
      </c>
      <c r="I163" s="8">
        <f>IFERROR(H163/H444, "NA")</f>
        <v>4.5903656095054639E-5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-1.4</v>
      </c>
      <c r="O163" s="8">
        <f>IFERROR(N163/N444, "NA")</f>
        <v>7.6356486619889212E-5</v>
      </c>
      <c r="P163" s="9"/>
      <c r="Q163" s="7">
        <v>1.4</v>
      </c>
      <c r="R163" s="8">
        <f>IFERROR(Q163/Q444, "NA")</f>
        <v>4.6838912081956846E-6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-1.4</v>
      </c>
      <c r="X163" s="8">
        <f>IFERROR(W163/W444, "NA")</f>
        <v>2.46015515144188E-5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-1.4</v>
      </c>
      <c r="AD163" s="8">
        <f>IFERROR(AC163/AC444, "NA")</f>
        <v>3.737223035068235E-5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278.02</v>
      </c>
      <c r="C166" s="15">
        <f>IFERROR(B166/B444, "NA")</f>
        <v>2.1683968136531162E-3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-278.02</v>
      </c>
      <c r="I166" s="15">
        <f>IFERROR(H166/H444, "NA")</f>
        <v>9.1158103339622071E-3</v>
      </c>
      <c r="J166" s="2"/>
      <c r="K166" s="14">
        <f>IFERROR(K160+K161+K162+K163+K164+K165, "NA")</f>
        <v>410.88</v>
      </c>
      <c r="L166" s="15">
        <f>IFERROR(K166/K444, "NA")</f>
        <v>2.803692593066961E-3</v>
      </c>
      <c r="M166" s="2"/>
      <c r="N166" s="14">
        <f t="shared" si="41"/>
        <v>132.86000000000001</v>
      </c>
      <c r="O166" s="15">
        <f>IFERROR(N166/N444, "NA")</f>
        <v>-7.2462305802274878E-3</v>
      </c>
      <c r="P166" s="2"/>
      <c r="Q166" s="14">
        <f>IFERROR(Q160+Q161+Q162+Q163+Q164+Q165, "NA")</f>
        <v>621</v>
      </c>
      <c r="R166" s="15">
        <f>IFERROR(Q166/Q444, "NA")</f>
        <v>2.0776403144925145E-3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-621</v>
      </c>
      <c r="X166" s="15">
        <f>IFERROR(W166/W444, "NA")</f>
        <v>1.091254535032434E-2</v>
      </c>
      <c r="Y166" s="2"/>
      <c r="Z166" s="14">
        <f>IFERROR(Z160+Z161+Z162+Z163+Z164+Z165, "NA")</f>
        <v>1129.0899999999999</v>
      </c>
      <c r="AA166" s="15">
        <f>IFERROR(Z166/Z444, "NA")</f>
        <v>3.3568127982780238E-3</v>
      </c>
      <c r="AB166" s="2"/>
      <c r="AC166" s="14">
        <f t="shared" si="43"/>
        <v>508.08999999999992</v>
      </c>
      <c r="AD166" s="15">
        <f>IFERROR(AC166/AC444, "NA")</f>
        <v>-1.3563183227770137E-2</v>
      </c>
    </row>
    <row r="167" spans="1:30" ht="16.5" customHeight="1" x14ac:dyDescent="0.45">
      <c r="A167" s="6" t="s">
        <v>155</v>
      </c>
      <c r="B167" s="7">
        <v>133.80000000000001</v>
      </c>
      <c r="C167" s="8">
        <f>IFERROR(B167/B444, "NA")</f>
        <v>1.0435633899244191E-3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-133.80000000000001</v>
      </c>
      <c r="I167" s="8">
        <f>IFERROR(H167/H444, "NA")</f>
        <v>4.3870779896559367E-3</v>
      </c>
      <c r="J167" s="9"/>
      <c r="K167" s="7">
        <v>145.62</v>
      </c>
      <c r="L167" s="8">
        <f>IFERROR(K167/K444, "NA")</f>
        <v>9.9365682292253425E-4</v>
      </c>
      <c r="M167" s="9"/>
      <c r="N167" s="10">
        <f t="shared" si="41"/>
        <v>11.819999999999993</v>
      </c>
      <c r="O167" s="8">
        <f>IFERROR(N167/N444, "NA")</f>
        <v>-6.4466690846220716E-4</v>
      </c>
      <c r="P167" s="9"/>
      <c r="Q167" s="7">
        <v>386.1</v>
      </c>
      <c r="R167" s="8">
        <f>IFERROR(Q167/Q444, "NA")</f>
        <v>1.2917502824888244E-3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-386.1</v>
      </c>
      <c r="X167" s="8">
        <f>IFERROR(W167/W444, "NA")</f>
        <v>6.7847564569407859E-3</v>
      </c>
      <c r="Y167" s="9"/>
      <c r="Z167" s="7">
        <v>359.74</v>
      </c>
      <c r="AA167" s="8">
        <f>IFERROR(Z167/Z444, "NA")</f>
        <v>1.0695160138275393E-3</v>
      </c>
      <c r="AB167" s="9"/>
      <c r="AC167" s="10">
        <f t="shared" si="43"/>
        <v>-26.360000000000014</v>
      </c>
      <c r="AD167" s="8">
        <f>IFERROR(AC167/AC444, "NA")</f>
        <v>7.0366570860284808E-4</v>
      </c>
    </row>
    <row r="168" spans="1:30" ht="16.5" customHeight="1" x14ac:dyDescent="0.45">
      <c r="A168" s="6" t="s">
        <v>156</v>
      </c>
      <c r="B168" s="7">
        <v>187.6</v>
      </c>
      <c r="C168" s="8">
        <f>IFERROR(B168/B444, "NA")</f>
        <v>1.4631725855741478E-3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-187.6</v>
      </c>
      <c r="I168" s="8">
        <f>IFERROR(H168/H444, "NA")</f>
        <v>6.1510899167373217E-3</v>
      </c>
      <c r="J168" s="9"/>
      <c r="K168" s="7">
        <v>41.8</v>
      </c>
      <c r="L168" s="8">
        <f>IFERROR(K168/K444, "NA")</f>
        <v>2.852276829979531E-4</v>
      </c>
      <c r="M168" s="9"/>
      <c r="N168" s="10">
        <f t="shared" si="41"/>
        <v>-145.80000000000001</v>
      </c>
      <c r="O168" s="8">
        <f>IFERROR(N168/N444, "NA")</f>
        <v>7.9519826779856067E-3</v>
      </c>
      <c r="P168" s="9"/>
      <c r="Q168" s="7">
        <v>239.22</v>
      </c>
      <c r="R168" s="8">
        <f>IFERROR(Q168/Q444, "NA")</f>
        <v>8.0034318201755122E-4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-239.22</v>
      </c>
      <c r="X168" s="8">
        <f>IFERROR(W168/W444, "NA")</f>
        <v>4.2037022523423329E-3</v>
      </c>
      <c r="Y168" s="9"/>
      <c r="Z168" s="7">
        <v>129.4</v>
      </c>
      <c r="AA168" s="8">
        <f>IFERROR(Z168/Z444, "NA")</f>
        <v>3.8470943511781727E-4</v>
      </c>
      <c r="AB168" s="9"/>
      <c r="AC168" s="10">
        <f t="shared" si="43"/>
        <v>-109.82</v>
      </c>
      <c r="AD168" s="8">
        <f>IFERROR(AC168/AC444, "NA")</f>
        <v>2.9315845265085252E-3</v>
      </c>
    </row>
    <row r="169" spans="1:30" ht="16.5" customHeight="1" x14ac:dyDescent="0.45">
      <c r="A169" s="6" t="s">
        <v>157</v>
      </c>
      <c r="B169" s="7">
        <v>-1151.46</v>
      </c>
      <c r="C169" s="8">
        <f>IFERROR(B169/B444, "NA")</f>
        <v>-8.9807287067441809E-3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1151.46</v>
      </c>
      <c r="I169" s="8">
        <f>IFERROR(H169/H444, "NA")</f>
        <v>-3.7754445605151156E-2</v>
      </c>
      <c r="J169" s="9"/>
      <c r="K169" s="7">
        <v>-4109.38</v>
      </c>
      <c r="L169" s="8">
        <f>IFERROR(K169/K444, "NA")</f>
        <v>-2.8040883635361929E-2</v>
      </c>
      <c r="M169" s="9"/>
      <c r="N169" s="10">
        <f t="shared" si="41"/>
        <v>-2957.92</v>
      </c>
      <c r="O169" s="8">
        <f>IFERROR(N169/N444, "NA")</f>
        <v>0.16132598493050193</v>
      </c>
      <c r="P169" s="9"/>
      <c r="Q169" s="7">
        <v>-3205.14</v>
      </c>
      <c r="R169" s="8">
        <f>IFERROR(Q169/Q444, "NA")</f>
        <v>-1.0723233619311654E-2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3205.14</v>
      </c>
      <c r="X169" s="8">
        <f>IFERROR(W169/W444, "NA")</f>
        <v>-5.6322440586374485E-2</v>
      </c>
      <c r="Y169" s="9"/>
      <c r="Z169" s="7">
        <v>-10705.12</v>
      </c>
      <c r="AA169" s="8">
        <f>IFERROR(Z169/Z444, "NA")</f>
        <v>-3.1826589397746893E-2</v>
      </c>
      <c r="AB169" s="9"/>
      <c r="AC169" s="10">
        <f t="shared" si="43"/>
        <v>-7499.9800000000014</v>
      </c>
      <c r="AD169" s="8">
        <f>IFERROR(AC169/AC444, "NA")</f>
        <v>0.20020784298965047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4631.03</v>
      </c>
      <c r="C170" s="15">
        <f>IFERROR(B170/B444, "NA")</f>
        <v>3.6119382403898961E-2</v>
      </c>
      <c r="D170" s="2"/>
      <c r="E170" s="14">
        <f>IFERROR(E151+E153+E154+E155+E156+E157+E160+E161+E162+E163+E164+E165+E167+E168+E169, "NA")</f>
        <v>6507.24</v>
      </c>
      <c r="F170" s="15">
        <f>IFERROR(E170/E444, "NA")</f>
        <v>4.0999992439192195E-2</v>
      </c>
      <c r="G170" s="2"/>
      <c r="H170" s="14">
        <f t="shared" si="40"/>
        <v>1876.21</v>
      </c>
      <c r="I170" s="15">
        <f>IFERROR(H170/H444, "NA")</f>
        <v>-6.1517784715787477E-2</v>
      </c>
      <c r="J170" s="2"/>
      <c r="K170" s="14">
        <f>IFERROR(K151+K153+K154+K155+K156+K157+K160+K161+K162+K163+K164+K165+K167+K168+K169, "NA")</f>
        <v>3116.74</v>
      </c>
      <c r="L170" s="15">
        <f>IFERROR(K170/K444, "NA")</f>
        <v>2.1267476763326323E-2</v>
      </c>
      <c r="M170" s="2"/>
      <c r="N170" s="14">
        <f t="shared" si="41"/>
        <v>-1514.29</v>
      </c>
      <c r="O170" s="15">
        <f>IFERROR(N170/N444, "NA")</f>
        <v>8.258990294545146E-2</v>
      </c>
      <c r="P170" s="2"/>
      <c r="Q170" s="14">
        <f>IFERROR(Q151+Q153+Q154+Q155+Q156+Q157+Q160+Q161+Q162+Q163+Q164+Q165+Q167+Q168+Q169, "NA")</f>
        <v>10745.18</v>
      </c>
      <c r="R170" s="15">
        <f>IFERROR(Q170/Q444, "NA")</f>
        <v>3.5949467237485794E-2</v>
      </c>
      <c r="S170" s="2"/>
      <c r="T170" s="14">
        <f>IFERROR(T151+T153+T154+T155+T156+T157+T160+T161+T162+T163+T164+T165+T167+T168+T169, "NA")</f>
        <v>14587.95</v>
      </c>
      <c r="U170" s="15">
        <f>IFERROR(T170/T444, "NA")</f>
        <v>4.0999988308161782E-2</v>
      </c>
      <c r="V170" s="2"/>
      <c r="W170" s="14">
        <f t="shared" si="42"/>
        <v>3842.7700000000004</v>
      </c>
      <c r="X170" s="15">
        <f>IFERROR(W170/W444, "NA")</f>
        <v>-6.7527217223616529E-2</v>
      </c>
      <c r="Y170" s="2"/>
      <c r="Z170" s="14">
        <f>IFERROR(Z151+Z153+Z154+Z155+Z156+Z157+Z160+Z161+Z162+Z163+Z164+Z165+Z167+Z168+Z169, "NA")</f>
        <v>5655.1299999999992</v>
      </c>
      <c r="AA170" s="15">
        <f>IFERROR(Z170/Z444, "NA")</f>
        <v>1.6812842873398931E-2</v>
      </c>
      <c r="AB170" s="2"/>
      <c r="AC170" s="14">
        <f t="shared" si="43"/>
        <v>-5090.0500000000011</v>
      </c>
      <c r="AD170" s="15">
        <f>IFERROR(AC170/AC444, "NA")</f>
        <v>0.13587608649749339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37016.730000000003</v>
      </c>
      <c r="C171" s="15">
        <f>IFERROR(B171/B444, "NA")</f>
        <v>0.28870929927292183</v>
      </c>
      <c r="D171" s="2"/>
      <c r="E171" s="14">
        <f>IFERROR(E127+E129+E130+E131+E132+E133+E134+E135+E136+E137+E138+E139+E140+E143+E144+E145+E146+E147+E151+E153+E154+E155+E156+E157+E160+E161+E162+E163+E164+E165+E167+E168+E169, "NA")</f>
        <v>42376.429999999993</v>
      </c>
      <c r="F171" s="15">
        <f>IFERROR(E171/E444, "NA")</f>
        <v>0.26700003528376964</v>
      </c>
      <c r="G171" s="2"/>
      <c r="H171" s="14">
        <f t="shared" si="40"/>
        <v>5359.6999999999898</v>
      </c>
      <c r="I171" s="15">
        <f>IFERROR(H171/H444, "NA")</f>
        <v>-0.17573558969475991</v>
      </c>
      <c r="J171" s="2"/>
      <c r="K171" s="14">
        <f>IFERROR(K127+K129+K130+K131+K132+K133+K134+K135+K136+K137+K138+K139+K140+K143+K144+K145+K146+K147+K151+K153+K154+K155+K156+K157+K160+K161+K162+K163+K164+K165+K167+K168+K169, "NA")</f>
        <v>42016.05000000001</v>
      </c>
      <c r="L171" s="15">
        <f>IFERROR(K171/K444, "NA")</f>
        <v>0.28670192799584093</v>
      </c>
      <c r="M171" s="2"/>
      <c r="N171" s="14">
        <f t="shared" si="41"/>
        <v>4999.320000000007</v>
      </c>
      <c r="O171" s="15">
        <f>IFERROR(N171/N444, "NA")</f>
        <v>-0.27266465049181793</v>
      </c>
      <c r="P171" s="2"/>
      <c r="Q171" s="14">
        <f>IFERROR(Q127+Q129+Q130+Q131+Q132+Q133+Q134+Q135+Q136+Q137+Q138+Q139+Q140+Q143+Q144+Q145+Q146+Q147+Q151+Q153+Q154+Q155+Q156+Q157+Q160+Q161+Q162+Q163+Q164+Q165+Q167+Q168+Q169, "NA")</f>
        <v>87540.19</v>
      </c>
      <c r="R171" s="15">
        <f>IFERROR(Q171/Q444, "NA")</f>
        <v>0.29287766164627133</v>
      </c>
      <c r="S171" s="2"/>
      <c r="T171" s="14">
        <f>IFERROR(T127+T129+T130+T131+T132+T133+T134+T135+T136+T137+T138+T139+T140+T143+T144+T145+T146+T147+T151+T153+T154+T155+T156+T157+T160+T161+T162+T163+T164+T165+T167+T168+T169, "NA")</f>
        <v>96456.31</v>
      </c>
      <c r="U171" s="15">
        <f>IFERROR(T171/T444, "NA")</f>
        <v>0.27109412784170689</v>
      </c>
      <c r="V171" s="2"/>
      <c r="W171" s="14">
        <f t="shared" si="42"/>
        <v>8916.1199999999953</v>
      </c>
      <c r="X171" s="15">
        <f>IFERROR(W171/W444, "NA")</f>
        <v>-0.15667884677767119</v>
      </c>
      <c r="Y171" s="2"/>
      <c r="Z171" s="14">
        <f>IFERROR(Z127+Z129+Z130+Z131+Z132+Z133+Z134+Z135+Z136+Z137+Z138+Z139+Z140+Z143+Z144+Z145+Z146+Z147+Z151+Z153+Z154+Z155+Z156+Z157+Z160+Z161+Z162+Z163+Z164+Z165+Z167+Z168+Z169, "NA")</f>
        <v>93792.25</v>
      </c>
      <c r="AA171" s="15">
        <f>IFERROR(Z171/Z444, "NA")</f>
        <v>0.27884670414164681</v>
      </c>
      <c r="AB171" s="2"/>
      <c r="AC171" s="14">
        <f t="shared" si="43"/>
        <v>6252.0599999999977</v>
      </c>
      <c r="AD171" s="15">
        <f>IFERROR(AC171/AC444, "NA")</f>
        <v>-0.16689530463306215</v>
      </c>
    </row>
    <row r="172" spans="1:30" ht="16.5" customHeight="1" x14ac:dyDescent="0.45">
      <c r="A172" s="22" t="s">
        <v>160</v>
      </c>
      <c r="B172" s="23">
        <f>IFERROR(B124-B171, "NA")</f>
        <v>91197.809999999969</v>
      </c>
      <c r="C172" s="24">
        <f>IFERROR(B172/B444, "NA")</f>
        <v>0.71129070072707801</v>
      </c>
      <c r="D172" s="25"/>
      <c r="E172" s="23">
        <f>IFERROR(E124-E171, "NA")</f>
        <v>116336.77000000002</v>
      </c>
      <c r="F172" s="24">
        <f>IFERROR(E172/E444, "NA")</f>
        <v>0.7329999647162303</v>
      </c>
      <c r="G172" s="25"/>
      <c r="H172" s="23">
        <f>IFERROR(B172-E172, "NA")</f>
        <v>-25138.96000000005</v>
      </c>
      <c r="I172" s="24">
        <f>IFERROR(H172/H444, "NA")</f>
        <v>0.82426441030524078</v>
      </c>
      <c r="J172" s="25"/>
      <c r="K172" s="23">
        <f>IFERROR(K124-K171, "NA")</f>
        <v>104533.53999999995</v>
      </c>
      <c r="L172" s="24">
        <f>IFERROR(K172/K444, "NA")</f>
        <v>0.71329807200415885</v>
      </c>
      <c r="M172" s="25"/>
      <c r="N172" s="23">
        <f>IFERROR(B172-K172, "NA")</f>
        <v>-13335.729999999981</v>
      </c>
      <c r="O172" s="24">
        <f>IFERROR(N172/N444, "NA")</f>
        <v>0.72733534950818124</v>
      </c>
      <c r="P172" s="25"/>
      <c r="Q172" s="23">
        <f>IFERROR(Q124-Q171, "NA")</f>
        <v>211356.58999999997</v>
      </c>
      <c r="R172" s="24">
        <f>IFERROR(Q172/Q444, "NA")</f>
        <v>0.70712233835372851</v>
      </c>
      <c r="S172" s="25"/>
      <c r="T172" s="23">
        <f>IFERROR(T124-T171, "NA")</f>
        <v>259347.45</v>
      </c>
      <c r="U172" s="24">
        <f>IFERROR(T172/T444, "NA")</f>
        <v>0.72890587215829317</v>
      </c>
      <c r="V172" s="25"/>
      <c r="W172" s="23">
        <f>IFERROR(Q172-T172, "NA")</f>
        <v>-47990.860000000044</v>
      </c>
      <c r="X172" s="24">
        <f>IFERROR(W172/W444, "NA")</f>
        <v>0.84332115322232981</v>
      </c>
      <c r="Y172" s="25"/>
      <c r="Z172" s="23">
        <f>IFERROR(Z124-Z171, "NA")</f>
        <v>242565.50000000006</v>
      </c>
      <c r="AA172" s="24">
        <f>IFERROR(Z172/Z444, "NA")</f>
        <v>0.72115329585835342</v>
      </c>
      <c r="AB172" s="25"/>
      <c r="AC172" s="23">
        <f>IFERROR(Q172-Z172, "NA")</f>
        <v>-31208.910000000091</v>
      </c>
      <c r="AD172" s="24">
        <f>IFERROR(AC172/AC444, "NA")</f>
        <v>0.83310469536694098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6490.4</v>
      </c>
      <c r="C178" s="8">
        <f>IFERROR(B178/B444, "NA")</f>
        <v>5.0621403781505592E-2</v>
      </c>
      <c r="D178" s="9"/>
      <c r="E178" s="7">
        <v>6490.4</v>
      </c>
      <c r="F178" s="8">
        <f>IFERROR(E178/E444, "NA")</f>
        <v>4.0893889103111772E-2</v>
      </c>
      <c r="G178" s="9"/>
      <c r="H178" s="10">
        <f t="shared" si="44"/>
        <v>0</v>
      </c>
      <c r="I178" s="8">
        <f>IFERROR(H178/H444, "NA")</f>
        <v>0</v>
      </c>
      <c r="J178" s="9"/>
      <c r="K178" s="7">
        <v>6490.4</v>
      </c>
      <c r="L178" s="8">
        <f>IFERROR(K178/K444, "NA")</f>
        <v>4.4288080232773079E-2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16875.04</v>
      </c>
      <c r="R178" s="8">
        <f>IFERROR(Q178/Q444, "NA")</f>
        <v>5.6457751067107514E-2</v>
      </c>
      <c r="S178" s="9"/>
      <c r="T178" s="7">
        <v>16875.04</v>
      </c>
      <c r="U178" s="8">
        <f>IFERROR(T178/T444, "NA")</f>
        <v>4.7427941739570149E-2</v>
      </c>
      <c r="V178" s="9"/>
      <c r="W178" s="10">
        <f t="shared" si="46"/>
        <v>0</v>
      </c>
      <c r="X178" s="8">
        <f>IFERROR(W178/W444, "NA")</f>
        <v>0</v>
      </c>
      <c r="Y178" s="9"/>
      <c r="Z178" s="7">
        <v>16875.04</v>
      </c>
      <c r="AA178" s="8">
        <f>IFERROR(Z178/Z444, "NA")</f>
        <v>5.016991581136454E-2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24865.27</v>
      </c>
      <c r="C180" s="8">
        <f>IFERROR(B180/B444, "NA")</f>
        <v>0.19393486885340774</v>
      </c>
      <c r="D180" s="9"/>
      <c r="E180" s="7">
        <v>29187.360000000001</v>
      </c>
      <c r="F180" s="8">
        <f>IFERROR(E180/E444, "NA")</f>
        <v>0.18390001587769636</v>
      </c>
      <c r="G180" s="9"/>
      <c r="H180" s="10">
        <f t="shared" si="44"/>
        <v>4322.09</v>
      </c>
      <c r="I180" s="8">
        <f>IFERROR(H180/H444, "NA")</f>
        <v>-0.14171409497991053</v>
      </c>
      <c r="J180" s="9"/>
      <c r="K180" s="7">
        <v>28014.12</v>
      </c>
      <c r="L180" s="8">
        <f>IFERROR(K180/K444, "NA")</f>
        <v>0.19115795547432102</v>
      </c>
      <c r="M180" s="9"/>
      <c r="N180" s="10">
        <f t="shared" si="45"/>
        <v>3148.8499999999985</v>
      </c>
      <c r="O180" s="8">
        <f>IFERROR(N180/N444, "NA")</f>
        <v>-0.17173937349502719</v>
      </c>
      <c r="P180" s="9"/>
      <c r="Q180" s="7">
        <v>63600.49</v>
      </c>
      <c r="R180" s="8">
        <f>IFERROR(Q180/Q444, "NA")</f>
        <v>0.21278412567709826</v>
      </c>
      <c r="S180" s="9"/>
      <c r="T180" s="7">
        <v>69191.02</v>
      </c>
      <c r="U180" s="8">
        <f>IFERROR(T180/T444, "NA")</f>
        <v>0.19446399329787858</v>
      </c>
      <c r="V180" s="9"/>
      <c r="W180" s="10">
        <f t="shared" si="46"/>
        <v>5590.5300000000061</v>
      </c>
      <c r="X180" s="8">
        <f>IFERROR(W180/W444, "NA")</f>
        <v>-9.8239794134217073E-2</v>
      </c>
      <c r="Y180" s="9"/>
      <c r="Z180" s="7">
        <v>68545.7</v>
      </c>
      <c r="AA180" s="8">
        <f>IFERROR(Z180/Z444, "NA")</f>
        <v>0.20378807980491009</v>
      </c>
      <c r="AB180" s="9"/>
      <c r="AC180" s="10">
        <f t="shared" si="47"/>
        <v>4945.2099999999991</v>
      </c>
      <c r="AD180" s="8">
        <f>IFERROR(AC180/AC444, "NA")</f>
        <v>-0.13200966232321273</v>
      </c>
    </row>
    <row r="181" spans="1:30" ht="16.5" customHeight="1" x14ac:dyDescent="0.45">
      <c r="A181" s="12" t="s">
        <v>166</v>
      </c>
      <c r="B181" s="7">
        <v>20.72</v>
      </c>
      <c r="C181" s="8">
        <f>IFERROR(B181/B444, "NA")</f>
        <v>1.6160413631714467E-4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-20.72</v>
      </c>
      <c r="I181" s="8">
        <f>IFERROR(H181/H444, "NA")</f>
        <v>6.7937411020680869E-4</v>
      </c>
      <c r="J181" s="9"/>
      <c r="K181" s="7">
        <v>103.5</v>
      </c>
      <c r="L181" s="8">
        <f>IFERROR(K181/K444, "NA")</f>
        <v>7.0624557871502749E-4</v>
      </c>
      <c r="M181" s="9"/>
      <c r="N181" s="10">
        <f t="shared" si="45"/>
        <v>82.78</v>
      </c>
      <c r="O181" s="8">
        <f>IFERROR(N181/N444, "NA")</f>
        <v>-4.5148499731388781E-3</v>
      </c>
      <c r="P181" s="9"/>
      <c r="Q181" s="7">
        <v>168.5</v>
      </c>
      <c r="R181" s="8">
        <f>IFERROR(Q181/Q444, "NA")</f>
        <v>5.6373976327212352E-4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-168.5</v>
      </c>
      <c r="X181" s="8">
        <f>IFERROR(W181/W444, "NA")</f>
        <v>2.9609724501282629E-3</v>
      </c>
      <c r="Y181" s="9"/>
      <c r="Z181" s="7">
        <v>184.03</v>
      </c>
      <c r="AA181" s="8">
        <f>IFERROR(Z181/Z444, "NA")</f>
        <v>5.4712579091755723E-4</v>
      </c>
      <c r="AB181" s="9"/>
      <c r="AC181" s="10">
        <f t="shared" si="47"/>
        <v>15.530000000000001</v>
      </c>
      <c r="AD181" s="8">
        <f>IFERROR(AC181/AC444, "NA")</f>
        <v>-4.1456481239006925E-4</v>
      </c>
    </row>
    <row r="182" spans="1:30" ht="16.5" customHeight="1" x14ac:dyDescent="0.45">
      <c r="A182" s="13" t="s">
        <v>167</v>
      </c>
      <c r="B182" s="14">
        <f>IFERROR(B177+B178+B179+B180+B181, "NA")</f>
        <v>31376.39</v>
      </c>
      <c r="C182" s="15">
        <f>IFERROR(B182/B444, "NA")</f>
        <v>0.24471787677123047</v>
      </c>
      <c r="D182" s="2"/>
      <c r="E182" s="14">
        <f>IFERROR(E177+E178+E179+E180+E181, "NA")</f>
        <v>35677.760000000002</v>
      </c>
      <c r="F182" s="15">
        <f>IFERROR(E182/E444, "NA")</f>
        <v>0.22479390498080815</v>
      </c>
      <c r="G182" s="2"/>
      <c r="H182" s="14">
        <f t="shared" si="44"/>
        <v>4301.3700000000026</v>
      </c>
      <c r="I182" s="15">
        <f>IFERROR(H182/H444, "NA")</f>
        <v>-0.14103472086970378</v>
      </c>
      <c r="J182" s="2"/>
      <c r="K182" s="14">
        <f>IFERROR(K177+K178+K179+K180+K181, "NA")</f>
        <v>34608.019999999997</v>
      </c>
      <c r="L182" s="15">
        <f>IFERROR(K182/K444, "NA")</f>
        <v>0.23615228128580912</v>
      </c>
      <c r="M182" s="2"/>
      <c r="N182" s="14">
        <f t="shared" si="45"/>
        <v>3231.6299999999974</v>
      </c>
      <c r="O182" s="15">
        <f>IFERROR(N182/N444, "NA")</f>
        <v>-0.17625422346816599</v>
      </c>
      <c r="P182" s="2"/>
      <c r="Q182" s="14">
        <f>IFERROR(Q177+Q178+Q179+Q180+Q181, "NA")</f>
        <v>80644.03</v>
      </c>
      <c r="R182" s="15">
        <f>IFERROR(Q182/Q444, "NA")</f>
        <v>0.26980561650747792</v>
      </c>
      <c r="S182" s="2"/>
      <c r="T182" s="14">
        <f>IFERROR(T177+T178+T179+T180+T181, "NA")</f>
        <v>86066.06</v>
      </c>
      <c r="U182" s="15">
        <f>IFERROR(T182/T444, "NA")</f>
        <v>0.24189193503744871</v>
      </c>
      <c r="V182" s="2"/>
      <c r="W182" s="14">
        <f t="shared" si="46"/>
        <v>5422.0299999999988</v>
      </c>
      <c r="X182" s="15">
        <f>IFERROR(W182/W444, "NA")</f>
        <v>-9.5278821684088674E-2</v>
      </c>
      <c r="Y182" s="2"/>
      <c r="Z182" s="14">
        <f>IFERROR(Z177+Z178+Z179+Z180+Z181, "NA")</f>
        <v>85604.76999999999</v>
      </c>
      <c r="AA182" s="15">
        <f>IFERROR(Z182/Z444, "NA")</f>
        <v>0.25450512140719217</v>
      </c>
      <c r="AB182" s="2"/>
      <c r="AC182" s="14">
        <f t="shared" si="47"/>
        <v>4960.7399999999907</v>
      </c>
      <c r="AD182" s="15">
        <f>IFERROR(AC182/AC444, "NA")</f>
        <v>-0.13242422713560259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-1012</v>
      </c>
      <c r="C184" s="8">
        <f>IFERROR(B184/B444, "NA")</f>
        <v>-7.8930205575748272E-3</v>
      </c>
      <c r="D184" s="9"/>
      <c r="E184" s="7">
        <v>487.5</v>
      </c>
      <c r="F184" s="8">
        <f>IFERROR(E184/E444, "NA")</f>
        <v>3.0715781674114061E-3</v>
      </c>
      <c r="G184" s="9"/>
      <c r="H184" s="10">
        <f t="shared" si="44"/>
        <v>1499.5</v>
      </c>
      <c r="I184" s="8">
        <f>IFERROR(H184/H444, "NA")</f>
        <v>-4.9166094510381737E-2</v>
      </c>
      <c r="J184" s="9"/>
      <c r="K184" s="7">
        <v>500</v>
      </c>
      <c r="L184" s="8">
        <f>IFERROR(K184/K444, "NA")</f>
        <v>3.4118143899276691E-3</v>
      </c>
      <c r="M184" s="9"/>
      <c r="N184" s="10">
        <f t="shared" si="45"/>
        <v>1512</v>
      </c>
      <c r="O184" s="8">
        <f>IFERROR(N184/N444, "NA")</f>
        <v>-8.2465005549480358E-2</v>
      </c>
      <c r="P184" s="9"/>
      <c r="Q184" s="7">
        <v>-362</v>
      </c>
      <c r="R184" s="8">
        <f>IFERROR(Q184/Q444, "NA")</f>
        <v>-1.2111204409763127E-3</v>
      </c>
      <c r="S184" s="9"/>
      <c r="T184" s="7">
        <v>1137.5</v>
      </c>
      <c r="U184" s="8">
        <f>IFERROR(T184/T444, "NA")</f>
        <v>3.1969870132906972E-3</v>
      </c>
      <c r="V184" s="9"/>
      <c r="W184" s="10">
        <f t="shared" si="46"/>
        <v>1499.5</v>
      </c>
      <c r="X184" s="8">
        <f>IFERROR(W184/W444, "NA")</f>
        <v>-2.6350018925622137E-2</v>
      </c>
      <c r="Y184" s="9"/>
      <c r="Z184" s="7">
        <v>1500</v>
      </c>
      <c r="AA184" s="8">
        <f>IFERROR(Z184/Z444, "NA")</f>
        <v>4.4595375013657332E-3</v>
      </c>
      <c r="AB184" s="9"/>
      <c r="AC184" s="10">
        <f t="shared" si="47"/>
        <v>1862</v>
      </c>
      <c r="AD184" s="8">
        <f>IFERROR(AC184/AC444, "NA")</f>
        <v>-4.9705066366407528E-2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2965.55</v>
      </c>
      <c r="C186" s="8">
        <f>IFERROR(B186/B444, "NA")</f>
        <v>2.3129592010391335E-2</v>
      </c>
      <c r="D186" s="9"/>
      <c r="E186" s="7">
        <v>3568.49</v>
      </c>
      <c r="F186" s="8">
        <f>IFERROR(E186/E444, "NA")</f>
        <v>2.2483889178719851E-2</v>
      </c>
      <c r="G186" s="9"/>
      <c r="H186" s="10">
        <f t="shared" ref="H186:H197" si="48">IFERROR(-(B186-E186), "NA")</f>
        <v>602.9399999999996</v>
      </c>
      <c r="I186" s="8">
        <f>IFERROR(H186/H444, "NA")</f>
        <v>-1.9769393147108735E-2</v>
      </c>
      <c r="J186" s="9"/>
      <c r="K186" s="7">
        <v>3295</v>
      </c>
      <c r="L186" s="8">
        <f>IFERROR(K186/K444, "NA")</f>
        <v>2.2483856829623339E-2</v>
      </c>
      <c r="M186" s="9"/>
      <c r="N186" s="10">
        <f t="shared" ref="N186:N197" si="49">IFERROR(-(B186-K186), "NA")</f>
        <v>329.44999999999982</v>
      </c>
      <c r="O186" s="8">
        <f>IFERROR(N186/N444, "NA")</f>
        <v>-1.7968317512087491E-2</v>
      </c>
      <c r="P186" s="9"/>
      <c r="Q186" s="7">
        <v>7712.3</v>
      </c>
      <c r="R186" s="8">
        <f>IFERROR(Q186/Q444, "NA")</f>
        <v>2.5802552974976845E-2</v>
      </c>
      <c r="S186" s="9"/>
      <c r="T186" s="7">
        <v>8811.68</v>
      </c>
      <c r="U186" s="8">
        <f>IFERROR(T186/T444, "NA")</f>
        <v>2.4765561780460105E-2</v>
      </c>
      <c r="V186" s="9"/>
      <c r="W186" s="10">
        <f t="shared" ref="W186:W197" si="50">IFERROR(-(Q186-T186), "NA")</f>
        <v>1099.3800000000001</v>
      </c>
      <c r="X186" s="8">
        <f>IFERROR(W186/W444, "NA")</f>
        <v>-1.9318895502801248E-2</v>
      </c>
      <c r="Y186" s="9"/>
      <c r="Z186" s="7">
        <v>8344.65</v>
      </c>
      <c r="AA186" s="8">
        <f>IFERROR(Z186/Z444, "NA")</f>
        <v>2.4808853073847711E-2</v>
      </c>
      <c r="AB186" s="9"/>
      <c r="AC186" s="10">
        <f t="shared" ref="AC186:AC197" si="51">IFERROR(-(Q186-Z186), "NA")</f>
        <v>632.34999999999945</v>
      </c>
      <c r="AD186" s="8">
        <f>IFERROR(AC186/AC444, "NA")</f>
        <v>-1.6880235615895689E-2</v>
      </c>
    </row>
    <row r="187" spans="1:30" ht="16.5" hidden="1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</v>
      </c>
      <c r="AA187" s="8">
        <f>IFERROR(Z187/Z444, "NA")</f>
        <v>0</v>
      </c>
      <c r="AB187" s="9"/>
      <c r="AC187" s="10">
        <f t="shared" si="51"/>
        <v>0</v>
      </c>
      <c r="AD187" s="8">
        <f>IFERROR(AC187/AC444, "NA")</f>
        <v>0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2965.55</v>
      </c>
      <c r="C193" s="15">
        <f>IFERROR(B193/B444, "NA")</f>
        <v>2.3129592010391335E-2</v>
      </c>
      <c r="D193" s="2"/>
      <c r="E193" s="14">
        <f>IFERROR(E186+E187+E188+E189+E190+E191+E192, "NA")</f>
        <v>3568.49</v>
      </c>
      <c r="F193" s="15">
        <f>IFERROR(E193/E444, "NA")</f>
        <v>2.2483889178719851E-2</v>
      </c>
      <c r="G193" s="2"/>
      <c r="H193" s="14">
        <f t="shared" si="48"/>
        <v>602.9399999999996</v>
      </c>
      <c r="I193" s="15">
        <f>IFERROR(H193/H444, "NA")</f>
        <v>-1.9769393147108735E-2</v>
      </c>
      <c r="J193" s="2"/>
      <c r="K193" s="14">
        <f>IFERROR(K186+K187+K188+K189+K190+K191+K192, "NA")</f>
        <v>3295</v>
      </c>
      <c r="L193" s="15">
        <f>IFERROR(K193/K444, "NA")</f>
        <v>2.2483856829623339E-2</v>
      </c>
      <c r="M193" s="2"/>
      <c r="N193" s="14">
        <f t="shared" si="49"/>
        <v>329.44999999999982</v>
      </c>
      <c r="O193" s="15">
        <f>IFERROR(N193/N444, "NA")</f>
        <v>-1.7968317512087491E-2</v>
      </c>
      <c r="P193" s="2"/>
      <c r="Q193" s="14">
        <f>IFERROR(Q186+Q187+Q188+Q189+Q190+Q191+Q192, "NA")</f>
        <v>7712.3</v>
      </c>
      <c r="R193" s="15">
        <f>IFERROR(Q193/Q444, "NA")</f>
        <v>2.5802552974976845E-2</v>
      </c>
      <c r="S193" s="2"/>
      <c r="T193" s="14">
        <f>IFERROR(T186+T187+T188+T189+T190+T191+T192, "NA")</f>
        <v>8811.68</v>
      </c>
      <c r="U193" s="15">
        <f>IFERROR(T193/T444, "NA")</f>
        <v>2.4765561780460105E-2</v>
      </c>
      <c r="V193" s="2"/>
      <c r="W193" s="14">
        <f t="shared" si="50"/>
        <v>1099.3800000000001</v>
      </c>
      <c r="X193" s="15">
        <f>IFERROR(W193/W444, "NA")</f>
        <v>-1.9318895502801248E-2</v>
      </c>
      <c r="Y193" s="2"/>
      <c r="Z193" s="14">
        <f>IFERROR(Z186+Z187+Z188+Z189+Z190+Z191+Z192, "NA")</f>
        <v>8344.65</v>
      </c>
      <c r="AA193" s="15">
        <f>IFERROR(Z193/Z444, "NA")</f>
        <v>2.4808853073847711E-2</v>
      </c>
      <c r="AB193" s="2"/>
      <c r="AC193" s="14">
        <f t="shared" si="51"/>
        <v>632.34999999999945</v>
      </c>
      <c r="AD193" s="15">
        <f>IFERROR(AC193/AC444, "NA")</f>
        <v>-1.6880235615895689E-2</v>
      </c>
    </row>
    <row r="194" spans="1:30" ht="16.5" customHeight="1" x14ac:dyDescent="0.45">
      <c r="A194" s="6" t="s">
        <v>178</v>
      </c>
      <c r="B194" s="7">
        <v>247.23</v>
      </c>
      <c r="C194" s="8">
        <f>IFERROR(B194/B444, "NA")</f>
        <v>1.9282524431316448E-3</v>
      </c>
      <c r="D194" s="9"/>
      <c r="E194" s="7">
        <v>289.32</v>
      </c>
      <c r="F194" s="8">
        <f>IFERROR(E194/E444, "NA")</f>
        <v>1.8229107597855752E-3</v>
      </c>
      <c r="G194" s="9"/>
      <c r="H194" s="10">
        <f t="shared" si="48"/>
        <v>42.09</v>
      </c>
      <c r="I194" s="8">
        <f>IFERROR(H194/H444, "NA")</f>
        <v>-1.3800606321720357E-3</v>
      </c>
      <c r="J194" s="9"/>
      <c r="K194" s="7">
        <v>262.88</v>
      </c>
      <c r="L194" s="8">
        <f>IFERROR(K194/K444, "NA")</f>
        <v>1.7937955336483711E-3</v>
      </c>
      <c r="M194" s="9"/>
      <c r="N194" s="10">
        <f t="shared" si="49"/>
        <v>15.650000000000006</v>
      </c>
      <c r="O194" s="8">
        <f>IFERROR(N194/N444, "NA")</f>
        <v>-8.5355643971519047E-4</v>
      </c>
      <c r="P194" s="9"/>
      <c r="Q194" s="7">
        <v>888.43</v>
      </c>
      <c r="R194" s="8">
        <f>IFERROR(Q194/Q444, "NA")</f>
        <v>2.9723639043552088E-3</v>
      </c>
      <c r="S194" s="9"/>
      <c r="T194" s="7">
        <v>697.63</v>
      </c>
      <c r="U194" s="8">
        <f>IFERROR(T194/T444, "NA")</f>
        <v>1.9607156484237266E-3</v>
      </c>
      <c r="V194" s="9"/>
      <c r="W194" s="10">
        <f t="shared" si="50"/>
        <v>-190.79999999999995</v>
      </c>
      <c r="X194" s="8">
        <f>IFERROR(W194/W444, "NA")</f>
        <v>3.3528400206793616E-3</v>
      </c>
      <c r="Y194" s="9"/>
      <c r="Z194" s="7">
        <v>896.36</v>
      </c>
      <c r="AA194" s="8">
        <f>IFERROR(Z194/Z444, "NA")</f>
        <v>2.6649006898161261E-3</v>
      </c>
      <c r="AB194" s="9"/>
      <c r="AC194" s="10">
        <f t="shared" si="51"/>
        <v>7.9300000000000637</v>
      </c>
      <c r="AD194" s="8">
        <f>IFERROR(AC194/AC444, "NA")</f>
        <v>-2.1168699048636675E-4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1428.42</v>
      </c>
      <c r="F195" s="8">
        <f>IFERROR(E195/E444, "NA")</f>
        <v>9.0000075608077969E-3</v>
      </c>
      <c r="G195" s="9"/>
      <c r="H195" s="10">
        <f t="shared" si="48"/>
        <v>1428.42</v>
      </c>
      <c r="I195" s="8">
        <f>IFERROR(H195/H444, "NA")</f>
        <v>-4.6835500313784251E-2</v>
      </c>
      <c r="J195" s="9"/>
      <c r="K195" s="7">
        <v>747.6</v>
      </c>
      <c r="L195" s="8">
        <f>IFERROR(K195/K444, "NA")</f>
        <v>5.1013448758198505E-3</v>
      </c>
      <c r="M195" s="9"/>
      <c r="N195" s="10">
        <f t="shared" si="49"/>
        <v>747.6</v>
      </c>
      <c r="O195" s="8">
        <f>IFERROR(N195/N444, "NA")</f>
        <v>-4.077436385502084E-2</v>
      </c>
      <c r="P195" s="9"/>
      <c r="Q195" s="7">
        <v>0</v>
      </c>
      <c r="R195" s="8">
        <f>IFERROR(Q195/Q444, "NA")</f>
        <v>0</v>
      </c>
      <c r="S195" s="9"/>
      <c r="T195" s="7">
        <v>3176.45</v>
      </c>
      <c r="U195" s="8">
        <f>IFERROR(T195/T444, "NA")</f>
        <v>8.9275335370261402E-3</v>
      </c>
      <c r="V195" s="9"/>
      <c r="W195" s="10">
        <f t="shared" si="50"/>
        <v>3176.45</v>
      </c>
      <c r="X195" s="8">
        <f>IFERROR(W195/W444, "NA")</f>
        <v>-5.5818284505696855E-2</v>
      </c>
      <c r="Y195" s="9"/>
      <c r="Z195" s="7">
        <v>2507.7600000000002</v>
      </c>
      <c r="AA195" s="8">
        <f>IFERROR(Z195/Z444, "NA")</f>
        <v>7.455633176283288E-3</v>
      </c>
      <c r="AB195" s="9"/>
      <c r="AC195" s="10">
        <f t="shared" si="51"/>
        <v>2507.7600000000002</v>
      </c>
      <c r="AD195" s="8">
        <f>IFERROR(AC195/AC444, "NA")</f>
        <v>-6.6943274560162275E-2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33577.170000000006</v>
      </c>
      <c r="C196" s="15">
        <f>IFERROR(B196/B444, "NA")</f>
        <v>0.26188270066717867</v>
      </c>
      <c r="D196" s="2"/>
      <c r="E196" s="14">
        <f>IFERROR(E175+E177+E178+E179+E180+E181+E183+E184+E186+E187+E188+E189+E190+E191+E192+E194+E195, "NA")</f>
        <v>41451.49</v>
      </c>
      <c r="F196" s="15">
        <f>IFERROR(E196/E444, "NA")</f>
        <v>0.26117229064753272</v>
      </c>
      <c r="G196" s="2"/>
      <c r="H196" s="14">
        <f t="shared" si="48"/>
        <v>7874.3199999999924</v>
      </c>
      <c r="I196" s="15">
        <f>IFERROR(H196/H444, "NA")</f>
        <v>-0.2581857694731502</v>
      </c>
      <c r="J196" s="2"/>
      <c r="K196" s="14">
        <f>IFERROR(K175+K177+K178+K179+K180+K181+K183+K184+K186+K187+K188+K189+K190+K191+K192+K194+K195, "NA")</f>
        <v>39413.499999999993</v>
      </c>
      <c r="L196" s="15">
        <f>IFERROR(K196/K444, "NA")</f>
        <v>0.26894309291482832</v>
      </c>
      <c r="M196" s="2"/>
      <c r="N196" s="14">
        <f t="shared" si="49"/>
        <v>5836.3299999999872</v>
      </c>
      <c r="O196" s="15">
        <f>IFERROR(N196/N444, "NA")</f>
        <v>-0.31831546682446932</v>
      </c>
      <c r="P196" s="2"/>
      <c r="Q196" s="14">
        <f>IFERROR(Q175+Q177+Q178+Q179+Q180+Q181+Q183+Q184+Q186+Q187+Q188+Q189+Q190+Q191+Q192+Q194+Q195, "NA")</f>
        <v>88882.76</v>
      </c>
      <c r="R196" s="15">
        <f>IFERROR(Q196/Q444, "NA")</f>
        <v>0.29736941294583363</v>
      </c>
      <c r="S196" s="2"/>
      <c r="T196" s="14">
        <f>IFERROR(T175+T177+T178+T179+T180+T181+T183+T184+T186+T187+T188+T189+T190+T191+T192+T194+T195, "NA")</f>
        <v>99889.319999999992</v>
      </c>
      <c r="U196" s="15">
        <f>IFERROR(T196/T444, "NA")</f>
        <v>0.28074273301664937</v>
      </c>
      <c r="V196" s="2"/>
      <c r="W196" s="14">
        <f t="shared" si="50"/>
        <v>11006.559999999998</v>
      </c>
      <c r="X196" s="15">
        <f>IFERROR(W196/W444, "NA")</f>
        <v>-0.19341318059752954</v>
      </c>
      <c r="Y196" s="2"/>
      <c r="Z196" s="14">
        <f>IFERROR(Z175+Z177+Z178+Z179+Z180+Z181+Z183+Z184+Z186+Z187+Z188+Z189+Z190+Z191+Z192+Z194+Z195, "NA")</f>
        <v>98853.539999999979</v>
      </c>
      <c r="AA196" s="15">
        <f>IFERROR(Z196/Z444, "NA")</f>
        <v>0.29389404584850498</v>
      </c>
      <c r="AB196" s="2"/>
      <c r="AC196" s="14">
        <f t="shared" si="51"/>
        <v>9970.7799999999843</v>
      </c>
      <c r="AD196" s="15">
        <f>IFERROR(AC196/AC444, "NA")</f>
        <v>-0.2661644906685543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33577.170000000006</v>
      </c>
      <c r="C197" s="15">
        <f>IFERROR(B197/B444, "NA")</f>
        <v>0.26188270066717867</v>
      </c>
      <c r="D197" s="2"/>
      <c r="E197" s="14">
        <f>IFERROR(E175+E177+E178+E179+E180+E181+E183+E184+E186+E187+E188+E189+E190+E191+E192+E194+E195, "NA")</f>
        <v>41451.49</v>
      </c>
      <c r="F197" s="15">
        <f>IFERROR(E197/E444, "NA")</f>
        <v>0.26117229064753272</v>
      </c>
      <c r="G197" s="2"/>
      <c r="H197" s="14">
        <f t="shared" si="48"/>
        <v>7874.3199999999924</v>
      </c>
      <c r="I197" s="15">
        <f>IFERROR(H197/H444, "NA")</f>
        <v>-0.2581857694731502</v>
      </c>
      <c r="J197" s="2"/>
      <c r="K197" s="14">
        <f>IFERROR(K175+K177+K178+K179+K180+K181+K183+K184+K186+K187+K188+K189+K190+K191+K192+K194+K195, "NA")</f>
        <v>39413.499999999993</v>
      </c>
      <c r="L197" s="15">
        <f>IFERROR(K197/K444, "NA")</f>
        <v>0.26894309291482832</v>
      </c>
      <c r="M197" s="2"/>
      <c r="N197" s="14">
        <f t="shared" si="49"/>
        <v>5836.3299999999872</v>
      </c>
      <c r="O197" s="15">
        <f>IFERROR(N197/N444, "NA")</f>
        <v>-0.31831546682446932</v>
      </c>
      <c r="P197" s="2"/>
      <c r="Q197" s="14">
        <f>IFERROR(Q175+Q177+Q178+Q179+Q180+Q181+Q183+Q184+Q186+Q187+Q188+Q189+Q190+Q191+Q192+Q194+Q195, "NA")</f>
        <v>88882.76</v>
      </c>
      <c r="R197" s="15">
        <f>IFERROR(Q197/Q444, "NA")</f>
        <v>0.29736941294583363</v>
      </c>
      <c r="S197" s="2"/>
      <c r="T197" s="14">
        <f>IFERROR(T175+T177+T178+T179+T180+T181+T183+T184+T186+T187+T188+T189+T190+T191+T192+T194+T195, "NA")</f>
        <v>99889.319999999992</v>
      </c>
      <c r="U197" s="15">
        <f>IFERROR(T197/T444, "NA")</f>
        <v>0.28074273301664937</v>
      </c>
      <c r="V197" s="2"/>
      <c r="W197" s="14">
        <f t="shared" si="50"/>
        <v>11006.559999999998</v>
      </c>
      <c r="X197" s="15">
        <f>IFERROR(W197/W444, "NA")</f>
        <v>-0.19341318059752954</v>
      </c>
      <c r="Y197" s="2"/>
      <c r="Z197" s="14">
        <f>IFERROR(Z175+Z177+Z178+Z179+Z180+Z181+Z183+Z184+Z186+Z187+Z188+Z189+Z190+Z191+Z192+Z194+Z195, "NA")</f>
        <v>98853.539999999979</v>
      </c>
      <c r="AA197" s="15">
        <f>IFERROR(Z197/Z444, "NA")</f>
        <v>0.29389404584850498</v>
      </c>
      <c r="AB197" s="2"/>
      <c r="AC197" s="14">
        <f t="shared" si="51"/>
        <v>9970.7799999999843</v>
      </c>
      <c r="AD197" s="15">
        <f>IFERROR(AC197/AC444, "NA")</f>
        <v>-0.2661644906685543</v>
      </c>
    </row>
    <row r="198" spans="1:30" ht="16.5" customHeight="1" x14ac:dyDescent="0.45">
      <c r="A198" s="22" t="s">
        <v>181</v>
      </c>
      <c r="B198" s="23">
        <f>IFERROR(B172-B197, "NA")</f>
        <v>57620.639999999963</v>
      </c>
      <c r="C198" s="24">
        <f>IFERROR(B198/B444, "NA")</f>
        <v>0.44940800005989934</v>
      </c>
      <c r="D198" s="25"/>
      <c r="E198" s="23">
        <f>IFERROR(E172-E197, "NA")</f>
        <v>74885.280000000028</v>
      </c>
      <c r="F198" s="24">
        <f>IFERROR(E198/E444, "NA")</f>
        <v>0.47182767406869763</v>
      </c>
      <c r="G198" s="25"/>
      <c r="H198" s="23">
        <f>IFERROR(B198-E198, "NA")</f>
        <v>-17264.640000000065</v>
      </c>
      <c r="I198" s="24">
        <f>IFERROR(H198/H444, "NA")</f>
        <v>0.56607864083209081</v>
      </c>
      <c r="J198" s="25"/>
      <c r="K198" s="23">
        <f>IFERROR(K172-K197, "NA")</f>
        <v>65120.039999999957</v>
      </c>
      <c r="L198" s="24">
        <f>IFERROR(K198/K444, "NA")</f>
        <v>0.44435497908933053</v>
      </c>
      <c r="M198" s="25"/>
      <c r="N198" s="23">
        <f>IFERROR(B198-K198, "NA")</f>
        <v>-7499.3999999999942</v>
      </c>
      <c r="O198" s="24">
        <f>IFERROR(N198/N444, "NA")</f>
        <v>0.40901988268371198</v>
      </c>
      <c r="P198" s="25"/>
      <c r="Q198" s="23">
        <f>IFERROR(Q172-Q197, "NA")</f>
        <v>122473.82999999997</v>
      </c>
      <c r="R198" s="24">
        <f>IFERROR(Q198/Q444, "NA")</f>
        <v>0.40975292540789487</v>
      </c>
      <c r="S198" s="25"/>
      <c r="T198" s="23">
        <f>IFERROR(T172-T197, "NA")</f>
        <v>159458.13</v>
      </c>
      <c r="U198" s="24">
        <f>IFERROR(T198/T444, "NA")</f>
        <v>0.44816313914164368</v>
      </c>
      <c r="V198" s="25"/>
      <c r="W198" s="23">
        <f>IFERROR(Q198-T198, "NA")</f>
        <v>-36984.300000000032</v>
      </c>
      <c r="X198" s="24">
        <f>IFERROR(W198/W444, "NA")</f>
        <v>0.64990797262480005</v>
      </c>
      <c r="Y198" s="25"/>
      <c r="Z198" s="23">
        <f>IFERROR(Z172-Z197, "NA")</f>
        <v>143711.96000000008</v>
      </c>
      <c r="AA198" s="24">
        <f>IFERROR(Z198/Z444, "NA")</f>
        <v>0.42725925000984838</v>
      </c>
      <c r="AB198" s="25"/>
      <c r="AC198" s="23">
        <f>IFERROR(Q198-Z198, "NA")</f>
        <v>-21238.130000000107</v>
      </c>
      <c r="AD198" s="24">
        <f>IFERROR(AC198/AC444, "NA")</f>
        <v>0.56694020469838668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0</v>
      </c>
      <c r="F201" s="8">
        <f>IFERROR(E201/E444, "NA")</f>
        <v>0</v>
      </c>
      <c r="G201" s="9"/>
      <c r="H201" s="10">
        <f t="shared" ref="H201:H209" si="52">IFERROR(-(B201-E201), "NA")</f>
        <v>0</v>
      </c>
      <c r="I201" s="8">
        <f>IFERROR(H201/H444, "NA")</f>
        <v>0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0</v>
      </c>
      <c r="U201" s="8">
        <f>IFERROR(T201/T444, "NA")</f>
        <v>0</v>
      </c>
      <c r="V201" s="9"/>
      <c r="W201" s="10">
        <f t="shared" ref="W201:W209" si="54">IFERROR(-(Q201-T201), "NA")</f>
        <v>0</v>
      </c>
      <c r="X201" s="8">
        <f>IFERROR(W201/W444, "NA")</f>
        <v>0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1345.9</v>
      </c>
      <c r="C202" s="8">
        <f>IFERROR(B202/B444, "NA")</f>
        <v>1.0497249375928816E-2</v>
      </c>
      <c r="D202" s="9"/>
      <c r="E202" s="7">
        <v>1745.85</v>
      </c>
      <c r="F202" s="8">
        <f>IFERROR(E202/E444, "NA")</f>
        <v>1.1000030243231186E-2</v>
      </c>
      <c r="G202" s="9"/>
      <c r="H202" s="10">
        <f t="shared" si="52"/>
        <v>399.94999999999982</v>
      </c>
      <c r="I202" s="8">
        <f>IFERROR(H202/H444, "NA")</f>
        <v>-1.311369089658364E-2</v>
      </c>
      <c r="J202" s="9"/>
      <c r="K202" s="7">
        <v>1283.3800000000001</v>
      </c>
      <c r="L202" s="8">
        <f>IFERROR(K202/K444, "NA")</f>
        <v>8.7573087034907449E-3</v>
      </c>
      <c r="M202" s="9"/>
      <c r="N202" s="10">
        <f t="shared" si="53"/>
        <v>-62.519999999999982</v>
      </c>
      <c r="O202" s="8">
        <f>IFERROR(N202/N444, "NA")</f>
        <v>3.4098625310539088E-3</v>
      </c>
      <c r="P202" s="9"/>
      <c r="Q202" s="7">
        <v>3155.85</v>
      </c>
      <c r="R202" s="8">
        <f>IFERROR(Q202/Q444, "NA")</f>
        <v>1.0558327192417394E-2</v>
      </c>
      <c r="S202" s="9"/>
      <c r="T202" s="7">
        <v>3913.84</v>
      </c>
      <c r="U202" s="8">
        <f>IFERROR(T202/T444, "NA")</f>
        <v>1.0999996177668274E-2</v>
      </c>
      <c r="V202" s="9"/>
      <c r="W202" s="10">
        <f t="shared" si="54"/>
        <v>757.99000000000024</v>
      </c>
      <c r="X202" s="8">
        <f>IFERROR(W202/W444, "NA")</f>
        <v>-1.3319807166010224E-2</v>
      </c>
      <c r="Y202" s="9"/>
      <c r="Z202" s="7">
        <v>2942.37</v>
      </c>
      <c r="AA202" s="8">
        <f>IFERROR(Z202/Z444, "NA")</f>
        <v>8.7477395719289947E-3</v>
      </c>
      <c r="AB202" s="9"/>
      <c r="AC202" s="10">
        <f t="shared" si="55"/>
        <v>-213.48000000000002</v>
      </c>
      <c r="AD202" s="8">
        <f>IFERROR(AC202/AC444, "NA")</f>
        <v>5.6987312394740494E-3</v>
      </c>
    </row>
    <row r="203" spans="1:30" ht="16.5" customHeight="1" x14ac:dyDescent="0.45">
      <c r="A203" s="6" t="s">
        <v>185</v>
      </c>
      <c r="B203" s="7">
        <v>2671.18</v>
      </c>
      <c r="C203" s="8">
        <f>IFERROR(B203/B444, "NA")</f>
        <v>2.0833674558283326E-2</v>
      </c>
      <c r="D203" s="9"/>
      <c r="E203" s="7">
        <v>1110.99</v>
      </c>
      <c r="F203" s="8">
        <f>IFERROR(E203/E444, "NA")</f>
        <v>6.9999848783844059E-3</v>
      </c>
      <c r="G203" s="9"/>
      <c r="H203" s="10">
        <f t="shared" si="52"/>
        <v>-1560.1899999999998</v>
      </c>
      <c r="I203" s="8">
        <f>IFERROR(H203/H444, "NA")</f>
        <v>5.1156018002102351E-2</v>
      </c>
      <c r="J203" s="9"/>
      <c r="K203" s="7">
        <v>1158.06</v>
      </c>
      <c r="L203" s="8">
        <f>IFERROR(K203/K444, "NA")</f>
        <v>7.9021715447992729E-3</v>
      </c>
      <c r="M203" s="9"/>
      <c r="N203" s="10">
        <f t="shared" si="53"/>
        <v>-1513.12</v>
      </c>
      <c r="O203" s="8">
        <f>IFERROR(N203/N444, "NA")</f>
        <v>8.2526090738776259E-2</v>
      </c>
      <c r="P203" s="9"/>
      <c r="Q203" s="7">
        <v>3823.8</v>
      </c>
      <c r="R203" s="8">
        <f>IFERROR(Q203/Q444, "NA")</f>
        <v>1.279304514421333E-2</v>
      </c>
      <c r="S203" s="9"/>
      <c r="T203" s="7">
        <v>2490.63</v>
      </c>
      <c r="U203" s="8">
        <f>IFERROR(T203/T444, "NA")</f>
        <v>7.0000103427799642E-3</v>
      </c>
      <c r="V203" s="9"/>
      <c r="W203" s="10">
        <f t="shared" si="54"/>
        <v>-1333.17</v>
      </c>
      <c r="X203" s="8">
        <f>IFERROR(W203/W444, "NA")</f>
        <v>2.3427178880341227E-2</v>
      </c>
      <c r="Y203" s="9"/>
      <c r="Z203" s="7">
        <v>2323.02</v>
      </c>
      <c r="AA203" s="8">
        <f>IFERROR(Z203/Z444, "NA")</f>
        <v>6.9063965376150839E-3</v>
      </c>
      <c r="AB203" s="9"/>
      <c r="AC203" s="10">
        <f t="shared" si="55"/>
        <v>-1500.7800000000002</v>
      </c>
      <c r="AD203" s="8">
        <f>IFERROR(AC203/AC444, "NA")</f>
        <v>4.0062497046926479E-2</v>
      </c>
    </row>
    <row r="204" spans="1:30" ht="16.5" customHeight="1" x14ac:dyDescent="0.45">
      <c r="A204" s="6" t="s">
        <v>186</v>
      </c>
      <c r="B204" s="7">
        <v>102.89</v>
      </c>
      <c r="C204" s="8">
        <f>IFERROR(B204/B444, "NA")</f>
        <v>8.0248308811153564E-4</v>
      </c>
      <c r="D204" s="9"/>
      <c r="E204" s="7">
        <v>317.43</v>
      </c>
      <c r="F204" s="8">
        <f>IFERROR(E204/E444, "NA")</f>
        <v>2.0000226824233901E-3</v>
      </c>
      <c r="G204" s="9"/>
      <c r="H204" s="10">
        <f t="shared" si="52"/>
        <v>214.54000000000002</v>
      </c>
      <c r="I204" s="8">
        <f>IFERROR(H204/H444, "NA")</f>
        <v>-7.0344074133093029E-3</v>
      </c>
      <c r="J204" s="9"/>
      <c r="K204" s="7">
        <v>49</v>
      </c>
      <c r="L204" s="8">
        <f>IFERROR(K204/K444, "NA")</f>
        <v>3.3435781021291154E-4</v>
      </c>
      <c r="M204" s="9"/>
      <c r="N204" s="10">
        <f t="shared" si="53"/>
        <v>-53.89</v>
      </c>
      <c r="O204" s="8">
        <f>IFERROR(N204/N444, "NA")</f>
        <v>2.9391793313898783E-3</v>
      </c>
      <c r="P204" s="9"/>
      <c r="Q204" s="7">
        <v>143.18</v>
      </c>
      <c r="R204" s="8">
        <f>IFERROR(Q204/Q444, "NA")</f>
        <v>4.7902824513532729E-4</v>
      </c>
      <c r="S204" s="9"/>
      <c r="T204" s="7">
        <v>711.61</v>
      </c>
      <c r="U204" s="8">
        <f>IFERROR(T204/T444, "NA")</f>
        <v>2.0000069701343235E-3</v>
      </c>
      <c r="V204" s="9"/>
      <c r="W204" s="10">
        <f t="shared" si="54"/>
        <v>568.43000000000006</v>
      </c>
      <c r="X204" s="8">
        <f>IFERROR(W204/W444, "NA")</f>
        <v>-9.9887570909579157E-3</v>
      </c>
      <c r="Y204" s="9"/>
      <c r="Z204" s="7">
        <v>270.85000000000002</v>
      </c>
      <c r="AA204" s="8">
        <f>IFERROR(Z204/Z444, "NA")</f>
        <v>8.0524382149660596E-4</v>
      </c>
      <c r="AB204" s="9"/>
      <c r="AC204" s="10">
        <f t="shared" si="55"/>
        <v>127.67000000000002</v>
      </c>
      <c r="AD204" s="8">
        <f>IFERROR(AC204/AC444, "NA")</f>
        <v>-3.4080804634797259E-3</v>
      </c>
    </row>
    <row r="205" spans="1:30" ht="16.5" customHeight="1" x14ac:dyDescent="0.45">
      <c r="A205" s="6" t="s">
        <v>187</v>
      </c>
      <c r="B205" s="7">
        <v>455.3</v>
      </c>
      <c r="C205" s="8">
        <f>IFERROR(B205/B444, "NA")</f>
        <v>3.5510793081658292E-3</v>
      </c>
      <c r="D205" s="9"/>
      <c r="E205" s="7">
        <v>476.14</v>
      </c>
      <c r="F205" s="8">
        <f>IFERROR(E205/E444, "NA")</f>
        <v>3.000002520269265E-3</v>
      </c>
      <c r="G205" s="9"/>
      <c r="H205" s="10">
        <f t="shared" si="52"/>
        <v>20.839999999999975</v>
      </c>
      <c r="I205" s="8">
        <f>IFERROR(H205/H444, "NA")</f>
        <v>-6.8330870930066972E-4</v>
      </c>
      <c r="J205" s="9"/>
      <c r="K205" s="7">
        <v>455.3</v>
      </c>
      <c r="L205" s="8">
        <f>IFERROR(K205/K444, "NA")</f>
        <v>3.1067981834681352E-3</v>
      </c>
      <c r="M205" s="9"/>
      <c r="N205" s="10">
        <f t="shared" si="53"/>
        <v>0</v>
      </c>
      <c r="O205" s="8">
        <f>IFERROR(N205/N444, "NA")</f>
        <v>0</v>
      </c>
      <c r="P205" s="9"/>
      <c r="Q205" s="7">
        <v>1276.18</v>
      </c>
      <c r="R205" s="8">
        <f>IFERROR(Q205/Q444, "NA")</f>
        <v>4.26963448719655E-3</v>
      </c>
      <c r="S205" s="9"/>
      <c r="T205" s="7">
        <v>1067.4100000000001</v>
      </c>
      <c r="U205" s="8">
        <f>IFERROR(T205/T444, "NA")</f>
        <v>2.9999964025113172E-3</v>
      </c>
      <c r="V205" s="9"/>
      <c r="W205" s="10">
        <f t="shared" si="54"/>
        <v>-208.76999999999998</v>
      </c>
      <c r="X205" s="8">
        <f>IFERROR(W205/W444, "NA")</f>
        <v>3.6686185069037232E-3</v>
      </c>
      <c r="Y205" s="9"/>
      <c r="Z205" s="7">
        <v>1183.78</v>
      </c>
      <c r="AA205" s="8">
        <f>IFERROR(Z205/Z444, "NA")</f>
        <v>3.5194075355778186E-3</v>
      </c>
      <c r="AB205" s="9"/>
      <c r="AC205" s="10">
        <f t="shared" si="55"/>
        <v>-92.400000000000091</v>
      </c>
      <c r="AD205" s="8">
        <f>IFERROR(AC205/AC444, "NA")</f>
        <v>2.4665672031450375E-3</v>
      </c>
    </row>
    <row r="206" spans="1:30" ht="16.5" customHeight="1" x14ac:dyDescent="0.45">
      <c r="A206" s="6" t="s">
        <v>188</v>
      </c>
      <c r="B206" s="7">
        <v>25.21</v>
      </c>
      <c r="C206" s="8">
        <f>IFERROR(B206/B444, "NA")</f>
        <v>1.9662356547081169E-4</v>
      </c>
      <c r="D206" s="9"/>
      <c r="E206" s="7">
        <v>158.71</v>
      </c>
      <c r="F206" s="8">
        <f>IFERROR(E206/E444, "NA")</f>
        <v>9.9997983784587538E-4</v>
      </c>
      <c r="G206" s="9"/>
      <c r="H206" s="10">
        <f t="shared" si="52"/>
        <v>133.5</v>
      </c>
      <c r="I206" s="8">
        <f>IFERROR(H206/H444, "NA")</f>
        <v>-4.377241491921282E-3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-25.21</v>
      </c>
      <c r="O206" s="8">
        <f>IFERROR(N206/N444, "NA")</f>
        <v>1.3749621626338623E-3</v>
      </c>
      <c r="P206" s="9"/>
      <c r="Q206" s="7">
        <v>33.590000000000003</v>
      </c>
      <c r="R206" s="8">
        <f>IFERROR(Q206/Q444, "NA")</f>
        <v>1.1237993263092362E-4</v>
      </c>
      <c r="S206" s="9"/>
      <c r="T206" s="7">
        <v>355.8</v>
      </c>
      <c r="U206" s="8">
        <f>IFERROR(T206/T444, "NA")</f>
        <v>9.9998943237699354E-4</v>
      </c>
      <c r="V206" s="9"/>
      <c r="W206" s="10">
        <f t="shared" si="54"/>
        <v>322.21000000000004</v>
      </c>
      <c r="X206" s="8">
        <f>IFERROR(W206/W444, "NA")</f>
        <v>-5.6620470810434878E-3</v>
      </c>
      <c r="Y206" s="9"/>
      <c r="Z206" s="7">
        <v>135.76</v>
      </c>
      <c r="AA206" s="8">
        <f>IFERROR(Z206/Z444, "NA")</f>
        <v>4.0361787412360796E-4</v>
      </c>
      <c r="AB206" s="9"/>
      <c r="AC206" s="10">
        <f t="shared" si="55"/>
        <v>102.16999999999999</v>
      </c>
      <c r="AD206" s="8">
        <f>IFERROR(AC206/AC444, "NA")</f>
        <v>-2.7273719820922965E-3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100</v>
      </c>
      <c r="F207" s="8">
        <f>IFERROR(E207/E444, "NA")</f>
        <v>6.3006731639208332E-4</v>
      </c>
      <c r="G207" s="9"/>
      <c r="H207" s="10">
        <f t="shared" si="52"/>
        <v>100</v>
      </c>
      <c r="I207" s="8">
        <f>IFERROR(H207/H444, "NA")</f>
        <v>-3.2788325782181888E-3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0</v>
      </c>
      <c r="R207" s="8">
        <f>IFERROR(Q207/Q444, "NA")</f>
        <v>0</v>
      </c>
      <c r="S207" s="9"/>
      <c r="T207" s="7">
        <v>300</v>
      </c>
      <c r="U207" s="8">
        <f>IFERROR(T207/T444, "NA")</f>
        <v>8.431614100986454E-4</v>
      </c>
      <c r="V207" s="9"/>
      <c r="W207" s="10">
        <f t="shared" si="54"/>
        <v>300</v>
      </c>
      <c r="X207" s="8">
        <f>IFERROR(W207/W444, "NA")</f>
        <v>-5.2717610388040292E-3</v>
      </c>
      <c r="Y207" s="9"/>
      <c r="Z207" s="7">
        <v>99.6</v>
      </c>
      <c r="AA207" s="8">
        <f>IFERROR(Z207/Z444, "NA")</f>
        <v>2.9611329009068468E-4</v>
      </c>
      <c r="AB207" s="9"/>
      <c r="AC207" s="10">
        <f t="shared" si="55"/>
        <v>99.6</v>
      </c>
      <c r="AD207" s="8">
        <f>IFERROR(AC207/AC444, "NA")</f>
        <v>-2.6587672449485443E-3</v>
      </c>
    </row>
    <row r="208" spans="1:30" ht="16.5" customHeight="1" x14ac:dyDescent="0.45">
      <c r="A208" s="6" t="s">
        <v>190</v>
      </c>
      <c r="B208" s="7">
        <v>42.52</v>
      </c>
      <c r="C208" s="8">
        <f>IFERROR(B208/B444, "NA")</f>
        <v>3.3163165425699774E-4</v>
      </c>
      <c r="D208" s="9"/>
      <c r="E208" s="7">
        <v>100</v>
      </c>
      <c r="F208" s="8">
        <f>IFERROR(E208/E444, "NA")</f>
        <v>6.3006731639208332E-4</v>
      </c>
      <c r="G208" s="9"/>
      <c r="H208" s="10">
        <f t="shared" si="52"/>
        <v>57.48</v>
      </c>
      <c r="I208" s="8">
        <f>IFERROR(H208/H444, "NA")</f>
        <v>-1.8846729659598147E-3</v>
      </c>
      <c r="J208" s="9"/>
      <c r="K208" s="7">
        <v>152.33000000000001</v>
      </c>
      <c r="L208" s="8">
        <f>IFERROR(K208/K444, "NA")</f>
        <v>1.0394433720353638E-3</v>
      </c>
      <c r="M208" s="9"/>
      <c r="N208" s="10">
        <f t="shared" si="53"/>
        <v>109.81</v>
      </c>
      <c r="O208" s="8">
        <f>IFERROR(N208/N444, "NA")</f>
        <v>-5.9890755683785967E-3</v>
      </c>
      <c r="P208" s="9"/>
      <c r="Q208" s="7">
        <v>284.10000000000002</v>
      </c>
      <c r="R208" s="8">
        <f>IFERROR(Q208/Q444, "NA")</f>
        <v>9.5049535160599582E-4</v>
      </c>
      <c r="S208" s="9"/>
      <c r="T208" s="7">
        <v>300</v>
      </c>
      <c r="U208" s="8">
        <f>IFERROR(T208/T444, "NA")</f>
        <v>8.431614100986454E-4</v>
      </c>
      <c r="V208" s="9"/>
      <c r="W208" s="10">
        <f t="shared" si="54"/>
        <v>15.899999999999977</v>
      </c>
      <c r="X208" s="8">
        <f>IFERROR(W208/W444, "NA")</f>
        <v>-2.7940333505661316E-4</v>
      </c>
      <c r="Y208" s="9"/>
      <c r="Z208" s="7">
        <v>561.98</v>
      </c>
      <c r="AA208" s="8">
        <f>IFERROR(Z208/Z444, "NA")</f>
        <v>1.6707805900116766E-3</v>
      </c>
      <c r="AB208" s="9"/>
      <c r="AC208" s="10">
        <f t="shared" si="55"/>
        <v>277.88</v>
      </c>
      <c r="AD208" s="8">
        <f>IFERROR(AC208/AC444, "NA")</f>
        <v>-7.4178538356054367E-3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4643.0000000000009</v>
      </c>
      <c r="C209" s="15">
        <f>IFERROR(B209/B444, "NA")</f>
        <v>3.6212741550217323E-2</v>
      </c>
      <c r="D209" s="2"/>
      <c r="E209" s="14">
        <f>IFERROR(E201+E202+E203+E204+E205+E206+E207+E208, "NA")</f>
        <v>4009.12</v>
      </c>
      <c r="F209" s="15">
        <f>IFERROR(E209/E444, "NA")</f>
        <v>2.5260154794938289E-2</v>
      </c>
      <c r="G209" s="2"/>
      <c r="H209" s="14">
        <f t="shared" si="52"/>
        <v>-633.88000000000102</v>
      </c>
      <c r="I209" s="15">
        <f>IFERROR(H209/H444, "NA")</f>
        <v>2.0783863946809488E-2</v>
      </c>
      <c r="J209" s="2"/>
      <c r="K209" s="14">
        <f>IFERROR(K201+K202+K203+K204+K205+K206+K207+K208, "NA")</f>
        <v>3098.07</v>
      </c>
      <c r="L209" s="15">
        <f>IFERROR(K209/K444, "NA")</f>
        <v>2.1140079614006428E-2</v>
      </c>
      <c r="M209" s="2"/>
      <c r="N209" s="14">
        <f t="shared" si="53"/>
        <v>-1544.9300000000007</v>
      </c>
      <c r="O209" s="15">
        <f>IFERROR(N209/N444, "NA")</f>
        <v>8.4261019195475365E-2</v>
      </c>
      <c r="P209" s="2"/>
      <c r="Q209" s="14">
        <f>IFERROR(Q201+Q202+Q203+Q204+Q205+Q206+Q207+Q208, "NA")</f>
        <v>8716.7000000000007</v>
      </c>
      <c r="R209" s="15">
        <f>IFERROR(Q209/Q444, "NA")</f>
        <v>2.9162910353199522E-2</v>
      </c>
      <c r="S209" s="2"/>
      <c r="T209" s="14">
        <f>IFERROR(T201+T202+T203+T204+T205+T206+T207+T208, "NA")</f>
        <v>9139.2899999999991</v>
      </c>
      <c r="U209" s="15">
        <f>IFERROR(T209/T444, "NA")</f>
        <v>2.5686322145668159E-2</v>
      </c>
      <c r="V209" s="2"/>
      <c r="W209" s="14">
        <f t="shared" si="54"/>
        <v>422.58999999999833</v>
      </c>
      <c r="X209" s="15">
        <f>IFERROR(W209/W444, "NA")</f>
        <v>-7.4259783246272857E-3</v>
      </c>
      <c r="Y209" s="2"/>
      <c r="Z209" s="14">
        <f>IFERROR(Z201+Z202+Z203+Z204+Z205+Z206+Z207+Z208, "NA")</f>
        <v>7517.3600000000006</v>
      </c>
      <c r="AA209" s="15">
        <f>IFERROR(Z209/Z444, "NA")</f>
        <v>2.2349299220844474E-2</v>
      </c>
      <c r="AB209" s="2"/>
      <c r="AC209" s="14">
        <f t="shared" si="55"/>
        <v>-1199.3400000000001</v>
      </c>
      <c r="AD209" s="15">
        <f>IFERROR(AC209/AC444, "NA")</f>
        <v>3.2015721963419556E-2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4602.68</v>
      </c>
      <c r="F213" s="8">
        <f>IFERROR(E213/E444, "NA")</f>
        <v>2.8999982358115142E-2</v>
      </c>
      <c r="G213" s="9"/>
      <c r="H213" s="10">
        <f t="shared" ref="H213:H227" si="56">IFERROR(-(B213-E213), "NA")</f>
        <v>4602.68</v>
      </c>
      <c r="I213" s="8">
        <f>IFERROR(H213/H444, "NA")</f>
        <v>-0.15091417131113294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10318.31</v>
      </c>
      <c r="U213" s="8">
        <f>IFERROR(T213/T444, "NA")</f>
        <v>2.9000002698116509E-2</v>
      </c>
      <c r="V213" s="9"/>
      <c r="W213" s="10">
        <f t="shared" ref="W213:W227" si="58">IFERROR(-(Q213-T213), "NA")</f>
        <v>10318.31</v>
      </c>
      <c r="X213" s="8">
        <f>IFERROR(W213/W444, "NA")</f>
        <v>-0.18131888214767333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1140.8</v>
      </c>
      <c r="C214" s="8">
        <f>IFERROR(B214/B444, "NA")</f>
        <v>8.8975868103570773E-3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-1140.8</v>
      </c>
      <c r="I214" s="8">
        <f>IFERROR(H214/H444, "NA")</f>
        <v>3.7404922052313092E-2</v>
      </c>
      <c r="J214" s="9"/>
      <c r="K214" s="7">
        <v>3362.42</v>
      </c>
      <c r="L214" s="8">
        <f>IFERROR(K214/K444, "NA")</f>
        <v>2.2943905881961185E-2</v>
      </c>
      <c r="M214" s="9"/>
      <c r="N214" s="10">
        <f t="shared" si="57"/>
        <v>2221.62</v>
      </c>
      <c r="O214" s="8">
        <f>IFERROR(N214/N444, "NA")</f>
        <v>-0.12116792700319877</v>
      </c>
      <c r="P214" s="9"/>
      <c r="Q214" s="7">
        <v>4326.93</v>
      </c>
      <c r="R214" s="8">
        <f>IFERROR(Q214/Q444, "NA")</f>
        <v>1.4476335275341541E-2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-4326.93</v>
      </c>
      <c r="X214" s="8">
        <f>IFERROR(W214/W444, "NA")</f>
        <v>7.6035136638774398E-2</v>
      </c>
      <c r="Y214" s="9"/>
      <c r="Z214" s="7">
        <v>8149.19</v>
      </c>
      <c r="AA214" s="8">
        <f>IFERROR(Z214/Z444, "NA")</f>
        <v>2.4227745607169747E-2</v>
      </c>
      <c r="AB214" s="9"/>
      <c r="AC214" s="10">
        <f t="shared" si="59"/>
        <v>3822.2599999999993</v>
      </c>
      <c r="AD214" s="8">
        <f>IFERROR(AC214/AC444, "NA")</f>
        <v>-0.10203312941442792</v>
      </c>
    </row>
    <row r="215" spans="1:30" ht="16.5" customHeight="1" x14ac:dyDescent="0.45">
      <c r="A215" s="12" t="s">
        <v>195</v>
      </c>
      <c r="B215" s="7">
        <v>155.29</v>
      </c>
      <c r="C215" s="8">
        <f>IFERROR(B215/B444, "NA")</f>
        <v>1.2111730853614573E-3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-155.29</v>
      </c>
      <c r="I215" s="8">
        <f>IFERROR(H215/H444, "NA")</f>
        <v>5.0916991107150247E-3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-155.29</v>
      </c>
      <c r="O215" s="8">
        <f>IFERROR(N215/N444, "NA")</f>
        <v>8.4695705765732831E-3</v>
      </c>
      <c r="P215" s="9"/>
      <c r="Q215" s="7">
        <v>461.93</v>
      </c>
      <c r="R215" s="8">
        <f>IFERROR(Q215/Q444, "NA")</f>
        <v>1.5454499041441664E-3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-461.93</v>
      </c>
      <c r="X215" s="8">
        <f>IFERROR(W215/W444, "NA")</f>
        <v>8.1172819221824836E-3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-461.93</v>
      </c>
      <c r="AD215" s="8">
        <f>IFERROR(AC215/AC444, "NA")</f>
        <v>1.2330967404207641E-2</v>
      </c>
    </row>
    <row r="216" spans="1:30" ht="16.5" customHeight="1" x14ac:dyDescent="0.45">
      <c r="A216" s="12" t="s">
        <v>196</v>
      </c>
      <c r="B216" s="7">
        <v>60</v>
      </c>
      <c r="C216" s="8">
        <f>IFERROR(B216/B444, "NA")</f>
        <v>4.6796564570601745E-4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-60</v>
      </c>
      <c r="I216" s="8">
        <f>IFERROR(H216/H444, "NA")</f>
        <v>1.9672995469309134E-3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-60</v>
      </c>
      <c r="O216" s="8">
        <f>IFERROR(N216/N444, "NA")</f>
        <v>3.2724208551381095E-3</v>
      </c>
      <c r="P216" s="9"/>
      <c r="Q216" s="7">
        <v>70</v>
      </c>
      <c r="R216" s="8">
        <f>IFERROR(Q216/Q444, "NA")</f>
        <v>2.3419456040978424E-4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-70</v>
      </c>
      <c r="X216" s="8">
        <f>IFERROR(W216/W444, "NA")</f>
        <v>1.2300775757209401E-3</v>
      </c>
      <c r="Y216" s="9"/>
      <c r="Z216" s="7">
        <v>2.1</v>
      </c>
      <c r="AA216" s="8">
        <f>IFERROR(Z216/Z444, "NA")</f>
        <v>6.2433525019120272E-6</v>
      </c>
      <c r="AB216" s="9"/>
      <c r="AC216" s="10">
        <f t="shared" si="59"/>
        <v>-67.900000000000006</v>
      </c>
      <c r="AD216" s="8">
        <f>IFERROR(AC216/AC444, "NA")</f>
        <v>1.8125531720080941E-3</v>
      </c>
    </row>
    <row r="217" spans="1:30" ht="16.5" customHeight="1" x14ac:dyDescent="0.45">
      <c r="A217" s="12" t="s">
        <v>197</v>
      </c>
      <c r="B217" s="7">
        <v>3745.68</v>
      </c>
      <c r="C217" s="8">
        <f>IFERROR(B217/B444, "NA")</f>
        <v>2.9214159330135256E-2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-3745.68</v>
      </c>
      <c r="I217" s="8">
        <f>IFERROR(H217/H444, "NA")</f>
        <v>0.12281457611580304</v>
      </c>
      <c r="J217" s="9"/>
      <c r="K217" s="7">
        <v>2954.05</v>
      </c>
      <c r="L217" s="8">
        <f>IFERROR(K217/K444, "NA")</f>
        <v>2.0157340597131663E-2</v>
      </c>
      <c r="M217" s="9"/>
      <c r="N217" s="10">
        <f t="shared" si="57"/>
        <v>-791.62999999999965</v>
      </c>
      <c r="O217" s="8">
        <f>IFERROR(N217/N444, "NA")</f>
        <v>4.3175775359216337E-2</v>
      </c>
      <c r="P217" s="9"/>
      <c r="Q217" s="7">
        <v>4750.0200000000004</v>
      </c>
      <c r="R217" s="8">
        <f>IFERROR(Q217/Q444, "NA")</f>
        <v>1.589184065482405E-2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-4750.0200000000004</v>
      </c>
      <c r="X217" s="8">
        <f>IFERROR(W217/W444, "NA")</f>
        <v>8.3469901231799717E-2</v>
      </c>
      <c r="Y217" s="9"/>
      <c r="Z217" s="7">
        <v>7649.03</v>
      </c>
      <c r="AA217" s="8">
        <f>IFERROR(Z217/Z444, "NA")</f>
        <v>2.2740757422714357E-2</v>
      </c>
      <c r="AB217" s="9"/>
      <c r="AC217" s="10">
        <f t="shared" si="59"/>
        <v>2899.0099999999993</v>
      </c>
      <c r="AD217" s="8">
        <f>IFERROR(AC217/AC444, "NA")</f>
        <v>-7.738747822066544E-2</v>
      </c>
    </row>
    <row r="218" spans="1:30" ht="16.5" customHeight="1" x14ac:dyDescent="0.45">
      <c r="A218" s="13" t="s">
        <v>198</v>
      </c>
      <c r="B218" s="14">
        <f>IFERROR(B213+B214+B215+B216+B217, "NA")</f>
        <v>5101.7699999999995</v>
      </c>
      <c r="C218" s="15">
        <f>IFERROR(B218/B444, "NA")</f>
        <v>3.9790884871559809E-2</v>
      </c>
      <c r="D218" s="2"/>
      <c r="E218" s="14">
        <f>IFERROR(E213+E214+E215+E216+E217, "NA")</f>
        <v>4602.68</v>
      </c>
      <c r="F218" s="15">
        <f>IFERROR(E218/E444, "NA")</f>
        <v>2.8999982358115142E-2</v>
      </c>
      <c r="G218" s="2"/>
      <c r="H218" s="14">
        <f t="shared" si="56"/>
        <v>-499.08999999999924</v>
      </c>
      <c r="I218" s="15">
        <f>IFERROR(H218/H444, "NA")</f>
        <v>1.6364325514629133E-2</v>
      </c>
      <c r="J218" s="2"/>
      <c r="K218" s="14">
        <f>IFERROR(K213+K214+K215+K216+K217, "NA")</f>
        <v>6316.47</v>
      </c>
      <c r="L218" s="15">
        <f>IFERROR(K218/K444, "NA")</f>
        <v>4.3101246479092845E-2</v>
      </c>
      <c r="M218" s="2"/>
      <c r="N218" s="14">
        <f t="shared" si="57"/>
        <v>1214.7000000000007</v>
      </c>
      <c r="O218" s="15">
        <f>IFERROR(N218/N444, "NA")</f>
        <v>-6.6250160212271064E-2</v>
      </c>
      <c r="P218" s="2"/>
      <c r="Q218" s="14">
        <f>IFERROR(Q213+Q214+Q215+Q216+Q217, "NA")</f>
        <v>9608.880000000001</v>
      </c>
      <c r="R218" s="15">
        <f>IFERROR(Q218/Q444, "NA")</f>
        <v>3.2147820394719542E-2</v>
      </c>
      <c r="S218" s="2"/>
      <c r="T218" s="14">
        <f>IFERROR(T213+T214+T215+T216+T217, "NA")</f>
        <v>10318.31</v>
      </c>
      <c r="U218" s="15">
        <f>IFERROR(T218/T444, "NA")</f>
        <v>2.9000002698116509E-2</v>
      </c>
      <c r="V218" s="2"/>
      <c r="W218" s="14">
        <f t="shared" si="58"/>
        <v>709.42999999999847</v>
      </c>
      <c r="X218" s="15">
        <f>IFERROR(W218/W444, "NA")</f>
        <v>-1.2466484779195781E-2</v>
      </c>
      <c r="Y218" s="2"/>
      <c r="Z218" s="14">
        <f>IFERROR(Z213+Z214+Z215+Z216+Z217, "NA")</f>
        <v>15800.32</v>
      </c>
      <c r="AA218" s="15">
        <f>IFERROR(Z218/Z444, "NA")</f>
        <v>4.6974746382386016E-2</v>
      </c>
      <c r="AB218" s="2"/>
      <c r="AC218" s="14">
        <f t="shared" si="59"/>
        <v>6191.4399999999987</v>
      </c>
      <c r="AD218" s="15">
        <f>IFERROR(AC218/AC444, "NA")</f>
        <v>-0.16527708705887764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132.28</v>
      </c>
      <c r="C222" s="8">
        <f>IFERROR(B222/B444, "NA")</f>
        <v>1.0317082602331999E-3</v>
      </c>
      <c r="D222" s="9"/>
      <c r="E222" s="7">
        <v>100</v>
      </c>
      <c r="F222" s="8">
        <f>IFERROR(E222/E444, "NA")</f>
        <v>6.3006731639208332E-4</v>
      </c>
      <c r="G222" s="9"/>
      <c r="H222" s="10">
        <f t="shared" si="56"/>
        <v>-32.28</v>
      </c>
      <c r="I222" s="8">
        <f>IFERROR(H222/H444, "NA")</f>
        <v>1.0584071562488313E-3</v>
      </c>
      <c r="J222" s="9"/>
      <c r="K222" s="7">
        <v>157.18</v>
      </c>
      <c r="L222" s="8">
        <f>IFERROR(K222/K444, "NA")</f>
        <v>1.0725379716176621E-3</v>
      </c>
      <c r="M222" s="9"/>
      <c r="N222" s="10">
        <f t="shared" si="57"/>
        <v>24.900000000000006</v>
      </c>
      <c r="O222" s="8">
        <f>IFERROR(N222/N444, "NA")</f>
        <v>-1.3580546548823157E-3</v>
      </c>
      <c r="P222" s="9"/>
      <c r="Q222" s="7">
        <v>169.89</v>
      </c>
      <c r="R222" s="8">
        <f>IFERROR(Q222/Q444, "NA")</f>
        <v>5.6839019811454636E-4</v>
      </c>
      <c r="S222" s="9"/>
      <c r="T222" s="7">
        <v>300</v>
      </c>
      <c r="U222" s="8">
        <f>IFERROR(T222/T444, "NA")</f>
        <v>8.431614100986454E-4</v>
      </c>
      <c r="V222" s="9"/>
      <c r="W222" s="10">
        <f t="shared" si="58"/>
        <v>130.11000000000001</v>
      </c>
      <c r="X222" s="8">
        <f>IFERROR(W222/W444, "NA")</f>
        <v>-2.2863627625293076E-3</v>
      </c>
      <c r="Y222" s="9"/>
      <c r="Z222" s="7">
        <v>449.56</v>
      </c>
      <c r="AA222" s="8">
        <f>IFERROR(Z222/Z444, "NA")</f>
        <v>1.3365531194093193E-3</v>
      </c>
      <c r="AB222" s="9"/>
      <c r="AC222" s="10">
        <f t="shared" si="59"/>
        <v>279.67</v>
      </c>
      <c r="AD222" s="8">
        <f>IFERROR(AC222/AC444, "NA")</f>
        <v>-7.4656369015538102E-3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hidden="1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0</v>
      </c>
      <c r="F226" s="8">
        <f>IFERROR(E226/E444, "NA")</f>
        <v>0</v>
      </c>
      <c r="G226" s="9"/>
      <c r="H226" s="10">
        <f t="shared" si="56"/>
        <v>0</v>
      </c>
      <c r="I226" s="8">
        <f>IFERROR(H226/H444, "NA")</f>
        <v>0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0</v>
      </c>
      <c r="U226" s="8">
        <f>IFERROR(T226/T444, "NA")</f>
        <v>0</v>
      </c>
      <c r="V226" s="9"/>
      <c r="W226" s="10">
        <f t="shared" si="58"/>
        <v>0</v>
      </c>
      <c r="X226" s="8">
        <f>IFERROR(W226/W444, "NA")</f>
        <v>0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5234.0499999999993</v>
      </c>
      <c r="C227" s="15">
        <f>IFERROR(B227/B444, "NA")</f>
        <v>4.0822593131793004E-2</v>
      </c>
      <c r="D227" s="2"/>
      <c r="E227" s="14">
        <f>IFERROR(E211+E213+E214+E215+E216+E217+E219+E220+E221+E222+E223+E224+E225+E226, "NA")</f>
        <v>4702.68</v>
      </c>
      <c r="F227" s="15">
        <f>IFERROR(E227/E444, "NA")</f>
        <v>2.9630049674507223E-2</v>
      </c>
      <c r="G227" s="2"/>
      <c r="H227" s="14">
        <f t="shared" si="56"/>
        <v>-531.36999999999898</v>
      </c>
      <c r="I227" s="15">
        <f>IFERROR(H227/H444, "NA")</f>
        <v>1.7422732670877957E-2</v>
      </c>
      <c r="J227" s="2"/>
      <c r="K227" s="14">
        <f>IFERROR(K211+K213+K214+K215+K216+K217+K219+K220+K221+K222+K223+K224+K225+K226, "NA")</f>
        <v>6473.6500000000005</v>
      </c>
      <c r="L227" s="15">
        <f>IFERROR(K227/K444, "NA")</f>
        <v>4.4173784450710511E-2</v>
      </c>
      <c r="M227" s="2"/>
      <c r="N227" s="14">
        <f t="shared" si="57"/>
        <v>1239.6000000000013</v>
      </c>
      <c r="O227" s="15">
        <f>IFERROR(N227/N444, "NA")</f>
        <v>-6.7608214867153404E-2</v>
      </c>
      <c r="P227" s="2"/>
      <c r="Q227" s="14">
        <f>IFERROR(Q211+Q213+Q214+Q215+Q216+Q217+Q219+Q220+Q221+Q222+Q223+Q224+Q225+Q226, "NA")</f>
        <v>9778.77</v>
      </c>
      <c r="R227" s="15">
        <f>IFERROR(Q227/Q444, "NA")</f>
        <v>3.271621059283409E-2</v>
      </c>
      <c r="S227" s="2"/>
      <c r="T227" s="14">
        <f>IFERROR(T211+T213+T214+T215+T216+T217+T219+T220+T221+T222+T223+T224+T225+T226, "NA")</f>
        <v>10618.31</v>
      </c>
      <c r="U227" s="15">
        <f>IFERROR(T227/T444, "NA")</f>
        <v>2.9843164108215154E-2</v>
      </c>
      <c r="V227" s="2"/>
      <c r="W227" s="14">
        <f t="shared" si="58"/>
        <v>839.53999999999905</v>
      </c>
      <c r="X227" s="15">
        <f>IFERROR(W227/W444, "NA")</f>
        <v>-1.4752847541725098E-2</v>
      </c>
      <c r="Y227" s="2"/>
      <c r="Z227" s="14">
        <f>IFERROR(Z211+Z213+Z214+Z215+Z216+Z217+Z219+Z220+Z221+Z222+Z223+Z224+Z225+Z226, "NA")</f>
        <v>16249.88</v>
      </c>
      <c r="AA227" s="15">
        <f>IFERROR(Z227/Z444, "NA")</f>
        <v>4.8311299501795336E-2</v>
      </c>
      <c r="AB227" s="2"/>
      <c r="AC227" s="14">
        <f t="shared" si="59"/>
        <v>6471.1099999999988</v>
      </c>
      <c r="AD227" s="15">
        <f>IFERROR(AC227/AC444, "NA")</f>
        <v>-0.17274272396043144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2063.27</v>
      </c>
      <c r="F229" s="8">
        <f>IFERROR(E229/E444, "NA")</f>
        <v>1.2999989918922936E-2</v>
      </c>
      <c r="G229" s="9"/>
      <c r="H229" s="10">
        <f t="shared" ref="H229:H236" si="60">IFERROR(-(B229-E229), "NA")</f>
        <v>2063.27</v>
      </c>
      <c r="I229" s="8">
        <f>IFERROR(H229/H444, "NA")</f>
        <v>-6.7651168936602418E-2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4625.45</v>
      </c>
      <c r="U229" s="8">
        <f>IFERROR(T229/T444, "NA")</f>
        <v>1.3000003147802596E-2</v>
      </c>
      <c r="V229" s="9"/>
      <c r="W229" s="10">
        <f t="shared" ref="W229:W236" si="62">IFERROR(-(Q229-T229), "NA")</f>
        <v>4625.45</v>
      </c>
      <c r="X229" s="8">
        <f>IFERROR(W229/W444, "NA")</f>
        <v>-8.1280890323120317E-2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hidden="1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0</v>
      </c>
      <c r="AA230" s="8">
        <f>IFERROR(Z230/Z444, "NA")</f>
        <v>0</v>
      </c>
      <c r="AB230" s="9"/>
      <c r="AC230" s="10">
        <f t="shared" si="63"/>
        <v>0</v>
      </c>
      <c r="AD230" s="8">
        <f>IFERROR(AC230/AC444, "NA")</f>
        <v>0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210</v>
      </c>
      <c r="L231" s="8">
        <f>IFERROR(K231/K444, "NA")</f>
        <v>1.432962043769621E-3</v>
      </c>
      <c r="M231" s="9"/>
      <c r="N231" s="10">
        <f t="shared" si="61"/>
        <v>210</v>
      </c>
      <c r="O231" s="8">
        <f>IFERROR(N231/N444, "NA")</f>
        <v>-1.1453472992983382E-2</v>
      </c>
      <c r="P231" s="9"/>
      <c r="Q231" s="7">
        <v>231</v>
      </c>
      <c r="R231" s="8">
        <f>IFERROR(Q231/Q444, "NA")</f>
        <v>7.7284204935228803E-4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-231</v>
      </c>
      <c r="X231" s="8">
        <f>IFERROR(W231/W444, "NA")</f>
        <v>4.0592559998791026E-3</v>
      </c>
      <c r="Y231" s="9"/>
      <c r="Z231" s="7">
        <v>546.04999999999995</v>
      </c>
      <c r="AA231" s="8">
        <f>IFERROR(Z231/Z444, "NA")</f>
        <v>1.6234203017471724E-3</v>
      </c>
      <c r="AB231" s="9"/>
      <c r="AC231" s="10">
        <f t="shared" si="63"/>
        <v>315.04999999999995</v>
      </c>
      <c r="AD231" s="8">
        <f>IFERROR(AC231/AC444, "NA")</f>
        <v>-8.4100865514160524E-3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1288.54</v>
      </c>
      <c r="C234" s="8">
        <f>IFERROR(B234/B444, "NA")</f>
        <v>1.0049874218633861E-2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-1288.54</v>
      </c>
      <c r="I234" s="8">
        <f>IFERROR(H234/H444, "NA")</f>
        <v>4.2249069303372647E-2</v>
      </c>
      <c r="J234" s="9"/>
      <c r="K234" s="7">
        <v>1845.72</v>
      </c>
      <c r="L234" s="8">
        <f>IFERROR(K234/K444, "NA")</f>
        <v>1.2594508111554594E-2</v>
      </c>
      <c r="M234" s="9"/>
      <c r="N234" s="10">
        <f t="shared" si="61"/>
        <v>557.18000000000006</v>
      </c>
      <c r="O234" s="8">
        <f>IFERROR(N234/N444, "NA")</f>
        <v>-3.03887908677642E-2</v>
      </c>
      <c r="P234" s="9"/>
      <c r="Q234" s="7">
        <v>3336.56</v>
      </c>
      <c r="R234" s="8">
        <f>IFERROR(Q234/Q444, "NA")</f>
        <v>1.116291717829814E-2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-3336.56</v>
      </c>
      <c r="X234" s="8">
        <f>IFERROR(W234/W444, "NA")</f>
        <v>5.8631823372106567E-2</v>
      </c>
      <c r="Y234" s="9"/>
      <c r="Z234" s="7">
        <v>4747.8599999999997</v>
      </c>
      <c r="AA234" s="8">
        <f>IFERROR(Z234/Z444, "NA")</f>
        <v>1.4115506480822873E-2</v>
      </c>
      <c r="AB234" s="9"/>
      <c r="AC234" s="10">
        <f t="shared" si="63"/>
        <v>1411.2999999999997</v>
      </c>
      <c r="AD234" s="8">
        <f>IFERROR(AC234/AC444, "NA")</f>
        <v>-3.7673877638512848E-2</v>
      </c>
    </row>
    <row r="235" spans="1:30" ht="16.5" customHeight="1" x14ac:dyDescent="0.45">
      <c r="A235" s="6" t="s">
        <v>214</v>
      </c>
      <c r="B235" s="7">
        <v>46.19</v>
      </c>
      <c r="C235" s="8">
        <f>IFERROR(B235/B444, "NA")</f>
        <v>3.6025555291934906E-4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-46.19</v>
      </c>
      <c r="I235" s="8">
        <f>IFERROR(H235/H444, "NA")</f>
        <v>1.5144927678789812E-3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-46.19</v>
      </c>
      <c r="O235" s="8">
        <f>IFERROR(N235/N444, "NA")</f>
        <v>2.5192186549804875E-3</v>
      </c>
      <c r="P235" s="9"/>
      <c r="Q235" s="7">
        <v>80.459999999999994</v>
      </c>
      <c r="R235" s="8">
        <f>IFERROR(Q235/Q444, "NA")</f>
        <v>2.6918991900816056E-4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-80.459999999999994</v>
      </c>
      <c r="X235" s="8">
        <f>IFERROR(W235/W444, "NA")</f>
        <v>1.4138863106072405E-3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-80.459999999999994</v>
      </c>
      <c r="AD235" s="8">
        <f>IFERROR(AC235/AC444, "NA")</f>
        <v>2.1478354671542153E-3</v>
      </c>
    </row>
    <row r="236" spans="1:30" ht="16.5" customHeight="1" x14ac:dyDescent="0.45">
      <c r="A236" s="19" t="s">
        <v>215</v>
      </c>
      <c r="B236" s="14">
        <f>IFERROR(B229+B230+B231+B232+B233+B234+B235, "NA")</f>
        <v>1334.73</v>
      </c>
      <c r="C236" s="15">
        <f>IFERROR(B236/B444, "NA")</f>
        <v>1.0410129771553211E-2</v>
      </c>
      <c r="D236" s="2"/>
      <c r="E236" s="14">
        <f>IFERROR(E229+E230+E231+E232+E233+E234+E235, "NA")</f>
        <v>2063.27</v>
      </c>
      <c r="F236" s="15">
        <f>IFERROR(E236/E444, "NA")</f>
        <v>1.2999989918922936E-2</v>
      </c>
      <c r="G236" s="2"/>
      <c r="H236" s="14">
        <f t="shared" si="60"/>
        <v>728.54</v>
      </c>
      <c r="I236" s="15">
        <f>IFERROR(H236/H444, "NA")</f>
        <v>-2.388760686535079E-2</v>
      </c>
      <c r="J236" s="2"/>
      <c r="K236" s="14">
        <f>IFERROR(K229+K230+K231+K232+K233+K234+K235, "NA")</f>
        <v>2055.7200000000003</v>
      </c>
      <c r="L236" s="15">
        <f>IFERROR(K236/K444, "NA")</f>
        <v>1.4027470155324217E-2</v>
      </c>
      <c r="M236" s="2"/>
      <c r="N236" s="14">
        <f t="shared" si="61"/>
        <v>720.99000000000024</v>
      </c>
      <c r="O236" s="15">
        <f>IFERROR(N236/N444, "NA")</f>
        <v>-3.9323045205767106E-2</v>
      </c>
      <c r="P236" s="2"/>
      <c r="Q236" s="14">
        <f>IFERROR(Q229+Q230+Q231+Q232+Q233+Q234+Q235, "NA")</f>
        <v>3648.02</v>
      </c>
      <c r="R236" s="15">
        <f>IFERROR(Q236/Q444, "NA")</f>
        <v>1.2204949146658588E-2</v>
      </c>
      <c r="S236" s="2"/>
      <c r="T236" s="14">
        <f>IFERROR(T229+T230+T231+T232+T233+T234+T235, "NA")</f>
        <v>4625.45</v>
      </c>
      <c r="U236" s="15">
        <f>IFERROR(T236/T444, "NA")</f>
        <v>1.3000003147802596E-2</v>
      </c>
      <c r="V236" s="2"/>
      <c r="W236" s="14">
        <f t="shared" si="62"/>
        <v>977.42999999999984</v>
      </c>
      <c r="X236" s="15">
        <f>IFERROR(W236/W444, "NA")</f>
        <v>-1.7175924640527404E-2</v>
      </c>
      <c r="Y236" s="2"/>
      <c r="Z236" s="14">
        <f>IFERROR(Z229+Z230+Z231+Z232+Z233+Z234+Z235, "NA")</f>
        <v>5293.91</v>
      </c>
      <c r="AA236" s="15">
        <f>IFERROR(Z236/Z444, "NA")</f>
        <v>1.5738926782570047E-2</v>
      </c>
      <c r="AB236" s="2"/>
      <c r="AC236" s="14">
        <f t="shared" si="63"/>
        <v>1645.8899999999999</v>
      </c>
      <c r="AD236" s="15">
        <f>IFERROR(AC236/AC444, "NA")</f>
        <v>-4.3936128722774692E-2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9681.51</v>
      </c>
      <c r="F240" s="8">
        <f>IFERROR(E240/E444, "NA")</f>
        <v>6.1000030243231182E-2</v>
      </c>
      <c r="G240" s="9"/>
      <c r="H240" s="10">
        <f t="shared" ref="H240:H263" si="64">IFERROR(-(B240-E240), "NA")</f>
        <v>9681.51</v>
      </c>
      <c r="I240" s="8">
        <f>IFERROR(H240/H444, "NA")</f>
        <v>-0.31744050394345175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21704.03</v>
      </c>
      <c r="U240" s="8">
        <f>IFERROR(T240/T444, "NA")</f>
        <v>6.100000179874434E-2</v>
      </c>
      <c r="V240" s="9"/>
      <c r="W240" s="10">
        <f t="shared" ref="W240:W263" si="66">IFERROR(-(Q240-T240), "NA")</f>
        <v>21704.03</v>
      </c>
      <c r="X240" s="8">
        <f>IFERROR(W240/W444, "NA")</f>
        <v>-0.38139486579677934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1875.09</v>
      </c>
      <c r="C242" s="8">
        <f>IFERROR(B242/B444, "NA")</f>
        <v>1.4624628376781603E-2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-1875.09</v>
      </c>
      <c r="I242" s="8">
        <f>IFERROR(H242/H444, "NA")</f>
        <v>6.148106179091143E-2</v>
      </c>
      <c r="J242" s="9"/>
      <c r="K242" s="7">
        <v>1347.71</v>
      </c>
      <c r="L242" s="8">
        <f>IFERROR(K242/K444, "NA")</f>
        <v>9.1962727428988381E-3</v>
      </c>
      <c r="M242" s="9"/>
      <c r="N242" s="10">
        <f t="shared" si="65"/>
        <v>-527.37999999999988</v>
      </c>
      <c r="O242" s="8">
        <f>IFERROR(N242/N444, "NA")</f>
        <v>2.8763488509712262E-2</v>
      </c>
      <c r="P242" s="9"/>
      <c r="Q242" s="7">
        <v>4734.97</v>
      </c>
      <c r="R242" s="8">
        <f>IFERROR(Q242/Q444, "NA")</f>
        <v>1.5841488824335944E-2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-4734.97</v>
      </c>
      <c r="X242" s="8">
        <f>IFERROR(W242/W444, "NA")</f>
        <v>8.3205434553019708E-2</v>
      </c>
      <c r="Y242" s="9"/>
      <c r="Z242" s="7">
        <v>3427.53</v>
      </c>
      <c r="AA242" s="8">
        <f>IFERROR(Z242/Z444, "NA")</f>
        <v>1.0190132381370729E-2</v>
      </c>
      <c r="AB242" s="9"/>
      <c r="AC242" s="10">
        <f t="shared" si="67"/>
        <v>-1307.44</v>
      </c>
      <c r="AD242" s="8">
        <f>IFERROR(AC242/AC444, "NA")</f>
        <v>3.490139203549724E-2</v>
      </c>
    </row>
    <row r="243" spans="1:30" ht="16.5" customHeight="1" x14ac:dyDescent="0.45">
      <c r="A243" s="12" t="s">
        <v>220</v>
      </c>
      <c r="B243" s="7">
        <v>1805.3</v>
      </c>
      <c r="C243" s="8">
        <f>IFERROR(B243/B444, "NA")</f>
        <v>1.4080306336551222E-2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-1805.3</v>
      </c>
      <c r="I243" s="8">
        <f>IFERROR(H243/H444, "NA")</f>
        <v>5.9192764534572957E-2</v>
      </c>
      <c r="J243" s="9"/>
      <c r="K243" s="7">
        <v>2933.98</v>
      </c>
      <c r="L243" s="8">
        <f>IFERROR(K243/K444, "NA")</f>
        <v>2.0020390367519965E-2</v>
      </c>
      <c r="M243" s="9"/>
      <c r="N243" s="10">
        <f t="shared" si="65"/>
        <v>1128.68</v>
      </c>
      <c r="O243" s="8">
        <f>IFERROR(N243/N444, "NA")</f>
        <v>-6.1558599512954691E-2</v>
      </c>
      <c r="P243" s="9"/>
      <c r="Q243" s="7">
        <v>5191.96</v>
      </c>
      <c r="R243" s="8">
        <f>IFERROR(Q243/Q444, "NA")</f>
        <v>1.7370411283788335E-2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-5191.96</v>
      </c>
      <c r="X243" s="8">
        <f>IFERROR(W243/W444, "NA")</f>
        <v>9.1235908143429884E-2</v>
      </c>
      <c r="Y243" s="9"/>
      <c r="Z243" s="7">
        <v>8937.43</v>
      </c>
      <c r="AA243" s="8">
        <f>IFERROR(Z243/Z444, "NA")</f>
        <v>2.6571202833887433E-2</v>
      </c>
      <c r="AB243" s="9"/>
      <c r="AC243" s="10">
        <f t="shared" si="67"/>
        <v>3745.4700000000003</v>
      </c>
      <c r="AD243" s="8">
        <f>IFERROR(AC243/AC444, "NA")</f>
        <v>-9.9983262579693019E-2</v>
      </c>
    </row>
    <row r="244" spans="1:30" ht="16.5" customHeight="1" x14ac:dyDescent="0.45">
      <c r="A244" s="12" t="s">
        <v>221</v>
      </c>
      <c r="B244" s="7">
        <v>1510.05</v>
      </c>
      <c r="C244" s="8">
        <f>IFERROR(B244/B444, "NA")</f>
        <v>1.1777525388306193E-2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-1510.05</v>
      </c>
      <c r="I244" s="8">
        <f>IFERROR(H244/H444, "NA")</f>
        <v>4.9512011347383755E-2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-1510.05</v>
      </c>
      <c r="O244" s="8">
        <f>IFERROR(N244/N444, "NA")</f>
        <v>8.2358651871688365E-2</v>
      </c>
      <c r="P244" s="9"/>
      <c r="Q244" s="7">
        <v>2849.85</v>
      </c>
      <c r="R244" s="8">
        <f>IFERROR(Q244/Q444, "NA")</f>
        <v>9.5345623997689088E-3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-2849.85</v>
      </c>
      <c r="X244" s="8">
        <f>IFERROR(W244/W444, "NA")</f>
        <v>5.007909398811887E-2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-2849.85</v>
      </c>
      <c r="AD244" s="8">
        <f>IFERROR(AC244/AC444, "NA")</f>
        <v>7.6075179046351499E-2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216.23</v>
      </c>
      <c r="C246" s="8">
        <f>IFERROR(B246/B444, "NA")</f>
        <v>1.6864701928502024E-3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-216.23</v>
      </c>
      <c r="I246" s="8">
        <f>IFERROR(H246/H444, "NA")</f>
        <v>7.0898196838811893E-3</v>
      </c>
      <c r="J246" s="9"/>
      <c r="K246" s="7">
        <v>501.4</v>
      </c>
      <c r="L246" s="8">
        <f>IFERROR(K246/K444, "NA")</f>
        <v>3.421367470219466E-3</v>
      </c>
      <c r="M246" s="9"/>
      <c r="N246" s="10">
        <f t="shared" si="65"/>
        <v>285.16999999999996</v>
      </c>
      <c r="O246" s="8">
        <f>IFERROR(N246/N444, "NA")</f>
        <v>-1.5553270920995574E-2</v>
      </c>
      <c r="P246" s="9"/>
      <c r="Q246" s="7">
        <v>446.23</v>
      </c>
      <c r="R246" s="8">
        <f>IFERROR(Q246/Q444, "NA")</f>
        <v>1.4929234098808291E-3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-446.23</v>
      </c>
      <c r="X246" s="8">
        <f>IFERROR(W246/W444, "NA")</f>
        <v>7.8413930944850729E-3</v>
      </c>
      <c r="Y246" s="9"/>
      <c r="Z246" s="7">
        <v>1090.8</v>
      </c>
      <c r="AA246" s="8">
        <f>IFERROR(Z246/Z444, "NA")</f>
        <v>3.2429756709931611E-3</v>
      </c>
      <c r="AB246" s="9"/>
      <c r="AC246" s="10">
        <f t="shared" si="67"/>
        <v>644.56999999999994</v>
      </c>
      <c r="AD246" s="8">
        <f>IFERROR(AC246/AC444, "NA")</f>
        <v>-1.7206441797956658E-2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334.66</v>
      </c>
      <c r="C248" s="8">
        <f>IFERROR(B248/B444, "NA")</f>
        <v>2.6101563831995968E-3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-334.66</v>
      </c>
      <c r="I248" s="8">
        <f>IFERROR(H248/H444, "NA")</f>
        <v>1.0972941106264992E-2</v>
      </c>
      <c r="J248" s="9"/>
      <c r="K248" s="7">
        <v>336.45</v>
      </c>
      <c r="L248" s="8">
        <f>IFERROR(K248/K444, "NA")</f>
        <v>2.2958099029823285E-3</v>
      </c>
      <c r="M248" s="9"/>
      <c r="N248" s="10">
        <f t="shared" si="65"/>
        <v>1.7899999999999636</v>
      </c>
      <c r="O248" s="8">
        <f>IFERROR(N248/N444, "NA")</f>
        <v>-9.7627222178284944E-5</v>
      </c>
      <c r="P248" s="9"/>
      <c r="Q248" s="7">
        <v>817.96</v>
      </c>
      <c r="R248" s="8">
        <f>IFERROR(Q248/Q444, "NA")</f>
        <v>2.736596894754102E-3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-817.96</v>
      </c>
      <c r="X248" s="8">
        <f>IFERROR(W248/W444, "NA")</f>
        <v>1.4373632197667146E-2</v>
      </c>
      <c r="Y248" s="9"/>
      <c r="Z248" s="7">
        <v>828.7</v>
      </c>
      <c r="AA248" s="8">
        <f>IFERROR(Z248/Z444, "NA")</f>
        <v>2.4637458182545221E-3</v>
      </c>
      <c r="AB248" s="9"/>
      <c r="AC248" s="10">
        <f t="shared" si="67"/>
        <v>10.740000000000009</v>
      </c>
      <c r="AD248" s="8">
        <f>IFERROR(AC248/AC444, "NA")</f>
        <v>-2.8669839569023486E-4</v>
      </c>
    </row>
    <row r="249" spans="1:30" ht="16.5" customHeight="1" x14ac:dyDescent="0.45">
      <c r="A249" s="12" t="s">
        <v>226</v>
      </c>
      <c r="B249" s="7">
        <v>2775.25</v>
      </c>
      <c r="C249" s="8">
        <f>IFERROR(B249/B444, "NA")</f>
        <v>2.1645360970760415E-2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-2775.25</v>
      </c>
      <c r="I249" s="8">
        <f>IFERROR(H249/H444, "NA")</f>
        <v>9.0995801127000286E-2</v>
      </c>
      <c r="J249" s="9"/>
      <c r="K249" s="7">
        <v>1829.56</v>
      </c>
      <c r="L249" s="8">
        <f>IFERROR(K249/K444, "NA")</f>
        <v>1.2484238270472131E-2</v>
      </c>
      <c r="M249" s="9"/>
      <c r="N249" s="10">
        <f t="shared" si="65"/>
        <v>-945.69</v>
      </c>
      <c r="O249" s="8">
        <f>IFERROR(N249/N444, "NA")</f>
        <v>5.1578261308259314E-2</v>
      </c>
      <c r="P249" s="9"/>
      <c r="Q249" s="7">
        <v>4983.95</v>
      </c>
      <c r="R249" s="8">
        <f>IFERROR(Q249/Q444, "NA")</f>
        <v>1.6674485419347775E-2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-4983.95</v>
      </c>
      <c r="X249" s="8">
        <f>IFERROR(W249/W444, "NA")</f>
        <v>8.7580644764491136E-2</v>
      </c>
      <c r="Y249" s="9"/>
      <c r="Z249" s="7">
        <v>4787.3599999999997</v>
      </c>
      <c r="AA249" s="8">
        <f>IFERROR(Z249/Z444, "NA")</f>
        <v>1.4232940968358837E-2</v>
      </c>
      <c r="AB249" s="9"/>
      <c r="AC249" s="10">
        <f t="shared" si="67"/>
        <v>-196.59000000000015</v>
      </c>
      <c r="AD249" s="8">
        <f>IFERROR(AC249/AC444, "NA")</f>
        <v>5.2478619747433203E-3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613.23</v>
      </c>
      <c r="C254" s="8">
        <f>IFERROR(B254/B444, "NA")</f>
        <v>4.7828428819383512E-3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-613.23</v>
      </c>
      <c r="I254" s="8">
        <f>IFERROR(H254/H444, "NA")</f>
        <v>2.0106785019407398E-2</v>
      </c>
      <c r="J254" s="9"/>
      <c r="K254" s="7">
        <v>732.85</v>
      </c>
      <c r="L254" s="8">
        <f>IFERROR(K254/K444, "NA")</f>
        <v>5.0006963513169848E-3</v>
      </c>
      <c r="M254" s="9"/>
      <c r="N254" s="10">
        <f t="shared" si="65"/>
        <v>119.62</v>
      </c>
      <c r="O254" s="8">
        <f>IFERROR(N254/N444, "NA")</f>
        <v>-6.5241163781936777E-3</v>
      </c>
      <c r="P254" s="9"/>
      <c r="Q254" s="7">
        <v>2017</v>
      </c>
      <c r="R254" s="8">
        <f>IFERROR(Q254/Q444, "NA")</f>
        <v>6.7481489763790694E-3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-2017</v>
      </c>
      <c r="X254" s="8">
        <f>IFERROR(W254/W444, "NA")</f>
        <v>3.544380671755909E-2</v>
      </c>
      <c r="Y254" s="9"/>
      <c r="Z254" s="7">
        <v>2223.0500000000002</v>
      </c>
      <c r="AA254" s="8">
        <f>IFERROR(Z254/Z444, "NA")</f>
        <v>6.6091832282740631E-3</v>
      </c>
      <c r="AB254" s="9"/>
      <c r="AC254" s="10">
        <f t="shared" si="67"/>
        <v>206.05000000000018</v>
      </c>
      <c r="AD254" s="8">
        <f>IFERROR(AC254/AC444, "NA")</f>
        <v>-5.5003914741129324E-3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245.71</v>
      </c>
      <c r="C258" s="8">
        <f>IFERROR(B258/B444, "NA")</f>
        <v>1.9163973134404258E-3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-245.71</v>
      </c>
      <c r="I258" s="8">
        <f>IFERROR(H258/H444, "NA")</f>
        <v>8.056419527939911E-3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-245.71</v>
      </c>
      <c r="O258" s="8">
        <f>IFERROR(N258/N444, "NA")</f>
        <v>1.3401108805266414E-2</v>
      </c>
      <c r="P258" s="9"/>
      <c r="Q258" s="7">
        <v>522.04</v>
      </c>
      <c r="R258" s="8">
        <f>IFERROR(Q258/Q444, "NA")</f>
        <v>1.7465561188046252E-3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-522.04</v>
      </c>
      <c r="X258" s="8">
        <f>IFERROR(W258/W444, "NA")</f>
        <v>9.1735671089908499E-3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-522.04</v>
      </c>
      <c r="AD258" s="8">
        <f>IFERROR(AC258/AC444, "NA")</f>
        <v>1.3935570808764439E-2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9375.5199999999968</v>
      </c>
      <c r="C262" s="15">
        <f>IFERROR(B262/B444, "NA")</f>
        <v>7.3123687843827986E-2</v>
      </c>
      <c r="D262" s="2"/>
      <c r="E262" s="14">
        <f>IFERROR(E240+E241+E242+E243+E244+E245+E246+E247+E248+E249+E250+E251+E252+E253+E254+E255+E256+E257+E258+E259+E260+E261, "NA")</f>
        <v>9681.51</v>
      </c>
      <c r="F262" s="15">
        <f>IFERROR(E262/E444, "NA")</f>
        <v>6.1000030243231182E-2</v>
      </c>
      <c r="G262" s="2"/>
      <c r="H262" s="14">
        <f t="shared" si="64"/>
        <v>305.99000000000342</v>
      </c>
      <c r="I262" s="15">
        <f>IFERROR(H262/H444, "NA")</f>
        <v>-1.0032899806089948E-2</v>
      </c>
      <c r="J262" s="2"/>
      <c r="K262" s="14">
        <f>IFERROR(K240+K241+K242+K243+K244+K245+K246+K247+K248+K249+K250+K251+K252+K253+K254+K255+K256+K257+K258+K259+K260+K261, "NA")</f>
        <v>7681.9500000000007</v>
      </c>
      <c r="L262" s="15">
        <f>IFERROR(K262/K444, "NA")</f>
        <v>5.2418775105409716E-2</v>
      </c>
      <c r="M262" s="2"/>
      <c r="N262" s="14">
        <f t="shared" si="65"/>
        <v>-1693.5699999999961</v>
      </c>
      <c r="O262" s="15">
        <f>IFERROR(N262/N444, "NA")</f>
        <v>9.2367896460603921E-2</v>
      </c>
      <c r="P262" s="2"/>
      <c r="Q262" s="14">
        <f>IFERROR(Q240+Q241+Q242+Q243+Q244+Q245+Q246+Q247+Q248+Q249+Q250+Q251+Q252+Q253+Q254+Q255+Q256+Q257+Q258+Q259+Q260+Q261, "NA")</f>
        <v>21563.960000000003</v>
      </c>
      <c r="R262" s="15">
        <f>IFERROR(Q262/Q444, "NA")</f>
        <v>7.2145173327059595E-2</v>
      </c>
      <c r="S262" s="2"/>
      <c r="T262" s="14">
        <f>IFERROR(T240+T241+T242+T243+T244+T245+T246+T247+T248+T249+T250+T251+T252+T253+T254+T255+T256+T257+T258+T259+T260+T261, "NA")</f>
        <v>21704.03</v>
      </c>
      <c r="U262" s="15">
        <f>IFERROR(T262/T444, "NA")</f>
        <v>6.100000179874434E-2</v>
      </c>
      <c r="V262" s="2"/>
      <c r="W262" s="14">
        <f t="shared" si="66"/>
        <v>140.06999999999607</v>
      </c>
      <c r="X262" s="15">
        <f>IFERROR(W262/W444, "NA")</f>
        <v>-2.4613852290175319E-3</v>
      </c>
      <c r="Y262" s="2"/>
      <c r="Z262" s="14">
        <f>IFERROR(Z240+Z241+Z242+Z243+Z244+Z245+Z246+Z247+Z248+Z249+Z250+Z251+Z252+Z253+Z254+Z255+Z256+Z257+Z258+Z259+Z260+Z261, "NA")</f>
        <v>21294.87</v>
      </c>
      <c r="AA262" s="15">
        <f>IFERROR(Z262/Z444, "NA")</f>
        <v>6.3310180901138741E-2</v>
      </c>
      <c r="AB262" s="2"/>
      <c r="AC262" s="14">
        <f t="shared" si="67"/>
        <v>-269.09000000000378</v>
      </c>
      <c r="AD262" s="15">
        <f>IFERROR(AC262/AC444, "NA")</f>
        <v>7.1832096179037536E-3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9375.5199999999968</v>
      </c>
      <c r="C263" s="15">
        <f>IFERROR(B263/B444, "NA")</f>
        <v>7.3123687843827986E-2</v>
      </c>
      <c r="D263" s="2"/>
      <c r="E263" s="14">
        <f>IFERROR(E238+E240+E241+E242+E243+E244+E245+E246+E247+E248+E249+E250+E251+E252+E253+E254+E255+E256+E257+E258+E259+E260+E261, "NA")</f>
        <v>9681.51</v>
      </c>
      <c r="F263" s="15">
        <f>IFERROR(E263/E444, "NA")</f>
        <v>6.1000030243231182E-2</v>
      </c>
      <c r="G263" s="2"/>
      <c r="H263" s="14">
        <f t="shared" si="64"/>
        <v>305.99000000000342</v>
      </c>
      <c r="I263" s="15">
        <f>IFERROR(H263/H444, "NA")</f>
        <v>-1.0032899806089948E-2</v>
      </c>
      <c r="J263" s="2"/>
      <c r="K263" s="14">
        <f>IFERROR(K238+K240+K241+K242+K243+K244+K245+K246+K247+K248+K249+K250+K251+K252+K253+K254+K255+K256+K257+K258+K259+K260+K261, "NA")</f>
        <v>7681.9500000000007</v>
      </c>
      <c r="L263" s="15">
        <f>IFERROR(K263/K444, "NA")</f>
        <v>5.2418775105409716E-2</v>
      </c>
      <c r="M263" s="2"/>
      <c r="N263" s="14">
        <f t="shared" si="65"/>
        <v>-1693.5699999999961</v>
      </c>
      <c r="O263" s="15">
        <f>IFERROR(N263/N444, "NA")</f>
        <v>9.2367896460603921E-2</v>
      </c>
      <c r="P263" s="2"/>
      <c r="Q263" s="14">
        <f>IFERROR(Q238+Q240+Q241+Q242+Q243+Q244+Q245+Q246+Q247+Q248+Q249+Q250+Q251+Q252+Q253+Q254+Q255+Q256+Q257+Q258+Q259+Q260+Q261, "NA")</f>
        <v>21563.960000000003</v>
      </c>
      <c r="R263" s="15">
        <f>IFERROR(Q263/Q444, "NA")</f>
        <v>7.2145173327059595E-2</v>
      </c>
      <c r="S263" s="2"/>
      <c r="T263" s="14">
        <f>IFERROR(T238+T240+T241+T242+T243+T244+T245+T246+T247+T248+T249+T250+T251+T252+T253+T254+T255+T256+T257+T258+T259+T260+T261, "NA")</f>
        <v>21704.03</v>
      </c>
      <c r="U263" s="15">
        <f>IFERROR(T263/T444, "NA")</f>
        <v>6.100000179874434E-2</v>
      </c>
      <c r="V263" s="2"/>
      <c r="W263" s="14">
        <f t="shared" si="66"/>
        <v>140.06999999999607</v>
      </c>
      <c r="X263" s="15">
        <f>IFERROR(W263/W444, "NA")</f>
        <v>-2.4613852290175319E-3</v>
      </c>
      <c r="Y263" s="2"/>
      <c r="Z263" s="14">
        <f>IFERROR(Z238+Z240+Z241+Z242+Z243+Z244+Z245+Z246+Z247+Z248+Z249+Z250+Z251+Z252+Z253+Z254+Z255+Z256+Z257+Z258+Z259+Z260+Z261, "NA")</f>
        <v>21294.87</v>
      </c>
      <c r="AA263" s="15">
        <f>IFERROR(Z263/Z444, "NA")</f>
        <v>6.3310180901138741E-2</v>
      </c>
      <c r="AB263" s="2"/>
      <c r="AC263" s="14">
        <f t="shared" si="67"/>
        <v>-269.09000000000378</v>
      </c>
      <c r="AD263" s="15">
        <f>IFERROR(AC263/AC444, "NA")</f>
        <v>7.1832096179037536E-3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3556.55</v>
      </c>
      <c r="C265" s="8">
        <f>IFERROR(B265/B444, "NA")</f>
        <v>2.7739053620595609E-2</v>
      </c>
      <c r="D265" s="9"/>
      <c r="E265" s="7">
        <v>4285.26</v>
      </c>
      <c r="F265" s="8">
        <f>IFERROR(E265/E444, "NA")</f>
        <v>2.7000022682423391E-2</v>
      </c>
      <c r="G265" s="9"/>
      <c r="H265" s="10">
        <f>IFERROR(-(B265-E265), "NA")</f>
        <v>728.71</v>
      </c>
      <c r="I265" s="8">
        <f>IFERROR(H265/H444, "NA")</f>
        <v>-2.3893180880733764E-2</v>
      </c>
      <c r="J265" s="9"/>
      <c r="K265" s="7">
        <v>3675.09</v>
      </c>
      <c r="L265" s="8">
        <f>IFERROR(K265/K444, "NA")</f>
        <v>2.5077449892558553E-2</v>
      </c>
      <c r="M265" s="9"/>
      <c r="N265" s="10">
        <f>IFERROR(-(B265-K265), "NA")</f>
        <v>118.53999999999996</v>
      </c>
      <c r="O265" s="8">
        <f>IFERROR(N265/N444, "NA")</f>
        <v>-6.4652128028011889E-3</v>
      </c>
      <c r="P265" s="9"/>
      <c r="Q265" s="7">
        <v>8120.33</v>
      </c>
      <c r="R265" s="8">
        <f>IFERROR(Q265/Q444, "NA")</f>
        <v>2.7167673067605477E-2</v>
      </c>
      <c r="S265" s="9"/>
      <c r="T265" s="7">
        <v>9606.7099999999991</v>
      </c>
      <c r="U265" s="8">
        <f>IFERROR(T265/T444, "NA")</f>
        <v>2.7000023833362523E-2</v>
      </c>
      <c r="V265" s="9"/>
      <c r="W265" s="10">
        <f>IFERROR(-(Q265-T265), "NA")</f>
        <v>1486.3799999999992</v>
      </c>
      <c r="X265" s="8">
        <f>IFERROR(W265/W444, "NA")</f>
        <v>-2.6119467242858428E-2</v>
      </c>
      <c r="Y265" s="9"/>
      <c r="Z265" s="7">
        <v>8650.14</v>
      </c>
      <c r="AA265" s="8">
        <f>IFERROR(Z265/Z444, "NA")</f>
        <v>2.5717082481375855E-2</v>
      </c>
      <c r="AB265" s="9"/>
      <c r="AC265" s="10">
        <f>IFERROR(-(Q265-Z265), "NA")</f>
        <v>529.80999999999949</v>
      </c>
      <c r="AD265" s="8">
        <f>IFERROR(AC265/AC444, "NA")</f>
        <v>-1.4142986687210712E-2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31.54</v>
      </c>
      <c r="L266" s="8">
        <f>IFERROR(K266/K444, "NA")</f>
        <v>2.1521725171663736E-4</v>
      </c>
      <c r="M266" s="9"/>
      <c r="N266" s="10">
        <f>IFERROR(-(B266-K266), "NA")</f>
        <v>31.54</v>
      </c>
      <c r="O266" s="8">
        <f>IFERROR(N266/N444, "NA")</f>
        <v>-1.7202025628509326E-3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31.54</v>
      </c>
      <c r="AA266" s="8">
        <f>IFERROR(Z266/Z444, "NA")</f>
        <v>9.3769208528716812E-5</v>
      </c>
      <c r="AB266" s="9"/>
      <c r="AC266" s="10">
        <f>IFERROR(-(Q266-Z266), "NA")</f>
        <v>31.54</v>
      </c>
      <c r="AD266" s="8">
        <f>IFERROR(AC266/AC444, "NA")</f>
        <v>-8.4194296090037233E-4</v>
      </c>
    </row>
    <row r="267" spans="1:30" ht="16.5" customHeight="1" x14ac:dyDescent="0.45">
      <c r="A267" s="19" t="s">
        <v>243</v>
      </c>
      <c r="B267" s="14">
        <f>IFERROR(B265+B266, "NA")</f>
        <v>3556.55</v>
      </c>
      <c r="C267" s="15">
        <f>IFERROR(B267/B444, "NA")</f>
        <v>2.7739053620595609E-2</v>
      </c>
      <c r="D267" s="2"/>
      <c r="E267" s="14">
        <f>IFERROR(E265+E266, "NA")</f>
        <v>4285.26</v>
      </c>
      <c r="F267" s="15">
        <f>IFERROR(E267/E444, "NA")</f>
        <v>2.7000022682423391E-2</v>
      </c>
      <c r="G267" s="2"/>
      <c r="H267" s="14">
        <f>IFERROR(-(B267-E267), "NA")</f>
        <v>728.71</v>
      </c>
      <c r="I267" s="15">
        <f>IFERROR(H267/H444, "NA")</f>
        <v>-2.3893180880733764E-2</v>
      </c>
      <c r="J267" s="2"/>
      <c r="K267" s="14">
        <f>IFERROR(K265+K266, "NA")</f>
        <v>3706.63</v>
      </c>
      <c r="L267" s="15">
        <f>IFERROR(K267/K444, "NA")</f>
        <v>2.529266714427519E-2</v>
      </c>
      <c r="M267" s="2"/>
      <c r="N267" s="14">
        <f>IFERROR(-(B267-K267), "NA")</f>
        <v>150.07999999999993</v>
      </c>
      <c r="O267" s="15">
        <f>IFERROR(N267/N444, "NA")</f>
        <v>-8.1854153656521194E-3</v>
      </c>
      <c r="P267" s="2"/>
      <c r="Q267" s="14">
        <f>IFERROR(Q265+Q266, "NA")</f>
        <v>8120.33</v>
      </c>
      <c r="R267" s="15">
        <f>IFERROR(Q267/Q444, "NA")</f>
        <v>2.7167673067605477E-2</v>
      </c>
      <c r="S267" s="2"/>
      <c r="T267" s="14">
        <f>IFERROR(T265+T266, "NA")</f>
        <v>9606.7099999999991</v>
      </c>
      <c r="U267" s="15">
        <f>IFERROR(T267/T444, "NA")</f>
        <v>2.7000023833362523E-2</v>
      </c>
      <c r="V267" s="2"/>
      <c r="W267" s="14">
        <f>IFERROR(-(Q267-T267), "NA")</f>
        <v>1486.3799999999992</v>
      </c>
      <c r="X267" s="15">
        <f>IFERROR(W267/W444, "NA")</f>
        <v>-2.6119467242858428E-2</v>
      </c>
      <c r="Y267" s="2"/>
      <c r="Z267" s="14">
        <f>IFERROR(Z265+Z266, "NA")</f>
        <v>8681.68</v>
      </c>
      <c r="AA267" s="15">
        <f>IFERROR(Z267/Z444, "NA")</f>
        <v>2.5810851689904574E-2</v>
      </c>
      <c r="AB267" s="2"/>
      <c r="AC267" s="14">
        <f>IFERROR(-(Q267-Z267), "NA")</f>
        <v>561.35000000000036</v>
      </c>
      <c r="AD267" s="15">
        <f>IFERROR(AC267/AC444, "NA")</f>
        <v>-1.4984929648111107E-2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166.76</v>
      </c>
      <c r="C270" s="8">
        <f>IFERROR(B270/B444, "NA")</f>
        <v>1.3006325179655911E-3</v>
      </c>
      <c r="D270" s="9"/>
      <c r="E270" s="7">
        <v>111.38</v>
      </c>
      <c r="F270" s="8">
        <f>IFERROR(E270/E444, "NA")</f>
        <v>7.0176897699750229E-4</v>
      </c>
      <c r="G270" s="9"/>
      <c r="H270" s="10">
        <f>IFERROR(-(B270-E270), "NA")</f>
        <v>-55.379999999999995</v>
      </c>
      <c r="I270" s="8">
        <f>IFERROR(H270/H444, "NA")</f>
        <v>1.8158174818172328E-3</v>
      </c>
      <c r="J270" s="9"/>
      <c r="K270" s="7">
        <v>89.79</v>
      </c>
      <c r="L270" s="8">
        <f>IFERROR(K270/K444, "NA")</f>
        <v>6.1269362814321082E-4</v>
      </c>
      <c r="M270" s="9"/>
      <c r="N270" s="10">
        <f>IFERROR(-(B270-K270), "NA")</f>
        <v>-76.969999999999985</v>
      </c>
      <c r="O270" s="8">
        <f>IFERROR(N270/N444, "NA")</f>
        <v>4.1979705536663373E-3</v>
      </c>
      <c r="P270" s="9"/>
      <c r="Q270" s="7">
        <v>423.15</v>
      </c>
      <c r="R270" s="8">
        <f>IFERROR(Q270/Q444, "NA")</f>
        <v>1.4157061176771457E-3</v>
      </c>
      <c r="S270" s="9"/>
      <c r="T270" s="7">
        <v>334.14</v>
      </c>
      <c r="U270" s="8">
        <f>IFERROR(T270/T444, "NA")</f>
        <v>9.391131785678712E-4</v>
      </c>
      <c r="V270" s="9"/>
      <c r="W270" s="10">
        <f>IFERROR(-(Q270-T270), "NA")</f>
        <v>-89.009999999999991</v>
      </c>
      <c r="X270" s="8">
        <f>IFERROR(W270/W444, "NA")</f>
        <v>1.5641315002131553E-3</v>
      </c>
      <c r="Y270" s="9"/>
      <c r="Z270" s="7">
        <v>528.17999999999995</v>
      </c>
      <c r="AA270" s="8">
        <f>IFERROR(Z270/Z444, "NA")</f>
        <v>1.570292344980902E-3</v>
      </c>
      <c r="AB270" s="9"/>
      <c r="AC270" s="10">
        <f>IFERROR(-(Q270-Z270), "NA")</f>
        <v>105.02999999999997</v>
      </c>
      <c r="AD270" s="8">
        <f>IFERROR(AC270/AC444, "NA")</f>
        <v>-2.8037181098086901E-3</v>
      </c>
    </row>
    <row r="271" spans="1:30" ht="16.5" customHeight="1" x14ac:dyDescent="0.45">
      <c r="A271" s="6" t="s">
        <v>246</v>
      </c>
      <c r="B271" s="7">
        <v>1074.56</v>
      </c>
      <c r="C271" s="8">
        <f>IFERROR(B271/B444, "NA")</f>
        <v>8.3809527374976347E-3</v>
      </c>
      <c r="D271" s="9"/>
      <c r="E271" s="7">
        <v>1183.75</v>
      </c>
      <c r="F271" s="8">
        <f>IFERROR(E271/E444, "NA")</f>
        <v>7.4584218577912857E-3</v>
      </c>
      <c r="G271" s="9"/>
      <c r="H271" s="10">
        <f>IFERROR(-(B271-E271), "NA")</f>
        <v>109.19000000000005</v>
      </c>
      <c r="I271" s="8">
        <f>IFERROR(H271/H444, "NA")</f>
        <v>-3.5801572921564419E-3</v>
      </c>
      <c r="J271" s="9"/>
      <c r="K271" s="7">
        <v>1039.08</v>
      </c>
      <c r="L271" s="8">
        <f>IFERROR(K271/K444, "NA")</f>
        <v>7.0902961925720836E-3</v>
      </c>
      <c r="M271" s="9"/>
      <c r="N271" s="10">
        <f>IFERROR(-(B271-K271), "NA")</f>
        <v>-35.480000000000018</v>
      </c>
      <c r="O271" s="8">
        <f>IFERROR(N271/N444, "NA")</f>
        <v>1.9350915323383363E-3</v>
      </c>
      <c r="P271" s="9"/>
      <c r="Q271" s="7">
        <v>3365.2</v>
      </c>
      <c r="R271" s="8">
        <f>IFERROR(Q271/Q444, "NA")</f>
        <v>1.1258736209871513E-2</v>
      </c>
      <c r="S271" s="9"/>
      <c r="T271" s="7">
        <v>3551.25</v>
      </c>
      <c r="U271" s="8">
        <f>IFERROR(T271/T444, "NA")</f>
        <v>9.9809231920427142E-3</v>
      </c>
      <c r="V271" s="9"/>
      <c r="W271" s="10">
        <f>IFERROR(-(Q271-T271), "NA")</f>
        <v>186.05000000000018</v>
      </c>
      <c r="X271" s="8">
        <f>IFERROR(W271/W444, "NA")</f>
        <v>-3.2693704708983019E-3</v>
      </c>
      <c r="Y271" s="9"/>
      <c r="Z271" s="7">
        <v>2884.7</v>
      </c>
      <c r="AA271" s="8">
        <f>IFERROR(Z271/Z444, "NA")</f>
        <v>8.5762852201264859E-3</v>
      </c>
      <c r="AB271" s="9"/>
      <c r="AC271" s="10">
        <f>IFERROR(-(Q271-Z271), "NA")</f>
        <v>-480.5</v>
      </c>
      <c r="AD271" s="8">
        <f>IFERROR(AC271/AC444, "NA")</f>
        <v>1.2826683345359193E-2</v>
      </c>
    </row>
    <row r="272" spans="1:30" ht="16.5" customHeight="1" x14ac:dyDescent="0.45">
      <c r="A272" s="6" t="s">
        <v>247</v>
      </c>
      <c r="B272" s="7">
        <v>199.27</v>
      </c>
      <c r="C272" s="8">
        <f>IFERROR(B272/B444, "NA")</f>
        <v>1.5541919036639684E-3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-199.27</v>
      </c>
      <c r="I272" s="8">
        <f>IFERROR(H272/H444, "NA")</f>
        <v>6.5337296786153846E-3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-199.27</v>
      </c>
      <c r="O272" s="8">
        <f>IFERROR(N272/N444, "NA")</f>
        <v>1.0868255063389518E-2</v>
      </c>
      <c r="P272" s="9"/>
      <c r="Q272" s="7">
        <v>597.80999999999995</v>
      </c>
      <c r="R272" s="8">
        <f>IFERROR(Q272/Q444, "NA")</f>
        <v>2.00005500226533E-3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-597.80999999999995</v>
      </c>
      <c r="X272" s="8">
        <f>IFERROR(W272/W444, "NA")</f>
        <v>1.0505038222024787E-2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-597.80999999999995</v>
      </c>
      <c r="AD272" s="8">
        <f>IFERROR(AC272/AC444, "NA")</f>
        <v>1.5958209304243867E-2</v>
      </c>
    </row>
    <row r="273" spans="1:30" ht="16.5" customHeight="1" x14ac:dyDescent="0.45">
      <c r="A273" s="19" t="s">
        <v>248</v>
      </c>
      <c r="B273" s="14">
        <f>IFERROR(B269+B270+B271+B272, "NA")</f>
        <v>1440.59</v>
      </c>
      <c r="C273" s="15">
        <f>IFERROR(B273/B444, "NA")</f>
        <v>1.1235777159127195E-2</v>
      </c>
      <c r="D273" s="2"/>
      <c r="E273" s="14">
        <f>IFERROR(E269+E270+E271+E272, "NA")</f>
        <v>1295.1300000000001</v>
      </c>
      <c r="F273" s="15">
        <f>IFERROR(E273/E444, "NA")</f>
        <v>8.1601908347887896E-3</v>
      </c>
      <c r="G273" s="2"/>
      <c r="H273" s="14">
        <f>IFERROR(-(B273-E273), "NA")</f>
        <v>-145.45999999999981</v>
      </c>
      <c r="I273" s="15">
        <f>IFERROR(H273/H444, "NA")</f>
        <v>4.7693898682761712E-3</v>
      </c>
      <c r="J273" s="2"/>
      <c r="K273" s="14">
        <f>IFERROR(K269+K270+K271+K272, "NA")</f>
        <v>1128.8699999999999</v>
      </c>
      <c r="L273" s="15">
        <f>IFERROR(K273/K444, "NA")</f>
        <v>7.7029898207152947E-3</v>
      </c>
      <c r="M273" s="2"/>
      <c r="N273" s="14">
        <f>IFERROR(-(B273-K273), "NA")</f>
        <v>-311.72000000000003</v>
      </c>
      <c r="O273" s="15">
        <f>IFERROR(N273/N444, "NA")</f>
        <v>1.7001317149394193E-2</v>
      </c>
      <c r="P273" s="2"/>
      <c r="Q273" s="14">
        <f>IFERROR(Q269+Q270+Q271+Q272, "NA")</f>
        <v>4386.16</v>
      </c>
      <c r="R273" s="15">
        <f>IFERROR(Q273/Q444, "NA")</f>
        <v>1.467449732981399E-2</v>
      </c>
      <c r="S273" s="2"/>
      <c r="T273" s="14">
        <f>IFERROR(T269+T270+T271+T272, "NA")</f>
        <v>3885.39</v>
      </c>
      <c r="U273" s="15">
        <f>IFERROR(T273/T444, "NA")</f>
        <v>1.0920036370610585E-2</v>
      </c>
      <c r="V273" s="2"/>
      <c r="W273" s="14">
        <f>IFERROR(-(Q273-T273), "NA")</f>
        <v>-500.77</v>
      </c>
      <c r="X273" s="15">
        <f>IFERROR(W273/W444, "NA")</f>
        <v>8.7997992513396441E-3</v>
      </c>
      <c r="Y273" s="2"/>
      <c r="Z273" s="14">
        <f>IFERROR(Z269+Z270+Z271+Z272, "NA")</f>
        <v>3412.8799999999997</v>
      </c>
      <c r="AA273" s="15">
        <f>IFERROR(Z273/Z444, "NA")</f>
        <v>1.0146577565107388E-2</v>
      </c>
      <c r="AB273" s="2"/>
      <c r="AC273" s="14">
        <f>IFERROR(-(Q273-Z273), "NA")</f>
        <v>-973.2800000000002</v>
      </c>
      <c r="AD273" s="15">
        <f>IFERROR(AC273/AC444, "NA")</f>
        <v>2.5981174539794375E-2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hidden="1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0</v>
      </c>
      <c r="F287" s="8">
        <f>IFERROR(E287/E444, "NA")</f>
        <v>0</v>
      </c>
      <c r="G287" s="9"/>
      <c r="H287" s="10">
        <f t="shared" si="72"/>
        <v>0</v>
      </c>
      <c r="I287" s="8">
        <f>IFERROR(H287/H444, "NA")</f>
        <v>0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0</v>
      </c>
      <c r="U287" s="8">
        <f>IFERROR(T287/T444, "NA")</f>
        <v>0</v>
      </c>
      <c r="V287" s="9"/>
      <c r="W287" s="10">
        <f t="shared" si="74"/>
        <v>0</v>
      </c>
      <c r="X287" s="8">
        <f>IFERROR(W287/W444, "NA")</f>
        <v>0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158.34</v>
      </c>
      <c r="C288" s="8">
        <f>IFERROR(B288/B444, "NA")</f>
        <v>1.23496133901818E-3</v>
      </c>
      <c r="D288" s="9"/>
      <c r="E288" s="7">
        <v>158</v>
      </c>
      <c r="F288" s="8">
        <f>IFERROR(E288/E444, "NA")</f>
        <v>9.9550635989949167E-4</v>
      </c>
      <c r="G288" s="9"/>
      <c r="H288" s="10">
        <f t="shared" si="72"/>
        <v>-0.34000000000000341</v>
      </c>
      <c r="I288" s="8">
        <f>IFERROR(H288/H444, "NA")</f>
        <v>1.1148030765941953E-5</v>
      </c>
      <c r="J288" s="9"/>
      <c r="K288" s="7">
        <v>158.33000000000001</v>
      </c>
      <c r="L288" s="8">
        <f>IFERROR(K288/K444, "NA")</f>
        <v>1.0803851447144957E-3</v>
      </c>
      <c r="M288" s="9"/>
      <c r="N288" s="10">
        <f t="shared" si="73"/>
        <v>-9.9999999999909051E-3</v>
      </c>
      <c r="O288" s="8">
        <f>IFERROR(N288/N444, "NA")</f>
        <v>5.4540347585585554E-7</v>
      </c>
      <c r="P288" s="9"/>
      <c r="Q288" s="7">
        <v>475.04</v>
      </c>
      <c r="R288" s="8">
        <f>IFERROR(Q288/Q444, "NA")</f>
        <v>1.5893111996723417E-3</v>
      </c>
      <c r="S288" s="9"/>
      <c r="T288" s="7">
        <v>474</v>
      </c>
      <c r="U288" s="8">
        <f>IFERROR(T288/T444, "NA")</f>
        <v>1.3321950279558596E-3</v>
      </c>
      <c r="V288" s="9"/>
      <c r="W288" s="10">
        <f t="shared" si="74"/>
        <v>-1.0400000000000205</v>
      </c>
      <c r="X288" s="8">
        <f>IFERROR(W288/W444, "NA")</f>
        <v>1.8275438267854327E-5</v>
      </c>
      <c r="Y288" s="9"/>
      <c r="Z288" s="7">
        <v>475.01</v>
      </c>
      <c r="AA288" s="8">
        <f>IFERROR(Z288/Z444, "NA")</f>
        <v>1.4122166056824913E-3</v>
      </c>
      <c r="AB288" s="9"/>
      <c r="AC288" s="10">
        <f t="shared" si="75"/>
        <v>-3.0000000000029559E-2</v>
      </c>
      <c r="AD288" s="8">
        <f>IFERROR(AC288/AC444, "NA")</f>
        <v>8.0083350751541089E-7</v>
      </c>
    </row>
    <row r="289" spans="1:30" ht="16.5" customHeight="1" x14ac:dyDescent="0.45">
      <c r="A289" s="6" t="s">
        <v>262</v>
      </c>
      <c r="B289" s="7">
        <v>247.3</v>
      </c>
      <c r="C289" s="8">
        <f>IFERROR(B289/B444, "NA")</f>
        <v>1.9287984030516353E-3</v>
      </c>
      <c r="D289" s="9"/>
      <c r="E289" s="7">
        <v>233</v>
      </c>
      <c r="F289" s="8">
        <f>IFERROR(E289/E444, "NA")</f>
        <v>1.4680568471935539E-3</v>
      </c>
      <c r="G289" s="9"/>
      <c r="H289" s="10">
        <f t="shared" si="72"/>
        <v>-14.300000000000011</v>
      </c>
      <c r="I289" s="8">
        <f>IFERROR(H289/H444, "NA")</f>
        <v>4.6887305868520136E-4</v>
      </c>
      <c r="J289" s="9"/>
      <c r="K289" s="7">
        <v>208.48</v>
      </c>
      <c r="L289" s="8">
        <f>IFERROR(K289/K444, "NA")</f>
        <v>1.4225901280242408E-3</v>
      </c>
      <c r="M289" s="9"/>
      <c r="N289" s="10">
        <f t="shared" si="73"/>
        <v>-38.820000000000022</v>
      </c>
      <c r="O289" s="8">
        <f>IFERROR(N289/N444, "NA")</f>
        <v>2.117256293274358E-3</v>
      </c>
      <c r="P289" s="9"/>
      <c r="Q289" s="7">
        <v>741.9</v>
      </c>
      <c r="R289" s="8">
        <f>IFERROR(Q289/Q444, "NA")</f>
        <v>2.4821277766859848E-3</v>
      </c>
      <c r="S289" s="9"/>
      <c r="T289" s="7">
        <v>699</v>
      </c>
      <c r="U289" s="8">
        <f>IFERROR(T289/T444, "NA")</f>
        <v>1.9645660855298437E-3</v>
      </c>
      <c r="V289" s="9"/>
      <c r="W289" s="10">
        <f t="shared" si="74"/>
        <v>-42.899999999999977</v>
      </c>
      <c r="X289" s="8">
        <f>IFERROR(W289/W444, "NA")</f>
        <v>7.5386182854897572E-4</v>
      </c>
      <c r="Y289" s="9"/>
      <c r="Z289" s="7">
        <v>622.69000000000005</v>
      </c>
      <c r="AA289" s="8">
        <f>IFERROR(Z289/Z444, "NA")</f>
        <v>1.8512729378169525E-3</v>
      </c>
      <c r="AB289" s="9"/>
      <c r="AC289" s="10">
        <f t="shared" si="75"/>
        <v>-119.20999999999992</v>
      </c>
      <c r="AD289" s="8">
        <f>IFERROR(AC289/AC444, "NA")</f>
        <v>3.1822454143606003E-3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317.43</v>
      </c>
      <c r="F290" s="8">
        <f>IFERROR(E290/E444, "NA")</f>
        <v>2.0000226824233901E-3</v>
      </c>
      <c r="G290" s="9"/>
      <c r="H290" s="10">
        <f t="shared" si="72"/>
        <v>317.43</v>
      </c>
      <c r="I290" s="8">
        <f>IFERROR(H290/H444, "NA")</f>
        <v>-1.0407998253037997E-2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1296.75</v>
      </c>
      <c r="R290" s="8">
        <f>IFERROR(Q290/Q444, "NA")</f>
        <v>4.3384542315912534E-3</v>
      </c>
      <c r="S290" s="9"/>
      <c r="T290" s="7">
        <v>908.7</v>
      </c>
      <c r="U290" s="8">
        <f>IFERROR(T290/T444, "NA")</f>
        <v>2.553935911188797E-3</v>
      </c>
      <c r="V290" s="9"/>
      <c r="W290" s="10">
        <f t="shared" si="74"/>
        <v>-388.04999999999995</v>
      </c>
      <c r="X290" s="8">
        <f>IFERROR(W290/W444, "NA")</f>
        <v>6.8190229036930103E-3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-1296.75</v>
      </c>
      <c r="AD290" s="8">
        <f>IFERROR(AC290/AC444, "NA")</f>
        <v>3.4616028362319529E-2</v>
      </c>
    </row>
    <row r="291" spans="1:30" ht="16.5" customHeight="1" x14ac:dyDescent="0.45">
      <c r="A291" s="6" t="s">
        <v>264</v>
      </c>
      <c r="B291" s="7">
        <v>301.12</v>
      </c>
      <c r="C291" s="8">
        <f>IFERROR(B291/B444, "NA")</f>
        <v>2.3485635872499328E-3</v>
      </c>
      <c r="D291" s="9"/>
      <c r="E291" s="7">
        <v>634.85</v>
      </c>
      <c r="F291" s="8">
        <f>IFERROR(E291/E444, "NA")</f>
        <v>3.9999823581151409E-3</v>
      </c>
      <c r="G291" s="9"/>
      <c r="H291" s="10">
        <f t="shared" si="72"/>
        <v>333.73</v>
      </c>
      <c r="I291" s="8">
        <f>IFERROR(H291/H444, "NA")</f>
        <v>-1.0942447963287562E-2</v>
      </c>
      <c r="J291" s="9"/>
      <c r="K291" s="7">
        <v>-115.89</v>
      </c>
      <c r="L291" s="8">
        <f>IFERROR(K291/K444, "NA")</f>
        <v>-7.9079033929743507E-4</v>
      </c>
      <c r="M291" s="9"/>
      <c r="N291" s="10">
        <f t="shared" si="73"/>
        <v>-417.01</v>
      </c>
      <c r="O291" s="8">
        <f>IFERROR(N291/N444, "NA")</f>
        <v>2.2743870346685714E-2</v>
      </c>
      <c r="P291" s="9"/>
      <c r="Q291" s="7">
        <v>1572.45</v>
      </c>
      <c r="R291" s="8">
        <f>IFERROR(Q291/Q444, "NA")</f>
        <v>5.2608462359480749E-3</v>
      </c>
      <c r="S291" s="9"/>
      <c r="T291" s="7">
        <v>1423.22</v>
      </c>
      <c r="U291" s="8">
        <f>IFERROR(T291/T444, "NA")</f>
        <v>4.000013940268647E-3</v>
      </c>
      <c r="V291" s="9"/>
      <c r="W291" s="10">
        <f t="shared" si="74"/>
        <v>-149.23000000000002</v>
      </c>
      <c r="X291" s="8">
        <f>IFERROR(W291/W444, "NA")</f>
        <v>2.6223496660690844E-3</v>
      </c>
      <c r="Y291" s="9"/>
      <c r="Z291" s="7">
        <v>0</v>
      </c>
      <c r="AA291" s="8">
        <f>IFERROR(Z291/Z444, "NA")</f>
        <v>0</v>
      </c>
      <c r="AB291" s="9"/>
      <c r="AC291" s="10">
        <f t="shared" si="75"/>
        <v>-1572.45</v>
      </c>
      <c r="AD291" s="8">
        <f>IFERROR(AC291/AC444, "NA")</f>
        <v>4.1975688296378905E-2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158.71</v>
      </c>
      <c r="F292" s="8">
        <f>IFERROR(E292/E444, "NA")</f>
        <v>9.9997983784587538E-4</v>
      </c>
      <c r="G292" s="9"/>
      <c r="H292" s="10">
        <f t="shared" si="72"/>
        <v>158.71</v>
      </c>
      <c r="I292" s="8">
        <f>IFERROR(H292/H444, "NA")</f>
        <v>-5.2038351848900872E-3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355.8</v>
      </c>
      <c r="U292" s="8">
        <f>IFERROR(T292/T444, "NA")</f>
        <v>9.9998943237699354E-4</v>
      </c>
      <c r="V292" s="9"/>
      <c r="W292" s="10">
        <f t="shared" si="74"/>
        <v>355.8</v>
      </c>
      <c r="X292" s="8">
        <f>IFERROR(W292/W444, "NA")</f>
        <v>-6.2523085920215783E-3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158.71</v>
      </c>
      <c r="F293" s="8">
        <f>IFERROR(E293/E444, "NA")</f>
        <v>9.9997983784587538E-4</v>
      </c>
      <c r="G293" s="9"/>
      <c r="H293" s="10">
        <f t="shared" si="72"/>
        <v>158.71</v>
      </c>
      <c r="I293" s="8">
        <f>IFERROR(H293/H444, "NA")</f>
        <v>-5.2038351848900872E-3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355.8</v>
      </c>
      <c r="U293" s="8">
        <f>IFERROR(T293/T444, "NA")</f>
        <v>9.9998943237699354E-4</v>
      </c>
      <c r="V293" s="9"/>
      <c r="W293" s="10">
        <f t="shared" si="74"/>
        <v>355.8</v>
      </c>
      <c r="X293" s="8">
        <f>IFERROR(W293/W444, "NA")</f>
        <v>-6.2523085920215783E-3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299.99</v>
      </c>
      <c r="C294" s="8">
        <f>IFERROR(B294/B444, "NA")</f>
        <v>2.3397502342558029E-3</v>
      </c>
      <c r="D294" s="9"/>
      <c r="E294" s="7">
        <v>412</v>
      </c>
      <c r="F294" s="8">
        <f>IFERROR(E294/E444, "NA")</f>
        <v>2.5958773435353832E-3</v>
      </c>
      <c r="G294" s="9"/>
      <c r="H294" s="10">
        <f t="shared" si="72"/>
        <v>112.00999999999999</v>
      </c>
      <c r="I294" s="8">
        <f>IFERROR(H294/H444, "NA")</f>
        <v>-3.6726203708621927E-3</v>
      </c>
      <c r="J294" s="9"/>
      <c r="K294" s="7">
        <v>523.98</v>
      </c>
      <c r="L294" s="8">
        <f>IFERROR(K294/K444, "NA")</f>
        <v>3.5754450080686001E-3</v>
      </c>
      <c r="M294" s="9"/>
      <c r="N294" s="10">
        <f t="shared" si="73"/>
        <v>223.99</v>
      </c>
      <c r="O294" s="8">
        <f>IFERROR(N294/N444, "NA")</f>
        <v>-1.2216492455706419E-2</v>
      </c>
      <c r="P294" s="9"/>
      <c r="Q294" s="7">
        <v>899.98</v>
      </c>
      <c r="R294" s="8">
        <f>IFERROR(Q294/Q444, "NA")</f>
        <v>3.0110060068228232E-3</v>
      </c>
      <c r="S294" s="9"/>
      <c r="T294" s="7">
        <v>1236</v>
      </c>
      <c r="U294" s="8">
        <f>IFERROR(T294/T444, "NA")</f>
        <v>3.4738250096064188E-3</v>
      </c>
      <c r="V294" s="9"/>
      <c r="W294" s="10">
        <f t="shared" si="74"/>
        <v>336.02</v>
      </c>
      <c r="X294" s="8">
        <f>IFERROR(W294/W444, "NA")</f>
        <v>-5.9047238141964322E-3</v>
      </c>
      <c r="Y294" s="9"/>
      <c r="Z294" s="7">
        <v>1173.97</v>
      </c>
      <c r="AA294" s="8">
        <f>IFERROR(Z294/Z444, "NA")</f>
        <v>3.4902421603188868E-3</v>
      </c>
      <c r="AB294" s="9"/>
      <c r="AC294" s="10">
        <f t="shared" si="75"/>
        <v>273.99</v>
      </c>
      <c r="AD294" s="8">
        <f>IFERROR(AC294/AC444, "NA")</f>
        <v>-7.314012424131041E-3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1006.75</v>
      </c>
      <c r="C295" s="15">
        <f>IFERROR(B295/B444, "NA")</f>
        <v>7.8520735635755519E-3</v>
      </c>
      <c r="D295" s="2"/>
      <c r="E295" s="14">
        <f>IFERROR(E286+E287+E288+E289+E290+E291+E292+E293+E294, "NA")</f>
        <v>2072.7000000000003</v>
      </c>
      <c r="F295" s="15">
        <f>IFERROR(E295/E444, "NA")</f>
        <v>1.3059405266858712E-2</v>
      </c>
      <c r="G295" s="2"/>
      <c r="H295" s="14">
        <f t="shared" si="72"/>
        <v>1065.9500000000003</v>
      </c>
      <c r="I295" s="15">
        <f>IFERROR(H295/H444, "NA")</f>
        <v>-3.4950715867516788E-2</v>
      </c>
      <c r="J295" s="2"/>
      <c r="K295" s="14">
        <f>IFERROR(K286+K287+K288+K289+K290+K291+K292+K293+K294, "NA")</f>
        <v>774.90000000000009</v>
      </c>
      <c r="L295" s="15">
        <f>IFERROR(K295/K444, "NA")</f>
        <v>5.2876299415099016E-3</v>
      </c>
      <c r="M295" s="2"/>
      <c r="N295" s="14">
        <f t="shared" si="73"/>
        <v>-231.84999999999991</v>
      </c>
      <c r="O295" s="15">
        <f>IFERROR(N295/N444, "NA")</f>
        <v>1.2645179587729505E-2</v>
      </c>
      <c r="P295" s="2"/>
      <c r="Q295" s="14">
        <f>IFERROR(Q286+Q287+Q288+Q289+Q290+Q291+Q292+Q293+Q294, "NA")</f>
        <v>4986.1200000000008</v>
      </c>
      <c r="R295" s="15">
        <f>IFERROR(Q295/Q444, "NA")</f>
        <v>1.668174545072048E-2</v>
      </c>
      <c r="S295" s="2"/>
      <c r="T295" s="14">
        <f>IFERROR(T286+T287+T288+T289+T290+T291+T292+T293+T294, "NA")</f>
        <v>5452.52</v>
      </c>
      <c r="U295" s="15">
        <f>IFERROR(T295/T444, "NA")</f>
        <v>1.5324514839303555E-2</v>
      </c>
      <c r="V295" s="2"/>
      <c r="W295" s="14">
        <f t="shared" si="74"/>
        <v>466.39999999999964</v>
      </c>
      <c r="X295" s="15">
        <f>IFERROR(W295/W444, "NA")</f>
        <v>-8.1958311616606577E-3</v>
      </c>
      <c r="Y295" s="2"/>
      <c r="Z295" s="14">
        <f>IFERROR(Z286+Z287+Z288+Z289+Z290+Z291+Z292+Z293+Z294, "NA")</f>
        <v>2271.67</v>
      </c>
      <c r="AA295" s="15">
        <f>IFERROR(Z295/Z444, "NA")</f>
        <v>6.7537317038183307E-3</v>
      </c>
      <c r="AB295" s="2"/>
      <c r="AC295" s="14">
        <f t="shared" si="75"/>
        <v>-2714.4500000000007</v>
      </c>
      <c r="AD295" s="15">
        <f>IFERROR(AC295/AC444, "NA")</f>
        <v>7.2460750482435526E-2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0</v>
      </c>
      <c r="F297" s="8">
        <f>IFERROR(E297/E444, "NA")</f>
        <v>0</v>
      </c>
      <c r="G297" s="9"/>
      <c r="H297" s="10">
        <f t="shared" ref="H297:H325" si="76">IFERROR(-(B297-E297), "NA")</f>
        <v>0</v>
      </c>
      <c r="I297" s="8">
        <f>IFERROR(H297/H444, "NA")</f>
        <v>0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0</v>
      </c>
      <c r="U297" s="8">
        <f>IFERROR(T297/T444, "NA")</f>
        <v>0</v>
      </c>
      <c r="V297" s="9"/>
      <c r="W297" s="10">
        <f t="shared" ref="W297:W325" si="78">IFERROR(-(Q297-T297), "NA")</f>
        <v>0</v>
      </c>
      <c r="X297" s="8">
        <f>IFERROR(W297/W444, "NA")</f>
        <v>0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476.53</v>
      </c>
      <c r="C299" s="8">
        <f>IFERROR(B299/B444, "NA")</f>
        <v>3.7166611524714747E-3</v>
      </c>
      <c r="D299" s="9"/>
      <c r="E299" s="7">
        <v>469</v>
      </c>
      <c r="F299" s="8">
        <f>IFERROR(E299/E444, "NA")</f>
        <v>2.9550157138788706E-3</v>
      </c>
      <c r="G299" s="9"/>
      <c r="H299" s="10">
        <f t="shared" si="76"/>
        <v>-7.5299999999999727</v>
      </c>
      <c r="I299" s="8">
        <f>IFERROR(H299/H444, "NA")</f>
        <v>2.4689609313982872E-4</v>
      </c>
      <c r="J299" s="9"/>
      <c r="K299" s="7">
        <v>469.2</v>
      </c>
      <c r="L299" s="8">
        <f>IFERROR(K299/K444, "NA")</f>
        <v>3.2016466235081243E-3</v>
      </c>
      <c r="M299" s="9"/>
      <c r="N299" s="10">
        <f t="shared" si="77"/>
        <v>-7.3299999999999841</v>
      </c>
      <c r="O299" s="8">
        <f>IFERROR(N299/N444, "NA")</f>
        <v>3.9978074780270482E-4</v>
      </c>
      <c r="P299" s="9"/>
      <c r="Q299" s="7">
        <v>1429.59</v>
      </c>
      <c r="R299" s="8">
        <f>IFERROR(Q299/Q444, "NA")</f>
        <v>4.7828885945174777E-3</v>
      </c>
      <c r="S299" s="9"/>
      <c r="T299" s="7">
        <v>1407</v>
      </c>
      <c r="U299" s="8">
        <f>IFERROR(T299/T444, "NA")</f>
        <v>3.9544270133626469E-3</v>
      </c>
      <c r="V299" s="9"/>
      <c r="W299" s="10">
        <f t="shared" si="78"/>
        <v>-22.589999999999918</v>
      </c>
      <c r="X299" s="8">
        <f>IFERROR(W299/W444, "NA")</f>
        <v>3.9696360622194196E-4</v>
      </c>
      <c r="Y299" s="9"/>
      <c r="Z299" s="7">
        <v>1407.6</v>
      </c>
      <c r="AA299" s="8">
        <f>IFERROR(Z299/Z444, "NA")</f>
        <v>4.1848299912816038E-3</v>
      </c>
      <c r="AB299" s="9"/>
      <c r="AC299" s="10">
        <f t="shared" si="79"/>
        <v>-21.990000000000009</v>
      </c>
      <c r="AD299" s="8">
        <f>IFERROR(AC299/AC444, "NA")</f>
        <v>5.87010961008218E-4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186.68</v>
      </c>
      <c r="R304" s="8">
        <f>IFERROR(Q304/Q444, "NA")</f>
        <v>6.2456343624712183E-4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-186.68</v>
      </c>
      <c r="X304" s="8">
        <f>IFERROR(W304/W444, "NA")</f>
        <v>3.2804411690797873E-3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-186.68</v>
      </c>
      <c r="AD304" s="8">
        <f>IFERROR(AC304/AC444, "NA")</f>
        <v>4.9833199727609872E-3</v>
      </c>
    </row>
    <row r="305" spans="1:30" ht="16.5" customHeight="1" x14ac:dyDescent="0.45">
      <c r="A305" s="6" t="s">
        <v>277</v>
      </c>
      <c r="B305" s="7">
        <v>63.8</v>
      </c>
      <c r="C305" s="8">
        <f>IFERROR(B305/B444, "NA")</f>
        <v>4.9760346993406519E-4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-63.8</v>
      </c>
      <c r="I305" s="8">
        <f>IFERROR(H305/H444, "NA")</f>
        <v>2.0918951849032042E-3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-63.8</v>
      </c>
      <c r="O305" s="8">
        <f>IFERROR(N305/N444, "NA")</f>
        <v>3.4796741759635227E-3</v>
      </c>
      <c r="P305" s="9"/>
      <c r="Q305" s="7">
        <v>124.77</v>
      </c>
      <c r="R305" s="8">
        <f>IFERROR(Q305/Q444, "NA")</f>
        <v>4.1743507574755403E-4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-124.77</v>
      </c>
      <c r="X305" s="8">
        <f>IFERROR(W305/W444, "NA")</f>
        <v>2.1925254160385954E-3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-124.77</v>
      </c>
      <c r="AD305" s="8">
        <f>IFERROR(AC305/AC444, "NA")</f>
        <v>3.3306665577533122E-3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5.83</v>
      </c>
      <c r="C310" s="8">
        <f>IFERROR(B310/B444, "NA")</f>
        <v>4.5470661907768027E-5</v>
      </c>
      <c r="D310" s="9"/>
      <c r="E310" s="7">
        <v>55</v>
      </c>
      <c r="F310" s="8">
        <f>IFERROR(E310/E444, "NA")</f>
        <v>3.4653702401564581E-4</v>
      </c>
      <c r="G310" s="9"/>
      <c r="H310" s="10">
        <f t="shared" si="76"/>
        <v>49.17</v>
      </c>
      <c r="I310" s="8">
        <f>IFERROR(H310/H444, "NA")</f>
        <v>-1.6122019787098835E-3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-5.83</v>
      </c>
      <c r="O310" s="8">
        <f>IFERROR(N310/N444, "NA")</f>
        <v>3.1797022642425293E-4</v>
      </c>
      <c r="P310" s="9"/>
      <c r="Q310" s="7">
        <v>105.83</v>
      </c>
      <c r="R310" s="8">
        <f>IFERROR(Q310/Q444, "NA")</f>
        <v>3.5406871897382093E-4</v>
      </c>
      <c r="S310" s="9"/>
      <c r="T310" s="7">
        <v>165</v>
      </c>
      <c r="U310" s="8">
        <f>IFERROR(T310/T444, "NA")</f>
        <v>4.6373877555425493E-4</v>
      </c>
      <c r="V310" s="9"/>
      <c r="W310" s="10">
        <f t="shared" si="78"/>
        <v>59.17</v>
      </c>
      <c r="X310" s="8">
        <f>IFERROR(W310/W444, "NA")</f>
        <v>-1.0397670022201148E-3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-105.83</v>
      </c>
      <c r="AD310" s="8">
        <f>IFERROR(AC310/AC444, "NA")</f>
        <v>2.8250736700090808E-3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0</v>
      </c>
      <c r="R311" s="8">
        <f>IFERROR(Q311/Q444, "NA")</f>
        <v>0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0</v>
      </c>
      <c r="X311" s="8">
        <f>IFERROR(W311/W444, "NA")</f>
        <v>0</v>
      </c>
      <c r="Y311" s="9"/>
      <c r="Z311" s="7">
        <v>26.7</v>
      </c>
      <c r="AA311" s="8">
        <f>IFERROR(Z311/Z444, "NA")</f>
        <v>7.9379767524310045E-5</v>
      </c>
      <c r="AB311" s="9"/>
      <c r="AC311" s="10">
        <f t="shared" si="79"/>
        <v>26.7</v>
      </c>
      <c r="AD311" s="8">
        <f>IFERROR(AC311/AC444, "NA")</f>
        <v>-7.1274182168801345E-4</v>
      </c>
    </row>
    <row r="312" spans="1:30" ht="16.5" customHeight="1" x14ac:dyDescent="0.45">
      <c r="A312" s="6" t="s">
        <v>284</v>
      </c>
      <c r="B312" s="7">
        <v>555.54999999999995</v>
      </c>
      <c r="C312" s="8">
        <f>IFERROR(B312/B444, "NA")</f>
        <v>4.3329719078662992E-3</v>
      </c>
      <c r="D312" s="9"/>
      <c r="E312" s="7">
        <v>35</v>
      </c>
      <c r="F312" s="8">
        <f>IFERROR(E312/E444, "NA")</f>
        <v>2.2052356073722914E-4</v>
      </c>
      <c r="G312" s="9"/>
      <c r="H312" s="10">
        <f t="shared" si="76"/>
        <v>-520.54999999999995</v>
      </c>
      <c r="I312" s="8">
        <f>IFERROR(H312/H444, "NA")</f>
        <v>1.7067962985914779E-2</v>
      </c>
      <c r="J312" s="9"/>
      <c r="K312" s="7">
        <v>639.24</v>
      </c>
      <c r="L312" s="8">
        <f>IFERROR(K312/K444, "NA")</f>
        <v>4.361936461234726E-3</v>
      </c>
      <c r="M312" s="9"/>
      <c r="N312" s="10">
        <f t="shared" si="77"/>
        <v>83.690000000000055</v>
      </c>
      <c r="O312" s="8">
        <f>IFERROR(N312/N444, "NA")</f>
        <v>-4.5644816894418088E-3</v>
      </c>
      <c r="P312" s="9"/>
      <c r="Q312" s="7">
        <v>915.69</v>
      </c>
      <c r="R312" s="8">
        <f>IFERROR(Q312/Q444, "NA")</f>
        <v>3.0635659574519336E-3</v>
      </c>
      <c r="S312" s="9"/>
      <c r="T312" s="7">
        <v>105</v>
      </c>
      <c r="U312" s="8">
        <f>IFERROR(T312/T444, "NA")</f>
        <v>2.9510649353452586E-4</v>
      </c>
      <c r="V312" s="9"/>
      <c r="W312" s="10">
        <f t="shared" si="78"/>
        <v>-810.69</v>
      </c>
      <c r="X312" s="8">
        <f>IFERROR(W312/W444, "NA")</f>
        <v>1.4245879855160128E-2</v>
      </c>
      <c r="Y312" s="9"/>
      <c r="Z312" s="7">
        <v>1130.46</v>
      </c>
      <c r="AA312" s="8">
        <f>IFERROR(Z312/Z444, "NA")</f>
        <v>3.3608858425292713E-3</v>
      </c>
      <c r="AB312" s="9"/>
      <c r="AC312" s="10">
        <f t="shared" si="79"/>
        <v>214.76999999999998</v>
      </c>
      <c r="AD312" s="8">
        <f>IFERROR(AC312/AC444, "NA")</f>
        <v>-5.7331670802971768E-3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15</v>
      </c>
      <c r="F313" s="8">
        <f>IFERROR(E313/E444, "NA")</f>
        <v>9.4510097458812492E-5</v>
      </c>
      <c r="G313" s="9"/>
      <c r="H313" s="10">
        <f t="shared" si="76"/>
        <v>15</v>
      </c>
      <c r="I313" s="8">
        <f>IFERROR(H313/H444, "NA")</f>
        <v>-4.9182488673272834E-4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10</v>
      </c>
      <c r="R313" s="8">
        <f>IFERROR(Q313/Q444, "NA")</f>
        <v>3.345636577282632E-5</v>
      </c>
      <c r="S313" s="9"/>
      <c r="T313" s="7">
        <v>35</v>
      </c>
      <c r="U313" s="8">
        <f>IFERROR(T313/T444, "NA")</f>
        <v>9.8368831178175295E-5</v>
      </c>
      <c r="V313" s="9"/>
      <c r="W313" s="10">
        <f t="shared" si="78"/>
        <v>25</v>
      </c>
      <c r="X313" s="8">
        <f>IFERROR(W313/W444, "NA")</f>
        <v>-4.3931341990033573E-4</v>
      </c>
      <c r="Y313" s="9"/>
      <c r="Z313" s="7">
        <v>14</v>
      </c>
      <c r="AA313" s="8">
        <f>IFERROR(Z313/Z444, "NA")</f>
        <v>4.1622350012746843E-5</v>
      </c>
      <c r="AB313" s="9"/>
      <c r="AC313" s="10">
        <f t="shared" si="79"/>
        <v>4</v>
      </c>
      <c r="AD313" s="8">
        <f>IFERROR(AC313/AC444, "NA")</f>
        <v>-1.0677780100194958E-4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533.33000000000004</v>
      </c>
      <c r="C315" s="8">
        <f>IFERROR(B315/B444, "NA")</f>
        <v>4.1596686304065048E-3</v>
      </c>
      <c r="D315" s="9"/>
      <c r="E315" s="7">
        <v>634.85</v>
      </c>
      <c r="F315" s="8">
        <f>IFERROR(E315/E444, "NA")</f>
        <v>3.9999823581151409E-3</v>
      </c>
      <c r="G315" s="9"/>
      <c r="H315" s="10">
        <f t="shared" si="76"/>
        <v>101.51999999999998</v>
      </c>
      <c r="I315" s="8">
        <f>IFERROR(H315/H444, "NA")</f>
        <v>-3.3286708334071043E-3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-533.33000000000004</v>
      </c>
      <c r="O315" s="8">
        <f>IFERROR(N315/N444, "NA")</f>
        <v>2.9088003577846799E-2</v>
      </c>
      <c r="P315" s="9"/>
      <c r="Q315" s="7">
        <v>1599.99</v>
      </c>
      <c r="R315" s="8">
        <f>IFERROR(Q315/Q444, "NA")</f>
        <v>5.3529850672864388E-3</v>
      </c>
      <c r="S315" s="9"/>
      <c r="T315" s="7">
        <v>1423.22</v>
      </c>
      <c r="U315" s="8">
        <f>IFERROR(T315/T444, "NA")</f>
        <v>4.000013940268647E-3</v>
      </c>
      <c r="V315" s="9"/>
      <c r="W315" s="10">
        <f t="shared" si="78"/>
        <v>-176.76999999999998</v>
      </c>
      <c r="X315" s="8">
        <f>IFERROR(W315/W444, "NA")</f>
        <v>3.1062973294312935E-3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-1599.99</v>
      </c>
      <c r="AD315" s="8">
        <f>IFERROR(AC315/AC444, "NA")</f>
        <v>4.2710853456277328E-2</v>
      </c>
    </row>
    <row r="316" spans="1:30" ht="16.5" customHeight="1" x14ac:dyDescent="0.45">
      <c r="A316" s="6" t="s">
        <v>288</v>
      </c>
      <c r="B316" s="7">
        <v>294</v>
      </c>
      <c r="C316" s="8">
        <f>IFERROR(B316/B444, "NA")</f>
        <v>2.2930316639594855E-3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-294</v>
      </c>
      <c r="I316" s="8">
        <f>IFERROR(H316/H444, "NA")</f>
        <v>9.6397677799614744E-3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-294</v>
      </c>
      <c r="O316" s="8">
        <f>IFERROR(N316/N444, "NA")</f>
        <v>1.6034862190176736E-2</v>
      </c>
      <c r="P316" s="9"/>
      <c r="Q316" s="7">
        <v>294</v>
      </c>
      <c r="R316" s="8">
        <f>IFERROR(Q316/Q444, "NA")</f>
        <v>9.836171537210938E-4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-294</v>
      </c>
      <c r="X316" s="8">
        <f>IFERROR(W316/W444, "NA")</f>
        <v>5.1663258180279486E-3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-294</v>
      </c>
      <c r="AD316" s="8">
        <f>IFERROR(AC316/AC444, "NA")</f>
        <v>7.8481683736432942E-3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hidden="1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0</v>
      </c>
      <c r="F318" s="8">
        <f>IFERROR(E318/E444, "NA")</f>
        <v>0</v>
      </c>
      <c r="G318" s="9"/>
      <c r="H318" s="10">
        <f t="shared" si="76"/>
        <v>0</v>
      </c>
      <c r="I318" s="8">
        <f>IFERROR(H318/H444, "NA")</f>
        <v>0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0</v>
      </c>
      <c r="U318" s="8">
        <f>IFERROR(T318/T444, "NA")</f>
        <v>0</v>
      </c>
      <c r="V318" s="9"/>
      <c r="W318" s="10">
        <f t="shared" si="78"/>
        <v>0</v>
      </c>
      <c r="X318" s="8">
        <f>IFERROR(W318/W444, "NA")</f>
        <v>0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393.4</v>
      </c>
      <c r="C319" s="8">
        <f>IFERROR(B319/B444, "NA")</f>
        <v>3.0682947503457877E-3</v>
      </c>
      <c r="D319" s="9"/>
      <c r="E319" s="7">
        <v>308</v>
      </c>
      <c r="F319" s="8">
        <f>IFERROR(E319/E444, "NA")</f>
        <v>1.9406073344876164E-3</v>
      </c>
      <c r="G319" s="9"/>
      <c r="H319" s="10">
        <f t="shared" si="76"/>
        <v>-85.399999999999977</v>
      </c>
      <c r="I319" s="8">
        <f>IFERROR(H319/H444, "NA")</f>
        <v>2.8001230217983325E-3</v>
      </c>
      <c r="J319" s="9"/>
      <c r="K319" s="7">
        <v>296.62</v>
      </c>
      <c r="L319" s="8">
        <f>IFERROR(K319/K444, "NA")</f>
        <v>2.0240247686806904E-3</v>
      </c>
      <c r="M319" s="9"/>
      <c r="N319" s="10">
        <f t="shared" si="77"/>
        <v>-96.779999999999973</v>
      </c>
      <c r="O319" s="8">
        <f>IFERROR(N319/N444, "NA")</f>
        <v>5.2784148393377689E-3</v>
      </c>
      <c r="P319" s="9"/>
      <c r="Q319" s="7">
        <v>1028</v>
      </c>
      <c r="R319" s="8">
        <f>IFERROR(Q319/Q444, "NA")</f>
        <v>3.4393144014465459E-3</v>
      </c>
      <c r="S319" s="9"/>
      <c r="T319" s="7">
        <v>924</v>
      </c>
      <c r="U319" s="8">
        <f>IFERROR(T319/T444, "NA")</f>
        <v>2.5969371431038275E-3</v>
      </c>
      <c r="V319" s="9"/>
      <c r="W319" s="10">
        <f t="shared" si="78"/>
        <v>-104</v>
      </c>
      <c r="X319" s="8">
        <f>IFERROR(W319/W444, "NA")</f>
        <v>1.8275438267853967E-3</v>
      </c>
      <c r="Y319" s="9"/>
      <c r="Z319" s="7">
        <v>788.32</v>
      </c>
      <c r="AA319" s="8">
        <f>IFERROR(Z319/Z444, "NA")</f>
        <v>2.3436950687177566E-3</v>
      </c>
      <c r="AB319" s="9"/>
      <c r="AC319" s="10">
        <f t="shared" si="79"/>
        <v>-239.67999999999995</v>
      </c>
      <c r="AD319" s="8">
        <f>IFERROR(AC319/AC444, "NA")</f>
        <v>6.3981258360368172E-3</v>
      </c>
    </row>
    <row r="320" spans="1:30" ht="16.5" customHeight="1" x14ac:dyDescent="0.45">
      <c r="A320" s="6" t="s">
        <v>292</v>
      </c>
      <c r="B320" s="7">
        <v>1102.69</v>
      </c>
      <c r="C320" s="8">
        <f>IFERROR(B320/B444, "NA")</f>
        <v>8.6003506310594734E-3</v>
      </c>
      <c r="D320" s="9"/>
      <c r="E320" s="7">
        <v>1186</v>
      </c>
      <c r="F320" s="8">
        <f>IFERROR(E320/E444, "NA")</f>
        <v>7.4725983724101075E-3</v>
      </c>
      <c r="G320" s="9"/>
      <c r="H320" s="10">
        <f t="shared" si="76"/>
        <v>83.309999999999945</v>
      </c>
      <c r="I320" s="8">
        <f>IFERROR(H320/H444, "NA")</f>
        <v>-2.7315954209135712E-3</v>
      </c>
      <c r="J320" s="9"/>
      <c r="K320" s="7">
        <v>1081.07</v>
      </c>
      <c r="L320" s="8">
        <f>IFERROR(K320/K444, "NA")</f>
        <v>7.3768203650382098E-3</v>
      </c>
      <c r="M320" s="9"/>
      <c r="N320" s="10">
        <f t="shared" si="77"/>
        <v>-21.620000000000118</v>
      </c>
      <c r="O320" s="8">
        <f>IFERROR(N320/N444, "NA")</f>
        <v>1.1791623148014385E-3</v>
      </c>
      <c r="P320" s="9"/>
      <c r="Q320" s="7">
        <v>3494.26</v>
      </c>
      <c r="R320" s="8">
        <f>IFERROR(Q320/Q444, "NA")</f>
        <v>1.1690524066535611E-2</v>
      </c>
      <c r="S320" s="9"/>
      <c r="T320" s="7">
        <v>3558</v>
      </c>
      <c r="U320" s="8">
        <f>IFERROR(T320/T444, "NA")</f>
        <v>9.9998943237699332E-3</v>
      </c>
      <c r="V320" s="9"/>
      <c r="W320" s="10">
        <f t="shared" si="78"/>
        <v>63.739999999999782</v>
      </c>
      <c r="X320" s="8">
        <f>IFERROR(W320/W444, "NA")</f>
        <v>-1.1200734953778922E-3</v>
      </c>
      <c r="Y320" s="9"/>
      <c r="Z320" s="7">
        <v>3243.21</v>
      </c>
      <c r="AA320" s="8">
        <f>IFERROR(Z320/Z444, "NA")</f>
        <v>9.642144413202906E-3</v>
      </c>
      <c r="AB320" s="9"/>
      <c r="AC320" s="10">
        <f t="shared" si="79"/>
        <v>-251.05000000000018</v>
      </c>
      <c r="AD320" s="8">
        <f>IFERROR(AC320/AC444, "NA")</f>
        <v>6.7016417353848654E-3</v>
      </c>
    </row>
    <row r="321" spans="1:30" ht="16.5" customHeight="1" x14ac:dyDescent="0.45">
      <c r="A321" s="6" t="s">
        <v>293</v>
      </c>
      <c r="B321" s="7">
        <v>1151.46</v>
      </c>
      <c r="C321" s="8">
        <f>IFERROR(B321/B444, "NA")</f>
        <v>8.9807287067441809E-3</v>
      </c>
      <c r="D321" s="9"/>
      <c r="E321" s="7">
        <v>2380.6999999999998</v>
      </c>
      <c r="F321" s="8">
        <f>IFERROR(E321/E444, "NA")</f>
        <v>1.5000012601346325E-2</v>
      </c>
      <c r="G321" s="9"/>
      <c r="H321" s="10">
        <f t="shared" si="76"/>
        <v>1229.2399999999998</v>
      </c>
      <c r="I321" s="8">
        <f>IFERROR(H321/H444, "NA")</f>
        <v>-4.0304721584489257E-2</v>
      </c>
      <c r="J321" s="9"/>
      <c r="K321" s="7">
        <v>4109.38</v>
      </c>
      <c r="L321" s="8">
        <f>IFERROR(K321/K444, "NA")</f>
        <v>2.8040883635361929E-2</v>
      </c>
      <c r="M321" s="9"/>
      <c r="N321" s="10">
        <f t="shared" si="77"/>
        <v>2957.92</v>
      </c>
      <c r="O321" s="8">
        <f>IFERROR(N321/N444, "NA")</f>
        <v>-0.16132598493050193</v>
      </c>
      <c r="P321" s="9"/>
      <c r="Q321" s="7">
        <v>3205.14</v>
      </c>
      <c r="R321" s="8">
        <f>IFERROR(Q321/Q444, "NA")</f>
        <v>1.0723233619311654E-2</v>
      </c>
      <c r="S321" s="9"/>
      <c r="T321" s="7">
        <v>5239.95</v>
      </c>
      <c r="U321" s="8">
        <f>IFERROR(T321/T444, "NA")</f>
        <v>1.4727078769487988E-2</v>
      </c>
      <c r="V321" s="9"/>
      <c r="W321" s="10">
        <f t="shared" si="78"/>
        <v>2034.81</v>
      </c>
      <c r="X321" s="8">
        <f>IFERROR(W321/W444, "NA")</f>
        <v>-3.5756773597896085E-2</v>
      </c>
      <c r="Y321" s="9"/>
      <c r="Z321" s="7">
        <v>10705.12</v>
      </c>
      <c r="AA321" s="8">
        <f>IFERROR(Z321/Z444, "NA")</f>
        <v>3.1826589397746893E-2</v>
      </c>
      <c r="AB321" s="9"/>
      <c r="AC321" s="10">
        <f t="shared" si="79"/>
        <v>7499.9800000000014</v>
      </c>
      <c r="AD321" s="8">
        <f>IFERROR(AC321/AC444, "NA")</f>
        <v>-0.20020784298965047</v>
      </c>
    </row>
    <row r="322" spans="1:30" ht="16.5" customHeight="1" x14ac:dyDescent="0.45">
      <c r="A322" s="6" t="s">
        <v>294</v>
      </c>
      <c r="B322" s="7">
        <v>768.01</v>
      </c>
      <c r="C322" s="8">
        <f>IFERROR(B322/B444, "NA")</f>
        <v>5.9900382593113073E-3</v>
      </c>
      <c r="D322" s="9"/>
      <c r="E322" s="7">
        <v>252</v>
      </c>
      <c r="F322" s="8">
        <f>IFERROR(E322/E444, "NA")</f>
        <v>1.5877696373080498E-3</v>
      </c>
      <c r="G322" s="9"/>
      <c r="H322" s="10">
        <f t="shared" si="76"/>
        <v>-516.01</v>
      </c>
      <c r="I322" s="8">
        <f>IFERROR(H322/H444, "NA")</f>
        <v>1.6919103986863675E-2</v>
      </c>
      <c r="J322" s="9"/>
      <c r="K322" s="7">
        <v>769.2</v>
      </c>
      <c r="L322" s="8">
        <f>IFERROR(K322/K444, "NA")</f>
        <v>5.2487352574647258E-3</v>
      </c>
      <c r="M322" s="9"/>
      <c r="N322" s="10">
        <f t="shared" si="77"/>
        <v>1.1900000000000546</v>
      </c>
      <c r="O322" s="8">
        <f>IFERROR(N322/N444, "NA")</f>
        <v>-6.4903013626908804E-5</v>
      </c>
      <c r="P322" s="9"/>
      <c r="Q322" s="7">
        <v>1604.03</v>
      </c>
      <c r="R322" s="8">
        <f>IFERROR(Q322/Q444, "NA")</f>
        <v>5.3665014390586602E-3</v>
      </c>
      <c r="S322" s="9"/>
      <c r="T322" s="7">
        <v>756</v>
      </c>
      <c r="U322" s="8">
        <f>IFERROR(T322/T444, "NA")</f>
        <v>2.1247667534485862E-3</v>
      </c>
      <c r="V322" s="9"/>
      <c r="W322" s="10">
        <f t="shared" si="78"/>
        <v>-848.03</v>
      </c>
      <c r="X322" s="8">
        <f>IFERROR(W322/W444, "NA")</f>
        <v>1.4902038379123269E-2</v>
      </c>
      <c r="Y322" s="9"/>
      <c r="Z322" s="7">
        <v>1307.5999999999999</v>
      </c>
      <c r="AA322" s="8">
        <f>IFERROR(Z322/Z444, "NA")</f>
        <v>3.8875274911905552E-3</v>
      </c>
      <c r="AB322" s="9"/>
      <c r="AC322" s="10">
        <f t="shared" si="79"/>
        <v>-296.43000000000006</v>
      </c>
      <c r="AD322" s="8">
        <f>IFERROR(AC322/AC444, "NA")</f>
        <v>7.9130358877519801E-3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5344.6</v>
      </c>
      <c r="C324" s="15">
        <f>IFERROR(B324/B444, "NA")</f>
        <v>4.1684819834006348E-2</v>
      </c>
      <c r="D324" s="2"/>
      <c r="E324" s="14">
        <f>IFERROR(E297+E298+E299+E300+E301+E302+E303+E304+E305+E306+E307+E308+E309+E310+E311+E312+E313+E314+E315+E316+E317+E318+E319+E320+E321+E322+E323, "NA")</f>
        <v>5335.5499999999993</v>
      </c>
      <c r="F324" s="15">
        <f>IFERROR(E324/E444, "NA")</f>
        <v>3.3617556699757793E-2</v>
      </c>
      <c r="G324" s="2"/>
      <c r="H324" s="14">
        <f t="shared" si="76"/>
        <v>-9.0500000000010914</v>
      </c>
      <c r="I324" s="15">
        <f>IFERROR(H324/H444, "NA")</f>
        <v>2.9673434832878183E-4</v>
      </c>
      <c r="J324" s="2"/>
      <c r="K324" s="14">
        <f>IFERROR(K297+K298+K299+K300+K301+K302+K303+K304+K305+K306+K307+K308+K309+K310+K311+K312+K313+K314+K315+K316+K317+K318+K319+K320+K321+K322+K323, "NA")</f>
        <v>7364.71</v>
      </c>
      <c r="L324" s="15">
        <f>IFERROR(K324/K444, "NA")</f>
        <v>5.0254047111288405E-2</v>
      </c>
      <c r="M324" s="2"/>
      <c r="N324" s="14">
        <f t="shared" si="77"/>
        <v>2020.1099999999997</v>
      </c>
      <c r="O324" s="15">
        <f>IFERROR(N324/N444, "NA")</f>
        <v>-0.11017750156121742</v>
      </c>
      <c r="P324" s="2"/>
      <c r="Q324" s="14">
        <f>IFERROR(Q297+Q298+Q299+Q300+Q301+Q302+Q303+Q304+Q305+Q306+Q307+Q308+Q309+Q310+Q311+Q312+Q313+Q314+Q315+Q316+Q317+Q318+Q319+Q320+Q321+Q322+Q323, "NA")</f>
        <v>13997.980000000001</v>
      </c>
      <c r="R324" s="15">
        <f>IFERROR(Q324/Q444, "NA")</f>
        <v>4.6832153896070747E-2</v>
      </c>
      <c r="S324" s="2"/>
      <c r="T324" s="14">
        <f>IFERROR(T297+T298+T299+T300+T301+T302+T303+T304+T305+T306+T307+T308+T309+T310+T311+T312+T313+T314+T315+T316+T317+T318+T319+T320+T321+T322+T323, "NA")</f>
        <v>13613.17</v>
      </c>
      <c r="U324" s="15">
        <f>IFERROR(T324/T444, "NA")</f>
        <v>3.8260332043708586E-2</v>
      </c>
      <c r="V324" s="2"/>
      <c r="W324" s="14">
        <f t="shared" si="78"/>
        <v>-384.81000000000131</v>
      </c>
      <c r="X324" s="15">
        <f>IFERROR(W324/W444, "NA")</f>
        <v>6.7620878844739506E-3</v>
      </c>
      <c r="Y324" s="2"/>
      <c r="Z324" s="14">
        <f>IFERROR(Z297+Z298+Z299+Z300+Z301+Z302+Z303+Z304+Z305+Z306+Z307+Z308+Z309+Z310+Z311+Z312+Z313+Z314+Z315+Z316+Z317+Z318+Z319+Z320+Z321+Z322+Z323, "NA")</f>
        <v>18623.010000000002</v>
      </c>
      <c r="AA324" s="15">
        <f>IFERROR(Z324/Z444, "NA")</f>
        <v>5.5366674322206051E-2</v>
      </c>
      <c r="AB324" s="2"/>
      <c r="AC324" s="14">
        <f t="shared" si="79"/>
        <v>4625.0300000000007</v>
      </c>
      <c r="AD324" s="15">
        <f>IFERROR(AC324/AC444, "NA")</f>
        <v>-0.12346263324201173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31935.789999999997</v>
      </c>
      <c r="C325" s="15">
        <f>IFERROR(B325/B444, "NA")</f>
        <v>0.24908087647469623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33445.22</v>
      </c>
      <c r="F325" s="15">
        <f>IFERROR(E325/E444, "NA")</f>
        <v>0.21072740011542831</v>
      </c>
      <c r="G325" s="2"/>
      <c r="H325" s="14">
        <f t="shared" si="76"/>
        <v>1509.4300000000039</v>
      </c>
      <c r="I325" s="15">
        <f>IFERROR(H325/H444, "NA")</f>
        <v>-4.9491682585398933E-2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32284.500000000011</v>
      </c>
      <c r="L325" s="15">
        <f>IFERROR(K325/K444, "NA")</f>
        <v>0.22029744334323972</v>
      </c>
      <c r="M325" s="2"/>
      <c r="N325" s="14">
        <f t="shared" si="77"/>
        <v>348.71000000001368</v>
      </c>
      <c r="O325" s="15">
        <f>IFERROR(N325/N444, "NA")</f>
        <v>-1.9018764606587579E-2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75198.039999999994</v>
      </c>
      <c r="R325" s="15">
        <f>IFERROR(Q325/Q444, "NA")</f>
        <v>0.25158531316396243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78644.87000000001</v>
      </c>
      <c r="U325" s="15">
        <f>IFERROR(T325/T444, "NA")</f>
        <v>0.22103439828741553</v>
      </c>
      <c r="V325" s="2"/>
      <c r="W325" s="14">
        <f t="shared" si="78"/>
        <v>3446.8300000000163</v>
      </c>
      <c r="X325" s="15">
        <f>IFERROR(W325/W444, "NA")</f>
        <v>-6.0569547004603257E-2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83345.260000000024</v>
      </c>
      <c r="AA325" s="15">
        <f>IFERROR(Z325/Z444, "NA")</f>
        <v>0.24778754168738501</v>
      </c>
      <c r="AB325" s="2"/>
      <c r="AC325" s="14">
        <f t="shared" si="79"/>
        <v>8147.2200000000303</v>
      </c>
      <c r="AD325" s="15">
        <f>IFERROR(AC325/AC444, "NA")</f>
        <v>-0.21748555896977673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0.15644902676404721</v>
      </c>
      <c r="D329" s="9"/>
      <c r="E329" s="7">
        <v>20059.04</v>
      </c>
      <c r="F329" s="8">
        <f>IFERROR(E329/E444, "NA")</f>
        <v>0.12638545502201454</v>
      </c>
      <c r="G329" s="9"/>
      <c r="H329" s="10">
        <f t="shared" si="80"/>
        <v>0</v>
      </c>
      <c r="I329" s="8">
        <f>IFERROR(H329/H444, "NA")</f>
        <v>0</v>
      </c>
      <c r="J329" s="9"/>
      <c r="K329" s="7">
        <v>19569.79</v>
      </c>
      <c r="L329" s="8">
        <f>IFERROR(K329/K444, "NA")</f>
        <v>0.13353698225972521</v>
      </c>
      <c r="M329" s="9"/>
      <c r="N329" s="10">
        <f t="shared" si="81"/>
        <v>-489.25</v>
      </c>
      <c r="O329" s="8">
        <f>IFERROR(N329/N444, "NA")</f>
        <v>2.6683865056271999E-2</v>
      </c>
      <c r="P329" s="9"/>
      <c r="Q329" s="7">
        <v>60177.120000000003</v>
      </c>
      <c r="R329" s="8">
        <f>IFERROR(Q329/Q444, "NA")</f>
        <v>0.20133077378752623</v>
      </c>
      <c r="S329" s="9"/>
      <c r="T329" s="7">
        <v>60177.120000000003</v>
      </c>
      <c r="U329" s="8">
        <f>IFERROR(T329/T444, "NA")</f>
        <v>0.16913008451625133</v>
      </c>
      <c r="V329" s="9"/>
      <c r="W329" s="10">
        <f t="shared" si="82"/>
        <v>0</v>
      </c>
      <c r="X329" s="8">
        <f>IFERROR(W329/W444, "NA")</f>
        <v>0</v>
      </c>
      <c r="Y329" s="9"/>
      <c r="Z329" s="7">
        <v>58709.37</v>
      </c>
      <c r="AA329" s="8">
        <f>IFERROR(Z329/Z444, "NA")</f>
        <v>0.17454442479770424</v>
      </c>
      <c r="AB329" s="9"/>
      <c r="AC329" s="10">
        <f t="shared" si="83"/>
        <v>-1467.75</v>
      </c>
      <c r="AD329" s="8">
        <f>IFERROR(AC329/AC444, "NA")</f>
        <v>3.9180779355152871E-2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5.1360009558978261E-3</v>
      </c>
      <c r="D330" s="9"/>
      <c r="E330" s="7">
        <v>658.51</v>
      </c>
      <c r="F330" s="8">
        <f>IFERROR(E330/E444, "NA")</f>
        <v>4.149056285173508E-3</v>
      </c>
      <c r="G330" s="9"/>
      <c r="H330" s="10">
        <f t="shared" si="80"/>
        <v>0</v>
      </c>
      <c r="I330" s="8">
        <f>IFERROR(H330/H444, "NA")</f>
        <v>0</v>
      </c>
      <c r="J330" s="9"/>
      <c r="K330" s="7">
        <v>658.51</v>
      </c>
      <c r="L330" s="8">
        <f>IFERROR(K330/K444, "NA")</f>
        <v>4.4934277878225385E-3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1975.53</v>
      </c>
      <c r="R330" s="8">
        <f>IFERROR(Q330/Q444, "NA")</f>
        <v>6.6094054275191586E-3</v>
      </c>
      <c r="S330" s="9"/>
      <c r="T330" s="7">
        <v>1975.53</v>
      </c>
      <c r="U330" s="8">
        <f>IFERROR(T330/T444, "NA")</f>
        <v>5.5523022016405899E-3</v>
      </c>
      <c r="V330" s="9"/>
      <c r="W330" s="10">
        <f t="shared" si="82"/>
        <v>0</v>
      </c>
      <c r="X330" s="8">
        <f>IFERROR(W330/W444, "NA")</f>
        <v>0</v>
      </c>
      <c r="Y330" s="9"/>
      <c r="Z330" s="7">
        <v>1975.53</v>
      </c>
      <c r="AA330" s="8">
        <f>IFERROR(Z330/Z444, "NA")</f>
        <v>5.8733000800486983E-3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6.6757639188191912E-3</v>
      </c>
      <c r="D333" s="9"/>
      <c r="E333" s="7">
        <v>856</v>
      </c>
      <c r="F333" s="8">
        <f>IFERROR(E333/E444, "NA")</f>
        <v>5.3933762283162332E-3</v>
      </c>
      <c r="G333" s="9"/>
      <c r="H333" s="10">
        <f t="shared" si="80"/>
        <v>7.0000000000050022E-2</v>
      </c>
      <c r="I333" s="8">
        <f>IFERROR(H333/H444, "NA")</f>
        <v>-2.2951828047543721E-6</v>
      </c>
      <c r="J333" s="9"/>
      <c r="K333" s="7">
        <v>855.93</v>
      </c>
      <c r="L333" s="8">
        <f>IFERROR(K333/K444, "NA")</f>
        <v>5.8405485815415789E-3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2567.79</v>
      </c>
      <c r="R333" s="8">
        <f>IFERROR(Q333/Q444, "NA")</f>
        <v>8.5908921467805696E-3</v>
      </c>
      <c r="S333" s="9"/>
      <c r="T333" s="7">
        <v>2568</v>
      </c>
      <c r="U333" s="8">
        <f>IFERROR(T333/T444, "NA")</f>
        <v>7.2174616704444045E-3</v>
      </c>
      <c r="V333" s="9"/>
      <c r="W333" s="10">
        <f t="shared" si="82"/>
        <v>0.21000000000003638</v>
      </c>
      <c r="X333" s="8">
        <f>IFERROR(W333/W444, "NA")</f>
        <v>-3.6902327271634596E-6</v>
      </c>
      <c r="Y333" s="9"/>
      <c r="Z333" s="7">
        <v>2472.5</v>
      </c>
      <c r="AA333" s="8">
        <f>IFERROR(Z333/Z444, "NA")</f>
        <v>7.3508043147511842E-3</v>
      </c>
      <c r="AB333" s="9"/>
      <c r="AC333" s="10">
        <f t="shared" si="83"/>
        <v>-95.289999999999964</v>
      </c>
      <c r="AD333" s="8">
        <f>IFERROR(AC333/AC444, "NA")</f>
        <v>2.5437141643689428E-3</v>
      </c>
    </row>
    <row r="334" spans="1:30" ht="16.5" customHeight="1" x14ac:dyDescent="0.45">
      <c r="A334" s="6" t="s">
        <v>305</v>
      </c>
      <c r="B334" s="7">
        <v>3089.1</v>
      </c>
      <c r="C334" s="8">
        <f>IFERROR(B334/B444, "NA")</f>
        <v>2.4093211269174308E-2</v>
      </c>
      <c r="D334" s="9"/>
      <c r="E334" s="7">
        <v>3089.1</v>
      </c>
      <c r="F334" s="8">
        <f>IFERROR(E334/E444, "NA")</f>
        <v>1.9463409470667842E-2</v>
      </c>
      <c r="G334" s="9"/>
      <c r="H334" s="10">
        <f t="shared" si="80"/>
        <v>0</v>
      </c>
      <c r="I334" s="8">
        <f>IFERROR(H334/H444, "NA")</f>
        <v>0</v>
      </c>
      <c r="J334" s="9"/>
      <c r="K334" s="7">
        <v>3013.74</v>
      </c>
      <c r="L334" s="8">
        <f>IFERROR(K334/K444, "NA")</f>
        <v>2.0564642999001223E-2</v>
      </c>
      <c r="M334" s="9"/>
      <c r="N334" s="10">
        <f t="shared" si="81"/>
        <v>-75.360000000000127</v>
      </c>
      <c r="O334" s="8">
        <f>IFERROR(N334/N444, "NA")</f>
        <v>4.1101605940534721E-3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0</v>
      </c>
      <c r="F337" s="8">
        <f>IFERROR(E337/E444, "NA")</f>
        <v>0</v>
      </c>
      <c r="G337" s="9"/>
      <c r="H337" s="10">
        <f t="shared" ref="H337:H344" si="84">IFERROR(-(B337-E337), "NA")</f>
        <v>0</v>
      </c>
      <c r="I337" s="8">
        <f>IFERROR(H337/H444, "NA")</f>
        <v>0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0</v>
      </c>
      <c r="U337" s="8">
        <f>IFERROR(T337/T444, "NA")</f>
        <v>0</v>
      </c>
      <c r="V337" s="9"/>
      <c r="W337" s="10">
        <f t="shared" ref="W337:W344" si="86">IFERROR(-(Q337-T337), "NA")</f>
        <v>0</v>
      </c>
      <c r="X337" s="8">
        <f>IFERROR(W337/W444, "NA")</f>
        <v>0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2002.09</v>
      </c>
      <c r="C338" s="8">
        <f>IFERROR(B338/B444, "NA")</f>
        <v>1.5615155660192673E-2</v>
      </c>
      <c r="D338" s="9"/>
      <c r="E338" s="7">
        <v>3332.98</v>
      </c>
      <c r="F338" s="8">
        <f>IFERROR(E338/E444, "NA")</f>
        <v>2.1000017641884857E-2</v>
      </c>
      <c r="G338" s="9"/>
      <c r="H338" s="10">
        <f t="shared" si="84"/>
        <v>1330.89</v>
      </c>
      <c r="I338" s="8">
        <f>IFERROR(H338/H444, "NA")</f>
        <v>-4.3637654900248055E-2</v>
      </c>
      <c r="J338" s="9"/>
      <c r="K338" s="7">
        <v>1853.93</v>
      </c>
      <c r="L338" s="8">
        <f>IFERROR(K338/K444, "NA")</f>
        <v>1.2650530103837206E-2</v>
      </c>
      <c r="M338" s="9"/>
      <c r="N338" s="10">
        <f t="shared" si="85"/>
        <v>-148.15999999999985</v>
      </c>
      <c r="O338" s="8">
        <f>IFERROR(N338/N444, "NA")</f>
        <v>8.0806978982876972E-3</v>
      </c>
      <c r="P338" s="9"/>
      <c r="Q338" s="7">
        <v>5713.23</v>
      </c>
      <c r="R338" s="8">
        <f>IFERROR(Q338/Q444, "NA")</f>
        <v>1.9114391262428452E-2</v>
      </c>
      <c r="S338" s="9"/>
      <c r="T338" s="7">
        <v>7471.88</v>
      </c>
      <c r="U338" s="8">
        <f>IFERROR(T338/T444, "NA")</f>
        <v>2.1000002922959556E-2</v>
      </c>
      <c r="V338" s="9"/>
      <c r="W338" s="10">
        <f t="shared" si="86"/>
        <v>1758.6500000000005</v>
      </c>
      <c r="X338" s="8">
        <f>IFERROR(W338/W444, "NA")</f>
        <v>-3.0903941836309026E-2</v>
      </c>
      <c r="Y338" s="9"/>
      <c r="Z338" s="7">
        <v>5381.28</v>
      </c>
      <c r="AA338" s="8">
        <f>IFERROR(Z338/Z444, "NA")</f>
        <v>1.5998679976899594E-2</v>
      </c>
      <c r="AB338" s="9"/>
      <c r="AC338" s="10">
        <f t="shared" si="87"/>
        <v>-331.94999999999982</v>
      </c>
      <c r="AD338" s="8">
        <f>IFERROR(AC338/AC444, "NA")</f>
        <v>8.8612227606492851E-3</v>
      </c>
    </row>
    <row r="339" spans="1:30" ht="16.5" customHeight="1" x14ac:dyDescent="0.45">
      <c r="A339" s="12" t="s">
        <v>309</v>
      </c>
      <c r="B339" s="7">
        <v>1045.22</v>
      </c>
      <c r="C339" s="8">
        <f>IFERROR(B339/B444, "NA")</f>
        <v>8.1521175367473935E-3</v>
      </c>
      <c r="D339" s="9"/>
      <c r="E339" s="7">
        <v>1110.99</v>
      </c>
      <c r="F339" s="8">
        <f>IFERROR(E339/E444, "NA")</f>
        <v>6.9999848783844059E-3</v>
      </c>
      <c r="G339" s="9"/>
      <c r="H339" s="10">
        <f t="shared" si="84"/>
        <v>65.769999999999982</v>
      </c>
      <c r="I339" s="8">
        <f>IFERROR(H339/H444, "NA")</f>
        <v>-2.1564881866941023E-3</v>
      </c>
      <c r="J339" s="9"/>
      <c r="K339" s="7">
        <v>1218.93</v>
      </c>
      <c r="L339" s="8">
        <f>IFERROR(K339/K444, "NA")</f>
        <v>8.3175258286290674E-3</v>
      </c>
      <c r="M339" s="9"/>
      <c r="N339" s="10">
        <f t="shared" si="85"/>
        <v>173.71000000000004</v>
      </c>
      <c r="O339" s="8">
        <f>IFERROR(N339/N444, "NA")</f>
        <v>-9.4742037791006855E-3</v>
      </c>
      <c r="P339" s="9"/>
      <c r="Q339" s="7">
        <v>3282.46</v>
      </c>
      <c r="R339" s="8">
        <f>IFERROR(Q339/Q444, "NA")</f>
        <v>1.0981918239467149E-2</v>
      </c>
      <c r="S339" s="9"/>
      <c r="T339" s="7">
        <v>2490.63</v>
      </c>
      <c r="U339" s="8">
        <f>IFERROR(T339/T444, "NA")</f>
        <v>7.0000103427799642E-3</v>
      </c>
      <c r="V339" s="9"/>
      <c r="W339" s="10">
        <f t="shared" si="86"/>
        <v>-791.82999999999993</v>
      </c>
      <c r="X339" s="8">
        <f>IFERROR(W339/W444, "NA")</f>
        <v>1.3914461811187313E-2</v>
      </c>
      <c r="Y339" s="9"/>
      <c r="Z339" s="7">
        <v>3739.83</v>
      </c>
      <c r="AA339" s="8">
        <f>IFERROR(Z339/Z444, "NA")</f>
        <v>1.1118608089155074E-2</v>
      </c>
      <c r="AB339" s="9"/>
      <c r="AC339" s="10">
        <f t="shared" si="87"/>
        <v>457.36999999999989</v>
      </c>
      <c r="AD339" s="8">
        <f>IFERROR(AC339/AC444, "NA")</f>
        <v>-1.2209240711065416E-2</v>
      </c>
    </row>
    <row r="340" spans="1:30" ht="16.5" customHeight="1" x14ac:dyDescent="0.45">
      <c r="A340" s="12" t="s">
        <v>310</v>
      </c>
      <c r="B340" s="7">
        <v>739.03</v>
      </c>
      <c r="C340" s="8">
        <f>IFERROR(B340/B444, "NA")</f>
        <v>5.7640108524353011E-3</v>
      </c>
      <c r="D340" s="9"/>
      <c r="E340" s="7">
        <v>1110.99</v>
      </c>
      <c r="F340" s="8">
        <f>IFERROR(E340/E444, "NA")</f>
        <v>6.9999848783844059E-3</v>
      </c>
      <c r="G340" s="9"/>
      <c r="H340" s="10">
        <f t="shared" si="84"/>
        <v>371.96000000000004</v>
      </c>
      <c r="I340" s="8">
        <f>IFERROR(H340/H444, "NA")</f>
        <v>-1.2195945657940375E-2</v>
      </c>
      <c r="J340" s="9"/>
      <c r="K340" s="7">
        <v>831.95</v>
      </c>
      <c r="L340" s="8">
        <f>IFERROR(K340/K444, "NA")</f>
        <v>5.6769179634006484E-3</v>
      </c>
      <c r="M340" s="9"/>
      <c r="N340" s="10">
        <f t="shared" si="85"/>
        <v>92.920000000000073</v>
      </c>
      <c r="O340" s="8">
        <f>IFERROR(N340/N444, "NA")</f>
        <v>-5.0678890976572225E-3</v>
      </c>
      <c r="P340" s="9"/>
      <c r="Q340" s="7">
        <v>2483.2199999999998</v>
      </c>
      <c r="R340" s="8">
        <f>IFERROR(Q340/Q444, "NA")</f>
        <v>8.3079516614397771E-3</v>
      </c>
      <c r="S340" s="9"/>
      <c r="T340" s="7">
        <v>2490.63</v>
      </c>
      <c r="U340" s="8">
        <f>IFERROR(T340/T444, "NA")</f>
        <v>7.0000103427799642E-3</v>
      </c>
      <c r="V340" s="9"/>
      <c r="W340" s="10">
        <f t="shared" si="86"/>
        <v>7.4100000000003092</v>
      </c>
      <c r="X340" s="8">
        <f>IFERROR(W340/W444, "NA")</f>
        <v>-1.3021249765846494E-4</v>
      </c>
      <c r="Y340" s="9"/>
      <c r="Z340" s="7">
        <v>2633.15</v>
      </c>
      <c r="AA340" s="8">
        <f>IFERROR(Z340/Z444, "NA")</f>
        <v>7.8284207811474549E-3</v>
      </c>
      <c r="AB340" s="9"/>
      <c r="AC340" s="10">
        <f t="shared" si="87"/>
        <v>149.93000000000029</v>
      </c>
      <c r="AD340" s="8">
        <f>IFERROR(AC340/AC444, "NA")</f>
        <v>-4.0022989260555825E-3</v>
      </c>
    </row>
    <row r="341" spans="1:30" ht="16.5" customHeight="1" x14ac:dyDescent="0.45">
      <c r="A341" s="12" t="s">
        <v>311</v>
      </c>
      <c r="B341" s="7">
        <v>1066.19</v>
      </c>
      <c r="C341" s="8">
        <f>IFERROR(B341/B444, "NA")</f>
        <v>8.3156715299216467E-3</v>
      </c>
      <c r="D341" s="9"/>
      <c r="E341" s="7">
        <v>1428.42</v>
      </c>
      <c r="F341" s="8">
        <f>IFERROR(E341/E444, "NA")</f>
        <v>9.0000075608077969E-3</v>
      </c>
      <c r="G341" s="9"/>
      <c r="H341" s="10">
        <f t="shared" si="84"/>
        <v>362.23</v>
      </c>
      <c r="I341" s="8">
        <f>IFERROR(H341/H444, "NA")</f>
        <v>-1.1876915248079746E-2</v>
      </c>
      <c r="J341" s="9"/>
      <c r="K341" s="7">
        <v>1012.86</v>
      </c>
      <c r="L341" s="8">
        <f>IFERROR(K341/K444, "NA")</f>
        <v>6.9113806459642777E-3</v>
      </c>
      <c r="M341" s="9"/>
      <c r="N341" s="10">
        <f t="shared" si="85"/>
        <v>-53.330000000000041</v>
      </c>
      <c r="O341" s="8">
        <f>IFERROR(N341/N444, "NA")</f>
        <v>2.9086367367419249E-3</v>
      </c>
      <c r="P341" s="9"/>
      <c r="Q341" s="7">
        <v>3130.17</v>
      </c>
      <c r="R341" s="8">
        <f>IFERROR(Q341/Q444, "NA")</f>
        <v>1.0472411245112776E-2</v>
      </c>
      <c r="S341" s="9"/>
      <c r="T341" s="7">
        <v>3202.24</v>
      </c>
      <c r="U341" s="8">
        <f>IFERROR(T341/T444, "NA")</f>
        <v>9.0000173129142873E-3</v>
      </c>
      <c r="V341" s="9"/>
      <c r="W341" s="10">
        <f t="shared" si="86"/>
        <v>72.069999999999709</v>
      </c>
      <c r="X341" s="8">
        <f>IFERROR(W341/W444, "NA")</f>
        <v>-1.2664527268886829E-3</v>
      </c>
      <c r="Y341" s="9"/>
      <c r="Z341" s="7">
        <v>3077.42</v>
      </c>
      <c r="AA341" s="8">
        <f>IFERROR(Z341/Z444, "NA")</f>
        <v>9.1492465983019564E-3</v>
      </c>
      <c r="AB341" s="9"/>
      <c r="AC341" s="10">
        <f t="shared" si="87"/>
        <v>-52.75</v>
      </c>
      <c r="AD341" s="8">
        <f>IFERROR(AC341/AC444, "NA")</f>
        <v>1.40813225071321E-3</v>
      </c>
    </row>
    <row r="342" spans="1:30" ht="16.5" customHeight="1" x14ac:dyDescent="0.45">
      <c r="A342" s="13" t="s">
        <v>312</v>
      </c>
      <c r="B342" s="14">
        <f>IFERROR(B337+B338+B339+B340+B341, "NA")</f>
        <v>4852.5300000000007</v>
      </c>
      <c r="C342" s="15">
        <f>IFERROR(B342/B444, "NA")</f>
        <v>3.7846955579297022E-2</v>
      </c>
      <c r="D342" s="2"/>
      <c r="E342" s="14">
        <f>IFERROR(E337+E338+E339+E340+E341, "NA")</f>
        <v>6983.38</v>
      </c>
      <c r="F342" s="15">
        <f>IFERROR(E342/E444, "NA")</f>
        <v>4.3999994959461469E-2</v>
      </c>
      <c r="G342" s="2"/>
      <c r="H342" s="14">
        <f t="shared" si="84"/>
        <v>2130.8499999999995</v>
      </c>
      <c r="I342" s="15">
        <f>IFERROR(H342/H444, "NA")</f>
        <v>-6.9867003992962251E-2</v>
      </c>
      <c r="J342" s="2"/>
      <c r="K342" s="14">
        <f>IFERROR(K337+K338+K339+K340+K341, "NA")</f>
        <v>4917.67</v>
      </c>
      <c r="L342" s="15">
        <f>IFERROR(K342/K444, "NA")</f>
        <v>3.3556354541831201E-2</v>
      </c>
      <c r="M342" s="2"/>
      <c r="N342" s="14">
        <f t="shared" si="85"/>
        <v>65.139999999999418</v>
      </c>
      <c r="O342" s="15">
        <f>IFERROR(N342/N444, "NA")</f>
        <v>-3.5527582417282421E-3</v>
      </c>
      <c r="P342" s="2"/>
      <c r="Q342" s="14">
        <f>IFERROR(Q337+Q338+Q339+Q340+Q341, "NA")</f>
        <v>14609.079999999998</v>
      </c>
      <c r="R342" s="15">
        <f>IFERROR(Q342/Q444, "NA")</f>
        <v>4.8876672408448146E-2</v>
      </c>
      <c r="S342" s="2"/>
      <c r="T342" s="14">
        <f>IFERROR(T337+T338+T339+T340+T341, "NA")</f>
        <v>15655.38</v>
      </c>
      <c r="U342" s="15">
        <f>IFERROR(T342/T444, "NA")</f>
        <v>4.4000040921433767E-2</v>
      </c>
      <c r="V342" s="2"/>
      <c r="W342" s="14">
        <f t="shared" si="86"/>
        <v>1046.3000000000011</v>
      </c>
      <c r="X342" s="15">
        <f>IFERROR(W342/W444, "NA")</f>
        <v>-1.8386145249668872E-2</v>
      </c>
      <c r="Y342" s="2"/>
      <c r="Z342" s="14">
        <f>IFERROR(Z337+Z338+Z339+Z340+Z341, "NA")</f>
        <v>14831.68</v>
      </c>
      <c r="AA342" s="15">
        <f>IFERROR(Z342/Z444, "NA")</f>
        <v>4.4094955445504083E-2</v>
      </c>
      <c r="AB342" s="2"/>
      <c r="AC342" s="14">
        <f t="shared" si="87"/>
        <v>222.60000000000218</v>
      </c>
      <c r="AD342" s="15">
        <f>IFERROR(AC342/AC444, "NA")</f>
        <v>-5.9421846257585523E-3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29515.109999999997</v>
      </c>
      <c r="C343" s="15">
        <f>IFERROR(B343/B444, "NA")</f>
        <v>0.23020095848723551</v>
      </c>
      <c r="D343" s="2"/>
      <c r="E343" s="14">
        <f>IFERROR(E328+E329+E330+E331+E332+E333+E334+E335+E337+E338+E339+E340+E341, "NA")</f>
        <v>31646.03</v>
      </c>
      <c r="F343" s="15">
        <f>IFERROR(E343/E444, "NA")</f>
        <v>0.1993912919656336</v>
      </c>
      <c r="G343" s="2"/>
      <c r="H343" s="14">
        <f t="shared" si="84"/>
        <v>2130.9200000000019</v>
      </c>
      <c r="I343" s="15">
        <f>IFERROR(H343/H444, "NA")</f>
        <v>-6.9869299175767091E-2</v>
      </c>
      <c r="J343" s="2"/>
      <c r="K343" s="14">
        <f>IFERROR(K328+K329+K330+K331+K332+K333+K334+K335+K337+K338+K339+K340+K341, "NA")</f>
        <v>29015.640000000003</v>
      </c>
      <c r="L343" s="15">
        <f>IFERROR(K343/K444, "NA")</f>
        <v>0.19799195616992177</v>
      </c>
      <c r="M343" s="2"/>
      <c r="N343" s="14">
        <f t="shared" si="85"/>
        <v>-499.46999999999389</v>
      </c>
      <c r="O343" s="15">
        <f>IFERROR(N343/N444, "NA")</f>
        <v>2.7241267408596857E-2</v>
      </c>
      <c r="P343" s="2"/>
      <c r="Q343" s="14">
        <f>IFERROR(Q328+Q329+Q330+Q331+Q332+Q333+Q334+Q335+Q337+Q338+Q339+Q340+Q341, "NA")</f>
        <v>79329.52</v>
      </c>
      <c r="R343" s="15">
        <f>IFERROR(Q343/Q444, "NA")</f>
        <v>0.26540774377027415</v>
      </c>
      <c r="S343" s="2"/>
      <c r="T343" s="14">
        <f>IFERROR(T328+T329+T330+T331+T332+T333+T334+T335+T337+T338+T339+T340+T341, "NA")</f>
        <v>80376.030000000013</v>
      </c>
      <c r="U343" s="15">
        <f>IFERROR(T343/T444, "NA")</f>
        <v>0.22589988930977012</v>
      </c>
      <c r="V343" s="2"/>
      <c r="W343" s="14">
        <f t="shared" si="86"/>
        <v>1046.5100000000093</v>
      </c>
      <c r="X343" s="15">
        <f>IFERROR(W343/W444, "NA")</f>
        <v>-1.8389835482396179E-2</v>
      </c>
      <c r="Y343" s="2"/>
      <c r="Z343" s="14">
        <f>IFERROR(Z328+Z329+Z330+Z331+Z332+Z333+Z334+Z335+Z337+Z338+Z339+Z340+Z341, "NA")</f>
        <v>77989.08</v>
      </c>
      <c r="AA343" s="15">
        <f>IFERROR(Z343/Z444, "NA")</f>
        <v>0.23186348463800821</v>
      </c>
      <c r="AB343" s="2"/>
      <c r="AC343" s="14">
        <f t="shared" si="87"/>
        <v>-1340.4400000000023</v>
      </c>
      <c r="AD343" s="15">
        <f>IFERROR(AC343/AC444, "NA")</f>
        <v>3.5782308893763382E-2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29515.109999999997</v>
      </c>
      <c r="C344" s="15">
        <f>IFERROR(B344/B444, "NA")</f>
        <v>0.23020095848723551</v>
      </c>
      <c r="D344" s="2"/>
      <c r="E344" s="14">
        <f>IFERROR(E328+E329+E330+E331+E332+E333+E334+E335+E337+E338+E339+E340+E341, "NA")</f>
        <v>31646.03</v>
      </c>
      <c r="F344" s="15">
        <f>IFERROR(E344/E444, "NA")</f>
        <v>0.1993912919656336</v>
      </c>
      <c r="G344" s="2"/>
      <c r="H344" s="14">
        <f t="shared" si="84"/>
        <v>2130.9200000000019</v>
      </c>
      <c r="I344" s="15">
        <f>IFERROR(H344/H444, "NA")</f>
        <v>-6.9869299175767091E-2</v>
      </c>
      <c r="J344" s="2"/>
      <c r="K344" s="14">
        <f>IFERROR(K328+K329+K330+K331+K332+K333+K334+K335+K337+K338+K339+K340+K341, "NA")</f>
        <v>29015.640000000003</v>
      </c>
      <c r="L344" s="15">
        <f>IFERROR(K344/K444, "NA")</f>
        <v>0.19799195616992177</v>
      </c>
      <c r="M344" s="2"/>
      <c r="N344" s="14">
        <f t="shared" si="85"/>
        <v>-499.46999999999389</v>
      </c>
      <c r="O344" s="15">
        <f>IFERROR(N344/N444, "NA")</f>
        <v>2.7241267408596857E-2</v>
      </c>
      <c r="P344" s="2"/>
      <c r="Q344" s="14">
        <f>IFERROR(Q328+Q329+Q330+Q331+Q332+Q333+Q334+Q335+Q337+Q338+Q339+Q340+Q341, "NA")</f>
        <v>79329.52</v>
      </c>
      <c r="R344" s="15">
        <f>IFERROR(Q344/Q444, "NA")</f>
        <v>0.26540774377027415</v>
      </c>
      <c r="S344" s="2"/>
      <c r="T344" s="14">
        <f>IFERROR(T328+T329+T330+T331+T332+T333+T334+T335+T337+T338+T339+T340+T341, "NA")</f>
        <v>80376.030000000013</v>
      </c>
      <c r="U344" s="15">
        <f>IFERROR(T344/T444, "NA")</f>
        <v>0.22589988930977012</v>
      </c>
      <c r="V344" s="2"/>
      <c r="W344" s="14">
        <f t="shared" si="86"/>
        <v>1046.5100000000093</v>
      </c>
      <c r="X344" s="15">
        <f>IFERROR(W344/W444, "NA")</f>
        <v>-1.8389835482396179E-2</v>
      </c>
      <c r="Y344" s="2"/>
      <c r="Z344" s="14">
        <f>IFERROR(Z328+Z329+Z330+Z331+Z332+Z333+Z334+Z335+Z337+Z338+Z339+Z340+Z341, "NA")</f>
        <v>77989.08</v>
      </c>
      <c r="AA344" s="15">
        <f>IFERROR(Z344/Z444, "NA")</f>
        <v>0.23186348463800821</v>
      </c>
      <c r="AB344" s="2"/>
      <c r="AC344" s="14">
        <f t="shared" si="87"/>
        <v>-1340.4400000000023</v>
      </c>
      <c r="AD344" s="15">
        <f>IFERROR(AC344/AC444, "NA")</f>
        <v>3.5782308893763382E-2</v>
      </c>
    </row>
    <row r="345" spans="1:30" ht="16.5" customHeight="1" x14ac:dyDescent="0.45">
      <c r="A345" s="22" t="s">
        <v>315</v>
      </c>
      <c r="B345" s="23">
        <f>IFERROR(B198-B325-B344, "NA")</f>
        <v>-3830.2600000000311</v>
      </c>
      <c r="C345" s="24">
        <f>IFERROR(B345/B444, "NA")</f>
        <v>-2.9873834902032416E-2</v>
      </c>
      <c r="D345" s="25"/>
      <c r="E345" s="23">
        <f>IFERROR(E198-E325-E344, "NA")</f>
        <v>9794.0300000000279</v>
      </c>
      <c r="F345" s="24">
        <f>IFERROR(E345/E444, "NA")</f>
        <v>6.1708981987635733E-2</v>
      </c>
      <c r="G345" s="25"/>
      <c r="H345" s="23">
        <f>IFERROR(B345-E345, "NA")</f>
        <v>-13624.290000000059</v>
      </c>
      <c r="I345" s="24">
        <f>IFERROR(H345/H444, "NA")</f>
        <v>0.44671765907092481</v>
      </c>
      <c r="J345" s="25"/>
      <c r="K345" s="23">
        <f>IFERROR(K198-K325-K344, "NA")</f>
        <v>3819.8999999999469</v>
      </c>
      <c r="L345" s="24">
        <f>IFERROR(K345/K444, "NA")</f>
        <v>2.6065579576169041E-2</v>
      </c>
      <c r="M345" s="25"/>
      <c r="N345" s="23">
        <f>IFERROR(B345-K345, "NA")</f>
        <v>-7650.159999999978</v>
      </c>
      <c r="O345" s="24">
        <f>IFERROR(N345/N444, "NA")</f>
        <v>0.41724238548572146</v>
      </c>
      <c r="P345" s="25"/>
      <c r="Q345" s="23">
        <f>IFERROR(Q198-Q325-Q344, "NA")</f>
        <v>-32053.730000000025</v>
      </c>
      <c r="R345" s="24">
        <f>IFERROR(Q345/Q444, "NA")</f>
        <v>-0.10724013152634171</v>
      </c>
      <c r="S345" s="25"/>
      <c r="T345" s="23">
        <f>IFERROR(T198-T325-T344, "NA")</f>
        <v>437.22999999998137</v>
      </c>
      <c r="U345" s="24">
        <f>IFERROR(T345/T444, "NA")</f>
        <v>1.22885154445805E-3</v>
      </c>
      <c r="V345" s="25"/>
      <c r="W345" s="23">
        <f>IFERROR(Q345-T345, "NA")</f>
        <v>-32490.960000000006</v>
      </c>
      <c r="X345" s="24">
        <f>IFERROR(W345/W444, "NA")</f>
        <v>0.57094859013780064</v>
      </c>
      <c r="Y345" s="25"/>
      <c r="Z345" s="23">
        <f>IFERROR(Z198-Z325-Z344, "NA")</f>
        <v>-17622.379999999946</v>
      </c>
      <c r="AA345" s="24">
        <f>IFERROR(Z345/Z444, "NA")</f>
        <v>-5.239177631554482E-2</v>
      </c>
      <c r="AB345" s="25"/>
      <c r="AC345" s="23">
        <f>IFERROR(Q345-Z345, "NA")</f>
        <v>-14431.350000000079</v>
      </c>
      <c r="AD345" s="24">
        <f>IFERROR(AC345/AC444, "NA")</f>
        <v>0.38523695462237334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-3830.2600000000311</v>
      </c>
      <c r="C404" s="24">
        <f>IFERROR(B404/B444, "NA")</f>
        <v>-2.9873834902032416E-2</v>
      </c>
      <c r="D404" s="25"/>
      <c r="E404" s="23">
        <f>IFERROR(E345-E403, "NA")</f>
        <v>9794.0300000000279</v>
      </c>
      <c r="F404" s="24">
        <f>IFERROR(E404/E444, "NA")</f>
        <v>6.1708981987635733E-2</v>
      </c>
      <c r="G404" s="25"/>
      <c r="H404" s="23">
        <f>IFERROR(B404-E404, "NA")</f>
        <v>-13624.290000000059</v>
      </c>
      <c r="I404" s="24">
        <f>IFERROR(H404/H444, "NA")</f>
        <v>0.44671765907092481</v>
      </c>
      <c r="J404" s="25"/>
      <c r="K404" s="23">
        <f>IFERROR(K345-K403, "NA")</f>
        <v>3819.8999999999469</v>
      </c>
      <c r="L404" s="24">
        <f>IFERROR(K404/K444, "NA")</f>
        <v>2.6065579576169041E-2</v>
      </c>
      <c r="M404" s="25"/>
      <c r="N404" s="23">
        <f>IFERROR(B404-K404, "NA")</f>
        <v>-7650.159999999978</v>
      </c>
      <c r="O404" s="24">
        <f>IFERROR(N404/N444, "NA")</f>
        <v>0.41724238548572146</v>
      </c>
      <c r="P404" s="25"/>
      <c r="Q404" s="23">
        <f>IFERROR(Q345-Q403, "NA")</f>
        <v>-32053.730000000025</v>
      </c>
      <c r="R404" s="24">
        <f>IFERROR(Q404/Q444, "NA")</f>
        <v>-0.10724013152634171</v>
      </c>
      <c r="S404" s="25"/>
      <c r="T404" s="23">
        <f>IFERROR(T345-T403, "NA")</f>
        <v>437.22999999998137</v>
      </c>
      <c r="U404" s="24">
        <f>IFERROR(T404/T444, "NA")</f>
        <v>1.22885154445805E-3</v>
      </c>
      <c r="V404" s="25"/>
      <c r="W404" s="23">
        <f>IFERROR(Q404-T404, "NA")</f>
        <v>-32490.960000000006</v>
      </c>
      <c r="X404" s="24">
        <f>IFERROR(W404/W444, "NA")</f>
        <v>0.57094859013780064</v>
      </c>
      <c r="Y404" s="25"/>
      <c r="Z404" s="23">
        <f>IFERROR(Z345-Z403, "NA")</f>
        <v>-17622.379999999946</v>
      </c>
      <c r="AA404" s="24">
        <f>IFERROR(Z404/Z444, "NA")</f>
        <v>-5.239177631554482E-2</v>
      </c>
      <c r="AB404" s="25"/>
      <c r="AC404" s="23">
        <f>IFERROR(Q404-Z404, "NA")</f>
        <v>-14431.350000000079</v>
      </c>
      <c r="AD404" s="24">
        <f>IFERROR(AC404/AC444, "NA")</f>
        <v>0.38523695462237334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10964.68</v>
      </c>
      <c r="F407" s="8">
        <f>IFERROR(E407/E444, "NA")</f>
        <v>6.9084865026979483E-2</v>
      </c>
      <c r="G407" s="9"/>
      <c r="H407" s="10">
        <f t="shared" ref="H407:H429" si="100">IFERROR(-(B407-E407), "NA")</f>
        <v>10964.68</v>
      </c>
      <c r="I407" s="8">
        <f>IFERROR(H407/H444, "NA")</f>
        <v>-0.35951349993737408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31205.439999999999</v>
      </c>
      <c r="U407" s="8">
        <f>IFERROR(T407/T444, "NA")</f>
        <v>8.7704075977162232E-2</v>
      </c>
      <c r="V407" s="9"/>
      <c r="W407" s="10">
        <f t="shared" ref="W407:W429" si="102">IFERROR(-(Q407-T407), "NA")</f>
        <v>31205.439999999999</v>
      </c>
      <c r="X407" s="8">
        <f>IFERROR(W407/W444, "NA")</f>
        <v>-0.54835874263578932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hidden="1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0</v>
      </c>
      <c r="AA408" s="8">
        <f>IFERROR(Z408/Z444, "NA")</f>
        <v>0</v>
      </c>
      <c r="AB408" s="9"/>
      <c r="AC408" s="10">
        <f t="shared" si="103"/>
        <v>0</v>
      </c>
      <c r="AD408" s="8">
        <f>IFERROR(AC408/AC444, "NA")</f>
        <v>0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10648.2</v>
      </c>
      <c r="C410" s="8">
        <f>IFERROR(B410/B444, "NA")</f>
        <v>8.3049863143446923E-2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-10648.2</v>
      </c>
      <c r="I410" s="8">
        <f>IFERROR(H410/H444, "NA")</f>
        <v>0.3491366505938292</v>
      </c>
      <c r="J410" s="9"/>
      <c r="K410" s="7">
        <v>9780.89</v>
      </c>
      <c r="L410" s="8">
        <f>IFERROR(K410/K444, "NA")</f>
        <v>6.6741162496599268E-2</v>
      </c>
      <c r="M410" s="9"/>
      <c r="N410" s="10">
        <f t="shared" si="101"/>
        <v>-867.31000000000131</v>
      </c>
      <c r="O410" s="8">
        <f>IFERROR(N410/N444, "NA")</f>
        <v>4.7303388864497295E-2</v>
      </c>
      <c r="P410" s="9"/>
      <c r="Q410" s="7">
        <v>31945.95</v>
      </c>
      <c r="R410" s="8">
        <f>IFERROR(Q410/Q444, "NA")</f>
        <v>0.10687953881604211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-31945.95</v>
      </c>
      <c r="X410" s="8">
        <f>IFERROR(W410/W444, "NA")</f>
        <v>0.56137138185860525</v>
      </c>
      <c r="Y410" s="9"/>
      <c r="Z410" s="7">
        <v>29342.69</v>
      </c>
      <c r="AA410" s="8">
        <f>IFERROR(Z410/Z444, "NA")</f>
        <v>8.7236550963966195E-2</v>
      </c>
      <c r="AB410" s="9"/>
      <c r="AC410" s="10">
        <f t="shared" si="103"/>
        <v>-2603.260000000002</v>
      </c>
      <c r="AD410" s="8">
        <f>IFERROR(AC410/AC444, "NA")</f>
        <v>6.9492594559083867E-2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-45.12</v>
      </c>
      <c r="C416" s="8">
        <f>IFERROR(B416/B444, "NA")</f>
        <v>-3.5191016557092512E-4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45.12</v>
      </c>
      <c r="I416" s="8">
        <f>IFERROR(H416/H444, "NA")</f>
        <v>-1.4794092592920467E-3</v>
      </c>
      <c r="J416" s="9"/>
      <c r="K416" s="7">
        <v>398.66</v>
      </c>
      <c r="L416" s="8">
        <f>IFERROR(K416/K444, "NA")</f>
        <v>2.7203078493771293E-3</v>
      </c>
      <c r="M416" s="9"/>
      <c r="N416" s="10">
        <f t="shared" si="101"/>
        <v>443.78000000000003</v>
      </c>
      <c r="O416" s="8">
        <f>IFERROR(N416/N444, "NA")</f>
        <v>-2.4203915451553169E-2</v>
      </c>
      <c r="P416" s="9"/>
      <c r="Q416" s="7">
        <v>-142.46</v>
      </c>
      <c r="R416" s="8">
        <f>IFERROR(Q416/Q444, "NA")</f>
        <v>-4.7661938679968382E-4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142.46</v>
      </c>
      <c r="X416" s="8">
        <f>IFERROR(W416/W444, "NA")</f>
        <v>-2.5033835919600735E-3</v>
      </c>
      <c r="Y416" s="9"/>
      <c r="Z416" s="7">
        <v>295.86</v>
      </c>
      <c r="AA416" s="8">
        <f>IFERROR(Z416/Z444, "NA")</f>
        <v>8.7959917676937725E-4</v>
      </c>
      <c r="AB416" s="9"/>
      <c r="AC416" s="10">
        <f t="shared" si="103"/>
        <v>438.32000000000005</v>
      </c>
      <c r="AD416" s="8">
        <f>IFERROR(AC416/AC444, "NA")</f>
        <v>-1.1700711433793635E-2</v>
      </c>
    </row>
    <row r="417" spans="1:30" ht="16.5" customHeight="1" x14ac:dyDescent="0.45">
      <c r="A417" s="6" t="s">
        <v>382</v>
      </c>
      <c r="B417" s="7">
        <v>-24.25</v>
      </c>
      <c r="C417" s="8">
        <f>IFERROR(B417/B444, "NA")</f>
        <v>-1.8913611513951539E-4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24.25</v>
      </c>
      <c r="I417" s="8">
        <f>IFERROR(H417/H444, "NA")</f>
        <v>-7.9511690021791075E-4</v>
      </c>
      <c r="J417" s="9"/>
      <c r="K417" s="7">
        <v>-55.19</v>
      </c>
      <c r="L417" s="8">
        <f>IFERROR(K417/K444, "NA")</f>
        <v>-3.7659607236021606E-4</v>
      </c>
      <c r="M417" s="9"/>
      <c r="N417" s="10">
        <f t="shared" si="101"/>
        <v>-30.939999999999998</v>
      </c>
      <c r="O417" s="8">
        <f>IFERROR(N417/N444, "NA")</f>
        <v>1.6874783542995516E-3</v>
      </c>
      <c r="P417" s="9"/>
      <c r="Q417" s="7">
        <v>-52.71</v>
      </c>
      <c r="R417" s="8">
        <f>IFERROR(Q417/Q444, "NA")</f>
        <v>-1.7634850398856754E-4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52.71</v>
      </c>
      <c r="X417" s="8">
        <f>IFERROR(W417/W444, "NA")</f>
        <v>-9.2624841451786791E-4</v>
      </c>
      <c r="Y417" s="9"/>
      <c r="Z417" s="7">
        <v>-21.33</v>
      </c>
      <c r="AA417" s="8">
        <f>IFERROR(Z417/Z444, "NA")</f>
        <v>-6.341462326942072E-5</v>
      </c>
      <c r="AB417" s="9"/>
      <c r="AC417" s="10">
        <f t="shared" si="103"/>
        <v>31.380000000000003</v>
      </c>
      <c r="AD417" s="8">
        <f>IFERROR(AC417/AC444, "NA")</f>
        <v>-8.3767184886029446E-4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10578.83</v>
      </c>
      <c r="C428" s="15">
        <f>IFERROR(B428/B444, "NA")</f>
        <v>8.2508816862736478E-2</v>
      </c>
      <c r="D428" s="2"/>
      <c r="E428" s="14">
        <f>IFERROR(E407+E408+E409+E410+E411+E412+E413+E414+E415+E416+E417+E418+E419+E420+E421+E422+E423+E424+E425+E426+E427, "NA")</f>
        <v>10964.68</v>
      </c>
      <c r="F428" s="15">
        <f>IFERROR(E428/E444, "NA")</f>
        <v>6.9084865026979483E-2</v>
      </c>
      <c r="G428" s="2"/>
      <c r="H428" s="14">
        <f t="shared" si="100"/>
        <v>385.85000000000036</v>
      </c>
      <c r="I428" s="15">
        <f>IFERROR(H428/H444, "NA")</f>
        <v>-1.2651375503054892E-2</v>
      </c>
      <c r="J428" s="2"/>
      <c r="K428" s="14">
        <f>IFERROR(K407+K408+K409+K410+K411+K412+K413+K414+K415+K416+K417+K418+K419+K420+K421+K422+K423+K424+K425+K426+K427, "NA")</f>
        <v>10124.359999999999</v>
      </c>
      <c r="L428" s="15">
        <f>IFERROR(K428/K444, "NA")</f>
        <v>6.9084874273616176E-2</v>
      </c>
      <c r="M428" s="2"/>
      <c r="N428" s="14">
        <f t="shared" si="101"/>
        <v>-454.47000000000116</v>
      </c>
      <c r="O428" s="15">
        <f>IFERROR(N428/N444, "NA")</f>
        <v>2.4786951767243673E-2</v>
      </c>
      <c r="P428" s="2"/>
      <c r="Q428" s="14">
        <f>IFERROR(Q407+Q408+Q409+Q410+Q411+Q412+Q413+Q414+Q415+Q416+Q417+Q418+Q419+Q420+Q421+Q422+Q423+Q424+Q425+Q426+Q427, "NA")</f>
        <v>31750.780000000002</v>
      </c>
      <c r="R428" s="15">
        <f>IFERROR(Q428/Q444, "NA")</f>
        <v>0.10622657092525387</v>
      </c>
      <c r="S428" s="2"/>
      <c r="T428" s="14">
        <f>IFERROR(T407+T408+T409+T410+T411+T412+T413+T414+T415+T416+T417+T418+T419+T420+T421+T422+T423+T424+T425+T426+T427, "NA")</f>
        <v>31205.439999999999</v>
      </c>
      <c r="U428" s="15">
        <f>IFERROR(T428/T444, "NA")</f>
        <v>8.7704075977162232E-2</v>
      </c>
      <c r="V428" s="2"/>
      <c r="W428" s="14">
        <f t="shared" si="102"/>
        <v>-545.34000000000378</v>
      </c>
      <c r="X428" s="15">
        <f>IFERROR(W428/W444, "NA")</f>
        <v>9.5830072163380301E-3</v>
      </c>
      <c r="Y428" s="2"/>
      <c r="Z428" s="14">
        <f>IFERROR(Z407+Z408+Z409+Z410+Z411+Z412+Z413+Z414+Z415+Z416+Z417+Z418+Z419+Z420+Z421+Z422+Z423+Z424+Z425+Z426+Z427, "NA")</f>
        <v>29617.219999999998</v>
      </c>
      <c r="AA428" s="15">
        <f>IFERROR(Z428/Z444, "NA")</f>
        <v>8.8052735517466146E-2</v>
      </c>
      <c r="AB428" s="2"/>
      <c r="AC428" s="14">
        <f t="shared" si="103"/>
        <v>-2133.5600000000049</v>
      </c>
      <c r="AD428" s="15">
        <f>IFERROR(AC428/AC444, "NA")</f>
        <v>5.6954211276430015E-2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10578.83</v>
      </c>
      <c r="C429" s="15">
        <f>IFERROR(B429/B444, "NA")</f>
        <v>8.2508816862736478E-2</v>
      </c>
      <c r="D429" s="2"/>
      <c r="E429" s="14">
        <f>IFERROR(E407+E408+E409+E410+E411+E412+E413+E414+E415+E416+E417+E418+E419+E420+E421+E422+E423+E424+E425+E426+E427, "NA")</f>
        <v>10964.68</v>
      </c>
      <c r="F429" s="15">
        <f>IFERROR(E429/E444, "NA")</f>
        <v>6.9084865026979483E-2</v>
      </c>
      <c r="G429" s="2"/>
      <c r="H429" s="14">
        <f t="shared" si="100"/>
        <v>385.85000000000036</v>
      </c>
      <c r="I429" s="15">
        <f>IFERROR(H429/H444, "NA")</f>
        <v>-1.2651375503054892E-2</v>
      </c>
      <c r="J429" s="2"/>
      <c r="K429" s="14">
        <f>IFERROR(K407+K408+K409+K410+K411+K412+K413+K414+K415+K416+K417+K418+K419+K420+K421+K422+K423+K424+K425+K426+K427, "NA")</f>
        <v>10124.359999999999</v>
      </c>
      <c r="L429" s="15">
        <f>IFERROR(K429/K444, "NA")</f>
        <v>6.9084874273616176E-2</v>
      </c>
      <c r="M429" s="2"/>
      <c r="N429" s="14">
        <f t="shared" si="101"/>
        <v>-454.47000000000116</v>
      </c>
      <c r="O429" s="15">
        <f>IFERROR(N429/N444, "NA")</f>
        <v>2.4786951767243673E-2</v>
      </c>
      <c r="P429" s="2"/>
      <c r="Q429" s="14">
        <f>IFERROR(Q407+Q408+Q409+Q410+Q411+Q412+Q413+Q414+Q415+Q416+Q417+Q418+Q419+Q420+Q421+Q422+Q423+Q424+Q425+Q426+Q427, "NA")</f>
        <v>31750.780000000002</v>
      </c>
      <c r="R429" s="15">
        <f>IFERROR(Q429/Q444, "NA")</f>
        <v>0.10622657092525387</v>
      </c>
      <c r="S429" s="2"/>
      <c r="T429" s="14">
        <f>IFERROR(T407+T408+T409+T410+T411+T412+T413+T414+T415+T416+T417+T418+T419+T420+T421+T422+T423+T424+T425+T426+T427, "NA")</f>
        <v>31205.439999999999</v>
      </c>
      <c r="U429" s="15">
        <f>IFERROR(T429/T444, "NA")</f>
        <v>8.7704075977162232E-2</v>
      </c>
      <c r="V429" s="2"/>
      <c r="W429" s="14">
        <f t="shared" si="102"/>
        <v>-545.34000000000378</v>
      </c>
      <c r="X429" s="15">
        <f>IFERROR(W429/W444, "NA")</f>
        <v>9.5830072163380301E-3</v>
      </c>
      <c r="Y429" s="2"/>
      <c r="Z429" s="14">
        <f>IFERROR(Z407+Z408+Z409+Z410+Z411+Z412+Z413+Z414+Z415+Z416+Z417+Z418+Z419+Z420+Z421+Z422+Z423+Z424+Z425+Z426+Z427, "NA")</f>
        <v>29617.219999999998</v>
      </c>
      <c r="AA429" s="15">
        <f>IFERROR(Z429/Z444, "NA")</f>
        <v>8.8052735517466146E-2</v>
      </c>
      <c r="AB429" s="2"/>
      <c r="AC429" s="14">
        <f t="shared" si="103"/>
        <v>-2133.5600000000049</v>
      </c>
      <c r="AD429" s="15">
        <f>IFERROR(AC429/AC444, "NA")</f>
        <v>5.6954211276430015E-2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-14409.090000000031</v>
      </c>
      <c r="C443" s="24">
        <f>IFERROR(B443/B444, "NA")</f>
        <v>-0.11238265176476889</v>
      </c>
      <c r="D443" s="25"/>
      <c r="E443" s="23">
        <f>IFERROR(E404-E429-E442, "NA")</f>
        <v>-1170.6499999999724</v>
      </c>
      <c r="F443" s="24">
        <f>IFERROR(E443/E444, "NA")</f>
        <v>-7.3758830393437485E-3</v>
      </c>
      <c r="G443" s="25"/>
      <c r="H443" s="23">
        <f>IFERROR(B443-E443, "NA")</f>
        <v>-13238.440000000059</v>
      </c>
      <c r="I443" s="24">
        <f>IFERROR(H443/H444, "NA")</f>
        <v>0.43406628356786991</v>
      </c>
      <c r="J443" s="25"/>
      <c r="K443" s="23">
        <f>IFERROR(K404-K429-K442, "NA")</f>
        <v>-6304.4600000000519</v>
      </c>
      <c r="L443" s="24">
        <f>IFERROR(K443/K444, "NA")</f>
        <v>-4.3019294697447134E-2</v>
      </c>
      <c r="M443" s="25"/>
      <c r="N443" s="23">
        <f>IFERROR(B443-K443, "NA")</f>
        <v>-8104.6299999999792</v>
      </c>
      <c r="O443" s="24">
        <f>IFERROR(N443/N444, "NA")</f>
        <v>0.44202933725296512</v>
      </c>
      <c r="P443" s="25"/>
      <c r="Q443" s="23">
        <f>IFERROR(Q404-Q429-Q442, "NA")</f>
        <v>-63804.510000000024</v>
      </c>
      <c r="R443" s="24">
        <f>IFERROR(Q443/Q444, "NA")</f>
        <v>-0.21346670245159555</v>
      </c>
      <c r="S443" s="25"/>
      <c r="T443" s="23">
        <f>IFERROR(T404-T429-T442, "NA")</f>
        <v>-30768.210000000017</v>
      </c>
      <c r="U443" s="24">
        <f>IFERROR(T443/T444, "NA")</f>
        <v>-8.6475224432704181E-2</v>
      </c>
      <c r="V443" s="25"/>
      <c r="W443" s="23">
        <f>IFERROR(Q443-T443, "NA")</f>
        <v>-33036.300000000003</v>
      </c>
      <c r="X443" s="24">
        <f>IFERROR(W443/W444, "NA")</f>
        <v>0.58053159735413851</v>
      </c>
      <c r="Y443" s="25"/>
      <c r="Z443" s="23">
        <f>IFERROR(Z404-Z429-Z442, "NA")</f>
        <v>-47239.599999999948</v>
      </c>
      <c r="AA443" s="24">
        <f>IFERROR(Z443/Z444, "NA")</f>
        <v>-0.14044451183301099</v>
      </c>
      <c r="AB443" s="25"/>
      <c r="AC443" s="23">
        <f>IFERROR(Q443-Z443, "NA")</f>
        <v>-16564.910000000076</v>
      </c>
      <c r="AD443" s="24">
        <f>IFERROR(AC443/AC444, "NA")</f>
        <v>0.4421911658988032</v>
      </c>
    </row>
    <row r="444" spans="1:30" ht="15.75" hidden="1" x14ac:dyDescent="0.45">
      <c r="A444" s="26" t="s">
        <v>117</v>
      </c>
      <c r="B444" s="7">
        <v>128214.54</v>
      </c>
      <c r="C444" s="27"/>
      <c r="D444" s="9"/>
      <c r="E444" s="7">
        <v>158713.20000000001</v>
      </c>
      <c r="F444" s="27"/>
      <c r="G444" s="9"/>
      <c r="H444" s="10">
        <f>IFERROR(B444-E444, "NA")</f>
        <v>-30498.660000000018</v>
      </c>
      <c r="I444" s="27"/>
      <c r="J444" s="9"/>
      <c r="K444" s="7">
        <v>146549.59</v>
      </c>
      <c r="L444" s="27"/>
      <c r="M444" s="9"/>
      <c r="N444" s="10">
        <f>IFERROR(B444-K444, "NA")</f>
        <v>-18335.050000000003</v>
      </c>
      <c r="O444" s="27"/>
      <c r="P444" s="9"/>
      <c r="Q444" s="7">
        <v>298896.78000000003</v>
      </c>
      <c r="R444" s="27"/>
      <c r="S444" s="9"/>
      <c r="T444" s="7">
        <v>355803.76</v>
      </c>
      <c r="U444" s="27"/>
      <c r="V444" s="9"/>
      <c r="W444" s="10">
        <f>IFERROR(Q444-T444, "NA")</f>
        <v>-56906.979999999981</v>
      </c>
      <c r="X444" s="27"/>
      <c r="Y444" s="9"/>
      <c r="Z444" s="7">
        <v>336357.75</v>
      </c>
      <c r="AA444" s="27"/>
      <c r="AB444" s="9"/>
      <c r="AC444" s="10">
        <f>IFERROR(Q444-Z444, "NA")</f>
        <v>-37460.969999999972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2026-04-14T14:02:05Z</dcterms:created>
  <dcterms:modified xsi:type="dcterms:W3CDTF">2026-04-14T14:03:16Z</dcterms:modified>
</cp:coreProperties>
</file>